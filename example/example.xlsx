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y/Desktop/Work/automation/example/"/>
    </mc:Choice>
  </mc:AlternateContent>
  <xr:revisionPtr revIDLastSave="0" documentId="13_ncr:1_{B9D36D39-8F7A-FA4E-A6C4-DE142A4A950C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input waca" sheetId="1" r:id="rId1"/>
    <sheet name="input shopline" sheetId="5" r:id="rId2"/>
    <sheet name="catalog" sheetId="2" r:id="rId3"/>
    <sheet name="stock" sheetId="3" r:id="rId4"/>
    <sheet name="output" sheetId="4" r:id="rId5"/>
  </sheets>
  <definedNames>
    <definedName name="_xlnm._FilterDatabase" localSheetId="1" hidden="1">'input shopline'!$A$1:$AL$2556</definedName>
    <definedName name="_xlnm._FilterDatabase" localSheetId="0" hidden="1">'input waca'!$A$1:$AK$496</definedName>
    <definedName name="_xlnm._FilterDatabase" localSheetId="4" hidden="1">output!$A$1:$Z$4277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35" i="2"/>
  <c r="G3436" i="2"/>
  <c r="G3437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</calcChain>
</file>

<file path=xl/sharedStrings.xml><?xml version="1.0" encoding="utf-8"?>
<sst xmlns="http://schemas.openxmlformats.org/spreadsheetml/2006/main" count="70803" uniqueCount="6743">
  <si>
    <t>購買日期</t>
  </si>
  <si>
    <t>訂單編號</t>
  </si>
  <si>
    <t>商品編號</t>
  </si>
  <si>
    <t>品名</t>
  </si>
  <si>
    <t>小計</t>
  </si>
  <si>
    <t>運費</t>
  </si>
  <si>
    <t>代收手續費</t>
  </si>
  <si>
    <t>總計</t>
  </si>
  <si>
    <t>付款方式</t>
  </si>
  <si>
    <t>發票號碼</t>
  </si>
  <si>
    <t>稅別</t>
  </si>
  <si>
    <t>統一編號</t>
  </si>
  <si>
    <t>訂單狀態</t>
  </si>
  <si>
    <t>客戶備註</t>
  </si>
  <si>
    <t>2021-06-16 04:04:08</t>
  </si>
  <si>
    <t>W131CJ2106168414</t>
  </si>
  <si>
    <t>郭燕雪</t>
  </si>
  <si>
    <t>0913308945</t>
  </si>
  <si>
    <t>K01SET</t>
  </si>
  <si>
    <t xml:space="preserve">【牙醫博士推薦組合】含鈣健齒噴霧 20mL (草莓、葡萄、牛奶口味各一) </t>
  </si>
  <si>
    <t>葡萄+草莓+牛奶口味各1入</t>
  </si>
  <si>
    <t>WACA-KIDS-000152</t>
  </si>
  <si>
    <t>宅配貨到付款(假日不送件)</t>
  </si>
  <si>
    <t>宅配代收</t>
  </si>
  <si>
    <t>應稅</t>
  </si>
  <si>
    <t>備貨中</t>
  </si>
  <si>
    <t>臺北市士林區延平北路7段106巷337號</t>
  </si>
  <si>
    <t>未付款</t>
  </si>
  <si>
    <t>ADULT-TS-M</t>
  </si>
  <si>
    <t>【新上市】牙齒抗敏噴霧 薄荷草本口味</t>
  </si>
  <si>
    <t>薄荷草本口味</t>
  </si>
  <si>
    <t>2021-06-16 02:03:05</t>
  </si>
  <si>
    <t>W385HI2106162619</t>
  </si>
  <si>
    <t>徐湘茹</t>
  </si>
  <si>
    <t>0910681810</t>
  </si>
  <si>
    <t>KQ35SET</t>
  </si>
  <si>
    <t>無糖QQ糖 35顆裝 + 兒童含鈣健齒噴霧 20ml 任選2入組</t>
  </si>
  <si>
    <t>葡萄QQ糖1包+牛奶2入</t>
  </si>
  <si>
    <t>WACA-KIDS-000020</t>
  </si>
  <si>
    <t>宅配</t>
  </si>
  <si>
    <t>綠界ecPay 信用卡</t>
  </si>
  <si>
    <t>臺南市東區中華東路三段300號</t>
  </si>
  <si>
    <t>待核款</t>
  </si>
  <si>
    <t>乳酸多多QQ糖1包+牛奶2入</t>
  </si>
  <si>
    <t>WACA-KIDS-000001</t>
  </si>
  <si>
    <t>redeem_discount</t>
  </si>
  <si>
    <t>現金積點折抵</t>
  </si>
  <si>
    <t>現金積點</t>
  </si>
  <si>
    <t>memberLevel-0</t>
  </si>
  <si>
    <t>會員 滿 $ 999 元，現金積點回饋 5%</t>
  </si>
  <si>
    <t>會員活動</t>
  </si>
  <si>
    <t>2021-06-16 00:57:32</t>
  </si>
  <si>
    <t>W311QI2106165798</t>
  </si>
  <si>
    <t>姜俞如</t>
  </si>
  <si>
    <t>0928090984</t>
  </si>
  <si>
    <t>KQ35SET3</t>
  </si>
  <si>
    <t>無糖QQ糖 草莓/乳酸多多/葡萄口味 (任選3入組)</t>
  </si>
  <si>
    <t>健齒QQ糖 葡萄口味【2入】+ 草莓口味【1入】</t>
  </si>
  <si>
    <t>WACA-KIDS-000114</t>
  </si>
  <si>
    <t>LINE Pay</t>
  </si>
  <si>
    <t>桃園市龜山區建國東路97號7樓</t>
  </si>
  <si>
    <t>PP-KJ10SET</t>
  </si>
  <si>
    <t>無糖QQ凍3入組 口味任選</t>
  </si>
  <si>
    <t>葡萄口味2盒+荔枝口味1盒</t>
  </si>
  <si>
    <t>WACA-PAW-000134</t>
  </si>
  <si>
    <t>PP-TP-GP</t>
  </si>
  <si>
    <t>含鈣健齒牙膏(無氟) (葡萄口味)</t>
  </si>
  <si>
    <t>汪汪隊立大功X無氟牙膏 葡萄口味</t>
  </si>
  <si>
    <t>PP-KJ10</t>
  </si>
  <si>
    <t>無糖QQ凍 乳酸多多口味 10入裝/盒</t>
  </si>
  <si>
    <t>乳酸多多口味1盒</t>
  </si>
  <si>
    <t>2021-06-16 00:12:59</t>
  </si>
  <si>
    <t>W131XK2106168698</t>
  </si>
  <si>
    <t>鄭祐涓</t>
  </si>
  <si>
    <t>0905295687</t>
  </si>
  <si>
    <t>高雄市茄萣區頂漁路100號</t>
  </si>
  <si>
    <t>2021-06-15 22:53:37</t>
  </si>
  <si>
    <t>W311LU2106150131</t>
  </si>
  <si>
    <t>廖昱絜</t>
  </si>
  <si>
    <t>0977034088</t>
  </si>
  <si>
    <t>葡萄口味 3盒組</t>
  </si>
  <si>
    <t>WACA-PAW-000101</t>
  </si>
  <si>
    <t>臺南市後壁區長安里196號</t>
  </si>
  <si>
    <t>宅配請撥市話：06-6362400</t>
  </si>
  <si>
    <t>葡萄口味+多多口味+荔枝口味</t>
  </si>
  <si>
    <t>WACA-PAW-000100</t>
  </si>
  <si>
    <t>KQ12-G</t>
  </si>
  <si>
    <t>【大人味】無糖Q軟糖 麝香葡萄口味 12顆/入</t>
  </si>
  <si>
    <t>無糖Q軟糖 【麝香葡萄口味】</t>
  </si>
  <si>
    <t>2021-06-15 22:44:02</t>
  </si>
  <si>
    <t>W311CA2106156757</t>
  </si>
  <si>
    <t>陳昕怡</t>
  </si>
  <si>
    <t>0921646827</t>
  </si>
  <si>
    <t>新北市八里區頂寮二街29-1號5樓</t>
  </si>
  <si>
    <t>PP-FTP-GR</t>
  </si>
  <si>
    <t>齒妍堂 Toothfilm 兒童防蛀修護牙膏 60g 葡萄口味</t>
  </si>
  <si>
    <t>含氟牙膏【葡萄口味1入】</t>
  </si>
  <si>
    <t>健齒QQ糖 草莓/葡萄/多多口味【各1入】</t>
  </si>
  <si>
    <t>WACA-KIDS-000109</t>
  </si>
  <si>
    <t>PP-FTP-ST</t>
  </si>
  <si>
    <t>齒妍堂 Toothfilm 兒童防蛀修護牙膏 60g 草莓口味</t>
  </si>
  <si>
    <t>含氟牙膏【草莓口味1入】</t>
  </si>
  <si>
    <t>蔡昀彤</t>
  </si>
  <si>
    <t>0918237701</t>
  </si>
  <si>
    <t>SR250</t>
  </si>
  <si>
    <t>【T-PET】寵物全效毛髮潔淨液</t>
  </si>
  <si>
    <t>寵物全效毛髮潔淨液</t>
  </si>
  <si>
    <t>高雄市新興區中正三路55號15樓</t>
  </si>
  <si>
    <t>coupon</t>
  </si>
  <si>
    <t>LINE50</t>
  </si>
  <si>
    <t>LINE好友大募集</t>
  </si>
  <si>
    <t>2021-06-15 22:08:54</t>
  </si>
  <si>
    <t>W131GU2106156669</t>
  </si>
  <si>
    <t>李姿蓉</t>
  </si>
  <si>
    <t>0975343063</t>
  </si>
  <si>
    <t>PP-MW+TP</t>
  </si>
  <si>
    <t>【無氟】漱口水 + 牙膏 口味任選(各1入)</t>
  </si>
  <si>
    <t>無氟漱口水【泡泡糖口味1入】 + 無氟牙膏 【葡萄口味1入】</t>
  </si>
  <si>
    <t>WACA-KIDS-000192</t>
  </si>
  <si>
    <t>新北市三重區同安東街65巷1號</t>
  </si>
  <si>
    <t>2021-06-15 20:52:44</t>
  </si>
  <si>
    <t>W385AX2106157178</t>
  </si>
  <si>
    <t>林伊玲</t>
  </si>
  <si>
    <t>0975020591</t>
  </si>
  <si>
    <t>臺南市仁德區德崙路370巷21弄11號</t>
  </si>
  <si>
    <t>荔枝口味 3盒組</t>
  </si>
  <si>
    <t>WACA-PAW-000103</t>
  </si>
  <si>
    <t>防蛀修護牙膏(含氟) (葡萄口味)</t>
  </si>
  <si>
    <t>2021-06-15 20:41:54</t>
  </si>
  <si>
    <t>W131QQ2106159704</t>
  </si>
  <si>
    <t>全涵玫</t>
  </si>
  <si>
    <t>0902122802</t>
  </si>
  <si>
    <t>南投縣信義鄉望美村望和巷10-2號</t>
  </si>
  <si>
    <t>出貨請已簡訊告知</t>
  </si>
  <si>
    <t>2021-06-15 17:47:58</t>
  </si>
  <si>
    <t>W385RW2106156506</t>
  </si>
  <si>
    <t>薛靜琪</t>
  </si>
  <si>
    <t>0970312258</t>
  </si>
  <si>
    <t>PP-TB</t>
  </si>
  <si>
    <t>兒童萬毛牙刷(3入)</t>
  </si>
  <si>
    <t>萬毛牙刷【1組】</t>
  </si>
  <si>
    <t>桃園市龜山區文化三路551-18號</t>
  </si>
  <si>
    <t>PP-TP-OR</t>
  </si>
  <si>
    <t>齒妍堂 兒童含鈣健齒牙膏 60g 橘子口味/無氟</t>
  </si>
  <si>
    <t>汪汪隊立大功X無氟牙膏 橘子口味</t>
  </si>
  <si>
    <t>2021-06-15 16:24:43</t>
  </si>
  <si>
    <t>W385QH2106153707</t>
  </si>
  <si>
    <t>黃悅敏</t>
  </si>
  <si>
    <t>0953952127</t>
  </si>
  <si>
    <t>PP-FTP2-TB</t>
  </si>
  <si>
    <t>兒童萬毛牙刷(3入) + 含氟牙膏(任選2入)</t>
  </si>
  <si>
    <t>萬毛牙刷【1組】+含氟牙膏【葡萄口味1入】+【草莓口味1入】</t>
  </si>
  <si>
    <t>WACA-PAW-000039</t>
  </si>
  <si>
    <t>臺北市士林區文昌路95號(新光醫院)8B病房護理站</t>
  </si>
  <si>
    <t>MW-PLBG</t>
  </si>
  <si>
    <t>【加購】齒妍堂 Toothfilm 兒童牙菌斑檢測漱口水 170g 泡泡糖口味</t>
  </si>
  <si>
    <t>【牙菌斑】檢測漱口水 1入</t>
  </si>
  <si>
    <t>FS</t>
  </si>
  <si>
    <t>【牙縫不卡卡新上市】兒童牙線棒 36支/盒</t>
  </si>
  <si>
    <t>兒童牙線棒36支/盒</t>
  </si>
  <si>
    <t>2021-06-15 15:22:53</t>
  </si>
  <si>
    <t>W385PW2106159195</t>
  </si>
  <si>
    <t>宋佩霞</t>
  </si>
  <si>
    <t>0972034853</t>
  </si>
  <si>
    <t>高雄市大寮區後庄里民族路356巷10號</t>
  </si>
  <si>
    <t>荔枝口味2盒+葡萄口味1盒</t>
  </si>
  <si>
    <t>WACA-PAW-000131</t>
  </si>
  <si>
    <t>2021-06-15 13:25:09</t>
  </si>
  <si>
    <t>W382BQ2106155946</t>
  </si>
  <si>
    <t>陳怡伶</t>
  </si>
  <si>
    <t>0919794326</t>
  </si>
  <si>
    <t>綠界ecPay ATM 虛擬帳號</t>
  </si>
  <si>
    <t>新竹市北區武陵路179巷12號13樓之3</t>
  </si>
  <si>
    <t>2021-06-15 13:17:58</t>
  </si>
  <si>
    <t>W385AS2106154274</t>
  </si>
  <si>
    <t>李品妍</t>
  </si>
  <si>
    <t>0919518382</t>
  </si>
  <si>
    <t>桃園市楊梅區益新一街119號</t>
  </si>
  <si>
    <t>多多口味 3盒組</t>
  </si>
  <si>
    <t>WACA-PAW-000102</t>
  </si>
  <si>
    <t>收件人姓名</t>
  </si>
  <si>
    <t>收件人聯絡電話</t>
  </si>
  <si>
    <t>規格一</t>
    <phoneticPr fontId="1" type="noConversion"/>
  </si>
  <si>
    <t>商品規格編號</t>
  </si>
  <si>
    <t>數量</t>
  </si>
  <si>
    <t>運送方式</t>
  </si>
  <si>
    <t>發票建立日期</t>
  </si>
  <si>
    <t>物流單號</t>
  </si>
  <si>
    <t>門市代碼</t>
  </si>
  <si>
    <t>門市名稱</t>
  </si>
  <si>
    <t>門市地址</t>
  </si>
  <si>
    <t>郵遞區號</t>
  </si>
  <si>
    <t>收件地址</t>
  </si>
  <si>
    <t>店家備註</t>
  </si>
  <si>
    <t>2021-06-16 23:56:56</t>
  </si>
  <si>
    <t>W311QI2106168140</t>
  </si>
  <si>
    <t>方劭云</t>
  </si>
  <si>
    <t>0922991106</t>
  </si>
  <si>
    <t>無氟漱口水【泡泡糖口味1入】 + 無氟牙膏 【橘子口味1入】</t>
  </si>
  <si>
    <t>WACA-KIDS-000151</t>
  </si>
  <si>
    <t>桃園市大溪區員林路一段7巷37弄1號</t>
  </si>
  <si>
    <t>2021-06-16 17:26:19</t>
  </si>
  <si>
    <t>W311YG2106166362</t>
  </si>
  <si>
    <t>GDW50+SR250</t>
  </si>
  <si>
    <t>【萬用潔淨組】【T-PET】寵物清潔萬用棉 + 寵物全效毛髮潔淨液</t>
  </si>
  <si>
    <t>寵物清潔萬用棉 + 寵物全效毛髮潔淨液</t>
  </si>
  <si>
    <t>WACA-PET-000018</t>
  </si>
  <si>
    <t>2021-06-16 16:19:31</t>
  </si>
  <si>
    <t>W131ZT2106163853</t>
  </si>
  <si>
    <t>黃宥心</t>
  </si>
  <si>
    <t>0976504425</t>
  </si>
  <si>
    <t>桃園市楊梅區楊湖路三段846巷95弄105號</t>
  </si>
  <si>
    <t>2021-06-16 15:10:06</t>
  </si>
  <si>
    <t>W385TM2106168084</t>
  </si>
  <si>
    <t>林靖雅</t>
  </si>
  <si>
    <t>0900169794</t>
  </si>
  <si>
    <t>新北市新店區安康路二段16巷38號3樓</t>
  </si>
  <si>
    <t>2021-06-16 14:26:28</t>
  </si>
  <si>
    <t>W385HM2106163467</t>
  </si>
  <si>
    <t>王蔧瑀</t>
  </si>
  <si>
    <t>0966877068</t>
  </si>
  <si>
    <t>DS60-2</t>
  </si>
  <si>
    <t>【T-PET】狗狗濃縮潔齒噴劑 / 2入</t>
  </si>
  <si>
    <t>狗狗濃縮潔齒噴劑 2入</t>
  </si>
  <si>
    <t>WACA-PET-000023</t>
  </si>
  <si>
    <t>臺中市大里區中湖路150巷21號4樓</t>
  </si>
  <si>
    <t>DG120+PA001</t>
  </si>
  <si>
    <t>【刷刷入門款】【T-PET】狗狗潔牙凝膠 / 120mL + 寵物指套刷 / 2入</t>
  </si>
  <si>
    <t>狗狗潔牙凝膠 120mL + 寵物指套刷 2入</t>
  </si>
  <si>
    <t>WACA-PET-000021</t>
  </si>
  <si>
    <t>2021-06-16 14:23:51</t>
  </si>
  <si>
    <t>W131EI2106160239</t>
  </si>
  <si>
    <t>林秋華</t>
  </si>
  <si>
    <t>0953750822</t>
  </si>
  <si>
    <t>臺北市文山區羅斯福路五段236巷26號1樓</t>
  </si>
  <si>
    <t>2021-06-16 13:04:41</t>
  </si>
  <si>
    <t>W311DC2106164062</t>
  </si>
  <si>
    <t>顧嘉玲</t>
  </si>
  <si>
    <t>0938626990</t>
  </si>
  <si>
    <t>高雄市左營區博愛四路361號10樓</t>
  </si>
  <si>
    <t>2021-06-16 12:45:01</t>
  </si>
  <si>
    <t>W311RD2106169854</t>
  </si>
  <si>
    <t>廖虹媚</t>
  </si>
  <si>
    <t>0911786581</t>
  </si>
  <si>
    <t>高雄市左營區重吉路17號9號</t>
  </si>
  <si>
    <t>2021-06-16 12:29:49</t>
  </si>
  <si>
    <t>W385QU2106164400</t>
  </si>
  <si>
    <t>張婉嫕</t>
  </si>
  <si>
    <t>0933531555</t>
  </si>
  <si>
    <t>臺中市西屯區福安里安和路135巷19號</t>
  </si>
  <si>
    <t>2021-06-16 09:54:23</t>
  </si>
  <si>
    <t>W131VL2106162336</t>
  </si>
  <si>
    <t>王筑樺</t>
  </si>
  <si>
    <t>0989740315</t>
  </si>
  <si>
    <t>健齒QQ糖 葡萄口味【3入】</t>
  </si>
  <si>
    <t>WACA-KIDS-000111</t>
  </si>
  <si>
    <t>臺北市文山區興隆路二段220巷31弄48號二樓</t>
  </si>
  <si>
    <t>2021-06-18 00:12:46</t>
  </si>
  <si>
    <t>W382FY2106180862</t>
  </si>
  <si>
    <t>許令妤</t>
  </si>
  <si>
    <t>0986692852</t>
  </si>
  <si>
    <t>臺中市東區台中市東區建德街290號4F-3</t>
  </si>
  <si>
    <t>K01-GR</t>
  </si>
  <si>
    <t>兒童含鈣健齒噴霧 20ml 葡萄口味</t>
  </si>
  <si>
    <t>兒童含鈣健齒噴霧 葡萄口味</t>
  </si>
  <si>
    <t>2021-06-17 23:48:42</t>
  </si>
  <si>
    <t>W385HG2106177160</t>
  </si>
  <si>
    <t>陳貞綾</t>
  </si>
  <si>
    <t>0956700105</t>
  </si>
  <si>
    <t>KDC01</t>
  </si>
  <si>
    <t>【新手媽咪激推】口腔清潔棒 30入</t>
  </si>
  <si>
    <t>口腔清潔棒 30入</t>
  </si>
  <si>
    <t>臺南市安南區安西路81號</t>
  </si>
  <si>
    <t>K01-PE</t>
  </si>
  <si>
    <t>兒童含鈣健齒噴霧 20ml 水蜜桃口味</t>
  </si>
  <si>
    <t>兒童含鈣健齒噴霧 水蜜桃口味</t>
  </si>
  <si>
    <t>2021-06-17 22:46:03</t>
  </si>
  <si>
    <t>W385RT2106178940</t>
  </si>
  <si>
    <t>林怡君</t>
  </si>
  <si>
    <t>0939801122</t>
  </si>
  <si>
    <t>新北市新店區安興路31巷4號</t>
  </si>
  <si>
    <t>2021-06-17 20:55:58</t>
  </si>
  <si>
    <t>W311SH2106170614</t>
  </si>
  <si>
    <t>蕭佩如</t>
  </si>
  <si>
    <t>0916764954</t>
  </si>
  <si>
    <t>CM-KJSET3</t>
  </si>
  <si>
    <t>【專屬B組】無糖QQ凍3入組 口味任選</t>
  </si>
  <si>
    <t>WACA-CM-000011</t>
  </si>
  <si>
    <t>新北市淡水區新市五路三段260號15樓</t>
  </si>
  <si>
    <t>2021-06-17 17:28:47</t>
  </si>
  <si>
    <t>W311UU2106174210</t>
  </si>
  <si>
    <t>連欣儀</t>
  </si>
  <si>
    <t>0975361995</t>
  </si>
  <si>
    <t>葡萄口味2盒+多多口味1盒</t>
  </si>
  <si>
    <t>WACA-CM-000020</t>
  </si>
  <si>
    <t>新竹市北區武陵路179巷12號6樓之1</t>
  </si>
  <si>
    <t>CM-PP-FTP-2</t>
  </si>
  <si>
    <t>【專屬F組】防蛀修護牙膏(含氟) (葡萄/草莓口味)任選2入</t>
  </si>
  <si>
    <t>葡萄口味1入+ 草莓口味1入</t>
  </si>
  <si>
    <t>WACA-CM-000049</t>
  </si>
  <si>
    <t>FG-PP-KQ12-GP</t>
  </si>
  <si>
    <t>【贈品】無糖QQ糖葡萄口味 30g/12入</t>
  </si>
  <si>
    <t>2021-06-17 17:10:35</t>
  </si>
  <si>
    <t>W131LW2106171236</t>
  </si>
  <si>
    <t>顏健程</t>
  </si>
  <si>
    <t>0928195983</t>
  </si>
  <si>
    <t>雲林縣元長鄉鹿北村竹圍14號</t>
  </si>
  <si>
    <t>貨到先電聯</t>
  </si>
  <si>
    <t>2021-06-17 16:54:05</t>
  </si>
  <si>
    <t>W385VL2106177872</t>
  </si>
  <si>
    <t>鄭詩韻</t>
  </si>
  <si>
    <t>0953548520</t>
  </si>
  <si>
    <t>多多口味2盒+葡萄口味1盒</t>
  </si>
  <si>
    <t>WACA-PAW-000133</t>
  </si>
  <si>
    <t>臺北市文山區木柵路四段159巷174-1號4樓</t>
  </si>
  <si>
    <t>PP-FTP-SET</t>
  </si>
  <si>
    <t>防蛀修護牙膏(含氟) (葡萄/草莓口味)任選2入</t>
  </si>
  <si>
    <t>含氟牙膏【葡萄口味1入】+ 【草莓口味1入】</t>
  </si>
  <si>
    <t>WACA-PAW-000033</t>
  </si>
  <si>
    <t>2021-06-17 15:35:25</t>
  </si>
  <si>
    <t>W385VA2106176798</t>
  </si>
  <si>
    <t>朱慧宣</t>
  </si>
  <si>
    <t>0975638091</t>
  </si>
  <si>
    <t>新北市新店區安豐路30號</t>
  </si>
  <si>
    <t>兒童牙菌斑檢測漱口水 170g 泡泡糖口味</t>
  </si>
  <si>
    <t>GP</t>
  </si>
  <si>
    <t>T-SPRAY 口腔清新噴劑加強版 10ml 黃金香柚</t>
  </si>
  <si>
    <t>黃金香柚口味</t>
  </si>
  <si>
    <t>2021-06-17 14:06:53</t>
  </si>
  <si>
    <t>W385GE2106172582</t>
  </si>
  <si>
    <t>吳鈺慈</t>
  </si>
  <si>
    <t>0922230413</t>
  </si>
  <si>
    <t>臺中市西屯區市政北五路270號8F-1</t>
  </si>
  <si>
    <t>2021-06-17 10:47:22</t>
  </si>
  <si>
    <t>W801VR2106173891</t>
  </si>
  <si>
    <t>方芓茜</t>
  </si>
  <si>
    <t>0900494116</t>
  </si>
  <si>
    <t>AFTEE先享後付</t>
  </si>
  <si>
    <t>桃園市桃園區忠五路88號3樓-1</t>
  </si>
  <si>
    <t>健齒QQ糖 葡萄口味【2入】+ 多多口味【1入】</t>
  </si>
  <si>
    <t>WACA-KIDS-000113</t>
  </si>
  <si>
    <t>2021-06-17 09:19:19</t>
  </si>
  <si>
    <t>W311AS2106175315</t>
  </si>
  <si>
    <t>陳香陵</t>
  </si>
  <si>
    <t>0903112584</t>
  </si>
  <si>
    <t>雲林縣二崙鄉湳仔村湳子路5之2號</t>
  </si>
  <si>
    <t>PP-TP-ST</t>
  </si>
  <si>
    <t>含鈣健齒牙膏(無氟)  (草莓口味)</t>
  </si>
  <si>
    <t>汪汪隊立大功X無氟牙膏草莓口味</t>
  </si>
  <si>
    <t>防蛀修護牙膏(含氟) (草莓口味)</t>
  </si>
  <si>
    <t>KQ35-GR</t>
  </si>
  <si>
    <t>無糖QQ糖 葡萄口味 35顆裝/包</t>
  </si>
  <si>
    <t>QQ糖【葡萄口味1包】</t>
  </si>
  <si>
    <t>2021-06-21 02:51:55</t>
  </si>
  <si>
    <t>W385SX2106211537</t>
  </si>
  <si>
    <t>游雅婷</t>
  </si>
  <si>
    <t>0919634018</t>
  </si>
  <si>
    <t>K01-MK</t>
  </si>
  <si>
    <t>兒童含鈣健齒噴霧 20ml 牛奶口味</t>
  </si>
  <si>
    <t>兒童含鈣健齒噴霧 牛奶口味</t>
  </si>
  <si>
    <t>新北市汐止區康寧街447-5號8樓</t>
  </si>
  <si>
    <t>【加購】齒妍堂 Toothfilm 兒童萬毛牙刷 3入/組</t>
  </si>
  <si>
    <t>2021-06-21 00:39:08</t>
  </si>
  <si>
    <t>W311AR2106215075</t>
  </si>
  <si>
    <t>盧淑芬</t>
  </si>
  <si>
    <t>0930307856</t>
  </si>
  <si>
    <t>臺東縣臺東市卑南鄉龍泉路30號</t>
  </si>
  <si>
    <t>2021-06-20 23:52:13</t>
  </si>
  <si>
    <t>W385YQ2106205735</t>
  </si>
  <si>
    <t>劉育蘋</t>
  </si>
  <si>
    <t>0933200619</t>
  </si>
  <si>
    <t>K01-ST</t>
  </si>
  <si>
    <t>兒童含鈣健齒噴霧 20ml 草莓口味</t>
  </si>
  <si>
    <t>兒童含鈣健齒噴霧 草莓口味</t>
  </si>
  <si>
    <t>臺中市西屯區環中路三段69號26樓之1</t>
  </si>
  <si>
    <t>PP-FMW-FTP-SET</t>
  </si>
  <si>
    <t>【含氟】漱口水 + 牙膏 口味任選(各1入)</t>
  </si>
  <si>
    <t>含氟漱口水【葡萄口味1入】+含氟牙膏【草莓口味1入】</t>
  </si>
  <si>
    <t>WACA-PAW-000028</t>
  </si>
  <si>
    <t>2021-06-20 22:36:56</t>
  </si>
  <si>
    <t>W385YG2106200195</t>
  </si>
  <si>
    <t>劉芷伶</t>
  </si>
  <si>
    <t>0920202884</t>
  </si>
  <si>
    <t>KDC01+K02SET</t>
  </si>
  <si>
    <t xml:space="preserve">含鈣健齒噴霧2入(口味任選)+口腔清潔棒 30入 </t>
  </si>
  <si>
    <t>滅菌棉棒30支+水蜜桃1入+葡萄1入</t>
  </si>
  <si>
    <t>WACA-KIDS-000087</t>
  </si>
  <si>
    <t>嘉義縣竹崎鄉內埔村元興路140號</t>
  </si>
  <si>
    <t>2021-06-20 20:47:03</t>
  </si>
  <si>
    <t>W311RM2106201250</t>
  </si>
  <si>
    <t>江秋逸</t>
  </si>
  <si>
    <t>0978015625</t>
  </si>
  <si>
    <t>桃園市蘆竹區文新街345巷85號</t>
  </si>
  <si>
    <t>2021-06-20 20:43:50</t>
  </si>
  <si>
    <t>W382PC2106201266</t>
  </si>
  <si>
    <t>黃詩婷</t>
  </si>
  <si>
    <t>0981625905</t>
  </si>
  <si>
    <t>臺南市永康區勝學路260巷18號11樓之五</t>
  </si>
  <si>
    <t>管理員代收</t>
  </si>
  <si>
    <t>2021-06-20 19:39:58</t>
  </si>
  <si>
    <t>W385LE2106208764</t>
  </si>
  <si>
    <t>林美雯</t>
  </si>
  <si>
    <t>0911220836</t>
  </si>
  <si>
    <t>WACA-CM-000019</t>
  </si>
  <si>
    <t>臺北市大安區忠孝東路三段217巷5弄14號5樓</t>
  </si>
  <si>
    <t>WACA-CM-000013</t>
  </si>
  <si>
    <t>2021-06-20 18:46:33</t>
  </si>
  <si>
    <t>W311MV2106208427</t>
  </si>
  <si>
    <t>楊凱茹</t>
  </si>
  <si>
    <t>0983880189</t>
  </si>
  <si>
    <t>南投縣竹山鎮中坑路193號</t>
  </si>
  <si>
    <t>2021-06-20 17:32:07</t>
  </si>
  <si>
    <t>W385BL2106205598</t>
  </si>
  <si>
    <t>花珮倩</t>
  </si>
  <si>
    <t>0972054634</t>
  </si>
  <si>
    <t>臺中市沙鹿區保成五街130巷56號</t>
  </si>
  <si>
    <t>健齒QQ糖 草莓口味【2入】+ 葡萄口味【1入】</t>
  </si>
  <si>
    <t>WACA-KIDS-000117</t>
  </si>
  <si>
    <t>2021-06-20 14:19:56</t>
  </si>
  <si>
    <t>W385ZS2106201967</t>
  </si>
  <si>
    <t>含氟漱口水【莓果口味1入】+含氟牙膏【葡萄口味1入】</t>
  </si>
  <si>
    <t>WACA-PAW-000030</t>
  </si>
  <si>
    <t>2021-06-20 12:34:26</t>
  </si>
  <si>
    <t>W311ZA2106206992</t>
  </si>
  <si>
    <t>章淑貞</t>
  </si>
  <si>
    <t>0927395706</t>
  </si>
  <si>
    <t>臺中市東區自由路三段10號9樓之8</t>
  </si>
  <si>
    <t>KBVIP50</t>
  </si>
  <si>
    <t>騎士堡專屬折扣</t>
  </si>
  <si>
    <t>2021-06-19 23:12:17</t>
  </si>
  <si>
    <t>W311WE2106192702</t>
  </si>
  <si>
    <t>吳渙延</t>
  </si>
  <si>
    <t>0981010817</t>
  </si>
  <si>
    <t>CM-KQ+KJ</t>
  </si>
  <si>
    <t>【專屬C組】無糖QQ凍3入組+無糖QQ糖3入組</t>
  </si>
  <si>
    <t>QQ凍荔枝+多多+葡萄+QQ糖草莓+多多+葡萄</t>
  </si>
  <si>
    <t>WACA-CM-000021</t>
  </si>
  <si>
    <t>新北市新莊區新北大道三段43號18樓</t>
  </si>
  <si>
    <t>KQ12-C</t>
  </si>
  <si>
    <t>【加購】齒妍堂無糖Q軟糖 洛神蔓越莓口味 12顆/入</t>
  </si>
  <si>
    <t>無糖Q軟糖 【洛神蔓越莓口味】</t>
  </si>
  <si>
    <t>2021-06-19 23:03:35</t>
  </si>
  <si>
    <t>W382VJ2106193927</t>
  </si>
  <si>
    <t>邱怡婷</t>
  </si>
  <si>
    <t>0938779858</t>
  </si>
  <si>
    <t>CM-K01-2+KDC</t>
  </si>
  <si>
    <t>【專屬D組】含鈣健齒噴霧2入(口味任選)+口腔清潔棒 60入</t>
  </si>
  <si>
    <t>滅菌棉棒60支+草莓噴噴1入+葡萄噴噴1入</t>
  </si>
  <si>
    <t>WACA-CM-000040</t>
  </si>
  <si>
    <t>高雄市大社區保安里大社路85-13號</t>
  </si>
  <si>
    <t>2021-06-19 21:49:09</t>
  </si>
  <si>
    <t>W382UN2106194044</t>
  </si>
  <si>
    <t>廖可卉</t>
  </si>
  <si>
    <t>0975802030</t>
  </si>
  <si>
    <t>臺中市南區工學北路355號7樓之二</t>
  </si>
  <si>
    <t>2021-06-19 20:17:44</t>
  </si>
  <si>
    <t>W385CM2106198451</t>
  </si>
  <si>
    <t>齊于萱</t>
  </si>
  <si>
    <t>0980846526</t>
  </si>
  <si>
    <t>CM-K01-4</t>
  </si>
  <si>
    <t>【專屬H組】含鈣健齒噴霧4入(口味任選)</t>
  </si>
  <si>
    <t>牛奶+草莓+水蜜桃+葡萄噴噴各1入</t>
  </si>
  <si>
    <t>WACA-CM-000064</t>
  </si>
  <si>
    <t>桃園市中壢區龍東路66-29號2樓</t>
  </si>
  <si>
    <t>2021-06-19 19:15:56</t>
  </si>
  <si>
    <t>W385KC2106198004</t>
  </si>
  <si>
    <t>鄭婷方</t>
  </si>
  <si>
    <t>0920880609</t>
  </si>
  <si>
    <t>高雄市鼓山區龍德路263巷8號2樓</t>
  </si>
  <si>
    <t>2021-06-19 18:26:18</t>
  </si>
  <si>
    <t>W382FD2106194144</t>
  </si>
  <si>
    <t>張纈齡</t>
  </si>
  <si>
    <t>0910262240</t>
  </si>
  <si>
    <t>PP-KJ10-GR</t>
  </si>
  <si>
    <t>無糖QQ凍 葡萄口味 10入裝/盒</t>
  </si>
  <si>
    <t>葡萄口味1盒</t>
  </si>
  <si>
    <t>桃園市八德區中山路111巷7弄17號</t>
  </si>
  <si>
    <t>含鈣健齒牙膏(無氟) (橘子口味)</t>
  </si>
  <si>
    <t>KQ35</t>
  </si>
  <si>
    <t>無糖QQ糖 乳酸多多口味 35顆裝/包</t>
  </si>
  <si>
    <t>QQ糖 【多多口味1包】</t>
  </si>
  <si>
    <t>2021-06-19 17:57:14</t>
  </si>
  <si>
    <t>W385CY2106194576</t>
  </si>
  <si>
    <t>廖佳芳</t>
  </si>
  <si>
    <t>0935002157</t>
  </si>
  <si>
    <t>新北市汐止區東勢街201巷129弄55號7樓</t>
  </si>
  <si>
    <t>2021-06-19 15:53:45</t>
  </si>
  <si>
    <t>W131UT2106190582</t>
  </si>
  <si>
    <t>黃皓瑜</t>
  </si>
  <si>
    <t>0987720330</t>
  </si>
  <si>
    <t>臺中市大里區長興一街8號19樓-3</t>
  </si>
  <si>
    <t>KQ35-ST</t>
  </si>
  <si>
    <t>無糖QQ糖 草莓口味 35顆裝/包</t>
  </si>
  <si>
    <t>QQ糖【草莓口味1包】</t>
  </si>
  <si>
    <t>KQ12-SET3</t>
  </si>
  <si>
    <t>【大人の軟糖】無糖Q軟糖3入組 口味任選 12顆/入</t>
  </si>
  <si>
    <t>果香玫瑰+麝香葡萄+洛神蔓越莓</t>
  </si>
  <si>
    <t>WACA-ADU-000004</t>
  </si>
  <si>
    <t>2021-06-19 13:11:11</t>
  </si>
  <si>
    <t>W131IU2106190154</t>
  </si>
  <si>
    <t>劉婷雅</t>
  </si>
  <si>
    <t>0983020899</t>
  </si>
  <si>
    <t>臺中市北區進化北路363號16F-7</t>
  </si>
  <si>
    <t>含氟牙膏【葡萄口味2入】</t>
  </si>
  <si>
    <t>WACA-PAW-000032</t>
  </si>
  <si>
    <t>2021-06-19 12:54:52</t>
  </si>
  <si>
    <t>W311TK2106192885</t>
  </si>
  <si>
    <t>杜雅婷</t>
  </si>
  <si>
    <t>0955955490</t>
  </si>
  <si>
    <t>DG120</t>
  </si>
  <si>
    <t>【T-PET】狗狗潔牙凝膠 120mL</t>
  </si>
  <si>
    <t>狗狗潔牙凝膠 120mL</t>
  </si>
  <si>
    <t>臺北市中山區長安東路一段53巷1-5號6樓-5</t>
  </si>
  <si>
    <t>2021-06-19 11:53:28</t>
  </si>
  <si>
    <t>W385WF2106199389</t>
  </si>
  <si>
    <t>張蕙如</t>
  </si>
  <si>
    <t>0909689996</t>
  </si>
  <si>
    <t>高雄市鳳山區澄清路129巷33弄1號</t>
  </si>
  <si>
    <t>PP-KJ10-LI</t>
  </si>
  <si>
    <t>無糖QQ凍 荔枝口味 10入裝/盒</t>
  </si>
  <si>
    <t>荔枝口味1盒</t>
  </si>
  <si>
    <t>KQ12-R</t>
  </si>
  <si>
    <t>【大人味】無糖Q軟糖 果香玫瑰口味 12顆/入</t>
  </si>
  <si>
    <t>無糖Q軟糖 【果香玫瑰口味】</t>
  </si>
  <si>
    <t>2021-06-19 11:42:37</t>
  </si>
  <si>
    <t>W131JU2106198887</t>
  </si>
  <si>
    <t>彭麗玲</t>
  </si>
  <si>
    <t>0911014748</t>
  </si>
  <si>
    <t>彰化縣埔心鄉瑤鳳路一段357號</t>
  </si>
  <si>
    <t>2021-06-19 09:37:28</t>
  </si>
  <si>
    <t>W385US2106197061</t>
  </si>
  <si>
    <t>鄭亦庭</t>
  </si>
  <si>
    <t>0960136960</t>
  </si>
  <si>
    <t>新北市汐止區福德二路77號12樓之一</t>
  </si>
  <si>
    <t>水蜜桃噴噴4入</t>
  </si>
  <si>
    <t>WACA-CM-000063</t>
  </si>
  <si>
    <t>2021-06-19 08:01:56</t>
  </si>
  <si>
    <t>W385TJ2106194727</t>
  </si>
  <si>
    <t>李亦葶</t>
  </si>
  <si>
    <t>0920156248</t>
  </si>
  <si>
    <t>雲林縣西螺鎮西興南路77巷27號</t>
  </si>
  <si>
    <t>PP-TB-4</t>
  </si>
  <si>
    <t>兒童萬毛牙刷4組(12入)</t>
  </si>
  <si>
    <t>萬毛牙刷【4組】</t>
  </si>
  <si>
    <t>WACA-PAW-000040</t>
  </si>
  <si>
    <t>PP-TP2-TB</t>
  </si>
  <si>
    <t>兒童萬毛牙刷(3入)+ 無氟牙膏(任選2入)</t>
  </si>
  <si>
    <t>萬毛牙刷【1組】+無氟牙膏【葡萄口味1入】+【草莓口味1入】</t>
  </si>
  <si>
    <t>WACA-PAW-000060</t>
  </si>
  <si>
    <t>2021-06-18 23:03:28</t>
  </si>
  <si>
    <t>W131MI2106180903</t>
  </si>
  <si>
    <t>吳昭儀</t>
  </si>
  <si>
    <t>0926000668</t>
  </si>
  <si>
    <t>新北市林口區工九路26號</t>
  </si>
  <si>
    <t>2021-06-18 18:40:35</t>
  </si>
  <si>
    <t>W311MB2106184077</t>
  </si>
  <si>
    <t>郭玟君</t>
  </si>
  <si>
    <t>0929909800</t>
  </si>
  <si>
    <t>CM-KQSET3</t>
  </si>
  <si>
    <t>【專屬A組】QQ糖口味任選3入組</t>
  </si>
  <si>
    <t>無糖QQ糖 草莓/葡萄/多多口味【各1入】</t>
  </si>
  <si>
    <t>WACA-CM-000001</t>
  </si>
  <si>
    <t>新北市蘆洲區中正路73號21樓</t>
  </si>
  <si>
    <t>CM-PP-MW-FMW</t>
  </si>
  <si>
    <t>【專屬G組】漱口水(含氟/無氟)任選2入</t>
  </si>
  <si>
    <t>含氟漱口水【莓果口味1入】+【葡萄口味1入】</t>
  </si>
  <si>
    <t>WACA-CM-000052</t>
  </si>
  <si>
    <t>2021-06-18 17:41:35</t>
  </si>
  <si>
    <t>W385IR2106183601</t>
  </si>
  <si>
    <t>蔡佩蓉</t>
  </si>
  <si>
    <t>0927756783</t>
  </si>
  <si>
    <t>WACA-CM-000012</t>
  </si>
  <si>
    <t>新北市新店區安康路二段242巷7號3樓</t>
  </si>
  <si>
    <t>QQ凍葡萄3入+QQ糖草莓3入</t>
  </si>
  <si>
    <t>WACA-CM-000028</t>
  </si>
  <si>
    <t>2021-06-18 15:28:35</t>
  </si>
  <si>
    <t>W385IB2106189899</t>
  </si>
  <si>
    <t>楊宜靜</t>
  </si>
  <si>
    <t>0911381723</t>
  </si>
  <si>
    <t>彰化縣員林市柳橋路二段45號順佳興</t>
  </si>
  <si>
    <t>【加購】無糖益生菌QQ凍 乳酸多多口味 10入裝/盒</t>
  </si>
  <si>
    <t>2021-06-18 14:49:42</t>
  </si>
  <si>
    <t>W385QS2106182738</t>
  </si>
  <si>
    <t>陳櫻文</t>
  </si>
  <si>
    <t>0970158259</t>
  </si>
  <si>
    <t>桃園市桃園區經國路316號12樓</t>
  </si>
  <si>
    <t>2021-06-18 14:02:04</t>
  </si>
  <si>
    <t>W382SJ2106185997</t>
  </si>
  <si>
    <t>吳盈儀</t>
  </si>
  <si>
    <t>0988012510</t>
  </si>
  <si>
    <t>高雄市仁武區八德東路1002號</t>
  </si>
  <si>
    <t>2021-06-18 13:08:34</t>
  </si>
  <si>
    <t>W801MK2106187697</t>
  </si>
  <si>
    <t>陳筱希</t>
  </si>
  <si>
    <t>0909578181</t>
  </si>
  <si>
    <t>屏東縣潮州鎮彭城里彭城二巷11號</t>
  </si>
  <si>
    <t>2021-06-18 13:05:55</t>
  </si>
  <si>
    <t>W385RB2106187274</t>
  </si>
  <si>
    <t>張偉慧</t>
  </si>
  <si>
    <t>0922336815</t>
  </si>
  <si>
    <t>臺北市內湖區文德路90巷34號5樓之2</t>
  </si>
  <si>
    <t>WACA-CM-000016</t>
  </si>
  <si>
    <t>ABHS-1</t>
  </si>
  <si>
    <t>【安家佳】抗菌洗手露</t>
  </si>
  <si>
    <t>抗菌洗手露 【1入】</t>
  </si>
  <si>
    <t>2021-06-18 11:18:40</t>
  </si>
  <si>
    <t>W385EI2106181024</t>
  </si>
  <si>
    <t>陳玠吟</t>
  </si>
  <si>
    <t>0972009357</t>
  </si>
  <si>
    <t>臺北市內湖區麗山街105巷5號9樓</t>
  </si>
  <si>
    <t>2021-06-18 10:47:36</t>
  </si>
  <si>
    <t>W382JG2106189839</t>
  </si>
  <si>
    <t>尤藝潔</t>
  </si>
  <si>
    <t>0985533629</t>
  </si>
  <si>
    <t>滅菌棉棒60支+水蜜桃噴噴2入</t>
  </si>
  <si>
    <t>WACA-CM-000034</t>
  </si>
  <si>
    <t>雲林縣斗南鎮民生路54號8樓之3</t>
  </si>
  <si>
    <t>管理室代收</t>
  </si>
  <si>
    <t>2021-06-18 10:35:29</t>
  </si>
  <si>
    <t>W382TR2106180968</t>
  </si>
  <si>
    <t>無氟漱口水【莓果口味2入】</t>
  </si>
  <si>
    <t>WACA-CM-000054</t>
  </si>
  <si>
    <t>2021-06-18 09:36:14</t>
  </si>
  <si>
    <t>W385ZQ2106180012</t>
  </si>
  <si>
    <t>蔡宛庭</t>
  </si>
  <si>
    <t>0973087400</t>
  </si>
  <si>
    <t>草莓噴噴4入</t>
  </si>
  <si>
    <t>WACA-CM-000061</t>
  </si>
  <si>
    <t>新北市土城區福安街30-8號1樓</t>
  </si>
  <si>
    <t>2021-06-15 09:26:11</t>
  </si>
  <si>
    <t>W387XP2106154129</t>
  </si>
  <si>
    <t>朱怡寧</t>
  </si>
  <si>
    <t>0917366032</t>
  </si>
  <si>
    <t>綠界7-11取貨(大宗)</t>
  </si>
  <si>
    <t>綠界 7-11(大宗寄倉) 取貨付款</t>
  </si>
  <si>
    <t>出貨作業</t>
  </si>
  <si>
    <t>福原門市</t>
  </si>
  <si>
    <t>花蓮縣花蓮市中原路328號1樓</t>
  </si>
  <si>
    <t>2021-06-15 09:49:43</t>
  </si>
  <si>
    <t>W387JH2106154503</t>
  </si>
  <si>
    <t>雷堯淩</t>
  </si>
  <si>
    <t>0919922839</t>
  </si>
  <si>
    <t>北霆門市</t>
  </si>
  <si>
    <t>新北市三峽區大同路244號1樓</t>
  </si>
  <si>
    <t>2021-06-15 10:02:46</t>
  </si>
  <si>
    <t>W387NI2106152875</t>
  </si>
  <si>
    <t>陳韻淳</t>
  </si>
  <si>
    <t>0975344611</t>
  </si>
  <si>
    <t>昌平門市</t>
  </si>
  <si>
    <t>台中市北屯區昌平路一段70號</t>
  </si>
  <si>
    <t>2021-06-15 10:24:48</t>
  </si>
  <si>
    <t>W387ST2106156805</t>
  </si>
  <si>
    <t>呂慧瑜</t>
  </si>
  <si>
    <t>0977237086</t>
  </si>
  <si>
    <t>星月門市</t>
  </si>
  <si>
    <t>雲林縣口湖鄉福安路26-3號</t>
  </si>
  <si>
    <t>含氟漱口水【葡萄口味1入】+含氟牙膏【葡萄口味1入】</t>
  </si>
  <si>
    <t>WACA-PAW-000027</t>
  </si>
  <si>
    <t>2021-06-15 10:33:02</t>
  </si>
  <si>
    <t>W311ED2106156124</t>
  </si>
  <si>
    <t>林玉玲</t>
  </si>
  <si>
    <t>0972498449</t>
  </si>
  <si>
    <t>潮昇門市</t>
  </si>
  <si>
    <t>屏東縣潮州鎮三和里延平路189號1樓</t>
  </si>
  <si>
    <t>PP-MW-BG</t>
  </si>
  <si>
    <t>含鈣健齒漱口水(無氟) (泡泡糖口味)</t>
  </si>
  <si>
    <t>無氟漱口水【泡泡糖口味1入】</t>
  </si>
  <si>
    <t>WACA-PAW-000135</t>
  </si>
  <si>
    <t>2021-06-15 13:04:12</t>
  </si>
  <si>
    <t>W387BL2106159068</t>
  </si>
  <si>
    <t>黃婉茹</t>
  </si>
  <si>
    <t>0926472896</t>
  </si>
  <si>
    <t>含氟漱口水【莓果口味1入】+含氟牙膏【草莓口味1入】</t>
  </si>
  <si>
    <t>WACA-PAW-000029</t>
  </si>
  <si>
    <t>環安門市</t>
  </si>
  <si>
    <t>台南市安南區長和路二段12巷272號</t>
  </si>
  <si>
    <t>2021-06-15 14:32:50</t>
  </si>
  <si>
    <t>W387XW2106157542</t>
  </si>
  <si>
    <t>吳佩錡</t>
  </si>
  <si>
    <t>0955970398</t>
  </si>
  <si>
    <t>長治門市</t>
  </si>
  <si>
    <t>屏東縣長治鄉新潭村長興路13號1樓</t>
  </si>
  <si>
    <t>2021-06-15 15:03:53</t>
  </si>
  <si>
    <t>W387MM2106158052</t>
  </si>
  <si>
    <t>黃惠琳</t>
  </si>
  <si>
    <t>0952872833</t>
  </si>
  <si>
    <t>大潭門市</t>
  </si>
  <si>
    <t>台南市歸仁區大潭里長榮路一段320巷11號</t>
  </si>
  <si>
    <t>2021-06-15 15:28:54</t>
  </si>
  <si>
    <t>W387PB2106157473</t>
  </si>
  <si>
    <t>金湘穎</t>
  </si>
  <si>
    <t>0985906686</t>
  </si>
  <si>
    <t>桃朋門市</t>
  </si>
  <si>
    <t>桃園市桃園區大興西路二段1號1樓</t>
  </si>
  <si>
    <t>2021-06-15 15:43:22</t>
  </si>
  <si>
    <t>W387UU2106155935</t>
  </si>
  <si>
    <t>謝佩珈</t>
  </si>
  <si>
    <t>0958924776</t>
  </si>
  <si>
    <t>馬賽門市</t>
  </si>
  <si>
    <t>宜蘭縣蘇澳鎮永榮里馬賽路151號</t>
  </si>
  <si>
    <t>2021-06-15 19:45:06</t>
  </si>
  <si>
    <t>W387BK2106157292</t>
  </si>
  <si>
    <t>王敏容</t>
  </si>
  <si>
    <t>0989075550</t>
  </si>
  <si>
    <t>沙鹿中山門市</t>
  </si>
  <si>
    <t>台中市沙鹿區中山路198號</t>
  </si>
  <si>
    <t>2021-06-15 21:47:52</t>
  </si>
  <si>
    <t>W387VM2106154997</t>
  </si>
  <si>
    <t>陳佳旻</t>
  </si>
  <si>
    <t>0911707755</t>
  </si>
  <si>
    <t>乳酸多多QQ糖1包+牛奶1入+草莓1入</t>
  </si>
  <si>
    <t>WACA-KIDS-000013</t>
  </si>
  <si>
    <t>社集門市</t>
  </si>
  <si>
    <t>彰化縣社頭鄉員集路一段臨351號</t>
  </si>
  <si>
    <t>2021-06-15 22:50:05</t>
  </si>
  <si>
    <t>W387QG2106151821</t>
  </si>
  <si>
    <t>劉湘芸</t>
  </si>
  <si>
    <t>0989707617</t>
  </si>
  <si>
    <t>DS300</t>
  </si>
  <si>
    <t>【T-PET】寵物環境消臭噴霧</t>
  </si>
  <si>
    <t>寵物環境消臭噴霧 【1入】</t>
  </si>
  <si>
    <t>民樂門市</t>
  </si>
  <si>
    <t>雲林縣北港鎮華勝里28鄰民樂路39號</t>
  </si>
  <si>
    <t>【限量加購】T-PET 迪貝多 寵物全效毛髮潔淨液</t>
  </si>
  <si>
    <t>GDW50</t>
  </si>
  <si>
    <t>【T-PET】寵物清潔萬用棉</t>
  </si>
  <si>
    <t>寵物清潔萬用棉</t>
  </si>
  <si>
    <t>2021-06-15 23:06:34</t>
  </si>
  <si>
    <t>W387KF2106151727</t>
  </si>
  <si>
    <t>李秀儀</t>
  </si>
  <si>
    <t>0937261942</t>
  </si>
  <si>
    <t>德南門市</t>
  </si>
  <si>
    <t>台南市仁德區中正路二段224號</t>
  </si>
  <si>
    <t>2021-06-15 23:07:09</t>
  </si>
  <si>
    <t>W387YP2106156540</t>
  </si>
  <si>
    <t>胡玉霞</t>
  </si>
  <si>
    <t>0931115133</t>
  </si>
  <si>
    <t>京富門市</t>
  </si>
  <si>
    <t>高雄市仁武區八卦里八德南路382號1樓</t>
  </si>
  <si>
    <t>2021-06-16 03:18:06</t>
  </si>
  <si>
    <t>W387LV2106167141</t>
  </si>
  <si>
    <t>蔡依玲</t>
  </si>
  <si>
    <t>0978165193</t>
  </si>
  <si>
    <t>新大業門市</t>
  </si>
  <si>
    <t>嘉義市東區安寮里24鄰吳鳳南路194號</t>
  </si>
  <si>
    <t>2021-06-16 03:27:51</t>
  </si>
  <si>
    <t>W387LW2106169936</t>
  </si>
  <si>
    <t>潘宣蓉</t>
  </si>
  <si>
    <t>0917077266</t>
  </si>
  <si>
    <t>滅菌棉棒30支+草莓1入+葡萄1入</t>
  </si>
  <si>
    <t>WACA-KIDS-000094</t>
  </si>
  <si>
    <t>球場門市</t>
  </si>
  <si>
    <t>高雄市鳥松區本館路196號1樓</t>
  </si>
  <si>
    <t>2021-06-16 05:21:01</t>
  </si>
  <si>
    <t>W387IX2106167184</t>
  </si>
  <si>
    <t>陳欣穎</t>
  </si>
  <si>
    <t>0903305302</t>
  </si>
  <si>
    <t>冠盈門市</t>
  </si>
  <si>
    <t>新竹市北區西濱路一段286號</t>
  </si>
  <si>
    <t>2021-06-16 05:59:26</t>
  </si>
  <si>
    <t>W311AC2106167708</t>
  </si>
  <si>
    <t>劉映彤</t>
  </si>
  <si>
    <t>0975923850</t>
  </si>
  <si>
    <t>易仕門市</t>
  </si>
  <si>
    <t>桃園市龍潭區中豐路695巷2-1號</t>
  </si>
  <si>
    <t>2021-06-16 06:54:00</t>
  </si>
  <si>
    <t>W387MX2106169429</t>
  </si>
  <si>
    <t>劉伊瑄</t>
  </si>
  <si>
    <t>0919787227</t>
  </si>
  <si>
    <t>PP-FMW-SET-5</t>
  </si>
  <si>
    <t>【團購組】防蛀修護漱口水(含氟) (葡萄/莓果口味)任選5入</t>
  </si>
  <si>
    <t>含氟漱口水【莓果口味2入】+【葡萄口味3入】</t>
  </si>
  <si>
    <t>WACA-PAW-000048</t>
  </si>
  <si>
    <t>奇勝門市</t>
  </si>
  <si>
    <t>台南市仁德區新田里勝利路139號</t>
  </si>
  <si>
    <t>2021-06-16 08:46:14</t>
  </si>
  <si>
    <t>W387JC2106168245</t>
  </si>
  <si>
    <t>孔惠琳</t>
  </si>
  <si>
    <t>0931250066</t>
  </si>
  <si>
    <t>KDC10+K02SET</t>
  </si>
  <si>
    <t>含鈣健齒噴霧 (口味任選)+口腔清潔棒10入</t>
  </si>
  <si>
    <t>滅菌棉棒10支+牛奶1入+草莓1入</t>
  </si>
  <si>
    <t>WACA-KIDS-000072</t>
  </si>
  <si>
    <t>鼎東門市</t>
  </si>
  <si>
    <t>屏東縣東港鎮興東里中正路二段491號1樓</t>
  </si>
  <si>
    <t>2021-06-16 10:03:20</t>
  </si>
  <si>
    <t>W387IG2106168550</t>
  </si>
  <si>
    <t>陳詩郁</t>
  </si>
  <si>
    <t>0919044761</t>
  </si>
  <si>
    <t>關西門市</t>
  </si>
  <si>
    <t>新竹縣關西鎮正義路286-1號</t>
  </si>
  <si>
    <t>2021-06-16 10:03:32</t>
  </si>
  <si>
    <t>W385VJ2106160834</t>
  </si>
  <si>
    <t>郭婉萍</t>
  </si>
  <si>
    <t>0931051646</t>
  </si>
  <si>
    <t>正湧門市</t>
  </si>
  <si>
    <t>桃園市平鎮區正義路82號1樓</t>
  </si>
  <si>
    <t>安家佳 抗菌洗手露</t>
  </si>
  <si>
    <t>2021-06-16 10:15:47</t>
  </si>
  <si>
    <t>W387ZN2106164803</t>
  </si>
  <si>
    <t>李姝溱</t>
  </si>
  <si>
    <t>0905129370</t>
  </si>
  <si>
    <t>友情門市</t>
  </si>
  <si>
    <t>高雄市岡山區大遼里大遼路122-3號</t>
  </si>
  <si>
    <t>2021-06-16 12:12:19</t>
  </si>
  <si>
    <t>W387OA2106169059</t>
  </si>
  <si>
    <t>楊雯倩</t>
  </si>
  <si>
    <t>0926810215</t>
  </si>
  <si>
    <t>慈勝門市</t>
  </si>
  <si>
    <t>花蓮縣吉安鄉自強路52號</t>
  </si>
  <si>
    <t>2021-06-16 13:17:38</t>
  </si>
  <si>
    <t>W387LK2106166519</t>
  </si>
  <si>
    <t>羅佩姍</t>
  </si>
  <si>
    <t>0981425184</t>
  </si>
  <si>
    <t>新兆軒門市</t>
  </si>
  <si>
    <t>嘉義縣水上鄉民生村忠孝街149號151號</t>
  </si>
  <si>
    <t>2021-06-16 13:22:26</t>
  </si>
  <si>
    <t>W387MZ2106167815</t>
  </si>
  <si>
    <t>賴佳銘</t>
  </si>
  <si>
    <t>0955425806</t>
  </si>
  <si>
    <t>新後昌門市</t>
  </si>
  <si>
    <t>高雄市楠梓區錦屏里後昌路115號1樓</t>
  </si>
  <si>
    <t>2021-06-16 13:36:43</t>
  </si>
  <si>
    <t>W387LM2106163263</t>
  </si>
  <si>
    <t>姚明婷</t>
  </si>
  <si>
    <t>0960281011</t>
  </si>
  <si>
    <t>神寶門市</t>
  </si>
  <si>
    <t>台中市神岡區中正路100號</t>
  </si>
  <si>
    <t>PP-MW-BE</t>
  </si>
  <si>
    <t>含鈣健齒漱口水(無氟) (綜合莓果口味)</t>
  </si>
  <si>
    <t>無氟漱口水【綜合莓果口味1入】</t>
  </si>
  <si>
    <t>2021-06-16 14:16:18</t>
  </si>
  <si>
    <t>W387YW2106168867</t>
  </si>
  <si>
    <t>呂嘉文</t>
  </si>
  <si>
    <t>0989468859</t>
  </si>
  <si>
    <t>斗六門市</t>
  </si>
  <si>
    <t>雲林縣斗六市大同路41號</t>
  </si>
  <si>
    <t>2021-06-16 15:31:50</t>
  </si>
  <si>
    <t>W387ZB2106167460</t>
  </si>
  <si>
    <t>温玉伶</t>
  </si>
  <si>
    <t>0988515124</t>
  </si>
  <si>
    <t>長業門市</t>
  </si>
  <si>
    <t>桃園市中壢區長春路23號</t>
  </si>
  <si>
    <t>2021-06-16 15:54:15</t>
  </si>
  <si>
    <t>W387GN2106164834</t>
  </si>
  <si>
    <t>謝佳妏</t>
  </si>
  <si>
    <t>0933397881</t>
  </si>
  <si>
    <t>慶國門市</t>
  </si>
  <si>
    <t>台南市安平區慶平路531號</t>
  </si>
  <si>
    <t>2021-06-16 17:19:51</t>
  </si>
  <si>
    <t>W387ER2106167628</t>
  </si>
  <si>
    <t>劉思吟</t>
  </si>
  <si>
    <t>0932197132</t>
  </si>
  <si>
    <t>仁伯門市</t>
  </si>
  <si>
    <t>台南市仁德區後壁里德安路188號</t>
  </si>
  <si>
    <t>2021-06-16 17:22:33</t>
  </si>
  <si>
    <t>W387RY2106168407</t>
  </si>
  <si>
    <t>洪薇婷</t>
  </si>
  <si>
    <t>0989555740</t>
  </si>
  <si>
    <t>伯爵門市</t>
  </si>
  <si>
    <t>新北市汐止區明峰街13號13之1號1樓</t>
  </si>
  <si>
    <t>無氟漱口水【泡泡糖口味1入】+ 無氟牙膏 【草莓口味1入】</t>
  </si>
  <si>
    <t>WACA-KIDS-000182</t>
  </si>
  <si>
    <t>ABS</t>
  </si>
  <si>
    <t xml:space="preserve">安家佳 抗菌噴霧 </t>
  </si>
  <si>
    <t>抗菌噴霧 【1入】</t>
  </si>
  <si>
    <t>2021-06-16 18:29:49</t>
  </si>
  <si>
    <t>W387JW2106166640</t>
  </si>
  <si>
    <t>林之棋</t>
  </si>
  <si>
    <t>0955679537</t>
  </si>
  <si>
    <t>羚陽門市</t>
  </si>
  <si>
    <t>新北市泰山區泰林路二段302號304號</t>
  </si>
  <si>
    <t>【大人味】無糖Q軟糖 洛神蔓越莓口味 12顆/入</t>
  </si>
  <si>
    <t>2021-06-16 21:26:10</t>
  </si>
  <si>
    <t>W385OZ2106169697</t>
  </si>
  <si>
    <t>張芮瑄</t>
  </si>
  <si>
    <t>0921351733</t>
  </si>
  <si>
    <t>合泰門市</t>
  </si>
  <si>
    <t>嘉義縣大林鎮大美里19鄰大智一街1號</t>
  </si>
  <si>
    <t>2021-06-16 22:16:52</t>
  </si>
  <si>
    <t>W387SP2106162308</t>
  </si>
  <si>
    <t>廖珮妤</t>
  </si>
  <si>
    <t>0911782052</t>
  </si>
  <si>
    <t>PP-MW-SET-5</t>
  </si>
  <si>
    <t>【團購組】含鈣健齒漱口水(無氟) (泡泡糖/綜合莓果口味)任選5入</t>
  </si>
  <si>
    <t>無氟漱口水【泡泡糖口味2入】+【綜合莓果口味3入】</t>
  </si>
  <si>
    <t>WACA-PAW-000043</t>
  </si>
  <si>
    <t>文豐門市</t>
  </si>
  <si>
    <t>台中市南屯區文心南五路ㄧ段319號</t>
  </si>
  <si>
    <t>memberLevel</t>
  </si>
  <si>
    <t>會員 滿 $ 1,000 元，打 99 折</t>
  </si>
  <si>
    <t>2021-06-16 22:54:12</t>
  </si>
  <si>
    <t>W387YQ2106167155</t>
  </si>
  <si>
    <t>李琇琪</t>
  </si>
  <si>
    <t>0980810241</t>
  </si>
  <si>
    <t>臻愛門市</t>
  </si>
  <si>
    <t>桃園市桃園區大業路一段152號</t>
  </si>
  <si>
    <t>2021-06-16 23:47:47</t>
  </si>
  <si>
    <t>W387RH2106163249</t>
  </si>
  <si>
    <t>連梅芬</t>
  </si>
  <si>
    <t>0978093256</t>
  </si>
  <si>
    <t>羅湖門市</t>
  </si>
  <si>
    <t>新竹縣湖口鄉成功路1092號</t>
  </si>
  <si>
    <t>2021-06-17 04:07:27</t>
  </si>
  <si>
    <t>W387YA2106171529</t>
  </si>
  <si>
    <t>張正岡</t>
  </si>
  <si>
    <t>0981261771</t>
  </si>
  <si>
    <t>田中門市</t>
  </si>
  <si>
    <t>彰化縣田中鎮福安路144號146號</t>
  </si>
  <si>
    <t>2021-06-17 09:28:26</t>
  </si>
  <si>
    <t>W387TC2106172751</t>
  </si>
  <si>
    <t>林佩蓉</t>
  </si>
  <si>
    <t>0918837030</t>
  </si>
  <si>
    <t>興源門市</t>
  </si>
  <si>
    <t>桃園市桃園區大興西路二段82號1樓</t>
  </si>
  <si>
    <t>2021-06-17 09:39:13</t>
  </si>
  <si>
    <t>W387IR2106177060</t>
  </si>
  <si>
    <t>林東樑</t>
  </si>
  <si>
    <t>0935313531</t>
  </si>
  <si>
    <t>MASK-KSL</t>
  </si>
  <si>
    <t>金舒樂醫療用口罩 50入 成人款</t>
  </si>
  <si>
    <t>成人款 50入/盒</t>
  </si>
  <si>
    <t>復橫門市</t>
  </si>
  <si>
    <t>高雄市新興區復興一路28號30號32號1樓</t>
  </si>
  <si>
    <t>2021-06-17 10:41:57</t>
  </si>
  <si>
    <t>W385VX2106177080</t>
  </si>
  <si>
    <t>黃詩涵</t>
  </si>
  <si>
    <t>0956948319</t>
  </si>
  <si>
    <t>永玉門市</t>
  </si>
  <si>
    <t>台南市永康區龍潭里永明街175號</t>
  </si>
  <si>
    <t>2021-06-17 11:05:06</t>
  </si>
  <si>
    <t>W387ZY2106172733</t>
  </si>
  <si>
    <t>李敏瑜</t>
  </si>
  <si>
    <t>0928626529</t>
  </si>
  <si>
    <t>滅菌棉棒10支+草莓1入+葡萄1入</t>
  </si>
  <si>
    <t>WACA-KIDS-000074</t>
  </si>
  <si>
    <t>茄安門市</t>
  </si>
  <si>
    <t>新北市汐止區茄苳路259號1樓</t>
  </si>
  <si>
    <t>2021-06-17 18:09:48</t>
  </si>
  <si>
    <t>W387QC2106170137</t>
  </si>
  <si>
    <t>黃佳吟</t>
  </si>
  <si>
    <t>0966105088</t>
  </si>
  <si>
    <t>永愛門市</t>
  </si>
  <si>
    <t>台南市永康區北灣里文賢街80-1號</t>
  </si>
  <si>
    <t>2021-06-17 21:08:37</t>
  </si>
  <si>
    <t>W387MT2106176947</t>
  </si>
  <si>
    <t>林宛怡</t>
  </si>
  <si>
    <t>0978371119</t>
  </si>
  <si>
    <t>京鑫門市</t>
  </si>
  <si>
    <t>南投縣草屯鎮中正路483號</t>
  </si>
  <si>
    <t>2021-06-17 21:48:46</t>
  </si>
  <si>
    <t>W387ZN2106177159</t>
  </si>
  <si>
    <t>李曉瑾</t>
  </si>
  <si>
    <t>0976035405</t>
  </si>
  <si>
    <t>景旺門市</t>
  </si>
  <si>
    <t>新北市中和區成功路1號</t>
  </si>
  <si>
    <t>2021-06-17 22:03:10</t>
  </si>
  <si>
    <t>W382TY2106171535</t>
  </si>
  <si>
    <t>吳鳳琴</t>
  </si>
  <si>
    <t>0916157048</t>
  </si>
  <si>
    <t>銅高門市</t>
  </si>
  <si>
    <t>苗栗縣銅鑼鄉新興路2-26號</t>
  </si>
  <si>
    <t>【加購】齒妍堂 無糖鈣多多QQ凍 荔枝口味 10入裝/盒</t>
  </si>
  <si>
    <t>2021-06-17 22:38:02</t>
  </si>
  <si>
    <t>W387LQ2106170786</t>
  </si>
  <si>
    <t>胡晨綝</t>
  </si>
  <si>
    <t>0985186180</t>
  </si>
  <si>
    <t>廣大門市</t>
  </si>
  <si>
    <t>屏東縣屏東市仁愛里廣東路561號1樓</t>
  </si>
  <si>
    <t>2021-06-17 22:58:15</t>
  </si>
  <si>
    <t>W387AZ2106179464</t>
  </si>
  <si>
    <t>杜怡蓉</t>
  </si>
  <si>
    <t>0952689601</t>
  </si>
  <si>
    <t>坪高門市</t>
  </si>
  <si>
    <t>高雄市小港區高坪二十二路321號</t>
  </si>
  <si>
    <t>2021-06-18 01:23:35</t>
  </si>
  <si>
    <t>W387FF2106184221</t>
  </si>
  <si>
    <t>高佳瑜</t>
  </si>
  <si>
    <t>0955769818</t>
  </si>
  <si>
    <t>松義門市</t>
  </si>
  <si>
    <t>台北市信義區松德路271號</t>
  </si>
  <si>
    <t>2021-06-18 04:18:04</t>
  </si>
  <si>
    <t>W387WJ2106184656</t>
  </si>
  <si>
    <t>薛雅中</t>
  </si>
  <si>
    <t>0938826691</t>
  </si>
  <si>
    <t>博仁門市</t>
  </si>
  <si>
    <t>高雄市前金區五福三路97之1號1樓</t>
  </si>
  <si>
    <t>2021-06-18 05:29:55</t>
  </si>
  <si>
    <t>W387VF2106184444</t>
  </si>
  <si>
    <t>柯媛瑄</t>
  </si>
  <si>
    <t>0922110736</t>
  </si>
  <si>
    <t>聯新門市</t>
  </si>
  <si>
    <t>新竹縣竹北市中正西路602號1樓</t>
  </si>
  <si>
    <t>2021-06-18 06:26:49</t>
  </si>
  <si>
    <t>W387YT2106189303</t>
  </si>
  <si>
    <t>陳嘉恩</t>
  </si>
  <si>
    <t>0987699897</t>
  </si>
  <si>
    <t>含氟漱口水【葡萄口味1入】+無氟漱口水【泡泡糖口味1入】</t>
  </si>
  <si>
    <t>WACA-CM-000056</t>
  </si>
  <si>
    <t>熱天門市</t>
  </si>
  <si>
    <t>台中市北屯區天津路四段68號1樓</t>
  </si>
  <si>
    <t>2021-06-18 07:41:29</t>
  </si>
  <si>
    <t>W387ZG2106182086</t>
  </si>
  <si>
    <t>張裕雯</t>
  </si>
  <si>
    <t>0906681499</t>
  </si>
  <si>
    <t>DS60</t>
  </si>
  <si>
    <t>【T-PET】狗狗濃縮潔齒噴劑</t>
  </si>
  <si>
    <t>狗狗濃縮潔齒噴劑</t>
  </si>
  <si>
    <t>鎮揚門市</t>
  </si>
  <si>
    <t>台中市沙鹿區南陽路439號</t>
  </si>
  <si>
    <t>2021-06-18 07:57:45</t>
  </si>
  <si>
    <t>W387YI2106185173</t>
  </si>
  <si>
    <t>林欣怡</t>
  </si>
  <si>
    <t>0988811552</t>
  </si>
  <si>
    <t>廣興門市</t>
  </si>
  <si>
    <t>桃園市平鎮區忠孝路69號及廣東段305號306號</t>
  </si>
  <si>
    <t>葡萄噴噴4入</t>
  </si>
  <si>
    <t>WACA-CM-000062</t>
  </si>
  <si>
    <t>2021-06-18 08:28:15</t>
  </si>
  <si>
    <t>W387JW2106185871</t>
  </si>
  <si>
    <t>古惠君</t>
  </si>
  <si>
    <t>0911792342</t>
  </si>
  <si>
    <t>大邁門市</t>
  </si>
  <si>
    <t>台中市大雅區大林路275號</t>
  </si>
  <si>
    <t>2021-06-18 09:53:11</t>
  </si>
  <si>
    <t>W387CN2106185165</t>
  </si>
  <si>
    <t>莊慧君</t>
  </si>
  <si>
    <t>0955536276</t>
  </si>
  <si>
    <t>苑裡門市</t>
  </si>
  <si>
    <t>苗栗縣苑裡鎮房裡里13鄰北房8-9號</t>
  </si>
  <si>
    <t>麝香葡萄3入</t>
  </si>
  <si>
    <t>WACA-ADU-000006</t>
  </si>
  <si>
    <t>2021-06-18 11:12:38</t>
  </si>
  <si>
    <t>W387MZ2106180755</t>
  </si>
  <si>
    <t>吳采潔</t>
  </si>
  <si>
    <t>0976296512</t>
  </si>
  <si>
    <t>2021-06-18 11:32:55</t>
  </si>
  <si>
    <t>W387ZF2106189329</t>
  </si>
  <si>
    <t>褚念庭</t>
  </si>
  <si>
    <t>0989137927</t>
  </si>
  <si>
    <t>二十張門市</t>
  </si>
  <si>
    <t>新北市新店區二十張路5號1樓</t>
  </si>
  <si>
    <t>2021-06-18 12:16:03</t>
  </si>
  <si>
    <t>W387CB2106186385</t>
  </si>
  <si>
    <t>賴怡靜</t>
  </si>
  <si>
    <t>0921708147</t>
  </si>
  <si>
    <t>滅菌棉棒30支+牛奶1入+葡萄1入</t>
  </si>
  <si>
    <t>WACA-KIDS-000093</t>
  </si>
  <si>
    <t>雅集門市</t>
  </si>
  <si>
    <t>南投縣名間鄉員集路137號</t>
  </si>
  <si>
    <t>2021-06-18 13:23:26</t>
  </si>
  <si>
    <t>W387RU2106189405</t>
  </si>
  <si>
    <t>林語綺</t>
  </si>
  <si>
    <t>0968108996</t>
  </si>
  <si>
    <t>大傳門市</t>
  </si>
  <si>
    <t>桃園市龜山區大同路357號357-1號1樓及壽山段926地號</t>
  </si>
  <si>
    <t>2021-06-18 13:36:43</t>
  </si>
  <si>
    <t>W387LP2106186153</t>
  </si>
  <si>
    <t>黃乙婷</t>
  </si>
  <si>
    <t>0913577272</t>
  </si>
  <si>
    <t>宗聖門市</t>
  </si>
  <si>
    <t>雲林縣北港鎮大同路511-1號</t>
  </si>
  <si>
    <t>2021-06-18 14:02:50</t>
  </si>
  <si>
    <t>W387VU2106184908</t>
  </si>
  <si>
    <t>潘慧萍</t>
  </si>
  <si>
    <t>0982865863</t>
  </si>
  <si>
    <t>葡萄QQ糖1包+牛奶1入+草莓1入</t>
  </si>
  <si>
    <t>WACA-KIDS-000032</t>
  </si>
  <si>
    <t>新板橋門市</t>
  </si>
  <si>
    <t>新北市板橋區文化路一段135號</t>
  </si>
  <si>
    <t>2021-06-18 17:52:23</t>
  </si>
  <si>
    <t>W387QY2106182102</t>
  </si>
  <si>
    <t>尤藝蒨</t>
  </si>
  <si>
    <t>0975324022</t>
  </si>
  <si>
    <t>保庄門市</t>
  </si>
  <si>
    <t>雲林縣斗六市明德北路三段285號</t>
  </si>
  <si>
    <t>PP-FMW-GR</t>
  </si>
  <si>
    <t>防蛀修護漱口水(含氟) (葡萄口味)</t>
  </si>
  <si>
    <t>含氟漱口水【葡萄口味1入】</t>
  </si>
  <si>
    <t>2021-06-18 19:51:26</t>
  </si>
  <si>
    <t>W387LV2106182077</t>
  </si>
  <si>
    <t>陳姿穎</t>
  </si>
  <si>
    <t>0938873337</t>
  </si>
  <si>
    <t>三重門市</t>
  </si>
  <si>
    <t>新北市三重區重新路三段18號</t>
  </si>
  <si>
    <t>2021-06-18 22:03:24</t>
  </si>
  <si>
    <t>W387PH2106183393</t>
  </si>
  <si>
    <t>詹雨橋</t>
  </si>
  <si>
    <t>0928058010</t>
  </si>
  <si>
    <t>天佑門市</t>
  </si>
  <si>
    <t>台中市西屯區中工二路196號198號1樓</t>
  </si>
  <si>
    <t>2021-06-18 22:18:03</t>
  </si>
  <si>
    <t>W387XA2106180359</t>
  </si>
  <si>
    <t>彭允晞</t>
  </si>
  <si>
    <t>0960715091</t>
  </si>
  <si>
    <t>源泰門市</t>
  </si>
  <si>
    <t>新竹縣湖口鄉中興街174-176號</t>
  </si>
  <si>
    <t>2021-06-18 22:44:58</t>
  </si>
  <si>
    <t>W387OW2106186856</t>
  </si>
  <si>
    <t>卓彗雯</t>
  </si>
  <si>
    <t>0919593125</t>
  </si>
  <si>
    <t>光園門市</t>
  </si>
  <si>
    <t>台中市東區東光園路142號</t>
  </si>
  <si>
    <t>2021-06-18 22:47:32</t>
  </si>
  <si>
    <t>W387KE2106182884</t>
  </si>
  <si>
    <t>李如菁</t>
  </si>
  <si>
    <t>0912322012</t>
  </si>
  <si>
    <t>彰美門市</t>
  </si>
  <si>
    <t>彰化縣和美鎮彰美路三段385號387號</t>
  </si>
  <si>
    <t>無氟漱口水【莓果口味1入】 + 無氟牙膏 【葡萄口味1入】</t>
  </si>
  <si>
    <t>WACA-KIDS-000171</t>
  </si>
  <si>
    <t>無氟漱口水【莓果口味1入】+ 無氟牙膏 【草莓口味1入】</t>
  </si>
  <si>
    <t>WACA-KIDS-000183</t>
  </si>
  <si>
    <t>乳酸多多QQ糖1包+草莓1入+葡萄1入</t>
  </si>
  <si>
    <t>WACA-KIDS-000015</t>
  </si>
  <si>
    <t>2021-06-19 00:35:25</t>
  </si>
  <si>
    <t>W387GC2106193320</t>
  </si>
  <si>
    <t>楊宗翰</t>
  </si>
  <si>
    <t>0914007338</t>
  </si>
  <si>
    <t>蓮馨門市</t>
  </si>
  <si>
    <t>高雄市阿蓮區和平路136號</t>
  </si>
  <si>
    <t>2021-06-19 01:12:07</t>
  </si>
  <si>
    <t>W385RU2106192806</t>
  </si>
  <si>
    <t>林佩璇</t>
  </si>
  <si>
    <t>0911297871</t>
  </si>
  <si>
    <t>港興門市</t>
  </si>
  <si>
    <t>台北市南港區興華路119號121號123號125號</t>
  </si>
  <si>
    <t>2021-06-19 03:53:52</t>
  </si>
  <si>
    <t>W385WS2106192628</t>
  </si>
  <si>
    <t>田心宇</t>
  </si>
  <si>
    <t>0977440840</t>
  </si>
  <si>
    <t>竹豐門市</t>
  </si>
  <si>
    <t>新竹縣竹東鎮中豐路三段93號95號1樓</t>
  </si>
  <si>
    <t>乳酸多多QQ糖1包+水蜜桃1入+葡萄1入</t>
  </si>
  <si>
    <t>WACA-KIDS-000008</t>
  </si>
  <si>
    <t>KQ12-SET9</t>
  </si>
  <si>
    <t>【大人の軟糖】無糖Q軟糖9入組 口味任選 12顆/入</t>
  </si>
  <si>
    <t>果香玫瑰3入+麝香葡萄3入+洛神蔓越莓3入</t>
  </si>
  <si>
    <t>WACA-ADU-000021</t>
  </si>
  <si>
    <t>2021-06-19 09:48:10</t>
  </si>
  <si>
    <t>W387HL2106195633</t>
  </si>
  <si>
    <t>林雯欣</t>
  </si>
  <si>
    <t>0989937637</t>
  </si>
  <si>
    <t>宏圖門市</t>
  </si>
  <si>
    <t>新北市永和區永和路一段85號</t>
  </si>
  <si>
    <t>多多口味2盒+荔枝口味1盒</t>
  </si>
  <si>
    <t>WACA-CM-000017</t>
  </si>
  <si>
    <t>2021-06-19 10:01:23</t>
  </si>
  <si>
    <t>W387BH2106195802</t>
  </si>
  <si>
    <t>蔡如芬</t>
  </si>
  <si>
    <t>0980804078</t>
  </si>
  <si>
    <t>興生門市</t>
  </si>
  <si>
    <t>台中市大里區大里路95號97號1樓</t>
  </si>
  <si>
    <t>2021-06-19 12:41:31</t>
  </si>
  <si>
    <t>W387PI2106193602</t>
  </si>
  <si>
    <t>林雅慧</t>
  </si>
  <si>
    <t>0958760427</t>
  </si>
  <si>
    <t>元保門市</t>
  </si>
  <si>
    <t>台中市北區進化北路413號1樓</t>
  </si>
  <si>
    <t>2021-06-19 13:30:34</t>
  </si>
  <si>
    <t>W387YJ2106198314</t>
  </si>
  <si>
    <t>楊佳琪</t>
  </si>
  <si>
    <t>0976563318</t>
  </si>
  <si>
    <t>青文門市</t>
  </si>
  <si>
    <t>高雄市鳳山區文衡里文衡路343號</t>
  </si>
  <si>
    <t>2021-06-19 14:17:53</t>
  </si>
  <si>
    <t>W387NN2106190477</t>
  </si>
  <si>
    <t>邱沛彤</t>
  </si>
  <si>
    <t>0989386061</t>
  </si>
  <si>
    <t>統威門市</t>
  </si>
  <si>
    <t>台北市松山區東興路13之1號15巷3號</t>
  </si>
  <si>
    <t>2021-06-19 14:59:08</t>
  </si>
  <si>
    <t>W387QW2106192530</t>
  </si>
  <si>
    <t>簡虹軒</t>
  </si>
  <si>
    <t>0989934341</t>
  </si>
  <si>
    <t>三隆門市</t>
  </si>
  <si>
    <t>高雄市大寮區光明路二段810號1F</t>
  </si>
  <si>
    <t>2021-06-19 15:37:39</t>
  </si>
  <si>
    <t>W387HS2106190917</t>
  </si>
  <si>
    <t>許雅婷</t>
  </si>
  <si>
    <t>0918142719</t>
  </si>
  <si>
    <t>御城門市</t>
  </si>
  <si>
    <t>新北市五股區御史路3號5號1樓</t>
  </si>
  <si>
    <t>萬毛牙刷【1組】+無氟牙膏【草莓口味2入】</t>
  </si>
  <si>
    <t>WACA-PAW-000057</t>
  </si>
  <si>
    <t>2021-06-19 16:20:56</t>
  </si>
  <si>
    <t>W387CM2106191816</t>
  </si>
  <si>
    <t>林俞君</t>
  </si>
  <si>
    <t>0958223978</t>
  </si>
  <si>
    <t>景仁門市</t>
  </si>
  <si>
    <t>新北市中和區忠孝街103號103之1號</t>
  </si>
  <si>
    <t>2021-06-19 19:10:49</t>
  </si>
  <si>
    <t>W387LH2106194451</t>
  </si>
  <si>
    <t>林佩治</t>
  </si>
  <si>
    <t>0972522154</t>
  </si>
  <si>
    <t>新坡門市</t>
  </si>
  <si>
    <t>桃園市觀音區中山路二段663號</t>
  </si>
  <si>
    <t>ML</t>
  </si>
  <si>
    <t>T-SPRAY Miia 口腔清新噴劑加強版 10ml 檸檬清香</t>
  </si>
  <si>
    <t xml:space="preserve"> 檸檬清香口味【1入】</t>
  </si>
  <si>
    <t>2021-06-19 21:38:25</t>
  </si>
  <si>
    <t>W387IG2106197861</t>
  </si>
  <si>
    <t>林筱薇</t>
  </si>
  <si>
    <t>0927257568</t>
  </si>
  <si>
    <t>上華門市</t>
  </si>
  <si>
    <t>桃園市龍潭區中正路上華段6號</t>
  </si>
  <si>
    <t>2021-06-19 23:19:15</t>
  </si>
  <si>
    <t>W387VN2106196844</t>
  </si>
  <si>
    <t>沈瑜君</t>
  </si>
  <si>
    <t>0989011517</t>
  </si>
  <si>
    <t>文一門市</t>
  </si>
  <si>
    <t>台北市文山區木新路三段351號353號1樓</t>
  </si>
  <si>
    <t>2021-06-19 23:58:42</t>
  </si>
  <si>
    <t>W387ZD2106193687</t>
  </si>
  <si>
    <t>蕭意慈</t>
  </si>
  <si>
    <t>0916723229</t>
  </si>
  <si>
    <t>埔暉門市</t>
  </si>
  <si>
    <t>嘉義縣中埔鄉和美村中山路五段450號</t>
  </si>
  <si>
    <t>2021-06-20 02:01:57</t>
  </si>
  <si>
    <t>W387XC2106201910</t>
  </si>
  <si>
    <t>張俐婷</t>
  </si>
  <si>
    <t>0985009251</t>
  </si>
  <si>
    <t>輕井澤門市</t>
  </si>
  <si>
    <t>桃園市桃園區大業路一段355號357號一樓</t>
  </si>
  <si>
    <t>2021-06-20 05:03:53</t>
  </si>
  <si>
    <t>W387GC2106201653</t>
  </si>
  <si>
    <t>黃容宜</t>
  </si>
  <si>
    <t>0975938862</t>
  </si>
  <si>
    <t>國府門市</t>
  </si>
  <si>
    <t>新北市板橋區國光路184號186號1樓</t>
  </si>
  <si>
    <t>2021-06-20 09:09:18</t>
  </si>
  <si>
    <t>W387WK2106200982</t>
  </si>
  <si>
    <t>黃筱涵</t>
  </si>
  <si>
    <t>0982083619</t>
  </si>
  <si>
    <t>永復門市</t>
  </si>
  <si>
    <t>台南市永康區復華里復華一街2號</t>
  </si>
  <si>
    <t>2021-06-20 10:27:37</t>
  </si>
  <si>
    <t>W387NT2106204811</t>
  </si>
  <si>
    <t>顧宇侖</t>
  </si>
  <si>
    <t>0963111714</t>
  </si>
  <si>
    <t>東妮門市</t>
  </si>
  <si>
    <t>新竹市北區東大路三段718號720號1樓</t>
  </si>
  <si>
    <t>2021-06-20 10:49:49</t>
  </si>
  <si>
    <t>W387JB2106208844</t>
  </si>
  <si>
    <t>王妍孋</t>
  </si>
  <si>
    <t>0930201522</t>
  </si>
  <si>
    <t>華信門市</t>
  </si>
  <si>
    <t>桃園市桃園區成功路一段47號</t>
  </si>
  <si>
    <t>2021-06-20 11:04:19</t>
  </si>
  <si>
    <t>W387ZU2106204870</t>
  </si>
  <si>
    <t>湯美芳</t>
  </si>
  <si>
    <t>0988961326</t>
  </si>
  <si>
    <t>土庫門市</t>
  </si>
  <si>
    <t>雲林縣土庫鎮建國路150號1樓</t>
  </si>
  <si>
    <t>PP-FMW-BE</t>
  </si>
  <si>
    <t>防蛀修護漱口水 (含氟) (莓果口味)</t>
  </si>
  <si>
    <t>含氟漱口水【莓果口味1入】</t>
  </si>
  <si>
    <t>2021-06-20 13:47:37</t>
  </si>
  <si>
    <t>W801RB2106200183</t>
  </si>
  <si>
    <t>陳怡潔</t>
  </si>
  <si>
    <t>0916990068</t>
  </si>
  <si>
    <t>墩十九門市</t>
  </si>
  <si>
    <t>台中市西屯區大墩19街186號</t>
  </si>
  <si>
    <t>2021-06-20 15:21:36</t>
  </si>
  <si>
    <t>W387KL2106205383</t>
  </si>
  <si>
    <t>陳思穎</t>
  </si>
  <si>
    <t>0927206069</t>
  </si>
  <si>
    <t>華社門市</t>
  </si>
  <si>
    <t>高雄市大社區中華路16-66號1.2樓</t>
  </si>
  <si>
    <t>2021-06-20 15:33:17</t>
  </si>
  <si>
    <t>W387JW2106202672</t>
  </si>
  <si>
    <t>宋璧秀</t>
  </si>
  <si>
    <t>0958957341</t>
  </si>
  <si>
    <t>統崙門市</t>
  </si>
  <si>
    <t>高雄市鳳山區中民里中崙四路6號8號1樓</t>
  </si>
  <si>
    <t>2021-06-20 19:19:21</t>
  </si>
  <si>
    <t>W387BV2106200079</t>
  </si>
  <si>
    <t>余淑玲</t>
  </si>
  <si>
    <t>0909733777</t>
  </si>
  <si>
    <t>高蓉門市</t>
  </si>
  <si>
    <t>桃園市大園區高鐵北路三段96號1樓</t>
  </si>
  <si>
    <t>2021-06-20 21:04:14</t>
  </si>
  <si>
    <t>W387XC2106207155</t>
  </si>
  <si>
    <t>林端宏</t>
  </si>
  <si>
    <t>0975810988</t>
  </si>
  <si>
    <t>瑞新門市</t>
  </si>
  <si>
    <t>新北市板橋區瑞安街75號</t>
  </si>
  <si>
    <t>2021-06-20 23:02:28</t>
  </si>
  <si>
    <t>W387ZD2106206665</t>
  </si>
  <si>
    <t>胡琇晴</t>
  </si>
  <si>
    <t>0900130113</t>
  </si>
  <si>
    <t>福臨門市</t>
  </si>
  <si>
    <t>新北市五股區工商路150號</t>
  </si>
  <si>
    <t>2021-06-20 23:04:36</t>
  </si>
  <si>
    <t>W387JM2106202986</t>
  </si>
  <si>
    <t>鄭佩愉</t>
  </si>
  <si>
    <t>0921773308</t>
  </si>
  <si>
    <t>狀元門市</t>
  </si>
  <si>
    <t>南投縣竹山鎮大明路500號</t>
  </si>
  <si>
    <t>2021-06-21 00:01:03</t>
  </si>
  <si>
    <t>W387NA2106215527</t>
  </si>
  <si>
    <t>郭筱艾</t>
  </si>
  <si>
    <t>0958958311</t>
  </si>
  <si>
    <t>文景門市</t>
  </si>
  <si>
    <t>花蓮縣吉安鄉中山路二段71-2號</t>
  </si>
  <si>
    <t>2021-06-21 00:51:14</t>
  </si>
  <si>
    <t>W387EV2106215543</t>
  </si>
  <si>
    <t>陳浩瑜</t>
  </si>
  <si>
    <t>0930557003</t>
  </si>
  <si>
    <t>大展門市</t>
  </si>
  <si>
    <t>新北市樹林區俊英街232號234號1樓</t>
  </si>
  <si>
    <t>2021-06-21 07:42:34</t>
  </si>
  <si>
    <t>W387AZ2106213144</t>
  </si>
  <si>
    <t>曾亞琦</t>
  </si>
  <si>
    <t>0963638816</t>
  </si>
  <si>
    <t>鳳和門市</t>
  </si>
  <si>
    <t>高雄市鳳山區中和里自由路204號206號</t>
  </si>
  <si>
    <t>汪汪隊立大功 - 無氟牙膏【草莓口味1入】</t>
  </si>
  <si>
    <t>汪汪隊兒童含鈣健齒漱口水 300g 綜合莓果口味/無氟</t>
  </si>
  <si>
    <t>汪汪隊立大功 - 無氟牙膏【葡萄口味1入】</t>
  </si>
  <si>
    <t>汪汪隊立大功 - 無氟牙膏【橘子口味1入】</t>
  </si>
  <si>
    <t>WACA-KIDS-000170</t>
  </si>
  <si>
    <t>汪汪隊兒童含鈣健齒漱口水 300g 泡泡糖口味/無氟</t>
  </si>
  <si>
    <t>T-PET貓咪口腔謢理噴劑30Ml</t>
  </si>
  <si>
    <t>4714781020046</t>
  </si>
  <si>
    <t>WACA-PET-000024</t>
  </si>
  <si>
    <t>T-PET狗狗潔齒濃縮噴劑60ml</t>
  </si>
  <si>
    <t>4714781020138</t>
  </si>
  <si>
    <t>T-PET寵物碗盤濃縮清潔露350mL</t>
  </si>
  <si>
    <t>4714781020381</t>
  </si>
  <si>
    <t>WACA-PET-000022</t>
  </si>
  <si>
    <t>T-PET Dog 狗狗指套</t>
  </si>
  <si>
    <t>4714781024877</t>
  </si>
  <si>
    <t>T-PET Dog Daily 犬齒舒(日常保養)120mL</t>
  </si>
  <si>
    <t>4714781024815</t>
  </si>
  <si>
    <t>T-PET貓用化毛噴劑30mL</t>
  </si>
  <si>
    <t>4714781020053</t>
  </si>
  <si>
    <t>WACA-PET-000020</t>
  </si>
  <si>
    <t>T-PET寵物清潔萬用棉</t>
  </si>
  <si>
    <t>4714781020275</t>
  </si>
  <si>
    <t>T-PET 寵物全效毛髮潔淨液250Ml</t>
  </si>
  <si>
    <t>4714781020268</t>
  </si>
  <si>
    <t>T-PET Dog Daily 犬齒舒(日常保養)50mL</t>
  </si>
  <si>
    <t>4714781024853</t>
  </si>
  <si>
    <t>WACA-PET-000015</t>
  </si>
  <si>
    <t>WACA-PET-000012</t>
  </si>
  <si>
    <t>T-PET貓咪呵護潔耳液100ml</t>
  </si>
  <si>
    <t>4714781020121</t>
  </si>
  <si>
    <t>WACA-PET-000008</t>
  </si>
  <si>
    <t>T-PET狗狗呵護潔耳液120Ml</t>
  </si>
  <si>
    <t>4714781024891-1</t>
  </si>
  <si>
    <t>WACA-PET-000007</t>
  </si>
  <si>
    <t>T-SPRAY Miia 口腔清新噴劑加強版 10ml 沁涼薄荷</t>
  </si>
  <si>
    <t>4714781020169</t>
  </si>
  <si>
    <t>4714781020152</t>
  </si>
  <si>
    <t>WACA-ADU-000003</t>
  </si>
  <si>
    <t>WACA-ADU-000002</t>
  </si>
  <si>
    <t>WACA-ADU-000001</t>
  </si>
  <si>
    <t>安家佳 抗菌洗手露【1入】</t>
  </si>
  <si>
    <t>WACA-SE-000060</t>
  </si>
  <si>
    <t>安家佳 抗菌乾洗手凝露【1入】</t>
  </si>
  <si>
    <t>WACA-SE-000059</t>
  </si>
  <si>
    <t>安家佳 抗菌噴霧【1入】</t>
  </si>
  <si>
    <t>WACA-SE-000058</t>
  </si>
  <si>
    <t>WACA-SE-000057</t>
  </si>
  <si>
    <t>WACA-SE-000056</t>
  </si>
  <si>
    <t>WACA-SE-000055</t>
  </si>
  <si>
    <t>兒童含鈣健齒噴霧 哈密瓜口味</t>
  </si>
  <si>
    <t>WACA-SE-000054</t>
  </si>
  <si>
    <t>WACA-SE-000053</t>
  </si>
  <si>
    <t>鈣多多健齒QQ糖【草莓口味1包】</t>
  </si>
  <si>
    <t>WACA-SE-000052</t>
  </si>
  <si>
    <t>晶亮健齒QQ糖【葡萄口味1包】</t>
  </si>
  <si>
    <t>WACA-SE-000051</t>
  </si>
  <si>
    <t>健齒QQ糖 【多多口味1包】</t>
  </si>
  <si>
    <t>WACA-SE-000050</t>
  </si>
  <si>
    <t>兒童萬毛牙刷 3入/組</t>
  </si>
  <si>
    <t>WACA-SE-000049</t>
  </si>
  <si>
    <t>兒童防蛀修護牙膏 葡萄口味1入</t>
  </si>
  <si>
    <t>WACA-SE-000048</t>
  </si>
  <si>
    <t>兒童防蛀修護牙膏 草莓口味1入</t>
  </si>
  <si>
    <t>WACA-SE-000047</t>
  </si>
  <si>
    <t>兒童防蛀修護漱口水 葡萄口味1入</t>
  </si>
  <si>
    <t>WACA-SE-000046</t>
  </si>
  <si>
    <t>兒童防蛀修護漱口水 莓果口味1入</t>
  </si>
  <si>
    <t>WACA-SE-000045</t>
  </si>
  <si>
    <t>WACA-SE-000044</t>
  </si>
  <si>
    <t>WACA-SE-000043</t>
  </si>
  <si>
    <t>WACA-SE-000042</t>
  </si>
  <si>
    <t>兒童含鈣健齒漱口水  綜合莓果1入</t>
  </si>
  <si>
    <t>WACA-SE-000041</t>
  </si>
  <si>
    <t>兒童含鈣健齒漱口水  泡泡糖1入</t>
  </si>
  <si>
    <t>WACA-SE-000040</t>
  </si>
  <si>
    <t>安家佳 抗菌噴霧【2入】</t>
  </si>
  <si>
    <t>WACA-SE-000039</t>
  </si>
  <si>
    <t>勇敢狗狗歡樂包【1盒】</t>
  </si>
  <si>
    <t>4714781020640</t>
  </si>
  <si>
    <t>WACA-SE-000038</t>
  </si>
  <si>
    <t>兒童萬毛牙刷(3入/組)</t>
  </si>
  <si>
    <t>WACA-SE-000037</t>
  </si>
  <si>
    <t>WACA-SE-000036</t>
  </si>
  <si>
    <t>WACA-SE-000035</t>
  </si>
  <si>
    <t>WACA-SE-000034</t>
  </si>
  <si>
    <t>WACA-SE-000033</t>
  </si>
  <si>
    <t>WACA-SE-000032</t>
  </si>
  <si>
    <t>WACA-SE-000031</t>
  </si>
  <si>
    <t>WACA-SE-000030</t>
  </si>
  <si>
    <t>WACA-SE-000029</t>
  </si>
  <si>
    <t>WACA-SE-000028</t>
  </si>
  <si>
    <t>WACA-SE-000027</t>
  </si>
  <si>
    <t>WACA-SE-000026</t>
  </si>
  <si>
    <t>WACA-SE-000025</t>
  </si>
  <si>
    <t>WACA-SE-000024</t>
  </si>
  <si>
    <t>WACA-SE-000023</t>
  </si>
  <si>
    <t>鈣多多健齒QQ糖 草莓口味 35顆裝/包</t>
  </si>
  <si>
    <t>晶亮健齒QQ糖 葡萄口味 35顆裝/包</t>
  </si>
  <si>
    <t>WACA-SE-000022</t>
  </si>
  <si>
    <t>健齒QQ糖 乳酸多多口味 35顆裝/包</t>
  </si>
  <si>
    <t>WACA-SE-000021</t>
  </si>
  <si>
    <t>WACA-SE-000020</t>
  </si>
  <si>
    <t>鈣多多健齒QQ糖 草莓口味 35顆裝/包【2入】</t>
  </si>
  <si>
    <t>WACA-SE-000019</t>
  </si>
  <si>
    <t>晶亮健齒QQ糖 葡萄口味 35顆裝/包【2入】</t>
  </si>
  <si>
    <t>WACA-SE-000018</t>
  </si>
  <si>
    <t>健齒QQ糖 乳酸多多口味 35顆裝/包【2入】</t>
  </si>
  <si>
    <t>WACA-SE-000017</t>
  </si>
  <si>
    <t>WACA-SE-000016</t>
  </si>
  <si>
    <t>兒童含鈣健齒噴霧 葡萄口味【1入】</t>
  </si>
  <si>
    <t>兒童含鈣健齒噴霧 草莓口味【1入】</t>
  </si>
  <si>
    <t>WACA-SE-000015</t>
  </si>
  <si>
    <t>兒童含鈣健齒噴霧 牛奶口味【1入】</t>
  </si>
  <si>
    <t>WACA-SE-000014</t>
  </si>
  <si>
    <t>WACA-SE-000013</t>
  </si>
  <si>
    <t>兒童含鈣健齒噴霧 哈密瓜口味【1入】</t>
  </si>
  <si>
    <t>WACA-SE-000012</t>
  </si>
  <si>
    <t>WACA-SE-000011</t>
  </si>
  <si>
    <t>WACA-SE-000010</t>
  </si>
  <si>
    <t>兒童含鈣健齒噴霧 水蜜桃口味【1入】</t>
  </si>
  <si>
    <t>WACA-SE-000009</t>
  </si>
  <si>
    <t>WACA-SE-000008</t>
  </si>
  <si>
    <t>WACA-SE-000007</t>
  </si>
  <si>
    <t>WACA-SE-000006</t>
  </si>
  <si>
    <t>兒童含鈣健齒噴霧 牛奶口味【2入】</t>
  </si>
  <si>
    <t>WACA-SE-000005</t>
  </si>
  <si>
    <t>兒童含鈣健齒噴霧 葡萄口味【2入】</t>
  </si>
  <si>
    <t>WACA-SE-000004</t>
  </si>
  <si>
    <t>兒童含鈣健齒噴霧 草莓口味【2入】</t>
  </si>
  <si>
    <t>WACA-SE-000003</t>
  </si>
  <si>
    <t>兒童含鈣健齒噴霧 哈密瓜口味【2入】</t>
  </si>
  <si>
    <t>WACA-SE-000002</t>
  </si>
  <si>
    <t>兒童含鈣健齒噴霧 水蜜桃口味【2入】</t>
  </si>
  <si>
    <t>WACA-SE-000001</t>
  </si>
  <si>
    <t>兒童健齒QQ凍(荔枝口味) 10入</t>
  </si>
  <si>
    <t>Lab 52汪汪隊立大功無糖QQ凍(多多口味) 10入 16個月</t>
  </si>
  <si>
    <t>Lab 52汪汪隊立大功無糖QQ凍(葡萄口味) 10入 16個月</t>
  </si>
  <si>
    <t>汪汪隊立大功 - 無氟牙膏【草莓口味】</t>
  </si>
  <si>
    <t>汪汪隊立大功 - 無氟牙膏【葡萄口味】</t>
  </si>
  <si>
    <t>汪汪隊立大功 - 無氟牙膏【橘子口味】</t>
  </si>
  <si>
    <t>WACA-PAW-000059</t>
  </si>
  <si>
    <t>WACA-PAW-000058</t>
  </si>
  <si>
    <t>WACA-PAW-000056</t>
  </si>
  <si>
    <t>WACA-PAW-000055</t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</si>
  <si>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</si>
  <si>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</si>
  <si>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</si>
  <si>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入】</t>
    </r>
  </si>
  <si>
    <t>WACA-PAW-000047</t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</si>
  <si>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入】</t>
    </r>
  </si>
  <si>
    <t>WACA-PAW-000046</t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</si>
  <si>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入】</t>
    </r>
  </si>
  <si>
    <t>WACA-PAW-000045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</si>
  <si>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</si>
  <si>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</t>
    </r>
  </si>
  <si>
    <t>WACA-PAW-000044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</si>
  <si>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</si>
  <si>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</si>
  <si>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</t>
    </r>
  </si>
  <si>
    <t>WACA-PAW-000042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</si>
  <si>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</t>
    </r>
  </si>
  <si>
    <t>WACA-PAW-000041</t>
  </si>
  <si>
    <r>
      <rPr>
        <sz val="12"/>
        <color theme="1"/>
        <rFont val="Calibri"/>
        <family val="2"/>
      </rPr>
      <t>萬毛牙刷【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>組】</t>
    </r>
  </si>
  <si>
    <t>WACA-PAW-000038</t>
  </si>
  <si>
    <t>WACA-PAW-000037</t>
  </si>
  <si>
    <t>汪汪隊立大功齒妍堂兒童防蛀修護漱口水-莓果口味 含氟</t>
  </si>
  <si>
    <t>4714781020855</t>
  </si>
  <si>
    <t xml:space="preserve">汪汪隊立大功齒妍堂兒童防蛀修護漱口水-葡萄口味 含氟 </t>
  </si>
  <si>
    <t>4714781020848</t>
  </si>
  <si>
    <t>WACA-PAW-000036</t>
  </si>
  <si>
    <t>WACA-PAW-000035</t>
  </si>
  <si>
    <t>WACA-PAW-000034</t>
  </si>
  <si>
    <t xml:space="preserve">汪汪隊立大功齒妍堂兒童防蛀修護牙膏-葡萄口味 含氟 </t>
  </si>
  <si>
    <t>4714781020787</t>
  </si>
  <si>
    <t xml:space="preserve">汪汪隊立大功齒妍堂兒童防蛀修護牙膏-草莓口味 含氟 </t>
  </si>
  <si>
    <t>4714781020770</t>
  </si>
  <si>
    <t>WACA-PAW-000031</t>
  </si>
  <si>
    <r>
      <rPr>
        <sz val="12"/>
        <color theme="1"/>
        <rFont val="Calibri"/>
        <family val="2"/>
      </rPr>
      <t>安家佳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抗菌噴霧買四送一</t>
    </r>
  </si>
  <si>
    <t>WACA-KIDS-001031</t>
  </si>
  <si>
    <t>長效抗菌護手凝膠</t>
  </si>
  <si>
    <t>4714781021036</t>
  </si>
  <si>
    <t>速效抗菌護手噴霧</t>
  </si>
  <si>
    <t>4714781021043</t>
  </si>
  <si>
    <t>WACA-KIDS-000155</t>
  </si>
  <si>
    <t>奶瓶蔬果潔淨露</t>
  </si>
  <si>
    <t>4714781020596</t>
  </si>
  <si>
    <t>WACA-KIDS-000154</t>
  </si>
  <si>
    <t>T-SPRAY kids兒童含鈣健齒噴霧(草莓)20ml</t>
  </si>
  <si>
    <t>4714781024716</t>
  </si>
  <si>
    <t>T-SPRAY Kids兒童含鈣健齒噴霧(葡萄)20mL</t>
  </si>
  <si>
    <t>4714781024730</t>
  </si>
  <si>
    <t>T-SPRAY kids兒童含鈣健齒噴霧(牛奶)20ml</t>
  </si>
  <si>
    <t>4714781024723</t>
  </si>
  <si>
    <t>Kids健齒QQ軟糖35入</t>
  </si>
  <si>
    <t>4714781020466</t>
  </si>
  <si>
    <t>Kids 齒妍堂鈣多多健齒QQ 35入</t>
  </si>
  <si>
    <t>4714781020558</t>
  </si>
  <si>
    <t>WACA-KIDS-000118</t>
  </si>
  <si>
    <t>Kids晶亮健齒QQ糖35入</t>
  </si>
  <si>
    <t>4714781020503</t>
  </si>
  <si>
    <t>WACA-KIDS-000116</t>
  </si>
  <si>
    <t>WACA-KIDS-000115</t>
  </si>
  <si>
    <t>WACA-KIDS-000112</t>
  </si>
  <si>
    <t>WACA-KIDS-000110</t>
  </si>
  <si>
    <t>Lab52口腔清潔棒30入</t>
  </si>
  <si>
    <t xml:space="preserve">4714781021777 </t>
  </si>
  <si>
    <t>WACA-KIDS-000092</t>
  </si>
  <si>
    <t>T-SPRAY Kids兒童含鈣健齒噴霧(哈密瓜)20mL</t>
  </si>
  <si>
    <t>4714781020299</t>
  </si>
  <si>
    <t>WACA-KIDS-000091</t>
  </si>
  <si>
    <t>WACA-KIDS-000090</t>
  </si>
  <si>
    <t>WACA-KIDS-000089</t>
  </si>
  <si>
    <t>T-SPRAY Kids兒童含鈣健齒噴霧(水蜜桃)20mL</t>
  </si>
  <si>
    <t>4714781020282</t>
  </si>
  <si>
    <t>WACA-KIDS-000088</t>
  </si>
  <si>
    <t>WACA-KIDS-000086</t>
  </si>
  <si>
    <t>WACA-KIDS-000085</t>
  </si>
  <si>
    <t>WACA-KIDS-000084</t>
  </si>
  <si>
    <t>WACA-KIDS-000083</t>
  </si>
  <si>
    <t>WACA-KIDS-000082</t>
  </si>
  <si>
    <t>WACA-KIDS-000081</t>
  </si>
  <si>
    <t>WACA-KIDS-000080</t>
  </si>
  <si>
    <t>T-SPRAY Kids口腔清潔棒10隻入組合包</t>
  </si>
  <si>
    <t>4714781021265</t>
  </si>
  <si>
    <t>WACA-KIDS-000073</t>
  </si>
  <si>
    <t>WACA-KIDS-000071</t>
  </si>
  <si>
    <t>WACA-KIDS-000070</t>
  </si>
  <si>
    <t>WACA-KIDS-000069</t>
  </si>
  <si>
    <t>WACA-KIDS-000068</t>
  </si>
  <si>
    <t>WACA-KIDS-000067</t>
  </si>
  <si>
    <t>WACA-KIDS-000066</t>
  </si>
  <si>
    <t>WACA-KIDS-000065</t>
  </si>
  <si>
    <t>WACA-KIDS-000064</t>
  </si>
  <si>
    <t>WACA-KIDS-000063</t>
  </si>
  <si>
    <t>WACA-KIDS-000062</t>
  </si>
  <si>
    <t>WACA-KIDS-000061</t>
  </si>
  <si>
    <t>WACA-KIDS-000060</t>
  </si>
  <si>
    <t>WACA-KIDS-000034</t>
  </si>
  <si>
    <t>WACA-KIDS-000033</t>
  </si>
  <si>
    <t>WACA-KIDS-000031</t>
  </si>
  <si>
    <t>WACA-KIDS-000030</t>
  </si>
  <si>
    <t>WACA-KIDS-000029</t>
  </si>
  <si>
    <t>WACA-KIDS-000028</t>
  </si>
  <si>
    <t>WACA-KIDS-000027</t>
  </si>
  <si>
    <t>WACA-KIDS-000026</t>
  </si>
  <si>
    <t>WACA-KIDS-000025</t>
  </si>
  <si>
    <t>WACA-KIDS-000024</t>
  </si>
  <si>
    <t>WACA-KIDS-000023</t>
  </si>
  <si>
    <t>WACA-KIDS-000022</t>
  </si>
  <si>
    <t>WACA-KIDS-000021</t>
  </si>
  <si>
    <t>WACA-KIDS-000014</t>
  </si>
  <si>
    <t>WACA-KIDS-000012</t>
  </si>
  <si>
    <t>WACA-KIDS-000011</t>
  </si>
  <si>
    <t>WACA-KIDS-000010</t>
  </si>
  <si>
    <t>WACA-KIDS-000009</t>
  </si>
  <si>
    <t>WACA-KIDS-000007</t>
  </si>
  <si>
    <t>WACA-KIDS-000006</t>
  </si>
  <si>
    <t>WACA-KIDS-000005</t>
  </si>
  <si>
    <t>WACA-KIDS-000004</t>
  </si>
  <si>
    <t>WACA-KIDS-000003</t>
  </si>
  <si>
    <t>WACA-KIDS-000002</t>
  </si>
  <si>
    <t xml:space="preserve">4714781020831 </t>
  </si>
  <si>
    <t>兒童萬毛牙刷單支(黃色)</t>
  </si>
  <si>
    <t xml:space="preserve">4714781020978 </t>
  </si>
  <si>
    <t>漱口杯(藍色)</t>
  </si>
  <si>
    <t>6970965450933</t>
  </si>
  <si>
    <t>汪汪隊束口包</t>
  </si>
  <si>
    <t>4714781021210</t>
  </si>
  <si>
    <t>WACA-PAW-000121</t>
  </si>
  <si>
    <t>兒童萬毛牙刷單支(粉色)</t>
  </si>
  <si>
    <t xml:space="preserve">4714781020985 </t>
  </si>
  <si>
    <t>漱口杯(紅色)</t>
  </si>
  <si>
    <t>6970965450957</t>
  </si>
  <si>
    <t>WACA-PAW-000120</t>
  </si>
  <si>
    <t>兒童萬毛牙刷單支(藍色)</t>
  </si>
  <si>
    <t xml:space="preserve">4714781020961 </t>
  </si>
  <si>
    <t>WACA-PAW-000119</t>
  </si>
  <si>
    <t xml:space="preserve">4714781020787 </t>
  </si>
  <si>
    <t xml:space="preserve">4714781020855 </t>
  </si>
  <si>
    <t>WACA-PAW-000118</t>
  </si>
  <si>
    <t xml:space="preserve">4714781020848 </t>
  </si>
  <si>
    <t>WACA-PAW-000117</t>
  </si>
  <si>
    <t>WACA-PAW-000116</t>
  </si>
  <si>
    <t>WACA-PAW-000115</t>
  </si>
  <si>
    <t xml:space="preserve">4714781020770 </t>
  </si>
  <si>
    <t>WACA-PAW-000114</t>
  </si>
  <si>
    <t>WACA-PAW-000113</t>
  </si>
  <si>
    <t>WACA-PAW-000112</t>
  </si>
  <si>
    <t>WACA-PAW-000111</t>
  </si>
  <si>
    <t>WACA-PAW-000110</t>
  </si>
  <si>
    <t>WACA-PAW-000109</t>
  </si>
  <si>
    <t>WACA-PAW-000108</t>
  </si>
  <si>
    <t>WACA-PAW-000107</t>
  </si>
  <si>
    <t>WACA-PAW-000106</t>
  </si>
  <si>
    <t>WACA-PET-000025</t>
  </si>
  <si>
    <t>WACA-Longan-000073</t>
  </si>
  <si>
    <t>WACA-Longan-000072</t>
  </si>
  <si>
    <t>WACA-Longan-000071</t>
  </si>
  <si>
    <t>WACA-Longan-000070</t>
  </si>
  <si>
    <t>WACA-Longan-000069</t>
  </si>
  <si>
    <t>WACA-Longan-000068</t>
  </si>
  <si>
    <t xml:space="preserve">4714781020954 </t>
  </si>
  <si>
    <t>WACA-Longan-000067</t>
  </si>
  <si>
    <t>WACA-Longan-000066</t>
  </si>
  <si>
    <t>WACA-Longan-000065</t>
  </si>
  <si>
    <t>WACA-Longan-000064</t>
  </si>
  <si>
    <t>WACA-Longan-000063</t>
  </si>
  <si>
    <t>WACA-Longan-000062</t>
  </si>
  <si>
    <t>WACA-Longan-000061</t>
  </si>
  <si>
    <t>WACA-Longan-000060</t>
  </si>
  <si>
    <t>WACA-Longan-000059</t>
  </si>
  <si>
    <t>WACA-Longan-000058</t>
  </si>
  <si>
    <t>WACA-Longan-000057</t>
  </si>
  <si>
    <t>WACA-Longan-000056</t>
  </si>
  <si>
    <t>WACA-Longan-000055</t>
  </si>
  <si>
    <t>WACA-Longan-000054</t>
  </si>
  <si>
    <t>WACA-Longan-000053</t>
  </si>
  <si>
    <t>WACA-Longan-000052</t>
  </si>
  <si>
    <t>WACA-Longan-000051</t>
  </si>
  <si>
    <t>WACA-Longan-000050</t>
  </si>
  <si>
    <t>WACA-Longan-000049</t>
  </si>
  <si>
    <t>WACA-Longan-000048</t>
  </si>
  <si>
    <t xml:space="preserve">4714781020107 </t>
  </si>
  <si>
    <t xml:space="preserve">4714781024723 </t>
  </si>
  <si>
    <t>WACA-Longan-000047</t>
  </si>
  <si>
    <t xml:space="preserve">4714781024730 </t>
  </si>
  <si>
    <t>WACA-Longan-000046</t>
  </si>
  <si>
    <t xml:space="preserve">4714781024716 </t>
  </si>
  <si>
    <t>WACA-Longan-000045</t>
  </si>
  <si>
    <t xml:space="preserve">4714781020299 </t>
  </si>
  <si>
    <t>WACA-Longan-000044</t>
  </si>
  <si>
    <t>WACA-Longan-000043</t>
  </si>
  <si>
    <t>WACA-Longan-000042</t>
  </si>
  <si>
    <t>WACA-Longan-000041</t>
  </si>
  <si>
    <t>WACA-Longan-000040</t>
  </si>
  <si>
    <t>WACA-Longan-000039</t>
  </si>
  <si>
    <t>WACA-Longan-000038</t>
  </si>
  <si>
    <t>WACA-Longan-000037</t>
  </si>
  <si>
    <t>WACA-Longan-000036</t>
  </si>
  <si>
    <t>WACA-Longan-000035</t>
  </si>
  <si>
    <t>WACA-Longan-000034</t>
  </si>
  <si>
    <t>WACA-Longan-000033</t>
  </si>
  <si>
    <t>WACA-Longan-000032</t>
  </si>
  <si>
    <t>WACA-Longan-000031</t>
  </si>
  <si>
    <t>WACA-Longan-000030</t>
  </si>
  <si>
    <t>WACA-Longan-000029</t>
  </si>
  <si>
    <t>WACA-Longan-000028</t>
  </si>
  <si>
    <t>WACA-Longan-000027</t>
  </si>
  <si>
    <t>WACA-Longan-000026</t>
  </si>
  <si>
    <t>WACA-Longan-000025</t>
  </si>
  <si>
    <t>WACA-Longan-000024</t>
  </si>
  <si>
    <t>WACA-Longan-000023</t>
  </si>
  <si>
    <t>WACA-Longan-000022</t>
  </si>
  <si>
    <t>WACA-Longan-000021</t>
  </si>
  <si>
    <t>WACA-Longan-000020</t>
  </si>
  <si>
    <t>WACA-Longan-000019</t>
  </si>
  <si>
    <t>WACA-Longan-000018</t>
  </si>
  <si>
    <t>WACA-Longan-000017</t>
  </si>
  <si>
    <t>WACA-Longan-000016</t>
  </si>
  <si>
    <t>WACA-Longan-000015</t>
  </si>
  <si>
    <t>WACA-Longan-000014</t>
  </si>
  <si>
    <t>WACA-Longan-000013</t>
  </si>
  <si>
    <t>WACA-Longan-000012</t>
  </si>
  <si>
    <t>WACA-Longan-000011</t>
  </si>
  <si>
    <t>WACA-Longan-000010</t>
  </si>
  <si>
    <t>WACA-Longan-000009</t>
  </si>
  <si>
    <t>WACA-Longan-000008</t>
  </si>
  <si>
    <t>WACA-Longan-000007</t>
  </si>
  <si>
    <t>WACA-Longan-000006</t>
  </si>
  <si>
    <t>WACA-Longan-000005</t>
  </si>
  <si>
    <t>WACA-Longan-000004</t>
  </si>
  <si>
    <t>WACA-Longan-000003</t>
  </si>
  <si>
    <t>WACA-Longan-000002</t>
  </si>
  <si>
    <t>WACA-Longan-000001</t>
  </si>
  <si>
    <t>WACA-99-000025</t>
  </si>
  <si>
    <t>WACA-99-000024</t>
  </si>
  <si>
    <t>WACA-99-000023</t>
  </si>
  <si>
    <t>WACA-99-000022</t>
  </si>
  <si>
    <t>WACA-99-000021</t>
  </si>
  <si>
    <t>WACA-99-000020</t>
  </si>
  <si>
    <t>WACA-99-000019</t>
  </si>
  <si>
    <t>WACA-99-000018</t>
  </si>
  <si>
    <t>WACA-99-000017</t>
  </si>
  <si>
    <t>WACA-99-000016</t>
  </si>
  <si>
    <t xml:space="preserve">4714781020558 </t>
  </si>
  <si>
    <t>兒童健齒QQ凍(多多口味) 10入</t>
  </si>
  <si>
    <t>4714781021012</t>
  </si>
  <si>
    <t>WACA-99-000015</t>
  </si>
  <si>
    <t xml:space="preserve">4714781020503 </t>
  </si>
  <si>
    <t>WACA-99-000014</t>
  </si>
  <si>
    <t xml:space="preserve">4714781020466 </t>
  </si>
  <si>
    <t>WACA-99-000013</t>
  </si>
  <si>
    <t>WACA-99-000012</t>
  </si>
  <si>
    <t>WACA-99-000011</t>
  </si>
  <si>
    <t>WACA-99-000010</t>
  </si>
  <si>
    <t>4714781021029</t>
  </si>
  <si>
    <t>WACA-99-000009</t>
  </si>
  <si>
    <t>WACA-99-000008</t>
  </si>
  <si>
    <t>WACA-99-000007</t>
  </si>
  <si>
    <t>兒童【牙菌斑】檢測漱口水 1入</t>
  </si>
  <si>
    <t>WACA-99-000006</t>
  </si>
  <si>
    <t>WACA-99-000005</t>
  </si>
  <si>
    <t>兒童含鈣健齒牙膏 葡萄口味</t>
  </si>
  <si>
    <t>WACA-99-000004</t>
  </si>
  <si>
    <t>兒童含鈣健齒牙膏 橘子口味</t>
  </si>
  <si>
    <t>WACA-99-000003</t>
  </si>
  <si>
    <t>WACA-99-000002</t>
  </si>
  <si>
    <t>WACA-99-000001</t>
  </si>
  <si>
    <t>WACA-LS-000029</t>
  </si>
  <si>
    <t>WACA-LS-000028</t>
  </si>
  <si>
    <t>WACA-LS-000027</t>
  </si>
  <si>
    <t>WACA-LS-000026</t>
  </si>
  <si>
    <t>WACA-LS-000025</t>
  </si>
  <si>
    <t>WACA-LS-000024</t>
  </si>
  <si>
    <t>WACA-LS-000023</t>
  </si>
  <si>
    <t>WACA-LS-000022</t>
  </si>
  <si>
    <t>WACA-LS-000021</t>
  </si>
  <si>
    <t>WACA-LS-000020</t>
  </si>
  <si>
    <t>WACA-LS-000097</t>
  </si>
  <si>
    <t>WACA-LS-000096</t>
  </si>
  <si>
    <t>WACA-LS-000095</t>
  </si>
  <si>
    <t>WACA-LS-000094</t>
  </si>
  <si>
    <t>WACA-LS-000093</t>
  </si>
  <si>
    <t>WACA-LS-000092</t>
  </si>
  <si>
    <t>WACA-LS-000091</t>
  </si>
  <si>
    <t>WACA-LS-000090</t>
  </si>
  <si>
    <t>WACA-LS-000089</t>
  </si>
  <si>
    <t>WACA-LS-000088</t>
  </si>
  <si>
    <t>WACA-LS-000087</t>
  </si>
  <si>
    <t>WACA-LS-000086</t>
  </si>
  <si>
    <t>WACA-LS-000085</t>
  </si>
  <si>
    <t>WACA-LS-000084</t>
  </si>
  <si>
    <t>WACA-LS-000083</t>
  </si>
  <si>
    <t>WACA-LS-000082</t>
  </si>
  <si>
    <t>WACA-LS-000081</t>
  </si>
  <si>
    <t>WACA-LS-000080</t>
  </si>
  <si>
    <t>WACA-LS-000079</t>
  </si>
  <si>
    <t>WACA-LS-000078</t>
  </si>
  <si>
    <t>WACA-LS-000077</t>
  </si>
  <si>
    <t>WACA-LS-000076</t>
  </si>
  <si>
    <t>WACA-LS-000075</t>
  </si>
  <si>
    <t>WACA-LS-000074</t>
  </si>
  <si>
    <t>WACA-LS-000073</t>
  </si>
  <si>
    <t>WACA-LS-000072</t>
  </si>
  <si>
    <t>WACA-LS-000071</t>
  </si>
  <si>
    <t>WACA-LS-000070</t>
  </si>
  <si>
    <t>WACA-LS-000103</t>
  </si>
  <si>
    <t>WACA-LS-000102</t>
  </si>
  <si>
    <t>WACA-LS-000101</t>
  </si>
  <si>
    <t>WACA-LS-000100</t>
  </si>
  <si>
    <t>WACA-LS-000099</t>
  </si>
  <si>
    <t>WACA-LS-000098</t>
  </si>
  <si>
    <t>WACA-HA-000073</t>
  </si>
  <si>
    <t>WACA-HA-000072</t>
  </si>
  <si>
    <t>WACA-HA-000071</t>
  </si>
  <si>
    <t>WACA-HA-000070</t>
  </si>
  <si>
    <t>WACA-HA-000069</t>
  </si>
  <si>
    <t>WACA-HA-000068</t>
  </si>
  <si>
    <t>WACA-HA-000067</t>
  </si>
  <si>
    <t>WACA-HA-000066</t>
  </si>
  <si>
    <t>WACA-HA-000065</t>
  </si>
  <si>
    <t>WACA-HA-000064</t>
  </si>
  <si>
    <t>WACA-HA-000063</t>
  </si>
  <si>
    <t>WACA-HA-000062</t>
  </si>
  <si>
    <t>WACA-HA-000061</t>
  </si>
  <si>
    <t>WACA-HA-000060</t>
  </si>
  <si>
    <t>WACA-HA-000059</t>
  </si>
  <si>
    <t>WACA-HA-000058</t>
  </si>
  <si>
    <t>WACA-HA-000057</t>
  </si>
  <si>
    <t>WACA-HA-000056</t>
  </si>
  <si>
    <t>WACA-HA-000055</t>
  </si>
  <si>
    <t>WACA-HA-000054</t>
  </si>
  <si>
    <t>WACA-HA-000053</t>
  </si>
  <si>
    <t>WACA-HA-000052</t>
  </si>
  <si>
    <t>WACA-HA-000051</t>
  </si>
  <si>
    <t>WACA-HA-000050</t>
  </si>
  <si>
    <t>WACA-HA-000049</t>
  </si>
  <si>
    <t>WACA-HA-000048</t>
  </si>
  <si>
    <t>WACA-HA-000047</t>
  </si>
  <si>
    <t>WACA-HA-000046</t>
  </si>
  <si>
    <t>WACA-HA-000045</t>
  </si>
  <si>
    <t>WACA-HA-000044</t>
  </si>
  <si>
    <t>WACA-HA-000043</t>
  </si>
  <si>
    <t>WACA-HA-000042</t>
  </si>
  <si>
    <t>WACA-HA-000041</t>
  </si>
  <si>
    <t>WACA-HA-000040</t>
  </si>
  <si>
    <t>WACA-HA-000039</t>
  </si>
  <si>
    <t>WACA-HA-000038</t>
  </si>
  <si>
    <t>WACA-HA-000037</t>
  </si>
  <si>
    <t>WACA-HA-000036</t>
  </si>
  <si>
    <t>WACA-HA-000035</t>
  </si>
  <si>
    <t>WACA-HA-000034</t>
  </si>
  <si>
    <t>WACA-HA-000033</t>
  </si>
  <si>
    <t>WACA-HA-000032</t>
  </si>
  <si>
    <t>WACA-HA-000031</t>
  </si>
  <si>
    <t>WACA-HA-000030</t>
  </si>
  <si>
    <t>WACA-HA-000029</t>
  </si>
  <si>
    <t>WACA-HA-000028</t>
  </si>
  <si>
    <t>WACA-HA-000027</t>
  </si>
  <si>
    <t>WACA-HA-000026</t>
  </si>
  <si>
    <t>WACA-HA-000025</t>
  </si>
  <si>
    <t>WACA-HA-000024</t>
  </si>
  <si>
    <t>WACA-HA-000023</t>
  </si>
  <si>
    <t>WACA-HA-000022</t>
  </si>
  <si>
    <t>WACA-HA-000021</t>
  </si>
  <si>
    <t>WACA-HA-000020</t>
  </si>
  <si>
    <t>WACA-HA-000019</t>
  </si>
  <si>
    <t>WACA-HA-000018</t>
  </si>
  <si>
    <t>WACA-HA-000017</t>
  </si>
  <si>
    <t>WACA-HA-000016</t>
  </si>
  <si>
    <t>WACA-HA-000015</t>
  </si>
  <si>
    <t>WACA-HA-000014</t>
  </si>
  <si>
    <t>WACA-HA-000013</t>
  </si>
  <si>
    <t>WACA-HA-000012</t>
  </si>
  <si>
    <t>WACA-HA-000011</t>
  </si>
  <si>
    <t>WACA-HA-000010</t>
  </si>
  <si>
    <t>WACA-HA-000009</t>
  </si>
  <si>
    <t>WACA-HA-000008</t>
  </si>
  <si>
    <t>WACA-HA-000007</t>
  </si>
  <si>
    <t>WACA-HA-000006</t>
  </si>
  <si>
    <t>WACA-HA-000005</t>
  </si>
  <si>
    <t>WACA-HA-000004</t>
  </si>
  <si>
    <t>WACA-HA-000003</t>
  </si>
  <si>
    <t>WACA-HA-000002</t>
  </si>
  <si>
    <t>WACA-HA-000001</t>
  </si>
  <si>
    <t>WACA-BMEx-000129</t>
  </si>
  <si>
    <t>WACA-BMEx-000128</t>
  </si>
  <si>
    <t>WACA-BMEx-000127</t>
  </si>
  <si>
    <t>WACA-BMEx-000126</t>
  </si>
  <si>
    <t>WACA-BMEx-000125</t>
  </si>
  <si>
    <t>WACA-BMEx-000124</t>
  </si>
  <si>
    <t>WACA-BMEx-000123</t>
  </si>
  <si>
    <t>WACA-BMEx-000122</t>
  </si>
  <si>
    <t>WACA-BMEx-000121</t>
  </si>
  <si>
    <t>WACA-BMEx-000120</t>
  </si>
  <si>
    <t xml:space="preserve">4714781020602 </t>
  </si>
  <si>
    <t xml:space="preserve">4714781020619 </t>
  </si>
  <si>
    <t>WACA-BMEx-000119</t>
  </si>
  <si>
    <t>WACA-BMEx-000118</t>
  </si>
  <si>
    <t>WACA-BMEx-000117</t>
  </si>
  <si>
    <t>WACA-BMEx-000116</t>
  </si>
  <si>
    <t xml:space="preserve">4714781020510 </t>
  </si>
  <si>
    <t>WACA-BMEx-000115</t>
  </si>
  <si>
    <t>WACA-BMEx-000114</t>
  </si>
  <si>
    <t>WACA-BMEx-000113</t>
  </si>
  <si>
    <t>WACA-BMEx-000112</t>
  </si>
  <si>
    <t>WACA-BMEx-000111</t>
  </si>
  <si>
    <t>WACA-BMEx-000110</t>
  </si>
  <si>
    <t>WACA-BMEx-000109</t>
  </si>
  <si>
    <t>WACA-BMEx-000108</t>
  </si>
  <si>
    <t>WACA-BMEx-000107</t>
  </si>
  <si>
    <t>WACA-BMEx-000106</t>
  </si>
  <si>
    <t>WACA-BMEx-000105</t>
  </si>
  <si>
    <t>齒妍堂 T-SPRAY Kids 口腔清潔棒 10入</t>
  </si>
  <si>
    <t>WACA-BMEx-000104</t>
  </si>
  <si>
    <t xml:space="preserve">4714781020282 </t>
  </si>
  <si>
    <t>WACA-BMEx-000103</t>
  </si>
  <si>
    <t>WACA-BMEx-000102</t>
  </si>
  <si>
    <t>WACA-BMEx-000101</t>
  </si>
  <si>
    <t>WACA-BMEx-000100</t>
  </si>
  <si>
    <t>兒童晶亮健齒QQ凍(葡萄口味)單入</t>
  </si>
  <si>
    <t>NP-Z0026</t>
  </si>
  <si>
    <t>WACA-BMEx-000084</t>
  </si>
  <si>
    <t>兒童健齒QQ凍(荔枝口味) 單入</t>
  </si>
  <si>
    <t>NP-Z0027</t>
  </si>
  <si>
    <t>WACA-BMEx-000083</t>
  </si>
  <si>
    <t>兒童健齒QQ凍(多多口味) 單入</t>
  </si>
  <si>
    <t>NP-Z0025</t>
  </si>
  <si>
    <t>WACA-BMEx-000082</t>
  </si>
  <si>
    <t>口腔清潔棒 1入</t>
  </si>
  <si>
    <t xml:space="preserve">4714781020091 </t>
  </si>
  <si>
    <t>WACA-BMEx-000081</t>
  </si>
  <si>
    <t>WACA-BMEx-000080</t>
  </si>
  <si>
    <t>WACA-BMEx-000079</t>
  </si>
  <si>
    <t>WACA-BMEx-000078</t>
  </si>
  <si>
    <t>WACA-BMEx-000077</t>
  </si>
  <si>
    <t>WACA-BMEx-000076</t>
  </si>
  <si>
    <t>WACA-BMEx-000075</t>
  </si>
  <si>
    <t xml:space="preserve">4714781021036 </t>
  </si>
  <si>
    <t>WACA-BMEx-000074</t>
  </si>
  <si>
    <t>WACA-BMEx-000073</t>
  </si>
  <si>
    <t xml:space="preserve">4714781021043 </t>
  </si>
  <si>
    <t>WACA-BMEx-000072</t>
  </si>
  <si>
    <t>奶瓶蔬果清潔露【1入】</t>
  </si>
  <si>
    <t xml:space="preserve">4714781020596 </t>
  </si>
  <si>
    <t>WACA-BMEx-000071</t>
  </si>
  <si>
    <t>汪汪隊立大功騎士堡豪華體驗包</t>
  </si>
  <si>
    <t>4714781021364</t>
  </si>
  <si>
    <t>WACA-BMEx-000070</t>
  </si>
  <si>
    <t>汪汪隊立大功開學季禮盒組</t>
  </si>
  <si>
    <t>4714781021258</t>
  </si>
  <si>
    <t>WACA-BMEx-000069</t>
  </si>
  <si>
    <t>汪汪隊軟糖 葡萄口味 30克</t>
  </si>
  <si>
    <t>4714781020725</t>
  </si>
  <si>
    <t>汪汪隊軟糖 草莓口味 30克</t>
  </si>
  <si>
    <t>4714781020732</t>
  </si>
  <si>
    <t>WACA-BMEx-000068</t>
  </si>
  <si>
    <t>汪汪隊軟糖 多多口味 30克</t>
  </si>
  <si>
    <t>4714781020718</t>
  </si>
  <si>
    <t>WACA-BMEx-000067</t>
  </si>
  <si>
    <t>WACA-BMEx-000066</t>
  </si>
  <si>
    <t>WACA-BMEx-000065</t>
  </si>
  <si>
    <t>WACA-BMEx-000064</t>
  </si>
  <si>
    <t>WACA-BMEx-000063</t>
  </si>
  <si>
    <t>WACA-BMEx-000062</t>
  </si>
  <si>
    <t>WACA-BMEx-000061</t>
  </si>
  <si>
    <t>WACA-BMEx-000060</t>
  </si>
  <si>
    <t>WACA-BMEx-000059</t>
  </si>
  <si>
    <t>WACA-BMEx-000058</t>
  </si>
  <si>
    <t>WACA-BMEx-000057</t>
  </si>
  <si>
    <t>WACA-BMEx-000056</t>
  </si>
  <si>
    <t>WACA-BMEx-000055</t>
  </si>
  <si>
    <t>WACA-BMEx-000054</t>
  </si>
  <si>
    <t>WACA-BMEx-000053</t>
  </si>
  <si>
    <t>WACA-BMEx-000052</t>
  </si>
  <si>
    <t>WACA-BMEx-000051</t>
  </si>
  <si>
    <t>WACA-BMEx-000050</t>
  </si>
  <si>
    <t>WACA-BMEx-000049</t>
  </si>
  <si>
    <t>WACA-BMEx-000048</t>
  </si>
  <si>
    <t>WACA-BMEx-000047</t>
  </si>
  <si>
    <t>WACA-BMEx-000046</t>
  </si>
  <si>
    <t>WACA-BMEx-000045</t>
  </si>
  <si>
    <t>WACA-BMEx-000044</t>
  </si>
  <si>
    <t xml:space="preserve">4714781020817 </t>
  </si>
  <si>
    <t>WACA-BMEx-000043</t>
  </si>
  <si>
    <t xml:space="preserve">4714781020800 </t>
  </si>
  <si>
    <t>WACA-BMEx-000042</t>
  </si>
  <si>
    <t xml:space="preserve">4714781020794 </t>
  </si>
  <si>
    <t>WACA-BMEx-000041</t>
  </si>
  <si>
    <t>兒童含鈣健齒漱口水 泡泡糖口味 1入</t>
  </si>
  <si>
    <t xml:space="preserve">4714781020473 </t>
  </si>
  <si>
    <t>WACA-BMEx-000040</t>
  </si>
  <si>
    <t>WACA-BMEx-000039</t>
  </si>
  <si>
    <t>WACA-BMEx-000038</t>
  </si>
  <si>
    <t>WACA-BMEx-000037</t>
  </si>
  <si>
    <t>WACA-BMEx-000036</t>
  </si>
  <si>
    <t>WACA-BMEx-000035</t>
  </si>
  <si>
    <t>WACA-BMEx-000034</t>
  </si>
  <si>
    <t>WACA-BMEx-000033</t>
  </si>
  <si>
    <t>WACA-BMEx-000032</t>
  </si>
  <si>
    <t>WACA-BMEx-000031</t>
  </si>
  <si>
    <t>WACA-BMEx-000030</t>
  </si>
  <si>
    <t>WACA-BMEx-000029</t>
  </si>
  <si>
    <t>WACA-BMEx-000028</t>
  </si>
  <si>
    <t>WACA-BMEx-000027</t>
  </si>
  <si>
    <t>QQ凍(荔枝)+QQ糖(草莓)</t>
  </si>
  <si>
    <t>4714781021340</t>
  </si>
  <si>
    <t>WACA-BMEx-000026</t>
  </si>
  <si>
    <t>QQ凍(葡萄)+QQ糖(葡萄)</t>
  </si>
  <si>
    <t>WACA-BMEx-000025</t>
  </si>
  <si>
    <t>QQ凍(多多)+QQ糖(多多)</t>
  </si>
  <si>
    <t>4714781021326</t>
  </si>
  <si>
    <t>WACA-BMEx-000024</t>
  </si>
  <si>
    <t>WACA-BMEx-000023</t>
  </si>
  <si>
    <t>WACA-BMEx-000022</t>
  </si>
  <si>
    <t>WACA-BMEx-000021</t>
  </si>
  <si>
    <t>WACA-BMEx-000020</t>
  </si>
  <si>
    <t>WACA-BMEx-000019</t>
  </si>
  <si>
    <t>WACA-BMEx-000018</t>
  </si>
  <si>
    <t>WACA-BMEx-000017</t>
  </si>
  <si>
    <t>WACA-BMEx-000016</t>
  </si>
  <si>
    <t>WACA-BMEx-000015</t>
  </si>
  <si>
    <t>WACA-BMEx-000014</t>
  </si>
  <si>
    <t>WACA-BMEx-000013</t>
  </si>
  <si>
    <t>WACA-BMEx-000012</t>
  </si>
  <si>
    <t>WACA-BMEx-000011</t>
  </si>
  <si>
    <t>WACA-BMEx-000010</t>
  </si>
  <si>
    <t>WACA-BMEx-000009</t>
  </si>
  <si>
    <t>WACA-BMEx-000008</t>
  </si>
  <si>
    <t>WACA-BMEx-000007</t>
  </si>
  <si>
    <t>WACA-BMEx-000006</t>
  </si>
  <si>
    <t>WACA-BMEx-000005</t>
  </si>
  <si>
    <t>WACA-BMEx-000004</t>
  </si>
  <si>
    <t>WACA-BMEx-000003</t>
  </si>
  <si>
    <t>WACA-BMEx-000002</t>
  </si>
  <si>
    <t>WACA-BMEx-000001</t>
  </si>
  <si>
    <t>兒童含鈣健齒噴霧 草莓口味5入</t>
  </si>
  <si>
    <t>WACA-Ciou-000071</t>
  </si>
  <si>
    <t>兒童含鈣健齒噴霧 牛奶口味5入</t>
  </si>
  <si>
    <t>WACA-Ciou-000070</t>
  </si>
  <si>
    <t>兒童含鈣健齒噴霧 葡萄口味5入</t>
  </si>
  <si>
    <t>WACA-Ciou-000069</t>
  </si>
  <si>
    <t>兒童含鈣健齒噴霧 哈密瓜口味5入</t>
  </si>
  <si>
    <t>WACA-Ciou-000068</t>
  </si>
  <si>
    <t>兒童含鈣健齒噴霧 水蜜桃口味5入</t>
  </si>
  <si>
    <t>WACA-Ciou-000067</t>
  </si>
  <si>
    <t>WACA-Ciou-000066</t>
  </si>
  <si>
    <t>WACA-Ciou-000065</t>
  </si>
  <si>
    <t>WACA-Ciou-000064</t>
  </si>
  <si>
    <t>WACA-Ciou-000063</t>
  </si>
  <si>
    <t>WACA-Ciou-000062</t>
  </si>
  <si>
    <t>WACA-Ciou-000061</t>
  </si>
  <si>
    <t>WACA-Ciou-000060</t>
  </si>
  <si>
    <t>WACA-Ciou-000059</t>
  </si>
  <si>
    <t>WACA-Ciou-000058</t>
  </si>
  <si>
    <t>WACA-Ciou-000057</t>
  </si>
  <si>
    <t>WACA-Ciou-000056</t>
  </si>
  <si>
    <t>WACA-Ciou-000055</t>
  </si>
  <si>
    <t>WACA-Ciou-000054</t>
  </si>
  <si>
    <t>WACA-Ciou-000053</t>
  </si>
  <si>
    <t>WACA-Ciou-000052</t>
  </si>
  <si>
    <t>WACA-Ciou-000051</t>
  </si>
  <si>
    <t>WACA-Ciou-000050</t>
  </si>
  <si>
    <t>WACA-Ciou-000049</t>
  </si>
  <si>
    <t>WACA-Ciou-000048</t>
  </si>
  <si>
    <t>WACA-Ciou-000047</t>
  </si>
  <si>
    <t>WACA-Ciou-000046</t>
  </si>
  <si>
    <t>WACA-Ciou-000045</t>
  </si>
  <si>
    <t>WACA-Ciou-000044</t>
  </si>
  <si>
    <t>WACA-Ciou-000043</t>
  </si>
  <si>
    <t>WACA-Ciou-000042</t>
  </si>
  <si>
    <t>WACA-Ciou-000041</t>
  </si>
  <si>
    <t>WACA-Ciou-000040</t>
  </si>
  <si>
    <t>WACA-Ciou-000039</t>
  </si>
  <si>
    <t>WACA-Ciou-000038</t>
  </si>
  <si>
    <t>WACA-Ciou-000037</t>
  </si>
  <si>
    <t>WACA-Ciou-000036</t>
  </si>
  <si>
    <t>WACA-Ciou-000035</t>
  </si>
  <si>
    <t>WACA-Ciou-000034</t>
  </si>
  <si>
    <t>WACA-Ciou-000033</t>
  </si>
  <si>
    <t>WACA-Ciou-000032</t>
  </si>
  <si>
    <t>WACA-Ciou-000031</t>
  </si>
  <si>
    <t>WACA-Ciou-000030</t>
  </si>
  <si>
    <t>WACA-Ciou-000029</t>
  </si>
  <si>
    <t>WACA-Ciou-000028</t>
  </si>
  <si>
    <t>WACA-Ciou-000027</t>
  </si>
  <si>
    <t>WACA-Ciou-000026</t>
  </si>
  <si>
    <t>WACA-Ciou-000025</t>
  </si>
  <si>
    <t>WACA-Ciou-000024</t>
  </si>
  <si>
    <t>WACA-Ciou-000023</t>
  </si>
  <si>
    <t>WACA-Ciou-000022</t>
  </si>
  <si>
    <t>WACA-Ciou-000021</t>
  </si>
  <si>
    <t>WACA-Ciou-000020</t>
  </si>
  <si>
    <t>WACA-Ciou-000019</t>
  </si>
  <si>
    <t>WACA-Ciou-000018</t>
  </si>
  <si>
    <t>WACA-Ciou-000017</t>
  </si>
  <si>
    <t>WACA-Ciou-000016</t>
  </si>
  <si>
    <t>WACA-Ciou-000015</t>
  </si>
  <si>
    <t>WACA-Ciou-000014</t>
  </si>
  <si>
    <t>WACA-Ciou-000013</t>
  </si>
  <si>
    <t>WACA-Ciou-000012</t>
  </si>
  <si>
    <t>WACA-Ciou-000011</t>
  </si>
  <si>
    <t>WACA-Ciou-000010</t>
  </si>
  <si>
    <t>WACA-Ciou-000009</t>
  </si>
  <si>
    <t>WACA-Ciou-000008</t>
  </si>
  <si>
    <t>WACA-Ciou-000007</t>
  </si>
  <si>
    <t>WACA-Ciou-000006</t>
  </si>
  <si>
    <t>WACA-Ciou-000005</t>
  </si>
  <si>
    <t>WACA-Ciou-000004</t>
  </si>
  <si>
    <t>WACA-Ciou-000003</t>
  </si>
  <si>
    <t>WACA-Ciou-000002</t>
  </si>
  <si>
    <t>WACA-Ciou-000001</t>
  </si>
  <si>
    <t>汪汪隊立大功 齒妍堂 兒童健齒QQ凍(多多口味) 10入</t>
  </si>
  <si>
    <t>WACA-PAW-100006</t>
  </si>
  <si>
    <t>汪汪隊立大功 齒妍堂 兒童健齒QQ凍(荔枝口味) 10入</t>
  </si>
  <si>
    <t>WACA-PAW-100005</t>
  </si>
  <si>
    <t>WACA-PAW-100004</t>
  </si>
  <si>
    <t>WACA-PAW-100003</t>
  </si>
  <si>
    <t>WACA-PAW-000132</t>
  </si>
  <si>
    <t>WACA-PAW-000130</t>
  </si>
  <si>
    <t>WACA-PAW-100002</t>
  </si>
  <si>
    <t>WACA-PAW-100001</t>
  </si>
  <si>
    <t>WACA-PAW-100000</t>
  </si>
  <si>
    <t>WACA-BB-000052</t>
  </si>
  <si>
    <t>WACA-BB-000051</t>
  </si>
  <si>
    <t>WACA-BB-000050</t>
  </si>
  <si>
    <t>WACA-BB-000049</t>
  </si>
  <si>
    <t>WACA-BB-000048</t>
  </si>
  <si>
    <t>WACA-BB-000047</t>
  </si>
  <si>
    <t>WACA-BB-000046</t>
  </si>
  <si>
    <t>WACA-BB-000045</t>
  </si>
  <si>
    <t>WACA-BB-000044</t>
  </si>
  <si>
    <t>WACA-BB-000043</t>
  </si>
  <si>
    <t>WACA-BB-000042</t>
  </si>
  <si>
    <t>WACA-BB-000041</t>
  </si>
  <si>
    <t>WACA-BB-000040</t>
  </si>
  <si>
    <t>WACA-BB-000039</t>
  </si>
  <si>
    <t>WACA-BB-000038</t>
  </si>
  <si>
    <t>WACA-BB-000037</t>
  </si>
  <si>
    <t>WACA-BB-000036</t>
  </si>
  <si>
    <t>WACA-BB-000035</t>
  </si>
  <si>
    <t>WACA-BB-000034</t>
  </si>
  <si>
    <t>WACA-BB-000033</t>
  </si>
  <si>
    <t>WACA-BB-000032</t>
  </si>
  <si>
    <t>WACA-BB-000031</t>
  </si>
  <si>
    <t>WACA-BB-000030</t>
  </si>
  <si>
    <t>WACA-BB-000029</t>
  </si>
  <si>
    <t>WACA-BB-000028</t>
  </si>
  <si>
    <t>WACA-BB-000027</t>
  </si>
  <si>
    <t>WACA-BB-000026</t>
  </si>
  <si>
    <t>WACA-BB-000025</t>
  </si>
  <si>
    <t>WACA-BB-000024</t>
  </si>
  <si>
    <t>WACA-BB-000023</t>
  </si>
  <si>
    <t>WACA-BB-000022</t>
  </si>
  <si>
    <t>WACA-BB-000021</t>
  </si>
  <si>
    <t>WACA-BB-000020</t>
  </si>
  <si>
    <t>WACA-BB-000019</t>
  </si>
  <si>
    <t>WACA-BB-000018</t>
  </si>
  <si>
    <t>WACA-BB-000017</t>
  </si>
  <si>
    <t>WACA-BB-000016</t>
  </si>
  <si>
    <t>WACA-BB-000015</t>
  </si>
  <si>
    <t>WACA-BB-000014</t>
  </si>
  <si>
    <t>WACA-BB-000013</t>
  </si>
  <si>
    <t>WACA-BB-000012</t>
  </si>
  <si>
    <t>WACA-BB-000011</t>
  </si>
  <si>
    <t>WACA-BB-000010</t>
  </si>
  <si>
    <t>WACA-BB-000009</t>
  </si>
  <si>
    <t>WACA-BB-000008</t>
  </si>
  <si>
    <t>WACA-BB-000007</t>
  </si>
  <si>
    <t>WACA-BB-000006</t>
  </si>
  <si>
    <t>WACA-BB-000005</t>
  </si>
  <si>
    <t>WACA-BB-000004</t>
  </si>
  <si>
    <t>WACA-BB-000003</t>
  </si>
  <si>
    <t>WACA-BB-000002</t>
  </si>
  <si>
    <t>WACA-BB-000001</t>
  </si>
  <si>
    <t>齒妍堂無糖QQ軟糖(洛神蔓越莓口味)</t>
  </si>
  <si>
    <t>WACA-ADU-000024</t>
  </si>
  <si>
    <t>齒妍堂無糖QQ軟糖(麝香葡萄口味)</t>
  </si>
  <si>
    <t>WACA-ADU-000023</t>
  </si>
  <si>
    <t>齒妍堂無糖QQ軟糖(果香玫瑰口味)</t>
  </si>
  <si>
    <t>WACA-ADU-000022</t>
  </si>
  <si>
    <t>WACA-ADU-000020</t>
  </si>
  <si>
    <t>WACA-ADU-000019</t>
  </si>
  <si>
    <t>WACA-ADU-000018</t>
  </si>
  <si>
    <t>WACA-ADU-000017</t>
  </si>
  <si>
    <t>WACA-ADU-000016</t>
  </si>
  <si>
    <t>WACA-ADU-000015</t>
  </si>
  <si>
    <t>WACA-ADU-000014</t>
  </si>
  <si>
    <t>WACA-ADU-000013</t>
  </si>
  <si>
    <t>WACA-ADU-000012</t>
  </si>
  <si>
    <t>WACA-ADU-000011</t>
  </si>
  <si>
    <t>WACA-ADU-000010</t>
  </si>
  <si>
    <t>WACA-ADU-000009</t>
  </si>
  <si>
    <t>WACA-ADU-000008</t>
  </si>
  <si>
    <t>WACA-ADU-000007</t>
  </si>
  <si>
    <t>WACA-ADU-000005</t>
  </si>
  <si>
    <t>WACA-11-000029</t>
  </si>
  <si>
    <t>WACA-11-000028</t>
  </si>
  <si>
    <t>4714781020954</t>
  </si>
  <si>
    <t>WACA-11-000027</t>
  </si>
  <si>
    <t>WACA-11-000026</t>
  </si>
  <si>
    <t>WACA-11-000025</t>
  </si>
  <si>
    <t>WACA-11-000024</t>
  </si>
  <si>
    <t>4714781020817</t>
  </si>
  <si>
    <t>WACA-11-000023</t>
  </si>
  <si>
    <t>4714781020800</t>
  </si>
  <si>
    <t>WACA-11-000022</t>
  </si>
  <si>
    <t>4714781020794</t>
  </si>
  <si>
    <t>WACA-11-000021</t>
  </si>
  <si>
    <t>WACA-11-000020</t>
  </si>
  <si>
    <t>WACA-11-000019</t>
  </si>
  <si>
    <t>4714781020831</t>
  </si>
  <si>
    <t>WACA-11-000018</t>
  </si>
  <si>
    <t>4714781020824</t>
  </si>
  <si>
    <t>WACA-11-000017</t>
  </si>
  <si>
    <t>WACA-11-000016</t>
  </si>
  <si>
    <t>WACA-11-000015</t>
  </si>
  <si>
    <t>WACA-11-000014</t>
  </si>
  <si>
    <t>WACA-11-000013</t>
  </si>
  <si>
    <t>WACA-11-000012</t>
  </si>
  <si>
    <t>WACA-11-000011</t>
  </si>
  <si>
    <t>WACA-11-000010</t>
  </si>
  <si>
    <t>WACA-11-000009</t>
  </si>
  <si>
    <t>4714781020619</t>
  </si>
  <si>
    <t>4714781020602</t>
  </si>
  <si>
    <t>WACA-11-000008</t>
  </si>
  <si>
    <t>WACA-11-000007</t>
  </si>
  <si>
    <t>WACA-11-000006</t>
  </si>
  <si>
    <t>齒妍堂 T-SPRAY Kids 兒童含鈣健齒噴霧 20ml 葡萄口味</t>
  </si>
  <si>
    <t>WACA-11-000005</t>
  </si>
  <si>
    <t>齒妍堂 T-SPRAY Kids 兒童含鈣健齒噴霧 20ml 草莓口味</t>
  </si>
  <si>
    <t>WACA-11-000004</t>
  </si>
  <si>
    <t>齒妍堂 T-SPRAY Kids 兒童含鈣健齒噴霧 20ml 牛奶口味</t>
  </si>
  <si>
    <t>WACA-11-000003</t>
  </si>
  <si>
    <t>齒妍堂 T-SPRAY Kids 兒童含鈣健齒噴霧 20ml 哈密瓜口味</t>
  </si>
  <si>
    <t>WACA-11-000002</t>
  </si>
  <si>
    <t>齒妍堂 T-SPRAY Kids 兒童含鈣健齒噴霧 20ml 水蜜桃口味</t>
  </si>
  <si>
    <t>WACA-11-000001</t>
  </si>
  <si>
    <t>WACA-11-000032</t>
  </si>
  <si>
    <t xml:space="preserve">4714781020169 </t>
  </si>
  <si>
    <t>WACA-11-000031</t>
  </si>
  <si>
    <t>WACA-11-000030</t>
  </si>
  <si>
    <t>WACA-LS-110009</t>
  </si>
  <si>
    <t>WACA-LS-110008</t>
  </si>
  <si>
    <t xml:space="preserve">4714781021050 </t>
  </si>
  <si>
    <t>WACA-LS-110007</t>
  </si>
  <si>
    <t>WACA-LS-110006</t>
  </si>
  <si>
    <t>WACA-LS-110005</t>
  </si>
  <si>
    <t>WACA-LS-110004</t>
  </si>
  <si>
    <t>WACA-LS-110003</t>
  </si>
  <si>
    <t>WACA-LS-110002</t>
  </si>
  <si>
    <t>WACA-LS-110001</t>
  </si>
  <si>
    <t>WACA-GA-000066</t>
  </si>
  <si>
    <t>WACA-GA-000065</t>
  </si>
  <si>
    <t>WACA-GA-000064</t>
  </si>
  <si>
    <t>WACA-GA-000063</t>
  </si>
  <si>
    <t>WACA-GA-000062</t>
  </si>
  <si>
    <t>WACA-GA-000061</t>
  </si>
  <si>
    <t>WACA-GA-000060</t>
  </si>
  <si>
    <t>WACA-GA-000059</t>
  </si>
  <si>
    <t>WACA-GA-000058</t>
  </si>
  <si>
    <t>WACA-GA-000057</t>
  </si>
  <si>
    <t>WACA-GA-000056</t>
  </si>
  <si>
    <t>WACA-GA-000055</t>
  </si>
  <si>
    <t>WACA-GA-000054</t>
  </si>
  <si>
    <t>WACA-GA-000053</t>
  </si>
  <si>
    <t>WACA-GA-000052</t>
  </si>
  <si>
    <t>WACA-GA-000051</t>
  </si>
  <si>
    <t>WACA-GA-000050</t>
  </si>
  <si>
    <t>WACA-GA-000049</t>
  </si>
  <si>
    <t>WACA-GA-000048</t>
  </si>
  <si>
    <t>WACA-GA-000047</t>
  </si>
  <si>
    <t>WACA-GA-000046</t>
  </si>
  <si>
    <t>WACA-GA-000045</t>
  </si>
  <si>
    <t>WACA-GA-000044</t>
  </si>
  <si>
    <t>WACA-GA-000043</t>
  </si>
  <si>
    <t>WACA-GA-000042</t>
  </si>
  <si>
    <t>WACA-GA-000041</t>
  </si>
  <si>
    <t>WACA-GA-000040</t>
  </si>
  <si>
    <t>WACA-GA-000039</t>
  </si>
  <si>
    <t>WACA-GA-000038</t>
  </si>
  <si>
    <t>WACA-GA-000037</t>
  </si>
  <si>
    <t>WACA-GA-000036</t>
  </si>
  <si>
    <t>WACA-GA-000035</t>
  </si>
  <si>
    <t>WACA-GA-000034</t>
  </si>
  <si>
    <t>WACA-GA-000033</t>
  </si>
  <si>
    <t>WACA-GA-000032</t>
  </si>
  <si>
    <t>WACA-GA-000031</t>
  </si>
  <si>
    <t>WACA-GA-000030</t>
  </si>
  <si>
    <t>WACA-GA-000029</t>
  </si>
  <si>
    <t>WACA-GA-000028</t>
  </si>
  <si>
    <t>WACA-GA-000027</t>
  </si>
  <si>
    <t>WACA-GA-000026</t>
  </si>
  <si>
    <t>WACA-GA-000025</t>
  </si>
  <si>
    <t>WACA-GA-000024</t>
  </si>
  <si>
    <t>WACA-GA-000023</t>
  </si>
  <si>
    <t>WACA-GA-000022</t>
  </si>
  <si>
    <t>WACA-GA-000021</t>
  </si>
  <si>
    <t>WACA-GA-000020</t>
  </si>
  <si>
    <t>WACA-GA-000019</t>
  </si>
  <si>
    <t>WACA-GA-000018</t>
  </si>
  <si>
    <t>WACA-GA-000017</t>
  </si>
  <si>
    <t>WACA-GA-000016</t>
  </si>
  <si>
    <t>WACA-GA-000015</t>
  </si>
  <si>
    <t>WACA-GA-000014</t>
  </si>
  <si>
    <t>WACA-GA-000013</t>
  </si>
  <si>
    <t>WACA-GA-000012</t>
  </si>
  <si>
    <t>WACA-GA-000011</t>
  </si>
  <si>
    <t>WACA-GA-000010</t>
  </si>
  <si>
    <t>WACA-GA-000009</t>
  </si>
  <si>
    <t>WACA-GA-000008</t>
  </si>
  <si>
    <t>WACA-GA-000007</t>
  </si>
  <si>
    <t>WACA-GA-000006</t>
  </si>
  <si>
    <t>WACA-GA-000005</t>
  </si>
  <si>
    <t>WACA-GA-000004</t>
  </si>
  <si>
    <t>WACA-GA-000003</t>
  </si>
  <si>
    <t>WACA-GA-000002</t>
  </si>
  <si>
    <t>WACA-GA-000001</t>
  </si>
  <si>
    <t>WACA-SP-000001</t>
  </si>
  <si>
    <t>WACA-WL-000054</t>
  </si>
  <si>
    <t>WACA-WL-000053</t>
  </si>
  <si>
    <t>WACA-WL-000052</t>
  </si>
  <si>
    <t>WACA-WL-000051</t>
  </si>
  <si>
    <t>WACA-WL-000050</t>
  </si>
  <si>
    <t>WACA-WL-000049</t>
  </si>
  <si>
    <t>WACA-WL-000048</t>
  </si>
  <si>
    <t>WACA-WL-000047</t>
  </si>
  <si>
    <t>WACA-WL-000046</t>
  </si>
  <si>
    <t>WACA-WL-000045</t>
  </si>
  <si>
    <t>WACA-WL-000044</t>
  </si>
  <si>
    <t>WACA-WL-000043</t>
  </si>
  <si>
    <t>WACA-WL-000042</t>
  </si>
  <si>
    <t>WACA-WL-000041</t>
  </si>
  <si>
    <t>WACA-WL-000040</t>
  </si>
  <si>
    <t>WACA-WL-000039</t>
  </si>
  <si>
    <t>WACA-WL-000038</t>
  </si>
  <si>
    <t>WACA-WL-000037</t>
  </si>
  <si>
    <t>WACA-WL-000036</t>
  </si>
  <si>
    <t>WACA-WL-000035</t>
  </si>
  <si>
    <t>WACA-WL-000034</t>
  </si>
  <si>
    <t>WACA-WL-000033</t>
  </si>
  <si>
    <t>WACA-WL-000032</t>
  </si>
  <si>
    <t>WACA-WL-000031</t>
  </si>
  <si>
    <t>WACA-WL-000030</t>
  </si>
  <si>
    <t>WACA-WL-000029</t>
  </si>
  <si>
    <t>WACA-WL-000028</t>
  </si>
  <si>
    <t>WACA-WL-000027</t>
  </si>
  <si>
    <t>WACA-WL-000026</t>
  </si>
  <si>
    <t>WACA-WL-000025</t>
  </si>
  <si>
    <t>WACA-WL-000024</t>
  </si>
  <si>
    <t>WACA-WL-000023</t>
  </si>
  <si>
    <t>WACA-WL-000022</t>
  </si>
  <si>
    <t>WACA-WL-000021</t>
  </si>
  <si>
    <t>WACA-WL-000020</t>
  </si>
  <si>
    <t>WACA-WL-000019</t>
  </si>
  <si>
    <t>WACA-WL-000018</t>
  </si>
  <si>
    <t>WACA-WL-000017</t>
  </si>
  <si>
    <t>WACA-WL-000016</t>
  </si>
  <si>
    <t>WACA-WL-000015</t>
  </si>
  <si>
    <t>WACA-WL-000014</t>
  </si>
  <si>
    <t>WACA-WL-000013</t>
  </si>
  <si>
    <t>WACA-WL-000012</t>
  </si>
  <si>
    <t>WACA-WL-000011</t>
  </si>
  <si>
    <t>WACA-WL-000010</t>
  </si>
  <si>
    <t>WACA-WL-000009</t>
  </si>
  <si>
    <t>WACA-WL-000008</t>
  </si>
  <si>
    <t>WACA-WL-000007</t>
  </si>
  <si>
    <t>WACA-WL-000006</t>
  </si>
  <si>
    <t>WACA-WL-000005</t>
  </si>
  <si>
    <t>WACA-WL-000004</t>
  </si>
  <si>
    <t>WACA-WL-000003</t>
  </si>
  <si>
    <t>WACA-WL-000002</t>
  </si>
  <si>
    <t>WACA-WL-000001</t>
  </si>
  <si>
    <t>WACA-PAW-100013</t>
  </si>
  <si>
    <t>WACA-PAW-100012</t>
  </si>
  <si>
    <t>WACA-PAW-100011</t>
  </si>
  <si>
    <t>WACA-PAW-100010</t>
  </si>
  <si>
    <t>WACA-PAW-100009</t>
  </si>
  <si>
    <t>WACA-PAW-100008</t>
  </si>
  <si>
    <t>WACA-PAW-100007</t>
  </si>
  <si>
    <t>WACA-PAW-100023</t>
  </si>
  <si>
    <t>WACA-PAW-100022</t>
  </si>
  <si>
    <t>WACA-PAW-100021</t>
  </si>
  <si>
    <t>WACA-PAW-100020</t>
  </si>
  <si>
    <t>WACA-PAW-100019</t>
  </si>
  <si>
    <t>WACA-PAW-100018</t>
  </si>
  <si>
    <t>WACA-PAW-100017</t>
  </si>
  <si>
    <t>WACA-PAW-100016</t>
  </si>
  <si>
    <t>WACA-PAW-100015</t>
  </si>
  <si>
    <t>WACA-PAW-100014</t>
  </si>
  <si>
    <t>WACA-12-000036</t>
  </si>
  <si>
    <t>WACA-12-000035</t>
  </si>
  <si>
    <t>WACA-12-000034</t>
  </si>
  <si>
    <t>WACA-12-000033</t>
  </si>
  <si>
    <t>WACA-12-000032</t>
  </si>
  <si>
    <t>WACA-12-000031</t>
  </si>
  <si>
    <t>WACA-12-000030</t>
  </si>
  <si>
    <t>WACA-12-000029</t>
  </si>
  <si>
    <t>WACA-12-000028</t>
  </si>
  <si>
    <t>WACA-12-000027</t>
  </si>
  <si>
    <t>WACA-12-000026</t>
  </si>
  <si>
    <t>WACA-12-000025</t>
  </si>
  <si>
    <t>WACA-12-000024</t>
  </si>
  <si>
    <t>WACA-12-000023</t>
  </si>
  <si>
    <t>WACA-12-000022</t>
  </si>
  <si>
    <t>WACA-12-000021</t>
  </si>
  <si>
    <t>WACA-12-000020</t>
  </si>
  <si>
    <t>WACA-12-000019</t>
  </si>
  <si>
    <t>T-SPRAY 口腔清新噴劑加強版 10ml 黃金柚子</t>
  </si>
  <si>
    <t xml:space="preserve">4714781021401 </t>
  </si>
  <si>
    <t>WACA-12-000018</t>
  </si>
  <si>
    <t>WACA-12-000017</t>
  </si>
  <si>
    <t>WACA-12-000016</t>
  </si>
  <si>
    <t>WACA-12-000015</t>
  </si>
  <si>
    <t>WACA-12-000014</t>
  </si>
  <si>
    <t>WACA-12-000013</t>
  </si>
  <si>
    <t>WACA-12-000012</t>
  </si>
  <si>
    <t>WACA-12-000011</t>
  </si>
  <si>
    <t>WACA-12-000010</t>
  </si>
  <si>
    <t>WACA-12-000009</t>
  </si>
  <si>
    <t>WACA-12-000008</t>
  </si>
  <si>
    <t>WACA-12-000007</t>
  </si>
  <si>
    <t xml:space="preserve">4714781021241 </t>
  </si>
  <si>
    <t>WACA-12-000006</t>
  </si>
  <si>
    <t xml:space="preserve">4714781021234 </t>
  </si>
  <si>
    <t>WACA-12-000005</t>
  </si>
  <si>
    <t xml:space="preserve">4714781021227 </t>
  </si>
  <si>
    <t>WACA-12-000004</t>
  </si>
  <si>
    <t>[1+1健齒組 ]健齒QQ凍(葡萄,200g+健齒軟糖(葡萄,30g)汪汪隊系列</t>
  </si>
  <si>
    <t>4714781021333</t>
  </si>
  <si>
    <t>WACA-12-000003</t>
  </si>
  <si>
    <t>[1+1健齒組 ]健齒QQ凍(荔枝,200g+健齒軟糖(草莓,30g)汪汪隊系列</t>
  </si>
  <si>
    <t>WACA-12-000002</t>
  </si>
  <si>
    <t>[1+1健齒組 ]健齒QQ凍(多多,200g+健齒軟糖(多多,30g) 汪汪隊系列</t>
  </si>
  <si>
    <t>WACA-12-000001</t>
  </si>
  <si>
    <t>WACA-CO-000060</t>
  </si>
  <si>
    <t>WACA-CO-000059</t>
  </si>
  <si>
    <t>WACA-CO-000058</t>
  </si>
  <si>
    <t>WACA-CO-000057</t>
  </si>
  <si>
    <t>WACA-CO-000056</t>
  </si>
  <si>
    <t>WACA-CO-000055</t>
  </si>
  <si>
    <t>WACA-CO-000054</t>
  </si>
  <si>
    <t>WACA-CO-000053</t>
  </si>
  <si>
    <t>WACA-CO-000052</t>
  </si>
  <si>
    <t>WACA-CO-000051</t>
  </si>
  <si>
    <t>WACA-CO-000050</t>
  </si>
  <si>
    <t>WACA-CO-000049</t>
  </si>
  <si>
    <t>WACA-CO-000048</t>
  </si>
  <si>
    <t>WACA-CO-000047</t>
  </si>
  <si>
    <t>WACA-CO-000046</t>
  </si>
  <si>
    <t>WACA-CO-000045</t>
  </si>
  <si>
    <t>WACA-CO-000044</t>
  </si>
  <si>
    <t>WACA-CO-000043</t>
  </si>
  <si>
    <t>WACA-CO-000042</t>
  </si>
  <si>
    <t>WACA-CO-000041</t>
  </si>
  <si>
    <t>WACA-CO-000040</t>
  </si>
  <si>
    <t>WACA-CO-000039</t>
  </si>
  <si>
    <t>WACA-CO-000038</t>
  </si>
  <si>
    <t>WACA-CO-000037</t>
  </si>
  <si>
    <t>WACA-CO-000036</t>
  </si>
  <si>
    <t>WACA-CO-000035</t>
  </si>
  <si>
    <t>WACA-CO-000034</t>
  </si>
  <si>
    <t>WACA-CO-000033</t>
  </si>
  <si>
    <t>WACA-CO-000032</t>
  </si>
  <si>
    <t>WACA-CO-000031</t>
  </si>
  <si>
    <t>WACA-CO-000030</t>
  </si>
  <si>
    <t>WACA-CO-000029</t>
  </si>
  <si>
    <t>WACA-CO-000028</t>
  </si>
  <si>
    <t>WACA-CO-000027</t>
  </si>
  <si>
    <t>WACA-CO-000026</t>
  </si>
  <si>
    <t>WACA-CO-000025</t>
  </si>
  <si>
    <t>WACA-CO-000024</t>
  </si>
  <si>
    <t>WACA-CO-000023</t>
  </si>
  <si>
    <t>WACA-CO-000022</t>
  </si>
  <si>
    <t>WACA-CO-000021</t>
  </si>
  <si>
    <t>WACA-CO-000020</t>
  </si>
  <si>
    <t>WACA-CO-000019</t>
  </si>
  <si>
    <t>WACA-CO-000018</t>
  </si>
  <si>
    <t>WACA-CO-000017</t>
  </si>
  <si>
    <t>WACA-CO-000016</t>
  </si>
  <si>
    <t>WACA-CO-000015</t>
  </si>
  <si>
    <t>WACA-CO-000014</t>
  </si>
  <si>
    <t>WACA-CO-000013</t>
  </si>
  <si>
    <t>WACA-CO-000012</t>
  </si>
  <si>
    <t>WACA-CO-000011</t>
  </si>
  <si>
    <t>WACA-CO-000010</t>
  </si>
  <si>
    <t>WACA-CO-000009</t>
  </si>
  <si>
    <t>WACA-CO-000008</t>
  </si>
  <si>
    <t>WACA-CO-000007</t>
  </si>
  <si>
    <t>WACA-CO-000006</t>
  </si>
  <si>
    <t>WACA-CO-000005</t>
  </si>
  <si>
    <t>WACA-CO-000004</t>
  </si>
  <si>
    <t>WACA-CO-000003</t>
  </si>
  <si>
    <t>WACA-CO-000002</t>
  </si>
  <si>
    <t>WACA-CO-000001</t>
  </si>
  <si>
    <t>WACA-CO-000070</t>
  </si>
  <si>
    <t>WACA-CO-000069</t>
  </si>
  <si>
    <t>WACA-CO-000068</t>
  </si>
  <si>
    <t>WACA-CO-000067</t>
  </si>
  <si>
    <t>WACA-CO-000066</t>
  </si>
  <si>
    <t>WACA-CO-000065</t>
  </si>
  <si>
    <t>WACA-CO-000064</t>
  </si>
  <si>
    <t>WACA-CO-000063</t>
  </si>
  <si>
    <t>WACA-CO-000062</t>
  </si>
  <si>
    <t>WACA-CO-000061</t>
  </si>
  <si>
    <t>WACA-PAW-000123</t>
  </si>
  <si>
    <t>WACA-PAW-000122</t>
  </si>
  <si>
    <t>WACA-CO-000072</t>
  </si>
  <si>
    <t>WACA-CO-000071</t>
  </si>
  <si>
    <t>WACA-WN-000075</t>
  </si>
  <si>
    <t>WACA-WN-000074</t>
  </si>
  <si>
    <t>WACA-WN-000073</t>
  </si>
  <si>
    <t>WACA-WN-000072</t>
  </si>
  <si>
    <t>WACA-WN-000071</t>
  </si>
  <si>
    <t>WACA-WN-000070</t>
  </si>
  <si>
    <t>WACA-WN-000069</t>
  </si>
  <si>
    <t>WACA-WN-000068</t>
  </si>
  <si>
    <t>WACA-WN-000067</t>
  </si>
  <si>
    <t>WACA-WN-000066</t>
  </si>
  <si>
    <t>WACA-WN-000065</t>
  </si>
  <si>
    <t>WACA-WN-000064</t>
  </si>
  <si>
    <t>WACA-WN-000063</t>
  </si>
  <si>
    <t>WACA-WN-000062</t>
  </si>
  <si>
    <t>WACA-WN-000061</t>
  </si>
  <si>
    <t>WACA-WN-000060</t>
  </si>
  <si>
    <t>WACA-WN-000059</t>
  </si>
  <si>
    <t>WACA-WN-000058</t>
  </si>
  <si>
    <t>WACA-WN-000057</t>
  </si>
  <si>
    <t>WACA-WN-000056</t>
  </si>
  <si>
    <t>WACA-WN-000055</t>
  </si>
  <si>
    <t>WACA-WN-000054</t>
  </si>
  <si>
    <t>WACA-WN-000053</t>
  </si>
  <si>
    <t>WACA-WN-000052</t>
  </si>
  <si>
    <t>WACA-WN-000051</t>
  </si>
  <si>
    <t>WACA-WN-000050</t>
  </si>
  <si>
    <t>WACA-WN-000049</t>
  </si>
  <si>
    <t>WACA-WN-000048</t>
  </si>
  <si>
    <t>WACA-WN-000047</t>
  </si>
  <si>
    <t>WACA-WN-000046</t>
  </si>
  <si>
    <t>WACA-WN-000045</t>
  </si>
  <si>
    <t>WACA-WN-000044</t>
  </si>
  <si>
    <t>WACA-WN-000043</t>
  </si>
  <si>
    <t>WACA-WN-000042</t>
  </si>
  <si>
    <t>WACA-WN-000041</t>
  </si>
  <si>
    <t>WACA-WN-000040</t>
  </si>
  <si>
    <t>WACA-WN-000039</t>
  </si>
  <si>
    <t>WACA-WN-000038</t>
  </si>
  <si>
    <t>WACA-WN-000037</t>
  </si>
  <si>
    <t>WACA-WN-000036</t>
  </si>
  <si>
    <t>WACA-WN-000035</t>
  </si>
  <si>
    <t>WACA-WN-000034</t>
  </si>
  <si>
    <t>WACA-WN-000033</t>
  </si>
  <si>
    <t>WACA-WN-000032</t>
  </si>
  <si>
    <t>WACA-WN-000031</t>
  </si>
  <si>
    <t>WACA-WN-000030</t>
  </si>
  <si>
    <t>WACA-WN-000029</t>
  </si>
  <si>
    <t>WACA-WN-000028</t>
  </si>
  <si>
    <t>WACA-WN-000027</t>
  </si>
  <si>
    <t>WACA-WN-000026</t>
  </si>
  <si>
    <t>WACA-WN-000025</t>
  </si>
  <si>
    <t>WACA-WN-000024</t>
  </si>
  <si>
    <t>WACA-WN-000023</t>
  </si>
  <si>
    <t>WACA-WN-000022</t>
  </si>
  <si>
    <t>WACA-WN-000021</t>
  </si>
  <si>
    <t>WACA-WN-000020</t>
  </si>
  <si>
    <t>WACA-WN-000019</t>
  </si>
  <si>
    <t>WACA-WN-000018</t>
  </si>
  <si>
    <t>WACA-WN-000017</t>
  </si>
  <si>
    <t>WACA-WN-000016</t>
  </si>
  <si>
    <t>WACA-WN-000015</t>
  </si>
  <si>
    <t>WACA-WN-000014</t>
  </si>
  <si>
    <t>WACA-WN-000013</t>
  </si>
  <si>
    <t>WACA-WN-000012</t>
  </si>
  <si>
    <t>WACA-WN-000011</t>
  </si>
  <si>
    <t>WACA-WN-000010</t>
  </si>
  <si>
    <t>WACA-WN-000009</t>
  </si>
  <si>
    <t>WACA-WN-000008</t>
  </si>
  <si>
    <t>WACA-WN-000007</t>
  </si>
  <si>
    <t>WACA-WN-000006</t>
  </si>
  <si>
    <t>WACA-WN-000005</t>
  </si>
  <si>
    <t>WACA-WN-000004</t>
  </si>
  <si>
    <t>WACA-WN-000003</t>
  </si>
  <si>
    <t>WACA-WN-000002</t>
  </si>
  <si>
    <t>WACA-WN-000001</t>
  </si>
  <si>
    <t>WACA-YC-000007</t>
  </si>
  <si>
    <t>WACA-YC-000006</t>
  </si>
  <si>
    <t>WACA-YC-000005</t>
  </si>
  <si>
    <t>WACA-YC-000004</t>
  </si>
  <si>
    <t>WACA-YC-000003</t>
  </si>
  <si>
    <t>WACA-YC-000002</t>
  </si>
  <si>
    <t>WACA-YC-000001</t>
  </si>
  <si>
    <t>WACA-WN-000076</t>
  </si>
  <si>
    <t>兒童牙線棒 36支/盒</t>
  </si>
  <si>
    <t xml:space="preserve">4714781021463 </t>
  </si>
  <si>
    <t>WACA-CT-000044</t>
  </si>
  <si>
    <t>WACA-CT-000043</t>
  </si>
  <si>
    <t>WACA-CT-000042</t>
  </si>
  <si>
    <t>WACA-CT-000041</t>
  </si>
  <si>
    <t>WACA-CT-000040</t>
  </si>
  <si>
    <t>WACA-CT-000039</t>
  </si>
  <si>
    <t>WACA-CT-000038</t>
  </si>
  <si>
    <t>WACA-CT-000037</t>
  </si>
  <si>
    <t>WACA-CT-000036</t>
  </si>
  <si>
    <t>WACA-CT-000035</t>
  </si>
  <si>
    <t>WACA-CT-000034</t>
  </si>
  <si>
    <t>WACA-CT-000033</t>
  </si>
  <si>
    <t>WACA-CT-000032</t>
  </si>
  <si>
    <t>WACA-CT-000031</t>
  </si>
  <si>
    <t>WACA-CT-000030</t>
  </si>
  <si>
    <t>WACA-CT-000029</t>
  </si>
  <si>
    <t>WACA-CT-000028</t>
  </si>
  <si>
    <t>WACA-CT-000027</t>
  </si>
  <si>
    <t>WACA-CT-000026</t>
  </si>
  <si>
    <t>WACA-CT-000025</t>
  </si>
  <si>
    <t>WACA-CT-000024</t>
  </si>
  <si>
    <t>WACA-CT-000023</t>
  </si>
  <si>
    <t>WACA-CT-000022</t>
  </si>
  <si>
    <t>WACA-CT-000021</t>
  </si>
  <si>
    <t>WACA-CT-000020</t>
  </si>
  <si>
    <t>WACA-CT-000019</t>
  </si>
  <si>
    <t>WACA-CT-000018</t>
  </si>
  <si>
    <t>WACA-CT-000017</t>
  </si>
  <si>
    <t>WACA-CT-000016</t>
  </si>
  <si>
    <t>WACA-CT-000015</t>
  </si>
  <si>
    <t>WACA-CT-000014</t>
  </si>
  <si>
    <t>WACA-CT-000013</t>
  </si>
  <si>
    <t>WACA-CT-000012</t>
  </si>
  <si>
    <t>WACA-CT-000011</t>
  </si>
  <si>
    <t>WACA-CT-000010</t>
  </si>
  <si>
    <t>WACA-CT-000009</t>
  </si>
  <si>
    <t>WACA-CT-000008</t>
  </si>
  <si>
    <t>WACA-CT-000007</t>
  </si>
  <si>
    <t>WACA-CT-000006</t>
  </si>
  <si>
    <t>WACA-CT-000005</t>
  </si>
  <si>
    <t>WACA-CT-000004</t>
  </si>
  <si>
    <t>WACA-CT-000003</t>
  </si>
  <si>
    <t>WACA-CT-000002</t>
  </si>
  <si>
    <t>WACA-CT-000001</t>
  </si>
  <si>
    <t>WACA-MB-000036</t>
  </si>
  <si>
    <t>WACA-MB-000035</t>
  </si>
  <si>
    <t>WACA-MB-000034</t>
  </si>
  <si>
    <t>WACA-MB-000033</t>
  </si>
  <si>
    <t>WACA-MB-000032</t>
  </si>
  <si>
    <t>WACA-MB-000031</t>
  </si>
  <si>
    <t>WACA-MB-000030</t>
  </si>
  <si>
    <t>WACA-MB-000029</t>
  </si>
  <si>
    <t>WACA-MB-000028</t>
  </si>
  <si>
    <t>WACA-MB-000027</t>
  </si>
  <si>
    <t>WACA-MB-000026</t>
  </si>
  <si>
    <t>WACA-MB-000025</t>
  </si>
  <si>
    <t>WACA-MB-000024</t>
  </si>
  <si>
    <t>WACA-MB-000023</t>
  </si>
  <si>
    <t>WACA-MB-000022</t>
  </si>
  <si>
    <t>WACA-MB-000021</t>
  </si>
  <si>
    <t>WACA-MB-000020</t>
  </si>
  <si>
    <t>WACA-MB-000019</t>
  </si>
  <si>
    <t>WACA-MB-000018</t>
  </si>
  <si>
    <t>WACA-MB-000017</t>
  </si>
  <si>
    <t>WACA-MB-000016</t>
  </si>
  <si>
    <t>WACA-MB-000015</t>
  </si>
  <si>
    <t>WACA-MB-000014</t>
  </si>
  <si>
    <t>WACA-MB-000013</t>
  </si>
  <si>
    <t>WACA-MB-000012</t>
  </si>
  <si>
    <t>WACA-MB-000011</t>
  </si>
  <si>
    <t>WACA-MB-000010</t>
  </si>
  <si>
    <t>WACA-MB-000009</t>
  </si>
  <si>
    <t>WACA-MB-000008</t>
  </si>
  <si>
    <t>WACA-MB-000007</t>
  </si>
  <si>
    <t>WACA-MB-000006</t>
  </si>
  <si>
    <t>WACA-MB-000005</t>
  </si>
  <si>
    <t xml:space="preserve">4714781021265 </t>
  </si>
  <si>
    <t>WACA-MB-000004</t>
  </si>
  <si>
    <t>WACA-MB-000003</t>
  </si>
  <si>
    <t>WACA-MB-000002</t>
  </si>
  <si>
    <t>WACA-MB-000001</t>
  </si>
  <si>
    <t>WACA-MM-000060</t>
  </si>
  <si>
    <t>WACA-MM-000059</t>
  </si>
  <si>
    <t>WACA-MM-000058</t>
  </si>
  <si>
    <t>WACA-MM-000057</t>
  </si>
  <si>
    <t>WACA-MM-000056</t>
  </si>
  <si>
    <t>WACA-MM-000055</t>
  </si>
  <si>
    <t>WACA-MM-000054</t>
  </si>
  <si>
    <t>WACA-MM-000053</t>
  </si>
  <si>
    <t>WACA-MM-000052</t>
  </si>
  <si>
    <t>WACA-MM-000051</t>
  </si>
  <si>
    <t>WACA-MM-000050</t>
  </si>
  <si>
    <t>WACA-MM-000049</t>
  </si>
  <si>
    <t>WACA-MM-000048</t>
  </si>
  <si>
    <t>WACA-MM-000047</t>
  </si>
  <si>
    <t>WACA-MM-000046</t>
  </si>
  <si>
    <t>WACA-MM-000045</t>
  </si>
  <si>
    <t>WACA-MM-000044</t>
  </si>
  <si>
    <t>WACA-MM-000043</t>
  </si>
  <si>
    <t>WACA-MM-000042</t>
  </si>
  <si>
    <t>WACA-MM-000041</t>
  </si>
  <si>
    <t>WACA-MM-000040</t>
  </si>
  <si>
    <t>WACA-MM-000039</t>
  </si>
  <si>
    <t>WACA-MM-000038</t>
  </si>
  <si>
    <t>WACA-MM-000037</t>
  </si>
  <si>
    <t>WACA-MM-000036</t>
  </si>
  <si>
    <t>WACA-MM-000035</t>
  </si>
  <si>
    <t>WACA-MM-000034</t>
  </si>
  <si>
    <t>WACA-MM-000033</t>
  </si>
  <si>
    <t>WACA-MM-000032</t>
  </si>
  <si>
    <t>WACA-MM-000031</t>
  </si>
  <si>
    <t>WACA-MM-000030</t>
  </si>
  <si>
    <t>WACA-MM-000029</t>
  </si>
  <si>
    <t>WACA-MM-000028</t>
  </si>
  <si>
    <t>WACA-MM-000027</t>
  </si>
  <si>
    <t>WACA-MM-000026</t>
  </si>
  <si>
    <t>WACA-MM-000025</t>
  </si>
  <si>
    <t>WACA-MM-000024</t>
  </si>
  <si>
    <t>WACA-MM-000023</t>
  </si>
  <si>
    <t>WACA-MM-000022</t>
  </si>
  <si>
    <t>WACA-MM-000021</t>
  </si>
  <si>
    <t>WACA-MM-000020</t>
  </si>
  <si>
    <t>WACA-MM-000019</t>
  </si>
  <si>
    <t>WACA-MM-000018</t>
  </si>
  <si>
    <t>WACA-MM-000017</t>
  </si>
  <si>
    <t>WACA-MM-000016</t>
  </si>
  <si>
    <t>WACA-MM-000015</t>
  </si>
  <si>
    <t>WACA-MM-000014</t>
  </si>
  <si>
    <t>WACA-MM-000013</t>
  </si>
  <si>
    <t>WACA-MM-000012</t>
  </si>
  <si>
    <t>WACA-MM-000011</t>
  </si>
  <si>
    <t>WACA-MM-000010</t>
  </si>
  <si>
    <t>WACA-MM-000009</t>
  </si>
  <si>
    <t>WACA-MM-000008</t>
  </si>
  <si>
    <t>WACA-MM-000007</t>
  </si>
  <si>
    <t>WACA-MM-000006</t>
  </si>
  <si>
    <t>WACA-MM-000005</t>
  </si>
  <si>
    <t>WACA-MM-000004</t>
  </si>
  <si>
    <t>WACA-MM-000003</t>
  </si>
  <si>
    <t>WACA-MM-000002</t>
  </si>
  <si>
    <t>WACA-MM-000001</t>
  </si>
  <si>
    <t>WACA-KU-000067</t>
  </si>
  <si>
    <t>WACA-KU-000066</t>
  </si>
  <si>
    <t>WACA-KU-000065</t>
  </si>
  <si>
    <t>WACA-KU-000064</t>
  </si>
  <si>
    <t>WACA-KU-000063</t>
  </si>
  <si>
    <t>WACA-KU-000062</t>
  </si>
  <si>
    <t>WACA-KU-000061</t>
  </si>
  <si>
    <t>WACA-KU-000092</t>
  </si>
  <si>
    <t>WACA-KU-000091</t>
  </si>
  <si>
    <t>WACA-KU-000090</t>
  </si>
  <si>
    <t>WACA-KU-000089</t>
  </si>
  <si>
    <t>WACA-KU-000088</t>
  </si>
  <si>
    <t>WACA-KU-000060</t>
  </si>
  <si>
    <t>WACA-KU-000059</t>
  </si>
  <si>
    <t>WACA-KU-000058</t>
  </si>
  <si>
    <t>WACA-KU-000057</t>
  </si>
  <si>
    <t>WACA-KU-000056</t>
  </si>
  <si>
    <t>WACA-KU-000055</t>
  </si>
  <si>
    <t>WACA-KU-000054</t>
  </si>
  <si>
    <t>WACA-KU-000053</t>
  </si>
  <si>
    <t>WACA-KU-000052</t>
  </si>
  <si>
    <t>WACA-KU-000049</t>
  </si>
  <si>
    <t>WACA-KU-000048</t>
  </si>
  <si>
    <t>WACA-KU-000047</t>
  </si>
  <si>
    <t>WACA-KU-000045</t>
  </si>
  <si>
    <t>WACA-KU-000043</t>
  </si>
  <si>
    <t>WACA-KU-000042</t>
  </si>
  <si>
    <t>WACA-KU-000041</t>
  </si>
  <si>
    <t>WACA-KU-000040</t>
  </si>
  <si>
    <t>WACA-KU-000039</t>
  </si>
  <si>
    <t>WACA-KU-000038</t>
  </si>
  <si>
    <t>WACA-KU-000037</t>
  </si>
  <si>
    <t>WACA-KU-000036</t>
  </si>
  <si>
    <t>WACA-KU-000035</t>
  </si>
  <si>
    <t>WACA-KU-000034</t>
  </si>
  <si>
    <t>WACA-KU-000033</t>
  </si>
  <si>
    <t>WACA-KU-000032</t>
  </si>
  <si>
    <t>WACA-KU-000031</t>
  </si>
  <si>
    <t>WACA-KU-000030</t>
  </si>
  <si>
    <t>WACA-KU-000029</t>
  </si>
  <si>
    <t>WACA-KU-000028</t>
  </si>
  <si>
    <t>WACA-KU-000027</t>
  </si>
  <si>
    <t>WACA-KU-000026</t>
  </si>
  <si>
    <t>WACA-KU-000025</t>
  </si>
  <si>
    <t>WACA-KU-000024</t>
  </si>
  <si>
    <t>WACA-KU-000023</t>
  </si>
  <si>
    <t>WACA-KU-000022</t>
  </si>
  <si>
    <t>WACA-KU-000021</t>
  </si>
  <si>
    <t>WACA-KU-000020</t>
  </si>
  <si>
    <t>WACA-KU-000019</t>
  </si>
  <si>
    <t>WACA-KU-000018</t>
  </si>
  <si>
    <t>WACA-KU-000017</t>
  </si>
  <si>
    <t>WACA-KU-000016</t>
  </si>
  <si>
    <t>WACA-KU-000015</t>
  </si>
  <si>
    <t>WACA-KU-000014</t>
  </si>
  <si>
    <t>WACA-KU-000013</t>
  </si>
  <si>
    <t>WACA-KU-000012</t>
  </si>
  <si>
    <t>WACA-KU-000011</t>
  </si>
  <si>
    <t>WACA-KU-000010</t>
  </si>
  <si>
    <t>WACA-KU-000009</t>
  </si>
  <si>
    <t>WACA-KU-000008</t>
  </si>
  <si>
    <t>WACA-KU-000087</t>
  </si>
  <si>
    <t>WACA-KU-000086</t>
  </si>
  <si>
    <t>WACA-KU-000085</t>
  </si>
  <si>
    <t>WACA-KU-000084</t>
  </si>
  <si>
    <t>WACA-KU-000083</t>
  </si>
  <si>
    <t>WACA-KU-000082</t>
  </si>
  <si>
    <t>WACA-KU-000081</t>
  </si>
  <si>
    <t>WACA-KU-000080</t>
  </si>
  <si>
    <t>WACA-KU-000079</t>
  </si>
  <si>
    <t>WACA-KU-000078</t>
  </si>
  <si>
    <t>WACA-KU-000007</t>
  </si>
  <si>
    <t>WACA-KU-000006</t>
  </si>
  <si>
    <t>WACA-KU-000005</t>
  </si>
  <si>
    <t>WACA-KU-000004</t>
  </si>
  <si>
    <t>WACA-KU-000003</t>
  </si>
  <si>
    <t>WACA-KU-000002</t>
  </si>
  <si>
    <t>WACA-KU-000001</t>
  </si>
  <si>
    <t>WACA-KU-000077</t>
  </si>
  <si>
    <t>WACA-KU-000076</t>
  </si>
  <si>
    <t>WACA-KU-000075</t>
  </si>
  <si>
    <t>WACA-KU-000074</t>
  </si>
  <si>
    <t>WACA-KU-000073</t>
  </si>
  <si>
    <t>WACA-KU-000072</t>
  </si>
  <si>
    <t>WACA-KU-000071</t>
  </si>
  <si>
    <t>WACA-KU-000070</t>
  </si>
  <si>
    <t>WACA-KU-000069</t>
  </si>
  <si>
    <t>WACA-KU-000068</t>
  </si>
  <si>
    <t>WACA-LS-000148</t>
  </si>
  <si>
    <t>WACA-LS-000147</t>
  </si>
  <si>
    <t>WACA-LS-000146</t>
  </si>
  <si>
    <t>WACA-LS-000145</t>
  </si>
  <si>
    <t>WACA-LS-000144</t>
  </si>
  <si>
    <t>WACA-LS-000143</t>
  </si>
  <si>
    <t>WACA-LS-000142</t>
  </si>
  <si>
    <t>WACA-LS-000141</t>
  </si>
  <si>
    <t>WACA-LS-000140</t>
  </si>
  <si>
    <t>WACA-LS-000139</t>
  </si>
  <si>
    <t>WACA-LS-000138</t>
  </si>
  <si>
    <t>WACA-LS-000137</t>
  </si>
  <si>
    <t>WACA-LS-000136</t>
  </si>
  <si>
    <t>WACA-LS-000135</t>
  </si>
  <si>
    <t>WACA-LS-000134</t>
  </si>
  <si>
    <t>WACA-LS-000133</t>
  </si>
  <si>
    <t>WACA-LS-000132</t>
  </si>
  <si>
    <t>WACA-LS-000131</t>
  </si>
  <si>
    <t>WACA-LS-000130</t>
  </si>
  <si>
    <t>WACA-LS-000129</t>
  </si>
  <si>
    <t>WACA-LS-000128</t>
  </si>
  <si>
    <t>WACA-LS-000127</t>
  </si>
  <si>
    <t>WACA-LS-000126</t>
  </si>
  <si>
    <t>WACA-LS-000125</t>
  </si>
  <si>
    <t>WACA-LS-000124</t>
  </si>
  <si>
    <t>WACA-LS-000123</t>
  </si>
  <si>
    <t>WACA-LS-000122</t>
  </si>
  <si>
    <t>WACA-LS-000121</t>
  </si>
  <si>
    <t>WACA-LS-000120</t>
  </si>
  <si>
    <t>WACA-LS-000119</t>
  </si>
  <si>
    <t>WACA-LS-000118</t>
  </si>
  <si>
    <t>WACA-LS-000117</t>
  </si>
  <si>
    <t>WACA-LS-000116</t>
  </si>
  <si>
    <t>WACA-LS-000115</t>
  </si>
  <si>
    <t>WACA-LS-000114</t>
  </si>
  <si>
    <t>WACA-LS-000113</t>
  </si>
  <si>
    <t>WACA-LS-000112</t>
  </si>
  <si>
    <t>WACA-LS-000111</t>
  </si>
  <si>
    <t>WACA-LS-000110</t>
  </si>
  <si>
    <t>WACA-LS-000109</t>
  </si>
  <si>
    <t>WACA-LS-000108</t>
  </si>
  <si>
    <t>WACA-LS-000107</t>
  </si>
  <si>
    <t>WACA-LS-000106</t>
  </si>
  <si>
    <t>WACA-LS-000105</t>
  </si>
  <si>
    <t>WACA-LS-000104</t>
  </si>
  <si>
    <t>WACA-Ciou-000091</t>
  </si>
  <si>
    <t>WACA-Ciou-000090</t>
  </si>
  <si>
    <t>WACA-Ciou-000089</t>
  </si>
  <si>
    <t>WACA-Ciou-000087</t>
  </si>
  <si>
    <t>WACA-Ciou-000086</t>
  </si>
  <si>
    <t>WACA-Ciou-000085</t>
  </si>
  <si>
    <t>WACA-Ciou-000084</t>
  </si>
  <si>
    <t>WACA-Ciou-000082</t>
  </si>
  <si>
    <t>WACA-Ciou-000081</t>
  </si>
  <si>
    <t>WACA-Ciou-000080</t>
  </si>
  <si>
    <t>WACA-Ciou-000079</t>
  </si>
  <si>
    <t>WACA-Ciou-000077</t>
  </si>
  <si>
    <t>WACA-Ciou-000076</t>
  </si>
  <si>
    <t>WACA-Ciou-000075</t>
  </si>
  <si>
    <t>WACA-Ciou-000074</t>
  </si>
  <si>
    <t>WACA-Ciou-000073</t>
  </si>
  <si>
    <t>WACA-Ciou-000072</t>
  </si>
  <si>
    <t>WACA-KD-000004</t>
  </si>
  <si>
    <t>WACA-KD-000003</t>
  </si>
  <si>
    <t>WACA-KD-000002</t>
  </si>
  <si>
    <t>WACA-KD-000001</t>
  </si>
  <si>
    <t>WACA-LD-000060</t>
  </si>
  <si>
    <t>WACA-LD-000059</t>
  </si>
  <si>
    <t>WACA-LD-000058</t>
  </si>
  <si>
    <t>WACA-LD-000056</t>
  </si>
  <si>
    <t>WACA-LD-000054</t>
  </si>
  <si>
    <t>WACA-LD-000053</t>
  </si>
  <si>
    <t>WACA-LD-000052</t>
  </si>
  <si>
    <t>WACA-LD-000051</t>
  </si>
  <si>
    <t>WACA-LD-000050</t>
  </si>
  <si>
    <t>WACA-LD-000049</t>
  </si>
  <si>
    <t>WACA-LD-000048</t>
  </si>
  <si>
    <t>WACA-LD-000047</t>
  </si>
  <si>
    <t>WACA-LD-000046</t>
  </si>
  <si>
    <t>WACA-LD-000045</t>
  </si>
  <si>
    <t>WACA-LD-000044</t>
  </si>
  <si>
    <t>WACA-LD-000041</t>
  </si>
  <si>
    <t>WACA-LD-000040</t>
  </si>
  <si>
    <t>WACA-LD-000039</t>
  </si>
  <si>
    <t>WACA-LD-000038</t>
  </si>
  <si>
    <t>WACA-LD-000037</t>
  </si>
  <si>
    <t>WACA-LD-000036</t>
  </si>
  <si>
    <t>WACA-LD-000035</t>
  </si>
  <si>
    <t>WACA-LD-000034</t>
  </si>
  <si>
    <t>WACA-LD-000033</t>
  </si>
  <si>
    <t>WACA-LD-000032</t>
  </si>
  <si>
    <t>WACA-LD-000031</t>
  </si>
  <si>
    <t>WACA-LD-000030</t>
  </si>
  <si>
    <t>WACA-LD-000029</t>
  </si>
  <si>
    <t>WACA-LD-000028</t>
  </si>
  <si>
    <t>WACA-LD-000027</t>
  </si>
  <si>
    <t>WACA-LD-000026</t>
  </si>
  <si>
    <t>WACA-LD-000025</t>
  </si>
  <si>
    <t>WACA-LD-000024</t>
  </si>
  <si>
    <t>WACA-LD-000023</t>
  </si>
  <si>
    <t>WACA-LD-000022</t>
  </si>
  <si>
    <t>WACA-LD-000021</t>
  </si>
  <si>
    <t>WACA-LD-000020</t>
  </si>
  <si>
    <t>WACA-LD-000019</t>
  </si>
  <si>
    <t>WACA-LD-000018</t>
  </si>
  <si>
    <t>WACA-LD-000017</t>
  </si>
  <si>
    <t>WACA-LD-000016</t>
  </si>
  <si>
    <t>WACA-LD-000015</t>
  </si>
  <si>
    <t>WACA-LD-000014</t>
  </si>
  <si>
    <t>WACA-LD-000013</t>
  </si>
  <si>
    <t>WACA-LD-000012</t>
  </si>
  <si>
    <t>WACA-LD-000011</t>
  </si>
  <si>
    <t>WACA-LD-000010</t>
  </si>
  <si>
    <t>WACA-LD-000009</t>
  </si>
  <si>
    <t>WACA-LD-000008</t>
  </si>
  <si>
    <t>WACA-LD-000007</t>
  </si>
  <si>
    <t>WACA-LD-000006</t>
  </si>
  <si>
    <t>WACA-LD-000005</t>
  </si>
  <si>
    <t>WACA-LD-000004</t>
  </si>
  <si>
    <t>WACA-LD-000003</t>
  </si>
  <si>
    <t>WACA-LD-000002</t>
  </si>
  <si>
    <t>WACA-LD-000001</t>
  </si>
  <si>
    <t>三麗鷗櫻花醫療用口罩20入成人款</t>
  </si>
  <si>
    <t>WACA-MS-000001</t>
  </si>
  <si>
    <t>WACA-RT-000070</t>
  </si>
  <si>
    <t>WACA-RT-000069</t>
  </si>
  <si>
    <t>WACA-RT-000068</t>
  </si>
  <si>
    <t>WACA-RT-000067</t>
  </si>
  <si>
    <t>WACA-RT-000066</t>
  </si>
  <si>
    <t>WACA-RT-000065</t>
  </si>
  <si>
    <t>WACA-RT-000064</t>
  </si>
  <si>
    <t>WACA-RT-000063</t>
  </si>
  <si>
    <t>WACA-RT-000062</t>
  </si>
  <si>
    <t>WACA-RT-000061</t>
  </si>
  <si>
    <t>WACA-RT-000060</t>
  </si>
  <si>
    <t>WACA-RT-000059</t>
  </si>
  <si>
    <t>WACA-RT-000058</t>
  </si>
  <si>
    <t>WACA-RT-000057</t>
  </si>
  <si>
    <t>WACA-RT-000056</t>
  </si>
  <si>
    <t>WACA-RT-000055</t>
  </si>
  <si>
    <t>WACA-RT-000054</t>
  </si>
  <si>
    <t>WACA-RT-000053</t>
  </si>
  <si>
    <t>WACA-RT-000052</t>
  </si>
  <si>
    <t>WACA-RT-000051</t>
  </si>
  <si>
    <t>WACA-RT-000050</t>
  </si>
  <si>
    <t>WACA-RT-000049</t>
  </si>
  <si>
    <t>WACA-RT-000048</t>
  </si>
  <si>
    <t>WACA-RT-000047</t>
  </si>
  <si>
    <t>WACA-RT-000046</t>
  </si>
  <si>
    <t>WACA-RT-000045</t>
  </si>
  <si>
    <t>WACA-RT-000044</t>
  </si>
  <si>
    <t>WACA-RT-000043</t>
  </si>
  <si>
    <t>WACA-RT-000042</t>
  </si>
  <si>
    <t>WACA-RT-000041</t>
  </si>
  <si>
    <t>WACA-RT-000040</t>
  </si>
  <si>
    <t>WACA-RT-000039</t>
  </si>
  <si>
    <t>WACA-RT-000038</t>
  </si>
  <si>
    <t>WACA-RT-000037</t>
  </si>
  <si>
    <t>WACA-RT-000036</t>
  </si>
  <si>
    <t>WACA-RT-000035</t>
  </si>
  <si>
    <t>WACA-RT-000034</t>
  </si>
  <si>
    <t>WACA-RT-000033</t>
  </si>
  <si>
    <t>WACA-RT-000032</t>
  </si>
  <si>
    <t>WACA-RT-000031</t>
  </si>
  <si>
    <t>WACA-RT-000030</t>
  </si>
  <si>
    <t>WACA-RT-000029</t>
  </si>
  <si>
    <t>WACA-RT-000028</t>
  </si>
  <si>
    <t>WACA-RT-000027</t>
  </si>
  <si>
    <t>WACA-RT-000026</t>
  </si>
  <si>
    <t>WACA-RT-000025</t>
  </si>
  <si>
    <t>WACA-RT-000024</t>
  </si>
  <si>
    <t>WACA-RT-000023</t>
  </si>
  <si>
    <t>WACA-RT-000022</t>
  </si>
  <si>
    <t>WACA-RT-000021</t>
  </si>
  <si>
    <t>WACA-RT-000020</t>
  </si>
  <si>
    <t>WACA-RT-000019</t>
  </si>
  <si>
    <t>WACA-RT-000018</t>
  </si>
  <si>
    <t>WACA-RT-000017</t>
  </si>
  <si>
    <t>WACA-RT-000016</t>
  </si>
  <si>
    <t>WACA-RT-000015</t>
  </si>
  <si>
    <t>WACA-RT-000014</t>
  </si>
  <si>
    <t>WACA-RT-000013</t>
  </si>
  <si>
    <t>WACA-RT-000012</t>
  </si>
  <si>
    <t>WACA-RT-000011</t>
  </si>
  <si>
    <t>WACA-RT-000010</t>
  </si>
  <si>
    <t>WACA-RT-000009</t>
  </si>
  <si>
    <t>WACA-RT-000008</t>
  </si>
  <si>
    <t>WACA-RT-000007</t>
  </si>
  <si>
    <t>WACA-RT-000006</t>
  </si>
  <si>
    <t>WACA-RT-000005</t>
  </si>
  <si>
    <t>WACA-RT-000004</t>
  </si>
  <si>
    <t>WACA-RT-000003</t>
  </si>
  <si>
    <t>WACA-RT-000002</t>
  </si>
  <si>
    <t>WACA-RT-000001</t>
  </si>
  <si>
    <t>WACA-KJ-000001</t>
  </si>
  <si>
    <t>WACA-MD-000093</t>
  </si>
  <si>
    <t>WACA-MD-000092</t>
  </si>
  <si>
    <t>WACA-MD-000091</t>
  </si>
  <si>
    <t>WACA-MD-000090</t>
  </si>
  <si>
    <t>WACA-MD-000089</t>
  </si>
  <si>
    <t>WACA-MD-000088</t>
  </si>
  <si>
    <t>WACA-MD-000087</t>
  </si>
  <si>
    <t>WACA-MD-000086</t>
  </si>
  <si>
    <t>WACA-MD-000085</t>
  </si>
  <si>
    <t>WACA-MD-000084</t>
  </si>
  <si>
    <t>WACA-MD-000083</t>
  </si>
  <si>
    <t>WACA-MD-000082</t>
  </si>
  <si>
    <t>WACA-MD-000081</t>
  </si>
  <si>
    <t>WACA-MD-000080</t>
  </si>
  <si>
    <t>WACA-MD-000079</t>
  </si>
  <si>
    <t>WACA-MD-000078</t>
  </si>
  <si>
    <t>WACA-MD-000077</t>
  </si>
  <si>
    <t>WACA-MD-000076</t>
  </si>
  <si>
    <t>WACA-MD-000075</t>
  </si>
  <si>
    <t>WACA-MD-000074</t>
  </si>
  <si>
    <t>WACA-MD-000073</t>
  </si>
  <si>
    <t>WACA-MD-000072</t>
  </si>
  <si>
    <t>WACA-MD-000071</t>
  </si>
  <si>
    <t>WACA-MD-000070</t>
  </si>
  <si>
    <t>WACA-MD-000069</t>
  </si>
  <si>
    <t>WACA-MD-000068</t>
  </si>
  <si>
    <t>WACA-MD-000067</t>
  </si>
  <si>
    <t>WACA-MD-000066</t>
  </si>
  <si>
    <t>WACA-MD-000065</t>
  </si>
  <si>
    <t>WACA-MD-000064</t>
  </si>
  <si>
    <t>WACA-MD-000063</t>
  </si>
  <si>
    <t>WACA-MD-000062</t>
  </si>
  <si>
    <t>WACA-MD-000061</t>
  </si>
  <si>
    <t>WACA-MD-000060</t>
  </si>
  <si>
    <t>WACA-MD-000112</t>
  </si>
  <si>
    <t>WACA-MD-000111</t>
  </si>
  <si>
    <t>WACA-MD-000110</t>
  </si>
  <si>
    <t>WACA-MD-000109</t>
  </si>
  <si>
    <t>WACA-MD-000108</t>
  </si>
  <si>
    <t>WACA-MD-000107</t>
  </si>
  <si>
    <t>WACA-MD-000106</t>
  </si>
  <si>
    <t>WACA-MD-000105</t>
  </si>
  <si>
    <t>WACA-MD-000104</t>
  </si>
  <si>
    <t>WACA-MD-000103</t>
  </si>
  <si>
    <t>WACA-MD-000102</t>
  </si>
  <si>
    <t>WACA-MD-000101</t>
  </si>
  <si>
    <t>WACA-MD-000100</t>
  </si>
  <si>
    <t>WACA-MD-000099</t>
  </si>
  <si>
    <t>WACA-MD-000098</t>
  </si>
  <si>
    <t>WACA-MD-000097</t>
  </si>
  <si>
    <t>WACA-MD-000096</t>
  </si>
  <si>
    <t>WACA-MD-000095</t>
  </si>
  <si>
    <t>WACA-MD-000094</t>
  </si>
  <si>
    <t>WACA-KIDS-001033</t>
  </si>
  <si>
    <t>WACA-BR-000066</t>
  </si>
  <si>
    <t>WACA-BR-000065</t>
  </si>
  <si>
    <t>WACA-BR-000064</t>
  </si>
  <si>
    <t>WACA-BR-000063</t>
  </si>
  <si>
    <t>WACA-BR-000062</t>
  </si>
  <si>
    <t>WACA-BR-000061</t>
  </si>
  <si>
    <t>WACA-BR-000060</t>
  </si>
  <si>
    <t>WACA-BR-000059</t>
  </si>
  <si>
    <t>WACA-BR-000058</t>
  </si>
  <si>
    <t>WACA-BR-000057</t>
  </si>
  <si>
    <t>WACA-BR-000056</t>
  </si>
  <si>
    <t>WACA-BR-000055</t>
  </si>
  <si>
    <t>WACA-BR-000054</t>
  </si>
  <si>
    <t>WACA-BR-000053</t>
  </si>
  <si>
    <t>WACA-BR-000052</t>
  </si>
  <si>
    <t>WACA-BR-000051</t>
  </si>
  <si>
    <t>WACA-BR-000050</t>
  </si>
  <si>
    <t>WACA-BR-000049</t>
  </si>
  <si>
    <t>WACA-BR-000048</t>
  </si>
  <si>
    <t>WACA-BR-000047</t>
  </si>
  <si>
    <t>WACA-BR-000046</t>
  </si>
  <si>
    <t>WACA-BR-000045</t>
  </si>
  <si>
    <t>WACA-BR-000044</t>
  </si>
  <si>
    <t>WACA-BR-000043</t>
  </si>
  <si>
    <t>WACA-BR-000042</t>
  </si>
  <si>
    <t>WACA-BR-000041</t>
  </si>
  <si>
    <t>WACA-BR-000040</t>
  </si>
  <si>
    <t>WACA-BR-000039</t>
  </si>
  <si>
    <t>WACA-BR-000038</t>
  </si>
  <si>
    <t>WACA-BR-000037</t>
  </si>
  <si>
    <t>WACA-BR-000036</t>
  </si>
  <si>
    <t>WACA-BR-000035</t>
  </si>
  <si>
    <t>WACA-BR-000034</t>
  </si>
  <si>
    <t>WACA-BR-000033</t>
  </si>
  <si>
    <t>WACA-BR-000032</t>
  </si>
  <si>
    <t>WACA-BR-000031</t>
  </si>
  <si>
    <t>WACA-BR-000030</t>
  </si>
  <si>
    <t>WACA-BR-000029</t>
  </si>
  <si>
    <t>WACA-BR-000028</t>
  </si>
  <si>
    <t>WACA-BR-000027</t>
  </si>
  <si>
    <t>WACA-BR-000026</t>
  </si>
  <si>
    <t>WACA-BR-000025</t>
  </si>
  <si>
    <t>WACA-BR-000024</t>
  </si>
  <si>
    <t>WACA-BR-000023</t>
  </si>
  <si>
    <t>WACA-BR-000022</t>
  </si>
  <si>
    <t>WACA-BR-000021</t>
  </si>
  <si>
    <t>WACA-BR-000020</t>
  </si>
  <si>
    <t>WACA-BR-000019</t>
  </si>
  <si>
    <t>WACA-BR-000018</t>
  </si>
  <si>
    <t>WACA-BR-000017</t>
  </si>
  <si>
    <t>WACA-BR-000016</t>
  </si>
  <si>
    <t>WACA-BR-000015</t>
  </si>
  <si>
    <t>WACA-BR-000014</t>
  </si>
  <si>
    <t>WACA-BR-000013</t>
  </si>
  <si>
    <t>WACA-BR-000012</t>
  </si>
  <si>
    <t>WACA-BR-000011</t>
  </si>
  <si>
    <t>WACA-BR-000010</t>
  </si>
  <si>
    <t>WACA-BR-000009</t>
  </si>
  <si>
    <t>WACA-BR-000008</t>
  </si>
  <si>
    <t>WACA-BR-000007</t>
  </si>
  <si>
    <t>WACA-BR-000006</t>
  </si>
  <si>
    <t>WACA-BR-000005</t>
  </si>
  <si>
    <t>WACA-BR-000004</t>
  </si>
  <si>
    <t>WACA-BR-000003</t>
  </si>
  <si>
    <t>WACA-BR-000002</t>
  </si>
  <si>
    <t>WACA-BR-000001</t>
  </si>
  <si>
    <t>WACA-KIDS-001034</t>
  </si>
  <si>
    <t>WACA-CM-000060</t>
  </si>
  <si>
    <t>WACA-CM-000059</t>
  </si>
  <si>
    <t>WACA-CM-000058</t>
  </si>
  <si>
    <t>WACA-CM-000057</t>
  </si>
  <si>
    <t>WACA-CM-000055</t>
  </si>
  <si>
    <t>WACA-CM-000053</t>
  </si>
  <si>
    <t>WACA-CM-000051</t>
  </si>
  <si>
    <t>WACA-CM-000050</t>
  </si>
  <si>
    <t>WACA-CM-000048</t>
  </si>
  <si>
    <t>WACA-CM-000047</t>
  </si>
  <si>
    <t>WACA-CM-000046</t>
  </si>
  <si>
    <t>WACA-CM-000045</t>
  </si>
  <si>
    <t>WACA-CM-000044</t>
  </si>
  <si>
    <t>WACA-CM-000043</t>
  </si>
  <si>
    <t>WACA-CM-000042</t>
  </si>
  <si>
    <t>WACA-CM-000041</t>
  </si>
  <si>
    <t>WACA-CM-000039</t>
  </si>
  <si>
    <t>WACA-CM-000038</t>
  </si>
  <si>
    <t>WACA-CM-000037</t>
  </si>
  <si>
    <t>WACA-CM-000036</t>
  </si>
  <si>
    <t>WACA-CM-000035</t>
  </si>
  <si>
    <t>WACA-CM-000033</t>
  </si>
  <si>
    <t>WACA-CM-000032</t>
  </si>
  <si>
    <t>WACA-CM-000031</t>
  </si>
  <si>
    <t>WACA-CM-000030</t>
  </si>
  <si>
    <t>WACA-CM-000029</t>
  </si>
  <si>
    <t>WACA-CM-000027</t>
  </si>
  <si>
    <t>WACA-CM-000026</t>
  </si>
  <si>
    <t>WACA-CM-000025</t>
  </si>
  <si>
    <t>WACA-CM-000024</t>
  </si>
  <si>
    <t>WACA-CM-000023</t>
  </si>
  <si>
    <t>WACA-CM-000022</t>
  </si>
  <si>
    <t>WACA-CM-000018</t>
  </si>
  <si>
    <t>WACA-CM-000015</t>
  </si>
  <si>
    <t>WACA-CM-000014</t>
  </si>
  <si>
    <t>4714781021593</t>
    <phoneticPr fontId="4" type="noConversion"/>
  </si>
  <si>
    <t>4714781021609</t>
    <phoneticPr fontId="4" type="noConversion"/>
  </si>
  <si>
    <t>4714781021029</t>
    <phoneticPr fontId="4" type="noConversion"/>
  </si>
  <si>
    <t>WACA-CM-000010</t>
  </si>
  <si>
    <t>WACA-CM-000009</t>
  </si>
  <si>
    <t>WACA-CM-000008</t>
  </si>
  <si>
    <t>WACA-CM-000007</t>
  </si>
  <si>
    <t>WACA-CM-000006</t>
  </si>
  <si>
    <t>WACA-CM-000005</t>
  </si>
  <si>
    <t>WACA-CM-000004</t>
  </si>
  <si>
    <t>WACA-CM-000003</t>
  </si>
  <si>
    <t>WACA-CM-000002</t>
  </si>
  <si>
    <t>4714781021777</t>
    <phoneticPr fontId="4" type="noConversion"/>
  </si>
  <si>
    <t>WACA-YC-000012</t>
  </si>
  <si>
    <t>WACA-YC-000011</t>
  </si>
  <si>
    <t>WACA-YC-000010</t>
  </si>
  <si>
    <t>WACA-YC-000009</t>
  </si>
  <si>
    <t>WACA-YC-000008</t>
  </si>
  <si>
    <t>比例</t>
  </si>
  <si>
    <t>總價</t>
  </si>
  <si>
    <t>產品名稱</t>
  </si>
  <si>
    <r>
      <rPr>
        <sz val="12"/>
        <color rgb="FF000000"/>
        <rFont val="Calibri"/>
        <family val="2"/>
      </rPr>
      <t>產品編號</t>
    </r>
  </si>
  <si>
    <t>品項數</t>
  </si>
  <si>
    <t>組合編號</t>
  </si>
  <si>
    <t/>
  </si>
  <si>
    <t>合計</t>
    <phoneticPr fontId="5" type="noConversion"/>
  </si>
  <si>
    <t>20180312B</t>
  </si>
  <si>
    <t>ECHUB倉</t>
  </si>
  <si>
    <t>A9</t>
  </si>
  <si>
    <t>20200310</t>
  </si>
  <si>
    <t>20210225</t>
  </si>
  <si>
    <t>20190910</t>
  </si>
  <si>
    <t>20200707</t>
  </si>
  <si>
    <t>20200219</t>
  </si>
  <si>
    <t>20210317</t>
  </si>
  <si>
    <t>20201027</t>
  </si>
  <si>
    <t>20201218</t>
  </si>
  <si>
    <t>20200930</t>
  </si>
  <si>
    <t>Lab52兒童口腔清潔棒30入</t>
  </si>
  <si>
    <t>4714781021777</t>
  </si>
  <si>
    <t>20210514</t>
  </si>
  <si>
    <t>Lab52 成人抗敏噴霧</t>
  </si>
  <si>
    <t>4714781021715</t>
  </si>
  <si>
    <t>20210219</t>
  </si>
  <si>
    <t>Lab52 汪汪隊軟糖 草莓口味 30克</t>
  </si>
  <si>
    <t>4714781021647</t>
  </si>
  <si>
    <t>20210217</t>
  </si>
  <si>
    <t>Lab52 汪汪隊軟糖 葡萄口味 30克</t>
  </si>
  <si>
    <t>4714781021630</t>
  </si>
  <si>
    <t>Lab52  汪汪隊軟糖 多多口味 30克</t>
  </si>
  <si>
    <t>4714781021623</t>
  </si>
  <si>
    <t>20210321</t>
  </si>
  <si>
    <t>Lab52汪汪隊立大功無糖QQ凍(荔枝口味)10入</t>
  </si>
  <si>
    <t>4714781021616</t>
  </si>
  <si>
    <t>Lab52汪汪隊立大功無糖QQ凍(葡萄口味)10入</t>
  </si>
  <si>
    <t>4714781021609</t>
  </si>
  <si>
    <t>Lab52 汪汪隊立大功無糖QQ凍(多多口味)10入</t>
  </si>
  <si>
    <t>4714781021593</t>
  </si>
  <si>
    <t>20210601</t>
  </si>
  <si>
    <t>汪汪隊立大功齒妍堂海苔酥</t>
  </si>
  <si>
    <t>4714781021531</t>
  </si>
  <si>
    <t>20210506</t>
  </si>
  <si>
    <t>20201209</t>
  </si>
  <si>
    <t>齒妍堂牙線棒(草莓口味)</t>
  </si>
  <si>
    <t>4714781021463</t>
  </si>
  <si>
    <t>20201119</t>
  </si>
  <si>
    <t>T-SPRAY口腔清新噴劑升級版-黃金香柚</t>
  </si>
  <si>
    <t>4714781021401</t>
  </si>
  <si>
    <t>20201010</t>
  </si>
  <si>
    <t>汪汪隊立大功齒妍堂兒童晶亮健齒QQ凍(葡萄口味)10入囊球型葉黃素</t>
  </si>
  <si>
    <t>4714781021395</t>
  </si>
  <si>
    <t>--</t>
  </si>
  <si>
    <t>20201109</t>
  </si>
  <si>
    <t>齒妍堂散裝軟糖100入 250克 草莓口味</t>
  </si>
  <si>
    <t>4714781021296</t>
  </si>
  <si>
    <t>20201116</t>
  </si>
  <si>
    <t>齒妍堂散裝軟糖100入 250克 葡萄口味</t>
  </si>
  <si>
    <t>4714781021289</t>
  </si>
  <si>
    <t>20201117</t>
  </si>
  <si>
    <t>齒妍堂散裝軟糖100入 250克 多多口味</t>
  </si>
  <si>
    <t>4714781021272</t>
  </si>
  <si>
    <t>20200301</t>
  </si>
  <si>
    <t>T-SPRAY Kids 棉棒10隻入組合包</t>
  </si>
  <si>
    <t>20210114</t>
  </si>
  <si>
    <t>齒妍堂無糖Q軟糖(洛神蔓越莓口味)</t>
  </si>
  <si>
    <t>4714781021241</t>
  </si>
  <si>
    <t>齒妍堂無糖Q軟糖(麝香葡萄口味)</t>
  </si>
  <si>
    <t>4714781021234</t>
  </si>
  <si>
    <t>20210112</t>
  </si>
  <si>
    <t>齒妍堂無糖Q軟糖(果香玫瑰口味)</t>
  </si>
  <si>
    <t>4714781021227</t>
  </si>
  <si>
    <t>20210115</t>
  </si>
  <si>
    <t>20200910</t>
  </si>
  <si>
    <t>齒妍堂1000CC牙菌斑漱口水(牙醫通路)</t>
  </si>
  <si>
    <t>4714781021203</t>
  </si>
  <si>
    <t>20200324</t>
  </si>
  <si>
    <t>安家佳抗菌洗手露</t>
  </si>
  <si>
    <t>4714781021050</t>
  </si>
  <si>
    <t>20200210</t>
  </si>
  <si>
    <t>安家佳抗菌噴霧</t>
  </si>
  <si>
    <t>20200414</t>
  </si>
  <si>
    <t>安家佳抗菌乾洗手凝膠</t>
  </si>
  <si>
    <t>20210105</t>
  </si>
  <si>
    <t>20200919</t>
  </si>
  <si>
    <t>汪汪隊立大功兒童鈣多多QQ凍10入(荔枝口味)</t>
  </si>
  <si>
    <t>汪汪隊立大功兒童健齒QQ凍10入(多多口味)</t>
  </si>
  <si>
    <t>汪汪隊立大功晶亮健齒QQ凍10入</t>
  </si>
  <si>
    <t>4714781021005</t>
  </si>
  <si>
    <t>20210507</t>
  </si>
  <si>
    <t>汪汪隊立大功牙菌斑檢測漱口水 170g 葡萄口味</t>
  </si>
  <si>
    <t>4714781020992</t>
  </si>
  <si>
    <t>20200316</t>
  </si>
  <si>
    <t>汪汪隊立大功-天天單入牙刷</t>
  </si>
  <si>
    <t>4714781020985</t>
  </si>
  <si>
    <t>汪汪隊立大功-小礫單入牙刷</t>
  </si>
  <si>
    <t>4714781020978</t>
  </si>
  <si>
    <t>汪汪隊立大功-阿奇單入牙刷</t>
  </si>
  <si>
    <t>4714781020961</t>
  </si>
  <si>
    <t>20210510</t>
  </si>
  <si>
    <t>20210120</t>
  </si>
  <si>
    <t>汪汪隊立大功萬毛牙刷3入組</t>
  </si>
  <si>
    <t>20210226</t>
  </si>
  <si>
    <t>20200923</t>
  </si>
  <si>
    <t>汪汪隊立大功含氟兒童莓果漱口水300ml</t>
  </si>
  <si>
    <t>20201208</t>
  </si>
  <si>
    <t>汪汪隊立大功含氟兒童葡萄漱口水300ml</t>
  </si>
  <si>
    <t>20210505Lab52</t>
  </si>
  <si>
    <t>20200218A</t>
  </si>
  <si>
    <t>汪汪隊立大功無氟兒童莓果漱口水300ml</t>
  </si>
  <si>
    <t>20210514Lab52</t>
  </si>
  <si>
    <t>20210113</t>
  </si>
  <si>
    <t>汪汪隊立大功無氟兒童泡泡糖漱口水300ml</t>
  </si>
  <si>
    <t>20210429Lab52</t>
  </si>
  <si>
    <t>20210429</t>
  </si>
  <si>
    <t>20201006</t>
  </si>
  <si>
    <t>汪汪隊立大功草莓兒童含鈣健齒牙膏</t>
  </si>
  <si>
    <t>汪汪隊立大功葡萄兒童含鈣健齒牙膏</t>
  </si>
  <si>
    <t>20210225Lab52</t>
  </si>
  <si>
    <t>20200320</t>
  </si>
  <si>
    <t>汪汪隊立大功橘子兒童含鈣健齒牙膏</t>
  </si>
  <si>
    <t>20210511LAB52</t>
  </si>
  <si>
    <t>20210329</t>
  </si>
  <si>
    <t>汪汪隊立大功葡萄兒童防蛀修護牙膏含氟80g</t>
  </si>
  <si>
    <t>20210513LAB52</t>
  </si>
  <si>
    <t>20210330</t>
  </si>
  <si>
    <t>汪汪隊立大功草莓兒童防蛀修護牙膏含氟80g</t>
  </si>
  <si>
    <t>20201214</t>
  </si>
  <si>
    <t>20201026</t>
  </si>
  <si>
    <t>20200827</t>
  </si>
  <si>
    <t>20200720</t>
  </si>
  <si>
    <t>汪汪隊立袋30克(草莓口味)</t>
  </si>
  <si>
    <t>汪汪隊立袋30克(葡萄口味)</t>
  </si>
  <si>
    <t>20201207</t>
  </si>
  <si>
    <t>20200722</t>
  </si>
  <si>
    <t>汪汪隊立袋30克(多多口味)</t>
  </si>
  <si>
    <t>20200618</t>
  </si>
  <si>
    <t>齒妍堂兒童含鈣健齒牙膏(葡萄口味)/無氟</t>
  </si>
  <si>
    <t>齒妍堂兒童含鈣健齒牙膏(橘子口味)中英文</t>
  </si>
  <si>
    <t>20200412</t>
  </si>
  <si>
    <t>兒童碗盤濃縮清潔露 350g</t>
  </si>
  <si>
    <t>20200220</t>
  </si>
  <si>
    <t>Kids齒妍堂鈣多多健齒QQ 12入</t>
  </si>
  <si>
    <t>4714781020589</t>
  </si>
  <si>
    <t>20210104</t>
  </si>
  <si>
    <t>T-PET迪貝多 寵物環境噴霧 300g</t>
  </si>
  <si>
    <t>4714781020541</t>
  </si>
  <si>
    <t>齒妍堂兒童牙菌斑檢測漱口水 170g</t>
  </si>
  <si>
    <t>4714781020510</t>
  </si>
  <si>
    <t>20200420</t>
  </si>
  <si>
    <t>20200203</t>
  </si>
  <si>
    <t>齒妍堂兒童含鈣健齒漱口水250mL</t>
  </si>
  <si>
    <t>4714781020473</t>
  </si>
  <si>
    <t>20180803C</t>
  </si>
  <si>
    <t>20200924</t>
  </si>
  <si>
    <t>20200407</t>
  </si>
  <si>
    <t>20201216</t>
  </si>
  <si>
    <t>20200520</t>
  </si>
  <si>
    <t>20210118</t>
  </si>
  <si>
    <t>T-Spray Miia齒舒沛美牙齒妝水10ml(勁涼薄荷)</t>
  </si>
  <si>
    <t>T-Spray Miia齒舒沛美牙齒妝水10ml(檸檬清香)</t>
  </si>
  <si>
    <t>20200831</t>
  </si>
  <si>
    <t>20180313B</t>
  </si>
  <si>
    <t>20200901</t>
  </si>
  <si>
    <t>T-SPRAY Kids口腔清潔棒(30入)</t>
  </si>
  <si>
    <t>4714781020107</t>
  </si>
  <si>
    <t>20200408</t>
  </si>
  <si>
    <t>參考單位成本(本)</t>
  </si>
  <si>
    <t>總計庫存總值(本)</t>
  </si>
  <si>
    <t>總計存量</t>
  </si>
  <si>
    <t>庫存總值小計(本)</t>
  </si>
  <si>
    <t>存量小計</t>
  </si>
  <si>
    <t>代工庫存總值（本）</t>
  </si>
  <si>
    <t>代工存量</t>
  </si>
  <si>
    <t>借入庫存總值(本)</t>
  </si>
  <si>
    <t>借入存量</t>
  </si>
  <si>
    <t>借出庫存總值(本)</t>
  </si>
  <si>
    <t>借出存量</t>
  </si>
  <si>
    <t>廠外庫存總值(本)</t>
  </si>
  <si>
    <t>廠外存量</t>
  </si>
  <si>
    <t>廠內庫存總值(本)</t>
  </si>
  <si>
    <t>廠內存量</t>
  </si>
  <si>
    <t>批號名稱</t>
  </si>
  <si>
    <t>批號編號</t>
  </si>
  <si>
    <t>倉庫名稱</t>
  </si>
  <si>
    <t>倉庫編號</t>
  </si>
  <si>
    <t>貨品名稱</t>
  </si>
  <si>
    <t>貨品編號</t>
  </si>
  <si>
    <t>製表日期:2021/06/21</t>
  </si>
  <si>
    <t>批號庫存量&gt;0.0000</t>
  </si>
  <si>
    <t>庫存種類:全部</t>
  </si>
  <si>
    <t>倉庫:A9(ECHUB倉) 到 A9(ECHUB倉)</t>
  </si>
  <si>
    <t>截止日期:2021/06/30</t>
  </si>
  <si>
    <t>批號倉庫貨品庫存報表</t>
  </si>
  <si>
    <t>拓華生技股份有限公司</t>
  </si>
  <si>
    <t>A1</t>
  </si>
  <si>
    <t>Y-0006</t>
  </si>
  <si>
    <t>M0004</t>
  </si>
  <si>
    <t>WACA直客-曾亞琦</t>
  </si>
  <si>
    <t>ZZ998-1</t>
  </si>
  <si>
    <t>WACA直客-游雅婷</t>
  </si>
  <si>
    <t>WACA直客-陳浩瑜</t>
  </si>
  <si>
    <t>WACA直客-盧淑芬</t>
  </si>
  <si>
    <t>WACA直客-郭筱艾</t>
  </si>
  <si>
    <t>WACA直客-劉育蘋</t>
  </si>
  <si>
    <t>WACA直客-鄭佩愉</t>
  </si>
  <si>
    <t>WACA直客-胡琇晴</t>
  </si>
  <si>
    <t>WACA直客-劉芷伶</t>
  </si>
  <si>
    <t>WACA直客-林端宏</t>
  </si>
  <si>
    <t>WACA直客-江秋逸</t>
  </si>
  <si>
    <t>WACA直客-黃詩婷</t>
  </si>
  <si>
    <t>WACA直客-林美雯</t>
  </si>
  <si>
    <t>WACA直客-余淑玲</t>
  </si>
  <si>
    <t>WACA直客-楊凱茹</t>
  </si>
  <si>
    <t>WACA直客-花珮倩</t>
  </si>
  <si>
    <t>WACA直客-宋璧秀</t>
  </si>
  <si>
    <t>WACA直客-陳思穎</t>
  </si>
  <si>
    <t>WACA直客-陳怡潔</t>
  </si>
  <si>
    <t>WACA直客-章淑貞</t>
  </si>
  <si>
    <t>WACA直客-湯美芳</t>
  </si>
  <si>
    <t>WACA直客-王妍孋</t>
  </si>
  <si>
    <t>WACA直客-顧宇侖</t>
  </si>
  <si>
    <t>WACA直客-黃筱涵</t>
  </si>
  <si>
    <t>WACA直客-黃容宜</t>
  </si>
  <si>
    <t>WACA直客-張俐婷</t>
  </si>
  <si>
    <t>WACA直客-蕭意慈</t>
  </si>
  <si>
    <t>WACA直客-沈瑜君</t>
  </si>
  <si>
    <t>WACA直客-吳渙延</t>
  </si>
  <si>
    <t>WACA直客-邱怡婷</t>
  </si>
  <si>
    <t>WACA直客-廖可卉</t>
  </si>
  <si>
    <t>WACA直客-林筱薇</t>
  </si>
  <si>
    <t>WACA直客-齊于萱</t>
  </si>
  <si>
    <t>WACA直客-鄭婷方</t>
  </si>
  <si>
    <t>WACA直客-林佩治</t>
  </si>
  <si>
    <t>WACA直客-張纈齡</t>
  </si>
  <si>
    <t>WACA直客-廖佳芳</t>
  </si>
  <si>
    <t>WACA直客-林俞君</t>
  </si>
  <si>
    <t>WACA直客-黃皓瑜</t>
  </si>
  <si>
    <t>WACA直客-許雅婷</t>
  </si>
  <si>
    <t>WACA直客-簡虹軒</t>
  </si>
  <si>
    <t>WACA直客-邱沛彤</t>
  </si>
  <si>
    <t>WACA直客-楊佳琪</t>
  </si>
  <si>
    <t>WACA直客-劉婷雅</t>
  </si>
  <si>
    <t>WACA直客-杜雅婷</t>
  </si>
  <si>
    <t>WACA直客-林雅慧</t>
  </si>
  <si>
    <t>WACA直客-張蕙如</t>
  </si>
  <si>
    <t>WACA直客-彭麗玲</t>
  </si>
  <si>
    <t>WACA直客-蔡如芬</t>
  </si>
  <si>
    <t>WACA直客-林雯欣</t>
  </si>
  <si>
    <t>WACA直客-鄭亦庭</t>
  </si>
  <si>
    <t>WACA直客-李亦葶</t>
  </si>
  <si>
    <t>WACA直客-田心宇</t>
  </si>
  <si>
    <t>WACA直客-林佩璇</t>
  </si>
  <si>
    <t>WACA直客-楊宗翰</t>
  </si>
  <si>
    <t>WACA直客-吳昭儀</t>
  </si>
  <si>
    <t>WACA直客-李如菁</t>
  </si>
  <si>
    <t>WACA直客-卓彗雯</t>
  </si>
  <si>
    <t>WACA直客-彭允晞</t>
  </si>
  <si>
    <t>WACA直客-詹雨橋</t>
  </si>
  <si>
    <t>WACA直客-陳姿穎</t>
  </si>
  <si>
    <t>WACA直客-郭玟君</t>
  </si>
  <si>
    <t>WACA直客-尤藝蒨</t>
  </si>
  <si>
    <t>WACA直客-蔡佩蓉</t>
  </si>
  <si>
    <t>WACA直客-楊宜靜</t>
  </si>
  <si>
    <t>WACA直客-陳櫻文</t>
  </si>
  <si>
    <t>WACA直客-潘慧萍</t>
  </si>
  <si>
    <t>WACA直客-吳盈儀</t>
  </si>
  <si>
    <t>WACA直客-黃乙婷</t>
  </si>
  <si>
    <t>WACA直客-林語綺</t>
  </si>
  <si>
    <t>WACA直客-陳筱希</t>
  </si>
  <si>
    <t>WACA直客-張偉慧</t>
  </si>
  <si>
    <t>WACA直客-賴怡靜</t>
  </si>
  <si>
    <t>WACA直客-褚念庭</t>
  </si>
  <si>
    <t>WACA直客-陳玠吟</t>
  </si>
  <si>
    <t>WACA直客-吳采潔</t>
  </si>
  <si>
    <t>WACA直客-尤藝潔</t>
  </si>
  <si>
    <t>WACA直客-莊慧君</t>
  </si>
  <si>
    <t>WACA直客-蔡宛庭</t>
  </si>
  <si>
    <t>WACA直客-古惠君</t>
  </si>
  <si>
    <t>WACA直客-林欣怡</t>
  </si>
  <si>
    <t>WACA直客-張裕雯</t>
  </si>
  <si>
    <t>WACA直客-陳嘉恩</t>
  </si>
  <si>
    <t>WACA直客-柯媛瑄</t>
  </si>
  <si>
    <t>WACA直客-薛雅中</t>
  </si>
  <si>
    <t>WACA直客-高佳瑜</t>
  </si>
  <si>
    <t>WACA直客-許令妤</t>
  </si>
  <si>
    <t>WACA直客-陳貞綾</t>
  </si>
  <si>
    <t>WACA直客-杜怡蓉</t>
  </si>
  <si>
    <t>WACA直客-林怡君</t>
  </si>
  <si>
    <t>WACA直客-胡晨綝</t>
  </si>
  <si>
    <t>WACA直客-吳鳳琴</t>
  </si>
  <si>
    <t>WACA直客-李曉瑾</t>
  </si>
  <si>
    <t>WACA直客-林宛怡</t>
  </si>
  <si>
    <t>WACA直客-蕭佩如</t>
  </si>
  <si>
    <t>WACA直客-黃佳吟</t>
  </si>
  <si>
    <t>WACA直客-連欣儀</t>
  </si>
  <si>
    <t>WACA直客-顏健程</t>
  </si>
  <si>
    <t>WACA直客-鄭詩韻</t>
  </si>
  <si>
    <t>WACA直客-朱慧宣</t>
  </si>
  <si>
    <t>WACA直客-吳鈺慈</t>
  </si>
  <si>
    <t>WACA直客-李敏瑜</t>
  </si>
  <si>
    <t>WACA直客-方芓茜</t>
  </si>
  <si>
    <t>WACA直客-黃詩涵</t>
  </si>
  <si>
    <t>WACA直客-林東樑</t>
  </si>
  <si>
    <t>WACA直客-林佩蓉</t>
  </si>
  <si>
    <t>WACA直客-陳香陵</t>
  </si>
  <si>
    <t>WACA直客-張正岡</t>
  </si>
  <si>
    <t>WACA直客-方劭云</t>
  </si>
  <si>
    <t>WACA直客-連梅芬</t>
  </si>
  <si>
    <t>WACA直客-李琇琪</t>
  </si>
  <si>
    <t>兒童含鈣健齒漱口水  綜合莓果3入</t>
  </si>
  <si>
    <t>WACA直客-廖珮妤</t>
  </si>
  <si>
    <t>兒童含鈣健齒漱口水  泡泡糖2入</t>
  </si>
  <si>
    <t>WACA直客-張芮瑄</t>
  </si>
  <si>
    <t>WACA直客-林之棋</t>
  </si>
  <si>
    <t>WACA直客-蔡昀彤</t>
  </si>
  <si>
    <t>WACA直客-洪薇婷</t>
  </si>
  <si>
    <t>WACA直客-劉思吟</t>
  </si>
  <si>
    <t>WACA直客-黃宥心</t>
  </si>
  <si>
    <t>WACA直客-謝佳妏</t>
  </si>
  <si>
    <t>WACA直客-温玉伶</t>
  </si>
  <si>
    <t>WACA直客-林靖雅</t>
  </si>
  <si>
    <t>WACA直客-王蔧瑀</t>
  </si>
  <si>
    <t>WACA直客-林秋華</t>
  </si>
  <si>
    <t>WACA直客-呂嘉文</t>
  </si>
  <si>
    <t>WACA直客-姚明婷</t>
  </si>
  <si>
    <t>WACA直客-賴佳銘</t>
  </si>
  <si>
    <t>WACA直客-羅佩姍</t>
  </si>
  <si>
    <t>WACA直客-顧嘉玲</t>
  </si>
  <si>
    <t>WACA直客-廖虹媚</t>
  </si>
  <si>
    <t>WACA直客-張婉嫕</t>
  </si>
  <si>
    <t>WACA直客-楊雯倩</t>
  </si>
  <si>
    <t>WACA直客-李姝溱</t>
  </si>
  <si>
    <t>WACA直客-郭婉萍</t>
  </si>
  <si>
    <t>WACA直客-陳詩郁</t>
  </si>
  <si>
    <t>WACA直客-王筑樺</t>
  </si>
  <si>
    <t>WACA直客-孔惠琳</t>
  </si>
  <si>
    <t>WACA直客-劉伊瑄</t>
  </si>
  <si>
    <t>防蛀修護漱口水【莓果口味2入】</t>
  </si>
  <si>
    <t>防蛀修護漱口水【葡萄口味3入】</t>
  </si>
  <si>
    <t>WACA直客-劉映彤</t>
  </si>
  <si>
    <t>WACA直客-陳欣穎</t>
  </si>
  <si>
    <t>WACA直客-郭燕雪</t>
  </si>
  <si>
    <t>WACA直客-潘宣蓉</t>
  </si>
  <si>
    <t>WACA直客-蔡依玲</t>
  </si>
  <si>
    <t>WACA直客-徐湘茹</t>
  </si>
  <si>
    <t>WACA直客-姜俞如</t>
  </si>
  <si>
    <t>WACA直客-鄭祐涓</t>
  </si>
  <si>
    <t>WACA直客-胡玉霞</t>
  </si>
  <si>
    <t>WACA直客-李秀儀</t>
  </si>
  <si>
    <t>WACA直客-廖昱絜</t>
  </si>
  <si>
    <t>WACA直客-劉湘芸</t>
  </si>
  <si>
    <t>WACA直客-陳昕怡</t>
  </si>
  <si>
    <t>WACA直客-李姿蓉</t>
  </si>
  <si>
    <t>WACA直客-陳佳旻</t>
  </si>
  <si>
    <t>WACA直客-林伊玲</t>
  </si>
  <si>
    <t>WACA直客-全涵玫</t>
  </si>
  <si>
    <t>WACA直客-王敏容</t>
  </si>
  <si>
    <t>WACA直客-薛靜琪</t>
  </si>
  <si>
    <t>WACA直客-黃悅敏</t>
  </si>
  <si>
    <t>WACA直客-謝佩珈</t>
  </si>
  <si>
    <t>WACA直客-金湘穎</t>
  </si>
  <si>
    <t>WACA直客-宋佩霞</t>
  </si>
  <si>
    <t>WACA直客-黃惠琳</t>
  </si>
  <si>
    <t>WACA直客-吳佩錡</t>
  </si>
  <si>
    <t>WACA直客-陳怡伶</t>
  </si>
  <si>
    <t>WACA直客-李品妍</t>
  </si>
  <si>
    <t>WACA直客-黃婉茹</t>
  </si>
  <si>
    <t>WACA直客-林玉玲</t>
  </si>
  <si>
    <t>WACA直客-呂慧瑜</t>
  </si>
  <si>
    <t>WACA直客-陳韻淳</t>
  </si>
  <si>
    <t>WACA直客-雷堯淩</t>
  </si>
  <si>
    <t>WACA直客-朱怡寧</t>
  </si>
  <si>
    <t>WACA訂單編號</t>
  </si>
  <si>
    <t>顧客留言</t>
  </si>
  <si>
    <t>宅配地址</t>
  </si>
  <si>
    <t>宅配郵編</t>
  </si>
  <si>
    <t>7-11門市地址</t>
  </si>
  <si>
    <t>7-11門市名稱</t>
  </si>
  <si>
    <t>7-11門市代碼</t>
  </si>
  <si>
    <t>發票</t>
  </si>
  <si>
    <t>中文品名</t>
  </si>
  <si>
    <t>折扣</t>
  </si>
  <si>
    <t>倉庫</t>
  </si>
  <si>
    <t>批號</t>
  </si>
  <si>
    <t>備註</t>
  </si>
  <si>
    <t>製表人</t>
  </si>
  <si>
    <t>送貨電話</t>
  </si>
  <si>
    <t>客戶名稱</t>
  </si>
  <si>
    <t>客戶代碼</t>
  </si>
  <si>
    <t>待開立</t>
  </si>
  <si>
    <t>二聯式發票</t>
  </si>
  <si>
    <t>雲端發票</t>
  </si>
  <si>
    <t>186618</t>
  </si>
  <si>
    <t>重信門市</t>
  </si>
  <si>
    <t>台灣</t>
  </si>
  <si>
    <t>7-11 取貨付款 (B2C)</t>
  </si>
  <si>
    <t>TWD</t>
  </si>
  <si>
    <t>7-11 B2C取貨付款</t>
  </si>
  <si>
    <t>【贈品】汪汪隊立大功貼紙2入組</t>
  </si>
  <si>
    <t>4714781021555</t>
  </si>
  <si>
    <t>0932797347</t>
  </si>
  <si>
    <t>陳婷婷</t>
  </si>
  <si>
    <t>處理中</t>
  </si>
  <si>
    <t>#20210621051946626</t>
  </si>
  <si>
    <t>汪汪隊立大功兒童3D醫療防護口罩 20入 白色款 / 恐龍款</t>
  </si>
  <si>
    <t>4719880900053</t>
  </si>
  <si>
    <t>4719880900145</t>
  </si>
  <si>
    <t>台灣台北市中山區民生東路一段25號6樓之37</t>
  </si>
  <si>
    <t>104</t>
  </si>
  <si>
    <t>信用卡（支援國內外Visa, Master, JCB）</t>
  </si>
  <si>
    <t>已付款</t>
  </si>
  <si>
    <t>【線上抽獎券】滿額參加抽獎ipad帶回家</t>
  </si>
  <si>
    <t>LOTTERY-IPAD</t>
  </si>
  <si>
    <t>0953556942</t>
  </si>
  <si>
    <t>張依萍</t>
  </si>
  <si>
    <t>#20210621051904331</t>
  </si>
  <si>
    <t>【贈品】無糖QQ凍 荔枝口味10條/盒</t>
  </si>
  <si>
    <t>【開幕組合限定】無糖QQ凍6入組</t>
  </si>
  <si>
    <t>SHOPLINE-NEW-000014</t>
  </si>
  <si>
    <t>台灣宜蘭縣蘇澳鎮蘇澳鎮蘇港路193號3樓之2</t>
  </si>
  <si>
    <t>270</t>
  </si>
  <si>
    <t>0989733788</t>
  </si>
  <si>
    <t>潘妙柔</t>
  </si>
  <si>
    <t>#20210621051220541</t>
  </si>
  <si>
    <t>牙菌斑檢測漱口水</t>
  </si>
  <si>
    <t>【開幕組合限定】兒童漱口水2入</t>
  </si>
  <si>
    <t>SHOPLINE-NEW-000072</t>
  </si>
  <si>
    <t>【新上市】海苔酥2入</t>
  </si>
  <si>
    <t>SHOPLINE-KID-000051</t>
  </si>
  <si>
    <t>台灣台南市新市區民族路137號</t>
  </si>
  <si>
    <t>744</t>
  </si>
  <si>
    <t>0915955565</t>
  </si>
  <si>
    <t>蔡濬蓶</t>
  </si>
  <si>
    <t>#20210621050433033</t>
  </si>
  <si>
    <t>兒童含氟牙膏</t>
  </si>
  <si>
    <t>無糖QQ凍 荔枝口味</t>
  </si>
  <si>
    <t>台灣台北市大同區民族西路158號8樓</t>
  </si>
  <si>
    <t>103</t>
  </si>
  <si>
    <t>0939098335</t>
  </si>
  <si>
    <t>廖淑雯</t>
  </si>
  <si>
    <t>#20210621050329304</t>
  </si>
  <si>
    <t>SHOPLINE-NEW-000069</t>
  </si>
  <si>
    <t>無糖Q軟糖 12顆/入</t>
  </si>
  <si>
    <t>無糖Q軟糖 麝香葡萄口味</t>
  </si>
  <si>
    <t>台灣新竹市東區高翠路69號3樓之10</t>
  </si>
  <si>
    <t>300</t>
  </si>
  <si>
    <t>0988672035</t>
  </si>
  <si>
    <t>鄭鈺婷</t>
  </si>
  <si>
    <t>#20210621045935547</t>
  </si>
  <si>
    <t>兒童含氟牙膏 草莓口味</t>
  </si>
  <si>
    <t>無糖QQ凍3入組</t>
  </si>
  <si>
    <t>SHOPLINE-KID-000011</t>
  </si>
  <si>
    <t>台灣嘉義市西區福州八街72號</t>
  </si>
  <si>
    <t>600</t>
  </si>
  <si>
    <t>0926937718</t>
  </si>
  <si>
    <t>許育慈</t>
  </si>
  <si>
    <t>#20210621045553872</t>
  </si>
  <si>
    <t>F010268</t>
  </si>
  <si>
    <t>全家七堵工明店</t>
  </si>
  <si>
    <t>全家 取貨付款 (B2C)</t>
  </si>
  <si>
    <t>全家取貨付款</t>
  </si>
  <si>
    <t>0975830558</t>
  </si>
  <si>
    <t>梁文</t>
  </si>
  <si>
    <t>#20210621045414899</t>
  </si>
  <si>
    <t>台灣桃園市中壢區正大街98號13樓</t>
  </si>
  <si>
    <t>320</t>
  </si>
  <si>
    <t>0908309979</t>
  </si>
  <si>
    <t>張祐慈</t>
  </si>
  <si>
    <t>#20210621045128897</t>
  </si>
  <si>
    <t>三聯式發票</t>
  </si>
  <si>
    <t>52520690</t>
  </si>
  <si>
    <t>公司戶紙本發票</t>
  </si>
  <si>
    <t>台灣台北市中山區中山北路一段83巷32號15樓</t>
  </si>
  <si>
    <t>0939326896</t>
  </si>
  <si>
    <t>楊子頡</t>
  </si>
  <si>
    <t>#20210621044924470</t>
  </si>
  <si>
    <t>台灣台中市西屯區工業區一路58巷1號3樓之12</t>
  </si>
  <si>
    <t>407</t>
  </si>
  <si>
    <t>0919042287</t>
  </si>
  <si>
    <t>陳映渝</t>
  </si>
  <si>
    <t>#20210621044821748</t>
  </si>
  <si>
    <t>台灣宜蘭縣礁溪鄉礁溪路七段105號</t>
  </si>
  <si>
    <t>262</t>
  </si>
  <si>
    <t>0910164021</t>
  </si>
  <si>
    <t>張瓈尹</t>
  </si>
  <si>
    <t>#20210621044804629</t>
  </si>
  <si>
    <t>F013587</t>
  </si>
  <si>
    <t>全家中壢金園店</t>
  </si>
  <si>
    <t>0958234543</t>
  </si>
  <si>
    <t>鍾鳴遠</t>
  </si>
  <si>
    <t>#20210621044622355</t>
  </si>
  <si>
    <t>F020477</t>
  </si>
  <si>
    <t>全家中壢環福店</t>
  </si>
  <si>
    <t>0900178218</t>
  </si>
  <si>
    <t>曾郁婷</t>
  </si>
  <si>
    <t>#20210621044052365</t>
  </si>
  <si>
    <t>台灣台中市龍井區遊園南路380號</t>
  </si>
  <si>
    <t>434</t>
  </si>
  <si>
    <t>0977479160</t>
  </si>
  <si>
    <t>李佳芸</t>
  </si>
  <si>
    <t>#20210621044047330</t>
  </si>
  <si>
    <t>含氟愛上刷牙組合</t>
  </si>
  <si>
    <t>SHOPLINE-KID-000050</t>
  </si>
  <si>
    <t>【開幕組合限定】無糖QQ糖3入+無糖QQ凍3入</t>
  </si>
  <si>
    <t>SHOPLINE-NEW-000001</t>
  </si>
  <si>
    <t>無糖QQ糖 乳酸多多口味</t>
  </si>
  <si>
    <t>132390</t>
  </si>
  <si>
    <t>新家專門市</t>
  </si>
  <si>
    <t>0976278600</t>
  </si>
  <si>
    <t>潘怡潔</t>
  </si>
  <si>
    <t>#20210621043717021</t>
  </si>
  <si>
    <t>台灣高雄市前鎮區光華三路259號7樓之2</t>
  </si>
  <si>
    <t>806</t>
  </si>
  <si>
    <t>0988003875</t>
  </si>
  <si>
    <t>蘇姵婷</t>
  </si>
  <si>
    <t>#20210621043524670</t>
  </si>
  <si>
    <t>SHOPLINE-NEW-000073</t>
  </si>
  <si>
    <t>【開幕組合限定】含鈣健齒噴霧3入組</t>
  </si>
  <si>
    <t>SHOPLINE-NEW-000029</t>
  </si>
  <si>
    <t>165220</t>
  </si>
  <si>
    <t>樹樺門市</t>
  </si>
  <si>
    <t>0920129903</t>
  </si>
  <si>
    <t>林妡潔</t>
  </si>
  <si>
    <t>#20210621043354480</t>
  </si>
  <si>
    <t>台灣桃園市桃園區朝陽街51號14樓-2</t>
  </si>
  <si>
    <t>330</t>
  </si>
  <si>
    <t>0933523193</t>
  </si>
  <si>
    <t>呂李盈</t>
  </si>
  <si>
    <t>#20210621043331318</t>
  </si>
  <si>
    <t>SHOPLINE-NEW-000011</t>
  </si>
  <si>
    <t>160122</t>
  </si>
  <si>
    <t>佳林門市</t>
  </si>
  <si>
    <t>0968035718</t>
  </si>
  <si>
    <t>李文凌</t>
  </si>
  <si>
    <t>#20210621043216513</t>
  </si>
  <si>
    <t>F000398</t>
  </si>
  <si>
    <t>全家錦江店</t>
  </si>
  <si>
    <t>0903055947</t>
  </si>
  <si>
    <t>嫚婗</t>
  </si>
  <si>
    <t>#20210621042607251</t>
  </si>
  <si>
    <t>無糖Q軟糖3入組</t>
  </si>
  <si>
    <t>SHOPLINE-ADULT-000001</t>
  </si>
  <si>
    <t>兒童無氟牙膏 安全可吞</t>
  </si>
  <si>
    <t>兒童口腔清潔棒 30入/罐</t>
  </si>
  <si>
    <t>兒童含鈣健齒噴霧</t>
  </si>
  <si>
    <t>F012689</t>
  </si>
  <si>
    <t>全家烏日光日店</t>
  </si>
  <si>
    <t>0983275615</t>
  </si>
  <si>
    <t>黃為君</t>
  </si>
  <si>
    <t>#20210621042524673</t>
  </si>
  <si>
    <t>129062</t>
  </si>
  <si>
    <t>航興門市</t>
  </si>
  <si>
    <t>0955056149</t>
  </si>
  <si>
    <t>賴湘慈</t>
  </si>
  <si>
    <t>#20210621042050351</t>
  </si>
  <si>
    <t>208060</t>
  </si>
  <si>
    <t>門諾門市</t>
  </si>
  <si>
    <t>0919909131</t>
  </si>
  <si>
    <t>李畹婷</t>
  </si>
  <si>
    <t>#20210621041908357</t>
  </si>
  <si>
    <t>無糖Q軟糖 果香玫瑰口味</t>
  </si>
  <si>
    <t>SHOPLINE-NEW-000038</t>
  </si>
  <si>
    <t>216821</t>
  </si>
  <si>
    <t>永華門市</t>
  </si>
  <si>
    <t>7-11 取貨不付款 (B2C)</t>
  </si>
  <si>
    <t>0958111959</t>
  </si>
  <si>
    <t>廖珮君</t>
  </si>
  <si>
    <t>#20210621035252766</t>
  </si>
  <si>
    <t>無糖Q軟糖 洛神蔓越莓口味</t>
  </si>
  <si>
    <t>兒童無氟牙膏 橘子口味</t>
  </si>
  <si>
    <t>【新上市】海苔酥 50g/包</t>
  </si>
  <si>
    <t>已開立</t>
  </si>
  <si>
    <t>PH77777721</t>
  </si>
  <si>
    <t>2021/06/21</t>
  </si>
  <si>
    <t>台灣澎湖縣馬公市文光路48巷6號</t>
  </si>
  <si>
    <t>880</t>
  </si>
  <si>
    <t>0921549126</t>
  </si>
  <si>
    <t>吳欣芸</t>
  </si>
  <si>
    <t>#20210621034737160</t>
  </si>
  <si>
    <t>【開幕組合限定】QQ糖組合包</t>
  </si>
  <si>
    <t>SHOPLINE-NEW-000018</t>
  </si>
  <si>
    <t>台灣台南市中西區西門路2段251號</t>
  </si>
  <si>
    <t>700</t>
  </si>
  <si>
    <t>宅配(貨到付款)</t>
  </si>
  <si>
    <t>貨到付款</t>
  </si>
  <si>
    <t>0978052578</t>
  </si>
  <si>
    <t>陳淑微</t>
  </si>
  <si>
    <t>#20210621033611278</t>
  </si>
  <si>
    <t>無糖QQ糖 35顆/包</t>
  </si>
  <si>
    <t>台灣台中市西區自由路一段75號</t>
  </si>
  <si>
    <t>403</t>
  </si>
  <si>
    <t>0932563157</t>
  </si>
  <si>
    <t>陳琬菁</t>
  </si>
  <si>
    <t>#20210621030812686</t>
  </si>
  <si>
    <t>無糖QQ糖3入組</t>
  </si>
  <si>
    <t>SHOPLINE-KID-000001</t>
  </si>
  <si>
    <t>台灣台北市大安區和平東路一段8號7樓</t>
  </si>
  <si>
    <t>106</t>
  </si>
  <si>
    <t>0935419601</t>
  </si>
  <si>
    <t>張佑琪</t>
  </si>
  <si>
    <t>#20210621025818728</t>
  </si>
  <si>
    <t>奶睡清潔組</t>
  </si>
  <si>
    <t>SHOPLINE-KID-000028</t>
  </si>
  <si>
    <t>PH77777712</t>
  </si>
  <si>
    <t>台灣雲林縣西螺鎮正興里福安街210號</t>
  </si>
  <si>
    <t>648</t>
  </si>
  <si>
    <t>0979017229</t>
  </si>
  <si>
    <t>林妙淋</t>
  </si>
  <si>
    <t>#20210621021907350</t>
  </si>
  <si>
    <t>無糖QQ凍 10條/盒</t>
  </si>
  <si>
    <t>兒童無氟漱口水 安全可吞</t>
  </si>
  <si>
    <t>F006552</t>
  </si>
  <si>
    <t>全家基隆中山店</t>
  </si>
  <si>
    <t>全家 取貨不付款 (B2C)</t>
  </si>
  <si>
    <t>0986139032</t>
  </si>
  <si>
    <t>魏菀婷</t>
  </si>
  <si>
    <t>#20210621020921449</t>
  </si>
  <si>
    <t>無氟學齡刷牙組</t>
  </si>
  <si>
    <t>SHOPLINE-KID-000042</t>
  </si>
  <si>
    <t>兒童含氟牙膏 葡萄口味</t>
  </si>
  <si>
    <t>38547992</t>
  </si>
  <si>
    <t>PH77777708</t>
  </si>
  <si>
    <t>台灣台北市文山區景興路193號4樓之4</t>
  </si>
  <si>
    <t>116</t>
  </si>
  <si>
    <t>0988049982</t>
  </si>
  <si>
    <t>楊宏恩</t>
  </si>
  <si>
    <t>#20210621014907353</t>
  </si>
  <si>
    <t>PH77777707</t>
  </si>
  <si>
    <t>台灣南投縣南投市祖祠路395號</t>
  </si>
  <si>
    <t>540</t>
  </si>
  <si>
    <t>0970703869</t>
  </si>
  <si>
    <t>林宜宣</t>
  </si>
  <si>
    <t>#20210621012809665</t>
  </si>
  <si>
    <t>PH77777706</t>
  </si>
  <si>
    <t>台灣新北市新莊區中港二街96號3樓</t>
  </si>
  <si>
    <t>242</t>
  </si>
  <si>
    <t>0980896385</t>
  </si>
  <si>
    <t>蔡閏澤</t>
  </si>
  <si>
    <t>#20210621012023163</t>
  </si>
  <si>
    <t>牙齒抗敏噴霧</t>
  </si>
  <si>
    <t>931179</t>
  </si>
  <si>
    <t>太子哈佛門市</t>
  </si>
  <si>
    <t>0970886237</t>
  </si>
  <si>
    <t>黃冠菁</t>
  </si>
  <si>
    <t>#20210621011026184</t>
  </si>
  <si>
    <t>無糖QQ糖 草莓口味</t>
  </si>
  <si>
    <t>PH77777704</t>
  </si>
  <si>
    <t>台灣台北市中山區吉林路14巷15號</t>
  </si>
  <si>
    <t>0922482244</t>
  </si>
  <si>
    <t>Susan Chang</t>
  </si>
  <si>
    <t>已發貨</t>
  </si>
  <si>
    <t>已確認</t>
  </si>
  <si>
    <t>#20210620235422955</t>
  </si>
  <si>
    <t>PH77777703</t>
  </si>
  <si>
    <t>台灣桃園市蘆竹區光明路一段60巷45號12樓</t>
  </si>
  <si>
    <t>338</t>
  </si>
  <si>
    <t>0937950082</t>
  </si>
  <si>
    <t>楊雅嵐</t>
  </si>
  <si>
    <t>#20210620233247730</t>
  </si>
  <si>
    <t>SHOPLINE-NEW-000028</t>
  </si>
  <si>
    <t>217466</t>
  </si>
  <si>
    <t>龍東門市</t>
  </si>
  <si>
    <t>0921041650</t>
  </si>
  <si>
    <t>鍾玉珮</t>
  </si>
  <si>
    <t>#20210620232435046</t>
  </si>
  <si>
    <t>F012392</t>
  </si>
  <si>
    <t>全家新莊新建明店</t>
  </si>
  <si>
    <t>0953013116</t>
  </si>
  <si>
    <t>吳依玲</t>
  </si>
  <si>
    <t>#20210620212013092</t>
  </si>
  <si>
    <t>F003809</t>
  </si>
  <si>
    <t>全家清水高美店</t>
  </si>
  <si>
    <t>0970731013</t>
  </si>
  <si>
    <t>張紫喬</t>
  </si>
  <si>
    <t>#20210620211753272</t>
  </si>
  <si>
    <t>82613702</t>
  </si>
  <si>
    <t>PH77777705</t>
  </si>
  <si>
    <t>台灣台中市大里區中興路二段332-2號1樓</t>
  </si>
  <si>
    <t>412</t>
  </si>
  <si>
    <t>0966871433</t>
  </si>
  <si>
    <t>簡冠慈</t>
  </si>
  <si>
    <t>#20210620202742195</t>
  </si>
  <si>
    <t>口腔清新噴劑 加強版</t>
  </si>
  <si>
    <t>F013537</t>
  </si>
  <si>
    <t>全家員林黎明店</t>
  </si>
  <si>
    <t>0923101586</t>
  </si>
  <si>
    <t>黃淑怡</t>
  </si>
  <si>
    <t>#20210620193544809</t>
  </si>
  <si>
    <t>SHOPLINE-KID-000020</t>
  </si>
  <si>
    <t>PH77777702</t>
  </si>
  <si>
    <t>捐贈發票</t>
  </si>
  <si>
    <t>台灣新北市淡水區中正東路二段111號13樓之2</t>
  </si>
  <si>
    <t>251</t>
  </si>
  <si>
    <t>0928125554</t>
  </si>
  <si>
    <t>Yi-Ting Wang</t>
  </si>
  <si>
    <t>#20210620174652565</t>
  </si>
  <si>
    <t>【開幕組合限定】含鈣健齒噴霧2入+口腔清潔棒60入</t>
  </si>
  <si>
    <t>SHOPLINE-NEW-000057</t>
  </si>
  <si>
    <t>174109</t>
  </si>
  <si>
    <t>堡勤門市</t>
  </si>
  <si>
    <t>0926500662</t>
  </si>
  <si>
    <t>賴綵蛉</t>
  </si>
  <si>
    <t>#20210620165718028</t>
  </si>
  <si>
    <t>216511</t>
  </si>
  <si>
    <t>美庄門市</t>
  </si>
  <si>
    <t>0915909513</t>
  </si>
  <si>
    <t>黃女真</t>
  </si>
  <si>
    <t>#20210620163341388</t>
  </si>
  <si>
    <t>SHOPLINE-NEW-000019</t>
  </si>
  <si>
    <t>PH77777698</t>
  </si>
  <si>
    <t>2021/06/20</t>
  </si>
  <si>
    <t>台灣高雄市仁武區仁信巷57-4號</t>
  </si>
  <si>
    <t>814</t>
  </si>
  <si>
    <t>ATM 虛擬帳號</t>
  </si>
  <si>
    <t>0912712893</t>
  </si>
  <si>
    <t>李菁茹</t>
  </si>
  <si>
    <t>#20210620152314200</t>
  </si>
  <si>
    <t>F007427</t>
  </si>
  <si>
    <t>全家鳳山自強店</t>
  </si>
  <si>
    <t>0929319573</t>
  </si>
  <si>
    <t>呂佩諭</t>
  </si>
  <si>
    <t>#20210620151213492</t>
  </si>
  <si>
    <t>126764</t>
  </si>
  <si>
    <t>祖祠門市</t>
  </si>
  <si>
    <t>0980800526</t>
  </si>
  <si>
    <t>張筱梅</t>
  </si>
  <si>
    <t>#20210620150518628</t>
  </si>
  <si>
    <t>132415</t>
  </si>
  <si>
    <t>正光門市</t>
  </si>
  <si>
    <t>0933078418</t>
  </si>
  <si>
    <t>徐麗蓉</t>
  </si>
  <si>
    <t>#20210620145432025</t>
  </si>
  <si>
    <t>PH77777701</t>
  </si>
  <si>
    <t>台灣新北市泰山區福興三街176號7樓</t>
  </si>
  <si>
    <t>243</t>
  </si>
  <si>
    <t>0983859685</t>
  </si>
  <si>
    <t>施幸沅</t>
  </si>
  <si>
    <t>#20210620144359514</t>
  </si>
  <si>
    <t>202361</t>
  </si>
  <si>
    <t>鹿濱門市</t>
  </si>
  <si>
    <t>0979091719</t>
  </si>
  <si>
    <t>許萩愉</t>
  </si>
  <si>
    <t>#20210620143730111</t>
  </si>
  <si>
    <t>PH77777700</t>
  </si>
  <si>
    <t>台灣新北市土城區福安街80-9號6樓</t>
  </si>
  <si>
    <t>236</t>
  </si>
  <si>
    <t>0921303988</t>
  </si>
  <si>
    <t>陳怡君</t>
  </si>
  <si>
    <t>#20210620142852965</t>
  </si>
  <si>
    <t>207654</t>
  </si>
  <si>
    <t>高昌門市</t>
  </si>
  <si>
    <t>0919682606</t>
  </si>
  <si>
    <t>陳韻如</t>
  </si>
  <si>
    <t>#20210620141402815</t>
  </si>
  <si>
    <t>F009187</t>
  </si>
  <si>
    <t>全家潮州三林店</t>
  </si>
  <si>
    <t>0985386559</t>
  </si>
  <si>
    <t>林若馨</t>
  </si>
  <si>
    <t>#20210620140847931</t>
  </si>
  <si>
    <t>214652</t>
  </si>
  <si>
    <t>三中門市</t>
  </si>
  <si>
    <t>0910084172</t>
  </si>
  <si>
    <t>葉文茹</t>
  </si>
  <si>
    <t>#20210620140822755</t>
  </si>
  <si>
    <t>PH77777696</t>
  </si>
  <si>
    <t>990374</t>
  </si>
  <si>
    <t>新嘉勝門市</t>
  </si>
  <si>
    <t>0919840231</t>
  </si>
  <si>
    <t>梁家茹</t>
  </si>
  <si>
    <t>#20210620133533732</t>
  </si>
  <si>
    <t>SHOPLINE-NEW-000017</t>
  </si>
  <si>
    <t>PH77777699</t>
  </si>
  <si>
    <t>台灣新北市新莊區新泰路91-1號4樓</t>
  </si>
  <si>
    <t>0917802088</t>
  </si>
  <si>
    <t>陳羨希</t>
  </si>
  <si>
    <t>#20210620130443102</t>
  </si>
  <si>
    <t>SHOPLINE-NEW-000043</t>
  </si>
  <si>
    <t>956341</t>
  </si>
  <si>
    <t>金旦門市</t>
  </si>
  <si>
    <t>0916062710</t>
  </si>
  <si>
    <t>吳惠萍</t>
  </si>
  <si>
    <t>#20210620121609264</t>
  </si>
  <si>
    <t>SHOPLINE-KID-000012</t>
  </si>
  <si>
    <t>PH77777694</t>
  </si>
  <si>
    <t>台灣高雄市左營區曾子路274巷61號</t>
  </si>
  <si>
    <t>813</t>
  </si>
  <si>
    <t>0958183830</t>
  </si>
  <si>
    <t>張淑菁</t>
  </si>
  <si>
    <t>#20210620113103722</t>
  </si>
  <si>
    <t>【新上市】海苔酥5入</t>
  </si>
  <si>
    <t>SHOPLINE-KID-000052</t>
  </si>
  <si>
    <t>159395</t>
  </si>
  <si>
    <t>鑫港醫門市</t>
  </si>
  <si>
    <t>0975351679</t>
  </si>
  <si>
    <t>黃靖文</t>
  </si>
  <si>
    <t>#20210620112931521</t>
  </si>
  <si>
    <t>F015880</t>
  </si>
  <si>
    <t>全家平鎮富民店</t>
  </si>
  <si>
    <t>0930650505</t>
  </si>
  <si>
    <t>馬玉靈</t>
  </si>
  <si>
    <t>#20210620094137960</t>
  </si>
  <si>
    <t>SHOPLINE-NEW-000040</t>
  </si>
  <si>
    <t>含氟防蛀修護組合</t>
  </si>
  <si>
    <t>SHOPLINE-KID-000038</t>
  </si>
  <si>
    <t>PH77777691</t>
  </si>
  <si>
    <t>台灣雲林縣斗六市斗六市莊敬路347巷69號8樓</t>
  </si>
  <si>
    <t>640</t>
  </si>
  <si>
    <t>0989000843</t>
  </si>
  <si>
    <t>徐麗婷</t>
  </si>
  <si>
    <t>#20210620085843902</t>
  </si>
  <si>
    <t>PH77777688</t>
  </si>
  <si>
    <t>台灣彰化縣二水鄉上豐村山腳路二段218號</t>
  </si>
  <si>
    <t>530</t>
  </si>
  <si>
    <t>0980340217</t>
  </si>
  <si>
    <t>董芮伶</t>
  </si>
  <si>
    <t>#20210620085302115</t>
  </si>
  <si>
    <t>SHOPLINE-NEW-000031</t>
  </si>
  <si>
    <t>141338</t>
  </si>
  <si>
    <t>福聚門市</t>
  </si>
  <si>
    <t>0910336319</t>
  </si>
  <si>
    <t>余品瑩</t>
  </si>
  <si>
    <t>#20210620085132925</t>
  </si>
  <si>
    <t>PH77777690</t>
  </si>
  <si>
    <t>台灣新竹市東區東光路186號</t>
  </si>
  <si>
    <t>0928921670</t>
  </si>
  <si>
    <t>王淑茹</t>
  </si>
  <si>
    <t>#20210620080436054</t>
  </si>
  <si>
    <t>F010301</t>
  </si>
  <si>
    <t>全家新東湖店</t>
  </si>
  <si>
    <t>0917646920</t>
  </si>
  <si>
    <t>朱怡靜</t>
  </si>
  <si>
    <t>#20210620073411879</t>
  </si>
  <si>
    <t>SHOPLINE-KID-000039</t>
  </si>
  <si>
    <t>139139</t>
  </si>
  <si>
    <t>斗抵門市</t>
  </si>
  <si>
    <t>0975785521</t>
  </si>
  <si>
    <t>張米菲</t>
  </si>
  <si>
    <t>#20210620064634439</t>
  </si>
  <si>
    <t>台灣台中市清水區高美路376巷14號</t>
  </si>
  <si>
    <t>436</t>
  </si>
  <si>
    <t>0963533631</t>
  </si>
  <si>
    <t>黃淑婷</t>
  </si>
  <si>
    <t>#20210620062031219</t>
  </si>
  <si>
    <t>21634212</t>
  </si>
  <si>
    <t>PH77777686</t>
  </si>
  <si>
    <t>台灣屏東縣屏東市建國路375巷45之2號</t>
  </si>
  <si>
    <t>900</t>
  </si>
  <si>
    <t>0970397427</t>
  </si>
  <si>
    <t>翁詩萍</t>
  </si>
  <si>
    <t>#20210620053514599</t>
  </si>
  <si>
    <t>F020267</t>
  </si>
  <si>
    <t>全家台南萬年店</t>
  </si>
  <si>
    <t>0936535232</t>
  </si>
  <si>
    <t>蘇筱淇</t>
  </si>
  <si>
    <t>#20210620050911378</t>
  </si>
  <si>
    <t>SHOPLINE-NEW-000010</t>
  </si>
  <si>
    <t>PH77777685</t>
  </si>
  <si>
    <t>F006965</t>
  </si>
  <si>
    <t>全家壯圍美功店</t>
  </si>
  <si>
    <t>0936088472</t>
  </si>
  <si>
    <t>游明真</t>
  </si>
  <si>
    <t>#20210620050720041</t>
  </si>
  <si>
    <t>F018973</t>
  </si>
  <si>
    <t>全家台南中平店</t>
  </si>
  <si>
    <t>【贈品】【安家佳】抗菌乾洗手凝露</t>
  </si>
  <si>
    <t>0935888933</t>
  </si>
  <si>
    <t>許秋慧</t>
  </si>
  <si>
    <t>#20210620050332325</t>
  </si>
  <si>
    <t>132138</t>
  </si>
  <si>
    <t>鼎貴門市</t>
  </si>
  <si>
    <t>0905153931</t>
  </si>
  <si>
    <t>陳冠語</t>
  </si>
  <si>
    <t>#20210620045012085</t>
  </si>
  <si>
    <t>SHOPLINE-KID-000013</t>
  </si>
  <si>
    <t>138871</t>
  </si>
  <si>
    <t>彌進門市</t>
  </si>
  <si>
    <t>0985868879</t>
  </si>
  <si>
    <t>蕭蘋嘉</t>
  </si>
  <si>
    <t>#20210620043247730</t>
  </si>
  <si>
    <t>PH77777683</t>
  </si>
  <si>
    <t>台灣台中市烏日區三榮路二段442號7樓之1</t>
  </si>
  <si>
    <t>414</t>
  </si>
  <si>
    <t>0928700713</t>
  </si>
  <si>
    <t>張惠琳</t>
  </si>
  <si>
    <t>#20210620043232626</t>
  </si>
  <si>
    <t>口腔清新噴劑</t>
  </si>
  <si>
    <t>台灣新竹縣峨眉鄉富興村七鄰文化街九號</t>
  </si>
  <si>
    <t>315</t>
  </si>
  <si>
    <t>0963252429</t>
  </si>
  <si>
    <t>曾妍蓉</t>
  </si>
  <si>
    <t>#20210620035830811</t>
  </si>
  <si>
    <t>164283</t>
  </si>
  <si>
    <t>福山門市</t>
  </si>
  <si>
    <t>0911761010</t>
  </si>
  <si>
    <t>李品儀</t>
  </si>
  <si>
    <t>#20210620035820741</t>
  </si>
  <si>
    <t>SHOPLINE-NEW-000042</t>
  </si>
  <si>
    <t>883913</t>
  </si>
  <si>
    <t>新豐田門市</t>
  </si>
  <si>
    <t>0939970660</t>
  </si>
  <si>
    <t>張伊如</t>
  </si>
  <si>
    <t>#20210620033109764</t>
  </si>
  <si>
    <t>110839</t>
  </si>
  <si>
    <t>虎威門市</t>
  </si>
  <si>
    <t>0921794727</t>
  </si>
  <si>
    <t>張微新</t>
  </si>
  <si>
    <t>#20210620032824769</t>
  </si>
  <si>
    <t>PH77777684</t>
  </si>
  <si>
    <t>台灣桃園市中壢區環中東路二段312巷3號7樓之1</t>
  </si>
  <si>
    <t>0981367357</t>
  </si>
  <si>
    <t>吳禹凡</t>
  </si>
  <si>
    <t>#20210620031152065</t>
  </si>
  <si>
    <t>PH77777674</t>
  </si>
  <si>
    <t>台灣宜蘭縣冬山鄉梅湖路139號</t>
  </si>
  <si>
    <t>269</t>
  </si>
  <si>
    <t>0919514288</t>
  </si>
  <si>
    <t>蔡逸菁</t>
  </si>
  <si>
    <t>#20210620024138967</t>
  </si>
  <si>
    <t>SHOPLINE-KID-000019</t>
  </si>
  <si>
    <t>992808</t>
  </si>
  <si>
    <t>0977162913</t>
  </si>
  <si>
    <t>陳冠聿</t>
  </si>
  <si>
    <t>#20210619224433032</t>
  </si>
  <si>
    <t>188441</t>
  </si>
  <si>
    <t>新樹孝門市</t>
  </si>
  <si>
    <t>0978361218</t>
  </si>
  <si>
    <t>葉麗婷</t>
  </si>
  <si>
    <t>#20210619221255786</t>
  </si>
  <si>
    <t>PH77777664</t>
  </si>
  <si>
    <t>台灣雲林縣口湖鄉湖口村95-2號</t>
  </si>
  <si>
    <t>653</t>
  </si>
  <si>
    <t>0988771513</t>
  </si>
  <si>
    <t>吳彩瑤</t>
  </si>
  <si>
    <t>#20210619215513592</t>
  </si>
  <si>
    <t>PH77777660</t>
  </si>
  <si>
    <t>台灣新北市樹林區學成路563號13樓</t>
  </si>
  <si>
    <t>238</t>
  </si>
  <si>
    <t>0918365767</t>
  </si>
  <si>
    <t>孫華倩</t>
  </si>
  <si>
    <t>#20210619213624369</t>
  </si>
  <si>
    <t>PH77777663</t>
  </si>
  <si>
    <t>F000797</t>
  </si>
  <si>
    <t>全家桃園中山店</t>
  </si>
  <si>
    <t>0972871230</t>
  </si>
  <si>
    <t>潘雨柔</t>
  </si>
  <si>
    <t>#20210619195650551</t>
  </si>
  <si>
    <t>F019005</t>
  </si>
  <si>
    <t>全家神岡和睦店</t>
  </si>
  <si>
    <t>0923125243</t>
  </si>
  <si>
    <t>曾世昌</t>
  </si>
  <si>
    <t>#20210619190444109</t>
  </si>
  <si>
    <t>F018900</t>
  </si>
  <si>
    <t>全家土城吉城店</t>
  </si>
  <si>
    <t>0928090043</t>
  </si>
  <si>
    <t>曾思華</t>
  </si>
  <si>
    <t>#20210619183425976</t>
  </si>
  <si>
    <t>215231</t>
  </si>
  <si>
    <t>新大港門市</t>
  </si>
  <si>
    <t>0910081086</t>
  </si>
  <si>
    <t>林碧珠</t>
  </si>
  <si>
    <t>#20210619175649544</t>
  </si>
  <si>
    <t>F004325</t>
  </si>
  <si>
    <t>全家阿蓮忠孝店</t>
  </si>
  <si>
    <t>0981289942</t>
  </si>
  <si>
    <t>曾裴裴</t>
  </si>
  <si>
    <t>#20210619174052365</t>
  </si>
  <si>
    <t>131928</t>
  </si>
  <si>
    <t>竹醫門市</t>
  </si>
  <si>
    <t>0912469330</t>
  </si>
  <si>
    <t>林于絨</t>
  </si>
  <si>
    <t>#20210619173359516</t>
  </si>
  <si>
    <t>無氟安全可吞組合</t>
  </si>
  <si>
    <t>SHOPLINE-KID-000033</t>
  </si>
  <si>
    <t>F015116</t>
  </si>
  <si>
    <t>全家土城香榭店</t>
  </si>
  <si>
    <t>0980271856</t>
  </si>
  <si>
    <t>陳紫彤</t>
  </si>
  <si>
    <t>#20210619171100701</t>
  </si>
  <si>
    <t>SHOPLINE-NEW-000025</t>
  </si>
  <si>
    <t>PH77777656</t>
  </si>
  <si>
    <t>台灣台中市北屯區東山路一段147巷40弄11-43號2樓</t>
  </si>
  <si>
    <t>406</t>
  </si>
  <si>
    <t>0923162273</t>
  </si>
  <si>
    <t>李筱婷</t>
  </si>
  <si>
    <t>#20210619163118828</t>
  </si>
  <si>
    <t>SHOPLINE-NEW-000067</t>
  </si>
  <si>
    <t>PH77777662</t>
  </si>
  <si>
    <t>台灣花蓮縣吉安鄉慈惠四街236巷28號</t>
  </si>
  <si>
    <t>973</t>
  </si>
  <si>
    <t>0972213263</t>
  </si>
  <si>
    <t>王心怡</t>
  </si>
  <si>
    <t>#20210619162936553</t>
  </si>
  <si>
    <t>PH77777653</t>
  </si>
  <si>
    <t>2021/06/19</t>
  </si>
  <si>
    <t>台灣雲林縣林內鄉坪頂村50號</t>
  </si>
  <si>
    <t>643</t>
  </si>
  <si>
    <t>0988119401</t>
  </si>
  <si>
    <t>楊謹綺</t>
  </si>
  <si>
    <t>#20210619153827790</t>
  </si>
  <si>
    <t>PH77777650</t>
  </si>
  <si>
    <t>台灣新北市新店區北新路三段95巷3號3樓</t>
  </si>
  <si>
    <t>231</t>
  </si>
  <si>
    <t>0912735350</t>
  </si>
  <si>
    <t>陳惠雯</t>
  </si>
  <si>
    <t>#20210619151154080</t>
  </si>
  <si>
    <t>110208</t>
  </si>
  <si>
    <t>集寶門市</t>
  </si>
  <si>
    <t>0981668342</t>
  </si>
  <si>
    <t>戴君琪</t>
  </si>
  <si>
    <t>#20210619151032225</t>
  </si>
  <si>
    <t>SHOPLINE-NEW-000030</t>
  </si>
  <si>
    <t>PH77777649</t>
  </si>
  <si>
    <t>台灣新北市中和區圓通路417之40號1樓</t>
  </si>
  <si>
    <t>235</t>
  </si>
  <si>
    <t>0980920602</t>
  </si>
  <si>
    <t>風嘉慧</t>
  </si>
  <si>
    <t>#20210619150831818</t>
  </si>
  <si>
    <t>F003562</t>
  </si>
  <si>
    <t>全家台中田心店</t>
  </si>
  <si>
    <t>0972071380</t>
  </si>
  <si>
    <t>李佳玲</t>
  </si>
  <si>
    <t>#20210619144726083</t>
  </si>
  <si>
    <t>兒童含氟漱口水</t>
  </si>
  <si>
    <t>239400</t>
  </si>
  <si>
    <t>樟福門市</t>
  </si>
  <si>
    <t>0932893131</t>
  </si>
  <si>
    <t>林佾臻</t>
  </si>
  <si>
    <t>#20210619143949644</t>
  </si>
  <si>
    <t>958956</t>
  </si>
  <si>
    <t>東福門市</t>
  </si>
  <si>
    <t>0954094349</t>
  </si>
  <si>
    <t>彭雁琳</t>
  </si>
  <si>
    <t>#20210619142330311</t>
  </si>
  <si>
    <t>PH77777655</t>
  </si>
  <si>
    <t>台灣台南市永康區永大路二段1129號14樓之5</t>
  </si>
  <si>
    <t>710</t>
  </si>
  <si>
    <t>0988155017</t>
  </si>
  <si>
    <t>林穎琪</t>
  </si>
  <si>
    <t>#20210619142239674</t>
  </si>
  <si>
    <t>PH77777654</t>
  </si>
  <si>
    <t>台灣台北市萬華區環河南路一段23號2樓之7</t>
  </si>
  <si>
    <t>108</t>
  </si>
  <si>
    <t>0926338210</t>
  </si>
  <si>
    <t>謝欣穎</t>
  </si>
  <si>
    <t>#20210619142224569</t>
  </si>
  <si>
    <t>PH77777648</t>
  </si>
  <si>
    <t>F013609</t>
  </si>
  <si>
    <t>全家員林安迪店</t>
  </si>
  <si>
    <t>0915623459</t>
  </si>
  <si>
    <t>楊怡屏</t>
  </si>
  <si>
    <t>#20210619135957700</t>
  </si>
  <si>
    <t>PH77777652</t>
  </si>
  <si>
    <t>台灣台中市太平區大興十六街53號</t>
  </si>
  <si>
    <t>411</t>
  </si>
  <si>
    <t>0916449088</t>
  </si>
  <si>
    <t>謝佩珊</t>
  </si>
  <si>
    <t>#20210619135528697</t>
  </si>
  <si>
    <t>SHOPLINE-KID-000044</t>
  </si>
  <si>
    <t>PH77777651</t>
  </si>
  <si>
    <t>台灣台中市西區公益路371號五樓</t>
  </si>
  <si>
    <t>0985212810</t>
  </si>
  <si>
    <t>陳敬岳</t>
  </si>
  <si>
    <t>#20210619130711979</t>
  </si>
  <si>
    <t>137030</t>
  </si>
  <si>
    <t>新竹民門市</t>
  </si>
  <si>
    <t>0952580280</t>
  </si>
  <si>
    <t>賴勇達</t>
  </si>
  <si>
    <t>#20210619125037262</t>
  </si>
  <si>
    <t>131582</t>
  </si>
  <si>
    <t>仁樂門市</t>
  </si>
  <si>
    <t>0925929315</t>
  </si>
  <si>
    <t>楊千慧</t>
  </si>
  <si>
    <t>#20210619124448138</t>
  </si>
  <si>
    <t>PH77777646</t>
  </si>
  <si>
    <t>台灣台南市安南區長溪路一段182號</t>
  </si>
  <si>
    <t>709</t>
  </si>
  <si>
    <t>0928678908</t>
  </si>
  <si>
    <t>王玉瑩</t>
  </si>
  <si>
    <t>#20210619114207451</t>
  </si>
  <si>
    <t>SHOPLINE-KID-000031</t>
  </si>
  <si>
    <t>SHOPLINE-NEW-000054</t>
  </si>
  <si>
    <t>PH77777643</t>
  </si>
  <si>
    <t>台灣屏東縣屏東市和興里32號</t>
  </si>
  <si>
    <t>0975165371</t>
  </si>
  <si>
    <t>eve14700@gmail.com</t>
  </si>
  <si>
    <t>#20210619110026183</t>
  </si>
  <si>
    <t>SHOPLINE-KID-000026</t>
  </si>
  <si>
    <t>192716</t>
  </si>
  <si>
    <t>糖友門市</t>
  </si>
  <si>
    <t>0927691155</t>
  </si>
  <si>
    <t>林怡吟</t>
  </si>
  <si>
    <t>#20210619105704929</t>
  </si>
  <si>
    <t>871482</t>
  </si>
  <si>
    <t>統吉門市</t>
  </si>
  <si>
    <t>0935355414</t>
  </si>
  <si>
    <t>陳逸如</t>
  </si>
  <si>
    <t>#20210619095449146</t>
  </si>
  <si>
    <t>870711</t>
  </si>
  <si>
    <t>香楊門市</t>
  </si>
  <si>
    <t>0909888148</t>
  </si>
  <si>
    <t>蘇如玉</t>
  </si>
  <si>
    <t>#20210619094651558</t>
  </si>
  <si>
    <t>PH77777641</t>
  </si>
  <si>
    <t>台灣台南市關廟區關新路二段103巷28號</t>
  </si>
  <si>
    <t>718</t>
  </si>
  <si>
    <t>0983400109</t>
  </si>
  <si>
    <t>陳嘉碧</t>
  </si>
  <si>
    <t>#20210619094016113</t>
  </si>
  <si>
    <t>PH77777640</t>
  </si>
  <si>
    <t>台灣桃園市蘆竹區中興里大興八街13號5樓之3</t>
  </si>
  <si>
    <t>0982363633</t>
  </si>
  <si>
    <t>吳懿珉</t>
  </si>
  <si>
    <t>#20210619093920441</t>
  </si>
  <si>
    <t>SHOPLINE-KID-000034</t>
  </si>
  <si>
    <t>PH77777639</t>
  </si>
  <si>
    <t>台灣彰化縣彰化市復興里學士街39-6號</t>
  </si>
  <si>
    <t>500</t>
  </si>
  <si>
    <t>0970520013</t>
  </si>
  <si>
    <t>林思妤</t>
  </si>
  <si>
    <t>#20210619091415906</t>
  </si>
  <si>
    <t>198161</t>
  </si>
  <si>
    <t>仁雄門市</t>
  </si>
  <si>
    <t>0988519039</t>
  </si>
  <si>
    <t>侯立言</t>
  </si>
  <si>
    <t>#20210619080717021</t>
  </si>
  <si>
    <t>PH77777638</t>
  </si>
  <si>
    <t>台灣台南市安平區光州五街58號</t>
  </si>
  <si>
    <t>708</t>
  </si>
  <si>
    <t>0952672400</t>
  </si>
  <si>
    <t>陳惠慈</t>
  </si>
  <si>
    <t>#20210619080524670</t>
  </si>
  <si>
    <t>SHOPLINE-NEW-000047</t>
  </si>
  <si>
    <t>188164</t>
  </si>
  <si>
    <t>安昌門市</t>
  </si>
  <si>
    <t>0910893908</t>
  </si>
  <si>
    <t>吳玲君</t>
  </si>
  <si>
    <t>#20210619073707950</t>
  </si>
  <si>
    <t>970738</t>
  </si>
  <si>
    <t>慶龍門市</t>
  </si>
  <si>
    <t>0980668572</t>
  </si>
  <si>
    <t>吳佳穎</t>
  </si>
  <si>
    <t>#20210619071416913</t>
  </si>
  <si>
    <t>130095</t>
  </si>
  <si>
    <t>湖西門市</t>
  </si>
  <si>
    <t>0987788581</t>
  </si>
  <si>
    <t>許雅萍</t>
  </si>
  <si>
    <t>#20210619065948649</t>
  </si>
  <si>
    <t>PH77777635</t>
  </si>
  <si>
    <t>953847</t>
  </si>
  <si>
    <t>保新門市</t>
  </si>
  <si>
    <t>0966572005</t>
  </si>
  <si>
    <t>李靜惠</t>
  </si>
  <si>
    <t>#20210619060926483</t>
  </si>
  <si>
    <t>PH77777634</t>
  </si>
  <si>
    <t>台灣高雄市鳥松區大埤路123-12號10-1樓</t>
  </si>
  <si>
    <t>833</t>
  </si>
  <si>
    <t>0987775652</t>
  </si>
  <si>
    <t>廖庭昀</t>
  </si>
  <si>
    <t>#20210619060018129</t>
  </si>
  <si>
    <t>F007991</t>
  </si>
  <si>
    <t>全家屏東歸來店</t>
  </si>
  <si>
    <t>0976680986</t>
  </si>
  <si>
    <t>李嘉容</t>
  </si>
  <si>
    <t>#20210619053618328</t>
  </si>
  <si>
    <t>964858</t>
  </si>
  <si>
    <t>龍鳳門市</t>
  </si>
  <si>
    <t>0963014973</t>
  </si>
  <si>
    <t>栢佳琪</t>
  </si>
  <si>
    <t>#20210619045239675</t>
  </si>
  <si>
    <t>881009</t>
  </si>
  <si>
    <t>口湖門市</t>
  </si>
  <si>
    <t>0978622708</t>
  </si>
  <si>
    <t>李佩蓉</t>
  </si>
  <si>
    <t>#20210619043402815</t>
  </si>
  <si>
    <t>238407</t>
  </si>
  <si>
    <t>廟東門市</t>
  </si>
  <si>
    <t>0975221502</t>
  </si>
  <si>
    <t>蕭雅婷</t>
  </si>
  <si>
    <t>#20210619035154079</t>
  </si>
  <si>
    <t>F013128</t>
  </si>
  <si>
    <t>全家土城學林店</t>
  </si>
  <si>
    <t>0966500525</t>
  </si>
  <si>
    <t>陳珮司</t>
  </si>
  <si>
    <t>#20210619033652565</t>
  </si>
  <si>
    <t>F011740</t>
  </si>
  <si>
    <t>全家關山民族店</t>
  </si>
  <si>
    <t>0978710388</t>
  </si>
  <si>
    <t>戴佩珊</t>
  </si>
  <si>
    <t>#20210619033007050</t>
  </si>
  <si>
    <t>210801</t>
  </si>
  <si>
    <t>印月門市</t>
  </si>
  <si>
    <t>0989799278</t>
  </si>
  <si>
    <t>彭曉蓉</t>
  </si>
  <si>
    <t>#20210619032408858</t>
  </si>
  <si>
    <t>SHOPLINE-KID-000040</t>
  </si>
  <si>
    <t>922027</t>
  </si>
  <si>
    <t>春流門市</t>
  </si>
  <si>
    <t>0989231521</t>
  </si>
  <si>
    <t>劉冠蘚</t>
  </si>
  <si>
    <t>#20210619024443102</t>
  </si>
  <si>
    <t>F007742</t>
  </si>
  <si>
    <t>全家台東和平店</t>
  </si>
  <si>
    <t>0917961005</t>
  </si>
  <si>
    <t>廖佳蓉</t>
  </si>
  <si>
    <t>#20210619024416913</t>
  </si>
  <si>
    <t>PH77777612</t>
  </si>
  <si>
    <t>台灣台中市西屯區福林路389號14F-2</t>
  </si>
  <si>
    <t>0978796124</t>
  </si>
  <si>
    <t>楊思思</t>
  </si>
  <si>
    <t>#20210619023305136</t>
  </si>
  <si>
    <t>PH77777620</t>
  </si>
  <si>
    <t>台灣屏東縣內埔鄉和興村學人路618巷76號</t>
  </si>
  <si>
    <t>912</t>
  </si>
  <si>
    <t>0980753774</t>
  </si>
  <si>
    <t>簡汝惟</t>
  </si>
  <si>
    <t>#20210619021720044</t>
  </si>
  <si>
    <t>PH77777633</t>
  </si>
  <si>
    <t>台灣台中市沙鹿區鎮南路二段563巷27號</t>
  </si>
  <si>
    <t>433</t>
  </si>
  <si>
    <t>0980540111</t>
  </si>
  <si>
    <t>何蕙羽</t>
  </si>
  <si>
    <t>#20210619020728097</t>
  </si>
  <si>
    <t>F002565</t>
  </si>
  <si>
    <t>全家桃園中埔店</t>
  </si>
  <si>
    <t>0920212057</t>
  </si>
  <si>
    <t>張美芳</t>
  </si>
  <si>
    <t>#20210619012822755</t>
  </si>
  <si>
    <t>PH77777607</t>
  </si>
  <si>
    <t>台灣台中市北屯區東山路一段91巷33號5樓之9</t>
  </si>
  <si>
    <t>0988772532</t>
  </si>
  <si>
    <t>羅庭婕</t>
  </si>
  <si>
    <t>#20210619012521648</t>
  </si>
  <si>
    <t>PH77777606</t>
  </si>
  <si>
    <t>台灣高雄市楠梓區高楠公路1842巷38弄8號</t>
  </si>
  <si>
    <t>811</t>
  </si>
  <si>
    <t>0925328905</t>
  </si>
  <si>
    <t>林羽萱</t>
  </si>
  <si>
    <t>#20210619011238667</t>
  </si>
  <si>
    <t>SHOPLINE-KID-000043</t>
  </si>
  <si>
    <t>PH77777603</t>
  </si>
  <si>
    <t>台灣新竹縣竹北市保泰三路80號</t>
  </si>
  <si>
    <t>302</t>
  </si>
  <si>
    <t>0911452976</t>
  </si>
  <si>
    <t>王玉婷</t>
  </si>
  <si>
    <t>#20210619005724069</t>
  </si>
  <si>
    <t>PH77777605</t>
  </si>
  <si>
    <t>台灣台中市太平區振福路532號</t>
  </si>
  <si>
    <t>0985992030</t>
  </si>
  <si>
    <t>楊彩杏</t>
  </si>
  <si>
    <t>#20210619003215506</t>
  </si>
  <si>
    <t>SHOPLINE-NEW-000004</t>
  </si>
  <si>
    <t>SHOPLINE-NEW-000026</t>
  </si>
  <si>
    <t>PH77777598</t>
  </si>
  <si>
    <t>#20210619002032225</t>
  </si>
  <si>
    <t>F009186</t>
  </si>
  <si>
    <t>全家岡山柳橋店</t>
  </si>
  <si>
    <t>0903988817</t>
  </si>
  <si>
    <t>張芯維</t>
  </si>
  <si>
    <t>#20210618235159114</t>
  </si>
  <si>
    <t>PH77777597</t>
  </si>
  <si>
    <t>台灣桃園市龜山區民生北路一段340號</t>
  </si>
  <si>
    <t>333</t>
  </si>
  <si>
    <t>0932959538</t>
  </si>
  <si>
    <t>謝佳耘</t>
  </si>
  <si>
    <t>#20210618222051358</t>
  </si>
  <si>
    <t>PH77777602</t>
  </si>
  <si>
    <t>台灣台中市沙鹿區正德路160巷19號</t>
  </si>
  <si>
    <t>0978237280</t>
  </si>
  <si>
    <t>楊喬伃</t>
  </si>
  <si>
    <t>#20210618221604229</t>
  </si>
  <si>
    <t>130822</t>
  </si>
  <si>
    <t>統壢門市</t>
  </si>
  <si>
    <t>0912458399</t>
  </si>
  <si>
    <t>周佩蓉</t>
  </si>
  <si>
    <t>已到達</t>
  </si>
  <si>
    <t>#20210618205752265</t>
  </si>
  <si>
    <t>PH77777601</t>
  </si>
  <si>
    <t>F008380</t>
  </si>
  <si>
    <t>全家台南文平店</t>
  </si>
  <si>
    <t>0970123725</t>
  </si>
  <si>
    <t>余韋祈</t>
  </si>
  <si>
    <t>#20210618204129904</t>
  </si>
  <si>
    <t>215323</t>
  </si>
  <si>
    <t>加賀門市</t>
  </si>
  <si>
    <t>0968824566</t>
  </si>
  <si>
    <t>蕭芳芳</t>
  </si>
  <si>
    <t>#20210618193908357</t>
  </si>
  <si>
    <t>SHOPLINE-NEW-000002</t>
  </si>
  <si>
    <t>PH77777596</t>
  </si>
  <si>
    <t>台灣台南市安南區台江大道二段213號</t>
  </si>
  <si>
    <t>0903064208</t>
  </si>
  <si>
    <t>黃渼朔</t>
  </si>
  <si>
    <t>#20210618191717020</t>
  </si>
  <si>
    <t>SHOPLINE-KID-000046</t>
  </si>
  <si>
    <t>110035</t>
  </si>
  <si>
    <t>一勝門市</t>
  </si>
  <si>
    <t>0958582221</t>
  </si>
  <si>
    <t>陳淑菁</t>
  </si>
  <si>
    <t>#20210618182441088</t>
  </si>
  <si>
    <t>932437</t>
  </si>
  <si>
    <t>大美門市</t>
  </si>
  <si>
    <t>0980954149</t>
  </si>
  <si>
    <t>游淑真</t>
  </si>
  <si>
    <t>#20210618181518627</t>
  </si>
  <si>
    <t>台灣台東縣蘭嶼鄉紅頭村13號</t>
  </si>
  <si>
    <t>952</t>
  </si>
  <si>
    <t>0911 641 790</t>
  </si>
  <si>
    <t>胡宜欣</t>
  </si>
  <si>
    <t>#20210618180540781</t>
  </si>
  <si>
    <t>PH77777600</t>
  </si>
  <si>
    <t>台灣新北市汐止區康寧街459巷59號</t>
  </si>
  <si>
    <t>221</t>
  </si>
  <si>
    <t>0952505888</t>
  </si>
  <si>
    <t>莊涵茟</t>
  </si>
  <si>
    <t>#20210618173116814</t>
  </si>
  <si>
    <t>SHOPLINE-KID-000047</t>
  </si>
  <si>
    <t>PH77777599</t>
  </si>
  <si>
    <t>台灣新竹縣新豐鄉瑞興村2鄰22號</t>
  </si>
  <si>
    <t>304</t>
  </si>
  <si>
    <t>0965067939</t>
  </si>
  <si>
    <t>戴珮文</t>
  </si>
  <si>
    <t>#20210618172811678</t>
  </si>
  <si>
    <t>台灣高雄市小港區廈莊一街36號</t>
  </si>
  <si>
    <t>812</t>
  </si>
  <si>
    <t>0932723035</t>
  </si>
  <si>
    <t>梁玉慧</t>
  </si>
  <si>
    <t>#20210618164550851</t>
  </si>
  <si>
    <t>PH77777595</t>
  </si>
  <si>
    <t>165046</t>
  </si>
  <si>
    <t>0916070898</t>
  </si>
  <si>
    <t>鄧靖諭</t>
  </si>
  <si>
    <t>#20210618162334339</t>
  </si>
  <si>
    <t>SHOPLINE-NEW-000041</t>
  </si>
  <si>
    <t>PH77777604</t>
  </si>
  <si>
    <t>台灣新北市新莊區莊崑路11號9樓</t>
  </si>
  <si>
    <t>0908426834</t>
  </si>
  <si>
    <t>賴映如</t>
  </si>
  <si>
    <t>#20210618161452166</t>
  </si>
  <si>
    <t>SHOPLINE-NEW-000068</t>
  </si>
  <si>
    <t>F008186</t>
  </si>
  <si>
    <t>全家高雄覺禮店</t>
  </si>
  <si>
    <t>0915601169</t>
  </si>
  <si>
    <t>李艾玲</t>
  </si>
  <si>
    <t>#20210618161026183</t>
  </si>
  <si>
    <t>F018406</t>
  </si>
  <si>
    <t>全家頭份尖山店</t>
  </si>
  <si>
    <t>0970266895</t>
  </si>
  <si>
    <t>李雅玲</t>
  </si>
  <si>
    <t>#20210618155543804</t>
  </si>
  <si>
    <t>F008114</t>
  </si>
  <si>
    <t>全家梓官光明店</t>
  </si>
  <si>
    <t>0988031119</t>
  </si>
  <si>
    <t>洪言菱</t>
  </si>
  <si>
    <t>#20210618153256794</t>
  </si>
  <si>
    <t>PH77777720</t>
  </si>
  <si>
    <t>F000919</t>
  </si>
  <si>
    <t>全家龜山龍壽店</t>
  </si>
  <si>
    <t>0952099179</t>
  </si>
  <si>
    <t>張淨文</t>
  </si>
  <si>
    <t>已取貨</t>
  </si>
  <si>
    <t>已完成</t>
  </si>
  <si>
    <t>#20210618151505536</t>
  </si>
  <si>
    <t>台灣新北市板橋區板橋區四維路259巷46號1樓</t>
  </si>
  <si>
    <t>220</t>
  </si>
  <si>
    <t>0987967333</t>
  </si>
  <si>
    <t>宋佩珊</t>
  </si>
  <si>
    <t>#20210618150754281</t>
  </si>
  <si>
    <t>F018159</t>
  </si>
  <si>
    <t>全家燕巢安招店</t>
  </si>
  <si>
    <t>0982644791</t>
  </si>
  <si>
    <t>林安琪</t>
  </si>
  <si>
    <t>#20210618144239674</t>
  </si>
  <si>
    <t>台灣高雄市內門區溝坪里華園35號</t>
  </si>
  <si>
    <t>845</t>
  </si>
  <si>
    <t>0987656305</t>
  </si>
  <si>
    <t>謝佳妤</t>
  </si>
  <si>
    <t>#20210618141753272</t>
  </si>
  <si>
    <t>PH77777592</t>
  </si>
  <si>
    <t>2021/06/18</t>
  </si>
  <si>
    <t>台灣桃園市中壢區松勇路56號11樓</t>
  </si>
  <si>
    <t>0938068687</t>
  </si>
  <si>
    <t>蘇瑋雯</t>
  </si>
  <si>
    <t>#20210618141154079</t>
  </si>
  <si>
    <t>SHOPLINE-NEW-000037</t>
  </si>
  <si>
    <t>PH77777593</t>
  </si>
  <si>
    <t>台灣桃園市平鎮區新貴南街69巷16號</t>
  </si>
  <si>
    <t>324</t>
  </si>
  <si>
    <t>0976608704</t>
  </si>
  <si>
    <t>駱憶苓</t>
  </si>
  <si>
    <t>#20210618141014099</t>
  </si>
  <si>
    <t>PH77777594</t>
  </si>
  <si>
    <t>台灣花蓮縣吉安鄉仁和村南海三街201巷3號</t>
  </si>
  <si>
    <t>0926771060</t>
  </si>
  <si>
    <t>張玉嬋</t>
  </si>
  <si>
    <t>#20210618140127890</t>
  </si>
  <si>
    <t>台灣台中市西屯區台中市西屯區文華路7號</t>
  </si>
  <si>
    <t>0977122088</t>
  </si>
  <si>
    <t>羅憶柔</t>
  </si>
  <si>
    <t>#20210618135602215</t>
  </si>
  <si>
    <t>SHOPLINE-ADULT-000002</t>
  </si>
  <si>
    <t>200262</t>
  </si>
  <si>
    <t>興鑽門市</t>
  </si>
  <si>
    <t>0972963907</t>
  </si>
  <si>
    <t>葉盈盈</t>
  </si>
  <si>
    <t>#20210618135416913</t>
  </si>
  <si>
    <t>PH77777591</t>
  </si>
  <si>
    <t>台灣台南市南區德興路265巷26-5號</t>
  </si>
  <si>
    <t>702</t>
  </si>
  <si>
    <t>0918877810</t>
  </si>
  <si>
    <t>林薏如</t>
  </si>
  <si>
    <t>#20210618134716014</t>
  </si>
  <si>
    <t>922751</t>
  </si>
  <si>
    <t>0987977502</t>
  </si>
  <si>
    <t>張靜恩</t>
  </si>
  <si>
    <t>#20210618134638468</t>
  </si>
  <si>
    <t>PH77777588</t>
  </si>
  <si>
    <t>台灣新北市三重區環河北路三段464號4樓</t>
  </si>
  <si>
    <t>241</t>
  </si>
  <si>
    <t>0972979360</t>
  </si>
  <si>
    <t>高妙華</t>
  </si>
  <si>
    <t>#20210618134619334</t>
  </si>
  <si>
    <t>PH77777587</t>
  </si>
  <si>
    <t>台灣新北市汐止區福德三路16號4樓之一</t>
  </si>
  <si>
    <t>0953017066</t>
  </si>
  <si>
    <t>尹珮文</t>
  </si>
  <si>
    <t>#20210618134439074</t>
  </si>
  <si>
    <t>PH77777590</t>
  </si>
  <si>
    <t>台灣桃園市平鎮區興華街101巷12弄7號1樓</t>
  </si>
  <si>
    <t>0925062386</t>
  </si>
  <si>
    <t>黃瑋瑜</t>
  </si>
  <si>
    <t>#20210618133544809</t>
  </si>
  <si>
    <t>PH77777589</t>
  </si>
  <si>
    <t>台灣嘉義縣太保市後潭里194-10號原焙茗茶行</t>
  </si>
  <si>
    <t>612</t>
  </si>
  <si>
    <t>0972329775</t>
  </si>
  <si>
    <t>林宜薇</t>
  </si>
  <si>
    <t>#20210618133115808</t>
  </si>
  <si>
    <t>PH77777586</t>
  </si>
  <si>
    <t>台灣台中市太平區太興路77號</t>
  </si>
  <si>
    <t>0928400456</t>
  </si>
  <si>
    <t>黃雅慧</t>
  </si>
  <si>
    <t>#20210618132323263</t>
  </si>
  <si>
    <t>SHOPLINE-NEW-000071</t>
  </si>
  <si>
    <t>895880</t>
  </si>
  <si>
    <t>新立寧門市</t>
  </si>
  <si>
    <t>0970781901</t>
  </si>
  <si>
    <t>游蕎瑜</t>
  </si>
  <si>
    <t>#20210618131620342</t>
  </si>
  <si>
    <t>924609</t>
  </si>
  <si>
    <t>芳林門市</t>
  </si>
  <si>
    <t>0936575810</t>
  </si>
  <si>
    <t>柯熊熊</t>
  </si>
  <si>
    <t>#20210618130648537</t>
  </si>
  <si>
    <t>SHOPLINE-KID-000024</t>
  </si>
  <si>
    <t>PH77777697</t>
  </si>
  <si>
    <t>#20210618125359515</t>
  </si>
  <si>
    <t>SHOPLINE-NEW-000035</t>
  </si>
  <si>
    <t>10723407</t>
  </si>
  <si>
    <t>PH77777584</t>
  </si>
  <si>
    <t>台灣澎湖縣馬公市西文里97-65號</t>
  </si>
  <si>
    <t>0953 012 432</t>
  </si>
  <si>
    <t>陳雅玲</t>
  </si>
  <si>
    <t>#20210618101524670</t>
  </si>
  <si>
    <t>PH77777578</t>
  </si>
  <si>
    <t>台灣新竹縣竹東鎮下員山路26號</t>
  </si>
  <si>
    <t>310</t>
  </si>
  <si>
    <t>0911834264</t>
  </si>
  <si>
    <t>莊孟橙</t>
  </si>
  <si>
    <t>#20210618093904329</t>
  </si>
  <si>
    <t>PH77777580</t>
  </si>
  <si>
    <t>台灣台南市永康區南興路94號</t>
  </si>
  <si>
    <t>0982979804</t>
  </si>
  <si>
    <t>柯念瑩</t>
  </si>
  <si>
    <t>#20210618093355486</t>
  </si>
  <si>
    <t>PH77777579</t>
  </si>
  <si>
    <t>台灣台北市松山區復興北路1號13樓之3</t>
  </si>
  <si>
    <t>105</t>
  </si>
  <si>
    <t>0988277365</t>
  </si>
  <si>
    <t>胡吟曲</t>
  </si>
  <si>
    <t>#20210618093042297</t>
  </si>
  <si>
    <t>123086</t>
  </si>
  <si>
    <t>龍田門市</t>
  </si>
  <si>
    <t>0977056825</t>
  </si>
  <si>
    <t>李惠萍</t>
  </si>
  <si>
    <t>#20210618084442096</t>
  </si>
  <si>
    <t>SHOPLINE-KID-000030</t>
  </si>
  <si>
    <t>872061</t>
  </si>
  <si>
    <t>孟揚門市</t>
  </si>
  <si>
    <t>0956580848</t>
  </si>
  <si>
    <t>施芸仙</t>
  </si>
  <si>
    <t>#20210618083749247</t>
  </si>
  <si>
    <t>F011333</t>
  </si>
  <si>
    <t>全家嘉義興安店</t>
  </si>
  <si>
    <t>0988061003</t>
  </si>
  <si>
    <t>陳佩琪</t>
  </si>
  <si>
    <t>#20210618083307151</t>
  </si>
  <si>
    <t>台灣雲林縣台西鄉五港村中央路412號</t>
  </si>
  <si>
    <t>636</t>
  </si>
  <si>
    <t>0912351114</t>
  </si>
  <si>
    <t>林吟樺</t>
  </si>
  <si>
    <t>#20210618081854979</t>
  </si>
  <si>
    <t>【新上市】無糖海苔酥 50g/包</t>
  </si>
  <si>
    <t>SHOPLINE-KID-000005</t>
  </si>
  <si>
    <t>PH77777577</t>
  </si>
  <si>
    <t>台灣台中市石岡區和平街17號</t>
  </si>
  <si>
    <t>422</t>
  </si>
  <si>
    <t>0901301139</t>
  </si>
  <si>
    <t>游智媛</t>
  </si>
  <si>
    <t>#20210618073925481</t>
  </si>
  <si>
    <t>941279</t>
  </si>
  <si>
    <t>軍暉門市</t>
  </si>
  <si>
    <t>0975602902</t>
  </si>
  <si>
    <t>黃淑莉</t>
  </si>
  <si>
    <t>#20210618073016114</t>
  </si>
  <si>
    <t>195612</t>
  </si>
  <si>
    <t>蓮權門市</t>
  </si>
  <si>
    <t>0966891127</t>
  </si>
  <si>
    <t>呂以雯</t>
  </si>
  <si>
    <t>#20210618071723062</t>
  </si>
  <si>
    <t>【新上市】無糖海苔酥2入</t>
  </si>
  <si>
    <t>PH77777575</t>
  </si>
  <si>
    <t>台灣新竹縣竹東鎮中興路四段1042巷29號4樓</t>
  </si>
  <si>
    <t>0928737506</t>
  </si>
  <si>
    <t>蔡佩娟</t>
  </si>
  <si>
    <t>#20210618065437061</t>
  </si>
  <si>
    <t>PH77777574</t>
  </si>
  <si>
    <t>台灣新北市板橋區莊敬路85巷3號4樓</t>
  </si>
  <si>
    <t>0972778567</t>
  </si>
  <si>
    <t>林芳瑜</t>
  </si>
  <si>
    <t>#20210618063412885</t>
  </si>
  <si>
    <t>PH77777576</t>
  </si>
  <si>
    <t>F019029</t>
  </si>
  <si>
    <t>全家礁溪關帝店</t>
  </si>
  <si>
    <t>0927661528</t>
  </si>
  <si>
    <t>林青怡</t>
  </si>
  <si>
    <t>#20210618063400803</t>
  </si>
  <si>
    <t>181923</t>
  </si>
  <si>
    <t>深溝門市</t>
  </si>
  <si>
    <t>0974286211</t>
  </si>
  <si>
    <t>陳美如</t>
  </si>
  <si>
    <t>#20210618063132925</t>
  </si>
  <si>
    <t>F017746</t>
  </si>
  <si>
    <t>全家梓官蚵仔寮店</t>
  </si>
  <si>
    <t>0973098259</t>
  </si>
  <si>
    <t>蕭俐萱</t>
  </si>
  <si>
    <t>#20210618062931519</t>
  </si>
  <si>
    <t>SHOPLINE-KID-000006</t>
  </si>
  <si>
    <t>F019493</t>
  </si>
  <si>
    <t>全家新莊泰園店</t>
  </si>
  <si>
    <t>0952257257</t>
  </si>
  <si>
    <t>楊雅雯</t>
  </si>
  <si>
    <t>#20210618055916415</t>
  </si>
  <si>
    <t>PH77777573</t>
  </si>
  <si>
    <t>台灣高雄市三民區北平一街173巷27號</t>
  </si>
  <si>
    <t>807</t>
  </si>
  <si>
    <t>0928107853</t>
  </si>
  <si>
    <t>周旻慧</t>
  </si>
  <si>
    <t>#20210618053924469</t>
  </si>
  <si>
    <t>212243</t>
  </si>
  <si>
    <t>大心門市</t>
  </si>
  <si>
    <t>0916341188</t>
  </si>
  <si>
    <t>蕭又慈</t>
  </si>
  <si>
    <t>#20210618050457202</t>
  </si>
  <si>
    <t>207090</t>
  </si>
  <si>
    <t>宜商門市</t>
  </si>
  <si>
    <t>0933714531</t>
  </si>
  <si>
    <t>王琦</t>
  </si>
  <si>
    <t>#20210618050428997</t>
  </si>
  <si>
    <t>PH77777572</t>
  </si>
  <si>
    <t>台灣苗栗縣竹南鎮大埔里8鄰132號</t>
  </si>
  <si>
    <t>350</t>
  </si>
  <si>
    <t>0926584157</t>
  </si>
  <si>
    <t>朱育葶</t>
  </si>
  <si>
    <t>#20210618045820743</t>
  </si>
  <si>
    <t>PH77777571</t>
  </si>
  <si>
    <t>台灣新北市板橋區仁愛路62巷5號1樓</t>
  </si>
  <si>
    <t>0930187896</t>
  </si>
  <si>
    <t>李欣潔</t>
  </si>
  <si>
    <t>#20210618045042297</t>
  </si>
  <si>
    <t>165035</t>
  </si>
  <si>
    <t>新永大門市</t>
  </si>
  <si>
    <t>0913623099</t>
  </si>
  <si>
    <t>施天羽</t>
  </si>
  <si>
    <t>#20210618044005039</t>
  </si>
  <si>
    <t>【新上市】無糖海苔酥5入</t>
  </si>
  <si>
    <t>PH77777570</t>
  </si>
  <si>
    <t>台灣桃園市桃園區經國路336巷32號9樓</t>
  </si>
  <si>
    <t>0989093298</t>
  </si>
  <si>
    <t>Kiki Huang</t>
  </si>
  <si>
    <t>#20210618042019134</t>
  </si>
  <si>
    <t>PH77777689</t>
  </si>
  <si>
    <t>台灣雲林縣斗六市雲林路二段409號（駕駛員工會）</t>
  </si>
  <si>
    <t>0958880988</t>
  </si>
  <si>
    <t>徐千淑</t>
  </si>
  <si>
    <t>#20210618040257800</t>
  </si>
  <si>
    <t>PH77777569</t>
  </si>
  <si>
    <t>台灣台南市東區崇學路18號5樓之1</t>
  </si>
  <si>
    <t>701</t>
  </si>
  <si>
    <t>0903952817</t>
  </si>
  <si>
    <t>柯立瑩</t>
  </si>
  <si>
    <t>#20210618035507550</t>
  </si>
  <si>
    <t>F013361</t>
  </si>
  <si>
    <t>全家台南長安店</t>
  </si>
  <si>
    <t>0930997929</t>
  </si>
  <si>
    <t>顏慧芷</t>
  </si>
  <si>
    <t>#20210618023839874</t>
  </si>
  <si>
    <t>862374</t>
  </si>
  <si>
    <t>0936581840</t>
  </si>
  <si>
    <t>張雅涵</t>
  </si>
  <si>
    <t>#20210618023036253</t>
  </si>
  <si>
    <t>PH77777556</t>
  </si>
  <si>
    <t>153560</t>
  </si>
  <si>
    <t>多利門市</t>
  </si>
  <si>
    <t>0936638026</t>
  </si>
  <si>
    <t>謝佩純</t>
  </si>
  <si>
    <t>#20210618014916413</t>
  </si>
  <si>
    <t>SHOPLINE-NEW-000076</t>
  </si>
  <si>
    <t>216810</t>
  </si>
  <si>
    <t>德沅門市</t>
  </si>
  <si>
    <t>0978160979</t>
  </si>
  <si>
    <t>石美秀</t>
  </si>
  <si>
    <t>#20210618002620341</t>
  </si>
  <si>
    <t>PH77777711</t>
  </si>
  <si>
    <t>214401</t>
  </si>
  <si>
    <t>新興門市</t>
  </si>
  <si>
    <t>0988761965</t>
  </si>
  <si>
    <t>王銓</t>
  </si>
  <si>
    <t>#20210617235111778</t>
  </si>
  <si>
    <t>113366</t>
  </si>
  <si>
    <t>福華門市</t>
  </si>
  <si>
    <t>0911697283</t>
  </si>
  <si>
    <t>謝宇帆</t>
  </si>
  <si>
    <t>#20210617232513592</t>
  </si>
  <si>
    <t>PH77777554</t>
  </si>
  <si>
    <t>台灣高雄市岡山區勵志二路68號2樓</t>
  </si>
  <si>
    <t>820</t>
  </si>
  <si>
    <t>0956375372</t>
  </si>
  <si>
    <t>王意晴</t>
  </si>
  <si>
    <t>#20210617231130912</t>
  </si>
  <si>
    <t>120308</t>
  </si>
  <si>
    <t>蒜頭門市</t>
  </si>
  <si>
    <t>0960077708</t>
  </si>
  <si>
    <t>彭淑婷</t>
  </si>
  <si>
    <t>#20210617223555886</t>
  </si>
  <si>
    <t>113090</t>
  </si>
  <si>
    <t>0919388952</t>
  </si>
  <si>
    <t>邱毓慧</t>
  </si>
  <si>
    <t>#20210617215646523</t>
  </si>
  <si>
    <t>F015397</t>
  </si>
  <si>
    <t>全家甲桂林店</t>
  </si>
  <si>
    <t>0928553707</t>
  </si>
  <si>
    <t>秦曉雲</t>
  </si>
  <si>
    <t>#20210617193153073</t>
  </si>
  <si>
    <t>212047</t>
  </si>
  <si>
    <t>仁忠門市</t>
  </si>
  <si>
    <t>0986325596</t>
  </si>
  <si>
    <t>彭妍雪</t>
  </si>
  <si>
    <t>#20210617181334339</t>
  </si>
  <si>
    <t>F001894</t>
  </si>
  <si>
    <t>全家頭份公園店</t>
  </si>
  <si>
    <t>0919226137</t>
  </si>
  <si>
    <t>陳美惠</t>
  </si>
  <si>
    <t>#20210617165735148</t>
  </si>
  <si>
    <t>PH77777710</t>
  </si>
  <si>
    <t>961402</t>
  </si>
  <si>
    <t>自興門市</t>
  </si>
  <si>
    <t>0916175428</t>
  </si>
  <si>
    <t>黃之微</t>
  </si>
  <si>
    <t>#20210617162323262</t>
  </si>
  <si>
    <t>PH77777552</t>
  </si>
  <si>
    <t>台灣高雄市大寮區興中街29-2號</t>
  </si>
  <si>
    <t>831</t>
  </si>
  <si>
    <t>0925606077</t>
  </si>
  <si>
    <t>王薏茹</t>
  </si>
  <si>
    <t>#20210617160535748</t>
  </si>
  <si>
    <t>182937</t>
  </si>
  <si>
    <t>美家門市</t>
  </si>
  <si>
    <t>0911319417</t>
  </si>
  <si>
    <t>李慧君</t>
  </si>
  <si>
    <t>#20210617155347430</t>
  </si>
  <si>
    <t>SHOPLINE-KID-000035</t>
  </si>
  <si>
    <t>PH77777551</t>
  </si>
  <si>
    <t>2021/06/17</t>
  </si>
  <si>
    <t>台灣南投縣竹山鎮雲林路124號</t>
  </si>
  <si>
    <t>557</t>
  </si>
  <si>
    <t>0911231527</t>
  </si>
  <si>
    <t>陳俐君</t>
  </si>
  <si>
    <t>#20210617154733134</t>
  </si>
  <si>
    <t>PH77777550</t>
  </si>
  <si>
    <t>台灣台南市仁德區中正路3段22號</t>
  </si>
  <si>
    <t>717</t>
  </si>
  <si>
    <t>0973158925</t>
  </si>
  <si>
    <t>周慧琪</t>
  </si>
  <si>
    <t>#20210617154342395</t>
  </si>
  <si>
    <t>PH77777549</t>
  </si>
  <si>
    <t>台灣新北市新莊區新樹路609-5號7樓</t>
  </si>
  <si>
    <t>0926162262</t>
  </si>
  <si>
    <t>蘇僈媗</t>
  </si>
  <si>
    <t>#20210617154051358</t>
  </si>
  <si>
    <t>F006887</t>
  </si>
  <si>
    <t>全家龍潭龍聖店</t>
  </si>
  <si>
    <t>0988351659</t>
  </si>
  <si>
    <t>林宜慧</t>
  </si>
  <si>
    <t>#20210617153718028</t>
  </si>
  <si>
    <t>142180</t>
  </si>
  <si>
    <t>長春門市</t>
  </si>
  <si>
    <t>0972753300</t>
  </si>
  <si>
    <t>李佳苓</t>
  </si>
  <si>
    <t>#20210617153109766</t>
  </si>
  <si>
    <t>SHOPLINE-NEW-000007</t>
  </si>
  <si>
    <t>SHOPLINE-NEW-000045</t>
  </si>
  <si>
    <t>F003947</t>
  </si>
  <si>
    <t>全家溪湖再發店</t>
  </si>
  <si>
    <t>0934268211</t>
  </si>
  <si>
    <t>蔡佩珊</t>
  </si>
  <si>
    <t>#20210617152526683</t>
  </si>
  <si>
    <t>PH77777548</t>
  </si>
  <si>
    <t>959155</t>
  </si>
  <si>
    <t>信中門市</t>
  </si>
  <si>
    <t>0916748528</t>
  </si>
  <si>
    <t>左慧玲</t>
  </si>
  <si>
    <t>#20210617152157101</t>
  </si>
  <si>
    <t>F010289</t>
  </si>
  <si>
    <t>全家高雄民益店</t>
  </si>
  <si>
    <t>0935081061</t>
  </si>
  <si>
    <t>林真理</t>
  </si>
  <si>
    <t>#20210617151737161</t>
  </si>
  <si>
    <t>PH77777547</t>
  </si>
  <si>
    <t>台灣基隆市暖暖區源遠路226巷42號6樓</t>
  </si>
  <si>
    <t>205</t>
  </si>
  <si>
    <t>0981206746</t>
  </si>
  <si>
    <t>謝思瑜</t>
  </si>
  <si>
    <t>#20210617151419937</t>
  </si>
  <si>
    <t>PH77777546</t>
  </si>
  <si>
    <t>台灣台南市北區文賢路1030巷35弄10號</t>
  </si>
  <si>
    <t>704</t>
  </si>
  <si>
    <t>0988114682</t>
  </si>
  <si>
    <t>王宥心</t>
  </si>
  <si>
    <t>#20210617150706945</t>
  </si>
  <si>
    <t>PH77777717</t>
  </si>
  <si>
    <t>188474</t>
  </si>
  <si>
    <t>富里門市</t>
  </si>
  <si>
    <t>0972606215</t>
  </si>
  <si>
    <t>周千雯</t>
  </si>
  <si>
    <t>#20210617145428998</t>
  </si>
  <si>
    <t>PH77777545</t>
  </si>
  <si>
    <t>台灣新北市三重區龍門路200號</t>
  </si>
  <si>
    <t>0978820782</t>
  </si>
  <si>
    <t>吳詠儀</t>
  </si>
  <si>
    <t>#20210617134318227</t>
  </si>
  <si>
    <t>940324</t>
  </si>
  <si>
    <t>民工門市</t>
  </si>
  <si>
    <t>0976215319</t>
  </si>
  <si>
    <t>陳倪榛</t>
  </si>
  <si>
    <t>#20210617132626383</t>
  </si>
  <si>
    <t>215563</t>
  </si>
  <si>
    <t>嘉賢門市</t>
  </si>
  <si>
    <t>0938809890</t>
  </si>
  <si>
    <t>龔雅羽隹</t>
  </si>
  <si>
    <t>#20210617131211478</t>
  </si>
  <si>
    <t>PH77777544</t>
  </si>
  <si>
    <t>台灣嘉義縣大林鎮中正路238號</t>
  </si>
  <si>
    <t>622</t>
  </si>
  <si>
    <t>0983805907</t>
  </si>
  <si>
    <t>郭效均</t>
  </si>
  <si>
    <t>#20210617130959715</t>
  </si>
  <si>
    <t>SHOPLINE-NEW-000016</t>
  </si>
  <si>
    <t>PH77777709</t>
  </si>
  <si>
    <t>871345</t>
  </si>
  <si>
    <t>英巧門市</t>
  </si>
  <si>
    <t>0985812923</t>
  </si>
  <si>
    <t>林芯甯</t>
  </si>
  <si>
    <t>#20210617123929504</t>
  </si>
  <si>
    <t>PH77777541</t>
  </si>
  <si>
    <t>216865</t>
  </si>
  <si>
    <t>杭信門市</t>
  </si>
  <si>
    <t>0905070689</t>
  </si>
  <si>
    <t>張瑞纓</t>
  </si>
  <si>
    <t>#20210617115739175</t>
  </si>
  <si>
    <t>PH77777687</t>
  </si>
  <si>
    <t>F001925</t>
  </si>
  <si>
    <t>全家板橋富山店</t>
  </si>
  <si>
    <t>0917561101</t>
  </si>
  <si>
    <t>林若涵</t>
  </si>
  <si>
    <t>#20210617103125876</t>
  </si>
  <si>
    <t>PH77777538</t>
  </si>
  <si>
    <t>台灣台中市西屯區台灣大道二段797巷5-3號</t>
  </si>
  <si>
    <t>0982614503</t>
  </si>
  <si>
    <t>陳楠詠</t>
  </si>
  <si>
    <t>#20210617095423963</t>
  </si>
  <si>
    <t>144898</t>
  </si>
  <si>
    <t>天后門市</t>
  </si>
  <si>
    <t>0958315228</t>
  </si>
  <si>
    <t>謝翊君</t>
  </si>
  <si>
    <t>#20210617095104731</t>
  </si>
  <si>
    <t>PH77777716</t>
  </si>
  <si>
    <t>196707</t>
  </si>
  <si>
    <t>港隆門市</t>
  </si>
  <si>
    <t>0916246905</t>
  </si>
  <si>
    <t>張可歆</t>
  </si>
  <si>
    <t>#20210617094512588</t>
  </si>
  <si>
    <t>SHOPLINE-KID-000027</t>
  </si>
  <si>
    <t>F009659</t>
  </si>
  <si>
    <t>全家基隆新國揚店</t>
  </si>
  <si>
    <t>0989170109</t>
  </si>
  <si>
    <t>黃育涵</t>
  </si>
  <si>
    <t>#20210617093143003</t>
  </si>
  <si>
    <t>PH77777537</t>
  </si>
  <si>
    <t>台灣桃園市八德區忠勇街424巷52弄18號6樓</t>
  </si>
  <si>
    <t>334</t>
  </si>
  <si>
    <t>0955366509</t>
  </si>
  <si>
    <t>林周苹</t>
  </si>
  <si>
    <t>#20210617092134939</t>
  </si>
  <si>
    <t>184863</t>
  </si>
  <si>
    <t>四湖門市</t>
  </si>
  <si>
    <t>0922209609</t>
  </si>
  <si>
    <t>吳嘉珮</t>
  </si>
  <si>
    <t>#20210617091718028</t>
  </si>
  <si>
    <t>F018200</t>
  </si>
  <si>
    <t>全家金門金湖店</t>
  </si>
  <si>
    <t>0963803586</t>
  </si>
  <si>
    <t>陳昕呈</t>
  </si>
  <si>
    <t>#20210617083856995</t>
  </si>
  <si>
    <t>SHOPLINE-KID-000018</t>
  </si>
  <si>
    <t>台灣台南市楠西區民族路128號</t>
  </si>
  <si>
    <t>715</t>
  </si>
  <si>
    <t>0980284379</t>
  </si>
  <si>
    <t>郭沛辛</t>
  </si>
  <si>
    <t>#20210617083447130</t>
  </si>
  <si>
    <t>PH77777693</t>
  </si>
  <si>
    <t>F015333</t>
  </si>
  <si>
    <t>全家台中金自由店</t>
  </si>
  <si>
    <t>0989612980</t>
  </si>
  <si>
    <t>簡珮絨</t>
  </si>
  <si>
    <t>#20210617080321248</t>
  </si>
  <si>
    <t>SHOPLINE-KID-000023</t>
  </si>
  <si>
    <t>F010308</t>
  </si>
  <si>
    <t>全家新竹頂福店</t>
  </si>
  <si>
    <t>0930933502</t>
  </si>
  <si>
    <t>徐莉婷</t>
  </si>
  <si>
    <t>#20210617070126883</t>
  </si>
  <si>
    <t>PH77777535</t>
  </si>
  <si>
    <t>台灣屏東縣恆春鎮屏東縣恆春鎮省北路121巷3弄11號</t>
  </si>
  <si>
    <t>946</t>
  </si>
  <si>
    <t>0933713005</t>
  </si>
  <si>
    <t>陳冠霖</t>
  </si>
  <si>
    <t>#20210617061129905</t>
  </si>
  <si>
    <t>PH77777692</t>
  </si>
  <si>
    <t>F002172</t>
  </si>
  <si>
    <t>全家八德和平店</t>
  </si>
  <si>
    <t>0976826033</t>
  </si>
  <si>
    <t>詹雅如</t>
  </si>
  <si>
    <t>#20210617055444112</t>
  </si>
  <si>
    <t>PH77777534</t>
  </si>
  <si>
    <t>台灣台南市安定區安定里42-12號</t>
  </si>
  <si>
    <t>745</t>
  </si>
  <si>
    <t>0921238450</t>
  </si>
  <si>
    <t>吳旻珊</t>
  </si>
  <si>
    <t>#20210617054658607</t>
  </si>
  <si>
    <t>PH77777533</t>
  </si>
  <si>
    <t>台灣台中市豐原區豐原區豐勢路2段535巷41弄5號</t>
  </si>
  <si>
    <t>420</t>
  </si>
  <si>
    <t>0937284923</t>
  </si>
  <si>
    <t>陳滋淇</t>
  </si>
  <si>
    <t>#20210617052637462</t>
  </si>
  <si>
    <t>PH77777532</t>
  </si>
  <si>
    <t>台灣台南市歸仁區台南市歸仁區崙頂一街17號4樓之6</t>
  </si>
  <si>
    <t>711</t>
  </si>
  <si>
    <t>0932848027</t>
  </si>
  <si>
    <t>陳湘琦</t>
  </si>
  <si>
    <t>#20210617052118830</t>
  </si>
  <si>
    <t>200756</t>
  </si>
  <si>
    <t>新聖母門市</t>
  </si>
  <si>
    <t>0917871015</t>
  </si>
  <si>
    <t>劉姵妏</t>
  </si>
  <si>
    <t>#20210617050924471</t>
  </si>
  <si>
    <t>SHOPLINE-KID-000025</t>
  </si>
  <si>
    <t>PH77777531</t>
  </si>
  <si>
    <t>F004035</t>
  </si>
  <si>
    <t>全家和美永美店</t>
  </si>
  <si>
    <t>0931693779</t>
  </si>
  <si>
    <t>鄭琇綺</t>
  </si>
  <si>
    <t>#20210617045747231</t>
  </si>
  <si>
    <t>F007684</t>
  </si>
  <si>
    <t>全家柳營重溪店</t>
  </si>
  <si>
    <t>0967235920</t>
  </si>
  <si>
    <t>陳雅甄</t>
  </si>
  <si>
    <t>#20210617044222556</t>
  </si>
  <si>
    <t>212232</t>
  </si>
  <si>
    <t>永吉門市</t>
  </si>
  <si>
    <t>0939409439</t>
  </si>
  <si>
    <t>張詩妘</t>
  </si>
  <si>
    <t>#20210617043854979</t>
  </si>
  <si>
    <t>PH77777722</t>
  </si>
  <si>
    <t>#20210617043830811</t>
  </si>
  <si>
    <t>SHOPLINE-NEW-000036</t>
  </si>
  <si>
    <t>PH77777530</t>
  </si>
  <si>
    <t>台灣台南市新營區太子宮太南里312之15號</t>
  </si>
  <si>
    <t>730</t>
  </si>
  <si>
    <t>0909000634</t>
  </si>
  <si>
    <t>黃怡嘉</t>
  </si>
  <si>
    <t>#20210617040947630</t>
  </si>
  <si>
    <t>PH77777529</t>
  </si>
  <si>
    <t>台灣新竹市北區東大路三段326號5樓之7</t>
  </si>
  <si>
    <t>0963334324</t>
  </si>
  <si>
    <t>李哲瑋</t>
  </si>
  <si>
    <t>#20210617040251758</t>
  </si>
  <si>
    <t>16983082</t>
  </si>
  <si>
    <t>PH77777528</t>
  </si>
  <si>
    <t>台灣台中市太平區成功東路42巷28號</t>
  </si>
  <si>
    <t>0929889737</t>
  </si>
  <si>
    <t>陳佩君</t>
  </si>
  <si>
    <t>#20210617032818728</t>
  </si>
  <si>
    <t>SHOPLINE-NEW-000006</t>
  </si>
  <si>
    <t>F004687</t>
  </si>
  <si>
    <t>全家田中新生店</t>
  </si>
  <si>
    <t>0928193992</t>
  </si>
  <si>
    <t>郭孟瑜</t>
  </si>
  <si>
    <t>#20210617023613292</t>
  </si>
  <si>
    <t>PH77777695</t>
  </si>
  <si>
    <t>F003288</t>
  </si>
  <si>
    <t>全家太平永豐店</t>
  </si>
  <si>
    <t>0934138606</t>
  </si>
  <si>
    <t>莊雅雯</t>
  </si>
  <si>
    <t>#20210617021906343</t>
  </si>
  <si>
    <t>PH77777527</t>
  </si>
  <si>
    <t>台灣台北市大同區台北市大同區重慶北路三段73號11樓</t>
  </si>
  <si>
    <t>0928360308</t>
  </si>
  <si>
    <t>趙芷筠</t>
  </si>
  <si>
    <t>#20210617020350451</t>
  </si>
  <si>
    <t>113702</t>
  </si>
  <si>
    <t>高城門市</t>
  </si>
  <si>
    <t>0972732368</t>
  </si>
  <si>
    <t>林紜竹</t>
  </si>
  <si>
    <t>#20210617015345416</t>
  </si>
  <si>
    <t>SHOPLINE-KID-000049</t>
  </si>
  <si>
    <t>SHOPLINE-KID-000048</t>
  </si>
  <si>
    <t>F015912</t>
  </si>
  <si>
    <t>全家和美金好雅店</t>
  </si>
  <si>
    <t>0963214653</t>
  </si>
  <si>
    <t>張宛茹</t>
  </si>
  <si>
    <t>#20210617013840881</t>
  </si>
  <si>
    <t>119331</t>
  </si>
  <si>
    <t>隆德門市</t>
  </si>
  <si>
    <t>0912765153</t>
  </si>
  <si>
    <t>黃怡琳</t>
  </si>
  <si>
    <t>#20210617013638467</t>
  </si>
  <si>
    <t>PH77777525</t>
  </si>
  <si>
    <t>台灣桃園市桃園區福元街133號4樓</t>
  </si>
  <si>
    <t>0986129297</t>
  </si>
  <si>
    <t>廖晨惠</t>
  </si>
  <si>
    <t>#20210617000358507</t>
  </si>
  <si>
    <t>PH77777667</t>
  </si>
  <si>
    <t>180458</t>
  </si>
  <si>
    <t>海裕門市</t>
  </si>
  <si>
    <t>0939245738</t>
  </si>
  <si>
    <t>劉業主</t>
  </si>
  <si>
    <t>#20210616223820741</t>
  </si>
  <si>
    <t>PH77777659</t>
  </si>
  <si>
    <t>F015681</t>
  </si>
  <si>
    <t>全家清水必成店</t>
  </si>
  <si>
    <t>0916264289</t>
  </si>
  <si>
    <t>廖郁萱</t>
  </si>
  <si>
    <t>#20210616170534739</t>
  </si>
  <si>
    <t>F008559</t>
  </si>
  <si>
    <t>全家新園興隆店</t>
  </si>
  <si>
    <t>0982816258</t>
  </si>
  <si>
    <t>張菀菁</t>
  </si>
  <si>
    <t>#20210616163548837</t>
  </si>
  <si>
    <t>943600</t>
  </si>
  <si>
    <t>新竹延平門市</t>
  </si>
  <si>
    <t>0963303868</t>
  </si>
  <si>
    <t>范郁涵</t>
  </si>
  <si>
    <t>#20210616155145016</t>
  </si>
  <si>
    <t>PH77777521</t>
  </si>
  <si>
    <t>2021/06/16</t>
  </si>
  <si>
    <t>台灣桃園市平鎮區金華街102號3樓</t>
  </si>
  <si>
    <t>0988560637</t>
  </si>
  <si>
    <t>羅曉雲</t>
  </si>
  <si>
    <t>#20210616151511578</t>
  </si>
  <si>
    <t>PH77777636</t>
  </si>
  <si>
    <t>F011393</t>
  </si>
  <si>
    <t>全家板橋新站店</t>
  </si>
  <si>
    <t>0918630059</t>
  </si>
  <si>
    <t>蔡佳穎</t>
  </si>
  <si>
    <t>#20210616151124869</t>
  </si>
  <si>
    <t>SHOPLINE-KID-000003</t>
  </si>
  <si>
    <t>PH77777520</t>
  </si>
  <si>
    <t>F016560</t>
  </si>
  <si>
    <t>全家新自強店</t>
  </si>
  <si>
    <t>0987248208</t>
  </si>
  <si>
    <t>黃玟琇</t>
  </si>
  <si>
    <t>#20210616150701908</t>
  </si>
  <si>
    <t>PH77777715</t>
  </si>
  <si>
    <t>943367</t>
  </si>
  <si>
    <t>雲南門市</t>
  </si>
  <si>
    <t>0955722585</t>
  </si>
  <si>
    <t>黃盈慈</t>
  </si>
  <si>
    <t>#20210616145636453</t>
  </si>
  <si>
    <t>PH77777666</t>
  </si>
  <si>
    <t>901330</t>
  </si>
  <si>
    <t>鑫庫門市</t>
  </si>
  <si>
    <t>0975215698</t>
  </si>
  <si>
    <t>陳芃華</t>
  </si>
  <si>
    <t>#20210616144713992</t>
  </si>
  <si>
    <t>台灣宜蘭縣壯圍鄉新社村新社路27號</t>
  </si>
  <si>
    <t>263</t>
  </si>
  <si>
    <t>0916078119</t>
  </si>
  <si>
    <t>羅煜倫</t>
  </si>
  <si>
    <t>#20210616144411878</t>
  </si>
  <si>
    <t>PH77777522</t>
  </si>
  <si>
    <t>182513</t>
  </si>
  <si>
    <t>智慶門市</t>
  </si>
  <si>
    <t>0963251572</t>
  </si>
  <si>
    <t>吳品妘</t>
  </si>
  <si>
    <t>#20210616144103723</t>
  </si>
  <si>
    <t>113078</t>
  </si>
  <si>
    <t>濱海門市</t>
  </si>
  <si>
    <t>0903100503</t>
  </si>
  <si>
    <t>蘇庭瑄</t>
  </si>
  <si>
    <t>#20210616142848940</t>
  </si>
  <si>
    <t>PH77777519</t>
  </si>
  <si>
    <t>台灣新竹縣竹北市六家五路二段210號16樓之5</t>
  </si>
  <si>
    <t>0988700987</t>
  </si>
  <si>
    <t>嚴婉榕</t>
  </si>
  <si>
    <t>#20210616132353473</t>
  </si>
  <si>
    <t>F019025</t>
  </si>
  <si>
    <t>全家高雄林心店</t>
  </si>
  <si>
    <t>0916825735</t>
  </si>
  <si>
    <t>黃思媛</t>
  </si>
  <si>
    <t>#20210616132038267</t>
  </si>
  <si>
    <t>PH77777714</t>
  </si>
  <si>
    <t>174187</t>
  </si>
  <si>
    <t>興達港門市</t>
  </si>
  <si>
    <t>0926155172</t>
  </si>
  <si>
    <t>曾智芳</t>
  </si>
  <si>
    <t>#20210616125152067</t>
  </si>
  <si>
    <t>PH77777647</t>
  </si>
  <si>
    <t>F011040</t>
  </si>
  <si>
    <t>全家蘆洲長發店</t>
  </si>
  <si>
    <t>0922667226</t>
  </si>
  <si>
    <t>#20210616124917420</t>
  </si>
  <si>
    <t>970233</t>
  </si>
  <si>
    <t>宣宏門市</t>
  </si>
  <si>
    <t>0975777151</t>
  </si>
  <si>
    <t>楊家怡</t>
  </si>
  <si>
    <t>#20210616120809665</t>
  </si>
  <si>
    <t>PH77777512</t>
  </si>
  <si>
    <t>台灣新北市三重區忠孝路三段99巷22號5樓</t>
  </si>
  <si>
    <t>0986349898</t>
  </si>
  <si>
    <t>盧冠婷</t>
  </si>
  <si>
    <t>#20210616104556896</t>
  </si>
  <si>
    <t>PH77777516</t>
  </si>
  <si>
    <t>台灣台南市中西區衛民街65號</t>
  </si>
  <si>
    <t>0919148579</t>
  </si>
  <si>
    <t>林宜錦</t>
  </si>
  <si>
    <t>#20210616101344410</t>
  </si>
  <si>
    <t>SHOPLINE-KID-000002</t>
  </si>
  <si>
    <t>PH77777511</t>
  </si>
  <si>
    <t>台灣新北市新莊區龍安路66-42號13樓</t>
  </si>
  <si>
    <t>0939883708</t>
  </si>
  <si>
    <t>李欣蓉</t>
  </si>
  <si>
    <t>#20210616092256793</t>
  </si>
  <si>
    <t>197216</t>
  </si>
  <si>
    <t>富強門市</t>
  </si>
  <si>
    <t>0978220709</t>
  </si>
  <si>
    <t>徐品桂</t>
  </si>
  <si>
    <t>#20210616085019135</t>
  </si>
  <si>
    <t>PH77777673</t>
  </si>
  <si>
    <t>111957</t>
  </si>
  <si>
    <t>0979333885</t>
  </si>
  <si>
    <t>黃燕菁</t>
  </si>
  <si>
    <t>#20210616075352470</t>
  </si>
  <si>
    <t>PH77777672</t>
  </si>
  <si>
    <t>114808</t>
  </si>
  <si>
    <t>晟安門市</t>
  </si>
  <si>
    <t>0939035292</t>
  </si>
  <si>
    <t>林雅玫</t>
  </si>
  <si>
    <t>#20210616075113793</t>
  </si>
  <si>
    <t>PH77777506</t>
  </si>
  <si>
    <t>台灣新北市林口區文化三路一段462-1號10樓</t>
  </si>
  <si>
    <t>244</t>
  </si>
  <si>
    <t>0933019835</t>
  </si>
  <si>
    <t>陳婉華</t>
  </si>
  <si>
    <t>#20210616062412886</t>
  </si>
  <si>
    <t>PH77777665</t>
  </si>
  <si>
    <t>209937</t>
  </si>
  <si>
    <t>侑群門市</t>
  </si>
  <si>
    <t>0923151228</t>
  </si>
  <si>
    <t>王畇淇</t>
  </si>
  <si>
    <t>#20210616061157100</t>
  </si>
  <si>
    <t>PH77777671</t>
  </si>
  <si>
    <t>990156</t>
  </si>
  <si>
    <t>新佳忠門市</t>
  </si>
  <si>
    <t>0981326756</t>
  </si>
  <si>
    <t>柯春玉</t>
  </si>
  <si>
    <t>#20210616054927492</t>
  </si>
  <si>
    <t>944555</t>
  </si>
  <si>
    <t>鈺善門市</t>
  </si>
  <si>
    <t>0970339624</t>
  </si>
  <si>
    <t>江秀霞</t>
  </si>
  <si>
    <t>#20210616054048337</t>
  </si>
  <si>
    <t>PH77777505</t>
  </si>
  <si>
    <t>216278</t>
  </si>
  <si>
    <t>好事達門市</t>
  </si>
  <si>
    <t>0956035612</t>
  </si>
  <si>
    <t>蔡玉人</t>
  </si>
  <si>
    <t>#20210616053801608</t>
  </si>
  <si>
    <t>PH77777645</t>
  </si>
  <si>
    <t>F009808</t>
  </si>
  <si>
    <t>全家仁愛高山青店</t>
  </si>
  <si>
    <t>0987343033</t>
  </si>
  <si>
    <t>李慧茹</t>
  </si>
  <si>
    <t>#20210616052732126</t>
  </si>
  <si>
    <t>PH77777682</t>
  </si>
  <si>
    <t>112134</t>
  </si>
  <si>
    <t>后興門市</t>
  </si>
  <si>
    <t>0983358092</t>
  </si>
  <si>
    <t>林亭妤</t>
  </si>
  <si>
    <t>#20210616050728097</t>
  </si>
  <si>
    <t>安家佳抗菌乾洗手凝露</t>
  </si>
  <si>
    <t>PH77777504</t>
  </si>
  <si>
    <t>台灣嘉義縣朴子市工業區三街59號</t>
  </si>
  <si>
    <t>613</t>
  </si>
  <si>
    <t>0953333107</t>
  </si>
  <si>
    <t>姚誼諆</t>
  </si>
  <si>
    <t>#20210616050222556</t>
  </si>
  <si>
    <t>SHOPLINE-NEW-000070</t>
  </si>
  <si>
    <t>PH77777501</t>
  </si>
  <si>
    <t>188991</t>
  </si>
  <si>
    <t>鼎亨門市</t>
  </si>
  <si>
    <t>0981107708</t>
  </si>
  <si>
    <t>朱逸玫</t>
  </si>
  <si>
    <t>#20210616035121848</t>
  </si>
  <si>
    <t>154390</t>
  </si>
  <si>
    <t>纘祥門市</t>
  </si>
  <si>
    <t>0936831822</t>
  </si>
  <si>
    <t>黃詩容</t>
  </si>
  <si>
    <t>#20210616033214500</t>
  </si>
  <si>
    <t>PH77777502</t>
  </si>
  <si>
    <t>台灣苗栗縣竹南鎮公園五街19號</t>
  </si>
  <si>
    <t>0923180302</t>
  </si>
  <si>
    <t>翁國凡</t>
  </si>
  <si>
    <t>#20210616031758307</t>
  </si>
  <si>
    <t>PH77777642</t>
  </si>
  <si>
    <t>F010000</t>
  </si>
  <si>
    <t>全家土城員仁店</t>
  </si>
  <si>
    <t>0912028601</t>
  </si>
  <si>
    <t>黃菀萱</t>
  </si>
  <si>
    <t>#20210616031338368</t>
  </si>
  <si>
    <t>PH77777500</t>
  </si>
  <si>
    <t>台灣台北市中山區農安街149號6樓之3</t>
  </si>
  <si>
    <t>0963233907</t>
  </si>
  <si>
    <t>張怡楓</t>
  </si>
  <si>
    <t>#20210616023820741</t>
  </si>
  <si>
    <t>142869</t>
  </si>
  <si>
    <t>澎衛門市</t>
  </si>
  <si>
    <t>0928703210</t>
  </si>
  <si>
    <t>許婉珊</t>
  </si>
  <si>
    <t>#20210616013959714</t>
  </si>
  <si>
    <t>831554</t>
  </si>
  <si>
    <t>旗山門市</t>
  </si>
  <si>
    <t>0911036347</t>
  </si>
  <si>
    <t>黃文音</t>
  </si>
  <si>
    <t>#20210616011645516</t>
  </si>
  <si>
    <t>PH77777713</t>
  </si>
  <si>
    <t>215459</t>
  </si>
  <si>
    <t>集德門市</t>
  </si>
  <si>
    <t>0937140812</t>
  </si>
  <si>
    <t>月梓瀞</t>
  </si>
  <si>
    <t>#20210616011514599</t>
  </si>
  <si>
    <t>SHOPLINE-NEW-000053</t>
  </si>
  <si>
    <t>PH77777499</t>
  </si>
  <si>
    <t>台灣桃園市楊梅區福羚路92巷17號11樓</t>
  </si>
  <si>
    <t>326</t>
  </si>
  <si>
    <t>0989381581</t>
  </si>
  <si>
    <t>吳雅玲</t>
  </si>
  <si>
    <t>#20210616011004029</t>
  </si>
  <si>
    <t>F014648</t>
  </si>
  <si>
    <t>全家新莊福成店</t>
  </si>
  <si>
    <t>0901321036</t>
  </si>
  <si>
    <t>姜婕翎</t>
  </si>
  <si>
    <t>#20210615234001008</t>
  </si>
  <si>
    <t>【開幕組合限定】兒童牙膏2入+兒童萬毛牙刷3入+漱口杯</t>
  </si>
  <si>
    <t>SHOPLINE-NEW-000066</t>
  </si>
  <si>
    <t>PH77777632</t>
  </si>
  <si>
    <t>155522</t>
  </si>
  <si>
    <t>和豐門市</t>
  </si>
  <si>
    <t>0918936368</t>
  </si>
  <si>
    <t>李雅雯</t>
  </si>
  <si>
    <t>#20210615191354479</t>
  </si>
  <si>
    <t>PH77777497</t>
  </si>
  <si>
    <t>116789</t>
  </si>
  <si>
    <t>鎮海門市</t>
  </si>
  <si>
    <t>0932358285</t>
  </si>
  <si>
    <t>余婉如</t>
  </si>
  <si>
    <t>#20210615185019134</t>
  </si>
  <si>
    <t>SHOPLINE-NEW-000060</t>
  </si>
  <si>
    <t>PH77777498</t>
  </si>
  <si>
    <t>台灣台中市西屯區西屯路二段138-9號</t>
  </si>
  <si>
    <t>0988602162</t>
  </si>
  <si>
    <t>謝旨涵</t>
  </si>
  <si>
    <t>#20210615185002015</t>
  </si>
  <si>
    <t>166670</t>
  </si>
  <si>
    <t>日日興門市</t>
  </si>
  <si>
    <t>0903167115</t>
  </si>
  <si>
    <t>陳曉楓</t>
  </si>
  <si>
    <t>#20210615183403822</t>
  </si>
  <si>
    <t>F009113</t>
  </si>
  <si>
    <t>全家埔里牛埔店</t>
  </si>
  <si>
    <t>0936907728</t>
  </si>
  <si>
    <t>梓旋</t>
  </si>
  <si>
    <t>#20210615175836853</t>
  </si>
  <si>
    <t>SHOPLINE-NEW-000033</t>
  </si>
  <si>
    <t>PH77777495</t>
  </si>
  <si>
    <t>2021/06/15</t>
  </si>
  <si>
    <t>台灣高雄市鳥松區昌隆街78巷10號</t>
  </si>
  <si>
    <t>0930668227</t>
  </si>
  <si>
    <t>羅文妤</t>
  </si>
  <si>
    <t>#20210615145555886</t>
  </si>
  <si>
    <t>F009313</t>
  </si>
  <si>
    <t>全家台南大豐店</t>
  </si>
  <si>
    <t>0933103099</t>
  </si>
  <si>
    <t>黃琍妍</t>
  </si>
  <si>
    <t>#20210615144112785</t>
  </si>
  <si>
    <t>PH77777496</t>
  </si>
  <si>
    <t>台灣桃園市桃園區厦門街91號2樓</t>
  </si>
  <si>
    <t>0989436554</t>
  </si>
  <si>
    <t>劉依晴</t>
  </si>
  <si>
    <t>#20210615142619334</t>
  </si>
  <si>
    <t>SHOPLINE-NEW-000008</t>
  </si>
  <si>
    <t>PH77777494</t>
  </si>
  <si>
    <t>台灣桃園市新屋區中山東路一段36號</t>
  </si>
  <si>
    <t>327</t>
  </si>
  <si>
    <t>0963050785</t>
  </si>
  <si>
    <t>鄧雅惠</t>
  </si>
  <si>
    <t>#20210615141602215</t>
  </si>
  <si>
    <t>SHOPLINE-KID-000022</t>
  </si>
  <si>
    <t>PH77777678</t>
  </si>
  <si>
    <t>962977</t>
  </si>
  <si>
    <t>新庄子門市</t>
  </si>
  <si>
    <t>0911838583</t>
  </si>
  <si>
    <t>呂雅惠</t>
  </si>
  <si>
    <t>#20210615132759315</t>
  </si>
  <si>
    <t>PH77777719</t>
  </si>
  <si>
    <t>923662</t>
  </si>
  <si>
    <t>永仁門市</t>
  </si>
  <si>
    <t>0911670265</t>
  </si>
  <si>
    <t>吳婉蘋</t>
  </si>
  <si>
    <t>#20210615132318230</t>
  </si>
  <si>
    <t>PH77777619</t>
  </si>
  <si>
    <t>190606</t>
  </si>
  <si>
    <t>潭欣門市</t>
  </si>
  <si>
    <t>0982733563</t>
  </si>
  <si>
    <t>李怡安</t>
  </si>
  <si>
    <t>#20210615131923463</t>
  </si>
  <si>
    <t>PH77777493</t>
  </si>
  <si>
    <t>台灣苗栗縣頭份市建國里7鄰大同路16號</t>
  </si>
  <si>
    <t>351</t>
  </si>
  <si>
    <t>0982678452</t>
  </si>
  <si>
    <t>黃茹苹</t>
  </si>
  <si>
    <t>#20210615131826783</t>
  </si>
  <si>
    <t>PH77777661</t>
  </si>
  <si>
    <t>F007469</t>
  </si>
  <si>
    <t>全家湖內大湖店</t>
  </si>
  <si>
    <t>0972777781</t>
  </si>
  <si>
    <t>謝筱悅</t>
  </si>
  <si>
    <t>#20210615130029205</t>
  </si>
  <si>
    <t>PH77777492</t>
  </si>
  <si>
    <t>台灣高雄市大樹區中正一路245巷1弄24號</t>
  </si>
  <si>
    <t>840</t>
  </si>
  <si>
    <t>0929239685</t>
  </si>
  <si>
    <t>黃雅琪</t>
  </si>
  <si>
    <t>#20210615123752268</t>
  </si>
  <si>
    <t>PH77777631</t>
  </si>
  <si>
    <t>921770</t>
  </si>
  <si>
    <t>昌興門市</t>
  </si>
  <si>
    <t>0918524292</t>
  </si>
  <si>
    <t>楊嘉苓</t>
  </si>
  <si>
    <t>#20210615123512585</t>
  </si>
  <si>
    <t>PH77777611</t>
  </si>
  <si>
    <t>187976</t>
  </si>
  <si>
    <t>峽光門市</t>
  </si>
  <si>
    <t>0919243711</t>
  </si>
  <si>
    <t>林嘉偉</t>
  </si>
  <si>
    <t>#20210615111302115</t>
  </si>
  <si>
    <t>PH77777490</t>
  </si>
  <si>
    <t>台灣彰化縣溪湖鎮東溪里成功路86號</t>
  </si>
  <si>
    <t>514</t>
  </si>
  <si>
    <t>0921900394</t>
  </si>
  <si>
    <t>許育嘉</t>
  </si>
  <si>
    <t>#20210615104809665</t>
  </si>
  <si>
    <t>953928</t>
  </si>
  <si>
    <t>俊龍門市</t>
  </si>
  <si>
    <t>0972004812</t>
  </si>
  <si>
    <t>陳意文</t>
  </si>
  <si>
    <t>#20210615103400803</t>
  </si>
  <si>
    <t>126269</t>
  </si>
  <si>
    <t>崇蘭門市</t>
  </si>
  <si>
    <t>0989733223</t>
  </si>
  <si>
    <t>邱梓茵</t>
  </si>
  <si>
    <t>#20210615092031220</t>
  </si>
  <si>
    <t>PH77777489</t>
  </si>
  <si>
    <t>台灣花蓮縣新城鄉光復路227號</t>
  </si>
  <si>
    <t>971</t>
  </si>
  <si>
    <t>0928081100</t>
  </si>
  <si>
    <t>洪純怡</t>
  </si>
  <si>
    <t>#20210615091242695</t>
  </si>
  <si>
    <t>PH77777488</t>
  </si>
  <si>
    <t>台灣台北市南港區經貿二路235巷28號4樓</t>
  </si>
  <si>
    <t>115</t>
  </si>
  <si>
    <t>0955067212</t>
  </si>
  <si>
    <t>莊雯琳</t>
  </si>
  <si>
    <t>#20210615090347431</t>
  </si>
  <si>
    <t>PH77777487</t>
  </si>
  <si>
    <t>台灣雲林縣北港鎮建國路21巷12號</t>
  </si>
  <si>
    <t>651</t>
  </si>
  <si>
    <t>0910164441</t>
  </si>
  <si>
    <t>蕭淳方</t>
  </si>
  <si>
    <t>#20210615081647531</t>
  </si>
  <si>
    <t>PH77777485</t>
  </si>
  <si>
    <t>台灣新竹縣竹北市泰和里20鄰新工五路11號3樓之3</t>
  </si>
  <si>
    <t>0928036512</t>
  </si>
  <si>
    <t>羅月卿</t>
  </si>
  <si>
    <t>#20210615074115806</t>
  </si>
  <si>
    <t>SHOPLINE-NEW-000055</t>
  </si>
  <si>
    <t>PH77777630</t>
  </si>
  <si>
    <t>194228</t>
  </si>
  <si>
    <t>高達門市</t>
  </si>
  <si>
    <t>0988029932</t>
  </si>
  <si>
    <t>呂佳妤</t>
  </si>
  <si>
    <t>#20210615073415906</t>
  </si>
  <si>
    <t>PH77777484</t>
  </si>
  <si>
    <t>台灣台北市中正區羅斯福路二段一號五樓</t>
  </si>
  <si>
    <t>100</t>
  </si>
  <si>
    <t>0983668542</t>
  </si>
  <si>
    <t>高孟涵</t>
  </si>
  <si>
    <t>#20210615070155086</t>
  </si>
  <si>
    <t>PH77777483</t>
  </si>
  <si>
    <t>台灣台北市北投區文林北路75巷75號13樓</t>
  </si>
  <si>
    <t>112</t>
  </si>
  <si>
    <t>0983978972</t>
  </si>
  <si>
    <t>彭昭瑜</t>
  </si>
  <si>
    <t>#20210615065959714</t>
  </si>
  <si>
    <t>PH77777481</t>
  </si>
  <si>
    <t>164065</t>
  </si>
  <si>
    <t>新財發門市</t>
  </si>
  <si>
    <t>0934160810</t>
  </si>
  <si>
    <t>阮桂芬</t>
  </si>
  <si>
    <t>#20210615065857000</t>
  </si>
  <si>
    <t>PH77777480</t>
  </si>
  <si>
    <t>台灣台中市西屯區國安一路235巷15號7樓之2</t>
  </si>
  <si>
    <t>0922709010</t>
  </si>
  <si>
    <t>吳光婷</t>
  </si>
  <si>
    <t>#20210615065626384</t>
  </si>
  <si>
    <t>PH77777482</t>
  </si>
  <si>
    <t>台灣高雄市小港區山明路211號13樓</t>
  </si>
  <si>
    <t>0983573358</t>
  </si>
  <si>
    <t>蘇沛苓</t>
  </si>
  <si>
    <t>#20210615064427991</t>
  </si>
  <si>
    <t>PH77777629</t>
  </si>
  <si>
    <t>137638</t>
  </si>
  <si>
    <t>客庄門市</t>
  </si>
  <si>
    <t>0932582380</t>
  </si>
  <si>
    <t>邱詩婷</t>
  </si>
  <si>
    <t>#20210615061829805</t>
  </si>
  <si>
    <t>PH77777479</t>
  </si>
  <si>
    <t>台灣新北市新莊區西盛街143號8樓</t>
  </si>
  <si>
    <t>0939748949</t>
  </si>
  <si>
    <t>陳雅婷</t>
  </si>
  <si>
    <t>#20210615060259814</t>
  </si>
  <si>
    <t>PH77777618</t>
  </si>
  <si>
    <t>214009</t>
  </si>
  <si>
    <t>延慶門市</t>
  </si>
  <si>
    <t>0919192881</t>
  </si>
  <si>
    <t>#20210615053929505</t>
  </si>
  <si>
    <t>PH77777478</t>
  </si>
  <si>
    <t>台灣台南市安平區育平五街6號13樓之12</t>
  </si>
  <si>
    <t>0915315190</t>
  </si>
  <si>
    <t>吳淑禎</t>
  </si>
  <si>
    <t>#20210615050308157</t>
  </si>
  <si>
    <t>PH77777610</t>
  </si>
  <si>
    <t>143183</t>
  </si>
  <si>
    <t>新展門市</t>
  </si>
  <si>
    <t>0975851852</t>
  </si>
  <si>
    <t>蘇瑋婷</t>
  </si>
  <si>
    <t>#20210615045542795</t>
  </si>
  <si>
    <t>PH77777476</t>
  </si>
  <si>
    <t>台灣台中市西區民權路312巷2號7樓之2</t>
  </si>
  <si>
    <t>0911332274</t>
  </si>
  <si>
    <t>孫榮妤</t>
  </si>
  <si>
    <t>#20210615045202415</t>
  </si>
  <si>
    <t>PH77777475</t>
  </si>
  <si>
    <t>台灣桃園市大溪區大鶯路1020巷36號</t>
  </si>
  <si>
    <t>335</t>
  </si>
  <si>
    <t>0911732073</t>
  </si>
  <si>
    <t>蔡佳君</t>
  </si>
  <si>
    <t>#20210615045127891</t>
  </si>
  <si>
    <t>PH77777474</t>
  </si>
  <si>
    <t>0981601214</t>
  </si>
  <si>
    <t>王邦妮</t>
  </si>
  <si>
    <t>#20210615044356494</t>
  </si>
  <si>
    <t>PH77777477</t>
  </si>
  <si>
    <t>台灣宜蘭縣冬山鄉義成路一段378號</t>
  </si>
  <si>
    <t>0916270727</t>
  </si>
  <si>
    <t>陳衍伊</t>
  </si>
  <si>
    <t>#20210615042809665</t>
  </si>
  <si>
    <t>PH77777526</t>
  </si>
  <si>
    <t>台灣高雄市林園區文賢里東林西路249巷4弄17號</t>
  </si>
  <si>
    <t>832</t>
  </si>
  <si>
    <t>0970675831</t>
  </si>
  <si>
    <t>黃資婷</t>
  </si>
  <si>
    <t>#20210615035331318</t>
  </si>
  <si>
    <t>PH77777515</t>
  </si>
  <si>
    <t>台灣新竹縣橫山鄉豐田村2鄰油羅30號</t>
  </si>
  <si>
    <t>312</t>
  </si>
  <si>
    <t>0923595793</t>
  </si>
  <si>
    <t>吳佩芬</t>
  </si>
  <si>
    <t>#20210615033857000</t>
  </si>
  <si>
    <t>F014926</t>
  </si>
  <si>
    <t>全家西螺七崁店</t>
  </si>
  <si>
    <t>0960703170</t>
  </si>
  <si>
    <t>蘇睿熏</t>
  </si>
  <si>
    <t>#20210615033125876</t>
  </si>
  <si>
    <t>SHOPLINE-NEW-000075</t>
  </si>
  <si>
    <t>PH77777473</t>
  </si>
  <si>
    <t>台灣新北市三重區三和路四段181巷51號1樓</t>
  </si>
  <si>
    <t>0988557767</t>
  </si>
  <si>
    <t>楊雅慧</t>
  </si>
  <si>
    <t>#20210615031621348</t>
  </si>
  <si>
    <t>PH77777624</t>
  </si>
  <si>
    <t>207126</t>
  </si>
  <si>
    <t>聖德門市</t>
  </si>
  <si>
    <t>0933074657</t>
  </si>
  <si>
    <t>李晏菁</t>
  </si>
  <si>
    <t>#20210615025245717</t>
  </si>
  <si>
    <t>PH77777471</t>
  </si>
  <si>
    <t>台灣高雄市大樹區蓬萊13號</t>
  </si>
  <si>
    <t>0983699950</t>
  </si>
  <si>
    <t>林蕙如</t>
  </si>
  <si>
    <t>#20210615024814699</t>
  </si>
  <si>
    <t>PH77777469</t>
  </si>
  <si>
    <t>台灣新竹市北區延平路三段667巷2號</t>
  </si>
  <si>
    <t>0966581071</t>
  </si>
  <si>
    <t>謝瑋婷</t>
  </si>
  <si>
    <t>#20210615015807650</t>
  </si>
  <si>
    <t>PH77777470</t>
  </si>
  <si>
    <t>台灣台中市西屯區成都路300號</t>
  </si>
  <si>
    <t>0963125849</t>
  </si>
  <si>
    <t>蕭顗庭</t>
  </si>
  <si>
    <t>#20210615013901308</t>
  </si>
  <si>
    <t>PH77777464</t>
  </si>
  <si>
    <t>台灣台中市沙鹿區鎮南路一段396-1號</t>
  </si>
  <si>
    <t>0983224977</t>
  </si>
  <si>
    <t>施涵羚</t>
  </si>
  <si>
    <t>#20210615004703922</t>
  </si>
  <si>
    <t>SHOPLINE-NEW-000064</t>
  </si>
  <si>
    <t>PH77777677</t>
  </si>
  <si>
    <t>174235</t>
  </si>
  <si>
    <t>華中門市</t>
  </si>
  <si>
    <t>0928737105</t>
  </si>
  <si>
    <t>劉晏汝</t>
  </si>
  <si>
    <t>#20210615004503522</t>
  </si>
  <si>
    <t>PH77777467</t>
  </si>
  <si>
    <t>台灣台南市北區和緯路五段26巷43號</t>
  </si>
  <si>
    <t>0927068180</t>
  </si>
  <si>
    <t>黃靜怡</t>
  </si>
  <si>
    <t>#20210614190021149</t>
  </si>
  <si>
    <t>PH77777658</t>
  </si>
  <si>
    <t>0912039441</t>
  </si>
  <si>
    <t>沈怡君</t>
  </si>
  <si>
    <t>#20210614182050351</t>
  </si>
  <si>
    <t>PH77777561</t>
  </si>
  <si>
    <t>111979</t>
  </si>
  <si>
    <t>喬城門市</t>
  </si>
  <si>
    <t>0910700487</t>
  </si>
  <si>
    <t>陳佳均</t>
  </si>
  <si>
    <t>#20210614175301108</t>
  </si>
  <si>
    <t>SHOPLINE-KID-000045</t>
  </si>
  <si>
    <t>PH77777466</t>
  </si>
  <si>
    <t>台灣彰化縣溪州鄉舊眉村溪斗路172號</t>
  </si>
  <si>
    <t>524</t>
  </si>
  <si>
    <t>0985471549</t>
  </si>
  <si>
    <t>劉銀容</t>
  </si>
  <si>
    <t>#20210614171022155</t>
  </si>
  <si>
    <t>PH77777583</t>
  </si>
  <si>
    <t>F003125</t>
  </si>
  <si>
    <t>全家大雅雅環店</t>
  </si>
  <si>
    <t>0930501250</t>
  </si>
  <si>
    <t>曾伊利</t>
  </si>
  <si>
    <t>#20210614170824769</t>
  </si>
  <si>
    <t>PH77777465</t>
  </si>
  <si>
    <t>台灣基隆市安樂區安和一街219之1號</t>
  </si>
  <si>
    <t>204</t>
  </si>
  <si>
    <t>0975178081</t>
  </si>
  <si>
    <t>許芷菱</t>
  </si>
  <si>
    <t>#20210614170450151</t>
  </si>
  <si>
    <t>PH77777463</t>
  </si>
  <si>
    <t>台灣高雄市梓官區梓官路16號</t>
  </si>
  <si>
    <t>826</t>
  </si>
  <si>
    <t>0970209090</t>
  </si>
  <si>
    <t>鄭芷婷</t>
  </si>
  <si>
    <t>#20210614163940581</t>
  </si>
  <si>
    <t>F003792</t>
  </si>
  <si>
    <t>全家后里旺安店</t>
  </si>
  <si>
    <t>0925350438</t>
  </si>
  <si>
    <t>葉家妤</t>
  </si>
  <si>
    <t>#20210614161612285</t>
  </si>
  <si>
    <t>PH77777566</t>
  </si>
  <si>
    <t>177522</t>
  </si>
  <si>
    <t>進合門市</t>
  </si>
  <si>
    <t>0927075245</t>
  </si>
  <si>
    <t>馮曉薇</t>
  </si>
  <si>
    <t>#20210614143148037</t>
  </si>
  <si>
    <t>PH77777568</t>
  </si>
  <si>
    <t>F003793</t>
  </si>
  <si>
    <t>全家台中風華店</t>
  </si>
  <si>
    <t>0963156266</t>
  </si>
  <si>
    <t>何宜真</t>
  </si>
  <si>
    <t>#20210614141527691</t>
  </si>
  <si>
    <t>PH77777462</t>
  </si>
  <si>
    <t>2021/06/14</t>
  </si>
  <si>
    <t>台灣高雄市大樹區大坑里大坑路26號</t>
  </si>
  <si>
    <t>0936775905</t>
  </si>
  <si>
    <t>林靜茹</t>
  </si>
  <si>
    <t>#20210614141416913</t>
  </si>
  <si>
    <t>PH77777461</t>
  </si>
  <si>
    <t>台灣苗栗縣頭份市文化里信義路415號</t>
  </si>
  <si>
    <t>0955577137</t>
  </si>
  <si>
    <t>巫晏汝</t>
  </si>
  <si>
    <t>#20210614134620342</t>
  </si>
  <si>
    <t>PH77777460</t>
  </si>
  <si>
    <t>台灣彰化縣芬園鄉大埔村大埔路87號</t>
  </si>
  <si>
    <t>502</t>
  </si>
  <si>
    <t>0972907021</t>
  </si>
  <si>
    <t>林育如</t>
  </si>
  <si>
    <t>#20210614133251758</t>
  </si>
  <si>
    <t>PH77777459</t>
  </si>
  <si>
    <t>台灣新北市汐止區新昌路56號2樓</t>
  </si>
  <si>
    <t>0917067655</t>
  </si>
  <si>
    <t>陳韋伶</t>
  </si>
  <si>
    <t>#20210614122723062</t>
  </si>
  <si>
    <t>PH77777582</t>
  </si>
  <si>
    <t>F007772</t>
  </si>
  <si>
    <t>全家斗六竹圍店</t>
  </si>
  <si>
    <t>0979078860</t>
  </si>
  <si>
    <t>陳映璇</t>
  </si>
  <si>
    <t>#20210614121910372</t>
  </si>
  <si>
    <t>PH77777458</t>
  </si>
  <si>
    <t>台灣新北市林口區文化一路一段142號11樓</t>
  </si>
  <si>
    <t>0955975158</t>
  </si>
  <si>
    <t>李心彤</t>
  </si>
  <si>
    <t>#20210614105441088</t>
  </si>
  <si>
    <t>PH77777457</t>
  </si>
  <si>
    <t>台灣南投縣鹿谷鄉興產路4-41號</t>
  </si>
  <si>
    <t>558</t>
  </si>
  <si>
    <t>0989129179</t>
  </si>
  <si>
    <t>陳淑禎</t>
  </si>
  <si>
    <t>#20210614074950653</t>
  </si>
  <si>
    <t>SHOPLINE-NEW-000058</t>
  </si>
  <si>
    <t>PH77777456</t>
  </si>
  <si>
    <t>台灣台中市太平區新興路172號10樓之5</t>
  </si>
  <si>
    <t>0928357361</t>
  </si>
  <si>
    <t>王昱璇</t>
  </si>
  <si>
    <t>#20210614055109764</t>
  </si>
  <si>
    <t>PH77777560</t>
  </si>
  <si>
    <t>155452</t>
  </si>
  <si>
    <t>鹽洲門市</t>
  </si>
  <si>
    <t>0958061439</t>
  </si>
  <si>
    <t>蔡炑縈</t>
  </si>
  <si>
    <t>#20210614054313192</t>
  </si>
  <si>
    <t>SHOPLINE-NEW-000009</t>
  </si>
  <si>
    <t>PH77777670</t>
  </si>
  <si>
    <t>990570</t>
  </si>
  <si>
    <t>海科大門市</t>
  </si>
  <si>
    <t>0985699052</t>
  </si>
  <si>
    <t>吳姿君</t>
  </si>
  <si>
    <t>#20210614045606243</t>
  </si>
  <si>
    <t>PH77777454</t>
  </si>
  <si>
    <t>132297</t>
  </si>
  <si>
    <t>空軍門市</t>
  </si>
  <si>
    <t>0937421186</t>
  </si>
  <si>
    <t>陳琍華</t>
  </si>
  <si>
    <t>#20210614044009065</t>
  </si>
  <si>
    <t>PH77777455</t>
  </si>
  <si>
    <t>台灣新竹市東區埔頂三路113號2樓</t>
  </si>
  <si>
    <t>0916237961</t>
  </si>
  <si>
    <t>許浴桐</t>
  </si>
  <si>
    <t>#20210614042314199</t>
  </si>
  <si>
    <t>PH77777657</t>
  </si>
  <si>
    <t>0976509629</t>
  </si>
  <si>
    <t>蔣佩汝</t>
  </si>
  <si>
    <t>#20210614034915407</t>
  </si>
  <si>
    <t>PH77777453</t>
  </si>
  <si>
    <t>台灣台中市太平區大仁街5號9樓之3</t>
  </si>
  <si>
    <t>0982554046</t>
  </si>
  <si>
    <t>賴怡君</t>
  </si>
  <si>
    <t>#20210614025403822</t>
  </si>
  <si>
    <t>SHOPLINE-KID-000029</t>
  </si>
  <si>
    <t>PH77777565</t>
  </si>
  <si>
    <t>211653</t>
  </si>
  <si>
    <t>文潭門市</t>
  </si>
  <si>
    <t>0970573336</t>
  </si>
  <si>
    <t>游麗君</t>
  </si>
  <si>
    <t>#20210614020007050</t>
  </si>
  <si>
    <t>PH77777452</t>
  </si>
  <si>
    <t>台灣花蓮縣新城鄉福德路13號</t>
  </si>
  <si>
    <t>0922617571</t>
  </si>
  <si>
    <t>丁心怡</t>
  </si>
  <si>
    <t>#20210614015138967</t>
  </si>
  <si>
    <t>SHOPLINE-KID-000016</t>
  </si>
  <si>
    <t>台灣宜蘭縣冬山鄉富堵一路39巷26號</t>
  </si>
  <si>
    <t>0925230517</t>
  </si>
  <si>
    <t>張舒亦</t>
  </si>
  <si>
    <t>#20210614012743203</t>
  </si>
  <si>
    <t>PH77777567</t>
  </si>
  <si>
    <t>F015943</t>
  </si>
  <si>
    <t>全家新富民店</t>
  </si>
  <si>
    <t>0987918707</t>
  </si>
  <si>
    <t>楊上瑩</t>
  </si>
  <si>
    <t>#20210614011614299</t>
  </si>
  <si>
    <t>台灣台南市歸仁區中山路一段42號</t>
  </si>
  <si>
    <t>0929008428</t>
  </si>
  <si>
    <t>楊美雪</t>
  </si>
  <si>
    <t>#20210614011009064</t>
  </si>
  <si>
    <t>PH77777449</t>
  </si>
  <si>
    <t>台灣新北市蘆洲區和平路110號</t>
  </si>
  <si>
    <t>247</t>
  </si>
  <si>
    <t>0937835616</t>
  </si>
  <si>
    <t>謝沛岑</t>
  </si>
  <si>
    <t>#20210614005847930</t>
  </si>
  <si>
    <t>PH77777447</t>
  </si>
  <si>
    <t>台灣高雄市仁武區八德西路1638巷8弄15號</t>
  </si>
  <si>
    <t>0989099736</t>
  </si>
  <si>
    <t>鄭靜佳</t>
  </si>
  <si>
    <t>#20210614001713993</t>
  </si>
  <si>
    <t>PH77777448</t>
  </si>
  <si>
    <t>台灣新北市三重區重新路四段244巷35弄10號2樓</t>
  </si>
  <si>
    <t>0908568377</t>
  </si>
  <si>
    <t>林庭安</t>
  </si>
  <si>
    <t>#20210613220207450</t>
  </si>
  <si>
    <t>PH77777451</t>
  </si>
  <si>
    <t>台灣台中市北屯區和祥街33巷35號</t>
  </si>
  <si>
    <t>0989090910</t>
  </si>
  <si>
    <t>張雅婷</t>
  </si>
  <si>
    <t>#20210613201024169</t>
  </si>
  <si>
    <t>PH77777446</t>
  </si>
  <si>
    <t>台灣桃園市蘆竹區中山路175號10樓</t>
  </si>
  <si>
    <t>0917190813</t>
  </si>
  <si>
    <t>黃于玲</t>
  </si>
  <si>
    <t>#20210613174630411</t>
  </si>
  <si>
    <t>PH77777559</t>
  </si>
  <si>
    <t>971502</t>
  </si>
  <si>
    <t>新三華門市</t>
  </si>
  <si>
    <t>0930202517</t>
  </si>
  <si>
    <t>賴佳惠</t>
  </si>
  <si>
    <t>#20210613174613294</t>
  </si>
  <si>
    <t>PH77777564</t>
  </si>
  <si>
    <t>198965</t>
  </si>
  <si>
    <t>常德門市</t>
  </si>
  <si>
    <t>0925011395</t>
  </si>
  <si>
    <t>邱琬琄</t>
  </si>
  <si>
    <t>#20210613174548837</t>
  </si>
  <si>
    <t>PH77777450</t>
  </si>
  <si>
    <t>台灣新北市新莊區中港路中慶巷23號12樓</t>
  </si>
  <si>
    <t>0933135826</t>
  </si>
  <si>
    <t>蔡旻真</t>
  </si>
  <si>
    <t>#20210613161259814</t>
  </si>
  <si>
    <t>PH77777543</t>
  </si>
  <si>
    <t>F004913</t>
  </si>
  <si>
    <t>全家壽豐豐田店</t>
  </si>
  <si>
    <t>0932581248</t>
  </si>
  <si>
    <t>王郁菁</t>
  </si>
  <si>
    <t>#20210613155748237</t>
  </si>
  <si>
    <t>PH77777609</t>
  </si>
  <si>
    <t>923307</t>
  </si>
  <si>
    <t>0977469858</t>
  </si>
  <si>
    <t>蔡佩郡</t>
  </si>
  <si>
    <t>#20210613154028197</t>
  </si>
  <si>
    <t>45898661</t>
  </si>
  <si>
    <t>PH77777444</t>
  </si>
  <si>
    <t>2021/06/13</t>
  </si>
  <si>
    <t>F007502</t>
  </si>
  <si>
    <t>全家台南北成店</t>
  </si>
  <si>
    <t>0985172581</t>
  </si>
  <si>
    <t>李怡潔</t>
  </si>
  <si>
    <t>#20210613153117821</t>
  </si>
  <si>
    <t>PH77777443</t>
  </si>
  <si>
    <t>台灣新北市汐止區福德二路69-2號9樓</t>
  </si>
  <si>
    <t>0921209235</t>
  </si>
  <si>
    <t>鄭淑玲</t>
  </si>
  <si>
    <t>#20210613151846924</t>
  </si>
  <si>
    <t>PH77777523</t>
  </si>
  <si>
    <t>F014359</t>
  </si>
  <si>
    <t>全家中壢榮光店</t>
  </si>
  <si>
    <t>0989730410</t>
  </si>
  <si>
    <t>黃珮瑩</t>
  </si>
  <si>
    <t>#20210613145144010</t>
  </si>
  <si>
    <t>SHOPLINE-NEW-000059</t>
  </si>
  <si>
    <t>PH77777676</t>
  </si>
  <si>
    <t>164696</t>
  </si>
  <si>
    <t>興光門市</t>
  </si>
  <si>
    <t>0912229853</t>
  </si>
  <si>
    <t>黃紋君</t>
  </si>
  <si>
    <t>#20210613141519635</t>
  </si>
  <si>
    <t>PH77777445</t>
  </si>
  <si>
    <t>台灣新北市永和區得和路351號6樓</t>
  </si>
  <si>
    <t>234</t>
  </si>
  <si>
    <t>0928865682</t>
  </si>
  <si>
    <t>#20210613140432026</t>
  </si>
  <si>
    <t>PH77777441</t>
  </si>
  <si>
    <t>台灣台中市北屯區軍褔16路316號3樓</t>
  </si>
  <si>
    <t>0988334393</t>
  </si>
  <si>
    <t>賴鵲妃</t>
  </si>
  <si>
    <t>#20210613123744210</t>
  </si>
  <si>
    <t>PH77777558</t>
  </si>
  <si>
    <t>952246</t>
  </si>
  <si>
    <t>潭豐門市</t>
  </si>
  <si>
    <t>0989886661</t>
  </si>
  <si>
    <t>蔡孟恩</t>
  </si>
  <si>
    <t>#20210613123246723</t>
  </si>
  <si>
    <t>PH77777442</t>
  </si>
  <si>
    <t>台灣台南市東區崇善一街137號</t>
  </si>
  <si>
    <t>0986060050</t>
  </si>
  <si>
    <t>程婉慈</t>
  </si>
  <si>
    <t>#20210613122638468</t>
  </si>
  <si>
    <t>PH77777440</t>
  </si>
  <si>
    <t>台灣台中市太平區樹德一街13巷40號</t>
  </si>
  <si>
    <t>0938148217</t>
  </si>
  <si>
    <t>吳秀枝</t>
  </si>
  <si>
    <t>#20210613121759314</t>
  </si>
  <si>
    <t>PH77777439</t>
  </si>
  <si>
    <t>台灣台北市文山區羅斯福路六段455巷21號1樓</t>
  </si>
  <si>
    <t>0972797675</t>
  </si>
  <si>
    <t>沈頴淑</t>
  </si>
  <si>
    <t>#20210613113256793</t>
  </si>
  <si>
    <t>PH77777438</t>
  </si>
  <si>
    <t>台灣新北市汐止區汐萬路一段192-1號4樓</t>
  </si>
  <si>
    <t>0975252519</t>
  </si>
  <si>
    <t>李姿樺</t>
  </si>
  <si>
    <t>#20210613105711979</t>
  </si>
  <si>
    <t>PH77777437</t>
  </si>
  <si>
    <t>台灣桃園市蘆竹區南華一街39號13樓之3</t>
  </si>
  <si>
    <t>0912514083</t>
  </si>
  <si>
    <t>劉珮寧</t>
  </si>
  <si>
    <t>#20210613104218527</t>
  </si>
  <si>
    <t>PH77777585</t>
  </si>
  <si>
    <t>F020482</t>
  </si>
  <si>
    <t>全家北斗肉圓店</t>
  </si>
  <si>
    <t>0919732536</t>
  </si>
  <si>
    <t>黃馨慧</t>
  </si>
  <si>
    <t>#20210613094714000</t>
  </si>
  <si>
    <t>PH77777563</t>
  </si>
  <si>
    <t>181598</t>
  </si>
  <si>
    <t>東楨門市</t>
  </si>
  <si>
    <t>0968504789</t>
  </si>
  <si>
    <t>李柳宜</t>
  </si>
  <si>
    <t>#20210613085434040</t>
  </si>
  <si>
    <t>SHOPLINE-NEW-000022</t>
  </si>
  <si>
    <t>PH77777436</t>
  </si>
  <si>
    <t>台灣台南市南區金華路二段51巷15號</t>
  </si>
  <si>
    <t>0929462938</t>
  </si>
  <si>
    <t>劉依玲</t>
  </si>
  <si>
    <t>#20210613081011079</t>
  </si>
  <si>
    <t>PH77777435</t>
  </si>
  <si>
    <t>台灣高雄市小港區山田路1-19號</t>
  </si>
  <si>
    <t>0986064682</t>
  </si>
  <si>
    <t>王羽翔</t>
  </si>
  <si>
    <t>#20210613075510573</t>
  </si>
  <si>
    <t>PH77777623</t>
  </si>
  <si>
    <t>162313</t>
  </si>
  <si>
    <t>深坑門市</t>
  </si>
  <si>
    <t>0927710911</t>
  </si>
  <si>
    <t>黎桂玉</t>
  </si>
  <si>
    <t>#20210613074747230</t>
  </si>
  <si>
    <t>PH77777434</t>
  </si>
  <si>
    <t>台灣新竹縣竹北市成功八路182號12樓之2</t>
  </si>
  <si>
    <t>0920622591</t>
  </si>
  <si>
    <t>林亞妍</t>
  </si>
  <si>
    <t>#20210613072354479</t>
  </si>
  <si>
    <t>PH77777433</t>
  </si>
  <si>
    <t>F014486</t>
  </si>
  <si>
    <t>全家高雄鑫昌店</t>
  </si>
  <si>
    <t>0910158540</t>
  </si>
  <si>
    <t>廖郁婷</t>
  </si>
  <si>
    <t>#20210613071033232</t>
  </si>
  <si>
    <t>PH77777562</t>
  </si>
  <si>
    <t>113517</t>
  </si>
  <si>
    <t>東美門市</t>
  </si>
  <si>
    <t>0933602473</t>
  </si>
  <si>
    <t>郭佩芳</t>
  </si>
  <si>
    <t>#20210613070035247</t>
  </si>
  <si>
    <t>F003637</t>
  </si>
  <si>
    <t>全家豐原豐東店</t>
  </si>
  <si>
    <t>0970545409</t>
  </si>
  <si>
    <t>張佳宸</t>
  </si>
  <si>
    <t>#20210613064652565</t>
  </si>
  <si>
    <t>PH77777644</t>
  </si>
  <si>
    <t>F019077</t>
  </si>
  <si>
    <t>全家大發內厝店</t>
  </si>
  <si>
    <t>0937339019</t>
  </si>
  <si>
    <t>蕭彤竹</t>
  </si>
  <si>
    <t>#20210613061303123</t>
  </si>
  <si>
    <t>PH77777669</t>
  </si>
  <si>
    <t>190879</t>
  </si>
  <si>
    <t>0978129582</t>
  </si>
  <si>
    <t>吳佩嬬</t>
  </si>
  <si>
    <t>#20210613052147031</t>
  </si>
  <si>
    <t>PH77777718</t>
  </si>
  <si>
    <t>110297</t>
  </si>
  <si>
    <t>油車門市</t>
  </si>
  <si>
    <t>0936191134</t>
  </si>
  <si>
    <t>李佩君</t>
  </si>
  <si>
    <t>#20210613050612285</t>
  </si>
  <si>
    <t>PH77777557</t>
  </si>
  <si>
    <t>164571</t>
  </si>
  <si>
    <t>富麗門市</t>
  </si>
  <si>
    <t>0938845552</t>
  </si>
  <si>
    <t>林小雯</t>
  </si>
  <si>
    <t>#20210613050015106</t>
  </si>
  <si>
    <t>SHOPLINE-ADULT-000007</t>
  </si>
  <si>
    <t>F010519</t>
  </si>
  <si>
    <t>全家嘉義新東義店</t>
  </si>
  <si>
    <t>0926510272</t>
  </si>
  <si>
    <t>陳曉蓁</t>
  </si>
  <si>
    <t>#20210613045812687</t>
  </si>
  <si>
    <t>PH77777542</t>
  </si>
  <si>
    <t>F008348</t>
  </si>
  <si>
    <t>全家台東寶桑店</t>
  </si>
  <si>
    <t>0936069032</t>
  </si>
  <si>
    <t>蘇彣欣</t>
  </si>
  <si>
    <t>#20210613045607251</t>
  </si>
  <si>
    <t>PH77777555</t>
  </si>
  <si>
    <t>F006872</t>
  </si>
  <si>
    <t>全家基隆暖東店</t>
  </si>
  <si>
    <t>0973793887</t>
  </si>
  <si>
    <t>羅心儀</t>
  </si>
  <si>
    <t>#20210613045121848</t>
  </si>
  <si>
    <t>PH77777430</t>
  </si>
  <si>
    <t>台灣苗栗縣竹南鎮復興路406巷31弄12號</t>
  </si>
  <si>
    <t>0913208983</t>
  </si>
  <si>
    <t>蔡瓊慧</t>
  </si>
  <si>
    <t>#20210613044228597</t>
  </si>
  <si>
    <t>PH77777429</t>
  </si>
  <si>
    <t>#20210613042454179</t>
  </si>
  <si>
    <t>PH77777431</t>
  </si>
  <si>
    <t>110301</t>
  </si>
  <si>
    <t>耀心門市</t>
  </si>
  <si>
    <t>0928510476</t>
  </si>
  <si>
    <t>張祐甄</t>
  </si>
  <si>
    <t>#20210613042450152</t>
  </si>
  <si>
    <t>PH77777428</t>
  </si>
  <si>
    <t>台灣澎湖縣白沙鄉講美村1號</t>
  </si>
  <si>
    <t>884</t>
  </si>
  <si>
    <t>0953910775</t>
  </si>
  <si>
    <t>林映君</t>
  </si>
  <si>
    <t>#20210613034006043</t>
  </si>
  <si>
    <t>PH77777427</t>
  </si>
  <si>
    <t>台灣台南市六甲區中華路182號</t>
  </si>
  <si>
    <t>734</t>
  </si>
  <si>
    <t>0987645530</t>
  </si>
  <si>
    <t>劉慧蘋</t>
  </si>
  <si>
    <t>#20210613033157100</t>
  </si>
  <si>
    <t>PH77777426</t>
  </si>
  <si>
    <t>台灣台中市北屯區同榮路260巷47號</t>
  </si>
  <si>
    <t>0910508530</t>
  </si>
  <si>
    <t>黃韻臻</t>
  </si>
  <si>
    <t>#20210613025711978</t>
  </si>
  <si>
    <t>PH77777553</t>
  </si>
  <si>
    <t>F018605</t>
  </si>
  <si>
    <t>全家中壢玉龍店</t>
  </si>
  <si>
    <t>0928451952</t>
  </si>
  <si>
    <t>蔡昀芷</t>
  </si>
  <si>
    <t>#20210613025647530</t>
  </si>
  <si>
    <t>PH77777425</t>
  </si>
  <si>
    <t>台灣台中市西屯區中康街185號3樓之3</t>
  </si>
  <si>
    <t>0953141567</t>
  </si>
  <si>
    <t>葉品婕</t>
  </si>
  <si>
    <t>#20210613022923462</t>
  </si>
  <si>
    <t>PH77777421</t>
  </si>
  <si>
    <t>台灣新竹市北區東大路二段172巷51號7樓</t>
  </si>
  <si>
    <t>0910685202</t>
  </si>
  <si>
    <t>韓秀盈</t>
  </si>
  <si>
    <t>#20210613004500501</t>
  </si>
  <si>
    <t>PH77777518</t>
  </si>
  <si>
    <t>F008103</t>
  </si>
  <si>
    <t>全家斗南大業店</t>
  </si>
  <si>
    <t>0928294182</t>
  </si>
  <si>
    <t>許麗生</t>
  </si>
  <si>
    <t>#20210613004251758</t>
  </si>
  <si>
    <t>PH77777423</t>
  </si>
  <si>
    <t>台灣台中市大肚區福利路150巷7號</t>
  </si>
  <si>
    <t>432</t>
  </si>
  <si>
    <t>0972082359</t>
  </si>
  <si>
    <t>林佳嬅</t>
  </si>
  <si>
    <t>#20210613001040281</t>
  </si>
  <si>
    <t>SHOPLINE-NEW-000051</t>
  </si>
  <si>
    <t>PH77777422</t>
  </si>
  <si>
    <t>台灣新北市淡水區淡金路2段111號十樓</t>
  </si>
  <si>
    <t>0935392792</t>
  </si>
  <si>
    <t>陳倫倫</t>
  </si>
  <si>
    <t>#20210613001003022</t>
  </si>
  <si>
    <t>PH77777418</t>
  </si>
  <si>
    <t>0926827271</t>
  </si>
  <si>
    <t>陳俐秋</t>
  </si>
  <si>
    <t>#20210612172921448</t>
  </si>
  <si>
    <t>PH77777681</t>
  </si>
  <si>
    <t>122120</t>
  </si>
  <si>
    <t>騰豪門市</t>
  </si>
  <si>
    <t>0931334104</t>
  </si>
  <si>
    <t>朱語姍</t>
  </si>
  <si>
    <t>#20210612163442095</t>
  </si>
  <si>
    <t>PH77777420</t>
  </si>
  <si>
    <t>台灣台南市麻豆區安業里184-1號</t>
  </si>
  <si>
    <t>721</t>
  </si>
  <si>
    <t>0936460803</t>
  </si>
  <si>
    <t>殷家樺</t>
  </si>
  <si>
    <t>#20210612162513594</t>
  </si>
  <si>
    <t>PH77777432</t>
  </si>
  <si>
    <t>台灣南投縣竹山鎮坪頂里99號</t>
  </si>
  <si>
    <t>0979707801</t>
  </si>
  <si>
    <t>李香香</t>
  </si>
  <si>
    <t>#20210612161227590</t>
  </si>
  <si>
    <t>台灣彰化縣芬園鄉嘉興村原新街512號</t>
  </si>
  <si>
    <t>0952997338</t>
  </si>
  <si>
    <t>鄧聿芸</t>
  </si>
  <si>
    <t>#20210612154829804</t>
  </si>
  <si>
    <t>PH77777415</t>
  </si>
  <si>
    <t>2021/06/12</t>
  </si>
  <si>
    <t>110987</t>
  </si>
  <si>
    <t>淡溝門市</t>
  </si>
  <si>
    <t>0978606805</t>
  </si>
  <si>
    <t>林筱淳</t>
  </si>
  <si>
    <t>#20210612154226583</t>
  </si>
  <si>
    <t>PH77777628</t>
  </si>
  <si>
    <t>943884</t>
  </si>
  <si>
    <t>保東門市</t>
  </si>
  <si>
    <t>0985256885</t>
  </si>
  <si>
    <t>楊瑀珊</t>
  </si>
  <si>
    <t>#20210612152859014</t>
  </si>
  <si>
    <t>PH77777417</t>
  </si>
  <si>
    <t>F000503</t>
  </si>
  <si>
    <t>全家蘆洲集賢店</t>
  </si>
  <si>
    <t>#20210612144812686</t>
  </si>
  <si>
    <t>194952</t>
  </si>
  <si>
    <t>源山門市</t>
  </si>
  <si>
    <t>0976197700</t>
  </si>
  <si>
    <t>黃閔甄</t>
  </si>
  <si>
    <t>#20210612144314200</t>
  </si>
  <si>
    <t>PH77777416</t>
  </si>
  <si>
    <t>台灣桃園市龜山區華美街103號</t>
  </si>
  <si>
    <t>0936124533</t>
  </si>
  <si>
    <t>顏玉婷</t>
  </si>
  <si>
    <t>#20210612142658608</t>
  </si>
  <si>
    <t>PH77777414</t>
  </si>
  <si>
    <t>台灣台中市南屯區五權西路二段832號6樓之3</t>
  </si>
  <si>
    <t>408</t>
  </si>
  <si>
    <t>0975761581</t>
  </si>
  <si>
    <t>施彤珊</t>
  </si>
  <si>
    <t>#20210612142011080</t>
  </si>
  <si>
    <t>PH77777413</t>
  </si>
  <si>
    <t>F017873</t>
  </si>
  <si>
    <t>全家沙鹿金斗店</t>
  </si>
  <si>
    <t>0981181527</t>
  </si>
  <si>
    <t>紀韋廷</t>
  </si>
  <si>
    <t>#20210612134517622</t>
  </si>
  <si>
    <t>PH77777412</t>
  </si>
  <si>
    <t>195346</t>
  </si>
  <si>
    <t>洪興門市</t>
  </si>
  <si>
    <t>0920571055</t>
  </si>
  <si>
    <t>余湘潔</t>
  </si>
  <si>
    <t>#20210612133820742</t>
  </si>
  <si>
    <t>PH77777514</t>
  </si>
  <si>
    <t>F007280</t>
  </si>
  <si>
    <t>全家高雄四維店</t>
  </si>
  <si>
    <t>0920898483</t>
  </si>
  <si>
    <t>黃千姿</t>
  </si>
  <si>
    <t>#20210612131525676</t>
  </si>
  <si>
    <t>PH77777411</t>
  </si>
  <si>
    <t>台灣桃園市平鎮區建安路112巷122弄5號</t>
  </si>
  <si>
    <t>0926255522</t>
  </si>
  <si>
    <t>彭渝恩</t>
  </si>
  <si>
    <t>#20210612125814700</t>
  </si>
  <si>
    <t>96880714</t>
  </si>
  <si>
    <t>台灣高雄市林園區五福路252巷15弄2-1號</t>
  </si>
  <si>
    <t>0987390038</t>
  </si>
  <si>
    <t>楊珮君</t>
  </si>
  <si>
    <t>#20210612124202417</t>
  </si>
  <si>
    <t>PH77777410</t>
  </si>
  <si>
    <t>台灣台中市西屯區大墩二十街87號7樓之2</t>
  </si>
  <si>
    <t>0982730737</t>
  </si>
  <si>
    <t>邱翎</t>
  </si>
  <si>
    <t>#20210612122616314</t>
  </si>
  <si>
    <t>PH77777581</t>
  </si>
  <si>
    <t>F012808</t>
  </si>
  <si>
    <t>全家新忠隆店</t>
  </si>
  <si>
    <t>0965110283</t>
  </si>
  <si>
    <t>何玉婷</t>
  </si>
  <si>
    <t>#20210612121639474</t>
  </si>
  <si>
    <t>SHOPLINE-ADULT-000003</t>
  </si>
  <si>
    <t>PH77777407</t>
  </si>
  <si>
    <t>台灣新竹市北區金竹路86巷28號10樓之三</t>
  </si>
  <si>
    <t>0936306244</t>
  </si>
  <si>
    <t>陳玫芬</t>
  </si>
  <si>
    <t>#20210612114453173</t>
  </si>
  <si>
    <t>PH77777627</t>
  </si>
  <si>
    <t>961527</t>
  </si>
  <si>
    <t>庄研門市</t>
  </si>
  <si>
    <t>0981787705</t>
  </si>
  <si>
    <t>曹惟純</t>
  </si>
  <si>
    <t>#20210612114441088</t>
  </si>
  <si>
    <t>PH77777408</t>
  </si>
  <si>
    <t>台灣台中市東區東福路62號2樓</t>
  </si>
  <si>
    <t>401</t>
  </si>
  <si>
    <t>0917755245</t>
  </si>
  <si>
    <t>卓君蓮</t>
  </si>
  <si>
    <t>#20210612113734139</t>
  </si>
  <si>
    <t>PH77777409</t>
  </si>
  <si>
    <t>台灣新北市三重區三重區三陽路134巷2號2樓</t>
  </si>
  <si>
    <t>0918979621</t>
  </si>
  <si>
    <t>鄭穎暄</t>
  </si>
  <si>
    <t>#20210612112056393</t>
  </si>
  <si>
    <t>SHOPLINE-ADULT-000010</t>
  </si>
  <si>
    <t>PH77777404</t>
  </si>
  <si>
    <t>台灣台南市仁德區文華路二段66號</t>
  </si>
  <si>
    <t>0955217788</t>
  </si>
  <si>
    <t>郭亦瓴</t>
  </si>
  <si>
    <t>#20210612105204429</t>
  </si>
  <si>
    <t>PH77777405</t>
  </si>
  <si>
    <t>台灣屏東縣屏東市民生路189號</t>
  </si>
  <si>
    <t>0970607773</t>
  </si>
  <si>
    <t>蘇絜品</t>
  </si>
  <si>
    <t>#20210612100213494</t>
  </si>
  <si>
    <t>239042</t>
  </si>
  <si>
    <t>番路門市</t>
  </si>
  <si>
    <t>0976772686</t>
  </si>
  <si>
    <t>劉家均</t>
  </si>
  <si>
    <t>#20210612093034241</t>
  </si>
  <si>
    <t>PH77777403</t>
  </si>
  <si>
    <t>台灣嘉義縣太保市北港路二段105巷48號</t>
  </si>
  <si>
    <t>0953730801</t>
  </si>
  <si>
    <t>莊雅婷</t>
  </si>
  <si>
    <t>#20210612091503523</t>
  </si>
  <si>
    <t>SHOPLINE-NEW-000063</t>
  </si>
  <si>
    <t>PH77777402</t>
  </si>
  <si>
    <t>台灣高雄市大社區自由路207號4樓</t>
  </si>
  <si>
    <t>815</t>
  </si>
  <si>
    <t>0960015362</t>
  </si>
  <si>
    <t>廖采禾</t>
  </si>
  <si>
    <t>#20210612091314200</t>
  </si>
  <si>
    <t>PH77777401</t>
  </si>
  <si>
    <t>台灣新北市新莊區四維路212巷4弄4號三樓之一</t>
  </si>
  <si>
    <t>0926818833</t>
  </si>
  <si>
    <t>王詩惠</t>
  </si>
  <si>
    <t>#20210612083323262</t>
  </si>
  <si>
    <t>PH77777622</t>
  </si>
  <si>
    <t>997836</t>
  </si>
  <si>
    <t>鎮安門市</t>
  </si>
  <si>
    <t>0978751990</t>
  </si>
  <si>
    <t>黃姵潔</t>
  </si>
  <si>
    <t>#20210612071055387</t>
  </si>
  <si>
    <t>SHOPLINE-NEW-000023</t>
  </si>
  <si>
    <t>PH77777400</t>
  </si>
  <si>
    <t>台灣新竹市東區自由路95巷18弄30號</t>
  </si>
  <si>
    <t>0952937811</t>
  </si>
  <si>
    <t>黃妤僑</t>
  </si>
  <si>
    <t>#20210612070052369</t>
  </si>
  <si>
    <t>PH77777517</t>
  </si>
  <si>
    <t>F019697</t>
  </si>
  <si>
    <t>全家高雄新美店</t>
  </si>
  <si>
    <t>0927651139</t>
  </si>
  <si>
    <t>陳欣君</t>
  </si>
  <si>
    <t>#20210612062314200</t>
  </si>
  <si>
    <t>PH77777503</t>
  </si>
  <si>
    <t>F003496</t>
  </si>
  <si>
    <t>全家和美雙美店</t>
  </si>
  <si>
    <t>【贈品】【安家佳】抗菌噴霧</t>
  </si>
  <si>
    <t>0918606603</t>
  </si>
  <si>
    <t>廖筱筑</t>
  </si>
  <si>
    <t>#20210612055542795</t>
  </si>
  <si>
    <t>PH77777399</t>
  </si>
  <si>
    <t>台灣桃園市龜山區萬壽路二段1142巷11號</t>
  </si>
  <si>
    <t>0986250682</t>
  </si>
  <si>
    <t>黃詠慧</t>
  </si>
  <si>
    <t>#20210612055454179</t>
  </si>
  <si>
    <t>173807</t>
  </si>
  <si>
    <t>0922077933</t>
  </si>
  <si>
    <t>余采緹</t>
  </si>
  <si>
    <t>#20210612054513593</t>
  </si>
  <si>
    <t>PH77777626</t>
  </si>
  <si>
    <t>893482</t>
  </si>
  <si>
    <t>國銨門市</t>
  </si>
  <si>
    <t>0916057375</t>
  </si>
  <si>
    <t>謝淑慶</t>
  </si>
  <si>
    <t>#20210612050613292</t>
  </si>
  <si>
    <t>PH77777617</t>
  </si>
  <si>
    <t>207975</t>
  </si>
  <si>
    <t>源福門市</t>
  </si>
  <si>
    <t>0955453451</t>
  </si>
  <si>
    <t>蔡雅如</t>
  </si>
  <si>
    <t>#20210612044906343</t>
  </si>
  <si>
    <t>PH77777398</t>
  </si>
  <si>
    <t>F002173</t>
  </si>
  <si>
    <t>全家泰山麗池店</t>
  </si>
  <si>
    <t>0922603830</t>
  </si>
  <si>
    <t>黃怡婷</t>
  </si>
  <si>
    <t>#20210612042117821</t>
  </si>
  <si>
    <t>台灣南投縣南投市工業路55號</t>
  </si>
  <si>
    <t>0987161431</t>
  </si>
  <si>
    <t>禎</t>
  </si>
  <si>
    <t>#20210612031146023</t>
  </si>
  <si>
    <t>PH77777397</t>
  </si>
  <si>
    <t>202408</t>
  </si>
  <si>
    <t>豐梅門市</t>
  </si>
  <si>
    <t>0923511129</t>
  </si>
  <si>
    <t>謝念芯</t>
  </si>
  <si>
    <t>#20210612030854980</t>
  </si>
  <si>
    <t>PH77777507</t>
  </si>
  <si>
    <t>F017643</t>
  </si>
  <si>
    <t>全家竹南天文店</t>
  </si>
  <si>
    <t>0918381491</t>
  </si>
  <si>
    <t>葉家萍</t>
  </si>
  <si>
    <t>#20210612030345416</t>
  </si>
  <si>
    <t>SHOPLINE-NEW-000074</t>
  </si>
  <si>
    <t>PH77777395</t>
  </si>
  <si>
    <t>台灣高雄市三民區大豐二路628巷1弄17號</t>
  </si>
  <si>
    <t>0913563880</t>
  </si>
  <si>
    <t>張嘉方</t>
  </si>
  <si>
    <t>#20210612024237660</t>
  </si>
  <si>
    <t>PH77777510</t>
  </si>
  <si>
    <t>F012451</t>
  </si>
  <si>
    <t>全家台中新忠勇店</t>
  </si>
  <si>
    <t>0928986787</t>
  </si>
  <si>
    <t>李婷婷</t>
  </si>
  <si>
    <t>#20210612014401808</t>
  </si>
  <si>
    <t>PH77777406</t>
  </si>
  <si>
    <t>台灣台中市大雅區龍善街101號</t>
  </si>
  <si>
    <t>428</t>
  </si>
  <si>
    <t>0975930046</t>
  </si>
  <si>
    <t>賴怡臻</t>
  </si>
  <si>
    <t>#20210612002848937</t>
  </si>
  <si>
    <t>PH77777390</t>
  </si>
  <si>
    <t>台灣彰化縣福興鄉秀厝村秀厝一街211號</t>
  </si>
  <si>
    <t>506</t>
  </si>
  <si>
    <t>0934462590</t>
  </si>
  <si>
    <t>梁雅雯</t>
  </si>
  <si>
    <t>#20210611235843902</t>
  </si>
  <si>
    <t>PH77777392</t>
  </si>
  <si>
    <t>台灣雲林縣虎尾鎮頂溪里崁腳29之5號</t>
  </si>
  <si>
    <t>632</t>
  </si>
  <si>
    <t>0982195317</t>
  </si>
  <si>
    <t>林巧嵐</t>
  </si>
  <si>
    <t>#20210611233426983</t>
  </si>
  <si>
    <t>PH77777391</t>
  </si>
  <si>
    <t>990503</t>
  </si>
  <si>
    <t>囍洋洋門市</t>
  </si>
  <si>
    <t>0981977811</t>
  </si>
  <si>
    <t>鄭宥芹</t>
  </si>
  <si>
    <t>#20210611201252765</t>
  </si>
  <si>
    <t>SHOPLINE-NEW-000046</t>
  </si>
  <si>
    <t>PH77777393</t>
  </si>
  <si>
    <t>台灣台中市大里區益民路二段511號</t>
  </si>
  <si>
    <t>0930691865</t>
  </si>
  <si>
    <t>林忠彥</t>
  </si>
  <si>
    <t>#20210611200751258</t>
  </si>
  <si>
    <t>PH77777680</t>
  </si>
  <si>
    <t>955348</t>
  </si>
  <si>
    <t>士東門市</t>
  </si>
  <si>
    <t>0915026308</t>
  </si>
  <si>
    <t>林珍羽</t>
  </si>
  <si>
    <t>#20210611182522655</t>
  </si>
  <si>
    <t>PH77777621</t>
  </si>
  <si>
    <t>206813</t>
  </si>
  <si>
    <t>新前鋒門市</t>
  </si>
  <si>
    <t>0973210703</t>
  </si>
  <si>
    <t>楊張瑜芬</t>
  </si>
  <si>
    <t>#20210611173604229</t>
  </si>
  <si>
    <t>PH77777388</t>
  </si>
  <si>
    <t>#20210611170442095</t>
  </si>
  <si>
    <t>PH77777389</t>
  </si>
  <si>
    <t>台灣台北市內湖區民權東路六段191巷62弄22號4樓</t>
  </si>
  <si>
    <t>114</t>
  </si>
  <si>
    <t>0929697869</t>
  </si>
  <si>
    <t>涂雨璇</t>
  </si>
  <si>
    <t>#20210611165235646</t>
  </si>
  <si>
    <t>PH77777616</t>
  </si>
  <si>
    <t>965105</t>
  </si>
  <si>
    <t>淵安門市</t>
  </si>
  <si>
    <t>0983622247</t>
  </si>
  <si>
    <t>方怡雁</t>
  </si>
  <si>
    <t>#20210611164740182</t>
  </si>
  <si>
    <t>台灣新北市淡水區濱海路三段146號14樓</t>
  </si>
  <si>
    <t>0988527621</t>
  </si>
  <si>
    <t>林婉蓉</t>
  </si>
  <si>
    <t>#20210611164047331</t>
  </si>
  <si>
    <t>SHOPLINE-NEW-000044</t>
  </si>
  <si>
    <t>PH77777387</t>
  </si>
  <si>
    <t>台灣桃園市桃園區大有路342號12樓</t>
  </si>
  <si>
    <t>0913736933</t>
  </si>
  <si>
    <t>楊禮綺</t>
  </si>
  <si>
    <t>#20210611163533732</t>
  </si>
  <si>
    <t>PH77777386</t>
  </si>
  <si>
    <t>2021/06/11</t>
  </si>
  <si>
    <t>台灣高雄市楠梓區楠梓區旗楠路126巷9號6樓</t>
  </si>
  <si>
    <t>0918287823</t>
  </si>
  <si>
    <t>廖瑋玲</t>
  </si>
  <si>
    <t>#20210611150820741</t>
  </si>
  <si>
    <t>PH77777508</t>
  </si>
  <si>
    <t>F008462</t>
  </si>
  <si>
    <t>全家虎尾文科店</t>
  </si>
  <si>
    <t>0930522617</t>
  </si>
  <si>
    <t>黃瓊莹</t>
  </si>
  <si>
    <t>#20210611143402815</t>
  </si>
  <si>
    <t>SHOPLINE-KID-000036</t>
  </si>
  <si>
    <t>PH77777615</t>
  </si>
  <si>
    <t>184047</t>
  </si>
  <si>
    <t>正鵬門市</t>
  </si>
  <si>
    <t>0913392880</t>
  </si>
  <si>
    <t>陳琬筠</t>
  </si>
  <si>
    <t>#20210611142035248</t>
  </si>
  <si>
    <t>PH77777382</t>
  </si>
  <si>
    <t>台灣新竹縣竹東鎮五豐一路27之6號7樓</t>
  </si>
  <si>
    <t>0903358121</t>
  </si>
  <si>
    <t>陳婉婷</t>
  </si>
  <si>
    <t>#20210611135040283</t>
  </si>
  <si>
    <t>PH77777675</t>
  </si>
  <si>
    <t>190673</t>
  </si>
  <si>
    <t>鑫領千門市</t>
  </si>
  <si>
    <t>0938077238</t>
  </si>
  <si>
    <t>吳思儀</t>
  </si>
  <si>
    <t>#20210611134456193</t>
  </si>
  <si>
    <t>PH77777614</t>
  </si>
  <si>
    <t>蘇曉瑄</t>
  </si>
  <si>
    <t>#20210611133954679</t>
  </si>
  <si>
    <t>PH77777383</t>
  </si>
  <si>
    <t>#20210611133629405</t>
  </si>
  <si>
    <t>PH77777385</t>
  </si>
  <si>
    <t>台灣屏東縣內埔鄉水門村成功路51號</t>
  </si>
  <si>
    <t>0989441588</t>
  </si>
  <si>
    <t>#20210611132452166</t>
  </si>
  <si>
    <t>PH77777384</t>
  </si>
  <si>
    <t>台灣桃園市桃園區中山路1308巷330號5樓</t>
  </si>
  <si>
    <t>SHOPLINE-NEW-000050</t>
  </si>
  <si>
    <t>0916903646</t>
  </si>
  <si>
    <t>林可依</t>
  </si>
  <si>
    <t>#20210611131525677</t>
  </si>
  <si>
    <t>PH77777381</t>
  </si>
  <si>
    <t>台灣桃園市桃園區榮華街64巷52號7樓</t>
  </si>
  <si>
    <t>0921970267</t>
  </si>
  <si>
    <t>李佳璟</t>
  </si>
  <si>
    <t>#20210611131020141</t>
  </si>
  <si>
    <t>PH77777539</t>
  </si>
  <si>
    <t>0910690826</t>
  </si>
  <si>
    <t>楊曉涵</t>
  </si>
  <si>
    <t>#20210611125155087</t>
  </si>
  <si>
    <t>PH77777378</t>
  </si>
  <si>
    <t>台灣台北市大同區歸綏街160巷1號9樓之4</t>
  </si>
  <si>
    <t>0955197340</t>
  </si>
  <si>
    <t>蕭亦玲</t>
  </si>
  <si>
    <t>#20210611125026183</t>
  </si>
  <si>
    <t>PH77777540</t>
  </si>
  <si>
    <t>F020359</t>
  </si>
  <si>
    <t>全家中和秀欣店</t>
  </si>
  <si>
    <t>0958214758</t>
  </si>
  <si>
    <t>程富美</t>
  </si>
  <si>
    <t>#20210611122836853</t>
  </si>
  <si>
    <t>PH77777419</t>
  </si>
  <si>
    <t>#20210611122732125</t>
  </si>
  <si>
    <t>SHOPLINE-NEW-000015</t>
  </si>
  <si>
    <t>PH77777380</t>
  </si>
  <si>
    <t>台灣台北市萬華區萬大路493巷28弄16號5樓</t>
  </si>
  <si>
    <t>0920977395</t>
  </si>
  <si>
    <t>張員愷</t>
  </si>
  <si>
    <t>#20210611122018130</t>
  </si>
  <si>
    <t>180931</t>
  </si>
  <si>
    <t>秀鑫門市</t>
  </si>
  <si>
    <t>0953555955</t>
  </si>
  <si>
    <t>林冠吟</t>
  </si>
  <si>
    <t>#20210611121709966</t>
  </si>
  <si>
    <t>171421</t>
  </si>
  <si>
    <t>0937543222</t>
  </si>
  <si>
    <t>金寧芝</t>
  </si>
  <si>
    <t>#20210611121508558</t>
  </si>
  <si>
    <t>PH77777379</t>
  </si>
  <si>
    <t>台灣苗栗縣頭份市尖下里17鄰東方大鎮3號</t>
  </si>
  <si>
    <t>0963177974</t>
  </si>
  <si>
    <t>古玉佳</t>
  </si>
  <si>
    <t>#20210611121406844</t>
  </si>
  <si>
    <t>PH77777377</t>
  </si>
  <si>
    <t>115971</t>
  </si>
  <si>
    <t>0976821923</t>
  </si>
  <si>
    <t>李妍庭</t>
  </si>
  <si>
    <t>#20210611120957700</t>
  </si>
  <si>
    <t>PH77777376</t>
  </si>
  <si>
    <t>115890</t>
  </si>
  <si>
    <t>功湖門市</t>
  </si>
  <si>
    <t>0987701138</t>
  </si>
  <si>
    <t>陳凱芳</t>
  </si>
  <si>
    <t>#20210611115502517</t>
  </si>
  <si>
    <t>PH77777375</t>
  </si>
  <si>
    <t>台灣台北市中山區北安路630巷17號2樓</t>
  </si>
  <si>
    <t>0910229189</t>
  </si>
  <si>
    <t>吳佩倫</t>
  </si>
  <si>
    <t>#20210611090824770</t>
  </si>
  <si>
    <t>83736999</t>
  </si>
  <si>
    <t>PH77777608</t>
  </si>
  <si>
    <t>182591</t>
  </si>
  <si>
    <t>米妃門市</t>
  </si>
  <si>
    <t>0915030193</t>
  </si>
  <si>
    <t>陳怡蓉</t>
  </si>
  <si>
    <t>#20210611084325280</t>
  </si>
  <si>
    <t>PH77777524</t>
  </si>
  <si>
    <t>F014218</t>
  </si>
  <si>
    <t>全家大里善化店</t>
  </si>
  <si>
    <t>0981232065</t>
  </si>
  <si>
    <t>陳郁屏</t>
  </si>
  <si>
    <t>#20210611072830811</t>
  </si>
  <si>
    <t>207207</t>
  </si>
  <si>
    <t>捷心門市</t>
  </si>
  <si>
    <t>0952025773</t>
  </si>
  <si>
    <t>黃瓊儀</t>
  </si>
  <si>
    <t>#20210611071518627</t>
  </si>
  <si>
    <t>PH77777373</t>
  </si>
  <si>
    <t>台灣高雄市鳳山區光復路二段263號11樓</t>
  </si>
  <si>
    <t>830</t>
  </si>
  <si>
    <t>0930236623</t>
  </si>
  <si>
    <t>佳芯</t>
  </si>
  <si>
    <t>#20210611070948637</t>
  </si>
  <si>
    <t>PH77777372</t>
  </si>
  <si>
    <t>台灣台中市豐原區保康路79-8號</t>
  </si>
  <si>
    <t>0975193070</t>
  </si>
  <si>
    <t>陳筱玫</t>
  </si>
  <si>
    <t>#20210611070118828</t>
  </si>
  <si>
    <t>PH77777374</t>
  </si>
  <si>
    <t>台灣新竹市香山區牛埔路333號六樓</t>
  </si>
  <si>
    <t>0905202088</t>
  </si>
  <si>
    <t>許馨萍</t>
  </si>
  <si>
    <t>#20210611070101708</t>
  </si>
  <si>
    <t>PH77777371</t>
  </si>
  <si>
    <t>台灣高雄市三民區北安街42號</t>
  </si>
  <si>
    <t>0970726172</t>
  </si>
  <si>
    <t>鄭媛文</t>
  </si>
  <si>
    <t>#20210611063740181</t>
  </si>
  <si>
    <t>PH77777491</t>
  </si>
  <si>
    <t>F019176</t>
  </si>
  <si>
    <t>全家新竹新金科店</t>
  </si>
  <si>
    <t>lottery-ipad</t>
  </si>
  <si>
    <t>0927710126</t>
  </si>
  <si>
    <t>梁靚萱</t>
  </si>
  <si>
    <t>#20210611061432025</t>
  </si>
  <si>
    <t>PH77777370</t>
  </si>
  <si>
    <t>台灣桃園市中壢區復華街296號5樓</t>
  </si>
  <si>
    <t>0911642199</t>
  </si>
  <si>
    <t>廖美惠</t>
  </si>
  <si>
    <t>#20210611054823763</t>
  </si>
  <si>
    <t>PH77777668</t>
  </si>
  <si>
    <t>238740</t>
  </si>
  <si>
    <t>林宏門市</t>
  </si>
  <si>
    <t>0987877270</t>
  </si>
  <si>
    <t>兵彥儀</t>
  </si>
  <si>
    <t>#20210611044138970</t>
  </si>
  <si>
    <t>198688</t>
  </si>
  <si>
    <t>桃民門市</t>
  </si>
  <si>
    <t>0987779547</t>
  </si>
  <si>
    <t>莊依婷</t>
  </si>
  <si>
    <t>#20210611043151058</t>
  </si>
  <si>
    <t>PH77777369</t>
  </si>
  <si>
    <t>960764</t>
  </si>
  <si>
    <t>瑞正門市</t>
  </si>
  <si>
    <t>0936929665</t>
  </si>
  <si>
    <t>郭芳妤</t>
  </si>
  <si>
    <t>#20210611040129910</t>
  </si>
  <si>
    <t>PH77777366</t>
  </si>
  <si>
    <t>台灣新北市樹林區中正路288號</t>
  </si>
  <si>
    <t>0916316317</t>
  </si>
  <si>
    <t>呂依亭</t>
  </si>
  <si>
    <t>#20210611024540782</t>
  </si>
  <si>
    <t>PH77777367</t>
  </si>
  <si>
    <t>239787</t>
  </si>
  <si>
    <t>詠樂門市</t>
  </si>
  <si>
    <t>0936901146</t>
  </si>
  <si>
    <t>#20210611021858007</t>
  </si>
  <si>
    <t>PH77777368</t>
  </si>
  <si>
    <t>台灣高雄市楠梓區德富街298號6樓之2</t>
  </si>
  <si>
    <t>信用卡（支援Visa, Master, JCB）</t>
  </si>
  <si>
    <t>0977525482</t>
  </si>
  <si>
    <t>吳淑慧</t>
  </si>
  <si>
    <t>#20210611021453172</t>
  </si>
  <si>
    <t>PH77777363</t>
  </si>
  <si>
    <t>F001840</t>
  </si>
  <si>
    <t>全家中壢環北店</t>
  </si>
  <si>
    <t>0989208611</t>
  </si>
  <si>
    <t>張逸慈</t>
  </si>
  <si>
    <t>#20210611013519634</t>
  </si>
  <si>
    <t>PH77777637</t>
  </si>
  <si>
    <t>F004190</t>
  </si>
  <si>
    <t>全家台中金美店</t>
  </si>
  <si>
    <t>0911917345</t>
  </si>
  <si>
    <t>許雅惠</t>
  </si>
  <si>
    <t>#20210611012739174</t>
  </si>
  <si>
    <t>SHOPLINE-NEW-000062</t>
  </si>
  <si>
    <t>PH77777364</t>
  </si>
  <si>
    <t>台灣高雄市前鎮區英德街784巷37號</t>
  </si>
  <si>
    <t>0989177407</t>
  </si>
  <si>
    <t>朱佳燕</t>
  </si>
  <si>
    <t>#20210611012707950</t>
  </si>
  <si>
    <t>台灣桃園市平鎮區龍南路178號</t>
  </si>
  <si>
    <t>0980038065</t>
  </si>
  <si>
    <t>池映質</t>
  </si>
  <si>
    <t>#20210610210540781</t>
  </si>
  <si>
    <t>PH77777362</t>
  </si>
  <si>
    <t>F013540</t>
  </si>
  <si>
    <t>全家仁德仁紡店</t>
  </si>
  <si>
    <t>0918501289</t>
  </si>
  <si>
    <t>王士瑋</t>
  </si>
  <si>
    <t>#20210610174737160</t>
  </si>
  <si>
    <t>PH77777360</t>
  </si>
  <si>
    <t>2021/06/10</t>
  </si>
  <si>
    <t>台灣台中市西屯區西屯路三段166之99號14樓之二</t>
  </si>
  <si>
    <t>0972378930</t>
  </si>
  <si>
    <t>郭舒萍</t>
  </si>
  <si>
    <t>#20210610153510571</t>
  </si>
  <si>
    <t>台灣台南市鹽水區忠義路10號</t>
  </si>
  <si>
    <t>737</t>
  </si>
  <si>
    <t>0922300385</t>
  </si>
  <si>
    <t>林玉雪</t>
  </si>
  <si>
    <t>#20210610153446123</t>
  </si>
  <si>
    <t>PH77777361</t>
  </si>
  <si>
    <t>台灣新北市蘆洲區民族路31號5樓之7</t>
  </si>
  <si>
    <t>0989099018</t>
  </si>
  <si>
    <t>周俐伶</t>
  </si>
  <si>
    <t>#20210610153406844</t>
  </si>
  <si>
    <t>PH77777359</t>
  </si>
  <si>
    <t>台灣台南市永康區復國一路606號</t>
  </si>
  <si>
    <t>0915514531</t>
  </si>
  <si>
    <t>劉逸庭</t>
  </si>
  <si>
    <t>#20210610144751259</t>
  </si>
  <si>
    <t>PH77777509</t>
  </si>
  <si>
    <t>F008197</t>
  </si>
  <si>
    <t>全家花蓮國興店</t>
  </si>
  <si>
    <t>0917282472</t>
  </si>
  <si>
    <t>袁惠萍</t>
  </si>
  <si>
    <t>#20210610144448139</t>
  </si>
  <si>
    <t>PH77777625</t>
  </si>
  <si>
    <t>#20210610143241688</t>
  </si>
  <si>
    <t>PH77777486</t>
  </si>
  <si>
    <t>F018926</t>
  </si>
  <si>
    <t>全家新莊光明店</t>
  </si>
  <si>
    <t>0972308285</t>
  </si>
  <si>
    <t>林佩萱</t>
  </si>
  <si>
    <t>#20210610125844910</t>
  </si>
  <si>
    <t>PH77777613</t>
  </si>
  <si>
    <t>#20210610124542795</t>
  </si>
  <si>
    <t>PH77777358</t>
  </si>
  <si>
    <t>台灣新北市中和區民德路146巷5弄4號3樓</t>
  </si>
  <si>
    <t>0926066723</t>
  </si>
  <si>
    <t>洪齊懋</t>
  </si>
  <si>
    <t>#20210610124248737</t>
  </si>
  <si>
    <t>PH77777357</t>
  </si>
  <si>
    <t>台灣屏東縣屏東市武順街27號</t>
  </si>
  <si>
    <t>0955941505</t>
  </si>
  <si>
    <t>鄭惟心</t>
  </si>
  <si>
    <t>#20210610114741189</t>
  </si>
  <si>
    <t>PH77777468</t>
  </si>
  <si>
    <t>F004465</t>
  </si>
  <si>
    <t>全家板橋國民店</t>
  </si>
  <si>
    <t>0985499946</t>
  </si>
  <si>
    <t>黃惠敏</t>
  </si>
  <si>
    <t>#20210610100155087</t>
  </si>
  <si>
    <t>PH77777356</t>
  </si>
  <si>
    <t>台灣桃園市桃園區中正路183號</t>
  </si>
  <si>
    <t>0983720284</t>
  </si>
  <si>
    <t>薛心茵</t>
  </si>
  <si>
    <t>#20210610082121849</t>
  </si>
  <si>
    <t>PH77777355</t>
  </si>
  <si>
    <t>台灣桃園市中壢區新興北街9號</t>
  </si>
  <si>
    <t>0986282415</t>
  </si>
  <si>
    <t>龔羽潔</t>
  </si>
  <si>
    <t>#20210610075214501</t>
  </si>
  <si>
    <t>PH77777354</t>
  </si>
  <si>
    <t>台灣新北市蘆洲區信義路222巷39號1樓</t>
  </si>
  <si>
    <t>0916368913</t>
  </si>
  <si>
    <t>賴莉蓉</t>
  </si>
  <si>
    <t>#20210610065715006</t>
  </si>
  <si>
    <t>PH77777513</t>
  </si>
  <si>
    <t>F003473</t>
  </si>
  <si>
    <t>全家台中館東店</t>
  </si>
  <si>
    <t>0952268240</t>
  </si>
  <si>
    <t>賴儀真</t>
  </si>
  <si>
    <t>#20210610055754280</t>
  </si>
  <si>
    <t>PH77777353</t>
  </si>
  <si>
    <t>台灣新竹縣關西鎮中央街102號</t>
  </si>
  <si>
    <t>306</t>
  </si>
  <si>
    <t>0919439725</t>
  </si>
  <si>
    <t>李珍瑩</t>
  </si>
  <si>
    <t>#20210610002854979</t>
  </si>
  <si>
    <t>PH77777352</t>
  </si>
  <si>
    <t>2021/06/09</t>
  </si>
  <si>
    <t>台灣高雄市三民區鼎力路66號8樓之9</t>
  </si>
  <si>
    <t>0985540465</t>
  </si>
  <si>
    <t>鍾佳蓉</t>
  </si>
  <si>
    <t>#20210609152938567</t>
  </si>
  <si>
    <t>台灣彰化縣福興鄉大崙村大崙街1-36號</t>
  </si>
  <si>
    <t>0980338914</t>
  </si>
  <si>
    <t>邵顗蓁</t>
  </si>
  <si>
    <t>#20210609070732127</t>
  </si>
  <si>
    <t>PH77777351</t>
  </si>
  <si>
    <t>197227</t>
  </si>
  <si>
    <t>瓏山林門市</t>
  </si>
  <si>
    <t>0915374019</t>
  </si>
  <si>
    <t>潘欣怡</t>
  </si>
  <si>
    <t>#20210609020104729</t>
  </si>
  <si>
    <t>PH77777679</t>
  </si>
  <si>
    <t>951313</t>
  </si>
  <si>
    <t>福勝門市</t>
  </si>
  <si>
    <t>0931344631</t>
  </si>
  <si>
    <t>陳碧雲</t>
  </si>
  <si>
    <t>#20210608070910371</t>
  </si>
  <si>
    <t>PH77777394</t>
  </si>
  <si>
    <t>162014</t>
  </si>
  <si>
    <t>新康華門市</t>
  </si>
  <si>
    <t>0920609910</t>
  </si>
  <si>
    <t>胡世儀</t>
  </si>
  <si>
    <t>#20210607064643502</t>
  </si>
  <si>
    <t>PH77777424</t>
  </si>
  <si>
    <t>165459</t>
  </si>
  <si>
    <t>芬園門市</t>
  </si>
  <si>
    <t>0935838338</t>
  </si>
  <si>
    <t>黃尹訢</t>
  </si>
  <si>
    <t>#20210607061915406</t>
  </si>
  <si>
    <t>【開幕組合限定】果凍6入</t>
  </si>
  <si>
    <t>PH77777472</t>
  </si>
  <si>
    <t>990662</t>
  </si>
  <si>
    <t>興仁門市</t>
  </si>
  <si>
    <t>【開幕組合限定】軟糖3入+果凍3入$799</t>
  </si>
  <si>
    <t>0955599032</t>
  </si>
  <si>
    <t>游捷芳</t>
  </si>
  <si>
    <t>#20210607045824769</t>
  </si>
  <si>
    <t>PH77777350</t>
  </si>
  <si>
    <t>2021/06/06</t>
  </si>
  <si>
    <t>台灣桃園市龜山區中興路196巷3號8樓</t>
  </si>
  <si>
    <t>0987828820</t>
  </si>
  <si>
    <t>蘇于婷</t>
  </si>
  <si>
    <t>#20210606074326283</t>
  </si>
  <si>
    <t>PH77777365</t>
  </si>
  <si>
    <t>130811</t>
  </si>
  <si>
    <t>台火門市</t>
  </si>
  <si>
    <t>0918577179</t>
  </si>
  <si>
    <t>董雅仙</t>
  </si>
  <si>
    <t>#20210605062238669</t>
  </si>
  <si>
    <t>PH77777396</t>
  </si>
  <si>
    <t>970624</t>
  </si>
  <si>
    <t>龍侑門市</t>
  </si>
  <si>
    <t>0981928286</t>
  </si>
  <si>
    <t>王思婷</t>
  </si>
  <si>
    <t>#20210604064955687</t>
  </si>
  <si>
    <t>台灣台北市中山區中山北路一段53巷20號2樓</t>
  </si>
  <si>
    <t>0954096976</t>
  </si>
  <si>
    <t>洪詩俞🐟Emily</t>
  </si>
  <si>
    <t>#20210604055216513</t>
  </si>
  <si>
    <t>管理員備註</t>
  </si>
  <si>
    <t>出貨備註</t>
  </si>
  <si>
    <t>發票作廢日期</t>
  </si>
  <si>
    <t>發票狀態</t>
  </si>
  <si>
    <t>發票聯式</t>
  </si>
  <si>
    <t>發票開立日期</t>
  </si>
  <si>
    <t>發票稅別</t>
  </si>
  <si>
    <t>發票類型</t>
  </si>
  <si>
    <t>全家服務編號 / 7-11 店號</t>
  </si>
  <si>
    <t>完整地址</t>
  </si>
  <si>
    <t>郵政編號（如適用)</t>
  </si>
  <si>
    <t>送貨方式</t>
  </si>
  <si>
    <t>貨幣</t>
  </si>
  <si>
    <t>訂單合計</t>
  </si>
  <si>
    <t>付款狀態</t>
  </si>
  <si>
    <t>點數折現</t>
  </si>
  <si>
    <t>附加費</t>
  </si>
  <si>
    <t>付款總金額</t>
  </si>
  <si>
    <t>已退款金額</t>
  </si>
  <si>
    <t>折抵購物金</t>
  </si>
  <si>
    <t>優惠折扣</t>
  </si>
  <si>
    <t>訂單小計</t>
  </si>
  <si>
    <t>商品結帳價</t>
  </si>
  <si>
    <t>商品原價</t>
  </si>
  <si>
    <t>商品名稱</t>
  </si>
  <si>
    <t>商品貨號</t>
  </si>
  <si>
    <t>收件人電話號碼</t>
  </si>
  <si>
    <t>收件人</t>
  </si>
  <si>
    <t>送貨狀態</t>
  </si>
  <si>
    <t>訂單日期</t>
  </si>
  <si>
    <t>訂單號碼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</si>
</sst>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#,##0.0000"/>
    <numFmt numFmtId="166" formatCode="yyyy/mm/dd"/>
  </numFmts>
  <fonts count="19">
    <font>
      <sz val="11"/>
      <color rgb="FF000000"/>
      <name val="Calibri"/>
    </font>
    <font>
      <sz val="9"/>
      <name val="細明體"/>
      <family val="3"/>
      <charset val="136"/>
    </font>
    <font>
      <sz val="11"/>
      <color rgb="FF000000"/>
      <name val="細明體"/>
      <family val="3"/>
      <charset val="136"/>
    </font>
    <font>
      <sz val="11"/>
      <color rgb="FF000000"/>
      <name val="Calibri"/>
      <family val="2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PMingLiU"/>
      <family val="1"/>
      <charset val="136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&quot;Microsoft JhengHei&quot;"/>
    </font>
    <font>
      <sz val="10"/>
      <color rgb="FF000000"/>
      <name val="Microsoft JhengHei"/>
      <family val="2"/>
      <charset val="136"/>
    </font>
    <font>
      <sz val="12"/>
      <name val="PMingLiu"/>
      <family val="1"/>
      <charset val="136"/>
    </font>
    <font>
      <sz val="12"/>
      <name val="Calibri"/>
      <family val="2"/>
    </font>
    <font>
      <sz val="12"/>
      <color theme="1"/>
      <name val="Calibri"/>
      <family val="1"/>
      <charset val="136"/>
      <scheme val="minor"/>
    </font>
    <font>
      <sz val="6"/>
      <color theme="1"/>
      <name val="細明體"/>
      <family val="3"/>
      <charset val="136"/>
    </font>
    <font>
      <sz val="9.75"/>
      <color theme="1"/>
      <name val="細明體"/>
      <family val="3"/>
      <charset val="136"/>
    </font>
    <font>
      <sz val="12"/>
      <color theme="1"/>
      <name val="Calibri"/>
      <family val="2"/>
      <charset val="136"/>
      <scheme val="minor"/>
    </font>
    <font>
      <sz val="14"/>
      <color theme="1"/>
      <name val="細明體"/>
      <family val="3"/>
      <charset val="136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13" fillId="0" borderId="0">
      <alignment vertical="center"/>
    </xf>
    <xf numFmtId="0" fontId="16" fillId="0" borderId="0">
      <alignment vertical="center"/>
    </xf>
    <xf numFmtId="0" fontId="3" fillId="0" borderId="0"/>
    <xf numFmtId="0" fontId="3" fillId="0" borderId="0"/>
    <xf numFmtId="0" fontId="18" fillId="0" borderId="0" applyBorder="0">
      <protection locked="0"/>
    </xf>
  </cellStyleXfs>
  <cellXfs count="59">
    <xf numFmtId="0" fontId="0" fillId="0" borderId="0" xfId="0"/>
    <xf numFmtId="1" fontId="0" fillId="0" borderId="0" xfId="0" applyNumberFormat="1"/>
    <xf numFmtId="0" fontId="2" fillId="0" borderId="0" xfId="0" applyFont="1"/>
    <xf numFmtId="0" fontId="6" fillId="0" borderId="0" xfId="1" applyAlignment="1">
      <alignment vertical="center"/>
    </xf>
    <xf numFmtId="164" fontId="6" fillId="0" borderId="0" xfId="1" applyNumberFormat="1" applyAlignment="1">
      <alignment vertical="center"/>
    </xf>
    <xf numFmtId="10" fontId="7" fillId="0" borderId="0" xfId="1" applyNumberFormat="1" applyFont="1" applyAlignment="1">
      <alignment vertical="center"/>
    </xf>
    <xf numFmtId="164" fontId="7" fillId="0" borderId="0" xfId="1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10" fontId="8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vertical="center"/>
    </xf>
    <xf numFmtId="164" fontId="8" fillId="0" borderId="0" xfId="1" applyNumberFormat="1" applyFont="1" applyAlignment="1">
      <alignment horizontal="left"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10" fontId="7" fillId="0" borderId="0" xfId="1" applyNumberFormat="1" applyFont="1" applyAlignment="1">
      <alignment horizontal="right" vertical="center"/>
    </xf>
    <xf numFmtId="0" fontId="8" fillId="0" borderId="0" xfId="1" applyFont="1"/>
    <xf numFmtId="164" fontId="7" fillId="0" borderId="0" xfId="1" applyNumberFormat="1" applyFont="1" applyAlignment="1">
      <alignment horizontal="left"/>
    </xf>
    <xf numFmtId="0" fontId="7" fillId="0" borderId="0" xfId="1" applyFont="1" applyAlignment="1">
      <alignment horizontal="right" vertical="center"/>
    </xf>
    <xf numFmtId="0" fontId="7" fillId="0" borderId="0" xfId="1" applyFont="1"/>
    <xf numFmtId="164" fontId="7" fillId="0" borderId="0" xfId="1" applyNumberFormat="1" applyFont="1"/>
    <xf numFmtId="10" fontId="8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horizontal="right" vertical="center"/>
    </xf>
    <xf numFmtId="164" fontId="7" fillId="0" borderId="0" xfId="1" applyNumberFormat="1" applyFont="1" applyAlignment="1">
      <alignment vertical="center"/>
    </xf>
    <xf numFmtId="0" fontId="9" fillId="0" borderId="0" xfId="1" applyFont="1"/>
    <xf numFmtId="164" fontId="10" fillId="0" borderId="0" xfId="1" applyNumberFormat="1" applyFont="1" applyAlignment="1">
      <alignment vertical="center"/>
    </xf>
    <xf numFmtId="0" fontId="7" fillId="0" borderId="1" xfId="1" applyFont="1" applyBorder="1" applyAlignment="1">
      <alignment vertical="center"/>
    </xf>
    <xf numFmtId="0" fontId="8" fillId="0" borderId="1" xfId="1" applyFon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right" vertical="center"/>
    </xf>
    <xf numFmtId="0" fontId="12" fillId="0" borderId="0" xfId="1" applyFont="1" applyAlignment="1">
      <alignment vertical="center"/>
    </xf>
    <xf numFmtId="164" fontId="12" fillId="0" borderId="0" xfId="1" applyNumberFormat="1" applyFont="1" applyAlignment="1">
      <alignment vertical="center"/>
    </xf>
    <xf numFmtId="0" fontId="13" fillId="0" borderId="0" xfId="2">
      <alignment vertical="center"/>
    </xf>
    <xf numFmtId="165" fontId="13" fillId="0" borderId="0" xfId="2" applyNumberFormat="1" applyAlignment="1">
      <alignment horizontal="right" vertical="center"/>
    </xf>
    <xf numFmtId="49" fontId="13" fillId="0" borderId="0" xfId="2" applyNumberFormat="1" applyAlignment="1">
      <alignment horizontal="left" vertical="center"/>
    </xf>
    <xf numFmtId="165" fontId="13" fillId="0" borderId="2" xfId="2" applyNumberFormat="1" applyBorder="1" applyAlignment="1">
      <alignment horizontal="right" vertical="center"/>
    </xf>
    <xf numFmtId="49" fontId="13" fillId="0" borderId="2" xfId="2" applyNumberFormat="1" applyBorder="1" applyAlignment="1">
      <alignment horizontal="left" vertical="center"/>
    </xf>
    <xf numFmtId="165" fontId="14" fillId="0" borderId="2" xfId="2" applyNumberFormat="1" applyFont="1" applyBorder="1" applyAlignment="1">
      <alignment horizontal="right" vertical="center"/>
    </xf>
    <xf numFmtId="49" fontId="14" fillId="0" borderId="2" xfId="2" applyNumberFormat="1" applyFont="1" applyBorder="1" applyAlignment="1">
      <alignment horizontal="left" vertical="center"/>
    </xf>
    <xf numFmtId="165" fontId="14" fillId="0" borderId="0" xfId="2" applyNumberFormat="1" applyFont="1" applyAlignment="1">
      <alignment horizontal="right" vertical="center"/>
    </xf>
    <xf numFmtId="49" fontId="14" fillId="0" borderId="0" xfId="2" applyNumberFormat="1" applyFont="1" applyAlignment="1">
      <alignment horizontal="left" vertical="center"/>
    </xf>
    <xf numFmtId="49" fontId="14" fillId="0" borderId="3" xfId="2" applyNumberFormat="1" applyFont="1" applyBorder="1" applyAlignment="1">
      <alignment horizontal="right" vertical="center"/>
    </xf>
    <xf numFmtId="49" fontId="14" fillId="0" borderId="3" xfId="2" applyNumberFormat="1" applyFont="1" applyBorder="1" applyAlignment="1">
      <alignment horizontal="left" vertical="center"/>
    </xf>
    <xf numFmtId="49" fontId="14" fillId="0" borderId="0" xfId="2" applyNumberFormat="1" applyFont="1" applyAlignment="1">
      <alignment horizontal="left" vertical="center"/>
    </xf>
    <xf numFmtId="0" fontId="13" fillId="0" borderId="0" xfId="2" applyAlignment="1">
      <alignment horizontal="center" vertical="center" shrinkToFit="1"/>
    </xf>
    <xf numFmtId="49" fontId="15" fillId="0" borderId="0" xfId="2" applyNumberFormat="1" applyFont="1" applyAlignment="1">
      <alignment horizontal="center" vertical="center" shrinkToFit="1"/>
    </xf>
    <xf numFmtId="0" fontId="16" fillId="0" borderId="0" xfId="3">
      <alignment vertical="center"/>
    </xf>
    <xf numFmtId="12" fontId="16" fillId="0" borderId="0" xfId="3" applyNumberFormat="1" applyAlignment="1">
      <alignment horizontal="left" vertical="center"/>
    </xf>
    <xf numFmtId="12" fontId="16" fillId="0" borderId="0" xfId="3" applyNumberFormat="1">
      <alignment vertical="center"/>
    </xf>
    <xf numFmtId="14" fontId="16" fillId="0" borderId="0" xfId="3" applyNumberFormat="1">
      <alignment vertical="center"/>
    </xf>
    <xf numFmtId="0" fontId="3" fillId="0" borderId="0" xfId="4"/>
    <xf numFmtId="0" fontId="3" fillId="0" borderId="0" xfId="5"/>
    <xf numFmtId="0" fontId="16" fillId="0" borderId="0" xfId="3" applyAlignment="1"/>
    <xf numFmtId="49" fontId="17" fillId="0" borderId="0" xfId="3" applyNumberFormat="1" applyFont="1" applyAlignment="1">
      <alignment horizontal="left" vertical="center"/>
    </xf>
    <xf numFmtId="0" fontId="16" fillId="2" borderId="0" xfId="3" applyFill="1">
      <alignment vertical="center"/>
    </xf>
    <xf numFmtId="12" fontId="16" fillId="2" borderId="0" xfId="3" applyNumberFormat="1" applyFill="1" applyAlignment="1">
      <alignment horizontal="left" vertical="center"/>
    </xf>
    <xf numFmtId="0" fontId="18" fillId="0" borderId="0" xfId="6" applyBorder="1">
      <protection locked="0"/>
    </xf>
    <xf numFmtId="166" fontId="18" fillId="0" borderId="0" xfId="6" applyNumberFormat="1" applyBorder="1">
      <protection locked="0"/>
    </xf>
    <xf numFmtId="0" fontId="18" fillId="0" borderId="0" xfId="6" applyBorder="1" applyAlignment="1">
      <alignment wrapText="1"/>
      <protection locked="0"/>
    </xf>
  </cellXfs>
  <cellStyles count="7">
    <cellStyle name="Normal" xfId="0" builtinId="0"/>
    <cellStyle name="Normal 2" xfId="1" xr:uid="{5BF0E6C8-E4CA-074C-87F1-8881AF32CFB6}"/>
    <cellStyle name="Normal 3" xfId="2" xr:uid="{FE2B5BE6-A021-DD43-8D93-3F61D9174DCE}"/>
    <cellStyle name="Normal 4" xfId="3" xr:uid="{1DCD0CC2-DDD6-5244-BB9C-5A4B37DD3E39}"/>
    <cellStyle name="Normal 5" xfId="6" xr:uid="{897665FE-AA95-A94C-836F-96AAB1FD0836}"/>
    <cellStyle name="一般 2" xfId="5" xr:uid="{9D594768-7738-D74F-ACF7-25EE576E9218}"/>
    <cellStyle name="一般 3" xfId="4" xr:uid="{63140748-F4D3-B541-AC76-DBD00F136F6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LYPWIN5X\strPicName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06400"/>
    <xdr:pic>
      <xdr:nvPicPr>
        <xdr:cNvPr id="2" name="圖片 2">
          <a:extLst>
            <a:ext uri="{FF2B5EF4-FFF2-40B4-BE49-F238E27FC236}">
              <a16:creationId xmlns:a16="http://schemas.microsoft.com/office/drawing/2014/main" id="{C5FF4FC8-8D20-C648-9CAB-5FC9058C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91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496"/>
  <sheetViews>
    <sheetView topLeftCell="F1" zoomScale="176" workbookViewId="0">
      <selection activeCell="C7" sqref="C7:C11"/>
    </sheetView>
  </sheetViews>
  <sheetFormatPr baseColWidth="10" defaultColWidth="8.83203125" defaultRowHeight="15"/>
  <cols>
    <col min="1" max="1" width="23.5" bestFit="1" customWidth="1"/>
    <col min="2" max="2" width="20" bestFit="1" customWidth="1"/>
    <col min="3" max="3" width="11.6640625" bestFit="1" customWidth="1"/>
    <col min="4" max="4" width="12.83203125" bestFit="1" customWidth="1"/>
    <col min="5" max="5" width="18.6640625" bestFit="1" customWidth="1"/>
    <col min="6" max="6" width="47.1640625" bestFit="1" customWidth="1"/>
    <col min="7" max="7" width="36.5" bestFit="1" customWidth="1"/>
    <col min="8" max="8" width="21.5" customWidth="1"/>
    <col min="9" max="9" width="8.1640625" bestFit="1" customWidth="1"/>
    <col min="10" max="10" width="5.83203125" bestFit="1" customWidth="1"/>
    <col min="11" max="11" width="3.5" bestFit="1" customWidth="1"/>
    <col min="12" max="12" width="7" bestFit="1" customWidth="1"/>
    <col min="13" max="13" width="5.83203125" bestFit="1" customWidth="1"/>
    <col min="14" max="14" width="16.5" bestFit="1" customWidth="1"/>
    <col min="15" max="15" width="20" bestFit="1" customWidth="1"/>
    <col min="16" max="16" width="5.83203125" bestFit="1" customWidth="1"/>
    <col min="17" max="17" width="3.5" bestFit="1" customWidth="1"/>
    <col min="18" max="18" width="5.83203125" bestFit="1" customWidth="1"/>
    <col min="19" max="19" width="10.5" bestFit="1" customWidth="1"/>
    <col min="20" max="20" width="8.6640625" customWidth="1"/>
    <col min="21" max="21" width="15.5" customWidth="1"/>
    <col min="22" max="25" width="10.5" bestFit="1" customWidth="1"/>
    <col min="26" max="26" width="30.5" bestFit="1" customWidth="1"/>
    <col min="27" max="27" width="21.1640625" bestFit="1" customWidth="1"/>
    <col min="28" max="28" width="8.1640625" bestFit="1" customWidth="1"/>
    <col min="29" max="30" width="5.83203125" bestFit="1" customWidth="1"/>
    <col min="34" max="37" width="9.1640625" style="1" bestFit="1"/>
  </cols>
  <sheetData>
    <row r="1" spans="1:37" ht="15" customHeight="1">
      <c r="A1" t="s">
        <v>0</v>
      </c>
      <c r="B1" t="s">
        <v>1</v>
      </c>
      <c r="C1" t="s">
        <v>180</v>
      </c>
      <c r="D1" t="s">
        <v>181</v>
      </c>
      <c r="E1" t="s">
        <v>2</v>
      </c>
      <c r="F1" t="s">
        <v>3</v>
      </c>
      <c r="G1" s="2" t="s">
        <v>182</v>
      </c>
      <c r="H1" s="1" t="s">
        <v>183</v>
      </c>
      <c r="I1" t="s">
        <v>184</v>
      </c>
      <c r="J1" t="s">
        <v>4</v>
      </c>
      <c r="K1" t="s">
        <v>5</v>
      </c>
      <c r="L1" t="s">
        <v>6</v>
      </c>
      <c r="M1" t="s">
        <v>7</v>
      </c>
      <c r="N1" t="s">
        <v>185</v>
      </c>
      <c r="O1" t="s">
        <v>8</v>
      </c>
      <c r="P1" t="s">
        <v>9</v>
      </c>
      <c r="Q1" t="s">
        <v>10</v>
      </c>
      <c r="R1" t="s">
        <v>186</v>
      </c>
      <c r="S1" t="s">
        <v>11</v>
      </c>
      <c r="T1" t="s">
        <v>12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13</v>
      </c>
      <c r="AB1" t="s">
        <v>193</v>
      </c>
      <c r="AG1" s="1"/>
      <c r="AK1"/>
    </row>
    <row r="2" spans="1:37">
      <c r="A2" t="s">
        <v>629</v>
      </c>
      <c r="B2" t="s">
        <v>630</v>
      </c>
      <c r="C2" t="s">
        <v>631</v>
      </c>
      <c r="D2" t="s">
        <v>632</v>
      </c>
      <c r="E2" t="s">
        <v>55</v>
      </c>
      <c r="F2" t="s">
        <v>56</v>
      </c>
      <c r="G2" t="s">
        <v>254</v>
      </c>
      <c r="H2" t="s">
        <v>255</v>
      </c>
      <c r="I2">
        <v>1</v>
      </c>
      <c r="J2">
        <v>450</v>
      </c>
      <c r="K2">
        <v>65</v>
      </c>
      <c r="L2">
        <v>0</v>
      </c>
      <c r="M2">
        <v>515</v>
      </c>
      <c r="N2" t="s">
        <v>633</v>
      </c>
      <c r="O2" t="s">
        <v>634</v>
      </c>
      <c r="Q2" t="s">
        <v>24</v>
      </c>
      <c r="T2" t="s">
        <v>635</v>
      </c>
      <c r="V2">
        <v>210993</v>
      </c>
      <c r="W2" t="s">
        <v>636</v>
      </c>
      <c r="X2" t="s">
        <v>637</v>
      </c>
      <c r="AC2" t="s">
        <v>27</v>
      </c>
    </row>
    <row r="3" spans="1:37">
      <c r="A3" t="s">
        <v>638</v>
      </c>
      <c r="B3" t="s">
        <v>639</v>
      </c>
      <c r="C3" t="s">
        <v>640</v>
      </c>
      <c r="D3" t="s">
        <v>641</v>
      </c>
      <c r="E3" t="s">
        <v>61</v>
      </c>
      <c r="F3" t="s">
        <v>62</v>
      </c>
      <c r="G3" t="s">
        <v>178</v>
      </c>
      <c r="H3" t="s">
        <v>179</v>
      </c>
      <c r="I3">
        <v>1</v>
      </c>
      <c r="J3">
        <v>399</v>
      </c>
      <c r="K3">
        <v>65</v>
      </c>
      <c r="L3">
        <v>0</v>
      </c>
      <c r="M3">
        <v>464</v>
      </c>
      <c r="N3" t="s">
        <v>633</v>
      </c>
      <c r="O3" t="s">
        <v>634</v>
      </c>
      <c r="Q3" t="s">
        <v>24</v>
      </c>
      <c r="T3" t="s">
        <v>635</v>
      </c>
      <c r="V3">
        <v>195885</v>
      </c>
      <c r="W3" t="s">
        <v>642</v>
      </c>
      <c r="X3" t="s">
        <v>643</v>
      </c>
      <c r="AC3" t="s">
        <v>27</v>
      </c>
    </row>
    <row r="4" spans="1:37">
      <c r="A4" t="s">
        <v>644</v>
      </c>
      <c r="B4" t="s">
        <v>645</v>
      </c>
      <c r="C4" t="s">
        <v>646</v>
      </c>
      <c r="D4" t="s">
        <v>647</v>
      </c>
      <c r="E4" t="s">
        <v>55</v>
      </c>
      <c r="F4" t="s">
        <v>56</v>
      </c>
      <c r="G4" t="s">
        <v>254</v>
      </c>
      <c r="H4" t="s">
        <v>255</v>
      </c>
      <c r="I4">
        <v>1</v>
      </c>
      <c r="J4">
        <v>450</v>
      </c>
      <c r="K4">
        <v>65</v>
      </c>
      <c r="L4">
        <v>0</v>
      </c>
      <c r="M4">
        <v>515</v>
      </c>
      <c r="N4" t="s">
        <v>633</v>
      </c>
      <c r="O4" t="s">
        <v>634</v>
      </c>
      <c r="Q4" t="s">
        <v>24</v>
      </c>
      <c r="T4" t="s">
        <v>635</v>
      </c>
      <c r="V4">
        <v>162966</v>
      </c>
      <c r="W4" t="s">
        <v>648</v>
      </c>
      <c r="X4" t="s">
        <v>649</v>
      </c>
      <c r="AC4" t="s">
        <v>27</v>
      </c>
    </row>
    <row r="5" spans="1:37">
      <c r="A5" t="s">
        <v>650</v>
      </c>
      <c r="B5" t="s">
        <v>651</v>
      </c>
      <c r="C5" t="s">
        <v>652</v>
      </c>
      <c r="D5" t="s">
        <v>653</v>
      </c>
      <c r="E5" t="s">
        <v>61</v>
      </c>
      <c r="F5" t="s">
        <v>62</v>
      </c>
      <c r="G5" t="s">
        <v>84</v>
      </c>
      <c r="H5" t="s">
        <v>85</v>
      </c>
      <c r="I5">
        <v>1</v>
      </c>
      <c r="J5">
        <v>399</v>
      </c>
      <c r="K5">
        <v>0</v>
      </c>
      <c r="L5">
        <v>0</v>
      </c>
      <c r="M5">
        <v>879</v>
      </c>
      <c r="N5" t="s">
        <v>633</v>
      </c>
      <c r="O5" t="s">
        <v>634</v>
      </c>
      <c r="Q5" t="s">
        <v>24</v>
      </c>
      <c r="T5" t="s">
        <v>635</v>
      </c>
      <c r="V5">
        <v>209041</v>
      </c>
      <c r="W5" t="s">
        <v>654</v>
      </c>
      <c r="X5" t="s">
        <v>655</v>
      </c>
      <c r="AC5" t="s">
        <v>27</v>
      </c>
    </row>
    <row r="6" spans="1:37">
      <c r="A6" t="s">
        <v>650</v>
      </c>
      <c r="B6" t="s">
        <v>651</v>
      </c>
      <c r="C6" t="s">
        <v>652</v>
      </c>
      <c r="D6" t="s">
        <v>653</v>
      </c>
      <c r="E6" t="s">
        <v>375</v>
      </c>
      <c r="F6" t="s">
        <v>376</v>
      </c>
      <c r="G6" t="s">
        <v>656</v>
      </c>
      <c r="H6" t="s">
        <v>657</v>
      </c>
      <c r="I6">
        <v>1</v>
      </c>
      <c r="J6">
        <v>480</v>
      </c>
      <c r="K6">
        <v>0</v>
      </c>
      <c r="L6">
        <v>0</v>
      </c>
      <c r="M6">
        <v>879</v>
      </c>
      <c r="N6" t="s">
        <v>633</v>
      </c>
      <c r="O6" t="s">
        <v>634</v>
      </c>
      <c r="Q6" t="s">
        <v>24</v>
      </c>
      <c r="T6" t="s">
        <v>635</v>
      </c>
      <c r="V6">
        <v>209041</v>
      </c>
      <c r="W6" t="s">
        <v>654</v>
      </c>
      <c r="X6" t="s">
        <v>655</v>
      </c>
      <c r="AC6" t="s">
        <v>27</v>
      </c>
    </row>
    <row r="7" spans="1:37">
      <c r="A7" t="s">
        <v>658</v>
      </c>
      <c r="B7" t="s">
        <v>659</v>
      </c>
      <c r="C7" t="s">
        <v>660</v>
      </c>
      <c r="D7" t="s">
        <v>661</v>
      </c>
      <c r="E7" t="s">
        <v>55</v>
      </c>
      <c r="F7" t="s">
        <v>56</v>
      </c>
      <c r="G7" t="s">
        <v>97</v>
      </c>
      <c r="H7" t="s">
        <v>98</v>
      </c>
      <c r="I7">
        <v>1</v>
      </c>
      <c r="J7">
        <v>450</v>
      </c>
      <c r="K7">
        <v>0</v>
      </c>
      <c r="L7">
        <v>0</v>
      </c>
      <c r="M7">
        <v>1139</v>
      </c>
      <c r="N7" t="s">
        <v>633</v>
      </c>
      <c r="O7" t="s">
        <v>59</v>
      </c>
      <c r="Q7" t="s">
        <v>24</v>
      </c>
      <c r="T7" t="s">
        <v>635</v>
      </c>
      <c r="V7">
        <v>991517</v>
      </c>
      <c r="W7" t="s">
        <v>662</v>
      </c>
      <c r="X7" t="s">
        <v>663</v>
      </c>
      <c r="AC7" t="s">
        <v>42</v>
      </c>
    </row>
    <row r="8" spans="1:37">
      <c r="A8" t="s">
        <v>658</v>
      </c>
      <c r="B8" t="s">
        <v>659</v>
      </c>
      <c r="C8" t="s">
        <v>660</v>
      </c>
      <c r="D8" t="s">
        <v>661</v>
      </c>
      <c r="E8" t="s">
        <v>664</v>
      </c>
      <c r="F8" t="s">
        <v>665</v>
      </c>
      <c r="G8" t="s">
        <v>666</v>
      </c>
      <c r="H8">
        <v>4714781020824</v>
      </c>
      <c r="I8">
        <v>1</v>
      </c>
      <c r="J8">
        <v>350</v>
      </c>
      <c r="K8">
        <v>0</v>
      </c>
      <c r="L8">
        <v>0</v>
      </c>
      <c r="M8">
        <v>1139</v>
      </c>
      <c r="N8" t="s">
        <v>633</v>
      </c>
      <c r="O8" t="s">
        <v>59</v>
      </c>
      <c r="Q8" t="s">
        <v>24</v>
      </c>
      <c r="T8" t="s">
        <v>635</v>
      </c>
      <c r="V8">
        <v>991517</v>
      </c>
      <c r="W8" t="s">
        <v>662</v>
      </c>
      <c r="X8" t="s">
        <v>663</v>
      </c>
      <c r="AC8" t="s">
        <v>42</v>
      </c>
    </row>
    <row r="9" spans="1:37">
      <c r="A9" t="s">
        <v>658</v>
      </c>
      <c r="B9" t="s">
        <v>659</v>
      </c>
      <c r="C9" t="s">
        <v>660</v>
      </c>
      <c r="D9" t="s">
        <v>661</v>
      </c>
      <c r="E9" t="s">
        <v>61</v>
      </c>
      <c r="F9" t="s">
        <v>62</v>
      </c>
      <c r="G9" t="s">
        <v>293</v>
      </c>
      <c r="H9" t="s">
        <v>667</v>
      </c>
      <c r="I9">
        <v>1</v>
      </c>
      <c r="J9">
        <v>399</v>
      </c>
      <c r="K9">
        <v>0</v>
      </c>
      <c r="L9">
        <v>0</v>
      </c>
      <c r="M9">
        <v>1139</v>
      </c>
      <c r="N9" t="s">
        <v>633</v>
      </c>
      <c r="O9" t="s">
        <v>59</v>
      </c>
      <c r="Q9" t="s">
        <v>24</v>
      </c>
      <c r="T9" t="s">
        <v>635</v>
      </c>
      <c r="V9">
        <v>991517</v>
      </c>
      <c r="W9" t="s">
        <v>662</v>
      </c>
      <c r="X9" t="s">
        <v>663</v>
      </c>
      <c r="AC9" t="s">
        <v>42</v>
      </c>
    </row>
    <row r="10" spans="1:37">
      <c r="A10" t="s">
        <v>658</v>
      </c>
      <c r="B10" t="s">
        <v>659</v>
      </c>
      <c r="C10" t="s">
        <v>660</v>
      </c>
      <c r="D10" t="s">
        <v>661</v>
      </c>
      <c r="E10" t="s">
        <v>45</v>
      </c>
      <c r="F10" t="s">
        <v>46</v>
      </c>
      <c r="G10" t="s">
        <v>47</v>
      </c>
      <c r="I10">
        <v>1</v>
      </c>
      <c r="J10">
        <v>-60</v>
      </c>
      <c r="K10">
        <v>0</v>
      </c>
      <c r="L10">
        <v>0</v>
      </c>
      <c r="M10">
        <v>1139</v>
      </c>
      <c r="N10" t="s">
        <v>633</v>
      </c>
      <c r="O10" t="s">
        <v>59</v>
      </c>
      <c r="Q10" t="s">
        <v>24</v>
      </c>
      <c r="T10" t="s">
        <v>635</v>
      </c>
      <c r="V10">
        <v>991517</v>
      </c>
      <c r="W10" t="s">
        <v>662</v>
      </c>
      <c r="X10" t="s">
        <v>663</v>
      </c>
      <c r="AC10" t="s">
        <v>42</v>
      </c>
    </row>
    <row r="11" spans="1:37">
      <c r="A11" t="s">
        <v>658</v>
      </c>
      <c r="B11" t="s">
        <v>659</v>
      </c>
      <c r="C11" t="s">
        <v>660</v>
      </c>
      <c r="D11" t="s">
        <v>661</v>
      </c>
      <c r="E11" t="s">
        <v>48</v>
      </c>
      <c r="F11" t="s">
        <v>49</v>
      </c>
      <c r="G11" t="s">
        <v>50</v>
      </c>
      <c r="I11">
        <v>1</v>
      </c>
      <c r="J11">
        <v>60</v>
      </c>
      <c r="K11">
        <v>0</v>
      </c>
      <c r="L11">
        <v>0</v>
      </c>
      <c r="M11">
        <v>1139</v>
      </c>
      <c r="N11" t="s">
        <v>633</v>
      </c>
      <c r="O11" t="s">
        <v>59</v>
      </c>
      <c r="Q11" t="s">
        <v>24</v>
      </c>
      <c r="T11" t="s">
        <v>635</v>
      </c>
      <c r="V11">
        <v>991517</v>
      </c>
      <c r="W11" t="s">
        <v>662</v>
      </c>
      <c r="X11" t="s">
        <v>663</v>
      </c>
      <c r="AC11" t="s">
        <v>42</v>
      </c>
    </row>
    <row r="12" spans="1:37">
      <c r="A12" t="s">
        <v>668</v>
      </c>
      <c r="B12" t="s">
        <v>669</v>
      </c>
      <c r="C12" t="s">
        <v>670</v>
      </c>
      <c r="D12" t="s">
        <v>671</v>
      </c>
      <c r="E12" t="s">
        <v>375</v>
      </c>
      <c r="F12" t="s">
        <v>376</v>
      </c>
      <c r="G12" t="s">
        <v>672</v>
      </c>
      <c r="H12" t="s">
        <v>673</v>
      </c>
      <c r="I12">
        <v>1</v>
      </c>
      <c r="J12">
        <v>480</v>
      </c>
      <c r="K12">
        <v>0</v>
      </c>
      <c r="L12">
        <v>0</v>
      </c>
      <c r="M12">
        <v>969</v>
      </c>
      <c r="N12" t="s">
        <v>633</v>
      </c>
      <c r="O12" t="s">
        <v>634</v>
      </c>
      <c r="Q12" t="s">
        <v>24</v>
      </c>
      <c r="T12" t="s">
        <v>635</v>
      </c>
      <c r="V12">
        <v>217101</v>
      </c>
      <c r="W12" t="s">
        <v>674</v>
      </c>
      <c r="X12" t="s">
        <v>675</v>
      </c>
      <c r="AC12" t="s">
        <v>27</v>
      </c>
    </row>
    <row r="13" spans="1:37">
      <c r="A13" t="s">
        <v>668</v>
      </c>
      <c r="B13" t="s">
        <v>669</v>
      </c>
      <c r="C13" t="s">
        <v>670</v>
      </c>
      <c r="D13" t="s">
        <v>671</v>
      </c>
      <c r="E13" t="s">
        <v>154</v>
      </c>
      <c r="F13" t="s">
        <v>155</v>
      </c>
      <c r="G13" t="s">
        <v>156</v>
      </c>
      <c r="H13">
        <v>4714781020510</v>
      </c>
      <c r="I13">
        <v>1</v>
      </c>
      <c r="J13">
        <v>260</v>
      </c>
      <c r="K13">
        <v>0</v>
      </c>
      <c r="L13">
        <v>0</v>
      </c>
      <c r="M13">
        <v>969</v>
      </c>
      <c r="N13" t="s">
        <v>633</v>
      </c>
      <c r="O13" t="s">
        <v>634</v>
      </c>
      <c r="Q13" t="s">
        <v>24</v>
      </c>
      <c r="T13" t="s">
        <v>635</v>
      </c>
      <c r="V13">
        <v>217101</v>
      </c>
      <c r="W13" t="s">
        <v>674</v>
      </c>
      <c r="X13" t="s">
        <v>675</v>
      </c>
      <c r="AC13" t="s">
        <v>27</v>
      </c>
    </row>
    <row r="14" spans="1:37">
      <c r="A14" t="s">
        <v>668</v>
      </c>
      <c r="B14" t="s">
        <v>669</v>
      </c>
      <c r="C14" t="s">
        <v>670</v>
      </c>
      <c r="D14" t="s">
        <v>671</v>
      </c>
      <c r="E14" t="s">
        <v>315</v>
      </c>
      <c r="F14" t="s">
        <v>316</v>
      </c>
      <c r="G14" t="s">
        <v>317</v>
      </c>
      <c r="H14" t="s">
        <v>318</v>
      </c>
      <c r="I14">
        <v>1</v>
      </c>
      <c r="J14">
        <v>280</v>
      </c>
      <c r="K14">
        <v>0</v>
      </c>
      <c r="L14">
        <v>0</v>
      </c>
      <c r="M14">
        <v>969</v>
      </c>
      <c r="N14" t="s">
        <v>633</v>
      </c>
      <c r="O14" t="s">
        <v>634</v>
      </c>
      <c r="Q14" t="s">
        <v>24</v>
      </c>
      <c r="T14" t="s">
        <v>635</v>
      </c>
      <c r="V14">
        <v>217101</v>
      </c>
      <c r="W14" t="s">
        <v>674</v>
      </c>
      <c r="X14" t="s">
        <v>675</v>
      </c>
      <c r="AC14" t="s">
        <v>27</v>
      </c>
    </row>
    <row r="15" spans="1:37">
      <c r="A15" t="s">
        <v>668</v>
      </c>
      <c r="B15" t="s">
        <v>669</v>
      </c>
      <c r="C15" t="s">
        <v>670</v>
      </c>
      <c r="D15" t="s">
        <v>671</v>
      </c>
      <c r="E15" t="s">
        <v>45</v>
      </c>
      <c r="F15" t="s">
        <v>46</v>
      </c>
      <c r="G15" t="s">
        <v>47</v>
      </c>
      <c r="I15">
        <v>1</v>
      </c>
      <c r="J15">
        <v>-51</v>
      </c>
      <c r="K15">
        <v>0</v>
      </c>
      <c r="L15">
        <v>0</v>
      </c>
      <c r="M15">
        <v>969</v>
      </c>
      <c r="N15" t="s">
        <v>633</v>
      </c>
      <c r="O15" t="s">
        <v>634</v>
      </c>
      <c r="Q15" t="s">
        <v>24</v>
      </c>
      <c r="T15" t="s">
        <v>635</v>
      </c>
      <c r="V15">
        <v>217101</v>
      </c>
      <c r="W15" t="s">
        <v>674</v>
      </c>
      <c r="X15" t="s">
        <v>675</v>
      </c>
      <c r="AC15" t="s">
        <v>27</v>
      </c>
    </row>
    <row r="16" spans="1:37">
      <c r="A16" t="s">
        <v>668</v>
      </c>
      <c r="B16" t="s">
        <v>669</v>
      </c>
      <c r="C16" t="s">
        <v>670</v>
      </c>
      <c r="D16" t="s">
        <v>671</v>
      </c>
      <c r="E16" t="s">
        <v>48</v>
      </c>
      <c r="F16" t="s">
        <v>49</v>
      </c>
      <c r="G16" t="s">
        <v>50</v>
      </c>
      <c r="I16">
        <v>1</v>
      </c>
      <c r="J16">
        <v>51</v>
      </c>
      <c r="K16">
        <v>0</v>
      </c>
      <c r="L16">
        <v>0</v>
      </c>
      <c r="M16">
        <v>969</v>
      </c>
      <c r="N16" t="s">
        <v>633</v>
      </c>
      <c r="O16" t="s">
        <v>634</v>
      </c>
      <c r="Q16" t="s">
        <v>24</v>
      </c>
      <c r="T16" t="s">
        <v>635</v>
      </c>
      <c r="V16">
        <v>217101</v>
      </c>
      <c r="W16" t="s">
        <v>674</v>
      </c>
      <c r="X16" t="s">
        <v>675</v>
      </c>
      <c r="AC16" t="s">
        <v>27</v>
      </c>
    </row>
    <row r="17" spans="1:29">
      <c r="A17" t="s">
        <v>173</v>
      </c>
      <c r="B17" t="s">
        <v>174</v>
      </c>
      <c r="C17" t="s">
        <v>175</v>
      </c>
      <c r="D17" t="s">
        <v>176</v>
      </c>
      <c r="E17" t="s">
        <v>61</v>
      </c>
      <c r="F17" t="s">
        <v>62</v>
      </c>
      <c r="G17" t="s">
        <v>80</v>
      </c>
      <c r="H17" t="s">
        <v>81</v>
      </c>
      <c r="I17">
        <v>1</v>
      </c>
      <c r="J17">
        <v>399</v>
      </c>
      <c r="K17">
        <v>0</v>
      </c>
      <c r="L17">
        <v>0</v>
      </c>
      <c r="M17">
        <v>798</v>
      </c>
      <c r="N17" t="s">
        <v>39</v>
      </c>
      <c r="O17" t="s">
        <v>40</v>
      </c>
      <c r="Q17" t="s">
        <v>24</v>
      </c>
      <c r="T17" t="s">
        <v>25</v>
      </c>
      <c r="Y17">
        <v>326</v>
      </c>
      <c r="Z17" t="s">
        <v>177</v>
      </c>
      <c r="AC17" t="s">
        <v>42</v>
      </c>
    </row>
    <row r="18" spans="1:29">
      <c r="A18" t="s">
        <v>173</v>
      </c>
      <c r="B18" t="s">
        <v>174</v>
      </c>
      <c r="C18" t="s">
        <v>175</v>
      </c>
      <c r="D18" t="s">
        <v>176</v>
      </c>
      <c r="E18" t="s">
        <v>61</v>
      </c>
      <c r="F18" t="s">
        <v>62</v>
      </c>
      <c r="G18" t="s">
        <v>178</v>
      </c>
      <c r="H18" t="s">
        <v>179</v>
      </c>
      <c r="I18">
        <v>1</v>
      </c>
      <c r="J18">
        <v>399</v>
      </c>
      <c r="K18">
        <v>0</v>
      </c>
      <c r="L18">
        <v>0</v>
      </c>
      <c r="M18">
        <v>798</v>
      </c>
      <c r="N18" t="s">
        <v>39</v>
      </c>
      <c r="O18" t="s">
        <v>40</v>
      </c>
      <c r="Q18" t="s">
        <v>24</v>
      </c>
      <c r="T18" t="s">
        <v>25</v>
      </c>
      <c r="Y18">
        <v>326</v>
      </c>
      <c r="Z18" t="s">
        <v>177</v>
      </c>
      <c r="AC18" t="s">
        <v>42</v>
      </c>
    </row>
    <row r="19" spans="1:29">
      <c r="A19" t="s">
        <v>167</v>
      </c>
      <c r="B19" t="s">
        <v>168</v>
      </c>
      <c r="C19" t="s">
        <v>169</v>
      </c>
      <c r="D19" t="s">
        <v>170</v>
      </c>
      <c r="E19" t="s">
        <v>61</v>
      </c>
      <c r="F19" t="s">
        <v>62</v>
      </c>
      <c r="G19" t="s">
        <v>84</v>
      </c>
      <c r="H19" t="s">
        <v>85</v>
      </c>
      <c r="I19">
        <v>5</v>
      </c>
      <c r="J19">
        <v>1995</v>
      </c>
      <c r="K19">
        <v>0</v>
      </c>
      <c r="L19">
        <v>0</v>
      </c>
      <c r="M19">
        <v>1895</v>
      </c>
      <c r="N19" t="s">
        <v>39</v>
      </c>
      <c r="O19" t="s">
        <v>171</v>
      </c>
      <c r="Q19" t="s">
        <v>24</v>
      </c>
      <c r="T19" t="s">
        <v>25</v>
      </c>
      <c r="Y19">
        <v>300</v>
      </c>
      <c r="Z19" t="s">
        <v>172</v>
      </c>
      <c r="AC19" t="s">
        <v>42</v>
      </c>
    </row>
    <row r="20" spans="1:29">
      <c r="A20" t="s">
        <v>167</v>
      </c>
      <c r="B20" t="s">
        <v>168</v>
      </c>
      <c r="C20" t="s">
        <v>169</v>
      </c>
      <c r="D20" t="s">
        <v>170</v>
      </c>
      <c r="E20" t="s">
        <v>45</v>
      </c>
      <c r="F20" t="s">
        <v>46</v>
      </c>
      <c r="G20" t="s">
        <v>47</v>
      </c>
      <c r="I20">
        <v>1</v>
      </c>
      <c r="J20">
        <v>-100</v>
      </c>
      <c r="K20">
        <v>0</v>
      </c>
      <c r="L20">
        <v>0</v>
      </c>
      <c r="M20">
        <v>1895</v>
      </c>
      <c r="N20" t="s">
        <v>39</v>
      </c>
      <c r="O20" t="s">
        <v>171</v>
      </c>
      <c r="Q20" t="s">
        <v>24</v>
      </c>
      <c r="T20" t="s">
        <v>25</v>
      </c>
      <c r="Y20">
        <v>300</v>
      </c>
      <c r="Z20" t="s">
        <v>172</v>
      </c>
      <c r="AC20" t="s">
        <v>42</v>
      </c>
    </row>
    <row r="21" spans="1:29">
      <c r="A21" t="s">
        <v>167</v>
      </c>
      <c r="B21" t="s">
        <v>168</v>
      </c>
      <c r="C21" t="s">
        <v>169</v>
      </c>
      <c r="D21" t="s">
        <v>170</v>
      </c>
      <c r="E21" t="s">
        <v>48</v>
      </c>
      <c r="F21" t="s">
        <v>49</v>
      </c>
      <c r="G21" t="s">
        <v>50</v>
      </c>
      <c r="I21">
        <v>1</v>
      </c>
      <c r="J21">
        <v>100</v>
      </c>
      <c r="K21">
        <v>0</v>
      </c>
      <c r="L21">
        <v>0</v>
      </c>
      <c r="M21">
        <v>1895</v>
      </c>
      <c r="N21" t="s">
        <v>39</v>
      </c>
      <c r="O21" t="s">
        <v>171</v>
      </c>
      <c r="Q21" t="s">
        <v>24</v>
      </c>
      <c r="T21" t="s">
        <v>25</v>
      </c>
      <c r="Y21">
        <v>300</v>
      </c>
      <c r="Z21" t="s">
        <v>172</v>
      </c>
      <c r="AC21" t="s">
        <v>42</v>
      </c>
    </row>
    <row r="22" spans="1:29">
      <c r="A22" t="s">
        <v>676</v>
      </c>
      <c r="B22" t="s">
        <v>677</v>
      </c>
      <c r="C22" t="s">
        <v>678</v>
      </c>
      <c r="D22" t="s">
        <v>679</v>
      </c>
      <c r="E22" t="s">
        <v>18</v>
      </c>
      <c r="F22" t="s">
        <v>19</v>
      </c>
      <c r="G22" t="s">
        <v>20</v>
      </c>
      <c r="H22" t="s">
        <v>21</v>
      </c>
      <c r="I22">
        <v>1</v>
      </c>
      <c r="J22">
        <v>888</v>
      </c>
      <c r="K22">
        <v>0</v>
      </c>
      <c r="L22">
        <v>0</v>
      </c>
      <c r="M22">
        <v>888</v>
      </c>
      <c r="N22" t="s">
        <v>633</v>
      </c>
      <c r="O22" t="s">
        <v>634</v>
      </c>
      <c r="Q22" t="s">
        <v>24</v>
      </c>
      <c r="T22" t="s">
        <v>635</v>
      </c>
      <c r="V22">
        <v>111957</v>
      </c>
      <c r="W22" t="s">
        <v>680</v>
      </c>
      <c r="X22" t="s">
        <v>681</v>
      </c>
      <c r="AC22" t="s">
        <v>27</v>
      </c>
    </row>
    <row r="23" spans="1:29">
      <c r="A23" t="s">
        <v>682</v>
      </c>
      <c r="B23" t="s">
        <v>683</v>
      </c>
      <c r="C23" t="s">
        <v>684</v>
      </c>
      <c r="D23" t="s">
        <v>685</v>
      </c>
      <c r="E23" t="s">
        <v>18</v>
      </c>
      <c r="F23" t="s">
        <v>19</v>
      </c>
      <c r="G23" t="s">
        <v>20</v>
      </c>
      <c r="H23" t="s">
        <v>21</v>
      </c>
      <c r="I23">
        <v>1</v>
      </c>
      <c r="J23">
        <v>888</v>
      </c>
      <c r="K23">
        <v>0</v>
      </c>
      <c r="L23">
        <v>0</v>
      </c>
      <c r="M23">
        <v>888</v>
      </c>
      <c r="N23" t="s">
        <v>633</v>
      </c>
      <c r="O23" t="s">
        <v>634</v>
      </c>
      <c r="Q23" t="s">
        <v>24</v>
      </c>
      <c r="T23" t="s">
        <v>635</v>
      </c>
      <c r="V23">
        <v>143840</v>
      </c>
      <c r="W23" t="s">
        <v>686</v>
      </c>
      <c r="X23" t="s">
        <v>687</v>
      </c>
      <c r="AC23" t="s">
        <v>27</v>
      </c>
    </row>
    <row r="24" spans="1:29">
      <c r="A24" t="s">
        <v>160</v>
      </c>
      <c r="B24" t="s">
        <v>161</v>
      </c>
      <c r="C24" t="s">
        <v>162</v>
      </c>
      <c r="D24" t="s">
        <v>163</v>
      </c>
      <c r="E24" t="s">
        <v>61</v>
      </c>
      <c r="F24" t="s">
        <v>62</v>
      </c>
      <c r="G24" t="s">
        <v>63</v>
      </c>
      <c r="H24" t="s">
        <v>64</v>
      </c>
      <c r="I24">
        <v>1</v>
      </c>
      <c r="J24">
        <v>399</v>
      </c>
      <c r="K24">
        <v>0</v>
      </c>
      <c r="L24">
        <v>0</v>
      </c>
      <c r="M24">
        <v>798</v>
      </c>
      <c r="N24" t="s">
        <v>39</v>
      </c>
      <c r="O24" t="s">
        <v>40</v>
      </c>
      <c r="Q24" t="s">
        <v>24</v>
      </c>
      <c r="T24" t="s">
        <v>25</v>
      </c>
      <c r="Y24">
        <v>831</v>
      </c>
      <c r="Z24" t="s">
        <v>164</v>
      </c>
      <c r="AC24" t="s">
        <v>42</v>
      </c>
    </row>
    <row r="25" spans="1:29">
      <c r="A25" t="s">
        <v>160</v>
      </c>
      <c r="B25" t="s">
        <v>161</v>
      </c>
      <c r="C25" t="s">
        <v>162</v>
      </c>
      <c r="D25" t="s">
        <v>163</v>
      </c>
      <c r="E25" t="s">
        <v>61</v>
      </c>
      <c r="F25" t="s">
        <v>62</v>
      </c>
      <c r="G25" t="s">
        <v>165</v>
      </c>
      <c r="H25" t="s">
        <v>166</v>
      </c>
      <c r="I25">
        <v>1</v>
      </c>
      <c r="J25">
        <v>399</v>
      </c>
      <c r="K25">
        <v>0</v>
      </c>
      <c r="L25">
        <v>0</v>
      </c>
      <c r="M25">
        <v>798</v>
      </c>
      <c r="N25" t="s">
        <v>39</v>
      </c>
      <c r="O25" t="s">
        <v>40</v>
      </c>
      <c r="Q25" t="s">
        <v>24</v>
      </c>
      <c r="T25" t="s">
        <v>25</v>
      </c>
      <c r="Y25">
        <v>831</v>
      </c>
      <c r="Z25" t="s">
        <v>164</v>
      </c>
      <c r="AC25" t="s">
        <v>42</v>
      </c>
    </row>
    <row r="26" spans="1:29">
      <c r="A26" t="s">
        <v>688</v>
      </c>
      <c r="B26" t="s">
        <v>689</v>
      </c>
      <c r="C26" t="s">
        <v>690</v>
      </c>
      <c r="D26" t="s">
        <v>691</v>
      </c>
      <c r="E26" t="s">
        <v>61</v>
      </c>
      <c r="F26" t="s">
        <v>62</v>
      </c>
      <c r="G26" t="s">
        <v>293</v>
      </c>
      <c r="H26" t="s">
        <v>667</v>
      </c>
      <c r="I26">
        <v>1</v>
      </c>
      <c r="J26">
        <v>399</v>
      </c>
      <c r="K26">
        <v>65</v>
      </c>
      <c r="L26">
        <v>0</v>
      </c>
      <c r="M26">
        <v>464</v>
      </c>
      <c r="N26" t="s">
        <v>633</v>
      </c>
      <c r="O26" t="s">
        <v>634</v>
      </c>
      <c r="Q26" t="s">
        <v>24</v>
      </c>
      <c r="T26" t="s">
        <v>635</v>
      </c>
      <c r="V26">
        <v>874506</v>
      </c>
      <c r="W26" t="s">
        <v>692</v>
      </c>
      <c r="X26" t="s">
        <v>693</v>
      </c>
      <c r="AC26" t="s">
        <v>27</v>
      </c>
    </row>
    <row r="27" spans="1:29">
      <c r="A27" t="s">
        <v>694</v>
      </c>
      <c r="B27" t="s">
        <v>695</v>
      </c>
      <c r="C27" t="s">
        <v>696</v>
      </c>
      <c r="D27" t="s">
        <v>697</v>
      </c>
      <c r="E27" t="s">
        <v>55</v>
      </c>
      <c r="F27" t="s">
        <v>56</v>
      </c>
      <c r="G27" t="s">
        <v>97</v>
      </c>
      <c r="H27" t="s">
        <v>98</v>
      </c>
      <c r="I27">
        <v>1</v>
      </c>
      <c r="J27">
        <v>450</v>
      </c>
      <c r="K27">
        <v>0</v>
      </c>
      <c r="L27">
        <v>0</v>
      </c>
      <c r="M27">
        <v>849</v>
      </c>
      <c r="N27" t="s">
        <v>633</v>
      </c>
      <c r="O27" t="s">
        <v>634</v>
      </c>
      <c r="Q27" t="s">
        <v>24</v>
      </c>
      <c r="T27" t="s">
        <v>635</v>
      </c>
      <c r="V27">
        <v>187932</v>
      </c>
      <c r="W27" t="s">
        <v>698</v>
      </c>
      <c r="X27" t="s">
        <v>699</v>
      </c>
      <c r="AC27" t="s">
        <v>27</v>
      </c>
    </row>
    <row r="28" spans="1:29">
      <c r="A28" t="s">
        <v>694</v>
      </c>
      <c r="B28" t="s">
        <v>695</v>
      </c>
      <c r="C28" t="s">
        <v>696</v>
      </c>
      <c r="D28" t="s">
        <v>697</v>
      </c>
      <c r="E28" t="s">
        <v>61</v>
      </c>
      <c r="F28" t="s">
        <v>62</v>
      </c>
      <c r="G28" t="s">
        <v>293</v>
      </c>
      <c r="H28" t="s">
        <v>667</v>
      </c>
      <c r="I28">
        <v>1</v>
      </c>
      <c r="J28">
        <v>399</v>
      </c>
      <c r="K28">
        <v>0</v>
      </c>
      <c r="L28">
        <v>0</v>
      </c>
      <c r="M28">
        <v>849</v>
      </c>
      <c r="N28" t="s">
        <v>633</v>
      </c>
      <c r="O28" t="s">
        <v>634</v>
      </c>
      <c r="Q28" t="s">
        <v>24</v>
      </c>
      <c r="T28" t="s">
        <v>635</v>
      </c>
      <c r="V28">
        <v>187932</v>
      </c>
      <c r="W28" t="s">
        <v>698</v>
      </c>
      <c r="X28" t="s">
        <v>699</v>
      </c>
      <c r="AC28" t="s">
        <v>27</v>
      </c>
    </row>
    <row r="29" spans="1:29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151</v>
      </c>
      <c r="H29" t="s">
        <v>152</v>
      </c>
      <c r="I29">
        <v>1</v>
      </c>
      <c r="J29">
        <v>430</v>
      </c>
      <c r="K29">
        <v>0</v>
      </c>
      <c r="L29">
        <v>0</v>
      </c>
      <c r="M29">
        <v>1025</v>
      </c>
      <c r="N29" t="s">
        <v>39</v>
      </c>
      <c r="O29" t="s">
        <v>40</v>
      </c>
      <c r="Q29" t="s">
        <v>24</v>
      </c>
      <c r="T29" t="s">
        <v>25</v>
      </c>
      <c r="Y29">
        <v>111</v>
      </c>
      <c r="Z29" t="s">
        <v>153</v>
      </c>
      <c r="AC29" t="s">
        <v>42</v>
      </c>
    </row>
    <row r="30" spans="1:29">
      <c r="A30" t="s">
        <v>145</v>
      </c>
      <c r="B30" t="s">
        <v>146</v>
      </c>
      <c r="C30" t="s">
        <v>147</v>
      </c>
      <c r="D30" t="s">
        <v>148</v>
      </c>
      <c r="E30" t="s">
        <v>154</v>
      </c>
      <c r="F30" t="s">
        <v>155</v>
      </c>
      <c r="G30" t="s">
        <v>156</v>
      </c>
      <c r="H30">
        <v>4714781020510</v>
      </c>
      <c r="I30">
        <v>1</v>
      </c>
      <c r="J30">
        <v>260</v>
      </c>
      <c r="K30">
        <v>0</v>
      </c>
      <c r="L30">
        <v>0</v>
      </c>
      <c r="M30">
        <v>1025</v>
      </c>
      <c r="N30" t="s">
        <v>39</v>
      </c>
      <c r="O30" t="s">
        <v>40</v>
      </c>
      <c r="Q30" t="s">
        <v>24</v>
      </c>
      <c r="T30" t="s">
        <v>25</v>
      </c>
      <c r="Y30">
        <v>111</v>
      </c>
      <c r="Z30" t="s">
        <v>153</v>
      </c>
      <c r="AC30" t="s">
        <v>42</v>
      </c>
    </row>
    <row r="31" spans="1:29">
      <c r="A31" t="s">
        <v>145</v>
      </c>
      <c r="B31" t="s">
        <v>146</v>
      </c>
      <c r="C31" t="s">
        <v>147</v>
      </c>
      <c r="D31" t="s">
        <v>148</v>
      </c>
      <c r="E31" t="s">
        <v>157</v>
      </c>
      <c r="F31" t="s">
        <v>158</v>
      </c>
      <c r="G31" t="s">
        <v>159</v>
      </c>
      <c r="H31">
        <v>4714781021463</v>
      </c>
      <c r="I31">
        <v>2</v>
      </c>
      <c r="J31">
        <v>240</v>
      </c>
      <c r="K31">
        <v>0</v>
      </c>
      <c r="L31">
        <v>0</v>
      </c>
      <c r="M31">
        <v>1025</v>
      </c>
      <c r="N31" t="s">
        <v>39</v>
      </c>
      <c r="O31" t="s">
        <v>40</v>
      </c>
      <c r="Q31" t="s">
        <v>24</v>
      </c>
      <c r="T31" t="s">
        <v>25</v>
      </c>
      <c r="Y31">
        <v>111</v>
      </c>
      <c r="Z31" t="s">
        <v>153</v>
      </c>
      <c r="AC31" t="s">
        <v>42</v>
      </c>
    </row>
    <row r="32" spans="1:29">
      <c r="A32" t="s">
        <v>145</v>
      </c>
      <c r="B32" t="s">
        <v>146</v>
      </c>
      <c r="C32" t="s">
        <v>147</v>
      </c>
      <c r="D32" t="s">
        <v>148</v>
      </c>
      <c r="E32" t="s">
        <v>138</v>
      </c>
      <c r="F32" t="s">
        <v>139</v>
      </c>
      <c r="G32" t="s">
        <v>140</v>
      </c>
      <c r="H32">
        <v>4714781020954</v>
      </c>
      <c r="I32">
        <v>1</v>
      </c>
      <c r="J32">
        <v>149</v>
      </c>
      <c r="K32">
        <v>0</v>
      </c>
      <c r="L32">
        <v>0</v>
      </c>
      <c r="M32">
        <v>1025</v>
      </c>
      <c r="N32" t="s">
        <v>39</v>
      </c>
      <c r="O32" t="s">
        <v>40</v>
      </c>
      <c r="Q32" t="s">
        <v>24</v>
      </c>
      <c r="T32" t="s">
        <v>25</v>
      </c>
      <c r="Y32">
        <v>111</v>
      </c>
      <c r="Z32" t="s">
        <v>153</v>
      </c>
      <c r="AC32" t="s">
        <v>42</v>
      </c>
    </row>
    <row r="33" spans="1:29">
      <c r="A33" t="s">
        <v>145</v>
      </c>
      <c r="B33" t="s">
        <v>146</v>
      </c>
      <c r="C33" t="s">
        <v>147</v>
      </c>
      <c r="D33" t="s">
        <v>148</v>
      </c>
      <c r="E33" t="s">
        <v>45</v>
      </c>
      <c r="F33" t="s">
        <v>46</v>
      </c>
      <c r="G33" t="s">
        <v>47</v>
      </c>
      <c r="I33">
        <v>1</v>
      </c>
      <c r="J33">
        <v>-54</v>
      </c>
      <c r="K33">
        <v>0</v>
      </c>
      <c r="L33">
        <v>0</v>
      </c>
      <c r="M33">
        <v>1025</v>
      </c>
      <c r="N33" t="s">
        <v>39</v>
      </c>
      <c r="O33" t="s">
        <v>40</v>
      </c>
      <c r="Q33" t="s">
        <v>24</v>
      </c>
      <c r="T33" t="s">
        <v>25</v>
      </c>
      <c r="Y33">
        <v>111</v>
      </c>
      <c r="Z33" t="s">
        <v>153</v>
      </c>
      <c r="AC33" t="s">
        <v>42</v>
      </c>
    </row>
    <row r="34" spans="1:29">
      <c r="A34" t="s">
        <v>145</v>
      </c>
      <c r="B34" t="s">
        <v>146</v>
      </c>
      <c r="C34" t="s">
        <v>147</v>
      </c>
      <c r="D34" t="s">
        <v>148</v>
      </c>
      <c r="E34" t="s">
        <v>48</v>
      </c>
      <c r="F34" t="s">
        <v>49</v>
      </c>
      <c r="G34" t="s">
        <v>50</v>
      </c>
      <c r="I34">
        <v>1</v>
      </c>
      <c r="J34">
        <v>54</v>
      </c>
      <c r="K34">
        <v>0</v>
      </c>
      <c r="L34">
        <v>0</v>
      </c>
      <c r="M34">
        <v>1025</v>
      </c>
      <c r="N34" t="s">
        <v>39</v>
      </c>
      <c r="O34" t="s">
        <v>40</v>
      </c>
      <c r="Q34" t="s">
        <v>24</v>
      </c>
      <c r="T34" t="s">
        <v>25</v>
      </c>
      <c r="Y34">
        <v>111</v>
      </c>
      <c r="Z34" t="s">
        <v>153</v>
      </c>
      <c r="AC34" t="s">
        <v>42</v>
      </c>
    </row>
    <row r="35" spans="1:29">
      <c r="A35" t="s">
        <v>134</v>
      </c>
      <c r="B35" t="s">
        <v>135</v>
      </c>
      <c r="C35" t="s">
        <v>136</v>
      </c>
      <c r="D35" t="s">
        <v>137</v>
      </c>
      <c r="E35" t="s">
        <v>138</v>
      </c>
      <c r="F35" t="s">
        <v>139</v>
      </c>
      <c r="G35" t="s">
        <v>140</v>
      </c>
      <c r="H35">
        <v>4714781020954</v>
      </c>
      <c r="I35">
        <v>1</v>
      </c>
      <c r="J35">
        <v>149</v>
      </c>
      <c r="K35">
        <v>0</v>
      </c>
      <c r="L35">
        <v>0</v>
      </c>
      <c r="M35">
        <v>1146</v>
      </c>
      <c r="N35" t="s">
        <v>39</v>
      </c>
      <c r="O35" t="s">
        <v>40</v>
      </c>
      <c r="Q35" t="s">
        <v>24</v>
      </c>
      <c r="T35" t="s">
        <v>25</v>
      </c>
      <c r="Y35">
        <v>333</v>
      </c>
      <c r="Z35" t="s">
        <v>141</v>
      </c>
      <c r="AC35" t="s">
        <v>42</v>
      </c>
    </row>
    <row r="36" spans="1:29">
      <c r="A36" t="s">
        <v>134</v>
      </c>
      <c r="B36" t="s">
        <v>135</v>
      </c>
      <c r="C36" t="s">
        <v>136</v>
      </c>
      <c r="D36" t="s">
        <v>137</v>
      </c>
      <c r="E36" t="s">
        <v>142</v>
      </c>
      <c r="F36" t="s">
        <v>143</v>
      </c>
      <c r="G36" t="s">
        <v>144</v>
      </c>
      <c r="H36">
        <v>4714781020794</v>
      </c>
      <c r="I36">
        <v>1</v>
      </c>
      <c r="J36">
        <v>109</v>
      </c>
      <c r="K36">
        <v>0</v>
      </c>
      <c r="L36">
        <v>0</v>
      </c>
      <c r="M36">
        <v>1146</v>
      </c>
      <c r="N36" t="s">
        <v>39</v>
      </c>
      <c r="O36" t="s">
        <v>40</v>
      </c>
      <c r="Q36" t="s">
        <v>24</v>
      </c>
      <c r="T36" t="s">
        <v>25</v>
      </c>
      <c r="Y36">
        <v>333</v>
      </c>
      <c r="Z36" t="s">
        <v>141</v>
      </c>
      <c r="AC36" t="s">
        <v>42</v>
      </c>
    </row>
    <row r="37" spans="1:29">
      <c r="A37" t="s">
        <v>134</v>
      </c>
      <c r="B37" t="s">
        <v>135</v>
      </c>
      <c r="C37" t="s">
        <v>136</v>
      </c>
      <c r="D37" t="s">
        <v>137</v>
      </c>
      <c r="E37" t="s">
        <v>18</v>
      </c>
      <c r="F37" t="s">
        <v>19</v>
      </c>
      <c r="G37" t="s">
        <v>20</v>
      </c>
      <c r="H37" t="s">
        <v>21</v>
      </c>
      <c r="I37">
        <v>1</v>
      </c>
      <c r="J37">
        <v>888</v>
      </c>
      <c r="K37">
        <v>0</v>
      </c>
      <c r="L37">
        <v>0</v>
      </c>
      <c r="M37">
        <v>1146</v>
      </c>
      <c r="N37" t="s">
        <v>39</v>
      </c>
      <c r="O37" t="s">
        <v>40</v>
      </c>
      <c r="Q37" t="s">
        <v>24</v>
      </c>
      <c r="T37" t="s">
        <v>25</v>
      </c>
      <c r="Y37">
        <v>333</v>
      </c>
      <c r="Z37" t="s">
        <v>141</v>
      </c>
      <c r="AC37" t="s">
        <v>42</v>
      </c>
    </row>
    <row r="38" spans="1:29">
      <c r="A38" t="s">
        <v>134</v>
      </c>
      <c r="B38" t="s">
        <v>135</v>
      </c>
      <c r="C38" t="s">
        <v>136</v>
      </c>
      <c r="D38" t="s">
        <v>137</v>
      </c>
      <c r="E38" t="s">
        <v>48</v>
      </c>
      <c r="F38" t="s">
        <v>49</v>
      </c>
      <c r="G38" t="s">
        <v>50</v>
      </c>
      <c r="I38">
        <v>1</v>
      </c>
      <c r="J38">
        <v>57</v>
      </c>
      <c r="K38">
        <v>0</v>
      </c>
      <c r="L38">
        <v>0</v>
      </c>
      <c r="M38">
        <v>1146</v>
      </c>
      <c r="N38" t="s">
        <v>39</v>
      </c>
      <c r="O38" t="s">
        <v>40</v>
      </c>
      <c r="Q38" t="s">
        <v>24</v>
      </c>
      <c r="T38" t="s">
        <v>25</v>
      </c>
      <c r="Y38">
        <v>333</v>
      </c>
      <c r="Z38" t="s">
        <v>141</v>
      </c>
      <c r="AC38" t="s">
        <v>42</v>
      </c>
    </row>
    <row r="39" spans="1:29">
      <c r="A39" t="s">
        <v>700</v>
      </c>
      <c r="B39" t="s">
        <v>701</v>
      </c>
      <c r="C39" t="s">
        <v>702</v>
      </c>
      <c r="D39" t="s">
        <v>703</v>
      </c>
      <c r="E39" t="s">
        <v>371</v>
      </c>
      <c r="F39" t="s">
        <v>372</v>
      </c>
      <c r="G39" t="s">
        <v>373</v>
      </c>
      <c r="H39">
        <v>4714781024716</v>
      </c>
      <c r="I39">
        <v>1</v>
      </c>
      <c r="J39">
        <v>299</v>
      </c>
      <c r="K39">
        <v>65</v>
      </c>
      <c r="L39">
        <v>0</v>
      </c>
      <c r="M39">
        <v>364</v>
      </c>
      <c r="N39" t="s">
        <v>633</v>
      </c>
      <c r="O39" t="s">
        <v>634</v>
      </c>
      <c r="Q39" t="s">
        <v>24</v>
      </c>
      <c r="T39" t="s">
        <v>635</v>
      </c>
      <c r="V39">
        <v>151069</v>
      </c>
      <c r="W39" t="s">
        <v>704</v>
      </c>
      <c r="X39" t="s">
        <v>705</v>
      </c>
      <c r="AC39" t="s">
        <v>27</v>
      </c>
    </row>
    <row r="40" spans="1:29">
      <c r="A40" t="s">
        <v>128</v>
      </c>
      <c r="B40" t="s">
        <v>129</v>
      </c>
      <c r="C40" t="s">
        <v>130</v>
      </c>
      <c r="D40" t="s">
        <v>131</v>
      </c>
      <c r="E40" t="s">
        <v>18</v>
      </c>
      <c r="F40" t="s">
        <v>19</v>
      </c>
      <c r="G40" t="s">
        <v>20</v>
      </c>
      <c r="H40" t="s">
        <v>21</v>
      </c>
      <c r="I40">
        <v>2</v>
      </c>
      <c r="J40">
        <v>1776</v>
      </c>
      <c r="K40">
        <v>0</v>
      </c>
      <c r="L40">
        <v>0</v>
      </c>
      <c r="M40">
        <v>1776</v>
      </c>
      <c r="N40" t="s">
        <v>22</v>
      </c>
      <c r="O40" t="s">
        <v>23</v>
      </c>
      <c r="Q40" t="s">
        <v>24</v>
      </c>
      <c r="T40" t="s">
        <v>25</v>
      </c>
      <c r="Y40">
        <v>556</v>
      </c>
      <c r="Z40" t="s">
        <v>132</v>
      </c>
      <c r="AA40" t="s">
        <v>133</v>
      </c>
      <c r="AC40" t="s">
        <v>27</v>
      </c>
    </row>
    <row r="41" spans="1:29">
      <c r="A41" t="s">
        <v>120</v>
      </c>
      <c r="B41" t="s">
        <v>121</v>
      </c>
      <c r="C41" t="s">
        <v>122</v>
      </c>
      <c r="D41" t="s">
        <v>123</v>
      </c>
      <c r="E41" t="s">
        <v>61</v>
      </c>
      <c r="F41" t="s">
        <v>62</v>
      </c>
      <c r="G41" t="s">
        <v>80</v>
      </c>
      <c r="H41" t="s">
        <v>81</v>
      </c>
      <c r="I41">
        <v>1</v>
      </c>
      <c r="J41">
        <v>399</v>
      </c>
      <c r="K41">
        <v>0</v>
      </c>
      <c r="L41">
        <v>0</v>
      </c>
      <c r="M41">
        <v>1041</v>
      </c>
      <c r="N41" t="s">
        <v>39</v>
      </c>
      <c r="O41" t="s">
        <v>40</v>
      </c>
      <c r="Q41" t="s">
        <v>24</v>
      </c>
      <c r="T41" t="s">
        <v>25</v>
      </c>
      <c r="Y41">
        <v>717</v>
      </c>
      <c r="Z41" t="s">
        <v>124</v>
      </c>
      <c r="AC41" t="s">
        <v>42</v>
      </c>
    </row>
    <row r="42" spans="1:29">
      <c r="A42" t="s">
        <v>120</v>
      </c>
      <c r="B42" t="s">
        <v>121</v>
      </c>
      <c r="C42" t="s">
        <v>122</v>
      </c>
      <c r="D42" t="s">
        <v>123</v>
      </c>
      <c r="E42" t="s">
        <v>61</v>
      </c>
      <c r="F42" t="s">
        <v>62</v>
      </c>
      <c r="G42" t="s">
        <v>125</v>
      </c>
      <c r="H42" t="s">
        <v>126</v>
      </c>
      <c r="I42">
        <v>1</v>
      </c>
      <c r="J42">
        <v>399</v>
      </c>
      <c r="K42">
        <v>0</v>
      </c>
      <c r="L42">
        <v>0</v>
      </c>
      <c r="M42">
        <v>1041</v>
      </c>
      <c r="N42" t="s">
        <v>39</v>
      </c>
      <c r="O42" t="s">
        <v>40</v>
      </c>
      <c r="Q42" t="s">
        <v>24</v>
      </c>
      <c r="T42" t="s">
        <v>25</v>
      </c>
      <c r="Y42">
        <v>717</v>
      </c>
      <c r="Z42" t="s">
        <v>124</v>
      </c>
      <c r="AC42" t="s">
        <v>42</v>
      </c>
    </row>
    <row r="43" spans="1:29">
      <c r="A43" t="s">
        <v>120</v>
      </c>
      <c r="B43" t="s">
        <v>121</v>
      </c>
      <c r="C43" t="s">
        <v>122</v>
      </c>
      <c r="D43" t="s">
        <v>123</v>
      </c>
      <c r="E43" t="s">
        <v>94</v>
      </c>
      <c r="F43" t="s">
        <v>127</v>
      </c>
      <c r="G43" t="s">
        <v>96</v>
      </c>
      <c r="H43">
        <v>4714781020787</v>
      </c>
      <c r="I43">
        <v>2</v>
      </c>
      <c r="J43">
        <v>298</v>
      </c>
      <c r="K43">
        <v>0</v>
      </c>
      <c r="L43">
        <v>0</v>
      </c>
      <c r="M43">
        <v>1041</v>
      </c>
      <c r="N43" t="s">
        <v>39</v>
      </c>
      <c r="O43" t="s">
        <v>40</v>
      </c>
      <c r="Q43" t="s">
        <v>24</v>
      </c>
      <c r="T43" t="s">
        <v>25</v>
      </c>
      <c r="Y43">
        <v>717</v>
      </c>
      <c r="Z43" t="s">
        <v>124</v>
      </c>
      <c r="AC43" t="s">
        <v>42</v>
      </c>
    </row>
    <row r="44" spans="1:29">
      <c r="A44" t="s">
        <v>120</v>
      </c>
      <c r="B44" t="s">
        <v>121</v>
      </c>
      <c r="C44" t="s">
        <v>122</v>
      </c>
      <c r="D44" t="s">
        <v>123</v>
      </c>
      <c r="E44" t="s">
        <v>45</v>
      </c>
      <c r="F44" t="s">
        <v>46</v>
      </c>
      <c r="G44" t="s">
        <v>47</v>
      </c>
      <c r="I44">
        <v>1</v>
      </c>
      <c r="J44">
        <v>-55</v>
      </c>
      <c r="K44">
        <v>0</v>
      </c>
      <c r="L44">
        <v>0</v>
      </c>
      <c r="M44">
        <v>1041</v>
      </c>
      <c r="N44" t="s">
        <v>39</v>
      </c>
      <c r="O44" t="s">
        <v>40</v>
      </c>
      <c r="Q44" t="s">
        <v>24</v>
      </c>
      <c r="T44" t="s">
        <v>25</v>
      </c>
      <c r="Y44">
        <v>717</v>
      </c>
      <c r="Z44" t="s">
        <v>124</v>
      </c>
      <c r="AC44" t="s">
        <v>42</v>
      </c>
    </row>
    <row r="45" spans="1:29">
      <c r="A45" t="s">
        <v>120</v>
      </c>
      <c r="B45" t="s">
        <v>121</v>
      </c>
      <c r="C45" t="s">
        <v>122</v>
      </c>
      <c r="D45" t="s">
        <v>123</v>
      </c>
      <c r="E45" t="s">
        <v>48</v>
      </c>
      <c r="F45" t="s">
        <v>49</v>
      </c>
      <c r="G45" t="s">
        <v>50</v>
      </c>
      <c r="I45">
        <v>1</v>
      </c>
      <c r="J45">
        <v>55</v>
      </c>
      <c r="K45">
        <v>0</v>
      </c>
      <c r="L45">
        <v>0</v>
      </c>
      <c r="M45">
        <v>1041</v>
      </c>
      <c r="N45" t="s">
        <v>39</v>
      </c>
      <c r="O45" t="s">
        <v>40</v>
      </c>
      <c r="Q45" t="s">
        <v>24</v>
      </c>
      <c r="T45" t="s">
        <v>25</v>
      </c>
      <c r="Y45">
        <v>717</v>
      </c>
      <c r="Z45" t="s">
        <v>124</v>
      </c>
      <c r="AC45" t="s">
        <v>42</v>
      </c>
    </row>
    <row r="46" spans="1:29">
      <c r="A46" t="s">
        <v>706</v>
      </c>
      <c r="B46" t="s">
        <v>707</v>
      </c>
      <c r="C46" t="s">
        <v>708</v>
      </c>
      <c r="D46" t="s">
        <v>709</v>
      </c>
      <c r="E46" t="s">
        <v>35</v>
      </c>
      <c r="F46" t="s">
        <v>36</v>
      </c>
      <c r="G46" t="s">
        <v>710</v>
      </c>
      <c r="H46" t="s">
        <v>711</v>
      </c>
      <c r="I46">
        <v>1</v>
      </c>
      <c r="J46">
        <v>748</v>
      </c>
      <c r="K46">
        <v>0</v>
      </c>
      <c r="L46">
        <v>0</v>
      </c>
      <c r="M46">
        <v>748</v>
      </c>
      <c r="N46" t="s">
        <v>633</v>
      </c>
      <c r="O46" t="s">
        <v>634</v>
      </c>
      <c r="Q46" t="s">
        <v>24</v>
      </c>
      <c r="T46" t="s">
        <v>635</v>
      </c>
      <c r="V46">
        <v>122278</v>
      </c>
      <c r="W46" t="s">
        <v>712</v>
      </c>
      <c r="X46" t="s">
        <v>713</v>
      </c>
      <c r="AC46" t="s">
        <v>27</v>
      </c>
    </row>
    <row r="47" spans="1:29">
      <c r="A47" t="s">
        <v>111</v>
      </c>
      <c r="B47" t="s">
        <v>112</v>
      </c>
      <c r="C47" t="s">
        <v>113</v>
      </c>
      <c r="D47" t="s">
        <v>114</v>
      </c>
      <c r="E47" t="s">
        <v>115</v>
      </c>
      <c r="F47" t="s">
        <v>116</v>
      </c>
      <c r="G47" t="s">
        <v>117</v>
      </c>
      <c r="H47" t="s">
        <v>118</v>
      </c>
      <c r="I47">
        <v>2</v>
      </c>
      <c r="J47">
        <v>920</v>
      </c>
      <c r="K47">
        <v>0</v>
      </c>
      <c r="L47">
        <v>0</v>
      </c>
      <c r="M47">
        <v>920</v>
      </c>
      <c r="N47" t="s">
        <v>22</v>
      </c>
      <c r="O47" t="s">
        <v>23</v>
      </c>
      <c r="Q47" t="s">
        <v>24</v>
      </c>
      <c r="T47" t="s">
        <v>25</v>
      </c>
      <c r="Y47">
        <v>241</v>
      </c>
      <c r="Z47" t="s">
        <v>119</v>
      </c>
      <c r="AC47" t="s">
        <v>27</v>
      </c>
    </row>
    <row r="48" spans="1:29">
      <c r="A48" t="s">
        <v>89</v>
      </c>
      <c r="B48" t="s">
        <v>90</v>
      </c>
      <c r="C48" t="s">
        <v>91</v>
      </c>
      <c r="D48" t="s">
        <v>92</v>
      </c>
      <c r="E48" t="s">
        <v>61</v>
      </c>
      <c r="F48" t="s">
        <v>62</v>
      </c>
      <c r="G48" t="s">
        <v>84</v>
      </c>
      <c r="H48" t="s">
        <v>85</v>
      </c>
      <c r="I48">
        <v>1</v>
      </c>
      <c r="J48">
        <v>399</v>
      </c>
      <c r="K48">
        <v>0</v>
      </c>
      <c r="L48">
        <v>0</v>
      </c>
      <c r="M48">
        <v>1491</v>
      </c>
      <c r="N48" t="s">
        <v>39</v>
      </c>
      <c r="O48" t="s">
        <v>59</v>
      </c>
      <c r="Q48" t="s">
        <v>24</v>
      </c>
      <c r="T48" t="s">
        <v>25</v>
      </c>
      <c r="Y48">
        <v>249</v>
      </c>
      <c r="Z48" t="s">
        <v>93</v>
      </c>
      <c r="AC48" t="s">
        <v>42</v>
      </c>
    </row>
    <row r="49" spans="1:29">
      <c r="A49" t="s">
        <v>89</v>
      </c>
      <c r="B49" t="s">
        <v>90</v>
      </c>
      <c r="C49" t="s">
        <v>91</v>
      </c>
      <c r="D49" t="s">
        <v>92</v>
      </c>
      <c r="E49" t="s">
        <v>94</v>
      </c>
      <c r="F49" t="s">
        <v>95</v>
      </c>
      <c r="G49" t="s">
        <v>96</v>
      </c>
      <c r="H49">
        <v>4714781020787</v>
      </c>
      <c r="I49">
        <v>1</v>
      </c>
      <c r="J49">
        <v>135</v>
      </c>
      <c r="K49">
        <v>0</v>
      </c>
      <c r="L49">
        <v>0</v>
      </c>
      <c r="M49">
        <v>1491</v>
      </c>
      <c r="N49" t="s">
        <v>39</v>
      </c>
      <c r="O49" t="s">
        <v>59</v>
      </c>
      <c r="Q49" t="s">
        <v>24</v>
      </c>
      <c r="T49" t="s">
        <v>25</v>
      </c>
      <c r="Y49">
        <v>249</v>
      </c>
      <c r="Z49" t="s">
        <v>93</v>
      </c>
      <c r="AC49" t="s">
        <v>42</v>
      </c>
    </row>
    <row r="50" spans="1:29">
      <c r="A50" t="s">
        <v>89</v>
      </c>
      <c r="B50" t="s">
        <v>90</v>
      </c>
      <c r="C50" t="s">
        <v>91</v>
      </c>
      <c r="D50" t="s">
        <v>92</v>
      </c>
      <c r="E50" t="s">
        <v>55</v>
      </c>
      <c r="F50" t="s">
        <v>56</v>
      </c>
      <c r="G50" t="s">
        <v>97</v>
      </c>
      <c r="H50" t="s">
        <v>98</v>
      </c>
      <c r="I50">
        <v>2</v>
      </c>
      <c r="J50">
        <v>900</v>
      </c>
      <c r="K50">
        <v>0</v>
      </c>
      <c r="L50">
        <v>0</v>
      </c>
      <c r="M50">
        <v>1491</v>
      </c>
      <c r="N50" t="s">
        <v>39</v>
      </c>
      <c r="O50" t="s">
        <v>59</v>
      </c>
      <c r="Q50" t="s">
        <v>24</v>
      </c>
      <c r="T50" t="s">
        <v>25</v>
      </c>
      <c r="Y50">
        <v>249</v>
      </c>
      <c r="Z50" t="s">
        <v>93</v>
      </c>
      <c r="AC50" t="s">
        <v>42</v>
      </c>
    </row>
    <row r="51" spans="1:29">
      <c r="A51" t="s">
        <v>89</v>
      </c>
      <c r="B51" t="s">
        <v>90</v>
      </c>
      <c r="C51" t="s">
        <v>91</v>
      </c>
      <c r="D51" t="s">
        <v>92</v>
      </c>
      <c r="E51" t="s">
        <v>99</v>
      </c>
      <c r="F51" t="s">
        <v>100</v>
      </c>
      <c r="G51" t="s">
        <v>101</v>
      </c>
      <c r="H51">
        <v>4714781020770</v>
      </c>
      <c r="I51">
        <v>1</v>
      </c>
      <c r="J51">
        <v>135</v>
      </c>
      <c r="K51">
        <v>0</v>
      </c>
      <c r="L51">
        <v>0</v>
      </c>
      <c r="M51">
        <v>1491</v>
      </c>
      <c r="N51" t="s">
        <v>39</v>
      </c>
      <c r="O51" t="s">
        <v>59</v>
      </c>
      <c r="Q51" t="s">
        <v>24</v>
      </c>
      <c r="T51" t="s">
        <v>25</v>
      </c>
      <c r="Y51">
        <v>249</v>
      </c>
      <c r="Z51" t="s">
        <v>93</v>
      </c>
      <c r="AC51" t="s">
        <v>42</v>
      </c>
    </row>
    <row r="52" spans="1:29">
      <c r="A52" t="s">
        <v>89</v>
      </c>
      <c r="B52" t="s">
        <v>90</v>
      </c>
      <c r="C52" t="s">
        <v>91</v>
      </c>
      <c r="D52" t="s">
        <v>92</v>
      </c>
      <c r="E52" t="s">
        <v>45</v>
      </c>
      <c r="F52" t="s">
        <v>46</v>
      </c>
      <c r="G52" t="s">
        <v>47</v>
      </c>
      <c r="I52">
        <v>1</v>
      </c>
      <c r="J52">
        <v>-78</v>
      </c>
      <c r="K52">
        <v>0</v>
      </c>
      <c r="L52">
        <v>0</v>
      </c>
      <c r="M52">
        <v>1491</v>
      </c>
      <c r="N52" t="s">
        <v>39</v>
      </c>
      <c r="O52" t="s">
        <v>59</v>
      </c>
      <c r="Q52" t="s">
        <v>24</v>
      </c>
      <c r="T52" t="s">
        <v>25</v>
      </c>
      <c r="Y52">
        <v>249</v>
      </c>
      <c r="Z52" t="s">
        <v>93</v>
      </c>
      <c r="AC52" t="s">
        <v>42</v>
      </c>
    </row>
    <row r="53" spans="1:29">
      <c r="A53" t="s">
        <v>89</v>
      </c>
      <c r="B53" t="s">
        <v>90</v>
      </c>
      <c r="C53" t="s">
        <v>91</v>
      </c>
      <c r="D53" t="s">
        <v>92</v>
      </c>
      <c r="E53" t="s">
        <v>48</v>
      </c>
      <c r="F53" t="s">
        <v>49</v>
      </c>
      <c r="G53" t="s">
        <v>50</v>
      </c>
      <c r="I53">
        <v>1</v>
      </c>
      <c r="J53">
        <v>78</v>
      </c>
      <c r="K53">
        <v>0</v>
      </c>
      <c r="L53">
        <v>0</v>
      </c>
      <c r="M53">
        <v>1491</v>
      </c>
      <c r="N53" t="s">
        <v>39</v>
      </c>
      <c r="O53" t="s">
        <v>59</v>
      </c>
      <c r="Q53" t="s">
        <v>24</v>
      </c>
      <c r="T53" t="s">
        <v>25</v>
      </c>
      <c r="Y53">
        <v>249</v>
      </c>
      <c r="Z53" t="s">
        <v>93</v>
      </c>
      <c r="AC53" t="s">
        <v>42</v>
      </c>
    </row>
    <row r="54" spans="1:29">
      <c r="A54" t="s">
        <v>714</v>
      </c>
      <c r="B54" t="s">
        <v>715</v>
      </c>
      <c r="C54" t="s">
        <v>716</v>
      </c>
      <c r="D54" t="s">
        <v>717</v>
      </c>
      <c r="E54" t="s">
        <v>718</v>
      </c>
      <c r="F54" t="s">
        <v>719</v>
      </c>
      <c r="G54" t="s">
        <v>720</v>
      </c>
      <c r="H54">
        <v>4714781020541</v>
      </c>
      <c r="I54">
        <v>1</v>
      </c>
      <c r="J54">
        <v>300</v>
      </c>
      <c r="K54">
        <v>0</v>
      </c>
      <c r="L54">
        <v>0</v>
      </c>
      <c r="M54">
        <v>2174</v>
      </c>
      <c r="N54" t="s">
        <v>633</v>
      </c>
      <c r="O54" t="s">
        <v>634</v>
      </c>
      <c r="Q54" t="s">
        <v>24</v>
      </c>
      <c r="T54" t="s">
        <v>635</v>
      </c>
      <c r="V54">
        <v>873400</v>
      </c>
      <c r="W54" t="s">
        <v>721</v>
      </c>
      <c r="X54" t="s">
        <v>722</v>
      </c>
      <c r="AC54" t="s">
        <v>27</v>
      </c>
    </row>
    <row r="55" spans="1:29">
      <c r="A55" t="s">
        <v>714</v>
      </c>
      <c r="B55" t="s">
        <v>715</v>
      </c>
      <c r="C55" t="s">
        <v>716</v>
      </c>
      <c r="D55" t="s">
        <v>717</v>
      </c>
      <c r="E55" t="s">
        <v>104</v>
      </c>
      <c r="F55" t="s">
        <v>723</v>
      </c>
      <c r="G55" t="s">
        <v>106</v>
      </c>
      <c r="H55">
        <v>4714781020268</v>
      </c>
      <c r="I55">
        <v>1</v>
      </c>
      <c r="J55">
        <v>350</v>
      </c>
      <c r="K55">
        <v>0</v>
      </c>
      <c r="L55">
        <v>0</v>
      </c>
      <c r="M55">
        <v>2174</v>
      </c>
      <c r="N55" t="s">
        <v>633</v>
      </c>
      <c r="O55" t="s">
        <v>634</v>
      </c>
      <c r="Q55" t="s">
        <v>24</v>
      </c>
      <c r="T55" t="s">
        <v>635</v>
      </c>
      <c r="V55">
        <v>873400</v>
      </c>
      <c r="W55" t="s">
        <v>721</v>
      </c>
      <c r="X55" t="s">
        <v>722</v>
      </c>
      <c r="AC55" t="s">
        <v>27</v>
      </c>
    </row>
    <row r="56" spans="1:29">
      <c r="A56" t="s">
        <v>714</v>
      </c>
      <c r="B56" t="s">
        <v>715</v>
      </c>
      <c r="C56" t="s">
        <v>716</v>
      </c>
      <c r="D56" t="s">
        <v>717</v>
      </c>
      <c r="E56" t="s">
        <v>724</v>
      </c>
      <c r="F56" t="s">
        <v>725</v>
      </c>
      <c r="G56" t="s">
        <v>726</v>
      </c>
      <c r="H56">
        <v>4714781020275</v>
      </c>
      <c r="I56">
        <v>1</v>
      </c>
      <c r="J56">
        <v>149</v>
      </c>
      <c r="K56">
        <v>0</v>
      </c>
      <c r="L56">
        <v>0</v>
      </c>
      <c r="M56">
        <v>2174</v>
      </c>
      <c r="N56" t="s">
        <v>633</v>
      </c>
      <c r="O56" t="s">
        <v>634</v>
      </c>
      <c r="Q56" t="s">
        <v>24</v>
      </c>
      <c r="T56" t="s">
        <v>635</v>
      </c>
      <c r="V56">
        <v>873400</v>
      </c>
      <c r="W56" t="s">
        <v>721</v>
      </c>
      <c r="X56" t="s">
        <v>722</v>
      </c>
      <c r="AC56" t="s">
        <v>27</v>
      </c>
    </row>
    <row r="57" spans="1:29">
      <c r="A57" t="s">
        <v>714</v>
      </c>
      <c r="B57" t="s">
        <v>715</v>
      </c>
      <c r="C57" t="s">
        <v>716</v>
      </c>
      <c r="D57" t="s">
        <v>717</v>
      </c>
      <c r="E57" t="s">
        <v>226</v>
      </c>
      <c r="F57" t="s">
        <v>227</v>
      </c>
      <c r="G57" t="s">
        <v>228</v>
      </c>
      <c r="H57" t="s">
        <v>229</v>
      </c>
      <c r="I57">
        <v>1</v>
      </c>
      <c r="J57">
        <v>769</v>
      </c>
      <c r="K57">
        <v>0</v>
      </c>
      <c r="L57">
        <v>0</v>
      </c>
      <c r="M57">
        <v>2174</v>
      </c>
      <c r="N57" t="s">
        <v>633</v>
      </c>
      <c r="O57" t="s">
        <v>634</v>
      </c>
      <c r="Q57" t="s">
        <v>24</v>
      </c>
      <c r="T57" t="s">
        <v>635</v>
      </c>
      <c r="V57">
        <v>873400</v>
      </c>
      <c r="W57" t="s">
        <v>721</v>
      </c>
      <c r="X57" t="s">
        <v>722</v>
      </c>
      <c r="AC57" t="s">
        <v>27</v>
      </c>
    </row>
    <row r="58" spans="1:29">
      <c r="A58" t="s">
        <v>714</v>
      </c>
      <c r="B58" t="s">
        <v>715</v>
      </c>
      <c r="C58" t="s">
        <v>716</v>
      </c>
      <c r="D58" t="s">
        <v>717</v>
      </c>
      <c r="E58" t="s">
        <v>221</v>
      </c>
      <c r="F58" t="s">
        <v>222</v>
      </c>
      <c r="G58" t="s">
        <v>223</v>
      </c>
      <c r="H58" t="s">
        <v>224</v>
      </c>
      <c r="I58">
        <v>1</v>
      </c>
      <c r="J58">
        <v>720</v>
      </c>
      <c r="K58">
        <v>0</v>
      </c>
      <c r="L58">
        <v>0</v>
      </c>
      <c r="M58">
        <v>2174</v>
      </c>
      <c r="N58" t="s">
        <v>633</v>
      </c>
      <c r="O58" t="s">
        <v>634</v>
      </c>
      <c r="Q58" t="s">
        <v>24</v>
      </c>
      <c r="T58" t="s">
        <v>635</v>
      </c>
      <c r="V58">
        <v>873400</v>
      </c>
      <c r="W58" t="s">
        <v>721</v>
      </c>
      <c r="X58" t="s">
        <v>722</v>
      </c>
      <c r="AC58" t="s">
        <v>27</v>
      </c>
    </row>
    <row r="59" spans="1:29">
      <c r="A59" t="s">
        <v>714</v>
      </c>
      <c r="B59" t="s">
        <v>715</v>
      </c>
      <c r="C59" t="s">
        <v>716</v>
      </c>
      <c r="D59" t="s">
        <v>717</v>
      </c>
      <c r="E59" t="s">
        <v>45</v>
      </c>
      <c r="F59" t="s">
        <v>46</v>
      </c>
      <c r="G59" t="s">
        <v>47</v>
      </c>
      <c r="I59">
        <v>1</v>
      </c>
      <c r="J59">
        <v>-114</v>
      </c>
      <c r="K59">
        <v>0</v>
      </c>
      <c r="L59">
        <v>0</v>
      </c>
      <c r="M59">
        <v>2174</v>
      </c>
      <c r="N59" t="s">
        <v>633</v>
      </c>
      <c r="O59" t="s">
        <v>634</v>
      </c>
      <c r="Q59" t="s">
        <v>24</v>
      </c>
      <c r="T59" t="s">
        <v>635</v>
      </c>
      <c r="V59">
        <v>873400</v>
      </c>
      <c r="W59" t="s">
        <v>721</v>
      </c>
      <c r="X59" t="s">
        <v>722</v>
      </c>
      <c r="AC59" t="s">
        <v>27</v>
      </c>
    </row>
    <row r="60" spans="1:29">
      <c r="A60" t="s">
        <v>714</v>
      </c>
      <c r="B60" t="s">
        <v>715</v>
      </c>
      <c r="C60" t="s">
        <v>716</v>
      </c>
      <c r="D60" t="s">
        <v>717</v>
      </c>
      <c r="E60" t="s">
        <v>48</v>
      </c>
      <c r="F60" t="s">
        <v>49</v>
      </c>
      <c r="G60" t="s">
        <v>50</v>
      </c>
      <c r="I60">
        <v>1</v>
      </c>
      <c r="J60">
        <v>114</v>
      </c>
      <c r="K60">
        <v>0</v>
      </c>
      <c r="L60">
        <v>0</v>
      </c>
      <c r="M60">
        <v>2174</v>
      </c>
      <c r="N60" t="s">
        <v>633</v>
      </c>
      <c r="O60" t="s">
        <v>634</v>
      </c>
      <c r="Q60" t="s">
        <v>24</v>
      </c>
      <c r="T60" t="s">
        <v>635</v>
      </c>
      <c r="V60">
        <v>873400</v>
      </c>
      <c r="W60" t="s">
        <v>721</v>
      </c>
      <c r="X60" t="s">
        <v>722</v>
      </c>
      <c r="AC60" t="s">
        <v>27</v>
      </c>
    </row>
    <row r="61" spans="1:29">
      <c r="A61" t="s">
        <v>76</v>
      </c>
      <c r="B61" t="s">
        <v>77</v>
      </c>
      <c r="C61" t="s">
        <v>78</v>
      </c>
      <c r="D61" t="s">
        <v>79</v>
      </c>
      <c r="E61" t="s">
        <v>61</v>
      </c>
      <c r="F61" t="s">
        <v>62</v>
      </c>
      <c r="G61" t="s">
        <v>80</v>
      </c>
      <c r="H61" t="s">
        <v>81</v>
      </c>
      <c r="I61">
        <v>1</v>
      </c>
      <c r="J61">
        <v>399</v>
      </c>
      <c r="K61">
        <v>0</v>
      </c>
      <c r="L61">
        <v>0</v>
      </c>
      <c r="M61">
        <v>857</v>
      </c>
      <c r="N61" t="s">
        <v>39</v>
      </c>
      <c r="O61" t="s">
        <v>59</v>
      </c>
      <c r="Q61" t="s">
        <v>24</v>
      </c>
      <c r="T61" t="s">
        <v>25</v>
      </c>
      <c r="Y61">
        <v>731</v>
      </c>
      <c r="Z61" t="s">
        <v>82</v>
      </c>
      <c r="AA61" t="s">
        <v>83</v>
      </c>
      <c r="AC61" t="s">
        <v>42</v>
      </c>
    </row>
    <row r="62" spans="1:29">
      <c r="A62" t="s">
        <v>76</v>
      </c>
      <c r="B62" t="s">
        <v>77</v>
      </c>
      <c r="C62" t="s">
        <v>78</v>
      </c>
      <c r="D62" t="s">
        <v>79</v>
      </c>
      <c r="E62" t="s">
        <v>61</v>
      </c>
      <c r="F62" t="s">
        <v>62</v>
      </c>
      <c r="G62" t="s">
        <v>84</v>
      </c>
      <c r="H62" t="s">
        <v>85</v>
      </c>
      <c r="I62">
        <v>1</v>
      </c>
      <c r="J62">
        <v>399</v>
      </c>
      <c r="K62">
        <v>0</v>
      </c>
      <c r="L62">
        <v>0</v>
      </c>
      <c r="M62">
        <v>857</v>
      </c>
      <c r="N62" t="s">
        <v>39</v>
      </c>
      <c r="O62" t="s">
        <v>59</v>
      </c>
      <c r="Q62" t="s">
        <v>24</v>
      </c>
      <c r="T62" t="s">
        <v>25</v>
      </c>
      <c r="Y62">
        <v>731</v>
      </c>
      <c r="Z62" t="s">
        <v>82</v>
      </c>
      <c r="AA62" t="s">
        <v>83</v>
      </c>
      <c r="AC62" t="s">
        <v>42</v>
      </c>
    </row>
    <row r="63" spans="1:29">
      <c r="A63" t="s">
        <v>76</v>
      </c>
      <c r="B63" t="s">
        <v>77</v>
      </c>
      <c r="C63" t="s">
        <v>78</v>
      </c>
      <c r="D63" t="s">
        <v>79</v>
      </c>
      <c r="E63" t="s">
        <v>86</v>
      </c>
      <c r="F63" t="s">
        <v>87</v>
      </c>
      <c r="G63" t="s">
        <v>88</v>
      </c>
      <c r="H63">
        <v>4714781021234</v>
      </c>
      <c r="I63">
        <v>1</v>
      </c>
      <c r="J63">
        <v>59</v>
      </c>
      <c r="K63">
        <v>0</v>
      </c>
      <c r="L63">
        <v>0</v>
      </c>
      <c r="M63">
        <v>857</v>
      </c>
      <c r="N63" t="s">
        <v>39</v>
      </c>
      <c r="O63" t="s">
        <v>59</v>
      </c>
      <c r="Q63" t="s">
        <v>24</v>
      </c>
      <c r="T63" t="s">
        <v>25</v>
      </c>
      <c r="Y63">
        <v>731</v>
      </c>
      <c r="Z63" t="s">
        <v>82</v>
      </c>
      <c r="AA63" t="s">
        <v>83</v>
      </c>
      <c r="AC63" t="s">
        <v>42</v>
      </c>
    </row>
    <row r="64" spans="1:29">
      <c r="A64" t="s">
        <v>727</v>
      </c>
      <c r="B64" t="s">
        <v>728</v>
      </c>
      <c r="C64" t="s">
        <v>729</v>
      </c>
      <c r="D64" t="s">
        <v>730</v>
      </c>
      <c r="E64" t="s">
        <v>61</v>
      </c>
      <c r="F64" t="s">
        <v>62</v>
      </c>
      <c r="G64" t="s">
        <v>80</v>
      </c>
      <c r="H64" t="s">
        <v>81</v>
      </c>
      <c r="I64">
        <v>1</v>
      </c>
      <c r="J64">
        <v>399</v>
      </c>
      <c r="K64">
        <v>65</v>
      </c>
      <c r="L64">
        <v>0</v>
      </c>
      <c r="M64">
        <v>464</v>
      </c>
      <c r="N64" t="s">
        <v>633</v>
      </c>
      <c r="O64" t="s">
        <v>634</v>
      </c>
      <c r="Q64" t="s">
        <v>24</v>
      </c>
      <c r="T64" t="s">
        <v>635</v>
      </c>
      <c r="V64">
        <v>891213</v>
      </c>
      <c r="W64" t="s">
        <v>731</v>
      </c>
      <c r="X64" t="s">
        <v>732</v>
      </c>
      <c r="AC64" t="s">
        <v>27</v>
      </c>
    </row>
    <row r="65" spans="1:29">
      <c r="A65" t="s">
        <v>733</v>
      </c>
      <c r="B65" t="s">
        <v>734</v>
      </c>
      <c r="C65" t="s">
        <v>735</v>
      </c>
      <c r="D65" t="s">
        <v>736</v>
      </c>
      <c r="E65" t="s">
        <v>55</v>
      </c>
      <c r="F65" t="s">
        <v>56</v>
      </c>
      <c r="G65" t="s">
        <v>254</v>
      </c>
      <c r="H65" t="s">
        <v>255</v>
      </c>
      <c r="I65">
        <v>1</v>
      </c>
      <c r="J65">
        <v>450</v>
      </c>
      <c r="K65">
        <v>0</v>
      </c>
      <c r="L65">
        <v>0</v>
      </c>
      <c r="M65">
        <v>748</v>
      </c>
      <c r="N65" t="s">
        <v>633</v>
      </c>
      <c r="O65" t="s">
        <v>634</v>
      </c>
      <c r="Q65" t="s">
        <v>24</v>
      </c>
      <c r="T65" t="s">
        <v>635</v>
      </c>
      <c r="V65">
        <v>941051</v>
      </c>
      <c r="W65" t="s">
        <v>737</v>
      </c>
      <c r="X65" t="s">
        <v>738</v>
      </c>
      <c r="AC65" t="s">
        <v>27</v>
      </c>
    </row>
    <row r="66" spans="1:29">
      <c r="A66" t="s">
        <v>733</v>
      </c>
      <c r="B66" t="s">
        <v>734</v>
      </c>
      <c r="C66" t="s">
        <v>735</v>
      </c>
      <c r="D66" t="s">
        <v>736</v>
      </c>
      <c r="E66" t="s">
        <v>473</v>
      </c>
      <c r="F66" t="s">
        <v>474</v>
      </c>
      <c r="G66" t="s">
        <v>475</v>
      </c>
      <c r="H66">
        <v>4714781021609</v>
      </c>
      <c r="I66">
        <v>2</v>
      </c>
      <c r="J66">
        <v>298</v>
      </c>
      <c r="K66">
        <v>0</v>
      </c>
      <c r="L66">
        <v>0</v>
      </c>
      <c r="M66">
        <v>748</v>
      </c>
      <c r="N66" t="s">
        <v>633</v>
      </c>
      <c r="O66" t="s">
        <v>634</v>
      </c>
      <c r="Q66" t="s">
        <v>24</v>
      </c>
      <c r="T66" t="s">
        <v>635</v>
      </c>
      <c r="V66">
        <v>941051</v>
      </c>
      <c r="W66" t="s">
        <v>737</v>
      </c>
      <c r="X66" t="s">
        <v>738</v>
      </c>
      <c r="AC66" t="s">
        <v>27</v>
      </c>
    </row>
    <row r="67" spans="1:29">
      <c r="A67" t="s">
        <v>71</v>
      </c>
      <c r="B67" t="s">
        <v>72</v>
      </c>
      <c r="C67" t="s">
        <v>73</v>
      </c>
      <c r="D67" t="s">
        <v>74</v>
      </c>
      <c r="E67" t="s">
        <v>18</v>
      </c>
      <c r="F67" t="s">
        <v>19</v>
      </c>
      <c r="G67" t="s">
        <v>20</v>
      </c>
      <c r="H67" t="s">
        <v>21</v>
      </c>
      <c r="I67">
        <v>1</v>
      </c>
      <c r="J67">
        <v>888</v>
      </c>
      <c r="K67">
        <v>0</v>
      </c>
      <c r="L67">
        <v>0</v>
      </c>
      <c r="M67">
        <v>888</v>
      </c>
      <c r="N67" t="s">
        <v>22</v>
      </c>
      <c r="O67" t="s">
        <v>23</v>
      </c>
      <c r="Q67" t="s">
        <v>24</v>
      </c>
      <c r="T67" t="s">
        <v>25</v>
      </c>
      <c r="Y67">
        <v>852</v>
      </c>
      <c r="Z67" t="s">
        <v>75</v>
      </c>
      <c r="AC67" t="s">
        <v>27</v>
      </c>
    </row>
    <row r="68" spans="1:29">
      <c r="A68" t="s">
        <v>51</v>
      </c>
      <c r="B68" t="s">
        <v>52</v>
      </c>
      <c r="C68" t="s">
        <v>53</v>
      </c>
      <c r="D68" t="s">
        <v>54</v>
      </c>
      <c r="E68" t="s">
        <v>55</v>
      </c>
      <c r="F68" t="s">
        <v>56</v>
      </c>
      <c r="G68" t="s">
        <v>57</v>
      </c>
      <c r="H68" t="s">
        <v>58</v>
      </c>
      <c r="I68">
        <v>1</v>
      </c>
      <c r="J68">
        <v>450</v>
      </c>
      <c r="K68">
        <v>0</v>
      </c>
      <c r="L68">
        <v>0</v>
      </c>
      <c r="M68">
        <v>1070</v>
      </c>
      <c r="N68" t="s">
        <v>39</v>
      </c>
      <c r="O68" t="s">
        <v>59</v>
      </c>
      <c r="Q68" t="s">
        <v>24</v>
      </c>
      <c r="T68" t="s">
        <v>25</v>
      </c>
      <c r="Y68">
        <v>333</v>
      </c>
      <c r="Z68" t="s">
        <v>60</v>
      </c>
      <c r="AC68" t="s">
        <v>42</v>
      </c>
    </row>
    <row r="69" spans="1:29">
      <c r="A69" t="s">
        <v>51</v>
      </c>
      <c r="B69" t="s">
        <v>52</v>
      </c>
      <c r="C69" t="s">
        <v>53</v>
      </c>
      <c r="D69" t="s">
        <v>54</v>
      </c>
      <c r="E69" t="s">
        <v>61</v>
      </c>
      <c r="F69" t="s">
        <v>62</v>
      </c>
      <c r="G69" t="s">
        <v>63</v>
      </c>
      <c r="H69" t="s">
        <v>64</v>
      </c>
      <c r="I69">
        <v>1</v>
      </c>
      <c r="J69">
        <v>399</v>
      </c>
      <c r="K69">
        <v>0</v>
      </c>
      <c r="L69">
        <v>0</v>
      </c>
      <c r="M69">
        <v>1070</v>
      </c>
      <c r="N69" t="s">
        <v>39</v>
      </c>
      <c r="O69" t="s">
        <v>59</v>
      </c>
      <c r="Q69" t="s">
        <v>24</v>
      </c>
      <c r="T69" t="s">
        <v>25</v>
      </c>
      <c r="Y69">
        <v>333</v>
      </c>
      <c r="Z69" t="s">
        <v>60</v>
      </c>
      <c r="AC69" t="s">
        <v>42</v>
      </c>
    </row>
    <row r="70" spans="1:29">
      <c r="A70" t="s">
        <v>51</v>
      </c>
      <c r="B70" t="s">
        <v>52</v>
      </c>
      <c r="C70" t="s">
        <v>53</v>
      </c>
      <c r="D70" t="s">
        <v>54</v>
      </c>
      <c r="E70" t="s">
        <v>65</v>
      </c>
      <c r="F70" t="s">
        <v>66</v>
      </c>
      <c r="G70" t="s">
        <v>67</v>
      </c>
      <c r="H70">
        <v>4714781020800</v>
      </c>
      <c r="I70">
        <v>1</v>
      </c>
      <c r="J70">
        <v>128</v>
      </c>
      <c r="K70">
        <v>0</v>
      </c>
      <c r="L70">
        <v>0</v>
      </c>
      <c r="M70">
        <v>1070</v>
      </c>
      <c r="N70" t="s">
        <v>39</v>
      </c>
      <c r="O70" t="s">
        <v>59</v>
      </c>
      <c r="Q70" t="s">
        <v>24</v>
      </c>
      <c r="T70" t="s">
        <v>25</v>
      </c>
      <c r="Y70">
        <v>333</v>
      </c>
      <c r="Z70" t="s">
        <v>60</v>
      </c>
      <c r="AC70" t="s">
        <v>42</v>
      </c>
    </row>
    <row r="71" spans="1:29">
      <c r="A71" t="s">
        <v>51</v>
      </c>
      <c r="B71" t="s">
        <v>52</v>
      </c>
      <c r="C71" t="s">
        <v>53</v>
      </c>
      <c r="D71" t="s">
        <v>54</v>
      </c>
      <c r="E71" t="s">
        <v>68</v>
      </c>
      <c r="F71" t="s">
        <v>69</v>
      </c>
      <c r="G71" t="s">
        <v>70</v>
      </c>
      <c r="H71">
        <v>4714781021593</v>
      </c>
      <c r="I71">
        <v>1</v>
      </c>
      <c r="J71">
        <v>149</v>
      </c>
      <c r="K71">
        <v>0</v>
      </c>
      <c r="L71">
        <v>0</v>
      </c>
      <c r="M71">
        <v>1070</v>
      </c>
      <c r="N71" t="s">
        <v>39</v>
      </c>
      <c r="O71" t="s">
        <v>59</v>
      </c>
      <c r="Q71" t="s">
        <v>24</v>
      </c>
      <c r="T71" t="s">
        <v>25</v>
      </c>
      <c r="Y71">
        <v>333</v>
      </c>
      <c r="Z71" t="s">
        <v>60</v>
      </c>
      <c r="AC71" t="s">
        <v>42</v>
      </c>
    </row>
    <row r="72" spans="1:29">
      <c r="A72" t="s">
        <v>51</v>
      </c>
      <c r="B72" t="s">
        <v>52</v>
      </c>
      <c r="C72" t="s">
        <v>53</v>
      </c>
      <c r="D72" t="s">
        <v>54</v>
      </c>
      <c r="E72" t="s">
        <v>45</v>
      </c>
      <c r="F72" t="s">
        <v>46</v>
      </c>
      <c r="G72" t="s">
        <v>47</v>
      </c>
      <c r="I72">
        <v>1</v>
      </c>
      <c r="J72">
        <v>-56</v>
      </c>
      <c r="K72">
        <v>0</v>
      </c>
      <c r="L72">
        <v>0</v>
      </c>
      <c r="M72">
        <v>1070</v>
      </c>
      <c r="N72" t="s">
        <v>39</v>
      </c>
      <c r="O72" t="s">
        <v>59</v>
      </c>
      <c r="Q72" t="s">
        <v>24</v>
      </c>
      <c r="T72" t="s">
        <v>25</v>
      </c>
      <c r="Y72">
        <v>333</v>
      </c>
      <c r="Z72" t="s">
        <v>60</v>
      </c>
      <c r="AC72" t="s">
        <v>42</v>
      </c>
    </row>
    <row r="73" spans="1:29">
      <c r="A73" t="s">
        <v>51</v>
      </c>
      <c r="B73" t="s">
        <v>52</v>
      </c>
      <c r="C73" t="s">
        <v>53</v>
      </c>
      <c r="D73" t="s">
        <v>54</v>
      </c>
      <c r="E73" t="s">
        <v>48</v>
      </c>
      <c r="F73" t="s">
        <v>49</v>
      </c>
      <c r="G73" t="s">
        <v>50</v>
      </c>
      <c r="I73">
        <v>1</v>
      </c>
      <c r="J73">
        <v>56</v>
      </c>
      <c r="K73">
        <v>0</v>
      </c>
      <c r="L73">
        <v>0</v>
      </c>
      <c r="M73">
        <v>1070</v>
      </c>
      <c r="N73" t="s">
        <v>39</v>
      </c>
      <c r="O73" t="s">
        <v>59</v>
      </c>
      <c r="Q73" t="s">
        <v>24</v>
      </c>
      <c r="T73" t="s">
        <v>25</v>
      </c>
      <c r="Y73">
        <v>333</v>
      </c>
      <c r="Z73" t="s">
        <v>60</v>
      </c>
      <c r="AC73" t="s">
        <v>42</v>
      </c>
    </row>
    <row r="74" spans="1:29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 t="s">
        <v>37</v>
      </c>
      <c r="H74" t="s">
        <v>38</v>
      </c>
      <c r="I74">
        <v>1</v>
      </c>
      <c r="J74">
        <v>748</v>
      </c>
      <c r="K74">
        <v>0</v>
      </c>
      <c r="L74">
        <v>0</v>
      </c>
      <c r="M74">
        <v>1421</v>
      </c>
      <c r="N74" t="s">
        <v>39</v>
      </c>
      <c r="O74" t="s">
        <v>40</v>
      </c>
      <c r="Q74" t="s">
        <v>24</v>
      </c>
      <c r="S74">
        <v>53620866</v>
      </c>
      <c r="T74" t="s">
        <v>25</v>
      </c>
      <c r="Y74">
        <v>701</v>
      </c>
      <c r="Z74" t="s">
        <v>41</v>
      </c>
      <c r="AC74" t="s">
        <v>42</v>
      </c>
    </row>
    <row r="75" spans="1:29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 t="s">
        <v>43</v>
      </c>
      <c r="H75" t="s">
        <v>44</v>
      </c>
      <c r="I75">
        <v>1</v>
      </c>
      <c r="J75">
        <v>748</v>
      </c>
      <c r="K75">
        <v>0</v>
      </c>
      <c r="L75">
        <v>0</v>
      </c>
      <c r="M75">
        <v>1421</v>
      </c>
      <c r="N75" t="s">
        <v>39</v>
      </c>
      <c r="O75" t="s">
        <v>40</v>
      </c>
      <c r="Q75" t="s">
        <v>24</v>
      </c>
      <c r="S75">
        <v>53620866</v>
      </c>
      <c r="T75" t="s">
        <v>25</v>
      </c>
      <c r="Y75">
        <v>701</v>
      </c>
      <c r="Z75" t="s">
        <v>41</v>
      </c>
      <c r="AC75" t="s">
        <v>42</v>
      </c>
    </row>
    <row r="76" spans="1:29">
      <c r="A76" t="s">
        <v>31</v>
      </c>
      <c r="B76" t="s">
        <v>32</v>
      </c>
      <c r="C76" t="s">
        <v>33</v>
      </c>
      <c r="D76" t="s">
        <v>34</v>
      </c>
      <c r="E76" t="s">
        <v>45</v>
      </c>
      <c r="F76" t="s">
        <v>46</v>
      </c>
      <c r="G76" t="s">
        <v>47</v>
      </c>
      <c r="I76">
        <v>1</v>
      </c>
      <c r="J76">
        <v>-75</v>
      </c>
      <c r="K76">
        <v>0</v>
      </c>
      <c r="L76">
        <v>0</v>
      </c>
      <c r="M76">
        <v>1421</v>
      </c>
      <c r="N76" t="s">
        <v>39</v>
      </c>
      <c r="O76" t="s">
        <v>40</v>
      </c>
      <c r="Q76" t="s">
        <v>24</v>
      </c>
      <c r="S76">
        <v>53620866</v>
      </c>
      <c r="T76" t="s">
        <v>25</v>
      </c>
      <c r="Y76">
        <v>701</v>
      </c>
      <c r="Z76" t="s">
        <v>41</v>
      </c>
      <c r="AC76" t="s">
        <v>42</v>
      </c>
    </row>
    <row r="77" spans="1:29">
      <c r="A77" t="s">
        <v>31</v>
      </c>
      <c r="B77" t="s">
        <v>32</v>
      </c>
      <c r="C77" t="s">
        <v>33</v>
      </c>
      <c r="D77" t="s">
        <v>34</v>
      </c>
      <c r="E77" t="s">
        <v>48</v>
      </c>
      <c r="F77" t="s">
        <v>49</v>
      </c>
      <c r="G77" t="s">
        <v>50</v>
      </c>
      <c r="I77">
        <v>1</v>
      </c>
      <c r="J77">
        <v>75</v>
      </c>
      <c r="K77">
        <v>0</v>
      </c>
      <c r="L77">
        <v>0</v>
      </c>
      <c r="M77">
        <v>1421</v>
      </c>
      <c r="N77" t="s">
        <v>39</v>
      </c>
      <c r="O77" t="s">
        <v>40</v>
      </c>
      <c r="Q77" t="s">
        <v>24</v>
      </c>
      <c r="S77">
        <v>53620866</v>
      </c>
      <c r="T77" t="s">
        <v>25</v>
      </c>
      <c r="Y77">
        <v>701</v>
      </c>
      <c r="Z77" t="s">
        <v>41</v>
      </c>
      <c r="AC77" t="s">
        <v>42</v>
      </c>
    </row>
    <row r="78" spans="1:29">
      <c r="A78" t="s">
        <v>739</v>
      </c>
      <c r="B78" t="s">
        <v>740</v>
      </c>
      <c r="C78" t="s">
        <v>741</v>
      </c>
      <c r="D78" t="s">
        <v>742</v>
      </c>
      <c r="E78" t="s">
        <v>61</v>
      </c>
      <c r="F78" t="s">
        <v>62</v>
      </c>
      <c r="G78" t="s">
        <v>84</v>
      </c>
      <c r="H78" t="s">
        <v>85</v>
      </c>
      <c r="I78">
        <v>1</v>
      </c>
      <c r="J78">
        <v>399</v>
      </c>
      <c r="K78">
        <v>0</v>
      </c>
      <c r="L78">
        <v>0</v>
      </c>
      <c r="M78">
        <v>849</v>
      </c>
      <c r="N78" t="s">
        <v>633</v>
      </c>
      <c r="O78" t="s">
        <v>634</v>
      </c>
      <c r="Q78" t="s">
        <v>24</v>
      </c>
      <c r="T78" t="s">
        <v>635</v>
      </c>
      <c r="V78">
        <v>971580</v>
      </c>
      <c r="W78" t="s">
        <v>743</v>
      </c>
      <c r="X78" t="s">
        <v>744</v>
      </c>
      <c r="AC78" t="s">
        <v>27</v>
      </c>
    </row>
    <row r="79" spans="1:29">
      <c r="A79" t="s">
        <v>739</v>
      </c>
      <c r="B79" t="s">
        <v>740</v>
      </c>
      <c r="C79" t="s">
        <v>741</v>
      </c>
      <c r="D79" t="s">
        <v>742</v>
      </c>
      <c r="E79" t="s">
        <v>55</v>
      </c>
      <c r="F79" t="s">
        <v>56</v>
      </c>
      <c r="G79" t="s">
        <v>97</v>
      </c>
      <c r="H79" t="s">
        <v>98</v>
      </c>
      <c r="I79">
        <v>1</v>
      </c>
      <c r="J79">
        <v>450</v>
      </c>
      <c r="K79">
        <v>0</v>
      </c>
      <c r="L79">
        <v>0</v>
      </c>
      <c r="M79">
        <v>849</v>
      </c>
      <c r="N79" t="s">
        <v>633</v>
      </c>
      <c r="O79" t="s">
        <v>634</v>
      </c>
      <c r="Q79" t="s">
        <v>24</v>
      </c>
      <c r="T79" t="s">
        <v>635</v>
      </c>
      <c r="V79">
        <v>971580</v>
      </c>
      <c r="W79" t="s">
        <v>743</v>
      </c>
      <c r="X79" t="s">
        <v>744</v>
      </c>
      <c r="AC79" t="s">
        <v>27</v>
      </c>
    </row>
    <row r="80" spans="1:29">
      <c r="A80" t="s">
        <v>745</v>
      </c>
      <c r="B80" t="s">
        <v>746</v>
      </c>
      <c r="C80" t="s">
        <v>747</v>
      </c>
      <c r="D80" t="s">
        <v>748</v>
      </c>
      <c r="E80" t="s">
        <v>383</v>
      </c>
      <c r="F80" t="s">
        <v>384</v>
      </c>
      <c r="G80" t="s">
        <v>749</v>
      </c>
      <c r="H80" t="s">
        <v>750</v>
      </c>
      <c r="I80">
        <v>1</v>
      </c>
      <c r="J80">
        <v>960</v>
      </c>
      <c r="K80">
        <v>0</v>
      </c>
      <c r="L80">
        <v>0</v>
      </c>
      <c r="M80">
        <v>960</v>
      </c>
      <c r="N80" t="s">
        <v>633</v>
      </c>
      <c r="O80" t="s">
        <v>634</v>
      </c>
      <c r="Q80" t="s">
        <v>24</v>
      </c>
      <c r="T80" t="s">
        <v>635</v>
      </c>
      <c r="V80">
        <v>215138</v>
      </c>
      <c r="W80" t="s">
        <v>751</v>
      </c>
      <c r="X80" t="s">
        <v>752</v>
      </c>
      <c r="AC80" t="s">
        <v>27</v>
      </c>
    </row>
    <row r="81" spans="1:29">
      <c r="A81" t="s">
        <v>14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20</v>
      </c>
      <c r="H81" t="s">
        <v>21</v>
      </c>
      <c r="I81">
        <v>1</v>
      </c>
      <c r="J81">
        <v>888</v>
      </c>
      <c r="K81">
        <v>0</v>
      </c>
      <c r="L81">
        <v>0</v>
      </c>
      <c r="M81">
        <v>2084</v>
      </c>
      <c r="N81" t="s">
        <v>22</v>
      </c>
      <c r="O81" t="s">
        <v>23</v>
      </c>
      <c r="Q81" t="s">
        <v>24</v>
      </c>
      <c r="T81" t="s">
        <v>25</v>
      </c>
      <c r="Y81">
        <v>111</v>
      </c>
      <c r="Z81" t="s">
        <v>26</v>
      </c>
      <c r="AC81" t="s">
        <v>27</v>
      </c>
    </row>
    <row r="82" spans="1:29">
      <c r="A82" t="s">
        <v>14</v>
      </c>
      <c r="B82" t="s">
        <v>15</v>
      </c>
      <c r="C82" t="s">
        <v>16</v>
      </c>
      <c r="D82" t="s">
        <v>17</v>
      </c>
      <c r="E82" t="s">
        <v>28</v>
      </c>
      <c r="F82" t="s">
        <v>29</v>
      </c>
      <c r="G82" t="s">
        <v>30</v>
      </c>
      <c r="H82">
        <v>4714781021715</v>
      </c>
      <c r="I82">
        <v>4</v>
      </c>
      <c r="J82">
        <v>1196</v>
      </c>
      <c r="K82">
        <v>0</v>
      </c>
      <c r="L82">
        <v>0</v>
      </c>
      <c r="M82">
        <v>2084</v>
      </c>
      <c r="N82" t="s">
        <v>22</v>
      </c>
      <c r="O82" t="s">
        <v>23</v>
      </c>
      <c r="Q82" t="s">
        <v>24</v>
      </c>
      <c r="T82" t="s">
        <v>25</v>
      </c>
      <c r="Y82">
        <v>111</v>
      </c>
      <c r="Z82" t="s">
        <v>26</v>
      </c>
      <c r="AC82" t="s">
        <v>27</v>
      </c>
    </row>
    <row r="83" spans="1:29">
      <c r="A83" t="s">
        <v>753</v>
      </c>
      <c r="B83" t="s">
        <v>754</v>
      </c>
      <c r="C83" t="s">
        <v>755</v>
      </c>
      <c r="D83" t="s">
        <v>756</v>
      </c>
      <c r="E83" t="s">
        <v>718</v>
      </c>
      <c r="F83" t="s">
        <v>719</v>
      </c>
      <c r="G83" t="s">
        <v>720</v>
      </c>
      <c r="H83">
        <v>4714781020541</v>
      </c>
      <c r="I83">
        <v>1</v>
      </c>
      <c r="J83">
        <v>300</v>
      </c>
      <c r="K83">
        <v>65</v>
      </c>
      <c r="L83">
        <v>0</v>
      </c>
      <c r="M83">
        <v>365</v>
      </c>
      <c r="N83" t="s">
        <v>633</v>
      </c>
      <c r="O83" t="s">
        <v>634</v>
      </c>
      <c r="Q83" t="s">
        <v>24</v>
      </c>
      <c r="T83" t="s">
        <v>635</v>
      </c>
      <c r="V83">
        <v>120010</v>
      </c>
      <c r="W83" t="s">
        <v>757</v>
      </c>
      <c r="X83" t="s">
        <v>758</v>
      </c>
      <c r="AC83" t="s">
        <v>27</v>
      </c>
    </row>
    <row r="84" spans="1:29">
      <c r="A84" t="s">
        <v>759</v>
      </c>
      <c r="B84" t="s">
        <v>760</v>
      </c>
      <c r="C84" t="s">
        <v>761</v>
      </c>
      <c r="D84" t="s">
        <v>762</v>
      </c>
      <c r="E84" t="s">
        <v>371</v>
      </c>
      <c r="F84" t="s">
        <v>372</v>
      </c>
      <c r="G84" t="s">
        <v>373</v>
      </c>
      <c r="H84">
        <v>4714781024716</v>
      </c>
      <c r="I84">
        <v>1</v>
      </c>
      <c r="J84">
        <v>299</v>
      </c>
      <c r="K84">
        <v>0</v>
      </c>
      <c r="L84">
        <v>0</v>
      </c>
      <c r="M84">
        <v>733</v>
      </c>
      <c r="N84" t="s">
        <v>633</v>
      </c>
      <c r="O84" t="s">
        <v>59</v>
      </c>
      <c r="Q84" t="s">
        <v>24</v>
      </c>
      <c r="T84" t="s">
        <v>635</v>
      </c>
      <c r="V84">
        <v>165046</v>
      </c>
      <c r="W84" t="s">
        <v>763</v>
      </c>
      <c r="X84" t="s">
        <v>764</v>
      </c>
      <c r="AC84" t="s">
        <v>42</v>
      </c>
    </row>
    <row r="85" spans="1:29">
      <c r="A85" t="s">
        <v>759</v>
      </c>
      <c r="B85" t="s">
        <v>760</v>
      </c>
      <c r="C85" t="s">
        <v>761</v>
      </c>
      <c r="D85" t="s">
        <v>762</v>
      </c>
      <c r="E85" t="s">
        <v>154</v>
      </c>
      <c r="F85" t="s">
        <v>324</v>
      </c>
      <c r="G85" t="s">
        <v>156</v>
      </c>
      <c r="H85">
        <v>4714781020510</v>
      </c>
      <c r="I85">
        <v>1</v>
      </c>
      <c r="J85">
        <v>299</v>
      </c>
      <c r="K85">
        <v>0</v>
      </c>
      <c r="L85">
        <v>0</v>
      </c>
      <c r="M85">
        <v>733</v>
      </c>
      <c r="N85" t="s">
        <v>633</v>
      </c>
      <c r="O85" t="s">
        <v>59</v>
      </c>
      <c r="Q85" t="s">
        <v>24</v>
      </c>
      <c r="T85" t="s">
        <v>635</v>
      </c>
      <c r="V85">
        <v>165046</v>
      </c>
      <c r="W85" t="s">
        <v>763</v>
      </c>
      <c r="X85" t="s">
        <v>764</v>
      </c>
      <c r="AC85" t="s">
        <v>42</v>
      </c>
    </row>
    <row r="86" spans="1:29">
      <c r="A86" t="s">
        <v>759</v>
      </c>
      <c r="B86" t="s">
        <v>760</v>
      </c>
      <c r="C86" t="s">
        <v>761</v>
      </c>
      <c r="D86" t="s">
        <v>762</v>
      </c>
      <c r="E86" t="s">
        <v>94</v>
      </c>
      <c r="F86" t="s">
        <v>95</v>
      </c>
      <c r="G86" t="s">
        <v>96</v>
      </c>
      <c r="H86">
        <v>4714781020787</v>
      </c>
      <c r="I86">
        <v>1</v>
      </c>
      <c r="J86">
        <v>135</v>
      </c>
      <c r="K86">
        <v>0</v>
      </c>
      <c r="L86">
        <v>0</v>
      </c>
      <c r="M86">
        <v>733</v>
      </c>
      <c r="N86" t="s">
        <v>633</v>
      </c>
      <c r="O86" t="s">
        <v>59</v>
      </c>
      <c r="Q86" t="s">
        <v>24</v>
      </c>
      <c r="T86" t="s">
        <v>635</v>
      </c>
      <c r="V86">
        <v>165046</v>
      </c>
      <c r="W86" t="s">
        <v>763</v>
      </c>
      <c r="X86" t="s">
        <v>764</v>
      </c>
      <c r="AC86" t="s">
        <v>42</v>
      </c>
    </row>
    <row r="87" spans="1:29">
      <c r="A87" t="s">
        <v>765</v>
      </c>
      <c r="B87" t="s">
        <v>766</v>
      </c>
      <c r="C87" t="s">
        <v>767</v>
      </c>
      <c r="D87" t="s">
        <v>768</v>
      </c>
      <c r="E87" t="s">
        <v>769</v>
      </c>
      <c r="F87" t="s">
        <v>770</v>
      </c>
      <c r="G87" t="s">
        <v>771</v>
      </c>
      <c r="H87" t="s">
        <v>772</v>
      </c>
      <c r="I87">
        <v>1</v>
      </c>
      <c r="J87">
        <v>1700</v>
      </c>
      <c r="K87">
        <v>0</v>
      </c>
      <c r="L87">
        <v>0</v>
      </c>
      <c r="M87">
        <v>2099</v>
      </c>
      <c r="N87" t="s">
        <v>633</v>
      </c>
      <c r="O87" t="s">
        <v>634</v>
      </c>
      <c r="Q87" t="s">
        <v>24</v>
      </c>
      <c r="T87" t="s">
        <v>635</v>
      </c>
      <c r="V87">
        <v>944658</v>
      </c>
      <c r="W87" t="s">
        <v>773</v>
      </c>
      <c r="X87" t="s">
        <v>774</v>
      </c>
      <c r="AC87" t="s">
        <v>27</v>
      </c>
    </row>
    <row r="88" spans="1:29">
      <c r="A88" t="s">
        <v>765</v>
      </c>
      <c r="B88" t="s">
        <v>766</v>
      </c>
      <c r="C88" t="s">
        <v>767</v>
      </c>
      <c r="D88" t="s">
        <v>768</v>
      </c>
      <c r="E88" t="s">
        <v>61</v>
      </c>
      <c r="F88" t="s">
        <v>62</v>
      </c>
      <c r="G88" t="s">
        <v>80</v>
      </c>
      <c r="H88" t="s">
        <v>81</v>
      </c>
      <c r="I88">
        <v>1</v>
      </c>
      <c r="J88">
        <v>399</v>
      </c>
      <c r="K88">
        <v>0</v>
      </c>
      <c r="L88">
        <v>0</v>
      </c>
      <c r="M88">
        <v>2099</v>
      </c>
      <c r="N88" t="s">
        <v>633</v>
      </c>
      <c r="O88" t="s">
        <v>634</v>
      </c>
      <c r="Q88" t="s">
        <v>24</v>
      </c>
      <c r="T88" t="s">
        <v>635</v>
      </c>
      <c r="V88">
        <v>944658</v>
      </c>
      <c r="W88" t="s">
        <v>773</v>
      </c>
      <c r="X88" t="s">
        <v>774</v>
      </c>
      <c r="AC88" t="s">
        <v>27</v>
      </c>
    </row>
    <row r="89" spans="1:29">
      <c r="A89" t="s">
        <v>775</v>
      </c>
      <c r="B89" t="s">
        <v>776</v>
      </c>
      <c r="C89" t="s">
        <v>777</v>
      </c>
      <c r="D89" t="s">
        <v>778</v>
      </c>
      <c r="E89" t="s">
        <v>779</v>
      </c>
      <c r="F89" t="s">
        <v>780</v>
      </c>
      <c r="G89" t="s">
        <v>781</v>
      </c>
      <c r="H89" t="s">
        <v>782</v>
      </c>
      <c r="I89">
        <v>1</v>
      </c>
      <c r="J89">
        <v>699</v>
      </c>
      <c r="K89">
        <v>0</v>
      </c>
      <c r="L89">
        <v>0</v>
      </c>
      <c r="M89">
        <v>699</v>
      </c>
      <c r="N89" t="s">
        <v>633</v>
      </c>
      <c r="O89" t="s">
        <v>634</v>
      </c>
      <c r="Q89" t="s">
        <v>24</v>
      </c>
      <c r="T89" t="s">
        <v>635</v>
      </c>
      <c r="V89">
        <v>131412</v>
      </c>
      <c r="W89" t="s">
        <v>783</v>
      </c>
      <c r="X89" t="s">
        <v>784</v>
      </c>
      <c r="AC89" t="s">
        <v>27</v>
      </c>
    </row>
    <row r="90" spans="1:29">
      <c r="A90" t="s">
        <v>250</v>
      </c>
      <c r="B90" t="s">
        <v>251</v>
      </c>
      <c r="C90" t="s">
        <v>252</v>
      </c>
      <c r="D90" t="s">
        <v>253</v>
      </c>
      <c r="E90" t="s">
        <v>55</v>
      </c>
      <c r="F90" t="s">
        <v>56</v>
      </c>
      <c r="G90" t="s">
        <v>254</v>
      </c>
      <c r="H90" t="s">
        <v>255</v>
      </c>
      <c r="I90">
        <v>1</v>
      </c>
      <c r="J90">
        <v>450</v>
      </c>
      <c r="K90">
        <v>80</v>
      </c>
      <c r="L90">
        <v>0</v>
      </c>
      <c r="M90">
        <v>530</v>
      </c>
      <c r="N90" t="s">
        <v>22</v>
      </c>
      <c r="O90" t="s">
        <v>23</v>
      </c>
      <c r="Q90" t="s">
        <v>24</v>
      </c>
      <c r="T90" t="s">
        <v>25</v>
      </c>
      <c r="Y90">
        <v>116</v>
      </c>
      <c r="Z90" t="s">
        <v>256</v>
      </c>
      <c r="AC90" t="s">
        <v>27</v>
      </c>
    </row>
    <row r="91" spans="1:29">
      <c r="A91" t="s">
        <v>785</v>
      </c>
      <c r="B91" t="s">
        <v>786</v>
      </c>
      <c r="C91" t="s">
        <v>787</v>
      </c>
      <c r="D91" t="s">
        <v>788</v>
      </c>
      <c r="E91" t="s">
        <v>61</v>
      </c>
      <c r="F91" t="s">
        <v>62</v>
      </c>
      <c r="G91" t="s">
        <v>84</v>
      </c>
      <c r="H91" t="s">
        <v>85</v>
      </c>
      <c r="I91">
        <v>2</v>
      </c>
      <c r="J91">
        <v>798</v>
      </c>
      <c r="K91">
        <v>0</v>
      </c>
      <c r="L91">
        <v>0</v>
      </c>
      <c r="M91">
        <v>798</v>
      </c>
      <c r="N91" t="s">
        <v>633</v>
      </c>
      <c r="O91" t="s">
        <v>634</v>
      </c>
      <c r="Q91" t="s">
        <v>24</v>
      </c>
      <c r="T91" t="s">
        <v>635</v>
      </c>
      <c r="V91">
        <v>130475</v>
      </c>
      <c r="W91" t="s">
        <v>789</v>
      </c>
      <c r="X91" t="s">
        <v>790</v>
      </c>
      <c r="AC91" t="s">
        <v>27</v>
      </c>
    </row>
    <row r="92" spans="1:29">
      <c r="A92" t="s">
        <v>791</v>
      </c>
      <c r="B92" t="s">
        <v>792</v>
      </c>
      <c r="C92" t="s">
        <v>793</v>
      </c>
      <c r="D92" t="s">
        <v>794</v>
      </c>
      <c r="E92" t="s">
        <v>61</v>
      </c>
      <c r="F92" t="s">
        <v>62</v>
      </c>
      <c r="G92" t="s">
        <v>84</v>
      </c>
      <c r="H92" t="s">
        <v>85</v>
      </c>
      <c r="I92">
        <v>2</v>
      </c>
      <c r="J92">
        <v>798</v>
      </c>
      <c r="K92">
        <v>0</v>
      </c>
      <c r="L92">
        <v>0</v>
      </c>
      <c r="M92">
        <v>897</v>
      </c>
      <c r="N92" t="s">
        <v>633</v>
      </c>
      <c r="O92" t="s">
        <v>40</v>
      </c>
      <c r="Q92" t="s">
        <v>24</v>
      </c>
      <c r="T92" t="s">
        <v>635</v>
      </c>
      <c r="V92">
        <v>977614</v>
      </c>
      <c r="W92" t="s">
        <v>795</v>
      </c>
      <c r="X92" t="s">
        <v>796</v>
      </c>
      <c r="AC92" t="s">
        <v>42</v>
      </c>
    </row>
    <row r="93" spans="1:29">
      <c r="A93" t="s">
        <v>791</v>
      </c>
      <c r="B93" t="s">
        <v>792</v>
      </c>
      <c r="C93" t="s">
        <v>793</v>
      </c>
      <c r="D93" t="s">
        <v>794</v>
      </c>
      <c r="E93" t="s">
        <v>602</v>
      </c>
      <c r="F93" t="s">
        <v>797</v>
      </c>
      <c r="G93" t="s">
        <v>604</v>
      </c>
      <c r="H93">
        <v>4714781021050</v>
      </c>
      <c r="I93">
        <v>1</v>
      </c>
      <c r="J93">
        <v>99</v>
      </c>
      <c r="K93">
        <v>0</v>
      </c>
      <c r="L93">
        <v>0</v>
      </c>
      <c r="M93">
        <v>897</v>
      </c>
      <c r="N93" t="s">
        <v>633</v>
      </c>
      <c r="O93" t="s">
        <v>40</v>
      </c>
      <c r="Q93" t="s">
        <v>24</v>
      </c>
      <c r="T93" t="s">
        <v>635</v>
      </c>
      <c r="V93">
        <v>977614</v>
      </c>
      <c r="W93" t="s">
        <v>795</v>
      </c>
      <c r="X93" t="s">
        <v>796</v>
      </c>
      <c r="AC93" t="s">
        <v>42</v>
      </c>
    </row>
    <row r="94" spans="1:29">
      <c r="A94" t="s">
        <v>798</v>
      </c>
      <c r="B94" t="s">
        <v>799</v>
      </c>
      <c r="C94" t="s">
        <v>800</v>
      </c>
      <c r="D94" t="s">
        <v>801</v>
      </c>
      <c r="E94" t="s">
        <v>61</v>
      </c>
      <c r="F94" t="s">
        <v>62</v>
      </c>
      <c r="G94" t="s">
        <v>84</v>
      </c>
      <c r="H94" t="s">
        <v>85</v>
      </c>
      <c r="I94">
        <v>2</v>
      </c>
      <c r="J94">
        <v>798</v>
      </c>
      <c r="K94">
        <v>0</v>
      </c>
      <c r="L94">
        <v>0</v>
      </c>
      <c r="M94">
        <v>798</v>
      </c>
      <c r="N94" t="s">
        <v>633</v>
      </c>
      <c r="O94" t="s">
        <v>634</v>
      </c>
      <c r="Q94" t="s">
        <v>24</v>
      </c>
      <c r="T94" t="s">
        <v>635</v>
      </c>
      <c r="V94">
        <v>968908</v>
      </c>
      <c r="W94" t="s">
        <v>802</v>
      </c>
      <c r="X94" t="s">
        <v>803</v>
      </c>
      <c r="AC94" t="s">
        <v>27</v>
      </c>
    </row>
    <row r="95" spans="1:29">
      <c r="A95" t="s">
        <v>804</v>
      </c>
      <c r="B95" t="s">
        <v>805</v>
      </c>
      <c r="C95" t="s">
        <v>806</v>
      </c>
      <c r="D95" t="s">
        <v>807</v>
      </c>
      <c r="E95" t="s">
        <v>262</v>
      </c>
      <c r="F95" t="s">
        <v>263</v>
      </c>
      <c r="G95" t="s">
        <v>264</v>
      </c>
      <c r="H95">
        <v>4714781024730</v>
      </c>
      <c r="I95">
        <v>1</v>
      </c>
      <c r="J95">
        <v>299</v>
      </c>
      <c r="K95">
        <v>65</v>
      </c>
      <c r="L95">
        <v>0</v>
      </c>
      <c r="M95">
        <v>513</v>
      </c>
      <c r="N95" t="s">
        <v>633</v>
      </c>
      <c r="O95" t="s">
        <v>634</v>
      </c>
      <c r="Q95" t="s">
        <v>24</v>
      </c>
      <c r="T95" t="s">
        <v>635</v>
      </c>
      <c r="V95">
        <v>912972</v>
      </c>
      <c r="W95" t="s">
        <v>808</v>
      </c>
      <c r="X95" t="s">
        <v>809</v>
      </c>
      <c r="AC95" t="s">
        <v>27</v>
      </c>
    </row>
    <row r="96" spans="1:29">
      <c r="A96" t="s">
        <v>804</v>
      </c>
      <c r="B96" t="s">
        <v>805</v>
      </c>
      <c r="C96" t="s">
        <v>806</v>
      </c>
      <c r="D96" t="s">
        <v>807</v>
      </c>
      <c r="E96" t="s">
        <v>94</v>
      </c>
      <c r="F96" t="s">
        <v>127</v>
      </c>
      <c r="G96" t="s">
        <v>96</v>
      </c>
      <c r="H96">
        <v>4714781020787</v>
      </c>
      <c r="I96">
        <v>1</v>
      </c>
      <c r="J96">
        <v>149</v>
      </c>
      <c r="K96">
        <v>65</v>
      </c>
      <c r="L96">
        <v>0</v>
      </c>
      <c r="M96">
        <v>513</v>
      </c>
      <c r="N96" t="s">
        <v>633</v>
      </c>
      <c r="O96" t="s">
        <v>634</v>
      </c>
      <c r="Q96" t="s">
        <v>24</v>
      </c>
      <c r="T96" t="s">
        <v>635</v>
      </c>
      <c r="V96">
        <v>912972</v>
      </c>
      <c r="W96" t="s">
        <v>808</v>
      </c>
      <c r="X96" t="s">
        <v>809</v>
      </c>
      <c r="AC96" t="s">
        <v>27</v>
      </c>
    </row>
    <row r="97" spans="1:29">
      <c r="A97" t="s">
        <v>245</v>
      </c>
      <c r="B97" t="s">
        <v>246</v>
      </c>
      <c r="C97" t="s">
        <v>247</v>
      </c>
      <c r="D97" t="s">
        <v>248</v>
      </c>
      <c r="E97" t="s">
        <v>61</v>
      </c>
      <c r="F97" t="s">
        <v>62</v>
      </c>
      <c r="G97" t="s">
        <v>84</v>
      </c>
      <c r="H97" t="s">
        <v>85</v>
      </c>
      <c r="I97">
        <v>1</v>
      </c>
      <c r="J97">
        <v>399</v>
      </c>
      <c r="K97">
        <v>0</v>
      </c>
      <c r="L97">
        <v>0</v>
      </c>
      <c r="M97">
        <v>849</v>
      </c>
      <c r="N97" t="s">
        <v>39</v>
      </c>
      <c r="O97" t="s">
        <v>40</v>
      </c>
      <c r="Q97" t="s">
        <v>24</v>
      </c>
      <c r="T97" t="s">
        <v>25</v>
      </c>
      <c r="Y97">
        <v>407</v>
      </c>
      <c r="Z97" t="s">
        <v>249</v>
      </c>
      <c r="AC97" t="s">
        <v>42</v>
      </c>
    </row>
    <row r="98" spans="1:29">
      <c r="A98" t="s">
        <v>245</v>
      </c>
      <c r="B98" t="s">
        <v>246</v>
      </c>
      <c r="C98" t="s">
        <v>247</v>
      </c>
      <c r="D98" t="s">
        <v>248</v>
      </c>
      <c r="E98" t="s">
        <v>55</v>
      </c>
      <c r="F98" t="s">
        <v>56</v>
      </c>
      <c r="G98" t="s">
        <v>97</v>
      </c>
      <c r="H98" t="s">
        <v>98</v>
      </c>
      <c r="I98">
        <v>1</v>
      </c>
      <c r="J98">
        <v>450</v>
      </c>
      <c r="K98">
        <v>0</v>
      </c>
      <c r="L98">
        <v>0</v>
      </c>
      <c r="M98">
        <v>849</v>
      </c>
      <c r="N98" t="s">
        <v>39</v>
      </c>
      <c r="O98" t="s">
        <v>40</v>
      </c>
      <c r="Q98" t="s">
        <v>24</v>
      </c>
      <c r="T98" t="s">
        <v>25</v>
      </c>
      <c r="Y98">
        <v>407</v>
      </c>
      <c r="Z98" t="s">
        <v>249</v>
      </c>
      <c r="AC98" t="s">
        <v>42</v>
      </c>
    </row>
    <row r="99" spans="1:29">
      <c r="A99" t="s">
        <v>240</v>
      </c>
      <c r="B99" t="s">
        <v>241</v>
      </c>
      <c r="C99" t="s">
        <v>242</v>
      </c>
      <c r="D99" t="s">
        <v>243</v>
      </c>
      <c r="E99" t="s">
        <v>138</v>
      </c>
      <c r="F99" t="s">
        <v>139</v>
      </c>
      <c r="G99" t="s">
        <v>140</v>
      </c>
      <c r="H99">
        <v>4714781020954</v>
      </c>
      <c r="I99">
        <v>1</v>
      </c>
      <c r="J99">
        <v>149</v>
      </c>
      <c r="K99">
        <v>0</v>
      </c>
      <c r="L99">
        <v>0</v>
      </c>
      <c r="M99">
        <v>1113</v>
      </c>
      <c r="N99" t="s">
        <v>39</v>
      </c>
      <c r="O99" t="s">
        <v>59</v>
      </c>
      <c r="Q99" t="s">
        <v>24</v>
      </c>
      <c r="T99" t="s">
        <v>25</v>
      </c>
      <c r="Y99">
        <v>813</v>
      </c>
      <c r="Z99" t="s">
        <v>244</v>
      </c>
      <c r="AC99" t="s">
        <v>42</v>
      </c>
    </row>
    <row r="100" spans="1:29">
      <c r="A100" t="s">
        <v>240</v>
      </c>
      <c r="B100" t="s">
        <v>241</v>
      </c>
      <c r="C100" t="s">
        <v>242</v>
      </c>
      <c r="D100" t="s">
        <v>243</v>
      </c>
      <c r="E100" t="s">
        <v>94</v>
      </c>
      <c r="F100" t="s">
        <v>95</v>
      </c>
      <c r="G100" t="s">
        <v>96</v>
      </c>
      <c r="H100">
        <v>4714781020787</v>
      </c>
      <c r="I100">
        <v>1</v>
      </c>
      <c r="J100">
        <v>135</v>
      </c>
      <c r="K100">
        <v>0</v>
      </c>
      <c r="L100">
        <v>0</v>
      </c>
      <c r="M100">
        <v>1113</v>
      </c>
      <c r="N100" t="s">
        <v>39</v>
      </c>
      <c r="O100" t="s">
        <v>59</v>
      </c>
      <c r="Q100" t="s">
        <v>24</v>
      </c>
      <c r="T100" t="s">
        <v>25</v>
      </c>
      <c r="Y100">
        <v>813</v>
      </c>
      <c r="Z100" t="s">
        <v>244</v>
      </c>
      <c r="AC100" t="s">
        <v>42</v>
      </c>
    </row>
    <row r="101" spans="1:29">
      <c r="A101" t="s">
        <v>240</v>
      </c>
      <c r="B101" t="s">
        <v>241</v>
      </c>
      <c r="C101" t="s">
        <v>242</v>
      </c>
      <c r="D101" t="s">
        <v>243</v>
      </c>
      <c r="E101" t="s">
        <v>18</v>
      </c>
      <c r="F101" t="s">
        <v>19</v>
      </c>
      <c r="G101" t="s">
        <v>20</v>
      </c>
      <c r="H101" t="s">
        <v>21</v>
      </c>
      <c r="I101">
        <v>1</v>
      </c>
      <c r="J101">
        <v>888</v>
      </c>
      <c r="K101">
        <v>0</v>
      </c>
      <c r="L101">
        <v>0</v>
      </c>
      <c r="M101">
        <v>1113</v>
      </c>
      <c r="N101" t="s">
        <v>39</v>
      </c>
      <c r="O101" t="s">
        <v>59</v>
      </c>
      <c r="Q101" t="s">
        <v>24</v>
      </c>
      <c r="T101" t="s">
        <v>25</v>
      </c>
      <c r="Y101">
        <v>813</v>
      </c>
      <c r="Z101" t="s">
        <v>244</v>
      </c>
      <c r="AC101" t="s">
        <v>42</v>
      </c>
    </row>
    <row r="102" spans="1:29">
      <c r="A102" t="s">
        <v>240</v>
      </c>
      <c r="B102" t="s">
        <v>241</v>
      </c>
      <c r="C102" t="s">
        <v>242</v>
      </c>
      <c r="D102" t="s">
        <v>243</v>
      </c>
      <c r="E102" t="s">
        <v>45</v>
      </c>
      <c r="F102" t="s">
        <v>46</v>
      </c>
      <c r="G102" t="s">
        <v>47</v>
      </c>
      <c r="I102">
        <v>1</v>
      </c>
      <c r="J102">
        <v>-59</v>
      </c>
      <c r="K102">
        <v>0</v>
      </c>
      <c r="L102">
        <v>0</v>
      </c>
      <c r="M102">
        <v>1113</v>
      </c>
      <c r="N102" t="s">
        <v>39</v>
      </c>
      <c r="O102" t="s">
        <v>59</v>
      </c>
      <c r="Q102" t="s">
        <v>24</v>
      </c>
      <c r="T102" t="s">
        <v>25</v>
      </c>
      <c r="Y102">
        <v>813</v>
      </c>
      <c r="Z102" t="s">
        <v>244</v>
      </c>
      <c r="AC102" t="s">
        <v>42</v>
      </c>
    </row>
    <row r="103" spans="1:29">
      <c r="A103" t="s">
        <v>240</v>
      </c>
      <c r="B103" t="s">
        <v>241</v>
      </c>
      <c r="C103" t="s">
        <v>242</v>
      </c>
      <c r="D103" t="s">
        <v>243</v>
      </c>
      <c r="E103" t="s">
        <v>48</v>
      </c>
      <c r="F103" t="s">
        <v>49</v>
      </c>
      <c r="G103" t="s">
        <v>50</v>
      </c>
      <c r="I103">
        <v>1</v>
      </c>
      <c r="J103">
        <v>59</v>
      </c>
      <c r="K103">
        <v>0</v>
      </c>
      <c r="L103">
        <v>0</v>
      </c>
      <c r="M103">
        <v>1113</v>
      </c>
      <c r="N103" t="s">
        <v>39</v>
      </c>
      <c r="O103" t="s">
        <v>59</v>
      </c>
      <c r="Q103" t="s">
        <v>24</v>
      </c>
      <c r="T103" t="s">
        <v>25</v>
      </c>
      <c r="Y103">
        <v>813</v>
      </c>
      <c r="Z103" t="s">
        <v>244</v>
      </c>
      <c r="AC103" t="s">
        <v>42</v>
      </c>
    </row>
    <row r="104" spans="1:29">
      <c r="A104" t="s">
        <v>235</v>
      </c>
      <c r="B104" t="s">
        <v>236</v>
      </c>
      <c r="C104" t="s">
        <v>237</v>
      </c>
      <c r="D104" t="s">
        <v>238</v>
      </c>
      <c r="E104" t="s">
        <v>61</v>
      </c>
      <c r="F104" t="s">
        <v>62</v>
      </c>
      <c r="G104" t="s">
        <v>80</v>
      </c>
      <c r="H104" t="s">
        <v>81</v>
      </c>
      <c r="I104">
        <v>2</v>
      </c>
      <c r="J104">
        <v>798</v>
      </c>
      <c r="K104">
        <v>0</v>
      </c>
      <c r="L104">
        <v>0</v>
      </c>
      <c r="M104">
        <v>1137</v>
      </c>
      <c r="N104" t="s">
        <v>39</v>
      </c>
      <c r="O104" t="s">
        <v>59</v>
      </c>
      <c r="Q104" t="s">
        <v>24</v>
      </c>
      <c r="T104" t="s">
        <v>25</v>
      </c>
      <c r="Y104">
        <v>813</v>
      </c>
      <c r="Z104" t="s">
        <v>239</v>
      </c>
      <c r="AC104" t="s">
        <v>42</v>
      </c>
    </row>
    <row r="105" spans="1:29">
      <c r="A105" t="s">
        <v>235</v>
      </c>
      <c r="B105" t="s">
        <v>236</v>
      </c>
      <c r="C105" t="s">
        <v>237</v>
      </c>
      <c r="D105" t="s">
        <v>238</v>
      </c>
      <c r="E105" t="s">
        <v>61</v>
      </c>
      <c r="F105" t="s">
        <v>62</v>
      </c>
      <c r="G105" t="s">
        <v>125</v>
      </c>
      <c r="H105" t="s">
        <v>126</v>
      </c>
      <c r="I105">
        <v>1</v>
      </c>
      <c r="J105">
        <v>399</v>
      </c>
      <c r="K105">
        <v>0</v>
      </c>
      <c r="L105">
        <v>0</v>
      </c>
      <c r="M105">
        <v>1137</v>
      </c>
      <c r="N105" t="s">
        <v>39</v>
      </c>
      <c r="O105" t="s">
        <v>59</v>
      </c>
      <c r="Q105" t="s">
        <v>24</v>
      </c>
      <c r="T105" t="s">
        <v>25</v>
      </c>
      <c r="Y105">
        <v>813</v>
      </c>
      <c r="Z105" t="s">
        <v>239</v>
      </c>
      <c r="AC105" t="s">
        <v>42</v>
      </c>
    </row>
    <row r="106" spans="1:29">
      <c r="A106" t="s">
        <v>235</v>
      </c>
      <c r="B106" t="s">
        <v>236</v>
      </c>
      <c r="C106" t="s">
        <v>237</v>
      </c>
      <c r="D106" t="s">
        <v>238</v>
      </c>
      <c r="E106" t="s">
        <v>45</v>
      </c>
      <c r="F106" t="s">
        <v>46</v>
      </c>
      <c r="G106" t="s">
        <v>47</v>
      </c>
      <c r="I106">
        <v>1</v>
      </c>
      <c r="J106">
        <v>-60</v>
      </c>
      <c r="K106">
        <v>0</v>
      </c>
      <c r="L106">
        <v>0</v>
      </c>
      <c r="M106">
        <v>1137</v>
      </c>
      <c r="N106" t="s">
        <v>39</v>
      </c>
      <c r="O106" t="s">
        <v>59</v>
      </c>
      <c r="Q106" t="s">
        <v>24</v>
      </c>
      <c r="T106" t="s">
        <v>25</v>
      </c>
      <c r="Y106">
        <v>813</v>
      </c>
      <c r="Z106" t="s">
        <v>239</v>
      </c>
      <c r="AC106" t="s">
        <v>42</v>
      </c>
    </row>
    <row r="107" spans="1:29">
      <c r="A107" t="s">
        <v>235</v>
      </c>
      <c r="B107" t="s">
        <v>236</v>
      </c>
      <c r="C107" t="s">
        <v>237</v>
      </c>
      <c r="D107" t="s">
        <v>238</v>
      </c>
      <c r="E107" t="s">
        <v>48</v>
      </c>
      <c r="F107" t="s">
        <v>49</v>
      </c>
      <c r="G107" t="s">
        <v>50</v>
      </c>
      <c r="I107">
        <v>1</v>
      </c>
      <c r="J107">
        <v>60</v>
      </c>
      <c r="K107">
        <v>0</v>
      </c>
      <c r="L107">
        <v>0</v>
      </c>
      <c r="M107">
        <v>1137</v>
      </c>
      <c r="N107" t="s">
        <v>39</v>
      </c>
      <c r="O107" t="s">
        <v>59</v>
      </c>
      <c r="Q107" t="s">
        <v>24</v>
      </c>
      <c r="T107" t="s">
        <v>25</v>
      </c>
      <c r="Y107">
        <v>813</v>
      </c>
      <c r="Z107" t="s">
        <v>239</v>
      </c>
      <c r="AC107" t="s">
        <v>42</v>
      </c>
    </row>
    <row r="108" spans="1:29">
      <c r="A108" t="s">
        <v>810</v>
      </c>
      <c r="B108" t="s">
        <v>811</v>
      </c>
      <c r="C108" t="s">
        <v>812</v>
      </c>
      <c r="D108" t="s">
        <v>813</v>
      </c>
      <c r="E108" t="s">
        <v>371</v>
      </c>
      <c r="F108" t="s">
        <v>372</v>
      </c>
      <c r="G108" t="s">
        <v>373</v>
      </c>
      <c r="H108">
        <v>4714781024716</v>
      </c>
      <c r="I108">
        <v>3</v>
      </c>
      <c r="J108">
        <v>897</v>
      </c>
      <c r="K108">
        <v>0</v>
      </c>
      <c r="L108">
        <v>0</v>
      </c>
      <c r="M108">
        <v>897</v>
      </c>
      <c r="N108" t="s">
        <v>633</v>
      </c>
      <c r="O108" t="s">
        <v>634</v>
      </c>
      <c r="Q108" t="s">
        <v>24</v>
      </c>
      <c r="T108" t="s">
        <v>635</v>
      </c>
      <c r="V108">
        <v>982188</v>
      </c>
      <c r="W108" t="s">
        <v>814</v>
      </c>
      <c r="X108" t="s">
        <v>815</v>
      </c>
      <c r="AC108" t="s">
        <v>27</v>
      </c>
    </row>
    <row r="109" spans="1:29">
      <c r="A109" t="s">
        <v>816</v>
      </c>
      <c r="B109" t="s">
        <v>817</v>
      </c>
      <c r="C109" t="s">
        <v>818</v>
      </c>
      <c r="D109" t="s">
        <v>819</v>
      </c>
      <c r="E109" t="s">
        <v>55</v>
      </c>
      <c r="F109" t="s">
        <v>56</v>
      </c>
      <c r="G109" t="s">
        <v>97</v>
      </c>
      <c r="H109" t="s">
        <v>98</v>
      </c>
      <c r="I109">
        <v>1</v>
      </c>
      <c r="J109">
        <v>450</v>
      </c>
      <c r="K109">
        <v>0</v>
      </c>
      <c r="L109">
        <v>0</v>
      </c>
      <c r="M109">
        <v>777</v>
      </c>
      <c r="N109" t="s">
        <v>633</v>
      </c>
      <c r="O109" t="s">
        <v>634</v>
      </c>
      <c r="Q109" t="s">
        <v>24</v>
      </c>
      <c r="T109" t="s">
        <v>635</v>
      </c>
      <c r="V109">
        <v>111832</v>
      </c>
      <c r="W109" t="s">
        <v>820</v>
      </c>
      <c r="X109" t="s">
        <v>821</v>
      </c>
      <c r="AC109" t="s">
        <v>27</v>
      </c>
    </row>
    <row r="110" spans="1:29">
      <c r="A110" t="s">
        <v>816</v>
      </c>
      <c r="B110" t="s">
        <v>817</v>
      </c>
      <c r="C110" t="s">
        <v>818</v>
      </c>
      <c r="D110" t="s">
        <v>819</v>
      </c>
      <c r="E110" t="s">
        <v>142</v>
      </c>
      <c r="F110" t="s">
        <v>477</v>
      </c>
      <c r="G110" t="s">
        <v>144</v>
      </c>
      <c r="H110">
        <v>4714781020794</v>
      </c>
      <c r="I110">
        <v>1</v>
      </c>
      <c r="J110">
        <v>128</v>
      </c>
      <c r="K110">
        <v>0</v>
      </c>
      <c r="L110">
        <v>0</v>
      </c>
      <c r="M110">
        <v>777</v>
      </c>
      <c r="N110" t="s">
        <v>633</v>
      </c>
      <c r="O110" t="s">
        <v>634</v>
      </c>
      <c r="Q110" t="s">
        <v>24</v>
      </c>
      <c r="T110" t="s">
        <v>635</v>
      </c>
      <c r="V110">
        <v>111832</v>
      </c>
      <c r="W110" t="s">
        <v>820</v>
      </c>
      <c r="X110" t="s">
        <v>821</v>
      </c>
      <c r="AC110" t="s">
        <v>27</v>
      </c>
    </row>
    <row r="111" spans="1:29">
      <c r="A111" t="s">
        <v>816</v>
      </c>
      <c r="B111" t="s">
        <v>817</v>
      </c>
      <c r="C111" t="s">
        <v>818</v>
      </c>
      <c r="D111" t="s">
        <v>819</v>
      </c>
      <c r="E111" t="s">
        <v>494</v>
      </c>
      <c r="F111" t="s">
        <v>495</v>
      </c>
      <c r="G111" t="s">
        <v>496</v>
      </c>
      <c r="H111" t="s">
        <v>497</v>
      </c>
      <c r="I111">
        <v>1</v>
      </c>
      <c r="J111">
        <v>199</v>
      </c>
      <c r="K111">
        <v>0</v>
      </c>
      <c r="L111">
        <v>0</v>
      </c>
      <c r="M111">
        <v>777</v>
      </c>
      <c r="N111" t="s">
        <v>633</v>
      </c>
      <c r="O111" t="s">
        <v>634</v>
      </c>
      <c r="Q111" t="s">
        <v>24</v>
      </c>
      <c r="T111" t="s">
        <v>635</v>
      </c>
      <c r="V111">
        <v>111832</v>
      </c>
      <c r="W111" t="s">
        <v>820</v>
      </c>
      <c r="X111" t="s">
        <v>821</v>
      </c>
      <c r="AC111" t="s">
        <v>27</v>
      </c>
    </row>
    <row r="112" spans="1:29">
      <c r="A112" t="s">
        <v>822</v>
      </c>
      <c r="B112" t="s">
        <v>823</v>
      </c>
      <c r="C112" t="s">
        <v>824</v>
      </c>
      <c r="D112" t="s">
        <v>825</v>
      </c>
      <c r="E112" t="s">
        <v>65</v>
      </c>
      <c r="F112" t="s">
        <v>66</v>
      </c>
      <c r="G112" t="s">
        <v>67</v>
      </c>
      <c r="H112">
        <v>4714781020800</v>
      </c>
      <c r="I112">
        <v>2</v>
      </c>
      <c r="J112">
        <v>256</v>
      </c>
      <c r="K112">
        <v>0</v>
      </c>
      <c r="L112">
        <v>0</v>
      </c>
      <c r="M112">
        <v>2060</v>
      </c>
      <c r="N112" t="s">
        <v>633</v>
      </c>
      <c r="O112" t="s">
        <v>634</v>
      </c>
      <c r="Q112" t="s">
        <v>24</v>
      </c>
      <c r="T112" t="s">
        <v>635</v>
      </c>
      <c r="V112">
        <v>944692</v>
      </c>
      <c r="W112" t="s">
        <v>826</v>
      </c>
      <c r="X112" t="s">
        <v>827</v>
      </c>
      <c r="AC112" t="s">
        <v>27</v>
      </c>
    </row>
    <row r="113" spans="1:29">
      <c r="A113" t="s">
        <v>822</v>
      </c>
      <c r="B113" t="s">
        <v>823</v>
      </c>
      <c r="C113" t="s">
        <v>824</v>
      </c>
      <c r="D113" t="s">
        <v>825</v>
      </c>
      <c r="E113" t="s">
        <v>99</v>
      </c>
      <c r="F113" t="s">
        <v>349</v>
      </c>
      <c r="G113" t="s">
        <v>101</v>
      </c>
      <c r="H113">
        <v>4714781020770</v>
      </c>
      <c r="I113">
        <v>1</v>
      </c>
      <c r="J113">
        <v>149</v>
      </c>
      <c r="K113">
        <v>0</v>
      </c>
      <c r="L113">
        <v>0</v>
      </c>
      <c r="M113">
        <v>2060</v>
      </c>
      <c r="N113" t="s">
        <v>633</v>
      </c>
      <c r="O113" t="s">
        <v>634</v>
      </c>
      <c r="Q113" t="s">
        <v>24</v>
      </c>
      <c r="T113" t="s">
        <v>635</v>
      </c>
      <c r="V113">
        <v>944692</v>
      </c>
      <c r="W113" t="s">
        <v>826</v>
      </c>
      <c r="X113" t="s">
        <v>827</v>
      </c>
      <c r="AC113" t="s">
        <v>27</v>
      </c>
    </row>
    <row r="114" spans="1:29">
      <c r="A114" t="s">
        <v>822</v>
      </c>
      <c r="B114" t="s">
        <v>823</v>
      </c>
      <c r="C114" t="s">
        <v>824</v>
      </c>
      <c r="D114" t="s">
        <v>825</v>
      </c>
      <c r="E114" t="s">
        <v>828</v>
      </c>
      <c r="F114" t="s">
        <v>829</v>
      </c>
      <c r="G114" t="s">
        <v>830</v>
      </c>
      <c r="H114">
        <v>4714781020831</v>
      </c>
      <c r="I114">
        <v>1</v>
      </c>
      <c r="J114">
        <v>350</v>
      </c>
      <c r="K114">
        <v>0</v>
      </c>
      <c r="L114">
        <v>0</v>
      </c>
      <c r="M114">
        <v>2060</v>
      </c>
      <c r="N114" t="s">
        <v>633</v>
      </c>
      <c r="O114" t="s">
        <v>634</v>
      </c>
      <c r="Q114" t="s">
        <v>24</v>
      </c>
      <c r="T114" t="s">
        <v>635</v>
      </c>
      <c r="V114">
        <v>944692</v>
      </c>
      <c r="W114" t="s">
        <v>826</v>
      </c>
      <c r="X114" t="s">
        <v>827</v>
      </c>
      <c r="AC114" t="s">
        <v>27</v>
      </c>
    </row>
    <row r="115" spans="1:29">
      <c r="A115" t="s">
        <v>822</v>
      </c>
      <c r="B115" t="s">
        <v>823</v>
      </c>
      <c r="C115" t="s">
        <v>824</v>
      </c>
      <c r="D115" t="s">
        <v>825</v>
      </c>
      <c r="E115" t="s">
        <v>273</v>
      </c>
      <c r="F115" t="s">
        <v>274</v>
      </c>
      <c r="G115" t="s">
        <v>275</v>
      </c>
      <c r="H115">
        <v>4714781020282</v>
      </c>
      <c r="I115">
        <v>1</v>
      </c>
      <c r="J115">
        <v>299</v>
      </c>
      <c r="K115">
        <v>0</v>
      </c>
      <c r="L115">
        <v>0</v>
      </c>
      <c r="M115">
        <v>2060</v>
      </c>
      <c r="N115" t="s">
        <v>633</v>
      </c>
      <c r="O115" t="s">
        <v>634</v>
      </c>
      <c r="Q115" t="s">
        <v>24</v>
      </c>
      <c r="T115" t="s">
        <v>635</v>
      </c>
      <c r="V115">
        <v>944692</v>
      </c>
      <c r="W115" t="s">
        <v>826</v>
      </c>
      <c r="X115" t="s">
        <v>827</v>
      </c>
      <c r="AC115" t="s">
        <v>27</v>
      </c>
    </row>
    <row r="116" spans="1:29">
      <c r="A116" t="s">
        <v>822</v>
      </c>
      <c r="B116" t="s">
        <v>823</v>
      </c>
      <c r="C116" t="s">
        <v>824</v>
      </c>
      <c r="D116" t="s">
        <v>825</v>
      </c>
      <c r="E116" t="s">
        <v>357</v>
      </c>
      <c r="F116" t="s">
        <v>358</v>
      </c>
      <c r="G116" t="s">
        <v>359</v>
      </c>
      <c r="H116">
        <v>4714781024723</v>
      </c>
      <c r="I116">
        <v>1</v>
      </c>
      <c r="J116">
        <v>299</v>
      </c>
      <c r="K116">
        <v>0</v>
      </c>
      <c r="L116">
        <v>0</v>
      </c>
      <c r="M116">
        <v>2060</v>
      </c>
      <c r="N116" t="s">
        <v>633</v>
      </c>
      <c r="O116" t="s">
        <v>634</v>
      </c>
      <c r="Q116" t="s">
        <v>24</v>
      </c>
      <c r="T116" t="s">
        <v>635</v>
      </c>
      <c r="V116">
        <v>944692</v>
      </c>
      <c r="W116" t="s">
        <v>826</v>
      </c>
      <c r="X116" t="s">
        <v>827</v>
      </c>
      <c r="AC116" t="s">
        <v>27</v>
      </c>
    </row>
    <row r="117" spans="1:29">
      <c r="A117" t="s">
        <v>822</v>
      </c>
      <c r="B117" t="s">
        <v>823</v>
      </c>
      <c r="C117" t="s">
        <v>824</v>
      </c>
      <c r="D117" t="s">
        <v>825</v>
      </c>
      <c r="E117" t="s">
        <v>262</v>
      </c>
      <c r="F117" t="s">
        <v>263</v>
      </c>
      <c r="G117" t="s">
        <v>264</v>
      </c>
      <c r="H117">
        <v>4714781024730</v>
      </c>
      <c r="I117">
        <v>1</v>
      </c>
      <c r="J117">
        <v>299</v>
      </c>
      <c r="K117">
        <v>0</v>
      </c>
      <c r="L117">
        <v>0</v>
      </c>
      <c r="M117">
        <v>2060</v>
      </c>
      <c r="N117" t="s">
        <v>633</v>
      </c>
      <c r="O117" t="s">
        <v>634</v>
      </c>
      <c r="Q117" t="s">
        <v>24</v>
      </c>
      <c r="T117" t="s">
        <v>635</v>
      </c>
      <c r="V117">
        <v>944692</v>
      </c>
      <c r="W117" t="s">
        <v>826</v>
      </c>
      <c r="X117" t="s">
        <v>827</v>
      </c>
      <c r="AC117" t="s">
        <v>27</v>
      </c>
    </row>
    <row r="118" spans="1:29">
      <c r="A118" t="s">
        <v>822</v>
      </c>
      <c r="B118" t="s">
        <v>823</v>
      </c>
      <c r="C118" t="s">
        <v>824</v>
      </c>
      <c r="D118" t="s">
        <v>825</v>
      </c>
      <c r="E118" t="s">
        <v>142</v>
      </c>
      <c r="F118" t="s">
        <v>143</v>
      </c>
      <c r="G118" t="s">
        <v>144</v>
      </c>
      <c r="H118">
        <v>4714781020794</v>
      </c>
      <c r="I118">
        <v>1</v>
      </c>
      <c r="J118">
        <v>109</v>
      </c>
      <c r="K118">
        <v>0</v>
      </c>
      <c r="L118">
        <v>0</v>
      </c>
      <c r="M118">
        <v>2060</v>
      </c>
      <c r="N118" t="s">
        <v>633</v>
      </c>
      <c r="O118" t="s">
        <v>634</v>
      </c>
      <c r="Q118" t="s">
        <v>24</v>
      </c>
      <c r="T118" t="s">
        <v>635</v>
      </c>
      <c r="V118">
        <v>944692</v>
      </c>
      <c r="W118" t="s">
        <v>826</v>
      </c>
      <c r="X118" t="s">
        <v>827</v>
      </c>
      <c r="AC118" t="s">
        <v>27</v>
      </c>
    </row>
    <row r="119" spans="1:29">
      <c r="A119" t="s">
        <v>822</v>
      </c>
      <c r="B119" t="s">
        <v>823</v>
      </c>
      <c r="C119" t="s">
        <v>824</v>
      </c>
      <c r="D119" t="s">
        <v>825</v>
      </c>
      <c r="E119" t="s">
        <v>371</v>
      </c>
      <c r="F119" t="s">
        <v>372</v>
      </c>
      <c r="G119" t="s">
        <v>373</v>
      </c>
      <c r="H119">
        <v>4714781024716</v>
      </c>
      <c r="I119">
        <v>1</v>
      </c>
      <c r="J119">
        <v>299</v>
      </c>
      <c r="K119">
        <v>0</v>
      </c>
      <c r="L119">
        <v>0</v>
      </c>
      <c r="M119">
        <v>2060</v>
      </c>
      <c r="N119" t="s">
        <v>633</v>
      </c>
      <c r="O119" t="s">
        <v>634</v>
      </c>
      <c r="Q119" t="s">
        <v>24</v>
      </c>
      <c r="T119" t="s">
        <v>635</v>
      </c>
      <c r="V119">
        <v>944692</v>
      </c>
      <c r="W119" t="s">
        <v>826</v>
      </c>
      <c r="X119" t="s">
        <v>827</v>
      </c>
      <c r="AC119" t="s">
        <v>27</v>
      </c>
    </row>
    <row r="120" spans="1:29">
      <c r="A120" t="s">
        <v>831</v>
      </c>
      <c r="B120" t="s">
        <v>832</v>
      </c>
      <c r="C120" t="s">
        <v>833</v>
      </c>
      <c r="D120" t="s">
        <v>834</v>
      </c>
      <c r="E120" t="s">
        <v>325</v>
      </c>
      <c r="F120" t="s">
        <v>326</v>
      </c>
      <c r="G120" t="s">
        <v>327</v>
      </c>
      <c r="H120">
        <v>4714781021401</v>
      </c>
      <c r="I120">
        <v>1</v>
      </c>
      <c r="J120">
        <v>99</v>
      </c>
      <c r="K120">
        <v>0</v>
      </c>
      <c r="L120">
        <v>0</v>
      </c>
      <c r="M120">
        <v>398</v>
      </c>
      <c r="N120" t="s">
        <v>633</v>
      </c>
      <c r="O120" t="s">
        <v>634</v>
      </c>
      <c r="Q120" t="s">
        <v>24</v>
      </c>
      <c r="T120" t="s">
        <v>635</v>
      </c>
      <c r="V120">
        <v>896045</v>
      </c>
      <c r="W120" t="s">
        <v>835</v>
      </c>
      <c r="X120" t="s">
        <v>836</v>
      </c>
      <c r="AC120" t="s">
        <v>27</v>
      </c>
    </row>
    <row r="121" spans="1:29">
      <c r="A121" t="s">
        <v>831</v>
      </c>
      <c r="B121" t="s">
        <v>832</v>
      </c>
      <c r="C121" t="s">
        <v>833</v>
      </c>
      <c r="D121" t="s">
        <v>834</v>
      </c>
      <c r="E121" t="s">
        <v>371</v>
      </c>
      <c r="F121" t="s">
        <v>372</v>
      </c>
      <c r="G121" t="s">
        <v>373</v>
      </c>
      <c r="H121">
        <v>4714781024716</v>
      </c>
      <c r="I121">
        <v>1</v>
      </c>
      <c r="J121">
        <v>299</v>
      </c>
      <c r="K121">
        <v>0</v>
      </c>
      <c r="L121">
        <v>0</v>
      </c>
      <c r="M121">
        <v>398</v>
      </c>
      <c r="N121" t="s">
        <v>633</v>
      </c>
      <c r="O121" t="s">
        <v>634</v>
      </c>
      <c r="Q121" t="s">
        <v>24</v>
      </c>
      <c r="T121" t="s">
        <v>635</v>
      </c>
      <c r="V121">
        <v>896045</v>
      </c>
      <c r="W121" t="s">
        <v>835</v>
      </c>
      <c r="X121" t="s">
        <v>836</v>
      </c>
      <c r="AC121" t="s">
        <v>27</v>
      </c>
    </row>
    <row r="122" spans="1:29">
      <c r="A122" t="s">
        <v>230</v>
      </c>
      <c r="B122" t="s">
        <v>231</v>
      </c>
      <c r="C122" t="s">
        <v>232</v>
      </c>
      <c r="D122" t="s">
        <v>233</v>
      </c>
      <c r="E122" t="s">
        <v>61</v>
      </c>
      <c r="F122" t="s">
        <v>62</v>
      </c>
      <c r="G122" t="s">
        <v>84</v>
      </c>
      <c r="H122" t="s">
        <v>85</v>
      </c>
      <c r="I122">
        <v>1</v>
      </c>
      <c r="J122">
        <v>399</v>
      </c>
      <c r="K122">
        <v>0</v>
      </c>
      <c r="L122">
        <v>0</v>
      </c>
      <c r="M122">
        <v>849</v>
      </c>
      <c r="N122" t="s">
        <v>22</v>
      </c>
      <c r="O122" t="s">
        <v>23</v>
      </c>
      <c r="Q122" t="s">
        <v>24</v>
      </c>
      <c r="T122" t="s">
        <v>25</v>
      </c>
      <c r="Y122">
        <v>116</v>
      </c>
      <c r="Z122" t="s">
        <v>234</v>
      </c>
      <c r="AC122" t="s">
        <v>27</v>
      </c>
    </row>
    <row r="123" spans="1:29">
      <c r="A123" t="s">
        <v>230</v>
      </c>
      <c r="B123" t="s">
        <v>231</v>
      </c>
      <c r="C123" t="s">
        <v>232</v>
      </c>
      <c r="D123" t="s">
        <v>233</v>
      </c>
      <c r="E123" t="s">
        <v>55</v>
      </c>
      <c r="F123" t="s">
        <v>56</v>
      </c>
      <c r="G123" t="s">
        <v>97</v>
      </c>
      <c r="H123" t="s">
        <v>98</v>
      </c>
      <c r="I123">
        <v>1</v>
      </c>
      <c r="J123">
        <v>450</v>
      </c>
      <c r="K123">
        <v>0</v>
      </c>
      <c r="L123">
        <v>0</v>
      </c>
      <c r="M123">
        <v>849</v>
      </c>
      <c r="N123" t="s">
        <v>22</v>
      </c>
      <c r="O123" t="s">
        <v>23</v>
      </c>
      <c r="Q123" t="s">
        <v>24</v>
      </c>
      <c r="T123" t="s">
        <v>25</v>
      </c>
      <c r="Y123">
        <v>116</v>
      </c>
      <c r="Z123" t="s">
        <v>234</v>
      </c>
      <c r="AC123" t="s">
        <v>27</v>
      </c>
    </row>
    <row r="124" spans="1:29">
      <c r="A124" t="s">
        <v>217</v>
      </c>
      <c r="B124" t="s">
        <v>218</v>
      </c>
      <c r="C124" t="s">
        <v>219</v>
      </c>
      <c r="D124" t="s">
        <v>220</v>
      </c>
      <c r="E124" t="s">
        <v>221</v>
      </c>
      <c r="F124" t="s">
        <v>222</v>
      </c>
      <c r="G124" t="s">
        <v>223</v>
      </c>
      <c r="H124" t="s">
        <v>224</v>
      </c>
      <c r="I124">
        <v>1</v>
      </c>
      <c r="J124">
        <v>720</v>
      </c>
      <c r="K124">
        <v>0</v>
      </c>
      <c r="L124">
        <v>0</v>
      </c>
      <c r="M124">
        <v>2145</v>
      </c>
      <c r="N124" t="s">
        <v>39</v>
      </c>
      <c r="O124" t="s">
        <v>40</v>
      </c>
      <c r="Q124" t="s">
        <v>24</v>
      </c>
      <c r="T124" t="s">
        <v>25</v>
      </c>
      <c r="Y124">
        <v>412</v>
      </c>
      <c r="Z124" t="s">
        <v>225</v>
      </c>
      <c r="AC124" t="s">
        <v>42</v>
      </c>
    </row>
    <row r="125" spans="1:29">
      <c r="A125" t="s">
        <v>217</v>
      </c>
      <c r="B125" t="s">
        <v>218</v>
      </c>
      <c r="C125" t="s">
        <v>219</v>
      </c>
      <c r="D125" t="s">
        <v>220</v>
      </c>
      <c r="E125" t="s">
        <v>226</v>
      </c>
      <c r="F125" t="s">
        <v>227</v>
      </c>
      <c r="G125" t="s">
        <v>228</v>
      </c>
      <c r="H125" t="s">
        <v>229</v>
      </c>
      <c r="I125">
        <v>2</v>
      </c>
      <c r="J125">
        <v>1538</v>
      </c>
      <c r="K125">
        <v>0</v>
      </c>
      <c r="L125">
        <v>0</v>
      </c>
      <c r="M125">
        <v>2145</v>
      </c>
      <c r="N125" t="s">
        <v>39</v>
      </c>
      <c r="O125" t="s">
        <v>40</v>
      </c>
      <c r="Q125" t="s">
        <v>24</v>
      </c>
      <c r="T125" t="s">
        <v>25</v>
      </c>
      <c r="Y125">
        <v>412</v>
      </c>
      <c r="Z125" t="s">
        <v>225</v>
      </c>
      <c r="AC125" t="s">
        <v>42</v>
      </c>
    </row>
    <row r="126" spans="1:29">
      <c r="A126" t="s">
        <v>217</v>
      </c>
      <c r="B126" t="s">
        <v>218</v>
      </c>
      <c r="C126" t="s">
        <v>219</v>
      </c>
      <c r="D126" t="s">
        <v>220</v>
      </c>
      <c r="E126" t="s">
        <v>45</v>
      </c>
      <c r="F126" t="s">
        <v>46</v>
      </c>
      <c r="G126" t="s">
        <v>47</v>
      </c>
      <c r="I126">
        <v>1</v>
      </c>
      <c r="J126">
        <v>-113</v>
      </c>
      <c r="K126">
        <v>0</v>
      </c>
      <c r="L126">
        <v>0</v>
      </c>
      <c r="M126">
        <v>2145</v>
      </c>
      <c r="N126" t="s">
        <v>39</v>
      </c>
      <c r="O126" t="s">
        <v>40</v>
      </c>
      <c r="Q126" t="s">
        <v>24</v>
      </c>
      <c r="T126" t="s">
        <v>25</v>
      </c>
      <c r="Y126">
        <v>412</v>
      </c>
      <c r="Z126" t="s">
        <v>225</v>
      </c>
      <c r="AC126" t="s">
        <v>42</v>
      </c>
    </row>
    <row r="127" spans="1:29">
      <c r="A127" t="s">
        <v>217</v>
      </c>
      <c r="B127" t="s">
        <v>218</v>
      </c>
      <c r="C127" t="s">
        <v>219</v>
      </c>
      <c r="D127" t="s">
        <v>220</v>
      </c>
      <c r="E127" t="s">
        <v>48</v>
      </c>
      <c r="F127" t="s">
        <v>49</v>
      </c>
      <c r="G127" t="s">
        <v>50</v>
      </c>
      <c r="I127">
        <v>1</v>
      </c>
      <c r="J127">
        <v>113</v>
      </c>
      <c r="K127">
        <v>0</v>
      </c>
      <c r="L127">
        <v>0</v>
      </c>
      <c r="M127">
        <v>2145</v>
      </c>
      <c r="N127" t="s">
        <v>39</v>
      </c>
      <c r="O127" t="s">
        <v>40</v>
      </c>
      <c r="Q127" t="s">
        <v>24</v>
      </c>
      <c r="T127" t="s">
        <v>25</v>
      </c>
      <c r="Y127">
        <v>412</v>
      </c>
      <c r="Z127" t="s">
        <v>225</v>
      </c>
      <c r="AC127" t="s">
        <v>42</v>
      </c>
    </row>
    <row r="128" spans="1:29">
      <c r="A128" t="s">
        <v>212</v>
      </c>
      <c r="B128" t="s">
        <v>213</v>
      </c>
      <c r="C128" t="s">
        <v>214</v>
      </c>
      <c r="D128" t="s">
        <v>215</v>
      </c>
      <c r="E128" t="s">
        <v>61</v>
      </c>
      <c r="F128" t="s">
        <v>62</v>
      </c>
      <c r="G128" t="s">
        <v>84</v>
      </c>
      <c r="H128" t="s">
        <v>85</v>
      </c>
      <c r="I128">
        <v>2</v>
      </c>
      <c r="J128">
        <v>798</v>
      </c>
      <c r="K128">
        <v>0</v>
      </c>
      <c r="L128">
        <v>0</v>
      </c>
      <c r="M128">
        <v>1186</v>
      </c>
      <c r="N128" t="s">
        <v>39</v>
      </c>
      <c r="O128" t="s">
        <v>40</v>
      </c>
      <c r="Q128" t="s">
        <v>24</v>
      </c>
      <c r="T128" t="s">
        <v>25</v>
      </c>
      <c r="Y128">
        <v>231</v>
      </c>
      <c r="Z128" t="s">
        <v>216</v>
      </c>
      <c r="AC128" t="s">
        <v>42</v>
      </c>
    </row>
    <row r="129" spans="1:29">
      <c r="A129" t="s">
        <v>212</v>
      </c>
      <c r="B129" t="s">
        <v>213</v>
      </c>
      <c r="C129" t="s">
        <v>214</v>
      </c>
      <c r="D129" t="s">
        <v>215</v>
      </c>
      <c r="E129" t="s">
        <v>55</v>
      </c>
      <c r="F129" t="s">
        <v>56</v>
      </c>
      <c r="G129" t="s">
        <v>97</v>
      </c>
      <c r="H129" t="s">
        <v>98</v>
      </c>
      <c r="I129">
        <v>1</v>
      </c>
      <c r="J129">
        <v>450</v>
      </c>
      <c r="K129">
        <v>0</v>
      </c>
      <c r="L129">
        <v>0</v>
      </c>
      <c r="M129">
        <v>1186</v>
      </c>
      <c r="N129" t="s">
        <v>39</v>
      </c>
      <c r="O129" t="s">
        <v>40</v>
      </c>
      <c r="Q129" t="s">
        <v>24</v>
      </c>
      <c r="T129" t="s">
        <v>25</v>
      </c>
      <c r="Y129">
        <v>231</v>
      </c>
      <c r="Z129" t="s">
        <v>216</v>
      </c>
      <c r="AC129" t="s">
        <v>42</v>
      </c>
    </row>
    <row r="130" spans="1:29">
      <c r="A130" t="s">
        <v>212</v>
      </c>
      <c r="B130" t="s">
        <v>213</v>
      </c>
      <c r="C130" t="s">
        <v>214</v>
      </c>
      <c r="D130" t="s">
        <v>215</v>
      </c>
      <c r="E130" t="s">
        <v>45</v>
      </c>
      <c r="F130" t="s">
        <v>46</v>
      </c>
      <c r="G130" t="s">
        <v>47</v>
      </c>
      <c r="I130">
        <v>1</v>
      </c>
      <c r="J130">
        <v>-62</v>
      </c>
      <c r="K130">
        <v>0</v>
      </c>
      <c r="L130">
        <v>0</v>
      </c>
      <c r="M130">
        <v>1186</v>
      </c>
      <c r="N130" t="s">
        <v>39</v>
      </c>
      <c r="O130" t="s">
        <v>40</v>
      </c>
      <c r="Q130" t="s">
        <v>24</v>
      </c>
      <c r="T130" t="s">
        <v>25</v>
      </c>
      <c r="Y130">
        <v>231</v>
      </c>
      <c r="Z130" t="s">
        <v>216</v>
      </c>
      <c r="AC130" t="s">
        <v>42</v>
      </c>
    </row>
    <row r="131" spans="1:29">
      <c r="A131" t="s">
        <v>212</v>
      </c>
      <c r="B131" t="s">
        <v>213</v>
      </c>
      <c r="C131" t="s">
        <v>214</v>
      </c>
      <c r="D131" t="s">
        <v>215</v>
      </c>
      <c r="E131" t="s">
        <v>48</v>
      </c>
      <c r="F131" t="s">
        <v>49</v>
      </c>
      <c r="G131" t="s">
        <v>50</v>
      </c>
      <c r="I131">
        <v>1</v>
      </c>
      <c r="J131">
        <v>62</v>
      </c>
      <c r="K131">
        <v>0</v>
      </c>
      <c r="L131">
        <v>0</v>
      </c>
      <c r="M131">
        <v>1186</v>
      </c>
      <c r="N131" t="s">
        <v>39</v>
      </c>
      <c r="O131" t="s">
        <v>40</v>
      </c>
      <c r="Q131" t="s">
        <v>24</v>
      </c>
      <c r="T131" t="s">
        <v>25</v>
      </c>
      <c r="Y131">
        <v>231</v>
      </c>
      <c r="Z131" t="s">
        <v>216</v>
      </c>
      <c r="AC131" t="s">
        <v>42</v>
      </c>
    </row>
    <row r="132" spans="1:29">
      <c r="A132" t="s">
        <v>837</v>
      </c>
      <c r="B132" t="s">
        <v>838</v>
      </c>
      <c r="C132" t="s">
        <v>839</v>
      </c>
      <c r="D132" t="s">
        <v>840</v>
      </c>
      <c r="E132" t="s">
        <v>55</v>
      </c>
      <c r="F132" t="s">
        <v>56</v>
      </c>
      <c r="G132" t="s">
        <v>97</v>
      </c>
      <c r="H132" t="s">
        <v>98</v>
      </c>
      <c r="I132">
        <v>1</v>
      </c>
      <c r="J132">
        <v>450</v>
      </c>
      <c r="K132">
        <v>0</v>
      </c>
      <c r="L132">
        <v>0</v>
      </c>
      <c r="M132">
        <v>749</v>
      </c>
      <c r="N132" t="s">
        <v>633</v>
      </c>
      <c r="O132" t="s">
        <v>634</v>
      </c>
      <c r="Q132" t="s">
        <v>24</v>
      </c>
      <c r="T132" t="s">
        <v>635</v>
      </c>
      <c r="V132">
        <v>146540</v>
      </c>
      <c r="W132" t="s">
        <v>841</v>
      </c>
      <c r="X132" t="s">
        <v>842</v>
      </c>
      <c r="AC132" t="s">
        <v>27</v>
      </c>
    </row>
    <row r="133" spans="1:29">
      <c r="A133" t="s">
        <v>837</v>
      </c>
      <c r="B133" t="s">
        <v>838</v>
      </c>
      <c r="C133" t="s">
        <v>839</v>
      </c>
      <c r="D133" t="s">
        <v>840</v>
      </c>
      <c r="E133" t="s">
        <v>371</v>
      </c>
      <c r="F133" t="s">
        <v>372</v>
      </c>
      <c r="G133" t="s">
        <v>373</v>
      </c>
      <c r="H133">
        <v>4714781024716</v>
      </c>
      <c r="I133">
        <v>1</v>
      </c>
      <c r="J133">
        <v>299</v>
      </c>
      <c r="K133">
        <v>0</v>
      </c>
      <c r="L133">
        <v>0</v>
      </c>
      <c r="M133">
        <v>749</v>
      </c>
      <c r="N133" t="s">
        <v>633</v>
      </c>
      <c r="O133" t="s">
        <v>634</v>
      </c>
      <c r="Q133" t="s">
        <v>24</v>
      </c>
      <c r="T133" t="s">
        <v>635</v>
      </c>
      <c r="V133">
        <v>146540</v>
      </c>
      <c r="W133" t="s">
        <v>841</v>
      </c>
      <c r="X133" t="s">
        <v>842</v>
      </c>
      <c r="AC133" t="s">
        <v>27</v>
      </c>
    </row>
    <row r="134" spans="1:29">
      <c r="A134" t="s">
        <v>843</v>
      </c>
      <c r="B134" t="s">
        <v>844</v>
      </c>
      <c r="C134" t="s">
        <v>845</v>
      </c>
      <c r="D134" t="s">
        <v>846</v>
      </c>
      <c r="E134" t="s">
        <v>203</v>
      </c>
      <c r="F134" t="s">
        <v>204</v>
      </c>
      <c r="G134" t="s">
        <v>205</v>
      </c>
      <c r="H134" t="s">
        <v>206</v>
      </c>
      <c r="I134">
        <v>1</v>
      </c>
      <c r="J134">
        <v>528</v>
      </c>
      <c r="K134">
        <v>65</v>
      </c>
      <c r="L134">
        <v>0</v>
      </c>
      <c r="M134">
        <v>593</v>
      </c>
      <c r="N134" t="s">
        <v>633</v>
      </c>
      <c r="O134" t="s">
        <v>634</v>
      </c>
      <c r="Q134" t="s">
        <v>24</v>
      </c>
      <c r="T134" t="s">
        <v>635</v>
      </c>
      <c r="V134">
        <v>978558</v>
      </c>
      <c r="W134" t="s">
        <v>847</v>
      </c>
      <c r="X134" t="s">
        <v>848</v>
      </c>
      <c r="AC134" t="s">
        <v>27</v>
      </c>
    </row>
    <row r="135" spans="1:29">
      <c r="A135" t="s">
        <v>207</v>
      </c>
      <c r="B135" t="s">
        <v>208</v>
      </c>
      <c r="C135" t="s">
        <v>209</v>
      </c>
      <c r="D135" t="s">
        <v>210</v>
      </c>
      <c r="E135" t="s">
        <v>61</v>
      </c>
      <c r="F135" t="s">
        <v>62</v>
      </c>
      <c r="G135" t="s">
        <v>84</v>
      </c>
      <c r="H135" t="s">
        <v>85</v>
      </c>
      <c r="I135">
        <v>1</v>
      </c>
      <c r="J135">
        <v>399</v>
      </c>
      <c r="K135">
        <v>80</v>
      </c>
      <c r="L135">
        <v>0</v>
      </c>
      <c r="M135">
        <v>479</v>
      </c>
      <c r="N135" t="s">
        <v>22</v>
      </c>
      <c r="O135" t="s">
        <v>23</v>
      </c>
      <c r="Q135" t="s">
        <v>24</v>
      </c>
      <c r="T135" t="s">
        <v>25</v>
      </c>
      <c r="Y135">
        <v>326</v>
      </c>
      <c r="Z135" t="s">
        <v>211</v>
      </c>
      <c r="AC135" t="s">
        <v>27</v>
      </c>
    </row>
    <row r="136" spans="1:29">
      <c r="A136" t="s">
        <v>849</v>
      </c>
      <c r="B136" t="s">
        <v>850</v>
      </c>
      <c r="C136" t="s">
        <v>851</v>
      </c>
      <c r="D136" t="s">
        <v>852</v>
      </c>
      <c r="E136" t="s">
        <v>61</v>
      </c>
      <c r="F136" t="s">
        <v>62</v>
      </c>
      <c r="G136" t="s">
        <v>80</v>
      </c>
      <c r="H136" t="s">
        <v>81</v>
      </c>
      <c r="I136">
        <v>1</v>
      </c>
      <c r="J136">
        <v>399</v>
      </c>
      <c r="K136">
        <v>0</v>
      </c>
      <c r="L136">
        <v>0</v>
      </c>
      <c r="M136">
        <v>984</v>
      </c>
      <c r="N136" t="s">
        <v>633</v>
      </c>
      <c r="O136" t="s">
        <v>634</v>
      </c>
      <c r="Q136" t="s">
        <v>24</v>
      </c>
      <c r="T136" t="s">
        <v>635</v>
      </c>
      <c r="V136">
        <v>951966</v>
      </c>
      <c r="W136" t="s">
        <v>853</v>
      </c>
      <c r="X136" t="s">
        <v>854</v>
      </c>
      <c r="AC136" t="s">
        <v>27</v>
      </c>
    </row>
    <row r="137" spans="1:29">
      <c r="A137" t="s">
        <v>849</v>
      </c>
      <c r="B137" t="s">
        <v>850</v>
      </c>
      <c r="C137" t="s">
        <v>851</v>
      </c>
      <c r="D137" t="s">
        <v>852</v>
      </c>
      <c r="E137" t="s">
        <v>94</v>
      </c>
      <c r="F137" t="s">
        <v>95</v>
      </c>
      <c r="G137" t="s">
        <v>96</v>
      </c>
      <c r="H137">
        <v>4714781020787</v>
      </c>
      <c r="I137">
        <v>1</v>
      </c>
      <c r="J137">
        <v>135</v>
      </c>
      <c r="K137">
        <v>0</v>
      </c>
      <c r="L137">
        <v>0</v>
      </c>
      <c r="M137">
        <v>984</v>
      </c>
      <c r="N137" t="s">
        <v>633</v>
      </c>
      <c r="O137" t="s">
        <v>634</v>
      </c>
      <c r="Q137" t="s">
        <v>24</v>
      </c>
      <c r="T137" t="s">
        <v>635</v>
      </c>
      <c r="V137">
        <v>951966</v>
      </c>
      <c r="W137" t="s">
        <v>853</v>
      </c>
      <c r="X137" t="s">
        <v>854</v>
      </c>
      <c r="AC137" t="s">
        <v>27</v>
      </c>
    </row>
    <row r="138" spans="1:29">
      <c r="A138" t="s">
        <v>849</v>
      </c>
      <c r="B138" t="s">
        <v>850</v>
      </c>
      <c r="C138" t="s">
        <v>851</v>
      </c>
      <c r="D138" t="s">
        <v>852</v>
      </c>
      <c r="E138" t="s">
        <v>55</v>
      </c>
      <c r="F138" t="s">
        <v>56</v>
      </c>
      <c r="G138" t="s">
        <v>254</v>
      </c>
      <c r="H138" t="s">
        <v>255</v>
      </c>
      <c r="I138">
        <v>1</v>
      </c>
      <c r="J138">
        <v>450</v>
      </c>
      <c r="K138">
        <v>0</v>
      </c>
      <c r="L138">
        <v>0</v>
      </c>
      <c r="M138">
        <v>984</v>
      </c>
      <c r="N138" t="s">
        <v>633</v>
      </c>
      <c r="O138" t="s">
        <v>634</v>
      </c>
      <c r="Q138" t="s">
        <v>24</v>
      </c>
      <c r="T138" t="s">
        <v>635</v>
      </c>
      <c r="V138">
        <v>951966</v>
      </c>
      <c r="W138" t="s">
        <v>853</v>
      </c>
      <c r="X138" t="s">
        <v>854</v>
      </c>
      <c r="AC138" t="s">
        <v>27</v>
      </c>
    </row>
    <row r="139" spans="1:29">
      <c r="A139" t="s">
        <v>855</v>
      </c>
      <c r="B139" t="s">
        <v>856</v>
      </c>
      <c r="C139" t="s">
        <v>857</v>
      </c>
      <c r="D139" t="s">
        <v>858</v>
      </c>
      <c r="E139" t="s">
        <v>375</v>
      </c>
      <c r="F139" t="s">
        <v>376</v>
      </c>
      <c r="G139" t="s">
        <v>672</v>
      </c>
      <c r="H139" t="s">
        <v>673</v>
      </c>
      <c r="I139">
        <v>1</v>
      </c>
      <c r="J139">
        <v>480</v>
      </c>
      <c r="K139">
        <v>0</v>
      </c>
      <c r="L139">
        <v>0</v>
      </c>
      <c r="M139">
        <v>1646</v>
      </c>
      <c r="N139" t="s">
        <v>633</v>
      </c>
      <c r="O139" t="s">
        <v>634</v>
      </c>
      <c r="Q139" t="s">
        <v>24</v>
      </c>
      <c r="T139" t="s">
        <v>635</v>
      </c>
      <c r="V139">
        <v>180997</v>
      </c>
      <c r="W139" t="s">
        <v>859</v>
      </c>
      <c r="X139" t="s">
        <v>860</v>
      </c>
      <c r="AC139" t="s">
        <v>27</v>
      </c>
    </row>
    <row r="140" spans="1:29">
      <c r="A140" t="s">
        <v>855</v>
      </c>
      <c r="B140" t="s">
        <v>856</v>
      </c>
      <c r="C140" t="s">
        <v>857</v>
      </c>
      <c r="D140" t="s">
        <v>858</v>
      </c>
      <c r="E140" t="s">
        <v>602</v>
      </c>
      <c r="F140" t="s">
        <v>797</v>
      </c>
      <c r="G140" t="s">
        <v>604</v>
      </c>
      <c r="H140">
        <v>4714781021050</v>
      </c>
      <c r="I140">
        <v>1</v>
      </c>
      <c r="J140">
        <v>99</v>
      </c>
      <c r="K140">
        <v>0</v>
      </c>
      <c r="L140">
        <v>0</v>
      </c>
      <c r="M140">
        <v>1646</v>
      </c>
      <c r="N140" t="s">
        <v>633</v>
      </c>
      <c r="O140" t="s">
        <v>634</v>
      </c>
      <c r="Q140" t="s">
        <v>24</v>
      </c>
      <c r="T140" t="s">
        <v>635</v>
      </c>
      <c r="V140">
        <v>180997</v>
      </c>
      <c r="W140" t="s">
        <v>859</v>
      </c>
      <c r="X140" t="s">
        <v>860</v>
      </c>
      <c r="AC140" t="s">
        <v>27</v>
      </c>
    </row>
    <row r="141" spans="1:29">
      <c r="A141" t="s">
        <v>855</v>
      </c>
      <c r="B141" t="s">
        <v>856</v>
      </c>
      <c r="C141" t="s">
        <v>857</v>
      </c>
      <c r="D141" t="s">
        <v>858</v>
      </c>
      <c r="E141" t="s">
        <v>115</v>
      </c>
      <c r="F141" t="s">
        <v>116</v>
      </c>
      <c r="G141" t="s">
        <v>861</v>
      </c>
      <c r="H141" t="s">
        <v>862</v>
      </c>
      <c r="I141">
        <v>1</v>
      </c>
      <c r="J141">
        <v>460</v>
      </c>
      <c r="K141">
        <v>0</v>
      </c>
      <c r="L141">
        <v>0</v>
      </c>
      <c r="M141">
        <v>1646</v>
      </c>
      <c r="N141" t="s">
        <v>633</v>
      </c>
      <c r="O141" t="s">
        <v>634</v>
      </c>
      <c r="Q141" t="s">
        <v>24</v>
      </c>
      <c r="T141" t="s">
        <v>635</v>
      </c>
      <c r="V141">
        <v>180997</v>
      </c>
      <c r="W141" t="s">
        <v>859</v>
      </c>
      <c r="X141" t="s">
        <v>860</v>
      </c>
      <c r="AC141" t="s">
        <v>27</v>
      </c>
    </row>
    <row r="142" spans="1:29">
      <c r="A142" t="s">
        <v>855</v>
      </c>
      <c r="B142" t="s">
        <v>856</v>
      </c>
      <c r="C142" t="s">
        <v>857</v>
      </c>
      <c r="D142" t="s">
        <v>858</v>
      </c>
      <c r="E142" t="s">
        <v>863</v>
      </c>
      <c r="F142" t="s">
        <v>864</v>
      </c>
      <c r="G142" t="s">
        <v>865</v>
      </c>
      <c r="H142">
        <v>4714781021043</v>
      </c>
      <c r="I142">
        <v>1</v>
      </c>
      <c r="J142">
        <v>150</v>
      </c>
      <c r="K142">
        <v>0</v>
      </c>
      <c r="L142">
        <v>0</v>
      </c>
      <c r="M142">
        <v>1646</v>
      </c>
      <c r="N142" t="s">
        <v>633</v>
      </c>
      <c r="O142" t="s">
        <v>634</v>
      </c>
      <c r="Q142" t="s">
        <v>24</v>
      </c>
      <c r="T142" t="s">
        <v>635</v>
      </c>
      <c r="V142">
        <v>180997</v>
      </c>
      <c r="W142" t="s">
        <v>859</v>
      </c>
      <c r="X142" t="s">
        <v>860</v>
      </c>
      <c r="AC142" t="s">
        <v>27</v>
      </c>
    </row>
    <row r="143" spans="1:29">
      <c r="A143" t="s">
        <v>855</v>
      </c>
      <c r="B143" t="s">
        <v>856</v>
      </c>
      <c r="C143" t="s">
        <v>857</v>
      </c>
      <c r="D143" t="s">
        <v>858</v>
      </c>
      <c r="E143" t="s">
        <v>138</v>
      </c>
      <c r="F143" t="s">
        <v>361</v>
      </c>
      <c r="G143" t="s">
        <v>140</v>
      </c>
      <c r="H143">
        <v>4714781020954</v>
      </c>
      <c r="I143">
        <v>1</v>
      </c>
      <c r="J143">
        <v>145</v>
      </c>
      <c r="K143">
        <v>0</v>
      </c>
      <c r="L143">
        <v>0</v>
      </c>
      <c r="M143">
        <v>1646</v>
      </c>
      <c r="N143" t="s">
        <v>633</v>
      </c>
      <c r="O143" t="s">
        <v>634</v>
      </c>
      <c r="Q143" t="s">
        <v>24</v>
      </c>
      <c r="T143" t="s">
        <v>635</v>
      </c>
      <c r="V143">
        <v>180997</v>
      </c>
      <c r="W143" t="s">
        <v>859</v>
      </c>
      <c r="X143" t="s">
        <v>860</v>
      </c>
      <c r="AC143" t="s">
        <v>27</v>
      </c>
    </row>
    <row r="144" spans="1:29">
      <c r="A144" t="s">
        <v>855</v>
      </c>
      <c r="B144" t="s">
        <v>856</v>
      </c>
      <c r="C144" t="s">
        <v>857</v>
      </c>
      <c r="D144" t="s">
        <v>858</v>
      </c>
      <c r="E144" t="s">
        <v>61</v>
      </c>
      <c r="F144" t="s">
        <v>62</v>
      </c>
      <c r="G144" t="s">
        <v>84</v>
      </c>
      <c r="H144" t="s">
        <v>85</v>
      </c>
      <c r="I144">
        <v>1</v>
      </c>
      <c r="J144">
        <v>399</v>
      </c>
      <c r="K144">
        <v>0</v>
      </c>
      <c r="L144">
        <v>0</v>
      </c>
      <c r="M144">
        <v>1646</v>
      </c>
      <c r="N144" t="s">
        <v>633</v>
      </c>
      <c r="O144" t="s">
        <v>634</v>
      </c>
      <c r="Q144" t="s">
        <v>24</v>
      </c>
      <c r="T144" t="s">
        <v>635</v>
      </c>
      <c r="V144">
        <v>180997</v>
      </c>
      <c r="W144" t="s">
        <v>859</v>
      </c>
      <c r="X144" t="s">
        <v>860</v>
      </c>
      <c r="AC144" t="s">
        <v>27</v>
      </c>
    </row>
    <row r="145" spans="1:29">
      <c r="A145" t="s">
        <v>855</v>
      </c>
      <c r="B145" t="s">
        <v>856</v>
      </c>
      <c r="C145" t="s">
        <v>857</v>
      </c>
      <c r="D145" t="s">
        <v>858</v>
      </c>
      <c r="E145" t="s">
        <v>45</v>
      </c>
      <c r="F145" t="s">
        <v>46</v>
      </c>
      <c r="G145" t="s">
        <v>47</v>
      </c>
      <c r="I145">
        <v>1</v>
      </c>
      <c r="J145">
        <v>-87</v>
      </c>
      <c r="K145">
        <v>0</v>
      </c>
      <c r="L145">
        <v>0</v>
      </c>
      <c r="M145">
        <v>1646</v>
      </c>
      <c r="N145" t="s">
        <v>633</v>
      </c>
      <c r="O145" t="s">
        <v>634</v>
      </c>
      <c r="Q145" t="s">
        <v>24</v>
      </c>
      <c r="T145" t="s">
        <v>635</v>
      </c>
      <c r="V145">
        <v>180997</v>
      </c>
      <c r="W145" t="s">
        <v>859</v>
      </c>
      <c r="X145" t="s">
        <v>860</v>
      </c>
      <c r="AC145" t="s">
        <v>27</v>
      </c>
    </row>
    <row r="146" spans="1:29">
      <c r="A146" t="s">
        <v>855</v>
      </c>
      <c r="B146" t="s">
        <v>856</v>
      </c>
      <c r="C146" t="s">
        <v>857</v>
      </c>
      <c r="D146" t="s">
        <v>858</v>
      </c>
      <c r="E146" t="s">
        <v>48</v>
      </c>
      <c r="F146" t="s">
        <v>49</v>
      </c>
      <c r="G146" t="s">
        <v>50</v>
      </c>
      <c r="I146">
        <v>1</v>
      </c>
      <c r="J146">
        <v>87</v>
      </c>
      <c r="K146">
        <v>0</v>
      </c>
      <c r="L146">
        <v>0</v>
      </c>
      <c r="M146">
        <v>1646</v>
      </c>
      <c r="N146" t="s">
        <v>633</v>
      </c>
      <c r="O146" t="s">
        <v>634</v>
      </c>
      <c r="Q146" t="s">
        <v>24</v>
      </c>
      <c r="T146" t="s">
        <v>635</v>
      </c>
      <c r="V146">
        <v>180997</v>
      </c>
      <c r="W146" t="s">
        <v>859</v>
      </c>
      <c r="X146" t="s">
        <v>860</v>
      </c>
      <c r="AC146" t="s">
        <v>27</v>
      </c>
    </row>
    <row r="147" spans="1:29">
      <c r="A147" t="s">
        <v>201</v>
      </c>
      <c r="B147" t="s">
        <v>202</v>
      </c>
      <c r="C147" t="s">
        <v>102</v>
      </c>
      <c r="D147" t="s">
        <v>103</v>
      </c>
      <c r="E147" t="s">
        <v>203</v>
      </c>
      <c r="F147" t="s">
        <v>204</v>
      </c>
      <c r="G147" t="s">
        <v>205</v>
      </c>
      <c r="H147" t="s">
        <v>206</v>
      </c>
      <c r="I147">
        <v>2</v>
      </c>
      <c r="J147">
        <v>1056</v>
      </c>
      <c r="K147">
        <v>0</v>
      </c>
      <c r="L147">
        <v>0</v>
      </c>
      <c r="M147">
        <v>956</v>
      </c>
      <c r="N147" t="s">
        <v>39</v>
      </c>
      <c r="O147" t="s">
        <v>59</v>
      </c>
      <c r="Q147" t="s">
        <v>24</v>
      </c>
      <c r="T147" t="s">
        <v>25</v>
      </c>
      <c r="Y147">
        <v>800</v>
      </c>
      <c r="Z147" t="s">
        <v>107</v>
      </c>
      <c r="AC147" t="s">
        <v>42</v>
      </c>
    </row>
    <row r="148" spans="1:29">
      <c r="A148" t="s">
        <v>201</v>
      </c>
      <c r="B148" t="s">
        <v>202</v>
      </c>
      <c r="C148" t="s">
        <v>102</v>
      </c>
      <c r="D148" t="s">
        <v>103</v>
      </c>
      <c r="E148" t="s">
        <v>108</v>
      </c>
      <c r="F148" t="s">
        <v>109</v>
      </c>
      <c r="G148" t="s">
        <v>110</v>
      </c>
      <c r="I148">
        <v>1</v>
      </c>
      <c r="J148">
        <v>-50</v>
      </c>
      <c r="K148">
        <v>0</v>
      </c>
      <c r="L148">
        <v>0</v>
      </c>
      <c r="M148">
        <v>956</v>
      </c>
      <c r="N148" t="s">
        <v>39</v>
      </c>
      <c r="O148" t="s">
        <v>59</v>
      </c>
      <c r="Q148" t="s">
        <v>24</v>
      </c>
      <c r="T148" t="s">
        <v>25</v>
      </c>
      <c r="Y148">
        <v>800</v>
      </c>
      <c r="Z148" t="s">
        <v>107</v>
      </c>
      <c r="AC148" t="s">
        <v>42</v>
      </c>
    </row>
    <row r="149" spans="1:29">
      <c r="A149" t="s">
        <v>201</v>
      </c>
      <c r="B149" t="s">
        <v>202</v>
      </c>
      <c r="C149" t="s">
        <v>102</v>
      </c>
      <c r="D149" t="s">
        <v>103</v>
      </c>
      <c r="E149" t="s">
        <v>45</v>
      </c>
      <c r="F149" t="s">
        <v>46</v>
      </c>
      <c r="G149" t="s">
        <v>47</v>
      </c>
      <c r="I149">
        <v>1</v>
      </c>
      <c r="J149">
        <v>-50</v>
      </c>
      <c r="K149">
        <v>0</v>
      </c>
      <c r="L149">
        <v>0</v>
      </c>
      <c r="M149">
        <v>956</v>
      </c>
      <c r="N149" t="s">
        <v>39</v>
      </c>
      <c r="O149" t="s">
        <v>59</v>
      </c>
      <c r="Q149" t="s">
        <v>24</v>
      </c>
      <c r="T149" t="s">
        <v>25</v>
      </c>
      <c r="Y149">
        <v>800</v>
      </c>
      <c r="Z149" t="s">
        <v>107</v>
      </c>
      <c r="AC149" t="s">
        <v>42</v>
      </c>
    </row>
    <row r="150" spans="1:29">
      <c r="A150" t="s">
        <v>201</v>
      </c>
      <c r="B150" t="s">
        <v>202</v>
      </c>
      <c r="C150" t="s">
        <v>102</v>
      </c>
      <c r="D150" t="s">
        <v>103</v>
      </c>
      <c r="E150" t="s">
        <v>48</v>
      </c>
      <c r="F150" t="s">
        <v>49</v>
      </c>
      <c r="G150" t="s">
        <v>50</v>
      </c>
      <c r="I150">
        <v>1</v>
      </c>
      <c r="J150">
        <v>50</v>
      </c>
      <c r="K150">
        <v>0</v>
      </c>
      <c r="L150">
        <v>0</v>
      </c>
      <c r="M150">
        <v>956</v>
      </c>
      <c r="N150" t="s">
        <v>39</v>
      </c>
      <c r="O150" t="s">
        <v>59</v>
      </c>
      <c r="Q150" t="s">
        <v>24</v>
      </c>
      <c r="T150" t="s">
        <v>25</v>
      </c>
      <c r="Y150">
        <v>800</v>
      </c>
      <c r="Z150" t="s">
        <v>107</v>
      </c>
      <c r="AC150" t="s">
        <v>42</v>
      </c>
    </row>
    <row r="151" spans="1:29">
      <c r="A151" t="s">
        <v>866</v>
      </c>
      <c r="B151" t="s">
        <v>867</v>
      </c>
      <c r="C151" t="s">
        <v>868</v>
      </c>
      <c r="D151" t="s">
        <v>869</v>
      </c>
      <c r="E151" t="s">
        <v>55</v>
      </c>
      <c r="F151" t="s">
        <v>56</v>
      </c>
      <c r="G151" t="s">
        <v>97</v>
      </c>
      <c r="H151" t="s">
        <v>98</v>
      </c>
      <c r="I151">
        <v>1</v>
      </c>
      <c r="J151">
        <v>450</v>
      </c>
      <c r="K151">
        <v>0</v>
      </c>
      <c r="L151">
        <v>0</v>
      </c>
      <c r="M151">
        <v>1336</v>
      </c>
      <c r="N151" t="s">
        <v>633</v>
      </c>
      <c r="O151" t="s">
        <v>634</v>
      </c>
      <c r="Q151" t="s">
        <v>24</v>
      </c>
      <c r="T151" t="s">
        <v>635</v>
      </c>
      <c r="V151">
        <v>189503</v>
      </c>
      <c r="W151" t="s">
        <v>870</v>
      </c>
      <c r="X151" t="s">
        <v>871</v>
      </c>
      <c r="AC151" t="s">
        <v>27</v>
      </c>
    </row>
    <row r="152" spans="1:29">
      <c r="A152" t="s">
        <v>866</v>
      </c>
      <c r="B152" t="s">
        <v>867</v>
      </c>
      <c r="C152" t="s">
        <v>868</v>
      </c>
      <c r="D152" t="s">
        <v>869</v>
      </c>
      <c r="E152" t="s">
        <v>473</v>
      </c>
      <c r="F152" t="s">
        <v>474</v>
      </c>
      <c r="G152" t="s">
        <v>475</v>
      </c>
      <c r="H152">
        <v>4714781021609</v>
      </c>
      <c r="I152">
        <v>2</v>
      </c>
      <c r="J152">
        <v>298</v>
      </c>
      <c r="K152">
        <v>0</v>
      </c>
      <c r="L152">
        <v>0</v>
      </c>
      <c r="M152">
        <v>1336</v>
      </c>
      <c r="N152" t="s">
        <v>633</v>
      </c>
      <c r="O152" t="s">
        <v>634</v>
      </c>
      <c r="Q152" t="s">
        <v>24</v>
      </c>
      <c r="T152" t="s">
        <v>635</v>
      </c>
      <c r="V152">
        <v>189503</v>
      </c>
      <c r="W152" t="s">
        <v>870</v>
      </c>
      <c r="X152" t="s">
        <v>871</v>
      </c>
      <c r="AC152" t="s">
        <v>27</v>
      </c>
    </row>
    <row r="153" spans="1:29">
      <c r="A153" t="s">
        <v>866</v>
      </c>
      <c r="B153" t="s">
        <v>867</v>
      </c>
      <c r="C153" t="s">
        <v>868</v>
      </c>
      <c r="D153" t="s">
        <v>869</v>
      </c>
      <c r="E153" t="s">
        <v>68</v>
      </c>
      <c r="F153" t="s">
        <v>69</v>
      </c>
      <c r="G153" t="s">
        <v>70</v>
      </c>
      <c r="H153">
        <v>4714781021593</v>
      </c>
      <c r="I153">
        <v>2</v>
      </c>
      <c r="J153">
        <v>298</v>
      </c>
      <c r="K153">
        <v>0</v>
      </c>
      <c r="L153">
        <v>0</v>
      </c>
      <c r="M153">
        <v>1336</v>
      </c>
      <c r="N153" t="s">
        <v>633</v>
      </c>
      <c r="O153" t="s">
        <v>634</v>
      </c>
      <c r="Q153" t="s">
        <v>24</v>
      </c>
      <c r="T153" t="s">
        <v>635</v>
      </c>
      <c r="V153">
        <v>189503</v>
      </c>
      <c r="W153" t="s">
        <v>870</v>
      </c>
      <c r="X153" t="s">
        <v>871</v>
      </c>
      <c r="AC153" t="s">
        <v>27</v>
      </c>
    </row>
    <row r="154" spans="1:29">
      <c r="A154" t="s">
        <v>866</v>
      </c>
      <c r="B154" t="s">
        <v>867</v>
      </c>
      <c r="C154" t="s">
        <v>868</v>
      </c>
      <c r="D154" t="s">
        <v>869</v>
      </c>
      <c r="E154" t="s">
        <v>518</v>
      </c>
      <c r="F154" t="s">
        <v>519</v>
      </c>
      <c r="G154" t="s">
        <v>520</v>
      </c>
      <c r="H154">
        <v>4714781021029</v>
      </c>
      <c r="I154">
        <v>2</v>
      </c>
      <c r="J154">
        <v>298</v>
      </c>
      <c r="K154">
        <v>0</v>
      </c>
      <c r="L154">
        <v>0</v>
      </c>
      <c r="M154">
        <v>1336</v>
      </c>
      <c r="N154" t="s">
        <v>633</v>
      </c>
      <c r="O154" t="s">
        <v>634</v>
      </c>
      <c r="Q154" t="s">
        <v>24</v>
      </c>
      <c r="T154" t="s">
        <v>635</v>
      </c>
      <c r="V154">
        <v>189503</v>
      </c>
      <c r="W154" t="s">
        <v>870</v>
      </c>
      <c r="X154" t="s">
        <v>871</v>
      </c>
      <c r="AC154" t="s">
        <v>27</v>
      </c>
    </row>
    <row r="155" spans="1:29">
      <c r="A155" t="s">
        <v>866</v>
      </c>
      <c r="B155" t="s">
        <v>867</v>
      </c>
      <c r="C155" t="s">
        <v>868</v>
      </c>
      <c r="D155" t="s">
        <v>869</v>
      </c>
      <c r="E155" t="s">
        <v>438</v>
      </c>
      <c r="F155" t="s">
        <v>872</v>
      </c>
      <c r="G155" t="s">
        <v>440</v>
      </c>
      <c r="H155">
        <v>4714781021241</v>
      </c>
      <c r="I155">
        <v>1</v>
      </c>
      <c r="J155">
        <v>59</v>
      </c>
      <c r="K155">
        <v>0</v>
      </c>
      <c r="L155">
        <v>0</v>
      </c>
      <c r="M155">
        <v>1336</v>
      </c>
      <c r="N155" t="s">
        <v>633</v>
      </c>
      <c r="O155" t="s">
        <v>634</v>
      </c>
      <c r="Q155" t="s">
        <v>24</v>
      </c>
      <c r="T155" t="s">
        <v>635</v>
      </c>
      <c r="V155">
        <v>189503</v>
      </c>
      <c r="W155" t="s">
        <v>870</v>
      </c>
      <c r="X155" t="s">
        <v>871</v>
      </c>
      <c r="AC155" t="s">
        <v>27</v>
      </c>
    </row>
    <row r="156" spans="1:29">
      <c r="A156" t="s">
        <v>866</v>
      </c>
      <c r="B156" t="s">
        <v>867</v>
      </c>
      <c r="C156" t="s">
        <v>868</v>
      </c>
      <c r="D156" t="s">
        <v>869</v>
      </c>
      <c r="E156" t="s">
        <v>45</v>
      </c>
      <c r="F156" t="s">
        <v>46</v>
      </c>
      <c r="G156" t="s">
        <v>47</v>
      </c>
      <c r="I156">
        <v>1</v>
      </c>
      <c r="J156">
        <v>-67</v>
      </c>
      <c r="K156">
        <v>0</v>
      </c>
      <c r="L156">
        <v>0</v>
      </c>
      <c r="M156">
        <v>1336</v>
      </c>
      <c r="N156" t="s">
        <v>633</v>
      </c>
      <c r="O156" t="s">
        <v>634</v>
      </c>
      <c r="Q156" t="s">
        <v>24</v>
      </c>
      <c r="T156" t="s">
        <v>635</v>
      </c>
      <c r="V156">
        <v>189503</v>
      </c>
      <c r="W156" t="s">
        <v>870</v>
      </c>
      <c r="X156" t="s">
        <v>871</v>
      </c>
      <c r="AC156" t="s">
        <v>27</v>
      </c>
    </row>
    <row r="157" spans="1:29">
      <c r="A157" t="s">
        <v>866</v>
      </c>
      <c r="B157" t="s">
        <v>867</v>
      </c>
      <c r="C157" t="s">
        <v>868</v>
      </c>
      <c r="D157" t="s">
        <v>869</v>
      </c>
      <c r="E157" t="s">
        <v>48</v>
      </c>
      <c r="F157" t="s">
        <v>49</v>
      </c>
      <c r="G157" t="s">
        <v>50</v>
      </c>
      <c r="I157">
        <v>1</v>
      </c>
      <c r="J157">
        <v>67</v>
      </c>
      <c r="K157">
        <v>0</v>
      </c>
      <c r="L157">
        <v>0</v>
      </c>
      <c r="M157">
        <v>1336</v>
      </c>
      <c r="N157" t="s">
        <v>633</v>
      </c>
      <c r="O157" t="s">
        <v>634</v>
      </c>
      <c r="Q157" t="s">
        <v>24</v>
      </c>
      <c r="T157" t="s">
        <v>635</v>
      </c>
      <c r="V157">
        <v>189503</v>
      </c>
      <c r="W157" t="s">
        <v>870</v>
      </c>
      <c r="X157" t="s">
        <v>871</v>
      </c>
      <c r="AC157" t="s">
        <v>27</v>
      </c>
    </row>
    <row r="158" spans="1:29">
      <c r="A158" t="s">
        <v>873</v>
      </c>
      <c r="B158" t="s">
        <v>874</v>
      </c>
      <c r="C158" t="s">
        <v>875</v>
      </c>
      <c r="D158" t="s">
        <v>876</v>
      </c>
      <c r="E158" t="s">
        <v>18</v>
      </c>
      <c r="F158" t="s">
        <v>19</v>
      </c>
      <c r="G158" t="s">
        <v>20</v>
      </c>
      <c r="H158" t="s">
        <v>21</v>
      </c>
      <c r="I158">
        <v>1</v>
      </c>
      <c r="J158">
        <v>888</v>
      </c>
      <c r="K158">
        <v>0</v>
      </c>
      <c r="L158">
        <v>0</v>
      </c>
      <c r="M158">
        <v>888</v>
      </c>
      <c r="N158" t="s">
        <v>633</v>
      </c>
      <c r="O158" t="s">
        <v>40</v>
      </c>
      <c r="Q158" t="s">
        <v>24</v>
      </c>
      <c r="T158" t="s">
        <v>635</v>
      </c>
      <c r="V158">
        <v>182731</v>
      </c>
      <c r="W158" t="s">
        <v>877</v>
      </c>
      <c r="X158" t="s">
        <v>878</v>
      </c>
      <c r="AC158" t="s">
        <v>42</v>
      </c>
    </row>
    <row r="159" spans="1:29">
      <c r="A159" t="s">
        <v>879</v>
      </c>
      <c r="B159" t="s">
        <v>880</v>
      </c>
      <c r="C159" t="s">
        <v>881</v>
      </c>
      <c r="D159" t="s">
        <v>882</v>
      </c>
      <c r="E159" t="s">
        <v>883</v>
      </c>
      <c r="F159" t="s">
        <v>884</v>
      </c>
      <c r="G159" t="s">
        <v>885</v>
      </c>
      <c r="H159" t="s">
        <v>886</v>
      </c>
      <c r="I159">
        <v>1</v>
      </c>
      <c r="J159">
        <v>1700</v>
      </c>
      <c r="K159">
        <v>0</v>
      </c>
      <c r="L159">
        <v>0</v>
      </c>
      <c r="M159">
        <v>1599</v>
      </c>
      <c r="N159" t="s">
        <v>633</v>
      </c>
      <c r="O159" t="s">
        <v>634</v>
      </c>
      <c r="Q159" t="s">
        <v>24</v>
      </c>
      <c r="T159" t="s">
        <v>635</v>
      </c>
      <c r="V159">
        <v>212209</v>
      </c>
      <c r="W159" t="s">
        <v>887</v>
      </c>
      <c r="X159" t="s">
        <v>888</v>
      </c>
      <c r="AC159" t="s">
        <v>27</v>
      </c>
    </row>
    <row r="160" spans="1:29">
      <c r="A160" t="s">
        <v>879</v>
      </c>
      <c r="B160" t="s">
        <v>880</v>
      </c>
      <c r="C160" t="s">
        <v>881</v>
      </c>
      <c r="D160" t="s">
        <v>882</v>
      </c>
      <c r="E160" t="s">
        <v>889</v>
      </c>
      <c r="F160" t="s">
        <v>890</v>
      </c>
      <c r="G160" t="s">
        <v>50</v>
      </c>
      <c r="I160">
        <v>1</v>
      </c>
      <c r="J160">
        <v>-17</v>
      </c>
      <c r="K160">
        <v>0</v>
      </c>
      <c r="L160">
        <v>0</v>
      </c>
      <c r="M160">
        <v>1599</v>
      </c>
      <c r="N160" t="s">
        <v>633</v>
      </c>
      <c r="O160" t="s">
        <v>634</v>
      </c>
      <c r="Q160" t="s">
        <v>24</v>
      </c>
      <c r="T160" t="s">
        <v>635</v>
      </c>
      <c r="V160">
        <v>212209</v>
      </c>
      <c r="W160" t="s">
        <v>887</v>
      </c>
      <c r="X160" t="s">
        <v>888</v>
      </c>
      <c r="AC160" t="s">
        <v>27</v>
      </c>
    </row>
    <row r="161" spans="1:29">
      <c r="A161" t="s">
        <v>879</v>
      </c>
      <c r="B161" t="s">
        <v>880</v>
      </c>
      <c r="C161" t="s">
        <v>881</v>
      </c>
      <c r="D161" t="s">
        <v>882</v>
      </c>
      <c r="E161" t="s">
        <v>45</v>
      </c>
      <c r="F161" t="s">
        <v>46</v>
      </c>
      <c r="G161" t="s">
        <v>47</v>
      </c>
      <c r="I161">
        <v>1</v>
      </c>
      <c r="J161">
        <v>-84</v>
      </c>
      <c r="K161">
        <v>0</v>
      </c>
      <c r="L161">
        <v>0</v>
      </c>
      <c r="M161">
        <v>1599</v>
      </c>
      <c r="N161" t="s">
        <v>633</v>
      </c>
      <c r="O161" t="s">
        <v>634</v>
      </c>
      <c r="Q161" t="s">
        <v>24</v>
      </c>
      <c r="T161" t="s">
        <v>635</v>
      </c>
      <c r="V161">
        <v>212209</v>
      </c>
      <c r="W161" t="s">
        <v>887</v>
      </c>
      <c r="X161" t="s">
        <v>888</v>
      </c>
      <c r="AC161" t="s">
        <v>27</v>
      </c>
    </row>
    <row r="162" spans="1:29">
      <c r="A162" t="s">
        <v>879</v>
      </c>
      <c r="B162" t="s">
        <v>880</v>
      </c>
      <c r="C162" t="s">
        <v>881</v>
      </c>
      <c r="D162" t="s">
        <v>882</v>
      </c>
      <c r="E162" t="s">
        <v>48</v>
      </c>
      <c r="F162" t="s">
        <v>49</v>
      </c>
      <c r="G162" t="s">
        <v>50</v>
      </c>
      <c r="I162">
        <v>1</v>
      </c>
      <c r="J162">
        <v>85</v>
      </c>
      <c r="K162">
        <v>0</v>
      </c>
      <c r="L162">
        <v>0</v>
      </c>
      <c r="M162">
        <v>1599</v>
      </c>
      <c r="N162" t="s">
        <v>633</v>
      </c>
      <c r="O162" t="s">
        <v>634</v>
      </c>
      <c r="Q162" t="s">
        <v>24</v>
      </c>
      <c r="T162" t="s">
        <v>635</v>
      </c>
      <c r="V162">
        <v>212209</v>
      </c>
      <c r="W162" t="s">
        <v>887</v>
      </c>
      <c r="X162" t="s">
        <v>888</v>
      </c>
      <c r="AC162" t="s">
        <v>27</v>
      </c>
    </row>
    <row r="163" spans="1:29">
      <c r="A163" t="s">
        <v>891</v>
      </c>
      <c r="B163" t="s">
        <v>892</v>
      </c>
      <c r="C163" t="s">
        <v>893</v>
      </c>
      <c r="D163" t="s">
        <v>894</v>
      </c>
      <c r="E163" t="s">
        <v>315</v>
      </c>
      <c r="F163" t="s">
        <v>316</v>
      </c>
      <c r="G163" t="s">
        <v>317</v>
      </c>
      <c r="H163" t="s">
        <v>318</v>
      </c>
      <c r="I163">
        <v>1</v>
      </c>
      <c r="J163">
        <v>280</v>
      </c>
      <c r="K163">
        <v>65</v>
      </c>
      <c r="L163">
        <v>0</v>
      </c>
      <c r="M163">
        <v>345</v>
      </c>
      <c r="N163" t="s">
        <v>633</v>
      </c>
      <c r="O163" t="s">
        <v>634</v>
      </c>
      <c r="Q163" t="s">
        <v>24</v>
      </c>
      <c r="T163" t="s">
        <v>635</v>
      </c>
      <c r="V163">
        <v>943895</v>
      </c>
      <c r="W163" t="s">
        <v>895</v>
      </c>
      <c r="X163" t="s">
        <v>896</v>
      </c>
      <c r="AC163" t="s">
        <v>27</v>
      </c>
    </row>
    <row r="164" spans="1:29">
      <c r="A164" t="s">
        <v>897</v>
      </c>
      <c r="B164" t="s">
        <v>898</v>
      </c>
      <c r="C164" t="s">
        <v>899</v>
      </c>
      <c r="D164" t="s">
        <v>900</v>
      </c>
      <c r="E164" t="s">
        <v>104</v>
      </c>
      <c r="F164" t="s">
        <v>105</v>
      </c>
      <c r="G164" t="s">
        <v>106</v>
      </c>
      <c r="H164">
        <v>4714781020268</v>
      </c>
      <c r="I164">
        <v>1</v>
      </c>
      <c r="J164">
        <v>430</v>
      </c>
      <c r="K164">
        <v>65</v>
      </c>
      <c r="L164">
        <v>0</v>
      </c>
      <c r="M164">
        <v>495</v>
      </c>
      <c r="N164" t="s">
        <v>633</v>
      </c>
      <c r="O164" t="s">
        <v>634</v>
      </c>
      <c r="Q164" t="s">
        <v>24</v>
      </c>
      <c r="T164" t="s">
        <v>635</v>
      </c>
      <c r="V164">
        <v>215002</v>
      </c>
      <c r="W164" t="s">
        <v>901</v>
      </c>
      <c r="X164" t="s">
        <v>902</v>
      </c>
      <c r="AC164" t="s">
        <v>27</v>
      </c>
    </row>
    <row r="165" spans="1:29">
      <c r="A165" t="s">
        <v>194</v>
      </c>
      <c r="B165" t="s">
        <v>195</v>
      </c>
      <c r="C165" t="s">
        <v>196</v>
      </c>
      <c r="D165" t="s">
        <v>197</v>
      </c>
      <c r="E165" t="s">
        <v>115</v>
      </c>
      <c r="F165" t="s">
        <v>116</v>
      </c>
      <c r="G165" t="s">
        <v>198</v>
      </c>
      <c r="H165" t="s">
        <v>199</v>
      </c>
      <c r="I165">
        <v>1</v>
      </c>
      <c r="J165">
        <v>460</v>
      </c>
      <c r="K165">
        <v>0</v>
      </c>
      <c r="L165">
        <v>0</v>
      </c>
      <c r="M165">
        <v>958</v>
      </c>
      <c r="N165" t="s">
        <v>39</v>
      </c>
      <c r="O165" t="s">
        <v>59</v>
      </c>
      <c r="Q165" t="s">
        <v>24</v>
      </c>
      <c r="T165" t="s">
        <v>25</v>
      </c>
      <c r="Y165">
        <v>335</v>
      </c>
      <c r="Z165" t="s">
        <v>200</v>
      </c>
      <c r="AC165" t="s">
        <v>42</v>
      </c>
    </row>
    <row r="166" spans="1:29">
      <c r="A166" t="s">
        <v>194</v>
      </c>
      <c r="B166" t="s">
        <v>195</v>
      </c>
      <c r="C166" t="s">
        <v>196</v>
      </c>
      <c r="D166" t="s">
        <v>197</v>
      </c>
      <c r="E166" t="s">
        <v>61</v>
      </c>
      <c r="F166" t="s">
        <v>62</v>
      </c>
      <c r="G166" t="s">
        <v>84</v>
      </c>
      <c r="H166" t="s">
        <v>85</v>
      </c>
      <c r="I166">
        <v>1</v>
      </c>
      <c r="J166">
        <v>399</v>
      </c>
      <c r="K166">
        <v>0</v>
      </c>
      <c r="L166">
        <v>0</v>
      </c>
      <c r="M166">
        <v>958</v>
      </c>
      <c r="N166" t="s">
        <v>39</v>
      </c>
      <c r="O166" t="s">
        <v>59</v>
      </c>
      <c r="Q166" t="s">
        <v>24</v>
      </c>
      <c r="T166" t="s">
        <v>25</v>
      </c>
      <c r="Y166">
        <v>335</v>
      </c>
      <c r="Z166" t="s">
        <v>200</v>
      </c>
      <c r="AC166" t="s">
        <v>42</v>
      </c>
    </row>
    <row r="167" spans="1:29">
      <c r="A167" t="s">
        <v>194</v>
      </c>
      <c r="B167" t="s">
        <v>195</v>
      </c>
      <c r="C167" t="s">
        <v>196</v>
      </c>
      <c r="D167" t="s">
        <v>197</v>
      </c>
      <c r="E167" t="s">
        <v>138</v>
      </c>
      <c r="F167" t="s">
        <v>139</v>
      </c>
      <c r="G167" t="s">
        <v>140</v>
      </c>
      <c r="H167">
        <v>4714781020954</v>
      </c>
      <c r="I167">
        <v>1</v>
      </c>
      <c r="J167">
        <v>149</v>
      </c>
      <c r="K167">
        <v>0</v>
      </c>
      <c r="L167">
        <v>0</v>
      </c>
      <c r="M167">
        <v>958</v>
      </c>
      <c r="N167" t="s">
        <v>39</v>
      </c>
      <c r="O167" t="s">
        <v>59</v>
      </c>
      <c r="Q167" t="s">
        <v>24</v>
      </c>
      <c r="T167" t="s">
        <v>25</v>
      </c>
      <c r="Y167">
        <v>335</v>
      </c>
      <c r="Z167" t="s">
        <v>200</v>
      </c>
      <c r="AC167" t="s">
        <v>42</v>
      </c>
    </row>
    <row r="168" spans="1:29">
      <c r="A168" t="s">
        <v>194</v>
      </c>
      <c r="B168" t="s">
        <v>195</v>
      </c>
      <c r="C168" t="s">
        <v>196</v>
      </c>
      <c r="D168" t="s">
        <v>197</v>
      </c>
      <c r="E168" t="s">
        <v>45</v>
      </c>
      <c r="F168" t="s">
        <v>46</v>
      </c>
      <c r="G168" t="s">
        <v>47</v>
      </c>
      <c r="I168">
        <v>1</v>
      </c>
      <c r="J168">
        <v>-50</v>
      </c>
      <c r="K168">
        <v>0</v>
      </c>
      <c r="L168">
        <v>0</v>
      </c>
      <c r="M168">
        <v>958</v>
      </c>
      <c r="N168" t="s">
        <v>39</v>
      </c>
      <c r="O168" t="s">
        <v>59</v>
      </c>
      <c r="Q168" t="s">
        <v>24</v>
      </c>
      <c r="T168" t="s">
        <v>25</v>
      </c>
      <c r="Y168">
        <v>335</v>
      </c>
      <c r="Z168" t="s">
        <v>200</v>
      </c>
      <c r="AC168" t="s">
        <v>42</v>
      </c>
    </row>
    <row r="169" spans="1:29">
      <c r="A169" t="s">
        <v>194</v>
      </c>
      <c r="B169" t="s">
        <v>195</v>
      </c>
      <c r="C169" t="s">
        <v>196</v>
      </c>
      <c r="D169" t="s">
        <v>197</v>
      </c>
      <c r="E169" t="s">
        <v>48</v>
      </c>
      <c r="F169" t="s">
        <v>49</v>
      </c>
      <c r="G169" t="s">
        <v>50</v>
      </c>
      <c r="I169">
        <v>1</v>
      </c>
      <c r="J169">
        <v>50</v>
      </c>
      <c r="K169">
        <v>0</v>
      </c>
      <c r="L169">
        <v>0</v>
      </c>
      <c r="M169">
        <v>958</v>
      </c>
      <c r="N169" t="s">
        <v>39</v>
      </c>
      <c r="O169" t="s">
        <v>59</v>
      </c>
      <c r="Q169" t="s">
        <v>24</v>
      </c>
      <c r="T169" t="s">
        <v>25</v>
      </c>
      <c r="Y169">
        <v>335</v>
      </c>
      <c r="Z169" t="s">
        <v>200</v>
      </c>
      <c r="AC169" t="s">
        <v>42</v>
      </c>
    </row>
    <row r="170" spans="1:29">
      <c r="A170" t="s">
        <v>903</v>
      </c>
      <c r="B170" t="s">
        <v>904</v>
      </c>
      <c r="C170" t="s">
        <v>905</v>
      </c>
      <c r="D170" t="s">
        <v>906</v>
      </c>
      <c r="E170" t="s">
        <v>203</v>
      </c>
      <c r="F170" t="s">
        <v>204</v>
      </c>
      <c r="G170" t="s">
        <v>205</v>
      </c>
      <c r="H170" t="s">
        <v>206</v>
      </c>
      <c r="I170">
        <v>1</v>
      </c>
      <c r="J170">
        <v>528</v>
      </c>
      <c r="K170">
        <v>65</v>
      </c>
      <c r="L170">
        <v>0</v>
      </c>
      <c r="M170">
        <v>593</v>
      </c>
      <c r="N170" t="s">
        <v>633</v>
      </c>
      <c r="O170" t="s">
        <v>634</v>
      </c>
      <c r="Q170" t="s">
        <v>24</v>
      </c>
      <c r="T170" t="s">
        <v>635</v>
      </c>
      <c r="V170">
        <v>977371</v>
      </c>
      <c r="W170" t="s">
        <v>907</v>
      </c>
      <c r="X170" t="s">
        <v>908</v>
      </c>
      <c r="AC170" t="s">
        <v>27</v>
      </c>
    </row>
    <row r="171" spans="1:29">
      <c r="A171" t="s">
        <v>341</v>
      </c>
      <c r="B171" t="s">
        <v>342</v>
      </c>
      <c r="C171" t="s">
        <v>343</v>
      </c>
      <c r="D171" t="s">
        <v>344</v>
      </c>
      <c r="E171" t="s">
        <v>157</v>
      </c>
      <c r="F171" t="s">
        <v>158</v>
      </c>
      <c r="G171" t="s">
        <v>159</v>
      </c>
      <c r="H171">
        <v>4714781021463</v>
      </c>
      <c r="I171">
        <v>1</v>
      </c>
      <c r="J171">
        <v>120</v>
      </c>
      <c r="K171">
        <v>0</v>
      </c>
      <c r="L171">
        <v>0</v>
      </c>
      <c r="M171">
        <v>842</v>
      </c>
      <c r="N171" t="s">
        <v>39</v>
      </c>
      <c r="O171" t="s">
        <v>59</v>
      </c>
      <c r="Q171" t="s">
        <v>24</v>
      </c>
      <c r="T171" t="s">
        <v>25</v>
      </c>
      <c r="Y171">
        <v>649</v>
      </c>
      <c r="Z171" t="s">
        <v>345</v>
      </c>
      <c r="AC171" t="s">
        <v>42</v>
      </c>
    </row>
    <row r="172" spans="1:29">
      <c r="A172" t="s">
        <v>341</v>
      </c>
      <c r="B172" t="s">
        <v>342</v>
      </c>
      <c r="C172" t="s">
        <v>343</v>
      </c>
      <c r="D172" t="s">
        <v>344</v>
      </c>
      <c r="E172" t="s">
        <v>65</v>
      </c>
      <c r="F172" t="s">
        <v>66</v>
      </c>
      <c r="G172" t="s">
        <v>67</v>
      </c>
      <c r="H172">
        <v>4714781020800</v>
      </c>
      <c r="I172">
        <v>1</v>
      </c>
      <c r="J172">
        <v>128</v>
      </c>
      <c r="K172">
        <v>0</v>
      </c>
      <c r="L172">
        <v>0</v>
      </c>
      <c r="M172">
        <v>842</v>
      </c>
      <c r="N172" t="s">
        <v>39</v>
      </c>
      <c r="O172" t="s">
        <v>59</v>
      </c>
      <c r="Q172" t="s">
        <v>24</v>
      </c>
      <c r="T172" t="s">
        <v>25</v>
      </c>
      <c r="Y172">
        <v>649</v>
      </c>
      <c r="Z172" t="s">
        <v>345</v>
      </c>
      <c r="AC172" t="s">
        <v>42</v>
      </c>
    </row>
    <row r="173" spans="1:29">
      <c r="A173" t="s">
        <v>341</v>
      </c>
      <c r="B173" t="s">
        <v>342</v>
      </c>
      <c r="C173" t="s">
        <v>343</v>
      </c>
      <c r="D173" t="s">
        <v>344</v>
      </c>
      <c r="E173" t="s">
        <v>346</v>
      </c>
      <c r="F173" t="s">
        <v>347</v>
      </c>
      <c r="G173" t="s">
        <v>348</v>
      </c>
      <c r="H173">
        <v>4714781020817</v>
      </c>
      <c r="I173">
        <v>1</v>
      </c>
      <c r="J173">
        <v>128</v>
      </c>
      <c r="K173">
        <v>0</v>
      </c>
      <c r="L173">
        <v>0</v>
      </c>
      <c r="M173">
        <v>842</v>
      </c>
      <c r="N173" t="s">
        <v>39</v>
      </c>
      <c r="O173" t="s">
        <v>59</v>
      </c>
      <c r="Q173" t="s">
        <v>24</v>
      </c>
      <c r="T173" t="s">
        <v>25</v>
      </c>
      <c r="Y173">
        <v>649</v>
      </c>
      <c r="Z173" t="s">
        <v>345</v>
      </c>
      <c r="AC173" t="s">
        <v>42</v>
      </c>
    </row>
    <row r="174" spans="1:29">
      <c r="A174" t="s">
        <v>341</v>
      </c>
      <c r="B174" t="s">
        <v>342</v>
      </c>
      <c r="C174" t="s">
        <v>343</v>
      </c>
      <c r="D174" t="s">
        <v>344</v>
      </c>
      <c r="E174" t="s">
        <v>94</v>
      </c>
      <c r="F174" t="s">
        <v>127</v>
      </c>
      <c r="G174" t="s">
        <v>96</v>
      </c>
      <c r="H174">
        <v>4714781020787</v>
      </c>
      <c r="I174">
        <v>1</v>
      </c>
      <c r="J174">
        <v>149</v>
      </c>
      <c r="K174">
        <v>0</v>
      </c>
      <c r="L174">
        <v>0</v>
      </c>
      <c r="M174">
        <v>842</v>
      </c>
      <c r="N174" t="s">
        <v>39</v>
      </c>
      <c r="O174" t="s">
        <v>59</v>
      </c>
      <c r="Q174" t="s">
        <v>24</v>
      </c>
      <c r="T174" t="s">
        <v>25</v>
      </c>
      <c r="Y174">
        <v>649</v>
      </c>
      <c r="Z174" t="s">
        <v>345</v>
      </c>
      <c r="AC174" t="s">
        <v>42</v>
      </c>
    </row>
    <row r="175" spans="1:29">
      <c r="A175" t="s">
        <v>341</v>
      </c>
      <c r="B175" t="s">
        <v>342</v>
      </c>
      <c r="C175" t="s">
        <v>343</v>
      </c>
      <c r="D175" t="s">
        <v>344</v>
      </c>
      <c r="E175" t="s">
        <v>99</v>
      </c>
      <c r="F175" t="s">
        <v>349</v>
      </c>
      <c r="G175" t="s">
        <v>101</v>
      </c>
      <c r="H175">
        <v>4714781020770</v>
      </c>
      <c r="I175">
        <v>1</v>
      </c>
      <c r="J175">
        <v>149</v>
      </c>
      <c r="K175">
        <v>0</v>
      </c>
      <c r="L175">
        <v>0</v>
      </c>
      <c r="M175">
        <v>842</v>
      </c>
      <c r="N175" t="s">
        <v>39</v>
      </c>
      <c r="O175" t="s">
        <v>59</v>
      </c>
      <c r="Q175" t="s">
        <v>24</v>
      </c>
      <c r="T175" t="s">
        <v>25</v>
      </c>
      <c r="Y175">
        <v>649</v>
      </c>
      <c r="Z175" t="s">
        <v>345</v>
      </c>
      <c r="AC175" t="s">
        <v>42</v>
      </c>
    </row>
    <row r="176" spans="1:29">
      <c r="A176" t="s">
        <v>341</v>
      </c>
      <c r="B176" t="s">
        <v>342</v>
      </c>
      <c r="C176" t="s">
        <v>343</v>
      </c>
      <c r="D176" t="s">
        <v>344</v>
      </c>
      <c r="E176" t="s">
        <v>350</v>
      </c>
      <c r="F176" t="s">
        <v>351</v>
      </c>
      <c r="G176" t="s">
        <v>352</v>
      </c>
      <c r="H176">
        <v>4714781020503</v>
      </c>
      <c r="I176">
        <v>1</v>
      </c>
      <c r="J176">
        <v>168</v>
      </c>
      <c r="K176">
        <v>0</v>
      </c>
      <c r="L176">
        <v>0</v>
      </c>
      <c r="M176">
        <v>842</v>
      </c>
      <c r="N176" t="s">
        <v>39</v>
      </c>
      <c r="O176" t="s">
        <v>59</v>
      </c>
      <c r="Q176" t="s">
        <v>24</v>
      </c>
      <c r="T176" t="s">
        <v>25</v>
      </c>
      <c r="Y176">
        <v>649</v>
      </c>
      <c r="Z176" t="s">
        <v>345</v>
      </c>
      <c r="AC176" t="s">
        <v>42</v>
      </c>
    </row>
    <row r="177" spans="1:29">
      <c r="A177" t="s">
        <v>909</v>
      </c>
      <c r="B177" t="s">
        <v>910</v>
      </c>
      <c r="C177" t="s">
        <v>911</v>
      </c>
      <c r="D177" t="s">
        <v>912</v>
      </c>
      <c r="E177" t="s">
        <v>28</v>
      </c>
      <c r="F177" t="s">
        <v>29</v>
      </c>
      <c r="G177" t="s">
        <v>30</v>
      </c>
      <c r="H177">
        <v>4714781021715</v>
      </c>
      <c r="I177">
        <v>1</v>
      </c>
      <c r="J177">
        <v>299</v>
      </c>
      <c r="K177">
        <v>65</v>
      </c>
      <c r="L177">
        <v>0</v>
      </c>
      <c r="M177">
        <v>364</v>
      </c>
      <c r="N177" t="s">
        <v>633</v>
      </c>
      <c r="O177" t="s">
        <v>634</v>
      </c>
      <c r="Q177" t="s">
        <v>24</v>
      </c>
      <c r="T177" t="s">
        <v>635</v>
      </c>
      <c r="V177">
        <v>181347</v>
      </c>
      <c r="W177" t="s">
        <v>913</v>
      </c>
      <c r="X177" t="s">
        <v>914</v>
      </c>
      <c r="AC177" t="s">
        <v>27</v>
      </c>
    </row>
    <row r="178" spans="1:29">
      <c r="A178" t="s">
        <v>915</v>
      </c>
      <c r="B178" t="s">
        <v>916</v>
      </c>
      <c r="C178" t="s">
        <v>917</v>
      </c>
      <c r="D178" t="s">
        <v>918</v>
      </c>
      <c r="E178" t="s">
        <v>919</v>
      </c>
      <c r="F178" t="s">
        <v>920</v>
      </c>
      <c r="G178" t="s">
        <v>921</v>
      </c>
      <c r="H178">
        <v>4719880900091</v>
      </c>
      <c r="I178">
        <v>5</v>
      </c>
      <c r="J178">
        <v>750</v>
      </c>
      <c r="K178">
        <v>0</v>
      </c>
      <c r="L178">
        <v>0</v>
      </c>
      <c r="M178">
        <v>750</v>
      </c>
      <c r="N178" t="s">
        <v>633</v>
      </c>
      <c r="O178" t="s">
        <v>634</v>
      </c>
      <c r="Q178" t="s">
        <v>24</v>
      </c>
      <c r="T178" t="s">
        <v>635</v>
      </c>
      <c r="V178">
        <v>201900</v>
      </c>
      <c r="W178" t="s">
        <v>922</v>
      </c>
      <c r="X178" t="s">
        <v>923</v>
      </c>
      <c r="AC178" t="s">
        <v>27</v>
      </c>
    </row>
    <row r="179" spans="1:29">
      <c r="A179" t="s">
        <v>924</v>
      </c>
      <c r="B179" t="s">
        <v>925</v>
      </c>
      <c r="C179" t="s">
        <v>926</v>
      </c>
      <c r="D179" t="s">
        <v>927</v>
      </c>
      <c r="E179" t="s">
        <v>273</v>
      </c>
      <c r="F179" t="s">
        <v>274</v>
      </c>
      <c r="G179" t="s">
        <v>275</v>
      </c>
      <c r="H179">
        <v>4714781020282</v>
      </c>
      <c r="I179">
        <v>1</v>
      </c>
      <c r="J179">
        <v>299</v>
      </c>
      <c r="K179">
        <v>0</v>
      </c>
      <c r="L179">
        <v>0</v>
      </c>
      <c r="M179">
        <v>897</v>
      </c>
      <c r="N179" t="s">
        <v>633</v>
      </c>
      <c r="O179" t="s">
        <v>40</v>
      </c>
      <c r="Q179" t="s">
        <v>24</v>
      </c>
      <c r="T179" t="s">
        <v>635</v>
      </c>
      <c r="V179">
        <v>153777</v>
      </c>
      <c r="W179" t="s">
        <v>928</v>
      </c>
      <c r="X179" t="s">
        <v>929</v>
      </c>
      <c r="AC179" t="s">
        <v>42</v>
      </c>
    </row>
    <row r="180" spans="1:29">
      <c r="A180" t="s">
        <v>924</v>
      </c>
      <c r="B180" t="s">
        <v>925</v>
      </c>
      <c r="C180" t="s">
        <v>926</v>
      </c>
      <c r="D180" t="s">
        <v>927</v>
      </c>
      <c r="E180" t="s">
        <v>371</v>
      </c>
      <c r="F180" t="s">
        <v>372</v>
      </c>
      <c r="G180" t="s">
        <v>373</v>
      </c>
      <c r="H180">
        <v>4714781024716</v>
      </c>
      <c r="I180">
        <v>1</v>
      </c>
      <c r="J180">
        <v>299</v>
      </c>
      <c r="K180">
        <v>0</v>
      </c>
      <c r="L180">
        <v>0</v>
      </c>
      <c r="M180">
        <v>897</v>
      </c>
      <c r="N180" t="s">
        <v>633</v>
      </c>
      <c r="O180" t="s">
        <v>40</v>
      </c>
      <c r="Q180" t="s">
        <v>24</v>
      </c>
      <c r="T180" t="s">
        <v>635</v>
      </c>
      <c r="V180">
        <v>153777</v>
      </c>
      <c r="W180" t="s">
        <v>928</v>
      </c>
      <c r="X180" t="s">
        <v>929</v>
      </c>
      <c r="AC180" t="s">
        <v>42</v>
      </c>
    </row>
    <row r="181" spans="1:29">
      <c r="A181" t="s">
        <v>924</v>
      </c>
      <c r="B181" t="s">
        <v>925</v>
      </c>
      <c r="C181" t="s">
        <v>926</v>
      </c>
      <c r="D181" t="s">
        <v>927</v>
      </c>
      <c r="E181" t="s">
        <v>262</v>
      </c>
      <c r="F181" t="s">
        <v>263</v>
      </c>
      <c r="G181" t="s">
        <v>264</v>
      </c>
      <c r="H181">
        <v>4714781024730</v>
      </c>
      <c r="I181">
        <v>1</v>
      </c>
      <c r="J181">
        <v>299</v>
      </c>
      <c r="K181">
        <v>0</v>
      </c>
      <c r="L181">
        <v>0</v>
      </c>
      <c r="M181">
        <v>897</v>
      </c>
      <c r="N181" t="s">
        <v>633</v>
      </c>
      <c r="O181" t="s">
        <v>40</v>
      </c>
      <c r="Q181" t="s">
        <v>24</v>
      </c>
      <c r="T181" t="s">
        <v>635</v>
      </c>
      <c r="V181">
        <v>153777</v>
      </c>
      <c r="W181" t="s">
        <v>928</v>
      </c>
      <c r="X181" t="s">
        <v>929</v>
      </c>
      <c r="AC181" t="s">
        <v>42</v>
      </c>
    </row>
    <row r="182" spans="1:29">
      <c r="A182" t="s">
        <v>333</v>
      </c>
      <c r="B182" t="s">
        <v>334</v>
      </c>
      <c r="C182" t="s">
        <v>335</v>
      </c>
      <c r="D182" t="s">
        <v>336</v>
      </c>
      <c r="E182" t="s">
        <v>55</v>
      </c>
      <c r="F182" t="s">
        <v>56</v>
      </c>
      <c r="G182" t="s">
        <v>57</v>
      </c>
      <c r="H182" t="s">
        <v>58</v>
      </c>
      <c r="I182">
        <v>1</v>
      </c>
      <c r="J182">
        <v>450</v>
      </c>
      <c r="K182">
        <v>0</v>
      </c>
      <c r="L182">
        <v>0</v>
      </c>
      <c r="M182">
        <v>900</v>
      </c>
      <c r="N182" t="s">
        <v>39</v>
      </c>
      <c r="O182" t="s">
        <v>337</v>
      </c>
      <c r="Q182" t="s">
        <v>24</v>
      </c>
      <c r="T182" t="s">
        <v>25</v>
      </c>
      <c r="Y182">
        <v>330</v>
      </c>
      <c r="Z182" t="s">
        <v>338</v>
      </c>
      <c r="AC182" t="s">
        <v>42</v>
      </c>
    </row>
    <row r="183" spans="1:29">
      <c r="A183" t="s">
        <v>333</v>
      </c>
      <c r="B183" t="s">
        <v>334</v>
      </c>
      <c r="C183" t="s">
        <v>335</v>
      </c>
      <c r="D183" t="s">
        <v>336</v>
      </c>
      <c r="E183" t="s">
        <v>55</v>
      </c>
      <c r="F183" t="s">
        <v>56</v>
      </c>
      <c r="G183" t="s">
        <v>339</v>
      </c>
      <c r="H183" t="s">
        <v>340</v>
      </c>
      <c r="I183">
        <v>1</v>
      </c>
      <c r="J183">
        <v>450</v>
      </c>
      <c r="K183">
        <v>0</v>
      </c>
      <c r="L183">
        <v>0</v>
      </c>
      <c r="M183">
        <v>900</v>
      </c>
      <c r="N183" t="s">
        <v>39</v>
      </c>
      <c r="O183" t="s">
        <v>337</v>
      </c>
      <c r="Q183" t="s">
        <v>24</v>
      </c>
      <c r="T183" t="s">
        <v>25</v>
      </c>
      <c r="Y183">
        <v>330</v>
      </c>
      <c r="Z183" t="s">
        <v>338</v>
      </c>
      <c r="AC183" t="s">
        <v>42</v>
      </c>
    </row>
    <row r="184" spans="1:29">
      <c r="A184" t="s">
        <v>930</v>
      </c>
      <c r="B184" t="s">
        <v>931</v>
      </c>
      <c r="C184" t="s">
        <v>932</v>
      </c>
      <c r="D184" t="s">
        <v>933</v>
      </c>
      <c r="E184" t="s">
        <v>779</v>
      </c>
      <c r="F184" t="s">
        <v>780</v>
      </c>
      <c r="G184" t="s">
        <v>934</v>
      </c>
      <c r="H184" t="s">
        <v>935</v>
      </c>
      <c r="I184">
        <v>1</v>
      </c>
      <c r="J184">
        <v>699</v>
      </c>
      <c r="K184">
        <v>0</v>
      </c>
      <c r="L184">
        <v>0</v>
      </c>
      <c r="M184">
        <v>867</v>
      </c>
      <c r="N184" t="s">
        <v>633</v>
      </c>
      <c r="O184" t="s">
        <v>634</v>
      </c>
      <c r="Q184" t="s">
        <v>24</v>
      </c>
      <c r="T184" t="s">
        <v>635</v>
      </c>
      <c r="V184">
        <v>194930</v>
      </c>
      <c r="W184" t="s">
        <v>936</v>
      </c>
      <c r="X184" t="s">
        <v>937</v>
      </c>
      <c r="AC184" t="s">
        <v>27</v>
      </c>
    </row>
    <row r="185" spans="1:29">
      <c r="A185" t="s">
        <v>930</v>
      </c>
      <c r="B185" t="s">
        <v>931</v>
      </c>
      <c r="C185" t="s">
        <v>932</v>
      </c>
      <c r="D185" t="s">
        <v>933</v>
      </c>
      <c r="E185" t="s">
        <v>491</v>
      </c>
      <c r="F185" t="s">
        <v>492</v>
      </c>
      <c r="G185" t="s">
        <v>493</v>
      </c>
      <c r="H185">
        <v>4714781020558</v>
      </c>
      <c r="I185">
        <v>1</v>
      </c>
      <c r="J185">
        <v>168</v>
      </c>
      <c r="K185">
        <v>0</v>
      </c>
      <c r="L185">
        <v>0</v>
      </c>
      <c r="M185">
        <v>867</v>
      </c>
      <c r="N185" t="s">
        <v>633</v>
      </c>
      <c r="O185" t="s">
        <v>634</v>
      </c>
      <c r="Q185" t="s">
        <v>24</v>
      </c>
      <c r="T185" t="s">
        <v>635</v>
      </c>
      <c r="V185">
        <v>194930</v>
      </c>
      <c r="W185" t="s">
        <v>936</v>
      </c>
      <c r="X185" t="s">
        <v>937</v>
      </c>
      <c r="AC185" t="s">
        <v>27</v>
      </c>
    </row>
    <row r="186" spans="1:29">
      <c r="A186" t="s">
        <v>328</v>
      </c>
      <c r="B186" t="s">
        <v>329</v>
      </c>
      <c r="C186" t="s">
        <v>330</v>
      </c>
      <c r="D186" t="s">
        <v>331</v>
      </c>
      <c r="E186" t="s">
        <v>61</v>
      </c>
      <c r="F186" t="s">
        <v>62</v>
      </c>
      <c r="G186" t="s">
        <v>80</v>
      </c>
      <c r="H186" t="s">
        <v>81</v>
      </c>
      <c r="I186">
        <v>1</v>
      </c>
      <c r="J186">
        <v>399</v>
      </c>
      <c r="K186">
        <v>0</v>
      </c>
      <c r="L186">
        <v>0</v>
      </c>
      <c r="M186">
        <v>1156</v>
      </c>
      <c r="N186" t="s">
        <v>39</v>
      </c>
      <c r="O186" t="s">
        <v>40</v>
      </c>
      <c r="Q186" t="s">
        <v>24</v>
      </c>
      <c r="T186" t="s">
        <v>25</v>
      </c>
      <c r="Y186">
        <v>407</v>
      </c>
      <c r="Z186" t="s">
        <v>332</v>
      </c>
      <c r="AC186" t="s">
        <v>42</v>
      </c>
    </row>
    <row r="187" spans="1:29">
      <c r="A187" t="s">
        <v>328</v>
      </c>
      <c r="B187" t="s">
        <v>329</v>
      </c>
      <c r="C187" t="s">
        <v>330</v>
      </c>
      <c r="D187" t="s">
        <v>331</v>
      </c>
      <c r="E187" t="s">
        <v>61</v>
      </c>
      <c r="F187" t="s">
        <v>62</v>
      </c>
      <c r="G187" t="s">
        <v>84</v>
      </c>
      <c r="H187" t="s">
        <v>85</v>
      </c>
      <c r="I187">
        <v>1</v>
      </c>
      <c r="J187">
        <v>399</v>
      </c>
      <c r="K187">
        <v>0</v>
      </c>
      <c r="L187">
        <v>0</v>
      </c>
      <c r="M187">
        <v>1156</v>
      </c>
      <c r="N187" t="s">
        <v>39</v>
      </c>
      <c r="O187" t="s">
        <v>40</v>
      </c>
      <c r="Q187" t="s">
        <v>24</v>
      </c>
      <c r="T187" t="s">
        <v>25</v>
      </c>
      <c r="Y187">
        <v>407</v>
      </c>
      <c r="Z187" t="s">
        <v>332</v>
      </c>
      <c r="AC187" t="s">
        <v>42</v>
      </c>
    </row>
    <row r="188" spans="1:29">
      <c r="A188" t="s">
        <v>328</v>
      </c>
      <c r="B188" t="s">
        <v>329</v>
      </c>
      <c r="C188" t="s">
        <v>330</v>
      </c>
      <c r="D188" t="s">
        <v>331</v>
      </c>
      <c r="E188" t="s">
        <v>157</v>
      </c>
      <c r="F188" t="s">
        <v>158</v>
      </c>
      <c r="G188" t="s">
        <v>159</v>
      </c>
      <c r="H188">
        <v>4714781021463</v>
      </c>
      <c r="I188">
        <v>1</v>
      </c>
      <c r="J188">
        <v>120</v>
      </c>
      <c r="K188">
        <v>0</v>
      </c>
      <c r="L188">
        <v>0</v>
      </c>
      <c r="M188">
        <v>1156</v>
      </c>
      <c r="N188" t="s">
        <v>39</v>
      </c>
      <c r="O188" t="s">
        <v>40</v>
      </c>
      <c r="Q188" t="s">
        <v>24</v>
      </c>
      <c r="T188" t="s">
        <v>25</v>
      </c>
      <c r="Y188">
        <v>407</v>
      </c>
      <c r="Z188" t="s">
        <v>332</v>
      </c>
      <c r="AC188" t="s">
        <v>42</v>
      </c>
    </row>
    <row r="189" spans="1:29">
      <c r="A189" t="s">
        <v>328</v>
      </c>
      <c r="B189" t="s">
        <v>329</v>
      </c>
      <c r="C189" t="s">
        <v>330</v>
      </c>
      <c r="D189" t="s">
        <v>331</v>
      </c>
      <c r="E189" t="s">
        <v>262</v>
      </c>
      <c r="F189" t="s">
        <v>263</v>
      </c>
      <c r="G189" t="s">
        <v>264</v>
      </c>
      <c r="H189">
        <v>4714781024730</v>
      </c>
      <c r="I189">
        <v>1</v>
      </c>
      <c r="J189">
        <v>299</v>
      </c>
      <c r="K189">
        <v>0</v>
      </c>
      <c r="L189">
        <v>0</v>
      </c>
      <c r="M189">
        <v>1156</v>
      </c>
      <c r="N189" t="s">
        <v>39</v>
      </c>
      <c r="O189" t="s">
        <v>40</v>
      </c>
      <c r="Q189" t="s">
        <v>24</v>
      </c>
      <c r="T189" t="s">
        <v>25</v>
      </c>
      <c r="Y189">
        <v>407</v>
      </c>
      <c r="Z189" t="s">
        <v>332</v>
      </c>
      <c r="AC189" t="s">
        <v>42</v>
      </c>
    </row>
    <row r="190" spans="1:29">
      <c r="A190" t="s">
        <v>328</v>
      </c>
      <c r="B190" t="s">
        <v>329</v>
      </c>
      <c r="C190" t="s">
        <v>330</v>
      </c>
      <c r="D190" t="s">
        <v>331</v>
      </c>
      <c r="E190" t="s">
        <v>45</v>
      </c>
      <c r="F190" t="s">
        <v>46</v>
      </c>
      <c r="G190" t="s">
        <v>47</v>
      </c>
      <c r="I190">
        <v>1</v>
      </c>
      <c r="J190">
        <v>-61</v>
      </c>
      <c r="K190">
        <v>0</v>
      </c>
      <c r="L190">
        <v>0</v>
      </c>
      <c r="M190">
        <v>1156</v>
      </c>
      <c r="N190" t="s">
        <v>39</v>
      </c>
      <c r="O190" t="s">
        <v>40</v>
      </c>
      <c r="Q190" t="s">
        <v>24</v>
      </c>
      <c r="T190" t="s">
        <v>25</v>
      </c>
      <c r="Y190">
        <v>407</v>
      </c>
      <c r="Z190" t="s">
        <v>332</v>
      </c>
      <c r="AC190" t="s">
        <v>42</v>
      </c>
    </row>
    <row r="191" spans="1:29">
      <c r="A191" t="s">
        <v>328</v>
      </c>
      <c r="B191" t="s">
        <v>329</v>
      </c>
      <c r="C191" t="s">
        <v>330</v>
      </c>
      <c r="D191" t="s">
        <v>331</v>
      </c>
      <c r="E191" t="s">
        <v>48</v>
      </c>
      <c r="F191" t="s">
        <v>49</v>
      </c>
      <c r="G191" t="s">
        <v>50</v>
      </c>
      <c r="I191">
        <v>1</v>
      </c>
      <c r="J191">
        <v>61</v>
      </c>
      <c r="K191">
        <v>0</v>
      </c>
      <c r="L191">
        <v>0</v>
      </c>
      <c r="M191">
        <v>1156</v>
      </c>
      <c r="N191" t="s">
        <v>39</v>
      </c>
      <c r="O191" t="s">
        <v>40</v>
      </c>
      <c r="Q191" t="s">
        <v>24</v>
      </c>
      <c r="T191" t="s">
        <v>25</v>
      </c>
      <c r="Y191">
        <v>407</v>
      </c>
      <c r="Z191" t="s">
        <v>332</v>
      </c>
      <c r="AC191" t="s">
        <v>42</v>
      </c>
    </row>
    <row r="192" spans="1:29">
      <c r="A192" t="s">
        <v>319</v>
      </c>
      <c r="B192" t="s">
        <v>320</v>
      </c>
      <c r="C192" t="s">
        <v>321</v>
      </c>
      <c r="D192" t="s">
        <v>322</v>
      </c>
      <c r="E192" t="s">
        <v>55</v>
      </c>
      <c r="F192" t="s">
        <v>56</v>
      </c>
      <c r="G192" t="s">
        <v>97</v>
      </c>
      <c r="H192" t="s">
        <v>98</v>
      </c>
      <c r="I192">
        <v>1</v>
      </c>
      <c r="J192">
        <v>450</v>
      </c>
      <c r="K192">
        <v>0</v>
      </c>
      <c r="L192">
        <v>0</v>
      </c>
      <c r="M192">
        <v>1090</v>
      </c>
      <c r="N192" t="s">
        <v>39</v>
      </c>
      <c r="O192" t="s">
        <v>40</v>
      </c>
      <c r="Q192" t="s">
        <v>24</v>
      </c>
      <c r="S192">
        <v>54306767</v>
      </c>
      <c r="T192" t="s">
        <v>25</v>
      </c>
      <c r="Y192">
        <v>231</v>
      </c>
      <c r="Z192" t="s">
        <v>323</v>
      </c>
      <c r="AC192" t="s">
        <v>42</v>
      </c>
    </row>
    <row r="193" spans="1:29">
      <c r="A193" t="s">
        <v>319</v>
      </c>
      <c r="B193" t="s">
        <v>320</v>
      </c>
      <c r="C193" t="s">
        <v>321</v>
      </c>
      <c r="D193" t="s">
        <v>322</v>
      </c>
      <c r="E193" t="s">
        <v>154</v>
      </c>
      <c r="F193" t="s">
        <v>324</v>
      </c>
      <c r="G193" t="s">
        <v>156</v>
      </c>
      <c r="H193">
        <v>4714781020510</v>
      </c>
      <c r="I193">
        <v>1</v>
      </c>
      <c r="J193">
        <v>299</v>
      </c>
      <c r="K193">
        <v>0</v>
      </c>
      <c r="L193">
        <v>0</v>
      </c>
      <c r="M193">
        <v>1090</v>
      </c>
      <c r="N193" t="s">
        <v>39</v>
      </c>
      <c r="O193" t="s">
        <v>40</v>
      </c>
      <c r="Q193" t="s">
        <v>24</v>
      </c>
      <c r="S193">
        <v>54306767</v>
      </c>
      <c r="T193" t="s">
        <v>25</v>
      </c>
      <c r="Y193">
        <v>231</v>
      </c>
      <c r="Z193" t="s">
        <v>323</v>
      </c>
      <c r="AC193" t="s">
        <v>42</v>
      </c>
    </row>
    <row r="194" spans="1:29">
      <c r="A194" t="s">
        <v>319</v>
      </c>
      <c r="B194" t="s">
        <v>320</v>
      </c>
      <c r="C194" t="s">
        <v>321</v>
      </c>
      <c r="D194" t="s">
        <v>322</v>
      </c>
      <c r="E194" t="s">
        <v>273</v>
      </c>
      <c r="F194" t="s">
        <v>274</v>
      </c>
      <c r="G194" t="s">
        <v>275</v>
      </c>
      <c r="H194">
        <v>4714781020282</v>
      </c>
      <c r="I194">
        <v>1</v>
      </c>
      <c r="J194">
        <v>299</v>
      </c>
      <c r="K194">
        <v>0</v>
      </c>
      <c r="L194">
        <v>0</v>
      </c>
      <c r="M194">
        <v>1090</v>
      </c>
      <c r="N194" t="s">
        <v>39</v>
      </c>
      <c r="O194" t="s">
        <v>40</v>
      </c>
      <c r="Q194" t="s">
        <v>24</v>
      </c>
      <c r="S194">
        <v>54306767</v>
      </c>
      <c r="T194" t="s">
        <v>25</v>
      </c>
      <c r="Y194">
        <v>231</v>
      </c>
      <c r="Z194" t="s">
        <v>323</v>
      </c>
      <c r="AC194" t="s">
        <v>42</v>
      </c>
    </row>
    <row r="195" spans="1:29">
      <c r="A195" t="s">
        <v>319</v>
      </c>
      <c r="B195" t="s">
        <v>320</v>
      </c>
      <c r="C195" t="s">
        <v>321</v>
      </c>
      <c r="D195" t="s">
        <v>322</v>
      </c>
      <c r="E195" t="s">
        <v>325</v>
      </c>
      <c r="F195" t="s">
        <v>326</v>
      </c>
      <c r="G195" t="s">
        <v>327</v>
      </c>
      <c r="H195">
        <v>4714781021401</v>
      </c>
      <c r="I195">
        <v>1</v>
      </c>
      <c r="J195">
        <v>99</v>
      </c>
      <c r="K195">
        <v>0</v>
      </c>
      <c r="L195">
        <v>0</v>
      </c>
      <c r="M195">
        <v>1090</v>
      </c>
      <c r="N195" t="s">
        <v>39</v>
      </c>
      <c r="O195" t="s">
        <v>40</v>
      </c>
      <c r="Q195" t="s">
        <v>24</v>
      </c>
      <c r="S195">
        <v>54306767</v>
      </c>
      <c r="T195" t="s">
        <v>25</v>
      </c>
      <c r="Y195">
        <v>231</v>
      </c>
      <c r="Z195" t="s">
        <v>323</v>
      </c>
      <c r="AC195" t="s">
        <v>42</v>
      </c>
    </row>
    <row r="196" spans="1:29">
      <c r="A196" t="s">
        <v>319</v>
      </c>
      <c r="B196" t="s">
        <v>320</v>
      </c>
      <c r="C196" t="s">
        <v>321</v>
      </c>
      <c r="D196" t="s">
        <v>322</v>
      </c>
      <c r="E196" t="s">
        <v>45</v>
      </c>
      <c r="F196" t="s">
        <v>46</v>
      </c>
      <c r="G196" t="s">
        <v>47</v>
      </c>
      <c r="I196">
        <v>1</v>
      </c>
      <c r="J196">
        <v>-57</v>
      </c>
      <c r="K196">
        <v>0</v>
      </c>
      <c r="L196">
        <v>0</v>
      </c>
      <c r="M196">
        <v>1090</v>
      </c>
      <c r="N196" t="s">
        <v>39</v>
      </c>
      <c r="O196" t="s">
        <v>40</v>
      </c>
      <c r="Q196" t="s">
        <v>24</v>
      </c>
      <c r="S196">
        <v>54306767</v>
      </c>
      <c r="T196" t="s">
        <v>25</v>
      </c>
      <c r="Y196">
        <v>231</v>
      </c>
      <c r="Z196" t="s">
        <v>323</v>
      </c>
      <c r="AC196" t="s">
        <v>42</v>
      </c>
    </row>
    <row r="197" spans="1:29">
      <c r="A197" t="s">
        <v>319</v>
      </c>
      <c r="B197" t="s">
        <v>320</v>
      </c>
      <c r="C197" t="s">
        <v>321</v>
      </c>
      <c r="D197" t="s">
        <v>322</v>
      </c>
      <c r="E197" t="s">
        <v>48</v>
      </c>
      <c r="F197" t="s">
        <v>49</v>
      </c>
      <c r="G197" t="s">
        <v>50</v>
      </c>
      <c r="I197">
        <v>1</v>
      </c>
      <c r="J197">
        <v>57</v>
      </c>
      <c r="K197">
        <v>0</v>
      </c>
      <c r="L197">
        <v>0</v>
      </c>
      <c r="M197">
        <v>1090</v>
      </c>
      <c r="N197" t="s">
        <v>39</v>
      </c>
      <c r="O197" t="s">
        <v>40</v>
      </c>
      <c r="Q197" t="s">
        <v>24</v>
      </c>
      <c r="S197">
        <v>54306767</v>
      </c>
      <c r="T197" t="s">
        <v>25</v>
      </c>
      <c r="Y197">
        <v>231</v>
      </c>
      <c r="Z197" t="s">
        <v>323</v>
      </c>
      <c r="AC197" t="s">
        <v>42</v>
      </c>
    </row>
    <row r="198" spans="1:29">
      <c r="A198" t="s">
        <v>308</v>
      </c>
      <c r="B198" t="s">
        <v>309</v>
      </c>
      <c r="C198" t="s">
        <v>310</v>
      </c>
      <c r="D198" t="s">
        <v>311</v>
      </c>
      <c r="E198" t="s">
        <v>61</v>
      </c>
      <c r="F198" t="s">
        <v>62</v>
      </c>
      <c r="G198" t="s">
        <v>312</v>
      </c>
      <c r="H198" t="s">
        <v>313</v>
      </c>
      <c r="I198">
        <v>1</v>
      </c>
      <c r="J198">
        <v>399</v>
      </c>
      <c r="K198">
        <v>0</v>
      </c>
      <c r="L198">
        <v>0</v>
      </c>
      <c r="M198">
        <v>1214</v>
      </c>
      <c r="N198" t="s">
        <v>39</v>
      </c>
      <c r="O198" t="s">
        <v>40</v>
      </c>
      <c r="Q198" t="s">
        <v>24</v>
      </c>
      <c r="T198" t="s">
        <v>25</v>
      </c>
      <c r="Y198">
        <v>116</v>
      </c>
      <c r="Z198" t="s">
        <v>314</v>
      </c>
      <c r="AC198" t="s">
        <v>42</v>
      </c>
    </row>
    <row r="199" spans="1:29">
      <c r="A199" t="s">
        <v>308</v>
      </c>
      <c r="B199" t="s">
        <v>309</v>
      </c>
      <c r="C199" t="s">
        <v>310</v>
      </c>
      <c r="D199" t="s">
        <v>311</v>
      </c>
      <c r="E199" t="s">
        <v>55</v>
      </c>
      <c r="F199" t="s">
        <v>56</v>
      </c>
      <c r="G199" t="s">
        <v>97</v>
      </c>
      <c r="H199" t="s">
        <v>98</v>
      </c>
      <c r="I199">
        <v>1</v>
      </c>
      <c r="J199">
        <v>450</v>
      </c>
      <c r="K199">
        <v>0</v>
      </c>
      <c r="L199">
        <v>0</v>
      </c>
      <c r="M199">
        <v>1214</v>
      </c>
      <c r="N199" t="s">
        <v>39</v>
      </c>
      <c r="O199" t="s">
        <v>40</v>
      </c>
      <c r="Q199" t="s">
        <v>24</v>
      </c>
      <c r="T199" t="s">
        <v>25</v>
      </c>
      <c r="Y199">
        <v>116</v>
      </c>
      <c r="Z199" t="s">
        <v>314</v>
      </c>
      <c r="AC199" t="s">
        <v>42</v>
      </c>
    </row>
    <row r="200" spans="1:29">
      <c r="A200" t="s">
        <v>308</v>
      </c>
      <c r="B200" t="s">
        <v>309</v>
      </c>
      <c r="C200" t="s">
        <v>310</v>
      </c>
      <c r="D200" t="s">
        <v>311</v>
      </c>
      <c r="E200" t="s">
        <v>315</v>
      </c>
      <c r="F200" t="s">
        <v>316</v>
      </c>
      <c r="G200" t="s">
        <v>317</v>
      </c>
      <c r="H200" t="s">
        <v>318</v>
      </c>
      <c r="I200">
        <v>1</v>
      </c>
      <c r="J200">
        <v>280</v>
      </c>
      <c r="K200">
        <v>0</v>
      </c>
      <c r="L200">
        <v>0</v>
      </c>
      <c r="M200">
        <v>1214</v>
      </c>
      <c r="N200" t="s">
        <v>39</v>
      </c>
      <c r="O200" t="s">
        <v>40</v>
      </c>
      <c r="Q200" t="s">
        <v>24</v>
      </c>
      <c r="T200" t="s">
        <v>25</v>
      </c>
      <c r="Y200">
        <v>116</v>
      </c>
      <c r="Z200" t="s">
        <v>314</v>
      </c>
      <c r="AC200" t="s">
        <v>42</v>
      </c>
    </row>
    <row r="201" spans="1:29">
      <c r="A201" t="s">
        <v>308</v>
      </c>
      <c r="B201" t="s">
        <v>309</v>
      </c>
      <c r="C201" t="s">
        <v>310</v>
      </c>
      <c r="D201" t="s">
        <v>311</v>
      </c>
      <c r="E201" t="s">
        <v>138</v>
      </c>
      <c r="F201" t="s">
        <v>139</v>
      </c>
      <c r="G201" t="s">
        <v>140</v>
      </c>
      <c r="H201">
        <v>4714781020954</v>
      </c>
      <c r="I201">
        <v>1</v>
      </c>
      <c r="J201">
        <v>149</v>
      </c>
      <c r="K201">
        <v>0</v>
      </c>
      <c r="L201">
        <v>0</v>
      </c>
      <c r="M201">
        <v>1214</v>
      </c>
      <c r="N201" t="s">
        <v>39</v>
      </c>
      <c r="O201" t="s">
        <v>40</v>
      </c>
      <c r="Q201" t="s">
        <v>24</v>
      </c>
      <c r="T201" t="s">
        <v>25</v>
      </c>
      <c r="Y201">
        <v>116</v>
      </c>
      <c r="Z201" t="s">
        <v>314</v>
      </c>
      <c r="AC201" t="s">
        <v>42</v>
      </c>
    </row>
    <row r="202" spans="1:29">
      <c r="A202" t="s">
        <v>308</v>
      </c>
      <c r="B202" t="s">
        <v>309</v>
      </c>
      <c r="C202" t="s">
        <v>310</v>
      </c>
      <c r="D202" t="s">
        <v>311</v>
      </c>
      <c r="E202" t="s">
        <v>45</v>
      </c>
      <c r="F202" t="s">
        <v>46</v>
      </c>
      <c r="G202" t="s">
        <v>47</v>
      </c>
      <c r="I202">
        <v>1</v>
      </c>
      <c r="J202">
        <v>-64</v>
      </c>
      <c r="K202">
        <v>0</v>
      </c>
      <c r="L202">
        <v>0</v>
      </c>
      <c r="M202">
        <v>1214</v>
      </c>
      <c r="N202" t="s">
        <v>39</v>
      </c>
      <c r="O202" t="s">
        <v>40</v>
      </c>
      <c r="Q202" t="s">
        <v>24</v>
      </c>
      <c r="T202" t="s">
        <v>25</v>
      </c>
      <c r="Y202">
        <v>116</v>
      </c>
      <c r="Z202" t="s">
        <v>314</v>
      </c>
      <c r="AC202" t="s">
        <v>42</v>
      </c>
    </row>
    <row r="203" spans="1:29">
      <c r="A203" t="s">
        <v>308</v>
      </c>
      <c r="B203" t="s">
        <v>309</v>
      </c>
      <c r="C203" t="s">
        <v>310</v>
      </c>
      <c r="D203" t="s">
        <v>311</v>
      </c>
      <c r="E203" t="s">
        <v>48</v>
      </c>
      <c r="F203" t="s">
        <v>49</v>
      </c>
      <c r="G203" t="s">
        <v>50</v>
      </c>
      <c r="I203">
        <v>1</v>
      </c>
      <c r="J203">
        <v>64</v>
      </c>
      <c r="K203">
        <v>0</v>
      </c>
      <c r="L203">
        <v>0</v>
      </c>
      <c r="M203">
        <v>1214</v>
      </c>
      <c r="N203" t="s">
        <v>39</v>
      </c>
      <c r="O203" t="s">
        <v>40</v>
      </c>
      <c r="Q203" t="s">
        <v>24</v>
      </c>
      <c r="T203" t="s">
        <v>25</v>
      </c>
      <c r="Y203">
        <v>116</v>
      </c>
      <c r="Z203" t="s">
        <v>314</v>
      </c>
      <c r="AC203" t="s">
        <v>42</v>
      </c>
    </row>
    <row r="204" spans="1:29">
      <c r="A204" t="s">
        <v>302</v>
      </c>
      <c r="B204" t="s">
        <v>303</v>
      </c>
      <c r="C204" t="s">
        <v>304</v>
      </c>
      <c r="D204" t="s">
        <v>305</v>
      </c>
      <c r="E204" t="s">
        <v>61</v>
      </c>
      <c r="F204" t="s">
        <v>62</v>
      </c>
      <c r="G204" t="s">
        <v>80</v>
      </c>
      <c r="H204" t="s">
        <v>81</v>
      </c>
      <c r="I204">
        <v>1</v>
      </c>
      <c r="J204">
        <v>399</v>
      </c>
      <c r="K204">
        <v>0</v>
      </c>
      <c r="L204">
        <v>0</v>
      </c>
      <c r="M204">
        <v>829</v>
      </c>
      <c r="N204" t="s">
        <v>22</v>
      </c>
      <c r="O204" t="s">
        <v>23</v>
      </c>
      <c r="Q204" t="s">
        <v>24</v>
      </c>
      <c r="T204" t="s">
        <v>25</v>
      </c>
      <c r="Y204">
        <v>655</v>
      </c>
      <c r="Z204" t="s">
        <v>306</v>
      </c>
      <c r="AA204" t="s">
        <v>307</v>
      </c>
      <c r="AC204" t="s">
        <v>27</v>
      </c>
    </row>
    <row r="205" spans="1:29">
      <c r="A205" t="s">
        <v>302</v>
      </c>
      <c r="B205" t="s">
        <v>303</v>
      </c>
      <c r="C205" t="s">
        <v>304</v>
      </c>
      <c r="D205" t="s">
        <v>305</v>
      </c>
      <c r="E205" t="s">
        <v>149</v>
      </c>
      <c r="F205" t="s">
        <v>150</v>
      </c>
      <c r="G205" t="s">
        <v>151</v>
      </c>
      <c r="H205" t="s">
        <v>152</v>
      </c>
      <c r="I205">
        <v>1</v>
      </c>
      <c r="J205">
        <v>430</v>
      </c>
      <c r="K205">
        <v>0</v>
      </c>
      <c r="L205">
        <v>0</v>
      </c>
      <c r="M205">
        <v>829</v>
      </c>
      <c r="N205" t="s">
        <v>22</v>
      </c>
      <c r="O205" t="s">
        <v>23</v>
      </c>
      <c r="Q205" t="s">
        <v>24</v>
      </c>
      <c r="T205" t="s">
        <v>25</v>
      </c>
      <c r="Y205">
        <v>655</v>
      </c>
      <c r="Z205" t="s">
        <v>306</v>
      </c>
      <c r="AA205" t="s">
        <v>307</v>
      </c>
      <c r="AC205" t="s">
        <v>27</v>
      </c>
    </row>
    <row r="206" spans="1:29">
      <c r="A206" t="s">
        <v>289</v>
      </c>
      <c r="B206" t="s">
        <v>290</v>
      </c>
      <c r="C206" t="s">
        <v>291</v>
      </c>
      <c r="D206" t="s">
        <v>292</v>
      </c>
      <c r="E206" t="s">
        <v>285</v>
      </c>
      <c r="F206" t="s">
        <v>286</v>
      </c>
      <c r="G206" t="s">
        <v>293</v>
      </c>
      <c r="H206" t="s">
        <v>294</v>
      </c>
      <c r="I206">
        <v>2</v>
      </c>
      <c r="J206">
        <v>750</v>
      </c>
      <c r="K206">
        <v>0</v>
      </c>
      <c r="L206">
        <v>0</v>
      </c>
      <c r="M206">
        <v>1020</v>
      </c>
      <c r="N206" t="s">
        <v>39</v>
      </c>
      <c r="O206" t="s">
        <v>59</v>
      </c>
      <c r="Q206" t="s">
        <v>24</v>
      </c>
      <c r="T206" t="s">
        <v>25</v>
      </c>
      <c r="Y206">
        <v>300</v>
      </c>
      <c r="Z206" t="s">
        <v>295</v>
      </c>
      <c r="AC206" t="s">
        <v>42</v>
      </c>
    </row>
    <row r="207" spans="1:29">
      <c r="A207" t="s">
        <v>289</v>
      </c>
      <c r="B207" t="s">
        <v>290</v>
      </c>
      <c r="C207" t="s">
        <v>291</v>
      </c>
      <c r="D207" t="s">
        <v>292</v>
      </c>
      <c r="E207" t="s">
        <v>296</v>
      </c>
      <c r="F207" t="s">
        <v>297</v>
      </c>
      <c r="G207" t="s">
        <v>298</v>
      </c>
      <c r="H207" t="s">
        <v>299</v>
      </c>
      <c r="I207">
        <v>1</v>
      </c>
      <c r="J207">
        <v>270</v>
      </c>
      <c r="K207">
        <v>0</v>
      </c>
      <c r="L207">
        <v>0</v>
      </c>
      <c r="M207">
        <v>1020</v>
      </c>
      <c r="N207" t="s">
        <v>39</v>
      </c>
      <c r="O207" t="s">
        <v>59</v>
      </c>
      <c r="Q207" t="s">
        <v>24</v>
      </c>
      <c r="T207" t="s">
        <v>25</v>
      </c>
      <c r="Y207">
        <v>300</v>
      </c>
      <c r="Z207" t="s">
        <v>295</v>
      </c>
      <c r="AC207" t="s">
        <v>42</v>
      </c>
    </row>
    <row r="208" spans="1:29">
      <c r="A208" t="s">
        <v>289</v>
      </c>
      <c r="B208" t="s">
        <v>290</v>
      </c>
      <c r="C208" t="s">
        <v>291</v>
      </c>
      <c r="D208" t="s">
        <v>292</v>
      </c>
      <c r="E208" t="s">
        <v>300</v>
      </c>
      <c r="F208" t="s">
        <v>301</v>
      </c>
      <c r="I208">
        <v>1</v>
      </c>
      <c r="J208">
        <v>0</v>
      </c>
      <c r="K208">
        <v>0</v>
      </c>
      <c r="L208">
        <v>0</v>
      </c>
      <c r="M208">
        <v>1020</v>
      </c>
      <c r="N208" t="s">
        <v>39</v>
      </c>
      <c r="O208" t="s">
        <v>59</v>
      </c>
      <c r="Q208" t="s">
        <v>24</v>
      </c>
      <c r="T208" t="s">
        <v>25</v>
      </c>
      <c r="Y208">
        <v>300</v>
      </c>
      <c r="Z208" t="s">
        <v>295</v>
      </c>
      <c r="AC208" t="s">
        <v>42</v>
      </c>
    </row>
    <row r="209" spans="1:29">
      <c r="A209" t="s">
        <v>938</v>
      </c>
      <c r="B209" t="s">
        <v>939</v>
      </c>
      <c r="C209" t="s">
        <v>940</v>
      </c>
      <c r="D209" t="s">
        <v>941</v>
      </c>
      <c r="E209" t="s">
        <v>269</v>
      </c>
      <c r="F209" t="s">
        <v>270</v>
      </c>
      <c r="G209" t="s">
        <v>271</v>
      </c>
      <c r="H209">
        <v>4714781021777</v>
      </c>
      <c r="I209">
        <v>2</v>
      </c>
      <c r="J209">
        <v>798</v>
      </c>
      <c r="K209">
        <v>0</v>
      </c>
      <c r="L209">
        <v>0</v>
      </c>
      <c r="M209">
        <v>798</v>
      </c>
      <c r="N209" t="s">
        <v>633</v>
      </c>
      <c r="O209" t="s">
        <v>634</v>
      </c>
      <c r="Q209" t="s">
        <v>24</v>
      </c>
      <c r="T209" t="s">
        <v>635</v>
      </c>
      <c r="V209">
        <v>967570</v>
      </c>
      <c r="W209" t="s">
        <v>942</v>
      </c>
      <c r="X209" t="s">
        <v>943</v>
      </c>
      <c r="AC209" t="s">
        <v>27</v>
      </c>
    </row>
    <row r="210" spans="1:29">
      <c r="A210" t="s">
        <v>281</v>
      </c>
      <c r="B210" t="s">
        <v>282</v>
      </c>
      <c r="C210" t="s">
        <v>283</v>
      </c>
      <c r="D210" t="s">
        <v>284</v>
      </c>
      <c r="E210" t="s">
        <v>285</v>
      </c>
      <c r="F210" t="s">
        <v>286</v>
      </c>
      <c r="G210" t="s">
        <v>84</v>
      </c>
      <c r="H210" t="s">
        <v>287</v>
      </c>
      <c r="I210">
        <v>2</v>
      </c>
      <c r="J210">
        <v>750</v>
      </c>
      <c r="K210">
        <v>0</v>
      </c>
      <c r="L210">
        <v>0</v>
      </c>
      <c r="M210">
        <v>750</v>
      </c>
      <c r="N210" t="s">
        <v>39</v>
      </c>
      <c r="O210" t="s">
        <v>59</v>
      </c>
      <c r="Q210" t="s">
        <v>24</v>
      </c>
      <c r="T210" t="s">
        <v>25</v>
      </c>
      <c r="Y210">
        <v>251</v>
      </c>
      <c r="Z210" t="s">
        <v>288</v>
      </c>
      <c r="AC210" t="s">
        <v>42</v>
      </c>
    </row>
    <row r="211" spans="1:29">
      <c r="A211" t="s">
        <v>944</v>
      </c>
      <c r="B211" t="s">
        <v>945</v>
      </c>
      <c r="C211" t="s">
        <v>946</v>
      </c>
      <c r="D211" t="s">
        <v>947</v>
      </c>
      <c r="E211" t="s">
        <v>138</v>
      </c>
      <c r="F211" t="s">
        <v>139</v>
      </c>
      <c r="G211" t="s">
        <v>140</v>
      </c>
      <c r="H211">
        <v>4714781020954</v>
      </c>
      <c r="I211">
        <v>1</v>
      </c>
      <c r="J211">
        <v>149</v>
      </c>
      <c r="K211">
        <v>65</v>
      </c>
      <c r="L211">
        <v>0</v>
      </c>
      <c r="M211">
        <v>642</v>
      </c>
      <c r="N211" t="s">
        <v>633</v>
      </c>
      <c r="O211" t="s">
        <v>634</v>
      </c>
      <c r="Q211" t="s">
        <v>24</v>
      </c>
      <c r="T211" t="s">
        <v>635</v>
      </c>
      <c r="V211">
        <v>183332</v>
      </c>
      <c r="W211" t="s">
        <v>948</v>
      </c>
      <c r="X211" t="s">
        <v>949</v>
      </c>
      <c r="AC211" t="s">
        <v>27</v>
      </c>
    </row>
    <row r="212" spans="1:29">
      <c r="A212" t="s">
        <v>944</v>
      </c>
      <c r="B212" t="s">
        <v>945</v>
      </c>
      <c r="C212" t="s">
        <v>946</v>
      </c>
      <c r="D212" t="s">
        <v>947</v>
      </c>
      <c r="E212" t="s">
        <v>65</v>
      </c>
      <c r="F212" t="s">
        <v>66</v>
      </c>
      <c r="G212" t="s">
        <v>67</v>
      </c>
      <c r="H212">
        <v>4714781020800</v>
      </c>
      <c r="I212">
        <v>1</v>
      </c>
      <c r="J212">
        <v>128</v>
      </c>
      <c r="K212">
        <v>65</v>
      </c>
      <c r="L212">
        <v>0</v>
      </c>
      <c r="M212">
        <v>642</v>
      </c>
      <c r="N212" t="s">
        <v>633</v>
      </c>
      <c r="O212" t="s">
        <v>634</v>
      </c>
      <c r="Q212" t="s">
        <v>24</v>
      </c>
      <c r="T212" t="s">
        <v>635</v>
      </c>
      <c r="V212">
        <v>183332</v>
      </c>
      <c r="W212" t="s">
        <v>948</v>
      </c>
      <c r="X212" t="s">
        <v>949</v>
      </c>
      <c r="AC212" t="s">
        <v>27</v>
      </c>
    </row>
    <row r="213" spans="1:29">
      <c r="A213" t="s">
        <v>944</v>
      </c>
      <c r="B213" t="s">
        <v>945</v>
      </c>
      <c r="C213" t="s">
        <v>946</v>
      </c>
      <c r="D213" t="s">
        <v>947</v>
      </c>
      <c r="E213" t="s">
        <v>718</v>
      </c>
      <c r="F213" t="s">
        <v>719</v>
      </c>
      <c r="G213" t="s">
        <v>720</v>
      </c>
      <c r="H213">
        <v>4714781020541</v>
      </c>
      <c r="I213">
        <v>1</v>
      </c>
      <c r="J213">
        <v>300</v>
      </c>
      <c r="K213">
        <v>65</v>
      </c>
      <c r="L213">
        <v>0</v>
      </c>
      <c r="M213">
        <v>642</v>
      </c>
      <c r="N213" t="s">
        <v>633</v>
      </c>
      <c r="O213" t="s">
        <v>634</v>
      </c>
      <c r="Q213" t="s">
        <v>24</v>
      </c>
      <c r="T213" t="s">
        <v>635</v>
      </c>
      <c r="V213">
        <v>183332</v>
      </c>
      <c r="W213" t="s">
        <v>948</v>
      </c>
      <c r="X213" t="s">
        <v>949</v>
      </c>
      <c r="AC213" t="s">
        <v>27</v>
      </c>
    </row>
    <row r="214" spans="1:29">
      <c r="A214" t="s">
        <v>950</v>
      </c>
      <c r="B214" t="s">
        <v>951</v>
      </c>
      <c r="C214" t="s">
        <v>952</v>
      </c>
      <c r="D214" t="s">
        <v>953</v>
      </c>
      <c r="E214" t="s">
        <v>61</v>
      </c>
      <c r="F214" t="s">
        <v>62</v>
      </c>
      <c r="G214" t="s">
        <v>80</v>
      </c>
      <c r="H214" t="s">
        <v>81</v>
      </c>
      <c r="I214">
        <v>2</v>
      </c>
      <c r="J214">
        <v>798</v>
      </c>
      <c r="K214">
        <v>0</v>
      </c>
      <c r="L214">
        <v>0</v>
      </c>
      <c r="M214">
        <v>798</v>
      </c>
      <c r="N214" t="s">
        <v>633</v>
      </c>
      <c r="O214" t="s">
        <v>634</v>
      </c>
      <c r="Q214" t="s">
        <v>24</v>
      </c>
      <c r="T214" t="s">
        <v>635</v>
      </c>
      <c r="V214">
        <v>238245</v>
      </c>
      <c r="W214" t="s">
        <v>954</v>
      </c>
      <c r="X214" t="s">
        <v>955</v>
      </c>
      <c r="AC214" t="s">
        <v>27</v>
      </c>
    </row>
    <row r="215" spans="1:29">
      <c r="A215" t="s">
        <v>956</v>
      </c>
      <c r="B215" t="s">
        <v>957</v>
      </c>
      <c r="C215" t="s">
        <v>958</v>
      </c>
      <c r="D215" t="s">
        <v>959</v>
      </c>
      <c r="E215" t="s">
        <v>541</v>
      </c>
      <c r="F215" t="s">
        <v>542</v>
      </c>
      <c r="G215" t="s">
        <v>543</v>
      </c>
      <c r="H215" t="s">
        <v>544</v>
      </c>
      <c r="I215">
        <v>1</v>
      </c>
      <c r="J215">
        <v>570</v>
      </c>
      <c r="K215">
        <v>0</v>
      </c>
      <c r="L215">
        <v>0</v>
      </c>
      <c r="M215">
        <v>1071</v>
      </c>
      <c r="N215" t="s">
        <v>633</v>
      </c>
      <c r="O215" t="s">
        <v>171</v>
      </c>
      <c r="Q215" t="s">
        <v>24</v>
      </c>
      <c r="T215" t="s">
        <v>635</v>
      </c>
      <c r="V215">
        <v>209258</v>
      </c>
      <c r="W215" t="s">
        <v>960</v>
      </c>
      <c r="X215" t="s">
        <v>961</v>
      </c>
      <c r="AC215" t="s">
        <v>42</v>
      </c>
    </row>
    <row r="216" spans="1:29">
      <c r="A216" t="s">
        <v>956</v>
      </c>
      <c r="B216" t="s">
        <v>957</v>
      </c>
      <c r="C216" t="s">
        <v>958</v>
      </c>
      <c r="D216" t="s">
        <v>959</v>
      </c>
      <c r="E216" t="s">
        <v>157</v>
      </c>
      <c r="F216" t="s">
        <v>158</v>
      </c>
      <c r="G216" t="s">
        <v>159</v>
      </c>
      <c r="H216">
        <v>4714781021463</v>
      </c>
      <c r="I216">
        <v>2</v>
      </c>
      <c r="J216">
        <v>240</v>
      </c>
      <c r="K216">
        <v>0</v>
      </c>
      <c r="L216">
        <v>0</v>
      </c>
      <c r="M216">
        <v>1071</v>
      </c>
      <c r="N216" t="s">
        <v>633</v>
      </c>
      <c r="O216" t="s">
        <v>171</v>
      </c>
      <c r="Q216" t="s">
        <v>24</v>
      </c>
      <c r="T216" t="s">
        <v>635</v>
      </c>
      <c r="V216">
        <v>209258</v>
      </c>
      <c r="W216" t="s">
        <v>960</v>
      </c>
      <c r="X216" t="s">
        <v>961</v>
      </c>
      <c r="AC216" t="s">
        <v>42</v>
      </c>
    </row>
    <row r="217" spans="1:29">
      <c r="A217" t="s">
        <v>956</v>
      </c>
      <c r="B217" t="s">
        <v>957</v>
      </c>
      <c r="C217" t="s">
        <v>958</v>
      </c>
      <c r="D217" t="s">
        <v>959</v>
      </c>
      <c r="E217" t="s">
        <v>518</v>
      </c>
      <c r="F217" t="s">
        <v>962</v>
      </c>
      <c r="G217" t="s">
        <v>520</v>
      </c>
      <c r="H217">
        <v>4714781021029</v>
      </c>
      <c r="I217">
        <v>1</v>
      </c>
      <c r="J217">
        <v>149</v>
      </c>
      <c r="K217">
        <v>0</v>
      </c>
      <c r="L217">
        <v>0</v>
      </c>
      <c r="M217">
        <v>1071</v>
      </c>
      <c r="N217" t="s">
        <v>633</v>
      </c>
      <c r="O217" t="s">
        <v>171</v>
      </c>
      <c r="Q217" t="s">
        <v>24</v>
      </c>
      <c r="T217" t="s">
        <v>635</v>
      </c>
      <c r="V217">
        <v>209258</v>
      </c>
      <c r="W217" t="s">
        <v>960</v>
      </c>
      <c r="X217" t="s">
        <v>961</v>
      </c>
      <c r="AC217" t="s">
        <v>42</v>
      </c>
    </row>
    <row r="218" spans="1:29">
      <c r="A218" t="s">
        <v>956</v>
      </c>
      <c r="B218" t="s">
        <v>957</v>
      </c>
      <c r="C218" t="s">
        <v>958</v>
      </c>
      <c r="D218" t="s">
        <v>959</v>
      </c>
      <c r="E218" t="s">
        <v>350</v>
      </c>
      <c r="F218" t="s">
        <v>351</v>
      </c>
      <c r="G218" t="s">
        <v>352</v>
      </c>
      <c r="H218">
        <v>4714781020503</v>
      </c>
      <c r="I218">
        <v>1</v>
      </c>
      <c r="J218">
        <v>168</v>
      </c>
      <c r="K218">
        <v>0</v>
      </c>
      <c r="L218">
        <v>0</v>
      </c>
      <c r="M218">
        <v>1071</v>
      </c>
      <c r="N218" t="s">
        <v>633</v>
      </c>
      <c r="O218" t="s">
        <v>171</v>
      </c>
      <c r="Q218" t="s">
        <v>24</v>
      </c>
      <c r="T218" t="s">
        <v>635</v>
      </c>
      <c r="V218">
        <v>209258</v>
      </c>
      <c r="W218" t="s">
        <v>960</v>
      </c>
      <c r="X218" t="s">
        <v>961</v>
      </c>
      <c r="AC218" t="s">
        <v>42</v>
      </c>
    </row>
    <row r="219" spans="1:29">
      <c r="A219" t="s">
        <v>956</v>
      </c>
      <c r="B219" t="s">
        <v>957</v>
      </c>
      <c r="C219" t="s">
        <v>958</v>
      </c>
      <c r="D219" t="s">
        <v>959</v>
      </c>
      <c r="E219" t="s">
        <v>45</v>
      </c>
      <c r="F219" t="s">
        <v>46</v>
      </c>
      <c r="G219" t="s">
        <v>47</v>
      </c>
      <c r="I219">
        <v>1</v>
      </c>
      <c r="J219">
        <v>-56</v>
      </c>
      <c r="K219">
        <v>0</v>
      </c>
      <c r="L219">
        <v>0</v>
      </c>
      <c r="M219">
        <v>1071</v>
      </c>
      <c r="N219" t="s">
        <v>633</v>
      </c>
      <c r="O219" t="s">
        <v>171</v>
      </c>
      <c r="Q219" t="s">
        <v>24</v>
      </c>
      <c r="T219" t="s">
        <v>635</v>
      </c>
      <c r="V219">
        <v>209258</v>
      </c>
      <c r="W219" t="s">
        <v>960</v>
      </c>
      <c r="X219" t="s">
        <v>961</v>
      </c>
      <c r="AC219" t="s">
        <v>42</v>
      </c>
    </row>
    <row r="220" spans="1:29">
      <c r="A220" t="s">
        <v>956</v>
      </c>
      <c r="B220" t="s">
        <v>957</v>
      </c>
      <c r="C220" t="s">
        <v>958</v>
      </c>
      <c r="D220" t="s">
        <v>959</v>
      </c>
      <c r="E220" t="s">
        <v>48</v>
      </c>
      <c r="F220" t="s">
        <v>49</v>
      </c>
      <c r="G220" t="s">
        <v>50</v>
      </c>
      <c r="I220">
        <v>1</v>
      </c>
      <c r="J220">
        <v>56</v>
      </c>
      <c r="K220">
        <v>0</v>
      </c>
      <c r="L220">
        <v>0</v>
      </c>
      <c r="M220">
        <v>1071</v>
      </c>
      <c r="N220" t="s">
        <v>633</v>
      </c>
      <c r="O220" t="s">
        <v>171</v>
      </c>
      <c r="Q220" t="s">
        <v>24</v>
      </c>
      <c r="T220" t="s">
        <v>635</v>
      </c>
      <c r="V220">
        <v>209258</v>
      </c>
      <c r="W220" t="s">
        <v>960</v>
      </c>
      <c r="X220" t="s">
        <v>961</v>
      </c>
      <c r="AC220" t="s">
        <v>42</v>
      </c>
    </row>
    <row r="221" spans="1:29">
      <c r="A221" t="s">
        <v>963</v>
      </c>
      <c r="B221" t="s">
        <v>964</v>
      </c>
      <c r="C221" t="s">
        <v>965</v>
      </c>
      <c r="D221" t="s">
        <v>966</v>
      </c>
      <c r="E221" t="s">
        <v>157</v>
      </c>
      <c r="F221" t="s">
        <v>158</v>
      </c>
      <c r="G221" t="s">
        <v>159</v>
      </c>
      <c r="H221">
        <v>4714781021463</v>
      </c>
      <c r="I221">
        <v>1</v>
      </c>
      <c r="J221">
        <v>120</v>
      </c>
      <c r="K221">
        <v>0</v>
      </c>
      <c r="L221">
        <v>0</v>
      </c>
      <c r="M221">
        <v>1026</v>
      </c>
      <c r="N221" t="s">
        <v>633</v>
      </c>
      <c r="O221" t="s">
        <v>634</v>
      </c>
      <c r="Q221" t="s">
        <v>24</v>
      </c>
      <c r="T221" t="s">
        <v>635</v>
      </c>
      <c r="V221">
        <v>110530</v>
      </c>
      <c r="W221" t="s">
        <v>967</v>
      </c>
      <c r="X221" t="s">
        <v>968</v>
      </c>
      <c r="AC221" t="s">
        <v>27</v>
      </c>
    </row>
    <row r="222" spans="1:29">
      <c r="A222" t="s">
        <v>963</v>
      </c>
      <c r="B222" t="s">
        <v>964</v>
      </c>
      <c r="C222" t="s">
        <v>965</v>
      </c>
      <c r="D222" t="s">
        <v>966</v>
      </c>
      <c r="E222" t="s">
        <v>383</v>
      </c>
      <c r="F222" t="s">
        <v>384</v>
      </c>
      <c r="G222" t="s">
        <v>749</v>
      </c>
      <c r="H222" t="s">
        <v>750</v>
      </c>
      <c r="I222">
        <v>1</v>
      </c>
      <c r="J222">
        <v>960</v>
      </c>
      <c r="K222">
        <v>0</v>
      </c>
      <c r="L222">
        <v>0</v>
      </c>
      <c r="M222">
        <v>1026</v>
      </c>
      <c r="N222" t="s">
        <v>633</v>
      </c>
      <c r="O222" t="s">
        <v>634</v>
      </c>
      <c r="Q222" t="s">
        <v>24</v>
      </c>
      <c r="T222" t="s">
        <v>635</v>
      </c>
      <c r="V222">
        <v>110530</v>
      </c>
      <c r="W222" t="s">
        <v>967</v>
      </c>
      <c r="X222" t="s">
        <v>968</v>
      </c>
      <c r="AC222" t="s">
        <v>27</v>
      </c>
    </row>
    <row r="223" spans="1:29">
      <c r="A223" t="s">
        <v>963</v>
      </c>
      <c r="B223" t="s">
        <v>964</v>
      </c>
      <c r="C223" t="s">
        <v>965</v>
      </c>
      <c r="D223" t="s">
        <v>966</v>
      </c>
      <c r="E223" t="s">
        <v>45</v>
      </c>
      <c r="F223" t="s">
        <v>46</v>
      </c>
      <c r="G223" t="s">
        <v>47</v>
      </c>
      <c r="I223">
        <v>1</v>
      </c>
      <c r="J223">
        <v>-54</v>
      </c>
      <c r="K223">
        <v>0</v>
      </c>
      <c r="L223">
        <v>0</v>
      </c>
      <c r="M223">
        <v>1026</v>
      </c>
      <c r="N223" t="s">
        <v>633</v>
      </c>
      <c r="O223" t="s">
        <v>634</v>
      </c>
      <c r="Q223" t="s">
        <v>24</v>
      </c>
      <c r="T223" t="s">
        <v>635</v>
      </c>
      <c r="V223">
        <v>110530</v>
      </c>
      <c r="W223" t="s">
        <v>967</v>
      </c>
      <c r="X223" t="s">
        <v>968</v>
      </c>
      <c r="AC223" t="s">
        <v>27</v>
      </c>
    </row>
    <row r="224" spans="1:29">
      <c r="A224" t="s">
        <v>963</v>
      </c>
      <c r="B224" t="s">
        <v>964</v>
      </c>
      <c r="C224" t="s">
        <v>965</v>
      </c>
      <c r="D224" t="s">
        <v>966</v>
      </c>
      <c r="E224" t="s">
        <v>48</v>
      </c>
      <c r="F224" t="s">
        <v>49</v>
      </c>
      <c r="G224" t="s">
        <v>50</v>
      </c>
      <c r="I224">
        <v>1</v>
      </c>
      <c r="J224">
        <v>54</v>
      </c>
      <c r="K224">
        <v>0</v>
      </c>
      <c r="L224">
        <v>0</v>
      </c>
      <c r="M224">
        <v>1026</v>
      </c>
      <c r="N224" t="s">
        <v>633</v>
      </c>
      <c r="O224" t="s">
        <v>634</v>
      </c>
      <c r="Q224" t="s">
        <v>24</v>
      </c>
      <c r="T224" t="s">
        <v>635</v>
      </c>
      <c r="V224">
        <v>110530</v>
      </c>
      <c r="W224" t="s">
        <v>967</v>
      </c>
      <c r="X224" t="s">
        <v>968</v>
      </c>
      <c r="AC224" t="s">
        <v>27</v>
      </c>
    </row>
    <row r="225" spans="1:29">
      <c r="A225" t="s">
        <v>276</v>
      </c>
      <c r="B225" t="s">
        <v>277</v>
      </c>
      <c r="C225" t="s">
        <v>278</v>
      </c>
      <c r="D225" t="s">
        <v>279</v>
      </c>
      <c r="E225" t="s">
        <v>18</v>
      </c>
      <c r="F225" t="s">
        <v>19</v>
      </c>
      <c r="G225" t="s">
        <v>20</v>
      </c>
      <c r="H225" t="s">
        <v>21</v>
      </c>
      <c r="I225">
        <v>1</v>
      </c>
      <c r="J225">
        <v>888</v>
      </c>
      <c r="K225">
        <v>0</v>
      </c>
      <c r="L225">
        <v>0</v>
      </c>
      <c r="M225">
        <v>888</v>
      </c>
      <c r="N225" t="s">
        <v>39</v>
      </c>
      <c r="O225" t="s">
        <v>40</v>
      </c>
      <c r="Q225" t="s">
        <v>24</v>
      </c>
      <c r="T225" t="s">
        <v>25</v>
      </c>
      <c r="Y225">
        <v>231</v>
      </c>
      <c r="Z225" t="s">
        <v>280</v>
      </c>
      <c r="AC225" t="s">
        <v>42</v>
      </c>
    </row>
    <row r="226" spans="1:29">
      <c r="A226" t="s">
        <v>969</v>
      </c>
      <c r="B226" t="s">
        <v>970</v>
      </c>
      <c r="C226" t="s">
        <v>971</v>
      </c>
      <c r="D226" t="s">
        <v>972</v>
      </c>
      <c r="E226" t="s">
        <v>203</v>
      </c>
      <c r="F226" t="s">
        <v>204</v>
      </c>
      <c r="G226" t="s">
        <v>205</v>
      </c>
      <c r="H226" t="s">
        <v>206</v>
      </c>
      <c r="I226">
        <v>1</v>
      </c>
      <c r="J226">
        <v>528</v>
      </c>
      <c r="K226">
        <v>0</v>
      </c>
      <c r="L226">
        <v>0</v>
      </c>
      <c r="M226">
        <v>878</v>
      </c>
      <c r="N226" t="s">
        <v>633</v>
      </c>
      <c r="O226" t="s">
        <v>634</v>
      </c>
      <c r="Q226" t="s">
        <v>24</v>
      </c>
      <c r="T226" t="s">
        <v>635</v>
      </c>
      <c r="V226">
        <v>216979</v>
      </c>
      <c r="W226" t="s">
        <v>973</v>
      </c>
      <c r="X226" t="s">
        <v>974</v>
      </c>
      <c r="AC226" t="s">
        <v>27</v>
      </c>
    </row>
    <row r="227" spans="1:29">
      <c r="A227" t="s">
        <v>969</v>
      </c>
      <c r="B227" t="s">
        <v>970</v>
      </c>
      <c r="C227" t="s">
        <v>971</v>
      </c>
      <c r="D227" t="s">
        <v>972</v>
      </c>
      <c r="E227" t="s">
        <v>104</v>
      </c>
      <c r="F227" t="s">
        <v>723</v>
      </c>
      <c r="G227" t="s">
        <v>106</v>
      </c>
      <c r="H227">
        <v>4714781020268</v>
      </c>
      <c r="I227">
        <v>1</v>
      </c>
      <c r="J227">
        <v>350</v>
      </c>
      <c r="K227">
        <v>0</v>
      </c>
      <c r="L227">
        <v>0</v>
      </c>
      <c r="M227">
        <v>878</v>
      </c>
      <c r="N227" t="s">
        <v>633</v>
      </c>
      <c r="O227" t="s">
        <v>634</v>
      </c>
      <c r="Q227" t="s">
        <v>24</v>
      </c>
      <c r="T227" t="s">
        <v>635</v>
      </c>
      <c r="V227">
        <v>216979</v>
      </c>
      <c r="W227" t="s">
        <v>973</v>
      </c>
      <c r="X227" t="s">
        <v>974</v>
      </c>
      <c r="AC227" t="s">
        <v>27</v>
      </c>
    </row>
    <row r="228" spans="1:29">
      <c r="A228" t="s">
        <v>265</v>
      </c>
      <c r="B228" t="s">
        <v>266</v>
      </c>
      <c r="C228" t="s">
        <v>267</v>
      </c>
      <c r="D228" t="s">
        <v>268</v>
      </c>
      <c r="E228" t="s">
        <v>269</v>
      </c>
      <c r="F228" t="s">
        <v>270</v>
      </c>
      <c r="G228" t="s">
        <v>271</v>
      </c>
      <c r="H228">
        <v>4714781021777</v>
      </c>
      <c r="I228">
        <v>2</v>
      </c>
      <c r="J228">
        <v>798</v>
      </c>
      <c r="K228">
        <v>0</v>
      </c>
      <c r="L228">
        <v>0</v>
      </c>
      <c r="M228">
        <v>1097</v>
      </c>
      <c r="N228" t="s">
        <v>39</v>
      </c>
      <c r="O228" t="s">
        <v>40</v>
      </c>
      <c r="Q228" t="s">
        <v>24</v>
      </c>
      <c r="T228" t="s">
        <v>25</v>
      </c>
      <c r="Y228">
        <v>709</v>
      </c>
      <c r="Z228" t="s">
        <v>272</v>
      </c>
      <c r="AC228" t="s">
        <v>42</v>
      </c>
    </row>
    <row r="229" spans="1:29">
      <c r="A229" t="s">
        <v>265</v>
      </c>
      <c r="B229" t="s">
        <v>266</v>
      </c>
      <c r="C229" t="s">
        <v>267</v>
      </c>
      <c r="D229" t="s">
        <v>268</v>
      </c>
      <c r="E229" t="s">
        <v>273</v>
      </c>
      <c r="F229" t="s">
        <v>274</v>
      </c>
      <c r="G229" t="s">
        <v>275</v>
      </c>
      <c r="H229">
        <v>4714781020282</v>
      </c>
      <c r="I229">
        <v>1</v>
      </c>
      <c r="J229">
        <v>299</v>
      </c>
      <c r="K229">
        <v>0</v>
      </c>
      <c r="L229">
        <v>0</v>
      </c>
      <c r="M229">
        <v>1097</v>
      </c>
      <c r="N229" t="s">
        <v>39</v>
      </c>
      <c r="O229" t="s">
        <v>40</v>
      </c>
      <c r="Q229" t="s">
        <v>24</v>
      </c>
      <c r="T229" t="s">
        <v>25</v>
      </c>
      <c r="Y229">
        <v>709</v>
      </c>
      <c r="Z229" t="s">
        <v>272</v>
      </c>
      <c r="AC229" t="s">
        <v>42</v>
      </c>
    </row>
    <row r="230" spans="1:29">
      <c r="A230" t="s">
        <v>257</v>
      </c>
      <c r="B230" t="s">
        <v>258</v>
      </c>
      <c r="C230" t="s">
        <v>259</v>
      </c>
      <c r="D230" t="s">
        <v>260</v>
      </c>
      <c r="E230" t="s">
        <v>104</v>
      </c>
      <c r="F230" t="s">
        <v>105</v>
      </c>
      <c r="G230" t="s">
        <v>106</v>
      </c>
      <c r="H230">
        <v>4714781020268</v>
      </c>
      <c r="I230">
        <v>1</v>
      </c>
      <c r="J230">
        <v>430</v>
      </c>
      <c r="K230">
        <v>0</v>
      </c>
      <c r="L230">
        <v>0</v>
      </c>
      <c r="M230">
        <v>729</v>
      </c>
      <c r="N230" t="s">
        <v>39</v>
      </c>
      <c r="O230" t="s">
        <v>171</v>
      </c>
      <c r="Q230" t="s">
        <v>24</v>
      </c>
      <c r="T230" t="s">
        <v>25</v>
      </c>
      <c r="Y230">
        <v>401</v>
      </c>
      <c r="Z230" t="s">
        <v>261</v>
      </c>
      <c r="AC230" t="s">
        <v>42</v>
      </c>
    </row>
    <row r="231" spans="1:29">
      <c r="A231" t="s">
        <v>257</v>
      </c>
      <c r="B231" t="s">
        <v>258</v>
      </c>
      <c r="C231" t="s">
        <v>259</v>
      </c>
      <c r="D231" t="s">
        <v>260</v>
      </c>
      <c r="E231" t="s">
        <v>262</v>
      </c>
      <c r="F231" t="s">
        <v>263</v>
      </c>
      <c r="G231" t="s">
        <v>264</v>
      </c>
      <c r="H231">
        <v>4714781024730</v>
      </c>
      <c r="I231">
        <v>1</v>
      </c>
      <c r="J231">
        <v>299</v>
      </c>
      <c r="K231">
        <v>0</v>
      </c>
      <c r="L231">
        <v>0</v>
      </c>
      <c r="M231">
        <v>729</v>
      </c>
      <c r="N231" t="s">
        <v>39</v>
      </c>
      <c r="O231" t="s">
        <v>171</v>
      </c>
      <c r="Q231" t="s">
        <v>24</v>
      </c>
      <c r="T231" t="s">
        <v>25</v>
      </c>
      <c r="Y231">
        <v>401</v>
      </c>
      <c r="Z231" t="s">
        <v>261</v>
      </c>
      <c r="AC231" t="s">
        <v>42</v>
      </c>
    </row>
    <row r="232" spans="1:29">
      <c r="A232" t="s">
        <v>975</v>
      </c>
      <c r="B232" t="s">
        <v>976</v>
      </c>
      <c r="C232" t="s">
        <v>977</v>
      </c>
      <c r="D232" t="s">
        <v>978</v>
      </c>
      <c r="E232" t="s">
        <v>61</v>
      </c>
      <c r="F232" t="s">
        <v>62</v>
      </c>
      <c r="G232" t="s">
        <v>84</v>
      </c>
      <c r="H232" t="s">
        <v>85</v>
      </c>
      <c r="I232">
        <v>2</v>
      </c>
      <c r="J232">
        <v>798</v>
      </c>
      <c r="K232">
        <v>0</v>
      </c>
      <c r="L232">
        <v>0</v>
      </c>
      <c r="M232">
        <v>798</v>
      </c>
      <c r="N232" t="s">
        <v>633</v>
      </c>
      <c r="O232" t="s">
        <v>634</v>
      </c>
      <c r="Q232" t="s">
        <v>24</v>
      </c>
      <c r="T232" t="s">
        <v>635</v>
      </c>
      <c r="V232">
        <v>147299</v>
      </c>
      <c r="W232" t="s">
        <v>979</v>
      </c>
      <c r="X232" t="s">
        <v>980</v>
      </c>
      <c r="AC232" t="s">
        <v>27</v>
      </c>
    </row>
    <row r="233" spans="1:29">
      <c r="A233" t="s">
        <v>981</v>
      </c>
      <c r="B233" t="s">
        <v>982</v>
      </c>
      <c r="C233" t="s">
        <v>983</v>
      </c>
      <c r="D233" t="s">
        <v>984</v>
      </c>
      <c r="E233" t="s">
        <v>61</v>
      </c>
      <c r="F233" t="s">
        <v>62</v>
      </c>
      <c r="G233" t="s">
        <v>84</v>
      </c>
      <c r="H233" t="s">
        <v>85</v>
      </c>
      <c r="I233">
        <v>1</v>
      </c>
      <c r="J233">
        <v>399</v>
      </c>
      <c r="K233">
        <v>65</v>
      </c>
      <c r="L233">
        <v>0</v>
      </c>
      <c r="M233">
        <v>464</v>
      </c>
      <c r="N233" t="s">
        <v>633</v>
      </c>
      <c r="O233" t="s">
        <v>634</v>
      </c>
      <c r="Q233" t="s">
        <v>24</v>
      </c>
      <c r="T233" t="s">
        <v>635</v>
      </c>
      <c r="V233">
        <v>166762</v>
      </c>
      <c r="W233" t="s">
        <v>985</v>
      </c>
      <c r="X233" t="s">
        <v>986</v>
      </c>
      <c r="AC233" t="s">
        <v>27</v>
      </c>
    </row>
    <row r="234" spans="1:29">
      <c r="A234" t="s">
        <v>987</v>
      </c>
      <c r="B234" t="s">
        <v>988</v>
      </c>
      <c r="C234" t="s">
        <v>989</v>
      </c>
      <c r="D234" t="s">
        <v>990</v>
      </c>
      <c r="E234" t="s">
        <v>154</v>
      </c>
      <c r="F234" t="s">
        <v>324</v>
      </c>
      <c r="G234" t="s">
        <v>156</v>
      </c>
      <c r="H234">
        <v>4714781020510</v>
      </c>
      <c r="I234">
        <v>1</v>
      </c>
      <c r="J234">
        <v>299</v>
      </c>
      <c r="K234">
        <v>0</v>
      </c>
      <c r="L234">
        <v>0</v>
      </c>
      <c r="M234">
        <v>1042</v>
      </c>
      <c r="N234" t="s">
        <v>633</v>
      </c>
      <c r="O234" t="s">
        <v>634</v>
      </c>
      <c r="Q234" t="s">
        <v>24</v>
      </c>
      <c r="T234" t="s">
        <v>635</v>
      </c>
      <c r="V234">
        <v>173807</v>
      </c>
      <c r="W234" t="s">
        <v>991</v>
      </c>
      <c r="X234" t="s">
        <v>992</v>
      </c>
      <c r="AC234" t="s">
        <v>27</v>
      </c>
    </row>
    <row r="235" spans="1:29">
      <c r="A235" t="s">
        <v>987</v>
      </c>
      <c r="B235" t="s">
        <v>988</v>
      </c>
      <c r="C235" t="s">
        <v>989</v>
      </c>
      <c r="D235" t="s">
        <v>990</v>
      </c>
      <c r="E235" t="s">
        <v>61</v>
      </c>
      <c r="F235" t="s">
        <v>62</v>
      </c>
      <c r="G235" t="s">
        <v>84</v>
      </c>
      <c r="H235" t="s">
        <v>85</v>
      </c>
      <c r="I235">
        <v>1</v>
      </c>
      <c r="J235">
        <v>399</v>
      </c>
      <c r="K235">
        <v>0</v>
      </c>
      <c r="L235">
        <v>0</v>
      </c>
      <c r="M235">
        <v>1042</v>
      </c>
      <c r="N235" t="s">
        <v>633</v>
      </c>
      <c r="O235" t="s">
        <v>634</v>
      </c>
      <c r="Q235" t="s">
        <v>24</v>
      </c>
      <c r="T235" t="s">
        <v>635</v>
      </c>
      <c r="V235">
        <v>173807</v>
      </c>
      <c r="W235" t="s">
        <v>991</v>
      </c>
      <c r="X235" t="s">
        <v>992</v>
      </c>
      <c r="AC235" t="s">
        <v>27</v>
      </c>
    </row>
    <row r="236" spans="1:29">
      <c r="A236" t="s">
        <v>987</v>
      </c>
      <c r="B236" t="s">
        <v>988</v>
      </c>
      <c r="C236" t="s">
        <v>989</v>
      </c>
      <c r="D236" t="s">
        <v>990</v>
      </c>
      <c r="E236" t="s">
        <v>61</v>
      </c>
      <c r="F236" t="s">
        <v>62</v>
      </c>
      <c r="G236" t="s">
        <v>165</v>
      </c>
      <c r="H236" t="s">
        <v>166</v>
      </c>
      <c r="I236">
        <v>1</v>
      </c>
      <c r="J236">
        <v>399</v>
      </c>
      <c r="K236">
        <v>0</v>
      </c>
      <c r="L236">
        <v>0</v>
      </c>
      <c r="M236">
        <v>1042</v>
      </c>
      <c r="N236" t="s">
        <v>633</v>
      </c>
      <c r="O236" t="s">
        <v>634</v>
      </c>
      <c r="Q236" t="s">
        <v>24</v>
      </c>
      <c r="T236" t="s">
        <v>635</v>
      </c>
      <c r="V236">
        <v>173807</v>
      </c>
      <c r="W236" t="s">
        <v>991</v>
      </c>
      <c r="X236" t="s">
        <v>992</v>
      </c>
      <c r="AC236" t="s">
        <v>27</v>
      </c>
    </row>
    <row r="237" spans="1:29">
      <c r="A237" t="s">
        <v>987</v>
      </c>
      <c r="B237" t="s">
        <v>988</v>
      </c>
      <c r="C237" t="s">
        <v>989</v>
      </c>
      <c r="D237" t="s">
        <v>990</v>
      </c>
      <c r="E237" t="s">
        <v>45</v>
      </c>
      <c r="F237" t="s">
        <v>46</v>
      </c>
      <c r="G237" t="s">
        <v>47</v>
      </c>
      <c r="I237">
        <v>1</v>
      </c>
      <c r="J237">
        <v>-55</v>
      </c>
      <c r="K237">
        <v>0</v>
      </c>
      <c r="L237">
        <v>0</v>
      </c>
      <c r="M237">
        <v>1042</v>
      </c>
      <c r="N237" t="s">
        <v>633</v>
      </c>
      <c r="O237" t="s">
        <v>634</v>
      </c>
      <c r="Q237" t="s">
        <v>24</v>
      </c>
      <c r="T237" t="s">
        <v>635</v>
      </c>
      <c r="V237">
        <v>173807</v>
      </c>
      <c r="W237" t="s">
        <v>991</v>
      </c>
      <c r="X237" t="s">
        <v>992</v>
      </c>
      <c r="AC237" t="s">
        <v>27</v>
      </c>
    </row>
    <row r="238" spans="1:29">
      <c r="A238" t="s">
        <v>987</v>
      </c>
      <c r="B238" t="s">
        <v>988</v>
      </c>
      <c r="C238" t="s">
        <v>989</v>
      </c>
      <c r="D238" t="s">
        <v>990</v>
      </c>
      <c r="E238" t="s">
        <v>48</v>
      </c>
      <c r="F238" t="s">
        <v>49</v>
      </c>
      <c r="G238" t="s">
        <v>50</v>
      </c>
      <c r="I238">
        <v>1</v>
      </c>
      <c r="J238">
        <v>55</v>
      </c>
      <c r="K238">
        <v>0</v>
      </c>
      <c r="L238">
        <v>0</v>
      </c>
      <c r="M238">
        <v>1042</v>
      </c>
      <c r="N238" t="s">
        <v>633</v>
      </c>
      <c r="O238" t="s">
        <v>634</v>
      </c>
      <c r="Q238" t="s">
        <v>24</v>
      </c>
      <c r="T238" t="s">
        <v>635</v>
      </c>
      <c r="V238">
        <v>173807</v>
      </c>
      <c r="W238" t="s">
        <v>991</v>
      </c>
      <c r="X238" t="s">
        <v>992</v>
      </c>
      <c r="AC238" t="s">
        <v>27</v>
      </c>
    </row>
    <row r="239" spans="1:29">
      <c r="A239" t="s">
        <v>993</v>
      </c>
      <c r="B239" t="s">
        <v>994</v>
      </c>
      <c r="C239" t="s">
        <v>995</v>
      </c>
      <c r="D239" t="s">
        <v>996</v>
      </c>
      <c r="E239" t="s">
        <v>563</v>
      </c>
      <c r="F239" t="s">
        <v>564</v>
      </c>
      <c r="G239" t="s">
        <v>997</v>
      </c>
      <c r="H239" t="s">
        <v>998</v>
      </c>
      <c r="I239">
        <v>1</v>
      </c>
      <c r="J239">
        <v>599</v>
      </c>
      <c r="K239">
        <v>0</v>
      </c>
      <c r="L239">
        <v>0</v>
      </c>
      <c r="M239">
        <v>967</v>
      </c>
      <c r="N239" t="s">
        <v>633</v>
      </c>
      <c r="O239" t="s">
        <v>634</v>
      </c>
      <c r="Q239" t="s">
        <v>24</v>
      </c>
      <c r="T239" t="s">
        <v>635</v>
      </c>
      <c r="V239">
        <v>992808</v>
      </c>
      <c r="W239" t="s">
        <v>999</v>
      </c>
      <c r="X239" t="s">
        <v>1000</v>
      </c>
      <c r="AC239" t="s">
        <v>27</v>
      </c>
    </row>
    <row r="240" spans="1:29">
      <c r="A240" t="s">
        <v>993</v>
      </c>
      <c r="B240" t="s">
        <v>994</v>
      </c>
      <c r="C240" t="s">
        <v>995</v>
      </c>
      <c r="D240" t="s">
        <v>996</v>
      </c>
      <c r="E240" t="s">
        <v>296</v>
      </c>
      <c r="F240" t="s">
        <v>297</v>
      </c>
      <c r="G240" t="s">
        <v>298</v>
      </c>
      <c r="H240" t="s">
        <v>299</v>
      </c>
      <c r="I240">
        <v>1</v>
      </c>
      <c r="J240">
        <v>270</v>
      </c>
      <c r="K240">
        <v>0</v>
      </c>
      <c r="L240">
        <v>0</v>
      </c>
      <c r="M240">
        <v>967</v>
      </c>
      <c r="N240" t="s">
        <v>633</v>
      </c>
      <c r="O240" t="s">
        <v>634</v>
      </c>
      <c r="Q240" t="s">
        <v>24</v>
      </c>
      <c r="T240" t="s">
        <v>635</v>
      </c>
      <c r="V240">
        <v>992808</v>
      </c>
      <c r="W240" t="s">
        <v>999</v>
      </c>
      <c r="X240" t="s">
        <v>1000</v>
      </c>
      <c r="AC240" t="s">
        <v>27</v>
      </c>
    </row>
    <row r="241" spans="1:29">
      <c r="A241" t="s">
        <v>993</v>
      </c>
      <c r="B241" t="s">
        <v>994</v>
      </c>
      <c r="C241" t="s">
        <v>995</v>
      </c>
      <c r="D241" t="s">
        <v>996</v>
      </c>
      <c r="E241" t="s">
        <v>518</v>
      </c>
      <c r="F241" t="s">
        <v>962</v>
      </c>
      <c r="G241" t="s">
        <v>520</v>
      </c>
      <c r="H241">
        <v>4714781021029</v>
      </c>
      <c r="I241">
        <v>1</v>
      </c>
      <c r="J241">
        <v>149</v>
      </c>
      <c r="K241">
        <v>0</v>
      </c>
      <c r="L241">
        <v>0</v>
      </c>
      <c r="M241">
        <v>967</v>
      </c>
      <c r="N241" t="s">
        <v>633</v>
      </c>
      <c r="O241" t="s">
        <v>634</v>
      </c>
      <c r="Q241" t="s">
        <v>24</v>
      </c>
      <c r="T241" t="s">
        <v>635</v>
      </c>
      <c r="V241">
        <v>992808</v>
      </c>
      <c r="W241" t="s">
        <v>999</v>
      </c>
      <c r="X241" t="s">
        <v>1000</v>
      </c>
      <c r="AC241" t="s">
        <v>27</v>
      </c>
    </row>
    <row r="242" spans="1:29">
      <c r="A242" t="s">
        <v>993</v>
      </c>
      <c r="B242" t="s">
        <v>994</v>
      </c>
      <c r="C242" t="s">
        <v>995</v>
      </c>
      <c r="D242" t="s">
        <v>996</v>
      </c>
      <c r="E242" t="s">
        <v>45</v>
      </c>
      <c r="F242" t="s">
        <v>46</v>
      </c>
      <c r="G242" t="s">
        <v>47</v>
      </c>
      <c r="I242">
        <v>1</v>
      </c>
      <c r="J242">
        <v>-51</v>
      </c>
      <c r="K242">
        <v>0</v>
      </c>
      <c r="L242">
        <v>0</v>
      </c>
      <c r="M242">
        <v>967</v>
      </c>
      <c r="N242" t="s">
        <v>633</v>
      </c>
      <c r="O242" t="s">
        <v>634</v>
      </c>
      <c r="Q242" t="s">
        <v>24</v>
      </c>
      <c r="T242" t="s">
        <v>635</v>
      </c>
      <c r="V242">
        <v>992808</v>
      </c>
      <c r="W242" t="s">
        <v>999</v>
      </c>
      <c r="X242" t="s">
        <v>1000</v>
      </c>
      <c r="AC242" t="s">
        <v>27</v>
      </c>
    </row>
    <row r="243" spans="1:29">
      <c r="A243" t="s">
        <v>993</v>
      </c>
      <c r="B243" t="s">
        <v>994</v>
      </c>
      <c r="C243" t="s">
        <v>995</v>
      </c>
      <c r="D243" t="s">
        <v>996</v>
      </c>
      <c r="E243" t="s">
        <v>48</v>
      </c>
      <c r="F243" t="s">
        <v>49</v>
      </c>
      <c r="G243" t="s">
        <v>50</v>
      </c>
      <c r="I243">
        <v>1</v>
      </c>
      <c r="J243">
        <v>51</v>
      </c>
      <c r="K243">
        <v>0</v>
      </c>
      <c r="L243">
        <v>0</v>
      </c>
      <c r="M243">
        <v>967</v>
      </c>
      <c r="N243" t="s">
        <v>633</v>
      </c>
      <c r="O243" t="s">
        <v>634</v>
      </c>
      <c r="Q243" t="s">
        <v>24</v>
      </c>
      <c r="T243" t="s">
        <v>635</v>
      </c>
      <c r="V243">
        <v>992808</v>
      </c>
      <c r="W243" t="s">
        <v>999</v>
      </c>
      <c r="X243" t="s">
        <v>1000</v>
      </c>
      <c r="AC243" t="s">
        <v>27</v>
      </c>
    </row>
    <row r="244" spans="1:29">
      <c r="A244" t="s">
        <v>1001</v>
      </c>
      <c r="B244" t="s">
        <v>1002</v>
      </c>
      <c r="C244" t="s">
        <v>1003</v>
      </c>
      <c r="D244" t="s">
        <v>1004</v>
      </c>
      <c r="E244" t="s">
        <v>1005</v>
      </c>
      <c r="F244" t="s">
        <v>1006</v>
      </c>
      <c r="G244" t="s">
        <v>1007</v>
      </c>
      <c r="H244">
        <v>4714781020138</v>
      </c>
      <c r="I244">
        <v>1</v>
      </c>
      <c r="J244">
        <v>399</v>
      </c>
      <c r="K244">
        <v>65</v>
      </c>
      <c r="L244">
        <v>0</v>
      </c>
      <c r="M244">
        <v>464</v>
      </c>
      <c r="N244" t="s">
        <v>633</v>
      </c>
      <c r="O244" t="s">
        <v>634</v>
      </c>
      <c r="Q244" t="s">
        <v>24</v>
      </c>
      <c r="T244" t="s">
        <v>635</v>
      </c>
      <c r="V244">
        <v>947370</v>
      </c>
      <c r="W244" t="s">
        <v>1008</v>
      </c>
      <c r="X244" t="s">
        <v>1009</v>
      </c>
      <c r="AC244" t="s">
        <v>27</v>
      </c>
    </row>
    <row r="245" spans="1:29">
      <c r="A245" t="s">
        <v>1010</v>
      </c>
      <c r="B245" t="s">
        <v>1011</v>
      </c>
      <c r="C245" t="s">
        <v>1012</v>
      </c>
      <c r="D245" t="s">
        <v>1013</v>
      </c>
      <c r="E245" t="s">
        <v>558</v>
      </c>
      <c r="F245" t="s">
        <v>559</v>
      </c>
      <c r="G245" t="s">
        <v>560</v>
      </c>
      <c r="H245" t="s">
        <v>561</v>
      </c>
      <c r="I245">
        <v>1</v>
      </c>
      <c r="J245">
        <v>425</v>
      </c>
      <c r="K245">
        <v>0</v>
      </c>
      <c r="L245">
        <v>0</v>
      </c>
      <c r="M245">
        <v>1534</v>
      </c>
      <c r="N245" t="s">
        <v>633</v>
      </c>
      <c r="O245" t="s">
        <v>634</v>
      </c>
      <c r="Q245" t="s">
        <v>24</v>
      </c>
      <c r="T245" t="s">
        <v>635</v>
      </c>
      <c r="V245">
        <v>115971</v>
      </c>
      <c r="W245" t="s">
        <v>1014</v>
      </c>
      <c r="X245" t="s">
        <v>1015</v>
      </c>
      <c r="AC245" t="s">
        <v>27</v>
      </c>
    </row>
    <row r="246" spans="1:29">
      <c r="A246" t="s">
        <v>1010</v>
      </c>
      <c r="B246" t="s">
        <v>1011</v>
      </c>
      <c r="C246" t="s">
        <v>1012</v>
      </c>
      <c r="D246" t="s">
        <v>1013</v>
      </c>
      <c r="E246" t="s">
        <v>459</v>
      </c>
      <c r="F246" t="s">
        <v>460</v>
      </c>
      <c r="G246" t="s">
        <v>1016</v>
      </c>
      <c r="H246" t="s">
        <v>1017</v>
      </c>
      <c r="I246">
        <v>1</v>
      </c>
      <c r="J246">
        <v>1160</v>
      </c>
      <c r="K246">
        <v>0</v>
      </c>
      <c r="L246">
        <v>0</v>
      </c>
      <c r="M246">
        <v>1534</v>
      </c>
      <c r="N246" t="s">
        <v>633</v>
      </c>
      <c r="O246" t="s">
        <v>634</v>
      </c>
      <c r="Q246" t="s">
        <v>24</v>
      </c>
      <c r="T246" t="s">
        <v>635</v>
      </c>
      <c r="V246">
        <v>115971</v>
      </c>
      <c r="W246" t="s">
        <v>1014</v>
      </c>
      <c r="X246" t="s">
        <v>1015</v>
      </c>
      <c r="AC246" t="s">
        <v>27</v>
      </c>
    </row>
    <row r="247" spans="1:29">
      <c r="A247" t="s">
        <v>1010</v>
      </c>
      <c r="B247" t="s">
        <v>1011</v>
      </c>
      <c r="C247" t="s">
        <v>1012</v>
      </c>
      <c r="D247" t="s">
        <v>1013</v>
      </c>
      <c r="E247" t="s">
        <v>45</v>
      </c>
      <c r="F247" t="s">
        <v>46</v>
      </c>
      <c r="G247" t="s">
        <v>47</v>
      </c>
      <c r="I247">
        <v>1</v>
      </c>
      <c r="J247">
        <v>-51</v>
      </c>
      <c r="K247">
        <v>0</v>
      </c>
      <c r="L247">
        <v>0</v>
      </c>
      <c r="M247">
        <v>1534</v>
      </c>
      <c r="N247" t="s">
        <v>633</v>
      </c>
      <c r="O247" t="s">
        <v>634</v>
      </c>
      <c r="Q247" t="s">
        <v>24</v>
      </c>
      <c r="T247" t="s">
        <v>635</v>
      </c>
      <c r="V247">
        <v>115971</v>
      </c>
      <c r="W247" t="s">
        <v>1014</v>
      </c>
      <c r="X247" t="s">
        <v>1015</v>
      </c>
      <c r="AC247" t="s">
        <v>27</v>
      </c>
    </row>
    <row r="248" spans="1:29">
      <c r="A248" t="s">
        <v>1010</v>
      </c>
      <c r="B248" t="s">
        <v>1011</v>
      </c>
      <c r="C248" t="s">
        <v>1012</v>
      </c>
      <c r="D248" t="s">
        <v>1013</v>
      </c>
      <c r="E248" t="s">
        <v>300</v>
      </c>
      <c r="F248" t="s">
        <v>301</v>
      </c>
      <c r="I248">
        <v>1</v>
      </c>
      <c r="J248">
        <v>0</v>
      </c>
      <c r="K248">
        <v>0</v>
      </c>
      <c r="L248">
        <v>0</v>
      </c>
      <c r="M248">
        <v>1534</v>
      </c>
      <c r="N248" t="s">
        <v>633</v>
      </c>
      <c r="O248" t="s">
        <v>634</v>
      </c>
      <c r="Q248" t="s">
        <v>24</v>
      </c>
      <c r="T248" t="s">
        <v>635</v>
      </c>
      <c r="V248">
        <v>115971</v>
      </c>
      <c r="W248" t="s">
        <v>1014</v>
      </c>
      <c r="X248" t="s">
        <v>1015</v>
      </c>
      <c r="AC248" t="s">
        <v>27</v>
      </c>
    </row>
    <row r="249" spans="1:29">
      <c r="A249" t="s">
        <v>1010</v>
      </c>
      <c r="B249" t="s">
        <v>1011</v>
      </c>
      <c r="C249" t="s">
        <v>1012</v>
      </c>
      <c r="D249" t="s">
        <v>1013</v>
      </c>
      <c r="E249" t="s">
        <v>48</v>
      </c>
      <c r="F249" t="s">
        <v>49</v>
      </c>
      <c r="G249" t="s">
        <v>50</v>
      </c>
      <c r="I249">
        <v>1</v>
      </c>
      <c r="J249">
        <v>79</v>
      </c>
      <c r="K249">
        <v>0</v>
      </c>
      <c r="L249">
        <v>0</v>
      </c>
      <c r="M249">
        <v>1534</v>
      </c>
      <c r="N249" t="s">
        <v>633</v>
      </c>
      <c r="O249" t="s">
        <v>634</v>
      </c>
      <c r="Q249" t="s">
        <v>24</v>
      </c>
      <c r="T249" t="s">
        <v>635</v>
      </c>
      <c r="V249">
        <v>115971</v>
      </c>
      <c r="W249" t="s">
        <v>1014</v>
      </c>
      <c r="X249" t="s">
        <v>1015</v>
      </c>
      <c r="AC249" t="s">
        <v>27</v>
      </c>
    </row>
    <row r="250" spans="1:29">
      <c r="A250" t="s">
        <v>1018</v>
      </c>
      <c r="B250" t="s">
        <v>1019</v>
      </c>
      <c r="C250" t="s">
        <v>1020</v>
      </c>
      <c r="D250" t="s">
        <v>1021</v>
      </c>
      <c r="E250" t="s">
        <v>18</v>
      </c>
      <c r="F250" t="s">
        <v>19</v>
      </c>
      <c r="G250" t="s">
        <v>20</v>
      </c>
      <c r="H250" t="s">
        <v>21</v>
      </c>
      <c r="I250">
        <v>1</v>
      </c>
      <c r="J250">
        <v>888</v>
      </c>
      <c r="K250">
        <v>0</v>
      </c>
      <c r="L250">
        <v>0</v>
      </c>
      <c r="M250">
        <v>888</v>
      </c>
      <c r="N250" t="s">
        <v>633</v>
      </c>
      <c r="O250" t="s">
        <v>634</v>
      </c>
      <c r="Q250" t="s">
        <v>24</v>
      </c>
      <c r="T250" t="s">
        <v>635</v>
      </c>
      <c r="V250">
        <v>194848</v>
      </c>
      <c r="W250" t="s">
        <v>1022</v>
      </c>
      <c r="X250" t="s">
        <v>1023</v>
      </c>
      <c r="AC250" t="s">
        <v>27</v>
      </c>
    </row>
    <row r="251" spans="1:29">
      <c r="A251" t="s">
        <v>622</v>
      </c>
      <c r="B251" t="s">
        <v>623</v>
      </c>
      <c r="C251" t="s">
        <v>624</v>
      </c>
      <c r="D251" t="s">
        <v>625</v>
      </c>
      <c r="E251" t="s">
        <v>459</v>
      </c>
      <c r="F251" t="s">
        <v>460</v>
      </c>
      <c r="G251" t="s">
        <v>626</v>
      </c>
      <c r="H251" t="s">
        <v>627</v>
      </c>
      <c r="I251">
        <v>1</v>
      </c>
      <c r="J251">
        <v>1160</v>
      </c>
      <c r="K251">
        <v>0</v>
      </c>
      <c r="L251">
        <v>0</v>
      </c>
      <c r="M251">
        <v>1230</v>
      </c>
      <c r="N251" t="s">
        <v>39</v>
      </c>
      <c r="O251" t="s">
        <v>40</v>
      </c>
      <c r="Q251" t="s">
        <v>24</v>
      </c>
      <c r="T251" t="s">
        <v>25</v>
      </c>
      <c r="Y251">
        <v>236</v>
      </c>
      <c r="Z251" t="s">
        <v>628</v>
      </c>
      <c r="AC251" t="s">
        <v>42</v>
      </c>
    </row>
    <row r="252" spans="1:29">
      <c r="A252" t="s">
        <v>622</v>
      </c>
      <c r="B252" t="s">
        <v>623</v>
      </c>
      <c r="C252" t="s">
        <v>624</v>
      </c>
      <c r="D252" t="s">
        <v>625</v>
      </c>
      <c r="E252" t="s">
        <v>99</v>
      </c>
      <c r="F252" t="s">
        <v>100</v>
      </c>
      <c r="G252" t="s">
        <v>101</v>
      </c>
      <c r="H252">
        <v>4714781020770</v>
      </c>
      <c r="I252">
        <v>1</v>
      </c>
      <c r="J252">
        <v>135</v>
      </c>
      <c r="K252">
        <v>0</v>
      </c>
      <c r="L252">
        <v>0</v>
      </c>
      <c r="M252">
        <v>1230</v>
      </c>
      <c r="N252" t="s">
        <v>39</v>
      </c>
      <c r="O252" t="s">
        <v>40</v>
      </c>
      <c r="Q252" t="s">
        <v>24</v>
      </c>
      <c r="T252" t="s">
        <v>25</v>
      </c>
      <c r="Y252">
        <v>236</v>
      </c>
      <c r="Z252" t="s">
        <v>628</v>
      </c>
      <c r="AC252" t="s">
        <v>42</v>
      </c>
    </row>
    <row r="253" spans="1:29">
      <c r="A253" t="s">
        <v>622</v>
      </c>
      <c r="B253" t="s">
        <v>623</v>
      </c>
      <c r="C253" t="s">
        <v>624</v>
      </c>
      <c r="D253" t="s">
        <v>625</v>
      </c>
      <c r="E253" t="s">
        <v>45</v>
      </c>
      <c r="F253" t="s">
        <v>46</v>
      </c>
      <c r="G253" t="s">
        <v>47</v>
      </c>
      <c r="I253">
        <v>1</v>
      </c>
      <c r="J253">
        <v>-65</v>
      </c>
      <c r="K253">
        <v>0</v>
      </c>
      <c r="L253">
        <v>0</v>
      </c>
      <c r="M253">
        <v>1230</v>
      </c>
      <c r="N253" t="s">
        <v>39</v>
      </c>
      <c r="O253" t="s">
        <v>40</v>
      </c>
      <c r="Q253" t="s">
        <v>24</v>
      </c>
      <c r="T253" t="s">
        <v>25</v>
      </c>
      <c r="Y253">
        <v>236</v>
      </c>
      <c r="Z253" t="s">
        <v>628</v>
      </c>
      <c r="AC253" t="s">
        <v>42</v>
      </c>
    </row>
    <row r="254" spans="1:29">
      <c r="A254" t="s">
        <v>622</v>
      </c>
      <c r="B254" t="s">
        <v>623</v>
      </c>
      <c r="C254" t="s">
        <v>624</v>
      </c>
      <c r="D254" t="s">
        <v>625</v>
      </c>
      <c r="E254" t="s">
        <v>300</v>
      </c>
      <c r="F254" t="s">
        <v>301</v>
      </c>
      <c r="I254">
        <v>1</v>
      </c>
      <c r="J254">
        <v>0</v>
      </c>
      <c r="K254">
        <v>0</v>
      </c>
      <c r="L254">
        <v>0</v>
      </c>
      <c r="M254">
        <v>1230</v>
      </c>
      <c r="N254" t="s">
        <v>39</v>
      </c>
      <c r="O254" t="s">
        <v>40</v>
      </c>
      <c r="Q254" t="s">
        <v>24</v>
      </c>
      <c r="T254" t="s">
        <v>25</v>
      </c>
      <c r="Y254">
        <v>236</v>
      </c>
      <c r="Z254" t="s">
        <v>628</v>
      </c>
      <c r="AC254" t="s">
        <v>42</v>
      </c>
    </row>
    <row r="255" spans="1:29">
      <c r="A255" t="s">
        <v>622</v>
      </c>
      <c r="B255" t="s">
        <v>623</v>
      </c>
      <c r="C255" t="s">
        <v>624</v>
      </c>
      <c r="D255" t="s">
        <v>625</v>
      </c>
      <c r="E255" t="s">
        <v>48</v>
      </c>
      <c r="F255" t="s">
        <v>49</v>
      </c>
      <c r="G255" t="s">
        <v>50</v>
      </c>
      <c r="I255">
        <v>1</v>
      </c>
      <c r="J255">
        <v>65</v>
      </c>
      <c r="K255">
        <v>0</v>
      </c>
      <c r="L255">
        <v>0</v>
      </c>
      <c r="M255">
        <v>1230</v>
      </c>
      <c r="N255" t="s">
        <v>39</v>
      </c>
      <c r="O255" t="s">
        <v>40</v>
      </c>
      <c r="Q255" t="s">
        <v>24</v>
      </c>
      <c r="T255" t="s">
        <v>25</v>
      </c>
      <c r="Y255">
        <v>236</v>
      </c>
      <c r="Z255" t="s">
        <v>628</v>
      </c>
      <c r="AC255" t="s">
        <v>42</v>
      </c>
    </row>
    <row r="256" spans="1:29">
      <c r="A256" t="s">
        <v>1024</v>
      </c>
      <c r="B256" t="s">
        <v>1025</v>
      </c>
      <c r="C256" t="s">
        <v>1026</v>
      </c>
      <c r="D256" t="s">
        <v>1027</v>
      </c>
      <c r="E256" t="s">
        <v>541</v>
      </c>
      <c r="F256" t="s">
        <v>542</v>
      </c>
      <c r="G256" t="s">
        <v>543</v>
      </c>
      <c r="H256" t="s">
        <v>544</v>
      </c>
      <c r="I256">
        <v>1</v>
      </c>
      <c r="J256">
        <v>570</v>
      </c>
      <c r="K256">
        <v>0</v>
      </c>
      <c r="L256">
        <v>0</v>
      </c>
      <c r="M256">
        <v>769</v>
      </c>
      <c r="N256" t="s">
        <v>633</v>
      </c>
      <c r="O256" t="s">
        <v>634</v>
      </c>
      <c r="Q256" t="s">
        <v>24</v>
      </c>
      <c r="T256" t="s">
        <v>635</v>
      </c>
      <c r="V256">
        <v>227739</v>
      </c>
      <c r="W256" t="s">
        <v>1028</v>
      </c>
      <c r="X256" t="s">
        <v>1029</v>
      </c>
      <c r="AC256" t="s">
        <v>27</v>
      </c>
    </row>
    <row r="257" spans="1:29">
      <c r="A257" t="s">
        <v>1024</v>
      </c>
      <c r="B257" t="s">
        <v>1025</v>
      </c>
      <c r="C257" t="s">
        <v>1026</v>
      </c>
      <c r="D257" t="s">
        <v>1027</v>
      </c>
      <c r="E257" t="s">
        <v>494</v>
      </c>
      <c r="F257" t="s">
        <v>495</v>
      </c>
      <c r="G257" t="s">
        <v>1030</v>
      </c>
      <c r="H257" t="s">
        <v>1031</v>
      </c>
      <c r="I257">
        <v>1</v>
      </c>
      <c r="J257">
        <v>199</v>
      </c>
      <c r="K257">
        <v>0</v>
      </c>
      <c r="L257">
        <v>0</v>
      </c>
      <c r="M257">
        <v>769</v>
      </c>
      <c r="N257" t="s">
        <v>633</v>
      </c>
      <c r="O257" t="s">
        <v>634</v>
      </c>
      <c r="Q257" t="s">
        <v>24</v>
      </c>
      <c r="T257" t="s">
        <v>635</v>
      </c>
      <c r="V257">
        <v>227739</v>
      </c>
      <c r="W257" t="s">
        <v>1028</v>
      </c>
      <c r="X257" t="s">
        <v>1029</v>
      </c>
      <c r="AC257" t="s">
        <v>27</v>
      </c>
    </row>
    <row r="258" spans="1:29">
      <c r="A258" t="s">
        <v>618</v>
      </c>
      <c r="B258" t="s">
        <v>619</v>
      </c>
      <c r="C258" t="s">
        <v>612</v>
      </c>
      <c r="D258" t="s">
        <v>613</v>
      </c>
      <c r="E258" t="s">
        <v>433</v>
      </c>
      <c r="F258" t="s">
        <v>434</v>
      </c>
      <c r="G258" t="s">
        <v>435</v>
      </c>
      <c r="H258" t="s">
        <v>436</v>
      </c>
      <c r="I258">
        <v>1</v>
      </c>
      <c r="J258">
        <v>799</v>
      </c>
      <c r="K258">
        <v>0</v>
      </c>
      <c r="L258">
        <v>0</v>
      </c>
      <c r="M258">
        <v>1535</v>
      </c>
      <c r="N258" t="s">
        <v>39</v>
      </c>
      <c r="O258" t="s">
        <v>171</v>
      </c>
      <c r="Q258" t="s">
        <v>24</v>
      </c>
      <c r="T258" t="s">
        <v>25</v>
      </c>
      <c r="Y258">
        <v>630</v>
      </c>
      <c r="Z258" t="s">
        <v>616</v>
      </c>
      <c r="AA258" t="s">
        <v>617</v>
      </c>
      <c r="AC258" t="s">
        <v>42</v>
      </c>
    </row>
    <row r="259" spans="1:29">
      <c r="A259" t="s">
        <v>618</v>
      </c>
      <c r="B259" t="s">
        <v>619</v>
      </c>
      <c r="C259" t="s">
        <v>612</v>
      </c>
      <c r="D259" t="s">
        <v>613</v>
      </c>
      <c r="E259" t="s">
        <v>142</v>
      </c>
      <c r="F259" t="s">
        <v>143</v>
      </c>
      <c r="G259" t="s">
        <v>144</v>
      </c>
      <c r="H259">
        <v>4714781020794</v>
      </c>
      <c r="I259">
        <v>2</v>
      </c>
      <c r="J259">
        <v>218</v>
      </c>
      <c r="K259">
        <v>0</v>
      </c>
      <c r="L259">
        <v>0</v>
      </c>
      <c r="M259">
        <v>1535</v>
      </c>
      <c r="N259" t="s">
        <v>39</v>
      </c>
      <c r="O259" t="s">
        <v>171</v>
      </c>
      <c r="Q259" t="s">
        <v>24</v>
      </c>
      <c r="T259" t="s">
        <v>25</v>
      </c>
      <c r="Y259">
        <v>630</v>
      </c>
      <c r="Z259" t="s">
        <v>616</v>
      </c>
      <c r="AA259" t="s">
        <v>617</v>
      </c>
      <c r="AC259" t="s">
        <v>42</v>
      </c>
    </row>
    <row r="260" spans="1:29">
      <c r="A260" t="s">
        <v>618</v>
      </c>
      <c r="B260" t="s">
        <v>619</v>
      </c>
      <c r="C260" t="s">
        <v>612</v>
      </c>
      <c r="D260" t="s">
        <v>613</v>
      </c>
      <c r="E260" t="s">
        <v>563</v>
      </c>
      <c r="F260" t="s">
        <v>564</v>
      </c>
      <c r="G260" t="s">
        <v>620</v>
      </c>
      <c r="H260" t="s">
        <v>621</v>
      </c>
      <c r="I260">
        <v>1</v>
      </c>
      <c r="J260">
        <v>599</v>
      </c>
      <c r="K260">
        <v>0</v>
      </c>
      <c r="L260">
        <v>0</v>
      </c>
      <c r="M260">
        <v>1535</v>
      </c>
      <c r="N260" t="s">
        <v>39</v>
      </c>
      <c r="O260" t="s">
        <v>171</v>
      </c>
      <c r="Q260" t="s">
        <v>24</v>
      </c>
      <c r="T260" t="s">
        <v>25</v>
      </c>
      <c r="Y260">
        <v>630</v>
      </c>
      <c r="Z260" t="s">
        <v>616</v>
      </c>
      <c r="AA260" t="s">
        <v>617</v>
      </c>
      <c r="AC260" t="s">
        <v>42</v>
      </c>
    </row>
    <row r="261" spans="1:29">
      <c r="A261" t="s">
        <v>618</v>
      </c>
      <c r="B261" t="s">
        <v>619</v>
      </c>
      <c r="C261" t="s">
        <v>612</v>
      </c>
      <c r="D261" t="s">
        <v>613</v>
      </c>
      <c r="E261" t="s">
        <v>45</v>
      </c>
      <c r="F261" t="s">
        <v>46</v>
      </c>
      <c r="G261" t="s">
        <v>47</v>
      </c>
      <c r="I261">
        <v>1</v>
      </c>
      <c r="J261">
        <v>-81</v>
      </c>
      <c r="K261">
        <v>0</v>
      </c>
      <c r="L261">
        <v>0</v>
      </c>
      <c r="M261">
        <v>1535</v>
      </c>
      <c r="N261" t="s">
        <v>39</v>
      </c>
      <c r="O261" t="s">
        <v>171</v>
      </c>
      <c r="Q261" t="s">
        <v>24</v>
      </c>
      <c r="T261" t="s">
        <v>25</v>
      </c>
      <c r="Y261">
        <v>630</v>
      </c>
      <c r="Z261" t="s">
        <v>616</v>
      </c>
      <c r="AA261" t="s">
        <v>617</v>
      </c>
      <c r="AC261" t="s">
        <v>42</v>
      </c>
    </row>
    <row r="262" spans="1:29">
      <c r="A262" t="s">
        <v>618</v>
      </c>
      <c r="B262" t="s">
        <v>619</v>
      </c>
      <c r="C262" t="s">
        <v>612</v>
      </c>
      <c r="D262" t="s">
        <v>613</v>
      </c>
      <c r="E262" t="s">
        <v>300</v>
      </c>
      <c r="F262" t="s">
        <v>301</v>
      </c>
      <c r="I262">
        <v>1</v>
      </c>
      <c r="J262">
        <v>0</v>
      </c>
      <c r="K262">
        <v>0</v>
      </c>
      <c r="L262">
        <v>0</v>
      </c>
      <c r="M262">
        <v>1535</v>
      </c>
      <c r="N262" t="s">
        <v>39</v>
      </c>
      <c r="O262" t="s">
        <v>171</v>
      </c>
      <c r="Q262" t="s">
        <v>24</v>
      </c>
      <c r="T262" t="s">
        <v>25</v>
      </c>
      <c r="Y262">
        <v>630</v>
      </c>
      <c r="Z262" t="s">
        <v>616</v>
      </c>
      <c r="AA262" t="s">
        <v>617</v>
      </c>
      <c r="AC262" t="s">
        <v>42</v>
      </c>
    </row>
    <row r="263" spans="1:29">
      <c r="A263" t="s">
        <v>618</v>
      </c>
      <c r="B263" t="s">
        <v>619</v>
      </c>
      <c r="C263" t="s">
        <v>612</v>
      </c>
      <c r="D263" t="s">
        <v>613</v>
      </c>
      <c r="E263" t="s">
        <v>48</v>
      </c>
      <c r="F263" t="s">
        <v>49</v>
      </c>
      <c r="G263" t="s">
        <v>50</v>
      </c>
      <c r="I263">
        <v>1</v>
      </c>
      <c r="J263">
        <v>81</v>
      </c>
      <c r="K263">
        <v>0</v>
      </c>
      <c r="L263">
        <v>0</v>
      </c>
      <c r="M263">
        <v>1535</v>
      </c>
      <c r="N263" t="s">
        <v>39</v>
      </c>
      <c r="O263" t="s">
        <v>171</v>
      </c>
      <c r="Q263" t="s">
        <v>24</v>
      </c>
      <c r="T263" t="s">
        <v>25</v>
      </c>
      <c r="Y263">
        <v>630</v>
      </c>
      <c r="Z263" t="s">
        <v>616</v>
      </c>
      <c r="AA263" t="s">
        <v>617</v>
      </c>
      <c r="AC263" t="s">
        <v>42</v>
      </c>
    </row>
    <row r="264" spans="1:29">
      <c r="A264" t="s">
        <v>610</v>
      </c>
      <c r="B264" t="s">
        <v>611</v>
      </c>
      <c r="C264" t="s">
        <v>612</v>
      </c>
      <c r="D264" t="s">
        <v>613</v>
      </c>
      <c r="E264" t="s">
        <v>445</v>
      </c>
      <c r="F264" t="s">
        <v>446</v>
      </c>
      <c r="G264" t="s">
        <v>614</v>
      </c>
      <c r="H264" t="s">
        <v>615</v>
      </c>
      <c r="I264">
        <v>1</v>
      </c>
      <c r="J264">
        <v>1320</v>
      </c>
      <c r="K264">
        <v>0</v>
      </c>
      <c r="L264">
        <v>0</v>
      </c>
      <c r="M264">
        <v>1392</v>
      </c>
      <c r="N264" t="s">
        <v>39</v>
      </c>
      <c r="O264" t="s">
        <v>171</v>
      </c>
      <c r="Q264" t="s">
        <v>24</v>
      </c>
      <c r="T264" t="s">
        <v>25</v>
      </c>
      <c r="Y264">
        <v>630</v>
      </c>
      <c r="Z264" t="s">
        <v>616</v>
      </c>
      <c r="AA264" t="s">
        <v>617</v>
      </c>
      <c r="AC264" t="s">
        <v>42</v>
      </c>
    </row>
    <row r="265" spans="1:29">
      <c r="A265" t="s">
        <v>610</v>
      </c>
      <c r="B265" t="s">
        <v>611</v>
      </c>
      <c r="C265" t="s">
        <v>612</v>
      </c>
      <c r="D265" t="s">
        <v>613</v>
      </c>
      <c r="E265" t="s">
        <v>138</v>
      </c>
      <c r="F265" t="s">
        <v>361</v>
      </c>
      <c r="G265" t="s">
        <v>140</v>
      </c>
      <c r="H265">
        <v>4714781020954</v>
      </c>
      <c r="I265">
        <v>1</v>
      </c>
      <c r="J265">
        <v>145</v>
      </c>
      <c r="K265">
        <v>0</v>
      </c>
      <c r="L265">
        <v>0</v>
      </c>
      <c r="M265">
        <v>1392</v>
      </c>
      <c r="N265" t="s">
        <v>39</v>
      </c>
      <c r="O265" t="s">
        <v>171</v>
      </c>
      <c r="Q265" t="s">
        <v>24</v>
      </c>
      <c r="T265" t="s">
        <v>25</v>
      </c>
      <c r="Y265">
        <v>630</v>
      </c>
      <c r="Z265" t="s">
        <v>616</v>
      </c>
      <c r="AA265" t="s">
        <v>617</v>
      </c>
      <c r="AC265" t="s">
        <v>42</v>
      </c>
    </row>
    <row r="266" spans="1:29">
      <c r="A266" t="s">
        <v>610</v>
      </c>
      <c r="B266" t="s">
        <v>611</v>
      </c>
      <c r="C266" t="s">
        <v>612</v>
      </c>
      <c r="D266" t="s">
        <v>613</v>
      </c>
      <c r="E266" t="s">
        <v>45</v>
      </c>
      <c r="F266" t="s">
        <v>46</v>
      </c>
      <c r="G266" t="s">
        <v>47</v>
      </c>
      <c r="I266">
        <v>1</v>
      </c>
      <c r="J266">
        <v>-73</v>
      </c>
      <c r="K266">
        <v>0</v>
      </c>
      <c r="L266">
        <v>0</v>
      </c>
      <c r="M266">
        <v>1392</v>
      </c>
      <c r="N266" t="s">
        <v>39</v>
      </c>
      <c r="O266" t="s">
        <v>171</v>
      </c>
      <c r="Q266" t="s">
        <v>24</v>
      </c>
      <c r="T266" t="s">
        <v>25</v>
      </c>
      <c r="Y266">
        <v>630</v>
      </c>
      <c r="Z266" t="s">
        <v>616</v>
      </c>
      <c r="AA266" t="s">
        <v>617</v>
      </c>
      <c r="AC266" t="s">
        <v>42</v>
      </c>
    </row>
    <row r="267" spans="1:29">
      <c r="A267" t="s">
        <v>610</v>
      </c>
      <c r="B267" t="s">
        <v>611</v>
      </c>
      <c r="C267" t="s">
        <v>612</v>
      </c>
      <c r="D267" t="s">
        <v>613</v>
      </c>
      <c r="E267" t="s">
        <v>300</v>
      </c>
      <c r="F267" t="s">
        <v>301</v>
      </c>
      <c r="I267">
        <v>1</v>
      </c>
      <c r="J267">
        <v>0</v>
      </c>
      <c r="K267">
        <v>0</v>
      </c>
      <c r="L267">
        <v>0</v>
      </c>
      <c r="M267">
        <v>1392</v>
      </c>
      <c r="N267" t="s">
        <v>39</v>
      </c>
      <c r="O267" t="s">
        <v>171</v>
      </c>
      <c r="Q267" t="s">
        <v>24</v>
      </c>
      <c r="T267" t="s">
        <v>25</v>
      </c>
      <c r="Y267">
        <v>630</v>
      </c>
      <c r="Z267" t="s">
        <v>616</v>
      </c>
      <c r="AA267" t="s">
        <v>617</v>
      </c>
      <c r="AC267" t="s">
        <v>42</v>
      </c>
    </row>
    <row r="268" spans="1:29">
      <c r="A268" t="s">
        <v>610</v>
      </c>
      <c r="B268" t="s">
        <v>611</v>
      </c>
      <c r="C268" t="s">
        <v>612</v>
      </c>
      <c r="D268" t="s">
        <v>613</v>
      </c>
      <c r="E268" t="s">
        <v>48</v>
      </c>
      <c r="F268" t="s">
        <v>49</v>
      </c>
      <c r="G268" t="s">
        <v>50</v>
      </c>
      <c r="I268">
        <v>1</v>
      </c>
      <c r="J268">
        <v>73</v>
      </c>
      <c r="K268">
        <v>0</v>
      </c>
      <c r="L268">
        <v>0</v>
      </c>
      <c r="M268">
        <v>1392</v>
      </c>
      <c r="N268" t="s">
        <v>39</v>
      </c>
      <c r="O268" t="s">
        <v>171</v>
      </c>
      <c r="Q268" t="s">
        <v>24</v>
      </c>
      <c r="T268" t="s">
        <v>25</v>
      </c>
      <c r="Y268">
        <v>630</v>
      </c>
      <c r="Z268" t="s">
        <v>616</v>
      </c>
      <c r="AA268" t="s">
        <v>617</v>
      </c>
      <c r="AC268" t="s">
        <v>42</v>
      </c>
    </row>
    <row r="269" spans="1:29">
      <c r="A269" t="s">
        <v>1032</v>
      </c>
      <c r="B269" t="s">
        <v>1033</v>
      </c>
      <c r="C269" t="s">
        <v>1034</v>
      </c>
      <c r="D269" t="s">
        <v>1035</v>
      </c>
      <c r="E269" t="s">
        <v>269</v>
      </c>
      <c r="F269" t="s">
        <v>270</v>
      </c>
      <c r="G269" t="s">
        <v>271</v>
      </c>
      <c r="H269">
        <v>4714781021777</v>
      </c>
      <c r="I269">
        <v>1</v>
      </c>
      <c r="J269">
        <v>399</v>
      </c>
      <c r="K269">
        <v>65</v>
      </c>
      <c r="L269">
        <v>0</v>
      </c>
      <c r="M269">
        <v>614</v>
      </c>
      <c r="N269" t="s">
        <v>633</v>
      </c>
      <c r="O269" t="s">
        <v>634</v>
      </c>
      <c r="Q269" t="s">
        <v>24</v>
      </c>
      <c r="T269" t="s">
        <v>635</v>
      </c>
      <c r="V269">
        <v>120010</v>
      </c>
      <c r="W269" t="s">
        <v>757</v>
      </c>
      <c r="X269" t="s">
        <v>758</v>
      </c>
      <c r="AC269" t="s">
        <v>27</v>
      </c>
    </row>
    <row r="270" spans="1:29">
      <c r="A270" t="s">
        <v>1032</v>
      </c>
      <c r="B270" t="s">
        <v>1033</v>
      </c>
      <c r="C270" t="s">
        <v>1034</v>
      </c>
      <c r="D270" t="s">
        <v>1035</v>
      </c>
      <c r="E270" t="s">
        <v>863</v>
      </c>
      <c r="F270" t="s">
        <v>864</v>
      </c>
      <c r="G270" t="s">
        <v>865</v>
      </c>
      <c r="H270">
        <v>4714781021043</v>
      </c>
      <c r="I270">
        <v>1</v>
      </c>
      <c r="J270">
        <v>150</v>
      </c>
      <c r="K270">
        <v>65</v>
      </c>
      <c r="L270">
        <v>0</v>
      </c>
      <c r="M270">
        <v>614</v>
      </c>
      <c r="N270" t="s">
        <v>633</v>
      </c>
      <c r="O270" t="s">
        <v>634</v>
      </c>
      <c r="Q270" t="s">
        <v>24</v>
      </c>
      <c r="T270" t="s">
        <v>635</v>
      </c>
      <c r="V270">
        <v>120010</v>
      </c>
      <c r="W270" t="s">
        <v>757</v>
      </c>
      <c r="X270" t="s">
        <v>758</v>
      </c>
      <c r="AC270" t="s">
        <v>27</v>
      </c>
    </row>
    <row r="271" spans="1:29">
      <c r="A271" t="s">
        <v>605</v>
      </c>
      <c r="B271" t="s">
        <v>606</v>
      </c>
      <c r="C271" t="s">
        <v>607</v>
      </c>
      <c r="D271" t="s">
        <v>608</v>
      </c>
      <c r="E271" t="s">
        <v>61</v>
      </c>
      <c r="F271" t="s">
        <v>62</v>
      </c>
      <c r="G271" t="s">
        <v>84</v>
      </c>
      <c r="H271" t="s">
        <v>85</v>
      </c>
      <c r="I271">
        <v>1</v>
      </c>
      <c r="J271">
        <v>399</v>
      </c>
      <c r="K271">
        <v>0</v>
      </c>
      <c r="L271">
        <v>0</v>
      </c>
      <c r="M271">
        <v>892</v>
      </c>
      <c r="N271" t="s">
        <v>39</v>
      </c>
      <c r="O271" t="s">
        <v>40</v>
      </c>
      <c r="Q271" t="s">
        <v>24</v>
      </c>
      <c r="T271" t="s">
        <v>25</v>
      </c>
      <c r="Y271">
        <v>114</v>
      </c>
      <c r="Z271" t="s">
        <v>609</v>
      </c>
      <c r="AC271" t="s">
        <v>42</v>
      </c>
    </row>
    <row r="272" spans="1:29">
      <c r="A272" t="s">
        <v>605</v>
      </c>
      <c r="B272" t="s">
        <v>606</v>
      </c>
      <c r="C272" t="s">
        <v>607</v>
      </c>
      <c r="D272" t="s">
        <v>608</v>
      </c>
      <c r="E272" t="s">
        <v>94</v>
      </c>
      <c r="F272" t="s">
        <v>95</v>
      </c>
      <c r="G272" t="s">
        <v>96</v>
      </c>
      <c r="H272">
        <v>4714781020787</v>
      </c>
      <c r="I272">
        <v>1</v>
      </c>
      <c r="J272">
        <v>135</v>
      </c>
      <c r="K272">
        <v>0</v>
      </c>
      <c r="L272">
        <v>0</v>
      </c>
      <c r="M272">
        <v>892</v>
      </c>
      <c r="N272" t="s">
        <v>39</v>
      </c>
      <c r="O272" t="s">
        <v>40</v>
      </c>
      <c r="Q272" t="s">
        <v>24</v>
      </c>
      <c r="T272" t="s">
        <v>25</v>
      </c>
      <c r="Y272">
        <v>114</v>
      </c>
      <c r="Z272" t="s">
        <v>609</v>
      </c>
      <c r="AC272" t="s">
        <v>42</v>
      </c>
    </row>
    <row r="273" spans="1:29">
      <c r="A273" t="s">
        <v>605</v>
      </c>
      <c r="B273" t="s">
        <v>606</v>
      </c>
      <c r="C273" t="s">
        <v>607</v>
      </c>
      <c r="D273" t="s">
        <v>608</v>
      </c>
      <c r="E273" t="s">
        <v>154</v>
      </c>
      <c r="F273" t="s">
        <v>324</v>
      </c>
      <c r="G273" t="s">
        <v>156</v>
      </c>
      <c r="H273">
        <v>4714781020510</v>
      </c>
      <c r="I273">
        <v>1</v>
      </c>
      <c r="J273">
        <v>299</v>
      </c>
      <c r="K273">
        <v>0</v>
      </c>
      <c r="L273">
        <v>0</v>
      </c>
      <c r="M273">
        <v>892</v>
      </c>
      <c r="N273" t="s">
        <v>39</v>
      </c>
      <c r="O273" t="s">
        <v>40</v>
      </c>
      <c r="Q273" t="s">
        <v>24</v>
      </c>
      <c r="T273" t="s">
        <v>25</v>
      </c>
      <c r="Y273">
        <v>114</v>
      </c>
      <c r="Z273" t="s">
        <v>609</v>
      </c>
      <c r="AC273" t="s">
        <v>42</v>
      </c>
    </row>
    <row r="274" spans="1:29">
      <c r="A274" t="s">
        <v>605</v>
      </c>
      <c r="B274" t="s">
        <v>606</v>
      </c>
      <c r="C274" t="s">
        <v>607</v>
      </c>
      <c r="D274" t="s">
        <v>608</v>
      </c>
      <c r="E274" t="s">
        <v>521</v>
      </c>
      <c r="F274" t="s">
        <v>522</v>
      </c>
      <c r="G274" t="s">
        <v>523</v>
      </c>
      <c r="H274">
        <v>4714781021227</v>
      </c>
      <c r="I274">
        <v>1</v>
      </c>
      <c r="J274">
        <v>59</v>
      </c>
      <c r="K274">
        <v>0</v>
      </c>
      <c r="L274">
        <v>0</v>
      </c>
      <c r="M274">
        <v>892</v>
      </c>
      <c r="N274" t="s">
        <v>39</v>
      </c>
      <c r="O274" t="s">
        <v>40</v>
      </c>
      <c r="Q274" t="s">
        <v>24</v>
      </c>
      <c r="T274" t="s">
        <v>25</v>
      </c>
      <c r="Y274">
        <v>114</v>
      </c>
      <c r="Z274" t="s">
        <v>609</v>
      </c>
      <c r="AC274" t="s">
        <v>42</v>
      </c>
    </row>
    <row r="275" spans="1:29">
      <c r="A275" t="s">
        <v>1036</v>
      </c>
      <c r="B275" t="s">
        <v>1037</v>
      </c>
      <c r="C275" t="s">
        <v>1038</v>
      </c>
      <c r="D275" t="s">
        <v>1039</v>
      </c>
      <c r="E275" t="s">
        <v>433</v>
      </c>
      <c r="F275" t="s">
        <v>434</v>
      </c>
      <c r="G275" t="s">
        <v>435</v>
      </c>
      <c r="H275" t="s">
        <v>436</v>
      </c>
      <c r="I275">
        <v>1</v>
      </c>
      <c r="J275">
        <v>799</v>
      </c>
      <c r="K275">
        <v>0</v>
      </c>
      <c r="L275">
        <v>0</v>
      </c>
      <c r="M275">
        <v>799</v>
      </c>
      <c r="N275" t="s">
        <v>633</v>
      </c>
      <c r="O275" t="s">
        <v>634</v>
      </c>
      <c r="Q275" t="s">
        <v>24</v>
      </c>
      <c r="T275" t="s">
        <v>635</v>
      </c>
      <c r="V275">
        <v>144360</v>
      </c>
      <c r="W275" t="s">
        <v>1040</v>
      </c>
      <c r="X275" t="s">
        <v>1041</v>
      </c>
      <c r="AC275" t="s">
        <v>27</v>
      </c>
    </row>
    <row r="276" spans="1:29">
      <c r="A276" t="s">
        <v>1042</v>
      </c>
      <c r="B276" t="s">
        <v>1043</v>
      </c>
      <c r="C276" t="s">
        <v>1044</v>
      </c>
      <c r="D276" t="s">
        <v>1045</v>
      </c>
      <c r="E276" t="s">
        <v>383</v>
      </c>
      <c r="F276" t="s">
        <v>384</v>
      </c>
      <c r="G276" t="s">
        <v>1046</v>
      </c>
      <c r="H276" t="s">
        <v>1047</v>
      </c>
      <c r="I276">
        <v>1</v>
      </c>
      <c r="J276">
        <v>960</v>
      </c>
      <c r="K276">
        <v>0</v>
      </c>
      <c r="L276">
        <v>0</v>
      </c>
      <c r="M276">
        <v>960</v>
      </c>
      <c r="N276" t="s">
        <v>633</v>
      </c>
      <c r="O276" t="s">
        <v>634</v>
      </c>
      <c r="Q276" t="s">
        <v>24</v>
      </c>
      <c r="T276" t="s">
        <v>635</v>
      </c>
      <c r="V276">
        <v>164412</v>
      </c>
      <c r="W276" t="s">
        <v>1048</v>
      </c>
      <c r="X276" t="s">
        <v>1049</v>
      </c>
      <c r="AC276" t="s">
        <v>27</v>
      </c>
    </row>
    <row r="277" spans="1:29">
      <c r="A277" t="s">
        <v>596</v>
      </c>
      <c r="B277" t="s">
        <v>597</v>
      </c>
      <c r="C277" t="s">
        <v>598</v>
      </c>
      <c r="D277" t="s">
        <v>599</v>
      </c>
      <c r="E277" t="s">
        <v>285</v>
      </c>
      <c r="F277" t="s">
        <v>286</v>
      </c>
      <c r="G277" t="s">
        <v>80</v>
      </c>
      <c r="H277" t="s">
        <v>571</v>
      </c>
      <c r="I277">
        <v>1</v>
      </c>
      <c r="J277">
        <v>375</v>
      </c>
      <c r="K277">
        <v>0</v>
      </c>
      <c r="L277">
        <v>0</v>
      </c>
      <c r="M277">
        <v>849</v>
      </c>
      <c r="N277" t="s">
        <v>39</v>
      </c>
      <c r="O277" t="s">
        <v>40</v>
      </c>
      <c r="Q277" t="s">
        <v>24</v>
      </c>
      <c r="T277" t="s">
        <v>25</v>
      </c>
      <c r="Y277">
        <v>114</v>
      </c>
      <c r="Z277" t="s">
        <v>600</v>
      </c>
      <c r="AC277" t="s">
        <v>42</v>
      </c>
    </row>
    <row r="278" spans="1:29">
      <c r="A278" t="s">
        <v>596</v>
      </c>
      <c r="B278" t="s">
        <v>597</v>
      </c>
      <c r="C278" t="s">
        <v>598</v>
      </c>
      <c r="D278" t="s">
        <v>599</v>
      </c>
      <c r="E278" t="s">
        <v>285</v>
      </c>
      <c r="F278" t="s">
        <v>286</v>
      </c>
      <c r="G278" t="s">
        <v>165</v>
      </c>
      <c r="H278" t="s">
        <v>601</v>
      </c>
      <c r="I278">
        <v>1</v>
      </c>
      <c r="J278">
        <v>375</v>
      </c>
      <c r="K278">
        <v>0</v>
      </c>
      <c r="L278">
        <v>0</v>
      </c>
      <c r="M278">
        <v>849</v>
      </c>
      <c r="N278" t="s">
        <v>39</v>
      </c>
      <c r="O278" t="s">
        <v>40</v>
      </c>
      <c r="Q278" t="s">
        <v>24</v>
      </c>
      <c r="T278" t="s">
        <v>25</v>
      </c>
      <c r="Y278">
        <v>114</v>
      </c>
      <c r="Z278" t="s">
        <v>600</v>
      </c>
      <c r="AC278" t="s">
        <v>42</v>
      </c>
    </row>
    <row r="279" spans="1:29">
      <c r="A279" t="s">
        <v>596</v>
      </c>
      <c r="B279" t="s">
        <v>597</v>
      </c>
      <c r="C279" t="s">
        <v>598</v>
      </c>
      <c r="D279" t="s">
        <v>599</v>
      </c>
      <c r="E279" t="s">
        <v>602</v>
      </c>
      <c r="F279" t="s">
        <v>603</v>
      </c>
      <c r="G279" t="s">
        <v>604</v>
      </c>
      <c r="H279">
        <v>4714781021050</v>
      </c>
      <c r="I279">
        <v>1</v>
      </c>
      <c r="J279">
        <v>99</v>
      </c>
      <c r="K279">
        <v>0</v>
      </c>
      <c r="L279">
        <v>0</v>
      </c>
      <c r="M279">
        <v>849</v>
      </c>
      <c r="N279" t="s">
        <v>39</v>
      </c>
      <c r="O279" t="s">
        <v>40</v>
      </c>
      <c r="Q279" t="s">
        <v>24</v>
      </c>
      <c r="T279" t="s">
        <v>25</v>
      </c>
      <c r="Y279">
        <v>114</v>
      </c>
      <c r="Z279" t="s">
        <v>600</v>
      </c>
      <c r="AC279" t="s">
        <v>42</v>
      </c>
    </row>
    <row r="280" spans="1:29">
      <c r="A280" t="s">
        <v>591</v>
      </c>
      <c r="B280" t="s">
        <v>592</v>
      </c>
      <c r="C280" t="s">
        <v>593</v>
      </c>
      <c r="D280" t="s">
        <v>594</v>
      </c>
      <c r="E280" t="s">
        <v>61</v>
      </c>
      <c r="F280" t="s">
        <v>62</v>
      </c>
      <c r="G280" t="s">
        <v>84</v>
      </c>
      <c r="H280" t="s">
        <v>85</v>
      </c>
      <c r="I280">
        <v>2</v>
      </c>
      <c r="J280">
        <v>798</v>
      </c>
      <c r="K280">
        <v>0</v>
      </c>
      <c r="L280">
        <v>0</v>
      </c>
      <c r="M280">
        <v>798</v>
      </c>
      <c r="N280" t="s">
        <v>39</v>
      </c>
      <c r="O280" t="s">
        <v>337</v>
      </c>
      <c r="Q280" t="s">
        <v>24</v>
      </c>
      <c r="T280" t="s">
        <v>25</v>
      </c>
      <c r="Y280">
        <v>920</v>
      </c>
      <c r="Z280" t="s">
        <v>595</v>
      </c>
      <c r="AC280" t="s">
        <v>42</v>
      </c>
    </row>
    <row r="281" spans="1:29">
      <c r="A281" t="s">
        <v>1050</v>
      </c>
      <c r="B281" t="s">
        <v>1051</v>
      </c>
      <c r="C281" t="s">
        <v>1052</v>
      </c>
      <c r="D281" t="s">
        <v>1053</v>
      </c>
      <c r="E281" t="s">
        <v>61</v>
      </c>
      <c r="F281" t="s">
        <v>62</v>
      </c>
      <c r="G281" t="s">
        <v>84</v>
      </c>
      <c r="H281" t="s">
        <v>85</v>
      </c>
      <c r="I281">
        <v>1</v>
      </c>
      <c r="J281">
        <v>399</v>
      </c>
      <c r="K281">
        <v>65</v>
      </c>
      <c r="L281">
        <v>0</v>
      </c>
      <c r="M281">
        <v>464</v>
      </c>
      <c r="N281" t="s">
        <v>633</v>
      </c>
      <c r="O281" t="s">
        <v>634</v>
      </c>
      <c r="Q281" t="s">
        <v>24</v>
      </c>
      <c r="T281" t="s">
        <v>635</v>
      </c>
      <c r="V281">
        <v>131467</v>
      </c>
      <c r="W281" t="s">
        <v>1054</v>
      </c>
      <c r="X281" t="s">
        <v>1055</v>
      </c>
      <c r="AC281" t="s">
        <v>27</v>
      </c>
    </row>
    <row r="282" spans="1:29">
      <c r="A282" t="s">
        <v>1056</v>
      </c>
      <c r="B282" t="s">
        <v>1057</v>
      </c>
      <c r="C282" t="s">
        <v>1058</v>
      </c>
      <c r="D282" t="s">
        <v>1059</v>
      </c>
      <c r="E282" t="s">
        <v>1005</v>
      </c>
      <c r="F282" t="s">
        <v>1006</v>
      </c>
      <c r="G282" t="s">
        <v>1007</v>
      </c>
      <c r="H282">
        <v>4714781020138</v>
      </c>
      <c r="I282">
        <v>1</v>
      </c>
      <c r="J282">
        <v>399</v>
      </c>
      <c r="K282">
        <v>0</v>
      </c>
      <c r="L282">
        <v>0</v>
      </c>
      <c r="M282">
        <v>829</v>
      </c>
      <c r="N282" t="s">
        <v>633</v>
      </c>
      <c r="O282" t="s">
        <v>634</v>
      </c>
      <c r="Q282" t="s">
        <v>24</v>
      </c>
      <c r="T282" t="s">
        <v>635</v>
      </c>
      <c r="V282">
        <v>182993</v>
      </c>
      <c r="W282" t="s">
        <v>1060</v>
      </c>
      <c r="X282" t="s">
        <v>1061</v>
      </c>
      <c r="AC282" t="s">
        <v>27</v>
      </c>
    </row>
    <row r="283" spans="1:29">
      <c r="A283" t="s">
        <v>1056</v>
      </c>
      <c r="B283" t="s">
        <v>1057</v>
      </c>
      <c r="C283" t="s">
        <v>1058</v>
      </c>
      <c r="D283" t="s">
        <v>1059</v>
      </c>
      <c r="E283" t="s">
        <v>104</v>
      </c>
      <c r="F283" t="s">
        <v>105</v>
      </c>
      <c r="G283" t="s">
        <v>106</v>
      </c>
      <c r="H283">
        <v>4714781020268</v>
      </c>
      <c r="I283">
        <v>1</v>
      </c>
      <c r="J283">
        <v>430</v>
      </c>
      <c r="K283">
        <v>0</v>
      </c>
      <c r="L283">
        <v>0</v>
      </c>
      <c r="M283">
        <v>829</v>
      </c>
      <c r="N283" t="s">
        <v>633</v>
      </c>
      <c r="O283" t="s">
        <v>634</v>
      </c>
      <c r="Q283" t="s">
        <v>24</v>
      </c>
      <c r="T283" t="s">
        <v>635</v>
      </c>
      <c r="V283">
        <v>182993</v>
      </c>
      <c r="W283" t="s">
        <v>1060</v>
      </c>
      <c r="X283" t="s">
        <v>1061</v>
      </c>
      <c r="AC283" t="s">
        <v>27</v>
      </c>
    </row>
    <row r="284" spans="1:29">
      <c r="A284" t="s">
        <v>586</v>
      </c>
      <c r="B284" t="s">
        <v>587</v>
      </c>
      <c r="C284" t="s">
        <v>588</v>
      </c>
      <c r="D284" t="s">
        <v>589</v>
      </c>
      <c r="E284" t="s">
        <v>433</v>
      </c>
      <c r="F284" t="s">
        <v>434</v>
      </c>
      <c r="G284" t="s">
        <v>435</v>
      </c>
      <c r="H284" t="s">
        <v>436</v>
      </c>
      <c r="I284">
        <v>1</v>
      </c>
      <c r="J284">
        <v>799</v>
      </c>
      <c r="K284">
        <v>0</v>
      </c>
      <c r="L284">
        <v>0</v>
      </c>
      <c r="M284">
        <v>2378</v>
      </c>
      <c r="N284" t="s">
        <v>39</v>
      </c>
      <c r="O284" t="s">
        <v>171</v>
      </c>
      <c r="Q284" t="s">
        <v>24</v>
      </c>
      <c r="T284" t="s">
        <v>25</v>
      </c>
      <c r="Y284">
        <v>814</v>
      </c>
      <c r="Z284" t="s">
        <v>590</v>
      </c>
      <c r="AC284" t="s">
        <v>42</v>
      </c>
    </row>
    <row r="285" spans="1:29">
      <c r="A285" t="s">
        <v>586</v>
      </c>
      <c r="B285" t="s">
        <v>587</v>
      </c>
      <c r="C285" t="s">
        <v>588</v>
      </c>
      <c r="D285" t="s">
        <v>589</v>
      </c>
      <c r="E285" t="s">
        <v>296</v>
      </c>
      <c r="F285" t="s">
        <v>297</v>
      </c>
      <c r="G285" t="s">
        <v>298</v>
      </c>
      <c r="H285" t="s">
        <v>299</v>
      </c>
      <c r="I285">
        <v>1</v>
      </c>
      <c r="J285">
        <v>270</v>
      </c>
      <c r="K285">
        <v>0</v>
      </c>
      <c r="L285">
        <v>0</v>
      </c>
      <c r="M285">
        <v>2378</v>
      </c>
      <c r="N285" t="s">
        <v>39</v>
      </c>
      <c r="O285" t="s">
        <v>171</v>
      </c>
      <c r="Q285" t="s">
        <v>24</v>
      </c>
      <c r="T285" t="s">
        <v>25</v>
      </c>
      <c r="Y285">
        <v>814</v>
      </c>
      <c r="Z285" t="s">
        <v>590</v>
      </c>
      <c r="AC285" t="s">
        <v>42</v>
      </c>
    </row>
    <row r="286" spans="1:29">
      <c r="A286" t="s">
        <v>586</v>
      </c>
      <c r="B286" t="s">
        <v>587</v>
      </c>
      <c r="C286" t="s">
        <v>588</v>
      </c>
      <c r="D286" t="s">
        <v>589</v>
      </c>
      <c r="E286" t="s">
        <v>459</v>
      </c>
      <c r="F286" t="s">
        <v>460</v>
      </c>
      <c r="G286" t="s">
        <v>461</v>
      </c>
      <c r="H286" t="s">
        <v>462</v>
      </c>
      <c r="I286">
        <v>1</v>
      </c>
      <c r="J286">
        <v>1160</v>
      </c>
      <c r="K286">
        <v>0</v>
      </c>
      <c r="L286">
        <v>0</v>
      </c>
      <c r="M286">
        <v>2378</v>
      </c>
      <c r="N286" t="s">
        <v>39</v>
      </c>
      <c r="O286" t="s">
        <v>171</v>
      </c>
      <c r="Q286" t="s">
        <v>24</v>
      </c>
      <c r="T286" t="s">
        <v>25</v>
      </c>
      <c r="Y286">
        <v>814</v>
      </c>
      <c r="Z286" t="s">
        <v>590</v>
      </c>
      <c r="AC286" t="s">
        <v>42</v>
      </c>
    </row>
    <row r="287" spans="1:29">
      <c r="A287" t="s">
        <v>586</v>
      </c>
      <c r="B287" t="s">
        <v>587</v>
      </c>
      <c r="C287" t="s">
        <v>588</v>
      </c>
      <c r="D287" t="s">
        <v>589</v>
      </c>
      <c r="E287" t="s">
        <v>138</v>
      </c>
      <c r="F287" t="s">
        <v>139</v>
      </c>
      <c r="G287" t="s">
        <v>140</v>
      </c>
      <c r="H287">
        <v>4714781020954</v>
      </c>
      <c r="I287">
        <v>1</v>
      </c>
      <c r="J287">
        <v>149</v>
      </c>
      <c r="K287">
        <v>0</v>
      </c>
      <c r="L287">
        <v>0</v>
      </c>
      <c r="M287">
        <v>2378</v>
      </c>
      <c r="N287" t="s">
        <v>39</v>
      </c>
      <c r="O287" t="s">
        <v>171</v>
      </c>
      <c r="Q287" t="s">
        <v>24</v>
      </c>
      <c r="T287" t="s">
        <v>25</v>
      </c>
      <c r="Y287">
        <v>814</v>
      </c>
      <c r="Z287" t="s">
        <v>590</v>
      </c>
      <c r="AC287" t="s">
        <v>42</v>
      </c>
    </row>
    <row r="288" spans="1:29">
      <c r="A288" t="s">
        <v>586</v>
      </c>
      <c r="B288" t="s">
        <v>587</v>
      </c>
      <c r="C288" t="s">
        <v>588</v>
      </c>
      <c r="D288" t="s">
        <v>589</v>
      </c>
      <c r="E288" t="s">
        <v>300</v>
      </c>
      <c r="F288" t="s">
        <v>301</v>
      </c>
      <c r="I288">
        <v>1</v>
      </c>
      <c r="J288">
        <v>0</v>
      </c>
      <c r="K288">
        <v>0</v>
      </c>
      <c r="L288">
        <v>0</v>
      </c>
      <c r="M288">
        <v>2378</v>
      </c>
      <c r="N288" t="s">
        <v>39</v>
      </c>
      <c r="O288" t="s">
        <v>171</v>
      </c>
      <c r="Q288" t="s">
        <v>24</v>
      </c>
      <c r="T288" t="s">
        <v>25</v>
      </c>
      <c r="Y288">
        <v>814</v>
      </c>
      <c r="Z288" t="s">
        <v>590</v>
      </c>
      <c r="AC288" t="s">
        <v>42</v>
      </c>
    </row>
    <row r="289" spans="1:29">
      <c r="A289" t="s">
        <v>1062</v>
      </c>
      <c r="B289" t="s">
        <v>1063</v>
      </c>
      <c r="C289" t="s">
        <v>1064</v>
      </c>
      <c r="D289" t="s">
        <v>1065</v>
      </c>
      <c r="E289" t="s">
        <v>35</v>
      </c>
      <c r="F289" t="s">
        <v>36</v>
      </c>
      <c r="G289" t="s">
        <v>1066</v>
      </c>
      <c r="H289" t="s">
        <v>1067</v>
      </c>
      <c r="I289">
        <v>1</v>
      </c>
      <c r="J289">
        <v>748</v>
      </c>
      <c r="K289">
        <v>0</v>
      </c>
      <c r="L289">
        <v>0</v>
      </c>
      <c r="M289">
        <v>748</v>
      </c>
      <c r="N289" t="s">
        <v>633</v>
      </c>
      <c r="O289" t="s">
        <v>634</v>
      </c>
      <c r="Q289" t="s">
        <v>24</v>
      </c>
      <c r="T289" t="s">
        <v>635</v>
      </c>
      <c r="V289">
        <v>118349</v>
      </c>
      <c r="W289" t="s">
        <v>1068</v>
      </c>
      <c r="X289" t="s">
        <v>1069</v>
      </c>
      <c r="AC289" t="s">
        <v>27</v>
      </c>
    </row>
    <row r="290" spans="1:29">
      <c r="A290" t="s">
        <v>581</v>
      </c>
      <c r="B290" t="s">
        <v>582</v>
      </c>
      <c r="C290" t="s">
        <v>583</v>
      </c>
      <c r="D290" t="s">
        <v>584</v>
      </c>
      <c r="E290" t="s">
        <v>269</v>
      </c>
      <c r="F290" t="s">
        <v>270</v>
      </c>
      <c r="G290" t="s">
        <v>271</v>
      </c>
      <c r="H290">
        <v>4714781021777</v>
      </c>
      <c r="I290">
        <v>2</v>
      </c>
      <c r="J290">
        <v>798</v>
      </c>
      <c r="K290">
        <v>0</v>
      </c>
      <c r="L290">
        <v>0</v>
      </c>
      <c r="M290">
        <v>798</v>
      </c>
      <c r="N290" t="s">
        <v>39</v>
      </c>
      <c r="O290" t="s">
        <v>40</v>
      </c>
      <c r="Q290" t="s">
        <v>24</v>
      </c>
      <c r="T290" t="s">
        <v>25</v>
      </c>
      <c r="Y290">
        <v>330</v>
      </c>
      <c r="Z290" t="s">
        <v>585</v>
      </c>
      <c r="AC290" t="s">
        <v>42</v>
      </c>
    </row>
    <row r="291" spans="1:29">
      <c r="A291" t="s">
        <v>575</v>
      </c>
      <c r="B291" t="s">
        <v>576</v>
      </c>
      <c r="C291" t="s">
        <v>577</v>
      </c>
      <c r="D291" t="s">
        <v>578</v>
      </c>
      <c r="E291" t="s">
        <v>273</v>
      </c>
      <c r="F291" t="s">
        <v>274</v>
      </c>
      <c r="G291" t="s">
        <v>275</v>
      </c>
      <c r="H291">
        <v>4714781020282</v>
      </c>
      <c r="I291">
        <v>1</v>
      </c>
      <c r="J291">
        <v>299</v>
      </c>
      <c r="K291">
        <v>0</v>
      </c>
      <c r="L291">
        <v>0</v>
      </c>
      <c r="M291">
        <v>994</v>
      </c>
      <c r="N291" t="s">
        <v>39</v>
      </c>
      <c r="O291" t="s">
        <v>40</v>
      </c>
      <c r="Q291" t="s">
        <v>24</v>
      </c>
      <c r="T291" t="s">
        <v>25</v>
      </c>
      <c r="Y291">
        <v>510</v>
      </c>
      <c r="Z291" t="s">
        <v>579</v>
      </c>
      <c r="AC291" t="s">
        <v>42</v>
      </c>
    </row>
    <row r="292" spans="1:29">
      <c r="A292" t="s">
        <v>575</v>
      </c>
      <c r="B292" t="s">
        <v>576</v>
      </c>
      <c r="C292" t="s">
        <v>577</v>
      </c>
      <c r="D292" t="s">
        <v>578</v>
      </c>
      <c r="E292" t="s">
        <v>357</v>
      </c>
      <c r="F292" t="s">
        <v>358</v>
      </c>
      <c r="G292" t="s">
        <v>359</v>
      </c>
      <c r="H292">
        <v>4714781024723</v>
      </c>
      <c r="I292">
        <v>1</v>
      </c>
      <c r="J292">
        <v>299</v>
      </c>
      <c r="K292">
        <v>0</v>
      </c>
      <c r="L292">
        <v>0</v>
      </c>
      <c r="M292">
        <v>994</v>
      </c>
      <c r="N292" t="s">
        <v>39</v>
      </c>
      <c r="O292" t="s">
        <v>40</v>
      </c>
      <c r="Q292" t="s">
        <v>24</v>
      </c>
      <c r="T292" t="s">
        <v>25</v>
      </c>
      <c r="Y292">
        <v>510</v>
      </c>
      <c r="Z292" t="s">
        <v>579</v>
      </c>
      <c r="AC292" t="s">
        <v>42</v>
      </c>
    </row>
    <row r="293" spans="1:29">
      <c r="A293" t="s">
        <v>575</v>
      </c>
      <c r="B293" t="s">
        <v>576</v>
      </c>
      <c r="C293" t="s">
        <v>577</v>
      </c>
      <c r="D293" t="s">
        <v>578</v>
      </c>
      <c r="E293" t="s">
        <v>262</v>
      </c>
      <c r="F293" t="s">
        <v>263</v>
      </c>
      <c r="G293" t="s">
        <v>264</v>
      </c>
      <c r="H293">
        <v>4714781024730</v>
      </c>
      <c r="I293">
        <v>1</v>
      </c>
      <c r="J293">
        <v>299</v>
      </c>
      <c r="K293">
        <v>0</v>
      </c>
      <c r="L293">
        <v>0</v>
      </c>
      <c r="M293">
        <v>994</v>
      </c>
      <c r="N293" t="s">
        <v>39</v>
      </c>
      <c r="O293" t="s">
        <v>40</v>
      </c>
      <c r="Q293" t="s">
        <v>24</v>
      </c>
      <c r="T293" t="s">
        <v>25</v>
      </c>
      <c r="Y293">
        <v>510</v>
      </c>
      <c r="Z293" t="s">
        <v>579</v>
      </c>
      <c r="AC293" t="s">
        <v>42</v>
      </c>
    </row>
    <row r="294" spans="1:29">
      <c r="A294" t="s">
        <v>575</v>
      </c>
      <c r="B294" t="s">
        <v>576</v>
      </c>
      <c r="C294" t="s">
        <v>577</v>
      </c>
      <c r="D294" t="s">
        <v>578</v>
      </c>
      <c r="E294" t="s">
        <v>68</v>
      </c>
      <c r="F294" t="s">
        <v>580</v>
      </c>
      <c r="G294" t="s">
        <v>70</v>
      </c>
      <c r="H294">
        <v>4714781021593</v>
      </c>
      <c r="I294">
        <v>1</v>
      </c>
      <c r="J294">
        <v>149</v>
      </c>
      <c r="K294">
        <v>0</v>
      </c>
      <c r="L294">
        <v>0</v>
      </c>
      <c r="M294">
        <v>994</v>
      </c>
      <c r="N294" t="s">
        <v>39</v>
      </c>
      <c r="O294" t="s">
        <v>40</v>
      </c>
      <c r="Q294" t="s">
        <v>24</v>
      </c>
      <c r="T294" t="s">
        <v>25</v>
      </c>
      <c r="Y294">
        <v>510</v>
      </c>
      <c r="Z294" t="s">
        <v>579</v>
      </c>
      <c r="AC294" t="s">
        <v>42</v>
      </c>
    </row>
    <row r="295" spans="1:29">
      <c r="A295" t="s">
        <v>575</v>
      </c>
      <c r="B295" t="s">
        <v>576</v>
      </c>
      <c r="C295" t="s">
        <v>577</v>
      </c>
      <c r="D295" t="s">
        <v>578</v>
      </c>
      <c r="E295" t="s">
        <v>45</v>
      </c>
      <c r="F295" t="s">
        <v>46</v>
      </c>
      <c r="G295" t="s">
        <v>47</v>
      </c>
      <c r="I295">
        <v>1</v>
      </c>
      <c r="J295">
        <v>-52</v>
      </c>
      <c r="K295">
        <v>0</v>
      </c>
      <c r="L295">
        <v>0</v>
      </c>
      <c r="M295">
        <v>994</v>
      </c>
      <c r="N295" t="s">
        <v>39</v>
      </c>
      <c r="O295" t="s">
        <v>40</v>
      </c>
      <c r="Q295" t="s">
        <v>24</v>
      </c>
      <c r="T295" t="s">
        <v>25</v>
      </c>
      <c r="Y295">
        <v>510</v>
      </c>
      <c r="Z295" t="s">
        <v>579</v>
      </c>
      <c r="AC295" t="s">
        <v>42</v>
      </c>
    </row>
    <row r="296" spans="1:29">
      <c r="A296" t="s">
        <v>575</v>
      </c>
      <c r="B296" t="s">
        <v>576</v>
      </c>
      <c r="C296" t="s">
        <v>577</v>
      </c>
      <c r="D296" t="s">
        <v>578</v>
      </c>
      <c r="E296" t="s">
        <v>48</v>
      </c>
      <c r="F296" t="s">
        <v>49</v>
      </c>
      <c r="G296" t="s">
        <v>50</v>
      </c>
      <c r="I296">
        <v>1</v>
      </c>
      <c r="J296">
        <v>52</v>
      </c>
      <c r="K296">
        <v>0</v>
      </c>
      <c r="L296">
        <v>0</v>
      </c>
      <c r="M296">
        <v>994</v>
      </c>
      <c r="N296" t="s">
        <v>39</v>
      </c>
      <c r="O296" t="s">
        <v>40</v>
      </c>
      <c r="Q296" t="s">
        <v>24</v>
      </c>
      <c r="T296" t="s">
        <v>25</v>
      </c>
      <c r="Y296">
        <v>510</v>
      </c>
      <c r="Z296" t="s">
        <v>579</v>
      </c>
      <c r="AC296" t="s">
        <v>42</v>
      </c>
    </row>
    <row r="297" spans="1:29">
      <c r="A297" t="s">
        <v>567</v>
      </c>
      <c r="B297" t="s">
        <v>568</v>
      </c>
      <c r="C297" t="s">
        <v>569</v>
      </c>
      <c r="D297" t="s">
        <v>570</v>
      </c>
      <c r="E297" t="s">
        <v>285</v>
      </c>
      <c r="F297" t="s">
        <v>286</v>
      </c>
      <c r="G297" t="s">
        <v>80</v>
      </c>
      <c r="H297" t="s">
        <v>571</v>
      </c>
      <c r="I297">
        <v>1</v>
      </c>
      <c r="J297">
        <v>375</v>
      </c>
      <c r="K297">
        <v>0</v>
      </c>
      <c r="L297">
        <v>0</v>
      </c>
      <c r="M297">
        <v>1115</v>
      </c>
      <c r="N297" t="s">
        <v>39</v>
      </c>
      <c r="O297" t="s">
        <v>40</v>
      </c>
      <c r="Q297" t="s">
        <v>24</v>
      </c>
      <c r="T297" t="s">
        <v>25</v>
      </c>
      <c r="Y297">
        <v>231</v>
      </c>
      <c r="Z297" t="s">
        <v>572</v>
      </c>
      <c r="AC297" t="s">
        <v>42</v>
      </c>
    </row>
    <row r="298" spans="1:29">
      <c r="A298" t="s">
        <v>567</v>
      </c>
      <c r="B298" t="s">
        <v>568</v>
      </c>
      <c r="C298" t="s">
        <v>569</v>
      </c>
      <c r="D298" t="s">
        <v>570</v>
      </c>
      <c r="E298" t="s">
        <v>433</v>
      </c>
      <c r="F298" t="s">
        <v>434</v>
      </c>
      <c r="G298" t="s">
        <v>573</v>
      </c>
      <c r="H298" t="s">
        <v>574</v>
      </c>
      <c r="I298">
        <v>1</v>
      </c>
      <c r="J298">
        <v>799</v>
      </c>
      <c r="K298">
        <v>0</v>
      </c>
      <c r="L298">
        <v>0</v>
      </c>
      <c r="M298">
        <v>1115</v>
      </c>
      <c r="N298" t="s">
        <v>39</v>
      </c>
      <c r="O298" t="s">
        <v>40</v>
      </c>
      <c r="Q298" t="s">
        <v>24</v>
      </c>
      <c r="T298" t="s">
        <v>25</v>
      </c>
      <c r="Y298">
        <v>231</v>
      </c>
      <c r="Z298" t="s">
        <v>572</v>
      </c>
      <c r="AC298" t="s">
        <v>42</v>
      </c>
    </row>
    <row r="299" spans="1:29">
      <c r="A299" t="s">
        <v>567</v>
      </c>
      <c r="B299" t="s">
        <v>568</v>
      </c>
      <c r="C299" t="s">
        <v>569</v>
      </c>
      <c r="D299" t="s">
        <v>570</v>
      </c>
      <c r="E299" t="s">
        <v>45</v>
      </c>
      <c r="F299" t="s">
        <v>46</v>
      </c>
      <c r="G299" t="s">
        <v>47</v>
      </c>
      <c r="I299">
        <v>1</v>
      </c>
      <c r="J299">
        <v>-59</v>
      </c>
      <c r="K299">
        <v>0</v>
      </c>
      <c r="L299">
        <v>0</v>
      </c>
      <c r="M299">
        <v>1115</v>
      </c>
      <c r="N299" t="s">
        <v>39</v>
      </c>
      <c r="O299" t="s">
        <v>40</v>
      </c>
      <c r="Q299" t="s">
        <v>24</v>
      </c>
      <c r="T299" t="s">
        <v>25</v>
      </c>
      <c r="Y299">
        <v>231</v>
      </c>
      <c r="Z299" t="s">
        <v>572</v>
      </c>
      <c r="AC299" t="s">
        <v>42</v>
      </c>
    </row>
    <row r="300" spans="1:29">
      <c r="A300" t="s">
        <v>567</v>
      </c>
      <c r="B300" t="s">
        <v>568</v>
      </c>
      <c r="C300" t="s">
        <v>569</v>
      </c>
      <c r="D300" t="s">
        <v>570</v>
      </c>
      <c r="E300" t="s">
        <v>300</v>
      </c>
      <c r="F300" t="s">
        <v>301</v>
      </c>
      <c r="I300">
        <v>1</v>
      </c>
      <c r="J300">
        <v>0</v>
      </c>
      <c r="K300">
        <v>0</v>
      </c>
      <c r="L300">
        <v>0</v>
      </c>
      <c r="M300">
        <v>1115</v>
      </c>
      <c r="N300" t="s">
        <v>39</v>
      </c>
      <c r="O300" t="s">
        <v>40</v>
      </c>
      <c r="Q300" t="s">
        <v>24</v>
      </c>
      <c r="T300" t="s">
        <v>25</v>
      </c>
      <c r="Y300">
        <v>231</v>
      </c>
      <c r="Z300" t="s">
        <v>572</v>
      </c>
      <c r="AC300" t="s">
        <v>42</v>
      </c>
    </row>
    <row r="301" spans="1:29">
      <c r="A301" t="s">
        <v>567</v>
      </c>
      <c r="B301" t="s">
        <v>568</v>
      </c>
      <c r="C301" t="s">
        <v>569</v>
      </c>
      <c r="D301" t="s">
        <v>570</v>
      </c>
      <c r="E301" t="s">
        <v>48</v>
      </c>
      <c r="F301" t="s">
        <v>49</v>
      </c>
      <c r="G301" t="s">
        <v>50</v>
      </c>
      <c r="I301">
        <v>1</v>
      </c>
      <c r="J301">
        <v>59</v>
      </c>
      <c r="K301">
        <v>0</v>
      </c>
      <c r="L301">
        <v>0</v>
      </c>
      <c r="M301">
        <v>1115</v>
      </c>
      <c r="N301" t="s">
        <v>39</v>
      </c>
      <c r="O301" t="s">
        <v>40</v>
      </c>
      <c r="Q301" t="s">
        <v>24</v>
      </c>
      <c r="T301" t="s">
        <v>25</v>
      </c>
      <c r="Y301">
        <v>231</v>
      </c>
      <c r="Z301" t="s">
        <v>572</v>
      </c>
      <c r="AC301" t="s">
        <v>42</v>
      </c>
    </row>
    <row r="302" spans="1:29">
      <c r="A302" t="s">
        <v>1070</v>
      </c>
      <c r="B302" t="s">
        <v>1071</v>
      </c>
      <c r="C302" t="s">
        <v>1072</v>
      </c>
      <c r="D302" t="s">
        <v>1073</v>
      </c>
      <c r="E302" t="s">
        <v>315</v>
      </c>
      <c r="F302" t="s">
        <v>316</v>
      </c>
      <c r="G302" t="s">
        <v>503</v>
      </c>
      <c r="H302" t="s">
        <v>504</v>
      </c>
      <c r="I302">
        <v>1</v>
      </c>
      <c r="J302">
        <v>280</v>
      </c>
      <c r="K302">
        <v>0</v>
      </c>
      <c r="L302">
        <v>0</v>
      </c>
      <c r="M302">
        <v>929</v>
      </c>
      <c r="N302" t="s">
        <v>633</v>
      </c>
      <c r="O302" t="s">
        <v>634</v>
      </c>
      <c r="Q302" t="s">
        <v>24</v>
      </c>
      <c r="T302" t="s">
        <v>635</v>
      </c>
      <c r="V302">
        <v>153766</v>
      </c>
      <c r="W302" t="s">
        <v>1074</v>
      </c>
      <c r="X302" t="s">
        <v>1075</v>
      </c>
      <c r="AC302" t="s">
        <v>27</v>
      </c>
    </row>
    <row r="303" spans="1:29">
      <c r="A303" t="s">
        <v>1070</v>
      </c>
      <c r="B303" t="s">
        <v>1071</v>
      </c>
      <c r="C303" t="s">
        <v>1072</v>
      </c>
      <c r="D303" t="s">
        <v>1073</v>
      </c>
      <c r="E303" t="s">
        <v>262</v>
      </c>
      <c r="F303" t="s">
        <v>263</v>
      </c>
      <c r="G303" t="s">
        <v>264</v>
      </c>
      <c r="H303">
        <v>4714781024730</v>
      </c>
      <c r="I303">
        <v>1</v>
      </c>
      <c r="J303">
        <v>299</v>
      </c>
      <c r="K303">
        <v>0</v>
      </c>
      <c r="L303">
        <v>0</v>
      </c>
      <c r="M303">
        <v>929</v>
      </c>
      <c r="N303" t="s">
        <v>633</v>
      </c>
      <c r="O303" t="s">
        <v>634</v>
      </c>
      <c r="Q303" t="s">
        <v>24</v>
      </c>
      <c r="T303" t="s">
        <v>635</v>
      </c>
      <c r="V303">
        <v>153766</v>
      </c>
      <c r="W303" t="s">
        <v>1074</v>
      </c>
      <c r="X303" t="s">
        <v>1075</v>
      </c>
      <c r="AC303" t="s">
        <v>27</v>
      </c>
    </row>
    <row r="304" spans="1:29">
      <c r="A304" t="s">
        <v>1070</v>
      </c>
      <c r="B304" t="s">
        <v>1071</v>
      </c>
      <c r="C304" t="s">
        <v>1072</v>
      </c>
      <c r="D304" t="s">
        <v>1073</v>
      </c>
      <c r="E304" t="s">
        <v>1076</v>
      </c>
      <c r="F304" t="s">
        <v>1077</v>
      </c>
      <c r="G304" t="s">
        <v>1078</v>
      </c>
      <c r="H304">
        <v>4714781020848</v>
      </c>
      <c r="I304">
        <v>1</v>
      </c>
      <c r="J304">
        <v>350</v>
      </c>
      <c r="K304">
        <v>0</v>
      </c>
      <c r="L304">
        <v>0</v>
      </c>
      <c r="M304">
        <v>929</v>
      </c>
      <c r="N304" t="s">
        <v>633</v>
      </c>
      <c r="O304" t="s">
        <v>634</v>
      </c>
      <c r="Q304" t="s">
        <v>24</v>
      </c>
      <c r="T304" t="s">
        <v>635</v>
      </c>
      <c r="V304">
        <v>153766</v>
      </c>
      <c r="W304" t="s">
        <v>1074</v>
      </c>
      <c r="X304" t="s">
        <v>1075</v>
      </c>
      <c r="AC304" t="s">
        <v>27</v>
      </c>
    </row>
    <row r="305" spans="1:29">
      <c r="A305" t="s">
        <v>554</v>
      </c>
      <c r="B305" t="s">
        <v>555</v>
      </c>
      <c r="C305" t="s">
        <v>556</v>
      </c>
      <c r="D305" t="s">
        <v>557</v>
      </c>
      <c r="E305" t="s">
        <v>558</v>
      </c>
      <c r="F305" t="s">
        <v>559</v>
      </c>
      <c r="G305" t="s">
        <v>560</v>
      </c>
      <c r="H305" t="s">
        <v>561</v>
      </c>
      <c r="I305">
        <v>1</v>
      </c>
      <c r="J305">
        <v>425</v>
      </c>
      <c r="K305">
        <v>0</v>
      </c>
      <c r="L305">
        <v>0</v>
      </c>
      <c r="M305">
        <v>1294</v>
      </c>
      <c r="N305" t="s">
        <v>39</v>
      </c>
      <c r="O305" t="s">
        <v>59</v>
      </c>
      <c r="Q305" t="s">
        <v>24</v>
      </c>
      <c r="T305" t="s">
        <v>25</v>
      </c>
      <c r="Y305">
        <v>247</v>
      </c>
      <c r="Z305" t="s">
        <v>562</v>
      </c>
      <c r="AC305" t="s">
        <v>42</v>
      </c>
    </row>
    <row r="306" spans="1:29">
      <c r="A306" t="s">
        <v>554</v>
      </c>
      <c r="B306" t="s">
        <v>555</v>
      </c>
      <c r="C306" t="s">
        <v>556</v>
      </c>
      <c r="D306" t="s">
        <v>557</v>
      </c>
      <c r="E306" t="s">
        <v>296</v>
      </c>
      <c r="F306" t="s">
        <v>297</v>
      </c>
      <c r="G306" t="s">
        <v>298</v>
      </c>
      <c r="H306" t="s">
        <v>299</v>
      </c>
      <c r="I306">
        <v>1</v>
      </c>
      <c r="J306">
        <v>270</v>
      </c>
      <c r="K306">
        <v>0</v>
      </c>
      <c r="L306">
        <v>0</v>
      </c>
      <c r="M306">
        <v>1294</v>
      </c>
      <c r="N306" t="s">
        <v>39</v>
      </c>
      <c r="O306" t="s">
        <v>59</v>
      </c>
      <c r="Q306" t="s">
        <v>24</v>
      </c>
      <c r="T306" t="s">
        <v>25</v>
      </c>
      <c r="Y306">
        <v>247</v>
      </c>
      <c r="Z306" t="s">
        <v>562</v>
      </c>
      <c r="AC306" t="s">
        <v>42</v>
      </c>
    </row>
    <row r="307" spans="1:29">
      <c r="A307" t="s">
        <v>554</v>
      </c>
      <c r="B307" t="s">
        <v>555</v>
      </c>
      <c r="C307" t="s">
        <v>556</v>
      </c>
      <c r="D307" t="s">
        <v>557</v>
      </c>
      <c r="E307" t="s">
        <v>563</v>
      </c>
      <c r="F307" t="s">
        <v>564</v>
      </c>
      <c r="G307" t="s">
        <v>565</v>
      </c>
      <c r="H307" t="s">
        <v>566</v>
      </c>
      <c r="I307">
        <v>1</v>
      </c>
      <c r="J307">
        <v>599</v>
      </c>
      <c r="K307">
        <v>0</v>
      </c>
      <c r="L307">
        <v>0</v>
      </c>
      <c r="M307">
        <v>1294</v>
      </c>
      <c r="N307" t="s">
        <v>39</v>
      </c>
      <c r="O307" t="s">
        <v>59</v>
      </c>
      <c r="Q307" t="s">
        <v>24</v>
      </c>
      <c r="T307" t="s">
        <v>25</v>
      </c>
      <c r="Y307">
        <v>247</v>
      </c>
      <c r="Z307" t="s">
        <v>562</v>
      </c>
      <c r="AC307" t="s">
        <v>42</v>
      </c>
    </row>
    <row r="308" spans="1:29">
      <c r="A308" t="s">
        <v>554</v>
      </c>
      <c r="B308" t="s">
        <v>555</v>
      </c>
      <c r="C308" t="s">
        <v>556</v>
      </c>
      <c r="D308" t="s">
        <v>557</v>
      </c>
      <c r="E308" t="s">
        <v>300</v>
      </c>
      <c r="F308" t="s">
        <v>301</v>
      </c>
      <c r="I308">
        <v>1</v>
      </c>
      <c r="J308">
        <v>0</v>
      </c>
      <c r="K308">
        <v>0</v>
      </c>
      <c r="L308">
        <v>0</v>
      </c>
      <c r="M308">
        <v>1294</v>
      </c>
      <c r="N308" t="s">
        <v>39</v>
      </c>
      <c r="O308" t="s">
        <v>59</v>
      </c>
      <c r="Q308" t="s">
        <v>24</v>
      </c>
      <c r="T308" t="s">
        <v>25</v>
      </c>
      <c r="Y308">
        <v>247</v>
      </c>
      <c r="Z308" t="s">
        <v>562</v>
      </c>
      <c r="AC308" t="s">
        <v>42</v>
      </c>
    </row>
    <row r="309" spans="1:29">
      <c r="A309" t="s">
        <v>1079</v>
      </c>
      <c r="B309" t="s">
        <v>1080</v>
      </c>
      <c r="C309" t="s">
        <v>1081</v>
      </c>
      <c r="D309" t="s">
        <v>1082</v>
      </c>
      <c r="E309" t="s">
        <v>269</v>
      </c>
      <c r="F309" t="s">
        <v>270</v>
      </c>
      <c r="G309" t="s">
        <v>271</v>
      </c>
      <c r="H309">
        <v>4714781021777</v>
      </c>
      <c r="I309">
        <v>2</v>
      </c>
      <c r="J309">
        <v>798</v>
      </c>
      <c r="K309">
        <v>0</v>
      </c>
      <c r="L309">
        <v>0</v>
      </c>
      <c r="M309">
        <v>798</v>
      </c>
      <c r="N309" t="s">
        <v>633</v>
      </c>
      <c r="O309" t="s">
        <v>634</v>
      </c>
      <c r="Q309" t="s">
        <v>24</v>
      </c>
      <c r="T309" t="s">
        <v>635</v>
      </c>
      <c r="V309">
        <v>989411</v>
      </c>
      <c r="W309" t="s">
        <v>1083</v>
      </c>
      <c r="X309" t="s">
        <v>1084</v>
      </c>
      <c r="AC309" t="s">
        <v>27</v>
      </c>
    </row>
    <row r="310" spans="1:29">
      <c r="A310" t="s">
        <v>1085</v>
      </c>
      <c r="B310" t="s">
        <v>1086</v>
      </c>
      <c r="C310" t="s">
        <v>1087</v>
      </c>
      <c r="D310" t="s">
        <v>1088</v>
      </c>
      <c r="E310" t="s">
        <v>203</v>
      </c>
      <c r="F310" t="s">
        <v>204</v>
      </c>
      <c r="G310" t="s">
        <v>205</v>
      </c>
      <c r="H310" t="s">
        <v>206</v>
      </c>
      <c r="I310">
        <v>1</v>
      </c>
      <c r="J310">
        <v>528</v>
      </c>
      <c r="K310">
        <v>65</v>
      </c>
      <c r="L310">
        <v>0</v>
      </c>
      <c r="M310">
        <v>593</v>
      </c>
      <c r="N310" t="s">
        <v>633</v>
      </c>
      <c r="O310" t="s">
        <v>634</v>
      </c>
      <c r="Q310" t="s">
        <v>24</v>
      </c>
      <c r="T310" t="s">
        <v>635</v>
      </c>
      <c r="V310">
        <v>114369</v>
      </c>
      <c r="W310" t="s">
        <v>1089</v>
      </c>
      <c r="X310" t="s">
        <v>1090</v>
      </c>
      <c r="AC310" t="s">
        <v>27</v>
      </c>
    </row>
    <row r="311" spans="1:29">
      <c r="A311" t="s">
        <v>1091</v>
      </c>
      <c r="B311" t="s">
        <v>1092</v>
      </c>
      <c r="C311" t="s">
        <v>1093</v>
      </c>
      <c r="D311" t="s">
        <v>1094</v>
      </c>
      <c r="E311" t="s">
        <v>371</v>
      </c>
      <c r="F311" t="s">
        <v>372</v>
      </c>
      <c r="G311" t="s">
        <v>373</v>
      </c>
      <c r="H311">
        <v>4714781024716</v>
      </c>
      <c r="I311">
        <v>1</v>
      </c>
      <c r="J311">
        <v>299</v>
      </c>
      <c r="K311">
        <v>65</v>
      </c>
      <c r="L311">
        <v>0</v>
      </c>
      <c r="M311">
        <v>364</v>
      </c>
      <c r="N311" t="s">
        <v>633</v>
      </c>
      <c r="O311" t="s">
        <v>634</v>
      </c>
      <c r="Q311" t="s">
        <v>24</v>
      </c>
      <c r="T311" t="s">
        <v>635</v>
      </c>
      <c r="V311">
        <v>922751</v>
      </c>
      <c r="W311" t="s">
        <v>1095</v>
      </c>
      <c r="X311" t="s">
        <v>1096</v>
      </c>
      <c r="AC311" t="s">
        <v>27</v>
      </c>
    </row>
    <row r="312" spans="1:29">
      <c r="A312" t="s">
        <v>1097</v>
      </c>
      <c r="B312" t="s">
        <v>1098</v>
      </c>
      <c r="C312" t="s">
        <v>1099</v>
      </c>
      <c r="D312" t="s">
        <v>1100</v>
      </c>
      <c r="E312" t="s">
        <v>61</v>
      </c>
      <c r="F312" t="s">
        <v>62</v>
      </c>
      <c r="G312" t="s">
        <v>84</v>
      </c>
      <c r="H312" t="s">
        <v>85</v>
      </c>
      <c r="I312">
        <v>1</v>
      </c>
      <c r="J312">
        <v>399</v>
      </c>
      <c r="K312">
        <v>65</v>
      </c>
      <c r="L312">
        <v>0</v>
      </c>
      <c r="M312">
        <v>754</v>
      </c>
      <c r="N312" t="s">
        <v>633</v>
      </c>
      <c r="O312" t="s">
        <v>634</v>
      </c>
      <c r="Q312" t="s">
        <v>24</v>
      </c>
      <c r="T312" t="s">
        <v>635</v>
      </c>
      <c r="V312">
        <v>923307</v>
      </c>
      <c r="W312" t="s">
        <v>1101</v>
      </c>
      <c r="X312" t="s">
        <v>1102</v>
      </c>
      <c r="AC312" t="s">
        <v>27</v>
      </c>
    </row>
    <row r="313" spans="1:29">
      <c r="A313" t="s">
        <v>1097</v>
      </c>
      <c r="B313" t="s">
        <v>1098</v>
      </c>
      <c r="C313" t="s">
        <v>1099</v>
      </c>
      <c r="D313" t="s">
        <v>1100</v>
      </c>
      <c r="E313" t="s">
        <v>138</v>
      </c>
      <c r="F313" t="s">
        <v>361</v>
      </c>
      <c r="G313" t="s">
        <v>140</v>
      </c>
      <c r="H313">
        <v>4714781020954</v>
      </c>
      <c r="I313">
        <v>2</v>
      </c>
      <c r="J313">
        <v>290</v>
      </c>
      <c r="K313">
        <v>65</v>
      </c>
      <c r="L313">
        <v>0</v>
      </c>
      <c r="M313">
        <v>754</v>
      </c>
      <c r="N313" t="s">
        <v>633</v>
      </c>
      <c r="O313" t="s">
        <v>634</v>
      </c>
      <c r="Q313" t="s">
        <v>24</v>
      </c>
      <c r="T313" t="s">
        <v>635</v>
      </c>
      <c r="V313">
        <v>923307</v>
      </c>
      <c r="W313" t="s">
        <v>1101</v>
      </c>
      <c r="X313" t="s">
        <v>1102</v>
      </c>
      <c r="AC313" t="s">
        <v>27</v>
      </c>
    </row>
    <row r="314" spans="1:29">
      <c r="A314" t="s">
        <v>1103</v>
      </c>
      <c r="B314" t="s">
        <v>1104</v>
      </c>
      <c r="C314" t="s">
        <v>1105</v>
      </c>
      <c r="D314" t="s">
        <v>1106</v>
      </c>
      <c r="E314" t="s">
        <v>61</v>
      </c>
      <c r="F314" t="s">
        <v>62</v>
      </c>
      <c r="G314" t="s">
        <v>84</v>
      </c>
      <c r="H314" t="s">
        <v>85</v>
      </c>
      <c r="I314">
        <v>5</v>
      </c>
      <c r="J314">
        <v>1995</v>
      </c>
      <c r="K314">
        <v>0</v>
      </c>
      <c r="L314">
        <v>0</v>
      </c>
      <c r="M314">
        <v>6352</v>
      </c>
      <c r="N314" t="s">
        <v>633</v>
      </c>
      <c r="O314" t="s">
        <v>634</v>
      </c>
      <c r="Q314" t="s">
        <v>24</v>
      </c>
      <c r="T314" t="s">
        <v>635</v>
      </c>
      <c r="V314">
        <v>190879</v>
      </c>
      <c r="W314" t="s">
        <v>1107</v>
      </c>
      <c r="X314" t="s">
        <v>1108</v>
      </c>
      <c r="AC314" t="s">
        <v>27</v>
      </c>
    </row>
    <row r="315" spans="1:29">
      <c r="A315" t="s">
        <v>1103</v>
      </c>
      <c r="B315" t="s">
        <v>1104</v>
      </c>
      <c r="C315" t="s">
        <v>1105</v>
      </c>
      <c r="D315" t="s">
        <v>1106</v>
      </c>
      <c r="E315" t="s">
        <v>115</v>
      </c>
      <c r="F315" t="s">
        <v>116</v>
      </c>
      <c r="G315" t="s">
        <v>1109</v>
      </c>
      <c r="H315" t="s">
        <v>1110</v>
      </c>
      <c r="I315">
        <v>1</v>
      </c>
      <c r="J315">
        <v>460</v>
      </c>
      <c r="K315">
        <v>0</v>
      </c>
      <c r="L315">
        <v>0</v>
      </c>
      <c r="M315">
        <v>6352</v>
      </c>
      <c r="N315" t="s">
        <v>633</v>
      </c>
      <c r="O315" t="s">
        <v>634</v>
      </c>
      <c r="Q315" t="s">
        <v>24</v>
      </c>
      <c r="T315" t="s">
        <v>635</v>
      </c>
      <c r="V315">
        <v>190879</v>
      </c>
      <c r="W315" t="s">
        <v>1107</v>
      </c>
      <c r="X315" t="s">
        <v>1108</v>
      </c>
      <c r="AC315" t="s">
        <v>27</v>
      </c>
    </row>
    <row r="316" spans="1:29">
      <c r="A316" t="s">
        <v>1103</v>
      </c>
      <c r="B316" t="s">
        <v>1104</v>
      </c>
      <c r="C316" t="s">
        <v>1105</v>
      </c>
      <c r="D316" t="s">
        <v>1106</v>
      </c>
      <c r="E316" t="s">
        <v>115</v>
      </c>
      <c r="F316" t="s">
        <v>116</v>
      </c>
      <c r="G316" t="s">
        <v>1111</v>
      </c>
      <c r="H316" t="s">
        <v>1112</v>
      </c>
      <c r="I316">
        <v>1</v>
      </c>
      <c r="J316">
        <v>460</v>
      </c>
      <c r="K316">
        <v>0</v>
      </c>
      <c r="L316">
        <v>0</v>
      </c>
      <c r="M316">
        <v>6352</v>
      </c>
      <c r="N316" t="s">
        <v>633</v>
      </c>
      <c r="O316" t="s">
        <v>634</v>
      </c>
      <c r="Q316" t="s">
        <v>24</v>
      </c>
      <c r="T316" t="s">
        <v>635</v>
      </c>
      <c r="V316">
        <v>190879</v>
      </c>
      <c r="W316" t="s">
        <v>1107</v>
      </c>
      <c r="X316" t="s">
        <v>1108</v>
      </c>
      <c r="AC316" t="s">
        <v>27</v>
      </c>
    </row>
    <row r="317" spans="1:29">
      <c r="A317" t="s">
        <v>1103</v>
      </c>
      <c r="B317" t="s">
        <v>1104</v>
      </c>
      <c r="C317" t="s">
        <v>1105</v>
      </c>
      <c r="D317" t="s">
        <v>1106</v>
      </c>
      <c r="E317" t="s">
        <v>375</v>
      </c>
      <c r="F317" t="s">
        <v>376</v>
      </c>
      <c r="G317" t="s">
        <v>672</v>
      </c>
      <c r="H317" t="s">
        <v>673</v>
      </c>
      <c r="I317">
        <v>1</v>
      </c>
      <c r="J317">
        <v>480</v>
      </c>
      <c r="K317">
        <v>0</v>
      </c>
      <c r="L317">
        <v>0</v>
      </c>
      <c r="M317">
        <v>6352</v>
      </c>
      <c r="N317" t="s">
        <v>633</v>
      </c>
      <c r="O317" t="s">
        <v>634</v>
      </c>
      <c r="Q317" t="s">
        <v>24</v>
      </c>
      <c r="T317" t="s">
        <v>635</v>
      </c>
      <c r="V317">
        <v>190879</v>
      </c>
      <c r="W317" t="s">
        <v>1107</v>
      </c>
      <c r="X317" t="s">
        <v>1108</v>
      </c>
      <c r="AC317" t="s">
        <v>27</v>
      </c>
    </row>
    <row r="318" spans="1:29">
      <c r="A318" t="s">
        <v>1103</v>
      </c>
      <c r="B318" t="s">
        <v>1104</v>
      </c>
      <c r="C318" t="s">
        <v>1105</v>
      </c>
      <c r="D318" t="s">
        <v>1106</v>
      </c>
      <c r="E318" t="s">
        <v>375</v>
      </c>
      <c r="F318" t="s">
        <v>376</v>
      </c>
      <c r="G318" t="s">
        <v>656</v>
      </c>
      <c r="H318" t="s">
        <v>657</v>
      </c>
      <c r="I318">
        <v>1</v>
      </c>
      <c r="J318">
        <v>480</v>
      </c>
      <c r="K318">
        <v>0</v>
      </c>
      <c r="L318">
        <v>0</v>
      </c>
      <c r="M318">
        <v>6352</v>
      </c>
      <c r="N318" t="s">
        <v>633</v>
      </c>
      <c r="O318" t="s">
        <v>634</v>
      </c>
      <c r="Q318" t="s">
        <v>24</v>
      </c>
      <c r="T318" t="s">
        <v>635</v>
      </c>
      <c r="V318">
        <v>190879</v>
      </c>
      <c r="W318" t="s">
        <v>1107</v>
      </c>
      <c r="X318" t="s">
        <v>1108</v>
      </c>
      <c r="AC318" t="s">
        <v>27</v>
      </c>
    </row>
    <row r="319" spans="1:29">
      <c r="A319" t="s">
        <v>1103</v>
      </c>
      <c r="B319" t="s">
        <v>1104</v>
      </c>
      <c r="C319" t="s">
        <v>1105</v>
      </c>
      <c r="D319" t="s">
        <v>1106</v>
      </c>
      <c r="E319" t="s">
        <v>315</v>
      </c>
      <c r="F319" t="s">
        <v>316</v>
      </c>
      <c r="G319" t="s">
        <v>317</v>
      </c>
      <c r="H319" t="s">
        <v>318</v>
      </c>
      <c r="I319">
        <v>2</v>
      </c>
      <c r="J319">
        <v>560</v>
      </c>
      <c r="K319">
        <v>0</v>
      </c>
      <c r="L319">
        <v>0</v>
      </c>
      <c r="M319">
        <v>6352</v>
      </c>
      <c r="N319" t="s">
        <v>633</v>
      </c>
      <c r="O319" t="s">
        <v>634</v>
      </c>
      <c r="Q319" t="s">
        <v>24</v>
      </c>
      <c r="T319" t="s">
        <v>635</v>
      </c>
      <c r="V319">
        <v>190879</v>
      </c>
      <c r="W319" t="s">
        <v>1107</v>
      </c>
      <c r="X319" t="s">
        <v>1108</v>
      </c>
      <c r="AC319" t="s">
        <v>27</v>
      </c>
    </row>
    <row r="320" spans="1:29">
      <c r="A320" t="s">
        <v>1103</v>
      </c>
      <c r="B320" t="s">
        <v>1104</v>
      </c>
      <c r="C320" t="s">
        <v>1105</v>
      </c>
      <c r="D320" t="s">
        <v>1106</v>
      </c>
      <c r="E320" t="s">
        <v>541</v>
      </c>
      <c r="F320" t="s">
        <v>542</v>
      </c>
      <c r="G320" t="s">
        <v>543</v>
      </c>
      <c r="H320" t="s">
        <v>544</v>
      </c>
      <c r="I320">
        <v>1</v>
      </c>
      <c r="J320">
        <v>570</v>
      </c>
      <c r="K320">
        <v>0</v>
      </c>
      <c r="L320">
        <v>0</v>
      </c>
      <c r="M320">
        <v>6352</v>
      </c>
      <c r="N320" t="s">
        <v>633</v>
      </c>
      <c r="O320" t="s">
        <v>634</v>
      </c>
      <c r="Q320" t="s">
        <v>24</v>
      </c>
      <c r="T320" t="s">
        <v>635</v>
      </c>
      <c r="V320">
        <v>190879</v>
      </c>
      <c r="W320" t="s">
        <v>1107</v>
      </c>
      <c r="X320" t="s">
        <v>1108</v>
      </c>
      <c r="AC320" t="s">
        <v>27</v>
      </c>
    </row>
    <row r="321" spans="1:29">
      <c r="A321" t="s">
        <v>1103</v>
      </c>
      <c r="B321" t="s">
        <v>1104</v>
      </c>
      <c r="C321" t="s">
        <v>1105</v>
      </c>
      <c r="D321" t="s">
        <v>1106</v>
      </c>
      <c r="E321" t="s">
        <v>55</v>
      </c>
      <c r="F321" t="s">
        <v>56</v>
      </c>
      <c r="G321" t="s">
        <v>97</v>
      </c>
      <c r="H321" t="s">
        <v>98</v>
      </c>
      <c r="I321">
        <v>1</v>
      </c>
      <c r="J321">
        <v>450</v>
      </c>
      <c r="K321">
        <v>0</v>
      </c>
      <c r="L321">
        <v>0</v>
      </c>
      <c r="M321">
        <v>6352</v>
      </c>
      <c r="N321" t="s">
        <v>633</v>
      </c>
      <c r="O321" t="s">
        <v>634</v>
      </c>
      <c r="Q321" t="s">
        <v>24</v>
      </c>
      <c r="T321" t="s">
        <v>635</v>
      </c>
      <c r="V321">
        <v>190879</v>
      </c>
      <c r="W321" t="s">
        <v>1107</v>
      </c>
      <c r="X321" t="s">
        <v>1108</v>
      </c>
      <c r="AC321" t="s">
        <v>27</v>
      </c>
    </row>
    <row r="322" spans="1:29">
      <c r="A322" t="s">
        <v>1103</v>
      </c>
      <c r="B322" t="s">
        <v>1104</v>
      </c>
      <c r="C322" t="s">
        <v>1105</v>
      </c>
      <c r="D322" t="s">
        <v>1106</v>
      </c>
      <c r="E322" t="s">
        <v>545</v>
      </c>
      <c r="F322" t="s">
        <v>546</v>
      </c>
      <c r="G322" t="s">
        <v>547</v>
      </c>
      <c r="H322" t="s">
        <v>548</v>
      </c>
      <c r="I322">
        <v>1</v>
      </c>
      <c r="J322">
        <v>390</v>
      </c>
      <c r="K322">
        <v>0</v>
      </c>
      <c r="L322">
        <v>0</v>
      </c>
      <c r="M322">
        <v>6352</v>
      </c>
      <c r="N322" t="s">
        <v>633</v>
      </c>
      <c r="O322" t="s">
        <v>634</v>
      </c>
      <c r="Q322" t="s">
        <v>24</v>
      </c>
      <c r="T322" t="s">
        <v>635</v>
      </c>
      <c r="V322">
        <v>190879</v>
      </c>
      <c r="W322" t="s">
        <v>1107</v>
      </c>
      <c r="X322" t="s">
        <v>1108</v>
      </c>
      <c r="AC322" t="s">
        <v>27</v>
      </c>
    </row>
    <row r="323" spans="1:29">
      <c r="A323" t="s">
        <v>1103</v>
      </c>
      <c r="B323" t="s">
        <v>1104</v>
      </c>
      <c r="C323" t="s">
        <v>1105</v>
      </c>
      <c r="D323" t="s">
        <v>1106</v>
      </c>
      <c r="E323" t="s">
        <v>35</v>
      </c>
      <c r="F323" t="s">
        <v>36</v>
      </c>
      <c r="G323" t="s">
        <v>1113</v>
      </c>
      <c r="H323" t="s">
        <v>1114</v>
      </c>
      <c r="I323">
        <v>1</v>
      </c>
      <c r="J323">
        <v>748</v>
      </c>
      <c r="K323">
        <v>0</v>
      </c>
      <c r="L323">
        <v>0</v>
      </c>
      <c r="M323">
        <v>6352</v>
      </c>
      <c r="N323" t="s">
        <v>633</v>
      </c>
      <c r="O323" t="s">
        <v>634</v>
      </c>
      <c r="Q323" t="s">
        <v>24</v>
      </c>
      <c r="T323" t="s">
        <v>635</v>
      </c>
      <c r="V323">
        <v>190879</v>
      </c>
      <c r="W323" t="s">
        <v>1107</v>
      </c>
      <c r="X323" t="s">
        <v>1108</v>
      </c>
      <c r="AC323" t="s">
        <v>27</v>
      </c>
    </row>
    <row r="324" spans="1:29">
      <c r="A324" t="s">
        <v>1103</v>
      </c>
      <c r="B324" t="s">
        <v>1104</v>
      </c>
      <c r="C324" t="s">
        <v>1105</v>
      </c>
      <c r="D324" t="s">
        <v>1106</v>
      </c>
      <c r="E324" t="s">
        <v>86</v>
      </c>
      <c r="F324" t="s">
        <v>87</v>
      </c>
      <c r="G324" t="s">
        <v>88</v>
      </c>
      <c r="H324">
        <v>4714781021234</v>
      </c>
      <c r="I324">
        <v>1</v>
      </c>
      <c r="J324">
        <v>59</v>
      </c>
      <c r="K324">
        <v>0</v>
      </c>
      <c r="L324">
        <v>0</v>
      </c>
      <c r="M324">
        <v>6352</v>
      </c>
      <c r="N324" t="s">
        <v>633</v>
      </c>
      <c r="O324" t="s">
        <v>634</v>
      </c>
      <c r="Q324" t="s">
        <v>24</v>
      </c>
      <c r="T324" t="s">
        <v>635</v>
      </c>
      <c r="V324">
        <v>190879</v>
      </c>
      <c r="W324" t="s">
        <v>1107</v>
      </c>
      <c r="X324" t="s">
        <v>1108</v>
      </c>
      <c r="AC324" t="s">
        <v>27</v>
      </c>
    </row>
    <row r="325" spans="1:29">
      <c r="A325" t="s">
        <v>1103</v>
      </c>
      <c r="B325" t="s">
        <v>1104</v>
      </c>
      <c r="C325" t="s">
        <v>1105</v>
      </c>
      <c r="D325" t="s">
        <v>1106</v>
      </c>
      <c r="E325" t="s">
        <v>45</v>
      </c>
      <c r="F325" t="s">
        <v>46</v>
      </c>
      <c r="G325" t="s">
        <v>47</v>
      </c>
      <c r="I325">
        <v>1</v>
      </c>
      <c r="J325">
        <v>-300</v>
      </c>
      <c r="K325">
        <v>0</v>
      </c>
      <c r="L325">
        <v>0</v>
      </c>
      <c r="M325">
        <v>6352</v>
      </c>
      <c r="N325" t="s">
        <v>633</v>
      </c>
      <c r="O325" t="s">
        <v>634</v>
      </c>
      <c r="Q325" t="s">
        <v>24</v>
      </c>
      <c r="T325" t="s">
        <v>635</v>
      </c>
      <c r="V325">
        <v>190879</v>
      </c>
      <c r="W325" t="s">
        <v>1107</v>
      </c>
      <c r="X325" t="s">
        <v>1108</v>
      </c>
      <c r="AC325" t="s">
        <v>27</v>
      </c>
    </row>
    <row r="326" spans="1:29">
      <c r="A326" t="s">
        <v>1103</v>
      </c>
      <c r="B326" t="s">
        <v>1104</v>
      </c>
      <c r="C326" t="s">
        <v>1105</v>
      </c>
      <c r="D326" t="s">
        <v>1106</v>
      </c>
      <c r="E326" t="s">
        <v>48</v>
      </c>
      <c r="F326" t="s">
        <v>49</v>
      </c>
      <c r="G326" t="s">
        <v>50</v>
      </c>
      <c r="I326">
        <v>1</v>
      </c>
      <c r="J326">
        <v>330</v>
      </c>
      <c r="K326">
        <v>0</v>
      </c>
      <c r="L326">
        <v>0</v>
      </c>
      <c r="M326">
        <v>6352</v>
      </c>
      <c r="N326" t="s">
        <v>633</v>
      </c>
      <c r="O326" t="s">
        <v>634</v>
      </c>
      <c r="Q326" t="s">
        <v>24</v>
      </c>
      <c r="T326" t="s">
        <v>635</v>
      </c>
      <c r="V326">
        <v>190879</v>
      </c>
      <c r="W326" t="s">
        <v>1107</v>
      </c>
      <c r="X326" t="s">
        <v>1108</v>
      </c>
      <c r="AC326" t="s">
        <v>27</v>
      </c>
    </row>
    <row r="327" spans="1:29">
      <c r="A327" t="s">
        <v>549</v>
      </c>
      <c r="B327" t="s">
        <v>550</v>
      </c>
      <c r="C327" t="s">
        <v>551</v>
      </c>
      <c r="D327" t="s">
        <v>552</v>
      </c>
      <c r="E327" t="s">
        <v>61</v>
      </c>
      <c r="F327" t="s">
        <v>62</v>
      </c>
      <c r="G327" t="s">
        <v>84</v>
      </c>
      <c r="H327" t="s">
        <v>85</v>
      </c>
      <c r="I327">
        <v>1</v>
      </c>
      <c r="J327">
        <v>399</v>
      </c>
      <c r="K327">
        <v>0</v>
      </c>
      <c r="L327">
        <v>0</v>
      </c>
      <c r="M327">
        <v>853</v>
      </c>
      <c r="N327" t="s">
        <v>22</v>
      </c>
      <c r="O327" t="s">
        <v>23</v>
      </c>
      <c r="Q327" t="s">
        <v>24</v>
      </c>
      <c r="T327" t="s">
        <v>25</v>
      </c>
      <c r="Y327">
        <v>244</v>
      </c>
      <c r="Z327" t="s">
        <v>553</v>
      </c>
      <c r="AC327" t="s">
        <v>27</v>
      </c>
    </row>
    <row r="328" spans="1:29">
      <c r="A328" t="s">
        <v>549</v>
      </c>
      <c r="B328" t="s">
        <v>550</v>
      </c>
      <c r="C328" t="s">
        <v>551</v>
      </c>
      <c r="D328" t="s">
        <v>552</v>
      </c>
      <c r="E328" t="s">
        <v>478</v>
      </c>
      <c r="F328" t="s">
        <v>479</v>
      </c>
      <c r="G328" t="s">
        <v>480</v>
      </c>
      <c r="H328">
        <v>4714781020466</v>
      </c>
      <c r="I328">
        <v>1</v>
      </c>
      <c r="J328">
        <v>168</v>
      </c>
      <c r="K328">
        <v>0</v>
      </c>
      <c r="L328">
        <v>0</v>
      </c>
      <c r="M328">
        <v>853</v>
      </c>
      <c r="N328" t="s">
        <v>22</v>
      </c>
      <c r="O328" t="s">
        <v>23</v>
      </c>
      <c r="Q328" t="s">
        <v>24</v>
      </c>
      <c r="T328" t="s">
        <v>25</v>
      </c>
      <c r="Y328">
        <v>244</v>
      </c>
      <c r="Z328" t="s">
        <v>553</v>
      </c>
      <c r="AC328" t="s">
        <v>27</v>
      </c>
    </row>
    <row r="329" spans="1:29">
      <c r="A329" t="s">
        <v>549</v>
      </c>
      <c r="B329" t="s">
        <v>550</v>
      </c>
      <c r="C329" t="s">
        <v>551</v>
      </c>
      <c r="D329" t="s">
        <v>552</v>
      </c>
      <c r="E329" t="s">
        <v>350</v>
      </c>
      <c r="F329" t="s">
        <v>351</v>
      </c>
      <c r="G329" t="s">
        <v>352</v>
      </c>
      <c r="H329">
        <v>4714781020503</v>
      </c>
      <c r="I329">
        <v>1</v>
      </c>
      <c r="J329">
        <v>168</v>
      </c>
      <c r="K329">
        <v>0</v>
      </c>
      <c r="L329">
        <v>0</v>
      </c>
      <c r="M329">
        <v>853</v>
      </c>
      <c r="N329" t="s">
        <v>22</v>
      </c>
      <c r="O329" t="s">
        <v>23</v>
      </c>
      <c r="Q329" t="s">
        <v>24</v>
      </c>
      <c r="T329" t="s">
        <v>25</v>
      </c>
      <c r="Y329">
        <v>244</v>
      </c>
      <c r="Z329" t="s">
        <v>553</v>
      </c>
      <c r="AC329" t="s">
        <v>27</v>
      </c>
    </row>
    <row r="330" spans="1:29">
      <c r="A330" t="s">
        <v>549</v>
      </c>
      <c r="B330" t="s">
        <v>550</v>
      </c>
      <c r="C330" t="s">
        <v>551</v>
      </c>
      <c r="D330" t="s">
        <v>552</v>
      </c>
      <c r="E330" t="s">
        <v>521</v>
      </c>
      <c r="F330" t="s">
        <v>522</v>
      </c>
      <c r="G330" t="s">
        <v>523</v>
      </c>
      <c r="H330">
        <v>4714781021227</v>
      </c>
      <c r="I330">
        <v>1</v>
      </c>
      <c r="J330">
        <v>59</v>
      </c>
      <c r="K330">
        <v>0</v>
      </c>
      <c r="L330">
        <v>0</v>
      </c>
      <c r="M330">
        <v>853</v>
      </c>
      <c r="N330" t="s">
        <v>22</v>
      </c>
      <c r="O330" t="s">
        <v>23</v>
      </c>
      <c r="Q330" t="s">
        <v>24</v>
      </c>
      <c r="T330" t="s">
        <v>25</v>
      </c>
      <c r="Y330">
        <v>244</v>
      </c>
      <c r="Z330" t="s">
        <v>553</v>
      </c>
      <c r="AC330" t="s">
        <v>27</v>
      </c>
    </row>
    <row r="331" spans="1:29">
      <c r="A331" t="s">
        <v>549</v>
      </c>
      <c r="B331" t="s">
        <v>550</v>
      </c>
      <c r="C331" t="s">
        <v>551</v>
      </c>
      <c r="D331" t="s">
        <v>552</v>
      </c>
      <c r="E331" t="s">
        <v>86</v>
      </c>
      <c r="F331" t="s">
        <v>87</v>
      </c>
      <c r="G331" t="s">
        <v>88</v>
      </c>
      <c r="H331">
        <v>4714781021234</v>
      </c>
      <c r="I331">
        <v>1</v>
      </c>
      <c r="J331">
        <v>59</v>
      </c>
      <c r="K331">
        <v>0</v>
      </c>
      <c r="L331">
        <v>0</v>
      </c>
      <c r="M331">
        <v>853</v>
      </c>
      <c r="N331" t="s">
        <v>22</v>
      </c>
      <c r="O331" t="s">
        <v>23</v>
      </c>
      <c r="Q331" t="s">
        <v>24</v>
      </c>
      <c r="T331" t="s">
        <v>25</v>
      </c>
      <c r="Y331">
        <v>244</v>
      </c>
      <c r="Z331" t="s">
        <v>553</v>
      </c>
      <c r="AC331" t="s">
        <v>27</v>
      </c>
    </row>
    <row r="332" spans="1:29">
      <c r="A332" t="s">
        <v>1115</v>
      </c>
      <c r="B332" t="s">
        <v>1116</v>
      </c>
      <c r="C332" t="s">
        <v>1117</v>
      </c>
      <c r="D332" t="s">
        <v>1118</v>
      </c>
      <c r="E332" t="s">
        <v>203</v>
      </c>
      <c r="F332" t="s">
        <v>204</v>
      </c>
      <c r="G332" t="s">
        <v>205</v>
      </c>
      <c r="H332" t="s">
        <v>206</v>
      </c>
      <c r="I332">
        <v>1</v>
      </c>
      <c r="J332">
        <v>528</v>
      </c>
      <c r="K332">
        <v>65</v>
      </c>
      <c r="L332">
        <v>0</v>
      </c>
      <c r="M332">
        <v>593</v>
      </c>
      <c r="N332" t="s">
        <v>633</v>
      </c>
      <c r="O332" t="s">
        <v>634</v>
      </c>
      <c r="Q332" t="s">
        <v>24</v>
      </c>
      <c r="T332" t="s">
        <v>635</v>
      </c>
      <c r="V332">
        <v>212014</v>
      </c>
      <c r="W332" t="s">
        <v>1119</v>
      </c>
      <c r="X332" t="s">
        <v>1120</v>
      </c>
      <c r="AC332" t="s">
        <v>27</v>
      </c>
    </row>
    <row r="333" spans="1:29">
      <c r="A333" t="s">
        <v>1121</v>
      </c>
      <c r="B333" t="s">
        <v>1122</v>
      </c>
      <c r="C333" t="s">
        <v>1123</v>
      </c>
      <c r="D333" t="s">
        <v>1124</v>
      </c>
      <c r="E333" t="s">
        <v>273</v>
      </c>
      <c r="F333" t="s">
        <v>274</v>
      </c>
      <c r="G333" t="s">
        <v>275</v>
      </c>
      <c r="H333">
        <v>4714781020282</v>
      </c>
      <c r="I333">
        <v>1</v>
      </c>
      <c r="J333">
        <v>299</v>
      </c>
      <c r="K333">
        <v>0</v>
      </c>
      <c r="L333">
        <v>0</v>
      </c>
      <c r="M333">
        <v>897</v>
      </c>
      <c r="N333" t="s">
        <v>633</v>
      </c>
      <c r="O333" t="s">
        <v>40</v>
      </c>
      <c r="Q333" t="s">
        <v>24</v>
      </c>
      <c r="T333" t="s">
        <v>635</v>
      </c>
      <c r="V333">
        <v>159384</v>
      </c>
      <c r="W333" t="s">
        <v>1125</v>
      </c>
      <c r="X333" t="s">
        <v>1126</v>
      </c>
      <c r="AC333" t="s">
        <v>42</v>
      </c>
    </row>
    <row r="334" spans="1:29">
      <c r="A334" t="s">
        <v>1121</v>
      </c>
      <c r="B334" t="s">
        <v>1122</v>
      </c>
      <c r="C334" t="s">
        <v>1123</v>
      </c>
      <c r="D334" t="s">
        <v>1124</v>
      </c>
      <c r="E334" t="s">
        <v>371</v>
      </c>
      <c r="F334" t="s">
        <v>372</v>
      </c>
      <c r="G334" t="s">
        <v>373</v>
      </c>
      <c r="H334">
        <v>4714781024716</v>
      </c>
      <c r="I334">
        <v>1</v>
      </c>
      <c r="J334">
        <v>299</v>
      </c>
      <c r="K334">
        <v>0</v>
      </c>
      <c r="L334">
        <v>0</v>
      </c>
      <c r="M334">
        <v>897</v>
      </c>
      <c r="N334" t="s">
        <v>633</v>
      </c>
      <c r="O334" t="s">
        <v>40</v>
      </c>
      <c r="Q334" t="s">
        <v>24</v>
      </c>
      <c r="T334" t="s">
        <v>635</v>
      </c>
      <c r="V334">
        <v>159384</v>
      </c>
      <c r="W334" t="s">
        <v>1125</v>
      </c>
      <c r="X334" t="s">
        <v>1126</v>
      </c>
      <c r="AC334" t="s">
        <v>42</v>
      </c>
    </row>
    <row r="335" spans="1:29">
      <c r="A335" t="s">
        <v>1121</v>
      </c>
      <c r="B335" t="s">
        <v>1122</v>
      </c>
      <c r="C335" t="s">
        <v>1123</v>
      </c>
      <c r="D335" t="s">
        <v>1124</v>
      </c>
      <c r="E335" t="s">
        <v>262</v>
      </c>
      <c r="F335" t="s">
        <v>263</v>
      </c>
      <c r="G335" t="s">
        <v>264</v>
      </c>
      <c r="H335">
        <v>4714781024730</v>
      </c>
      <c r="I335">
        <v>1</v>
      </c>
      <c r="J335">
        <v>299</v>
      </c>
      <c r="K335">
        <v>0</v>
      </c>
      <c r="L335">
        <v>0</v>
      </c>
      <c r="M335">
        <v>897</v>
      </c>
      <c r="N335" t="s">
        <v>633</v>
      </c>
      <c r="O335" t="s">
        <v>40</v>
      </c>
      <c r="Q335" t="s">
        <v>24</v>
      </c>
      <c r="T335" t="s">
        <v>635</v>
      </c>
      <c r="V335">
        <v>159384</v>
      </c>
      <c r="W335" t="s">
        <v>1125</v>
      </c>
      <c r="X335" t="s">
        <v>1126</v>
      </c>
      <c r="AC335" t="s">
        <v>42</v>
      </c>
    </row>
    <row r="336" spans="1:29">
      <c r="A336" t="s">
        <v>1127</v>
      </c>
      <c r="B336" t="s">
        <v>1128</v>
      </c>
      <c r="C336" t="s">
        <v>1129</v>
      </c>
      <c r="D336" t="s">
        <v>1130</v>
      </c>
      <c r="E336" t="s">
        <v>55</v>
      </c>
      <c r="F336" t="s">
        <v>56</v>
      </c>
      <c r="G336" t="s">
        <v>97</v>
      </c>
      <c r="H336" t="s">
        <v>98</v>
      </c>
      <c r="I336">
        <v>1</v>
      </c>
      <c r="J336">
        <v>450</v>
      </c>
      <c r="K336">
        <v>0</v>
      </c>
      <c r="L336">
        <v>0</v>
      </c>
      <c r="M336">
        <v>1835</v>
      </c>
      <c r="N336" t="s">
        <v>633</v>
      </c>
      <c r="O336" t="s">
        <v>40</v>
      </c>
      <c r="Q336" t="s">
        <v>24</v>
      </c>
      <c r="T336" t="s">
        <v>635</v>
      </c>
      <c r="V336">
        <v>161181</v>
      </c>
      <c r="W336" t="s">
        <v>1131</v>
      </c>
      <c r="X336" t="s">
        <v>1132</v>
      </c>
      <c r="AC336" t="s">
        <v>42</v>
      </c>
    </row>
    <row r="337" spans="1:29">
      <c r="A337" t="s">
        <v>1127</v>
      </c>
      <c r="B337" t="s">
        <v>1128</v>
      </c>
      <c r="C337" t="s">
        <v>1129</v>
      </c>
      <c r="D337" t="s">
        <v>1130</v>
      </c>
      <c r="E337" t="s">
        <v>35</v>
      </c>
      <c r="F337" t="s">
        <v>36</v>
      </c>
      <c r="G337" t="s">
        <v>1133</v>
      </c>
      <c r="H337" t="s">
        <v>1134</v>
      </c>
      <c r="I337">
        <v>1</v>
      </c>
      <c r="J337">
        <v>748</v>
      </c>
      <c r="K337">
        <v>0</v>
      </c>
      <c r="L337">
        <v>0</v>
      </c>
      <c r="M337">
        <v>1835</v>
      </c>
      <c r="N337" t="s">
        <v>633</v>
      </c>
      <c r="O337" t="s">
        <v>40</v>
      </c>
      <c r="Q337" t="s">
        <v>24</v>
      </c>
      <c r="T337" t="s">
        <v>635</v>
      </c>
      <c r="V337">
        <v>161181</v>
      </c>
      <c r="W337" t="s">
        <v>1131</v>
      </c>
      <c r="X337" t="s">
        <v>1132</v>
      </c>
      <c r="AC337" t="s">
        <v>42</v>
      </c>
    </row>
    <row r="338" spans="1:29">
      <c r="A338" t="s">
        <v>1127</v>
      </c>
      <c r="B338" t="s">
        <v>1128</v>
      </c>
      <c r="C338" t="s">
        <v>1129</v>
      </c>
      <c r="D338" t="s">
        <v>1130</v>
      </c>
      <c r="E338" t="s">
        <v>1135</v>
      </c>
      <c r="F338" t="s">
        <v>1136</v>
      </c>
      <c r="G338" t="s">
        <v>1137</v>
      </c>
      <c r="H338" t="s">
        <v>1138</v>
      </c>
      <c r="I338">
        <v>1</v>
      </c>
      <c r="J338">
        <v>597</v>
      </c>
      <c r="K338">
        <v>0</v>
      </c>
      <c r="L338">
        <v>0</v>
      </c>
      <c r="M338">
        <v>1835</v>
      </c>
      <c r="N338" t="s">
        <v>633</v>
      </c>
      <c r="O338" t="s">
        <v>40</v>
      </c>
      <c r="Q338" t="s">
        <v>24</v>
      </c>
      <c r="T338" t="s">
        <v>635</v>
      </c>
      <c r="V338">
        <v>161181</v>
      </c>
      <c r="W338" t="s">
        <v>1131</v>
      </c>
      <c r="X338" t="s">
        <v>1132</v>
      </c>
      <c r="AC338" t="s">
        <v>42</v>
      </c>
    </row>
    <row r="339" spans="1:29">
      <c r="A339" t="s">
        <v>1127</v>
      </c>
      <c r="B339" t="s">
        <v>1128</v>
      </c>
      <c r="C339" t="s">
        <v>1129</v>
      </c>
      <c r="D339" t="s">
        <v>1130</v>
      </c>
      <c r="E339" t="s">
        <v>521</v>
      </c>
      <c r="F339" t="s">
        <v>522</v>
      </c>
      <c r="G339" t="s">
        <v>523</v>
      </c>
      <c r="H339">
        <v>4714781021227</v>
      </c>
      <c r="I339">
        <v>1</v>
      </c>
      <c r="J339">
        <v>59</v>
      </c>
      <c r="K339">
        <v>0</v>
      </c>
      <c r="L339">
        <v>0</v>
      </c>
      <c r="M339">
        <v>1835</v>
      </c>
      <c r="N339" t="s">
        <v>633</v>
      </c>
      <c r="O339" t="s">
        <v>40</v>
      </c>
      <c r="Q339" t="s">
        <v>24</v>
      </c>
      <c r="T339" t="s">
        <v>635</v>
      </c>
      <c r="V339">
        <v>161181</v>
      </c>
      <c r="W339" t="s">
        <v>1131</v>
      </c>
      <c r="X339" t="s">
        <v>1132</v>
      </c>
      <c r="AC339" t="s">
        <v>42</v>
      </c>
    </row>
    <row r="340" spans="1:29">
      <c r="A340" t="s">
        <v>1127</v>
      </c>
      <c r="B340" t="s">
        <v>1128</v>
      </c>
      <c r="C340" t="s">
        <v>1129</v>
      </c>
      <c r="D340" t="s">
        <v>1130</v>
      </c>
      <c r="E340" t="s">
        <v>438</v>
      </c>
      <c r="F340" t="s">
        <v>872</v>
      </c>
      <c r="G340" t="s">
        <v>440</v>
      </c>
      <c r="H340">
        <v>4714781021241</v>
      </c>
      <c r="I340">
        <v>1</v>
      </c>
      <c r="J340">
        <v>59</v>
      </c>
      <c r="K340">
        <v>0</v>
      </c>
      <c r="L340">
        <v>0</v>
      </c>
      <c r="M340">
        <v>1835</v>
      </c>
      <c r="N340" t="s">
        <v>633</v>
      </c>
      <c r="O340" t="s">
        <v>40</v>
      </c>
      <c r="Q340" t="s">
        <v>24</v>
      </c>
      <c r="T340" t="s">
        <v>635</v>
      </c>
      <c r="V340">
        <v>161181</v>
      </c>
      <c r="W340" t="s">
        <v>1131</v>
      </c>
      <c r="X340" t="s">
        <v>1132</v>
      </c>
      <c r="AC340" t="s">
        <v>42</v>
      </c>
    </row>
    <row r="341" spans="1:29">
      <c r="A341" t="s">
        <v>1127</v>
      </c>
      <c r="B341" t="s">
        <v>1128</v>
      </c>
      <c r="C341" t="s">
        <v>1129</v>
      </c>
      <c r="D341" t="s">
        <v>1130</v>
      </c>
      <c r="E341" t="s">
        <v>86</v>
      </c>
      <c r="F341" t="s">
        <v>87</v>
      </c>
      <c r="G341" t="s">
        <v>88</v>
      </c>
      <c r="H341">
        <v>4714781021234</v>
      </c>
      <c r="I341">
        <v>1</v>
      </c>
      <c r="J341">
        <v>59</v>
      </c>
      <c r="K341">
        <v>0</v>
      </c>
      <c r="L341">
        <v>0</v>
      </c>
      <c r="M341">
        <v>1835</v>
      </c>
      <c r="N341" t="s">
        <v>633</v>
      </c>
      <c r="O341" t="s">
        <v>40</v>
      </c>
      <c r="Q341" t="s">
        <v>24</v>
      </c>
      <c r="T341" t="s">
        <v>635</v>
      </c>
      <c r="V341">
        <v>161181</v>
      </c>
      <c r="W341" t="s">
        <v>1131</v>
      </c>
      <c r="X341" t="s">
        <v>1132</v>
      </c>
      <c r="AC341" t="s">
        <v>42</v>
      </c>
    </row>
    <row r="342" spans="1:29">
      <c r="A342" t="s">
        <v>1127</v>
      </c>
      <c r="B342" t="s">
        <v>1128</v>
      </c>
      <c r="C342" t="s">
        <v>1129</v>
      </c>
      <c r="D342" t="s">
        <v>1130</v>
      </c>
      <c r="E342" t="s">
        <v>108</v>
      </c>
      <c r="F342" t="s">
        <v>109</v>
      </c>
      <c r="G342" t="s">
        <v>110</v>
      </c>
      <c r="I342">
        <v>1</v>
      </c>
      <c r="J342">
        <v>-50</v>
      </c>
      <c r="K342">
        <v>0</v>
      </c>
      <c r="L342">
        <v>0</v>
      </c>
      <c r="M342">
        <v>1835</v>
      </c>
      <c r="N342" t="s">
        <v>633</v>
      </c>
      <c r="O342" t="s">
        <v>40</v>
      </c>
      <c r="Q342" t="s">
        <v>24</v>
      </c>
      <c r="T342" t="s">
        <v>635</v>
      </c>
      <c r="V342">
        <v>161181</v>
      </c>
      <c r="W342" t="s">
        <v>1131</v>
      </c>
      <c r="X342" t="s">
        <v>1132</v>
      </c>
      <c r="AC342" t="s">
        <v>42</v>
      </c>
    </row>
    <row r="343" spans="1:29">
      <c r="A343" t="s">
        <v>1127</v>
      </c>
      <c r="B343" t="s">
        <v>1128</v>
      </c>
      <c r="C343" t="s">
        <v>1129</v>
      </c>
      <c r="D343" t="s">
        <v>1130</v>
      </c>
      <c r="E343" t="s">
        <v>45</v>
      </c>
      <c r="F343" t="s">
        <v>46</v>
      </c>
      <c r="G343" t="s">
        <v>47</v>
      </c>
      <c r="I343">
        <v>1</v>
      </c>
      <c r="J343">
        <v>-87</v>
      </c>
      <c r="K343">
        <v>0</v>
      </c>
      <c r="L343">
        <v>0</v>
      </c>
      <c r="M343">
        <v>1835</v>
      </c>
      <c r="N343" t="s">
        <v>633</v>
      </c>
      <c r="O343" t="s">
        <v>40</v>
      </c>
      <c r="Q343" t="s">
        <v>24</v>
      </c>
      <c r="T343" t="s">
        <v>635</v>
      </c>
      <c r="V343">
        <v>161181</v>
      </c>
      <c r="W343" t="s">
        <v>1131</v>
      </c>
      <c r="X343" t="s">
        <v>1132</v>
      </c>
      <c r="AC343" t="s">
        <v>42</v>
      </c>
    </row>
    <row r="344" spans="1:29">
      <c r="A344" t="s">
        <v>1127</v>
      </c>
      <c r="B344" t="s">
        <v>1128</v>
      </c>
      <c r="C344" t="s">
        <v>1129</v>
      </c>
      <c r="D344" t="s">
        <v>1130</v>
      </c>
      <c r="E344" t="s">
        <v>48</v>
      </c>
      <c r="F344" t="s">
        <v>49</v>
      </c>
      <c r="G344" t="s">
        <v>50</v>
      </c>
      <c r="I344">
        <v>1</v>
      </c>
      <c r="J344">
        <v>87</v>
      </c>
      <c r="K344">
        <v>0</v>
      </c>
      <c r="L344">
        <v>0</v>
      </c>
      <c r="M344">
        <v>1835</v>
      </c>
      <c r="N344" t="s">
        <v>633</v>
      </c>
      <c r="O344" t="s">
        <v>40</v>
      </c>
      <c r="Q344" t="s">
        <v>24</v>
      </c>
      <c r="T344" t="s">
        <v>635</v>
      </c>
      <c r="V344">
        <v>161181</v>
      </c>
      <c r="W344" t="s">
        <v>1131</v>
      </c>
      <c r="X344" t="s">
        <v>1132</v>
      </c>
      <c r="AC344" t="s">
        <v>42</v>
      </c>
    </row>
    <row r="345" spans="1:29">
      <c r="A345" t="s">
        <v>536</v>
      </c>
      <c r="B345" t="s">
        <v>537</v>
      </c>
      <c r="C345" t="s">
        <v>538</v>
      </c>
      <c r="D345" t="s">
        <v>539</v>
      </c>
      <c r="E345" t="s">
        <v>61</v>
      </c>
      <c r="F345" t="s">
        <v>62</v>
      </c>
      <c r="G345" t="s">
        <v>84</v>
      </c>
      <c r="H345" t="s">
        <v>85</v>
      </c>
      <c r="I345">
        <v>1</v>
      </c>
      <c r="J345">
        <v>399</v>
      </c>
      <c r="K345">
        <v>0</v>
      </c>
      <c r="L345">
        <v>0</v>
      </c>
      <c r="M345">
        <v>2202</v>
      </c>
      <c r="N345" t="s">
        <v>39</v>
      </c>
      <c r="O345" t="s">
        <v>40</v>
      </c>
      <c r="Q345" t="s">
        <v>24</v>
      </c>
      <c r="T345" t="s">
        <v>25</v>
      </c>
      <c r="Y345">
        <v>648</v>
      </c>
      <c r="Z345" t="s">
        <v>540</v>
      </c>
      <c r="AC345" t="s">
        <v>42</v>
      </c>
    </row>
    <row r="346" spans="1:29">
      <c r="A346" t="s">
        <v>536</v>
      </c>
      <c r="B346" t="s">
        <v>537</v>
      </c>
      <c r="C346" t="s">
        <v>538</v>
      </c>
      <c r="D346" t="s">
        <v>539</v>
      </c>
      <c r="E346" t="s">
        <v>138</v>
      </c>
      <c r="F346" t="s">
        <v>361</v>
      </c>
      <c r="G346" t="s">
        <v>140</v>
      </c>
      <c r="H346">
        <v>4714781020954</v>
      </c>
      <c r="I346">
        <v>1</v>
      </c>
      <c r="J346">
        <v>145</v>
      </c>
      <c r="K346">
        <v>0</v>
      </c>
      <c r="L346">
        <v>0</v>
      </c>
      <c r="M346">
        <v>2202</v>
      </c>
      <c r="N346" t="s">
        <v>39</v>
      </c>
      <c r="O346" t="s">
        <v>40</v>
      </c>
      <c r="Q346" t="s">
        <v>24</v>
      </c>
      <c r="T346" t="s">
        <v>25</v>
      </c>
      <c r="Y346">
        <v>648</v>
      </c>
      <c r="Z346" t="s">
        <v>540</v>
      </c>
      <c r="AC346" t="s">
        <v>42</v>
      </c>
    </row>
    <row r="347" spans="1:29">
      <c r="A347" t="s">
        <v>536</v>
      </c>
      <c r="B347" t="s">
        <v>537</v>
      </c>
      <c r="C347" t="s">
        <v>538</v>
      </c>
      <c r="D347" t="s">
        <v>539</v>
      </c>
      <c r="E347" t="s">
        <v>55</v>
      </c>
      <c r="F347" t="s">
        <v>56</v>
      </c>
      <c r="G347" t="s">
        <v>97</v>
      </c>
      <c r="H347" t="s">
        <v>98</v>
      </c>
      <c r="I347">
        <v>1</v>
      </c>
      <c r="J347">
        <v>450</v>
      </c>
      <c r="K347">
        <v>0</v>
      </c>
      <c r="L347">
        <v>0</v>
      </c>
      <c r="M347">
        <v>2202</v>
      </c>
      <c r="N347" t="s">
        <v>39</v>
      </c>
      <c r="O347" t="s">
        <v>40</v>
      </c>
      <c r="Q347" t="s">
        <v>24</v>
      </c>
      <c r="T347" t="s">
        <v>25</v>
      </c>
      <c r="Y347">
        <v>648</v>
      </c>
      <c r="Z347" t="s">
        <v>540</v>
      </c>
      <c r="AC347" t="s">
        <v>42</v>
      </c>
    </row>
    <row r="348" spans="1:29">
      <c r="A348" t="s">
        <v>536</v>
      </c>
      <c r="B348" t="s">
        <v>537</v>
      </c>
      <c r="C348" t="s">
        <v>538</v>
      </c>
      <c r="D348" t="s">
        <v>539</v>
      </c>
      <c r="E348" t="s">
        <v>142</v>
      </c>
      <c r="F348" t="s">
        <v>143</v>
      </c>
      <c r="G348" t="s">
        <v>144</v>
      </c>
      <c r="H348">
        <v>4714781020794</v>
      </c>
      <c r="I348">
        <v>1</v>
      </c>
      <c r="J348">
        <v>109</v>
      </c>
      <c r="K348">
        <v>0</v>
      </c>
      <c r="L348">
        <v>0</v>
      </c>
      <c r="M348">
        <v>2202</v>
      </c>
      <c r="N348" t="s">
        <v>39</v>
      </c>
      <c r="O348" t="s">
        <v>40</v>
      </c>
      <c r="Q348" t="s">
        <v>24</v>
      </c>
      <c r="T348" t="s">
        <v>25</v>
      </c>
      <c r="Y348">
        <v>648</v>
      </c>
      <c r="Z348" t="s">
        <v>540</v>
      </c>
      <c r="AC348" t="s">
        <v>42</v>
      </c>
    </row>
    <row r="349" spans="1:29">
      <c r="A349" t="s">
        <v>536</v>
      </c>
      <c r="B349" t="s">
        <v>537</v>
      </c>
      <c r="C349" t="s">
        <v>538</v>
      </c>
      <c r="D349" t="s">
        <v>539</v>
      </c>
      <c r="E349" t="s">
        <v>99</v>
      </c>
      <c r="F349" t="s">
        <v>100</v>
      </c>
      <c r="G349" t="s">
        <v>101</v>
      </c>
      <c r="H349">
        <v>4714781020770</v>
      </c>
      <c r="I349">
        <v>1</v>
      </c>
      <c r="J349">
        <v>135</v>
      </c>
      <c r="K349">
        <v>0</v>
      </c>
      <c r="L349">
        <v>0</v>
      </c>
      <c r="M349">
        <v>2202</v>
      </c>
      <c r="N349" t="s">
        <v>39</v>
      </c>
      <c r="O349" t="s">
        <v>40</v>
      </c>
      <c r="Q349" t="s">
        <v>24</v>
      </c>
      <c r="T349" t="s">
        <v>25</v>
      </c>
      <c r="Y349">
        <v>648</v>
      </c>
      <c r="Z349" t="s">
        <v>540</v>
      </c>
      <c r="AC349" t="s">
        <v>42</v>
      </c>
    </row>
    <row r="350" spans="1:29">
      <c r="A350" t="s">
        <v>536</v>
      </c>
      <c r="B350" t="s">
        <v>537</v>
      </c>
      <c r="C350" t="s">
        <v>538</v>
      </c>
      <c r="D350" t="s">
        <v>539</v>
      </c>
      <c r="E350" t="s">
        <v>541</v>
      </c>
      <c r="F350" t="s">
        <v>542</v>
      </c>
      <c r="G350" t="s">
        <v>543</v>
      </c>
      <c r="H350" t="s">
        <v>544</v>
      </c>
      <c r="I350">
        <v>1</v>
      </c>
      <c r="J350">
        <v>570</v>
      </c>
      <c r="K350">
        <v>0</v>
      </c>
      <c r="L350">
        <v>0</v>
      </c>
      <c r="M350">
        <v>2202</v>
      </c>
      <c r="N350" t="s">
        <v>39</v>
      </c>
      <c r="O350" t="s">
        <v>40</v>
      </c>
      <c r="Q350" t="s">
        <v>24</v>
      </c>
      <c r="T350" t="s">
        <v>25</v>
      </c>
      <c r="Y350">
        <v>648</v>
      </c>
      <c r="Z350" t="s">
        <v>540</v>
      </c>
      <c r="AC350" t="s">
        <v>42</v>
      </c>
    </row>
    <row r="351" spans="1:29">
      <c r="A351" t="s">
        <v>536</v>
      </c>
      <c r="B351" t="s">
        <v>537</v>
      </c>
      <c r="C351" t="s">
        <v>538</v>
      </c>
      <c r="D351" t="s">
        <v>539</v>
      </c>
      <c r="E351" t="s">
        <v>545</v>
      </c>
      <c r="F351" t="s">
        <v>546</v>
      </c>
      <c r="G351" t="s">
        <v>547</v>
      </c>
      <c r="H351" t="s">
        <v>548</v>
      </c>
      <c r="I351">
        <v>1</v>
      </c>
      <c r="J351">
        <v>390</v>
      </c>
      <c r="K351">
        <v>0</v>
      </c>
      <c r="L351">
        <v>0</v>
      </c>
      <c r="M351">
        <v>2202</v>
      </c>
      <c r="N351" t="s">
        <v>39</v>
      </c>
      <c r="O351" t="s">
        <v>40</v>
      </c>
      <c r="Q351" t="s">
        <v>24</v>
      </c>
      <c r="T351" t="s">
        <v>25</v>
      </c>
      <c r="Y351">
        <v>648</v>
      </c>
      <c r="Z351" t="s">
        <v>540</v>
      </c>
      <c r="AC351" t="s">
        <v>42</v>
      </c>
    </row>
    <row r="352" spans="1:29">
      <c r="A352" t="s">
        <v>536</v>
      </c>
      <c r="B352" t="s">
        <v>537</v>
      </c>
      <c r="C352" t="s">
        <v>538</v>
      </c>
      <c r="D352" t="s">
        <v>539</v>
      </c>
      <c r="E352" t="s">
        <v>157</v>
      </c>
      <c r="F352" t="s">
        <v>158</v>
      </c>
      <c r="G352" t="s">
        <v>159</v>
      </c>
      <c r="H352">
        <v>4714781021463</v>
      </c>
      <c r="I352">
        <v>1</v>
      </c>
      <c r="J352">
        <v>120</v>
      </c>
      <c r="K352">
        <v>0</v>
      </c>
      <c r="L352">
        <v>0</v>
      </c>
      <c r="M352">
        <v>2202</v>
      </c>
      <c r="N352" t="s">
        <v>39</v>
      </c>
      <c r="O352" t="s">
        <v>40</v>
      </c>
      <c r="Q352" t="s">
        <v>24</v>
      </c>
      <c r="T352" t="s">
        <v>25</v>
      </c>
      <c r="Y352">
        <v>648</v>
      </c>
      <c r="Z352" t="s">
        <v>540</v>
      </c>
      <c r="AC352" t="s">
        <v>42</v>
      </c>
    </row>
    <row r="353" spans="1:29">
      <c r="A353" t="s">
        <v>536</v>
      </c>
      <c r="B353" t="s">
        <v>537</v>
      </c>
      <c r="C353" t="s">
        <v>538</v>
      </c>
      <c r="D353" t="s">
        <v>539</v>
      </c>
      <c r="E353" t="s">
        <v>45</v>
      </c>
      <c r="F353" t="s">
        <v>46</v>
      </c>
      <c r="G353" t="s">
        <v>47</v>
      </c>
      <c r="I353">
        <v>1</v>
      </c>
      <c r="J353">
        <v>-116</v>
      </c>
      <c r="K353">
        <v>0</v>
      </c>
      <c r="L353">
        <v>0</v>
      </c>
      <c r="M353">
        <v>2202</v>
      </c>
      <c r="N353" t="s">
        <v>39</v>
      </c>
      <c r="O353" t="s">
        <v>40</v>
      </c>
      <c r="Q353" t="s">
        <v>24</v>
      </c>
      <c r="T353" t="s">
        <v>25</v>
      </c>
      <c r="Y353">
        <v>648</v>
      </c>
      <c r="Z353" t="s">
        <v>540</v>
      </c>
      <c r="AC353" t="s">
        <v>42</v>
      </c>
    </row>
    <row r="354" spans="1:29">
      <c r="A354" t="s">
        <v>536</v>
      </c>
      <c r="B354" t="s">
        <v>537</v>
      </c>
      <c r="C354" t="s">
        <v>538</v>
      </c>
      <c r="D354" t="s">
        <v>539</v>
      </c>
      <c r="E354" t="s">
        <v>48</v>
      </c>
      <c r="F354" t="s">
        <v>49</v>
      </c>
      <c r="G354" t="s">
        <v>50</v>
      </c>
      <c r="I354">
        <v>1</v>
      </c>
      <c r="J354">
        <v>116</v>
      </c>
      <c r="K354">
        <v>0</v>
      </c>
      <c r="L354">
        <v>0</v>
      </c>
      <c r="M354">
        <v>2202</v>
      </c>
      <c r="N354" t="s">
        <v>39</v>
      </c>
      <c r="O354" t="s">
        <v>40</v>
      </c>
      <c r="Q354" t="s">
        <v>24</v>
      </c>
      <c r="T354" t="s">
        <v>25</v>
      </c>
      <c r="Y354">
        <v>648</v>
      </c>
      <c r="Z354" t="s">
        <v>540</v>
      </c>
      <c r="AC354" t="s">
        <v>42</v>
      </c>
    </row>
    <row r="355" spans="1:29">
      <c r="A355" t="s">
        <v>529</v>
      </c>
      <c r="B355" t="s">
        <v>530</v>
      </c>
      <c r="C355" t="s">
        <v>531</v>
      </c>
      <c r="D355" t="s">
        <v>532</v>
      </c>
      <c r="E355" t="s">
        <v>285</v>
      </c>
      <c r="F355" t="s">
        <v>286</v>
      </c>
      <c r="G355" t="s">
        <v>84</v>
      </c>
      <c r="H355" t="s">
        <v>287</v>
      </c>
      <c r="I355">
        <v>2</v>
      </c>
      <c r="J355">
        <v>750</v>
      </c>
      <c r="K355">
        <v>0</v>
      </c>
      <c r="L355">
        <v>0</v>
      </c>
      <c r="M355">
        <v>1910</v>
      </c>
      <c r="N355" t="s">
        <v>39</v>
      </c>
      <c r="O355" t="s">
        <v>40</v>
      </c>
      <c r="Q355" t="s">
        <v>24</v>
      </c>
      <c r="T355" t="s">
        <v>25</v>
      </c>
      <c r="Y355">
        <v>221</v>
      </c>
      <c r="Z355" t="s">
        <v>533</v>
      </c>
      <c r="AC355" t="s">
        <v>42</v>
      </c>
    </row>
    <row r="356" spans="1:29">
      <c r="A356" t="s">
        <v>529</v>
      </c>
      <c r="B356" t="s">
        <v>530</v>
      </c>
      <c r="C356" t="s">
        <v>531</v>
      </c>
      <c r="D356" t="s">
        <v>532</v>
      </c>
      <c r="E356" t="s">
        <v>459</v>
      </c>
      <c r="F356" t="s">
        <v>460</v>
      </c>
      <c r="G356" t="s">
        <v>534</v>
      </c>
      <c r="H356" t="s">
        <v>535</v>
      </c>
      <c r="I356">
        <v>1</v>
      </c>
      <c r="J356">
        <v>1160</v>
      </c>
      <c r="K356">
        <v>0</v>
      </c>
      <c r="L356">
        <v>0</v>
      </c>
      <c r="M356">
        <v>1910</v>
      </c>
      <c r="N356" t="s">
        <v>39</v>
      </c>
      <c r="O356" t="s">
        <v>40</v>
      </c>
      <c r="Q356" t="s">
        <v>24</v>
      </c>
      <c r="T356" t="s">
        <v>25</v>
      </c>
      <c r="Y356">
        <v>221</v>
      </c>
      <c r="Z356" t="s">
        <v>533</v>
      </c>
      <c r="AC356" t="s">
        <v>42</v>
      </c>
    </row>
    <row r="357" spans="1:29">
      <c r="A357" t="s">
        <v>529</v>
      </c>
      <c r="B357" t="s">
        <v>530</v>
      </c>
      <c r="C357" t="s">
        <v>531</v>
      </c>
      <c r="D357" t="s">
        <v>532</v>
      </c>
      <c r="E357" t="s">
        <v>300</v>
      </c>
      <c r="F357" t="s">
        <v>301</v>
      </c>
      <c r="I357">
        <v>1</v>
      </c>
      <c r="J357">
        <v>0</v>
      </c>
      <c r="K357">
        <v>0</v>
      </c>
      <c r="L357">
        <v>0</v>
      </c>
      <c r="M357">
        <v>1910</v>
      </c>
      <c r="N357" t="s">
        <v>39</v>
      </c>
      <c r="O357" t="s">
        <v>40</v>
      </c>
      <c r="Q357" t="s">
        <v>24</v>
      </c>
      <c r="T357" t="s">
        <v>25</v>
      </c>
      <c r="Y357">
        <v>221</v>
      </c>
      <c r="Z357" t="s">
        <v>533</v>
      </c>
      <c r="AC357" t="s">
        <v>42</v>
      </c>
    </row>
    <row r="358" spans="1:29">
      <c r="A358" t="s">
        <v>1139</v>
      </c>
      <c r="B358" t="s">
        <v>1140</v>
      </c>
      <c r="C358" t="s">
        <v>1141</v>
      </c>
      <c r="D358" t="s">
        <v>1142</v>
      </c>
      <c r="E358" t="s">
        <v>285</v>
      </c>
      <c r="F358" t="s">
        <v>286</v>
      </c>
      <c r="G358" t="s">
        <v>63</v>
      </c>
      <c r="H358" t="s">
        <v>403</v>
      </c>
      <c r="I358">
        <v>1</v>
      </c>
      <c r="J358">
        <v>375</v>
      </c>
      <c r="K358">
        <v>0</v>
      </c>
      <c r="L358">
        <v>0</v>
      </c>
      <c r="M358">
        <v>750</v>
      </c>
      <c r="N358" t="s">
        <v>633</v>
      </c>
      <c r="O358" t="s">
        <v>634</v>
      </c>
      <c r="Q358" t="s">
        <v>24</v>
      </c>
      <c r="T358" t="s">
        <v>635</v>
      </c>
      <c r="V358">
        <v>148638</v>
      </c>
      <c r="W358" t="s">
        <v>1143</v>
      </c>
      <c r="X358" t="s">
        <v>1144</v>
      </c>
      <c r="AC358" t="s">
        <v>27</v>
      </c>
    </row>
    <row r="359" spans="1:29">
      <c r="A359" t="s">
        <v>1139</v>
      </c>
      <c r="B359" t="s">
        <v>1140</v>
      </c>
      <c r="C359" t="s">
        <v>1141</v>
      </c>
      <c r="D359" t="s">
        <v>1142</v>
      </c>
      <c r="E359" t="s">
        <v>285</v>
      </c>
      <c r="F359" t="s">
        <v>286</v>
      </c>
      <c r="G359" t="s">
        <v>1145</v>
      </c>
      <c r="H359" t="s">
        <v>1146</v>
      </c>
      <c r="I359">
        <v>1</v>
      </c>
      <c r="J359">
        <v>375</v>
      </c>
      <c r="K359">
        <v>0</v>
      </c>
      <c r="L359">
        <v>0</v>
      </c>
      <c r="M359">
        <v>750</v>
      </c>
      <c r="N359" t="s">
        <v>633</v>
      </c>
      <c r="O359" t="s">
        <v>634</v>
      </c>
      <c r="Q359" t="s">
        <v>24</v>
      </c>
      <c r="T359" t="s">
        <v>635</v>
      </c>
      <c r="V359">
        <v>148638</v>
      </c>
      <c r="W359" t="s">
        <v>1143</v>
      </c>
      <c r="X359" t="s">
        <v>1144</v>
      </c>
      <c r="AC359" t="s">
        <v>27</v>
      </c>
    </row>
    <row r="360" spans="1:29">
      <c r="A360" t="s">
        <v>1147</v>
      </c>
      <c r="B360" t="s">
        <v>1148</v>
      </c>
      <c r="C360" t="s">
        <v>1149</v>
      </c>
      <c r="D360" t="s">
        <v>1150</v>
      </c>
      <c r="E360" t="s">
        <v>61</v>
      </c>
      <c r="F360" t="s">
        <v>62</v>
      </c>
      <c r="G360" t="s">
        <v>84</v>
      </c>
      <c r="H360" t="s">
        <v>85</v>
      </c>
      <c r="I360">
        <v>1</v>
      </c>
      <c r="J360">
        <v>399</v>
      </c>
      <c r="K360">
        <v>65</v>
      </c>
      <c r="L360">
        <v>0</v>
      </c>
      <c r="M360">
        <v>464</v>
      </c>
      <c r="N360" t="s">
        <v>633</v>
      </c>
      <c r="O360" t="s">
        <v>634</v>
      </c>
      <c r="Q360" t="s">
        <v>24</v>
      </c>
      <c r="T360" t="s">
        <v>635</v>
      </c>
      <c r="V360">
        <v>130235</v>
      </c>
      <c r="W360" t="s">
        <v>1151</v>
      </c>
      <c r="X360" t="s">
        <v>1152</v>
      </c>
      <c r="AC360" t="s">
        <v>27</v>
      </c>
    </row>
    <row r="361" spans="1:29">
      <c r="A361" t="s">
        <v>524</v>
      </c>
      <c r="B361" t="s">
        <v>525</v>
      </c>
      <c r="C361" t="s">
        <v>526</v>
      </c>
      <c r="D361" t="s">
        <v>527</v>
      </c>
      <c r="E361" t="s">
        <v>61</v>
      </c>
      <c r="F361" t="s">
        <v>62</v>
      </c>
      <c r="G361" t="s">
        <v>80</v>
      </c>
      <c r="H361" t="s">
        <v>81</v>
      </c>
      <c r="I361">
        <v>1</v>
      </c>
      <c r="J361">
        <v>399</v>
      </c>
      <c r="K361">
        <v>0</v>
      </c>
      <c r="L361">
        <v>0</v>
      </c>
      <c r="M361">
        <v>798</v>
      </c>
      <c r="N361" t="s">
        <v>22</v>
      </c>
      <c r="O361" t="s">
        <v>23</v>
      </c>
      <c r="Q361" t="s">
        <v>24</v>
      </c>
      <c r="T361" t="s">
        <v>25</v>
      </c>
      <c r="Y361">
        <v>513</v>
      </c>
      <c r="Z361" t="s">
        <v>528</v>
      </c>
      <c r="AC361" t="s">
        <v>27</v>
      </c>
    </row>
    <row r="362" spans="1:29">
      <c r="A362" t="s">
        <v>524</v>
      </c>
      <c r="B362" t="s">
        <v>525</v>
      </c>
      <c r="C362" t="s">
        <v>526</v>
      </c>
      <c r="D362" t="s">
        <v>527</v>
      </c>
      <c r="E362" t="s">
        <v>61</v>
      </c>
      <c r="F362" t="s">
        <v>62</v>
      </c>
      <c r="G362" t="s">
        <v>165</v>
      </c>
      <c r="H362" t="s">
        <v>166</v>
      </c>
      <c r="I362">
        <v>1</v>
      </c>
      <c r="J362">
        <v>399</v>
      </c>
      <c r="K362">
        <v>0</v>
      </c>
      <c r="L362">
        <v>0</v>
      </c>
      <c r="M362">
        <v>798</v>
      </c>
      <c r="N362" t="s">
        <v>22</v>
      </c>
      <c r="O362" t="s">
        <v>23</v>
      </c>
      <c r="Q362" t="s">
        <v>24</v>
      </c>
      <c r="T362" t="s">
        <v>25</v>
      </c>
      <c r="Y362">
        <v>513</v>
      </c>
      <c r="Z362" t="s">
        <v>528</v>
      </c>
      <c r="AC362" t="s">
        <v>27</v>
      </c>
    </row>
    <row r="363" spans="1:29">
      <c r="A363" t="s">
        <v>513</v>
      </c>
      <c r="B363" t="s">
        <v>514</v>
      </c>
      <c r="C363" t="s">
        <v>515</v>
      </c>
      <c r="D363" t="s">
        <v>516</v>
      </c>
      <c r="E363" t="s">
        <v>61</v>
      </c>
      <c r="F363" t="s">
        <v>62</v>
      </c>
      <c r="G363" t="s">
        <v>84</v>
      </c>
      <c r="H363" t="s">
        <v>85</v>
      </c>
      <c r="I363">
        <v>1</v>
      </c>
      <c r="J363">
        <v>399</v>
      </c>
      <c r="K363">
        <v>0</v>
      </c>
      <c r="L363">
        <v>0</v>
      </c>
      <c r="M363">
        <v>745</v>
      </c>
      <c r="N363" t="s">
        <v>39</v>
      </c>
      <c r="O363" t="s">
        <v>40</v>
      </c>
      <c r="Q363" t="s">
        <v>24</v>
      </c>
      <c r="T363" t="s">
        <v>25</v>
      </c>
      <c r="Y363">
        <v>830</v>
      </c>
      <c r="Z363" t="s">
        <v>517</v>
      </c>
      <c r="AC363" t="s">
        <v>42</v>
      </c>
    </row>
    <row r="364" spans="1:29">
      <c r="A364" t="s">
        <v>513</v>
      </c>
      <c r="B364" t="s">
        <v>514</v>
      </c>
      <c r="C364" t="s">
        <v>515</v>
      </c>
      <c r="D364" t="s">
        <v>516</v>
      </c>
      <c r="E364" t="s">
        <v>518</v>
      </c>
      <c r="F364" t="s">
        <v>519</v>
      </c>
      <c r="G364" t="s">
        <v>520</v>
      </c>
      <c r="H364">
        <v>4714781021029</v>
      </c>
      <c r="I364">
        <v>1</v>
      </c>
      <c r="J364">
        <v>149</v>
      </c>
      <c r="K364">
        <v>0</v>
      </c>
      <c r="L364">
        <v>0</v>
      </c>
      <c r="M364">
        <v>745</v>
      </c>
      <c r="N364" t="s">
        <v>39</v>
      </c>
      <c r="O364" t="s">
        <v>40</v>
      </c>
      <c r="Q364" t="s">
        <v>24</v>
      </c>
      <c r="T364" t="s">
        <v>25</v>
      </c>
      <c r="Y364">
        <v>830</v>
      </c>
      <c r="Z364" t="s">
        <v>517</v>
      </c>
      <c r="AC364" t="s">
        <v>42</v>
      </c>
    </row>
    <row r="365" spans="1:29">
      <c r="A365" t="s">
        <v>513</v>
      </c>
      <c r="B365" t="s">
        <v>514</v>
      </c>
      <c r="C365" t="s">
        <v>515</v>
      </c>
      <c r="D365" t="s">
        <v>516</v>
      </c>
      <c r="E365" t="s">
        <v>65</v>
      </c>
      <c r="F365" t="s">
        <v>66</v>
      </c>
      <c r="G365" t="s">
        <v>67</v>
      </c>
      <c r="H365">
        <v>4714781020800</v>
      </c>
      <c r="I365">
        <v>1</v>
      </c>
      <c r="J365">
        <v>128</v>
      </c>
      <c r="K365">
        <v>0</v>
      </c>
      <c r="L365">
        <v>0</v>
      </c>
      <c r="M365">
        <v>745</v>
      </c>
      <c r="N365" t="s">
        <v>39</v>
      </c>
      <c r="O365" t="s">
        <v>40</v>
      </c>
      <c r="Q365" t="s">
        <v>24</v>
      </c>
      <c r="T365" t="s">
        <v>25</v>
      </c>
      <c r="Y365">
        <v>830</v>
      </c>
      <c r="Z365" t="s">
        <v>517</v>
      </c>
      <c r="AC365" t="s">
        <v>42</v>
      </c>
    </row>
    <row r="366" spans="1:29">
      <c r="A366" t="s">
        <v>513</v>
      </c>
      <c r="B366" t="s">
        <v>514</v>
      </c>
      <c r="C366" t="s">
        <v>515</v>
      </c>
      <c r="D366" t="s">
        <v>516</v>
      </c>
      <c r="E366" t="s">
        <v>521</v>
      </c>
      <c r="F366" t="s">
        <v>522</v>
      </c>
      <c r="G366" t="s">
        <v>523</v>
      </c>
      <c r="H366">
        <v>4714781021227</v>
      </c>
      <c r="I366">
        <v>1</v>
      </c>
      <c r="J366">
        <v>69</v>
      </c>
      <c r="K366">
        <v>0</v>
      </c>
      <c r="L366">
        <v>0</v>
      </c>
      <c r="M366">
        <v>745</v>
      </c>
      <c r="N366" t="s">
        <v>39</v>
      </c>
      <c r="O366" t="s">
        <v>40</v>
      </c>
      <c r="Q366" t="s">
        <v>24</v>
      </c>
      <c r="T366" t="s">
        <v>25</v>
      </c>
      <c r="Y366">
        <v>830</v>
      </c>
      <c r="Z366" t="s">
        <v>517</v>
      </c>
      <c r="AC366" t="s">
        <v>42</v>
      </c>
    </row>
    <row r="367" spans="1:29">
      <c r="A367" t="s">
        <v>1153</v>
      </c>
      <c r="B367" t="s">
        <v>1154</v>
      </c>
      <c r="C367" t="s">
        <v>1155</v>
      </c>
      <c r="D367" t="s">
        <v>1156</v>
      </c>
      <c r="E367" t="s">
        <v>61</v>
      </c>
      <c r="F367" t="s">
        <v>62</v>
      </c>
      <c r="G367" t="s">
        <v>84</v>
      </c>
      <c r="H367" t="s">
        <v>85</v>
      </c>
      <c r="I367">
        <v>1</v>
      </c>
      <c r="J367">
        <v>399</v>
      </c>
      <c r="K367">
        <v>65</v>
      </c>
      <c r="L367">
        <v>0</v>
      </c>
      <c r="M367">
        <v>464</v>
      </c>
      <c r="N367" t="s">
        <v>633</v>
      </c>
      <c r="O367" t="s">
        <v>634</v>
      </c>
      <c r="Q367" t="s">
        <v>24</v>
      </c>
      <c r="T367" t="s">
        <v>635</v>
      </c>
      <c r="V367">
        <v>167086</v>
      </c>
      <c r="W367" t="s">
        <v>1157</v>
      </c>
      <c r="X367" t="s">
        <v>1158</v>
      </c>
      <c r="AC367" t="s">
        <v>27</v>
      </c>
    </row>
    <row r="368" spans="1:29">
      <c r="A368" t="s">
        <v>505</v>
      </c>
      <c r="B368" t="s">
        <v>506</v>
      </c>
      <c r="C368" t="s">
        <v>507</v>
      </c>
      <c r="D368" t="s">
        <v>508</v>
      </c>
      <c r="E368" t="s">
        <v>509</v>
      </c>
      <c r="F368" t="s">
        <v>510</v>
      </c>
      <c r="G368" t="s">
        <v>511</v>
      </c>
      <c r="H368">
        <v>4714781024815</v>
      </c>
      <c r="I368">
        <v>1</v>
      </c>
      <c r="J368">
        <v>750</v>
      </c>
      <c r="K368">
        <v>0</v>
      </c>
      <c r="L368">
        <v>0</v>
      </c>
      <c r="M368">
        <v>1396</v>
      </c>
      <c r="N368" t="s">
        <v>39</v>
      </c>
      <c r="O368" t="s">
        <v>59</v>
      </c>
      <c r="Q368" t="s">
        <v>24</v>
      </c>
      <c r="T368" t="s">
        <v>25</v>
      </c>
      <c r="Y368">
        <v>104</v>
      </c>
      <c r="Z368" t="s">
        <v>512</v>
      </c>
      <c r="AC368" t="s">
        <v>42</v>
      </c>
    </row>
    <row r="369" spans="1:29">
      <c r="A369" t="s">
        <v>505</v>
      </c>
      <c r="B369" t="s">
        <v>506</v>
      </c>
      <c r="C369" t="s">
        <v>507</v>
      </c>
      <c r="D369" t="s">
        <v>508</v>
      </c>
      <c r="E369" t="s">
        <v>221</v>
      </c>
      <c r="F369" t="s">
        <v>222</v>
      </c>
      <c r="G369" t="s">
        <v>223</v>
      </c>
      <c r="H369" t="s">
        <v>224</v>
      </c>
      <c r="I369">
        <v>1</v>
      </c>
      <c r="J369">
        <v>720</v>
      </c>
      <c r="K369">
        <v>0</v>
      </c>
      <c r="L369">
        <v>0</v>
      </c>
      <c r="M369">
        <v>1396</v>
      </c>
      <c r="N369" t="s">
        <v>39</v>
      </c>
      <c r="O369" t="s">
        <v>59</v>
      </c>
      <c r="Q369" t="s">
        <v>24</v>
      </c>
      <c r="T369" t="s">
        <v>25</v>
      </c>
      <c r="Y369">
        <v>104</v>
      </c>
      <c r="Z369" t="s">
        <v>512</v>
      </c>
      <c r="AC369" t="s">
        <v>42</v>
      </c>
    </row>
    <row r="370" spans="1:29">
      <c r="A370" t="s">
        <v>505</v>
      </c>
      <c r="B370" t="s">
        <v>506</v>
      </c>
      <c r="C370" t="s">
        <v>507</v>
      </c>
      <c r="D370" t="s">
        <v>508</v>
      </c>
      <c r="E370" t="s">
        <v>45</v>
      </c>
      <c r="F370" t="s">
        <v>46</v>
      </c>
      <c r="G370" t="s">
        <v>47</v>
      </c>
      <c r="I370">
        <v>1</v>
      </c>
      <c r="J370">
        <v>-74</v>
      </c>
      <c r="K370">
        <v>0</v>
      </c>
      <c r="L370">
        <v>0</v>
      </c>
      <c r="M370">
        <v>1396</v>
      </c>
      <c r="N370" t="s">
        <v>39</v>
      </c>
      <c r="O370" t="s">
        <v>59</v>
      </c>
      <c r="Q370" t="s">
        <v>24</v>
      </c>
      <c r="T370" t="s">
        <v>25</v>
      </c>
      <c r="Y370">
        <v>104</v>
      </c>
      <c r="Z370" t="s">
        <v>512</v>
      </c>
      <c r="AC370" t="s">
        <v>42</v>
      </c>
    </row>
    <row r="371" spans="1:29">
      <c r="A371" t="s">
        <v>505</v>
      </c>
      <c r="B371" t="s">
        <v>506</v>
      </c>
      <c r="C371" t="s">
        <v>507</v>
      </c>
      <c r="D371" t="s">
        <v>508</v>
      </c>
      <c r="E371" t="s">
        <v>48</v>
      </c>
      <c r="F371" t="s">
        <v>49</v>
      </c>
      <c r="G371" t="s">
        <v>50</v>
      </c>
      <c r="I371">
        <v>1</v>
      </c>
      <c r="J371">
        <v>74</v>
      </c>
      <c r="K371">
        <v>0</v>
      </c>
      <c r="L371">
        <v>0</v>
      </c>
      <c r="M371">
        <v>1396</v>
      </c>
      <c r="N371" t="s">
        <v>39</v>
      </c>
      <c r="O371" t="s">
        <v>59</v>
      </c>
      <c r="Q371" t="s">
        <v>24</v>
      </c>
      <c r="T371" t="s">
        <v>25</v>
      </c>
      <c r="Y371">
        <v>104</v>
      </c>
      <c r="Z371" t="s">
        <v>512</v>
      </c>
      <c r="AC371" t="s">
        <v>42</v>
      </c>
    </row>
    <row r="372" spans="1:29">
      <c r="A372" t="s">
        <v>498</v>
      </c>
      <c r="B372" t="s">
        <v>499</v>
      </c>
      <c r="C372" t="s">
        <v>500</v>
      </c>
      <c r="D372" t="s">
        <v>501</v>
      </c>
      <c r="E372" t="s">
        <v>55</v>
      </c>
      <c r="F372" t="s">
        <v>56</v>
      </c>
      <c r="G372" t="s">
        <v>97</v>
      </c>
      <c r="H372" t="s">
        <v>98</v>
      </c>
      <c r="I372">
        <v>1</v>
      </c>
      <c r="J372">
        <v>450</v>
      </c>
      <c r="K372">
        <v>0</v>
      </c>
      <c r="L372">
        <v>0</v>
      </c>
      <c r="M372">
        <v>879</v>
      </c>
      <c r="N372" t="s">
        <v>22</v>
      </c>
      <c r="O372" t="s">
        <v>23</v>
      </c>
      <c r="Q372" t="s">
        <v>24</v>
      </c>
      <c r="T372" t="s">
        <v>25</v>
      </c>
      <c r="Y372">
        <v>404</v>
      </c>
      <c r="Z372" t="s">
        <v>502</v>
      </c>
      <c r="AC372" t="s">
        <v>27</v>
      </c>
    </row>
    <row r="373" spans="1:29">
      <c r="A373" t="s">
        <v>498</v>
      </c>
      <c r="B373" t="s">
        <v>499</v>
      </c>
      <c r="C373" t="s">
        <v>500</v>
      </c>
      <c r="D373" t="s">
        <v>501</v>
      </c>
      <c r="E373" t="s">
        <v>138</v>
      </c>
      <c r="F373" t="s">
        <v>139</v>
      </c>
      <c r="G373" t="s">
        <v>140</v>
      </c>
      <c r="H373">
        <v>4714781020954</v>
      </c>
      <c r="I373">
        <v>1</v>
      </c>
      <c r="J373">
        <v>149</v>
      </c>
      <c r="K373">
        <v>0</v>
      </c>
      <c r="L373">
        <v>0</v>
      </c>
      <c r="M373">
        <v>879</v>
      </c>
      <c r="N373" t="s">
        <v>22</v>
      </c>
      <c r="O373" t="s">
        <v>23</v>
      </c>
      <c r="Q373" t="s">
        <v>24</v>
      </c>
      <c r="T373" t="s">
        <v>25</v>
      </c>
      <c r="Y373">
        <v>404</v>
      </c>
      <c r="Z373" t="s">
        <v>502</v>
      </c>
      <c r="AC373" t="s">
        <v>27</v>
      </c>
    </row>
    <row r="374" spans="1:29">
      <c r="A374" t="s">
        <v>498</v>
      </c>
      <c r="B374" t="s">
        <v>499</v>
      </c>
      <c r="C374" t="s">
        <v>500</v>
      </c>
      <c r="D374" t="s">
        <v>501</v>
      </c>
      <c r="E374" t="s">
        <v>315</v>
      </c>
      <c r="F374" t="s">
        <v>316</v>
      </c>
      <c r="G374" t="s">
        <v>503</v>
      </c>
      <c r="H374" t="s">
        <v>504</v>
      </c>
      <c r="I374">
        <v>1</v>
      </c>
      <c r="J374">
        <v>280</v>
      </c>
      <c r="K374">
        <v>0</v>
      </c>
      <c r="L374">
        <v>0</v>
      </c>
      <c r="M374">
        <v>879</v>
      </c>
      <c r="N374" t="s">
        <v>22</v>
      </c>
      <c r="O374" t="s">
        <v>23</v>
      </c>
      <c r="Q374" t="s">
        <v>24</v>
      </c>
      <c r="T374" t="s">
        <v>25</v>
      </c>
      <c r="Y374">
        <v>404</v>
      </c>
      <c r="Z374" t="s">
        <v>502</v>
      </c>
      <c r="AC374" t="s">
        <v>27</v>
      </c>
    </row>
    <row r="375" spans="1:29">
      <c r="A375" t="s">
        <v>1159</v>
      </c>
      <c r="B375" t="s">
        <v>1160</v>
      </c>
      <c r="C375" t="s">
        <v>1161</v>
      </c>
      <c r="D375" t="s">
        <v>1162</v>
      </c>
      <c r="E375" t="s">
        <v>61</v>
      </c>
      <c r="F375" t="s">
        <v>62</v>
      </c>
      <c r="G375" t="s">
        <v>312</v>
      </c>
      <c r="H375" t="s">
        <v>313</v>
      </c>
      <c r="I375">
        <v>1</v>
      </c>
      <c r="J375">
        <v>399</v>
      </c>
      <c r="K375">
        <v>65</v>
      </c>
      <c r="L375">
        <v>0</v>
      </c>
      <c r="M375">
        <v>609</v>
      </c>
      <c r="N375" t="s">
        <v>633</v>
      </c>
      <c r="O375" t="s">
        <v>634</v>
      </c>
      <c r="Q375" t="s">
        <v>24</v>
      </c>
      <c r="T375" t="s">
        <v>635</v>
      </c>
      <c r="V375">
        <v>190019</v>
      </c>
      <c r="W375" t="s">
        <v>1163</v>
      </c>
      <c r="X375" t="s">
        <v>1164</v>
      </c>
      <c r="AC375" t="s">
        <v>27</v>
      </c>
    </row>
    <row r="376" spans="1:29">
      <c r="A376" t="s">
        <v>1159</v>
      </c>
      <c r="B376" t="s">
        <v>1160</v>
      </c>
      <c r="C376" t="s">
        <v>1161</v>
      </c>
      <c r="D376" t="s">
        <v>1162</v>
      </c>
      <c r="E376" t="s">
        <v>138</v>
      </c>
      <c r="F376" t="s">
        <v>361</v>
      </c>
      <c r="G376" t="s">
        <v>140</v>
      </c>
      <c r="H376">
        <v>4714781020954</v>
      </c>
      <c r="I376">
        <v>1</v>
      </c>
      <c r="J376">
        <v>145</v>
      </c>
      <c r="K376">
        <v>65</v>
      </c>
      <c r="L376">
        <v>0</v>
      </c>
      <c r="M376">
        <v>609</v>
      </c>
      <c r="N376" t="s">
        <v>633</v>
      </c>
      <c r="O376" t="s">
        <v>634</v>
      </c>
      <c r="Q376" t="s">
        <v>24</v>
      </c>
      <c r="T376" t="s">
        <v>635</v>
      </c>
      <c r="V376">
        <v>190019</v>
      </c>
      <c r="W376" t="s">
        <v>1163</v>
      </c>
      <c r="X376" t="s">
        <v>1164</v>
      </c>
      <c r="AC376" t="s">
        <v>27</v>
      </c>
    </row>
    <row r="377" spans="1:29">
      <c r="A377" t="s">
        <v>1165</v>
      </c>
      <c r="B377" t="s">
        <v>1166</v>
      </c>
      <c r="C377" t="s">
        <v>1167</v>
      </c>
      <c r="D377" t="s">
        <v>1168</v>
      </c>
      <c r="E377" t="s">
        <v>61</v>
      </c>
      <c r="F377" t="s">
        <v>62</v>
      </c>
      <c r="G377" t="s">
        <v>84</v>
      </c>
      <c r="H377" t="s">
        <v>85</v>
      </c>
      <c r="I377">
        <v>1</v>
      </c>
      <c r="J377">
        <v>399</v>
      </c>
      <c r="K377">
        <v>65</v>
      </c>
      <c r="L377">
        <v>0</v>
      </c>
      <c r="M377">
        <v>609</v>
      </c>
      <c r="N377" t="s">
        <v>633</v>
      </c>
      <c r="O377" t="s">
        <v>634</v>
      </c>
      <c r="Q377" t="s">
        <v>24</v>
      </c>
      <c r="T377" t="s">
        <v>635</v>
      </c>
      <c r="V377">
        <v>171421</v>
      </c>
      <c r="W377" t="s">
        <v>1169</v>
      </c>
      <c r="X377" t="s">
        <v>1170</v>
      </c>
      <c r="AC377" t="s">
        <v>27</v>
      </c>
    </row>
    <row r="378" spans="1:29">
      <c r="A378" t="s">
        <v>1165</v>
      </c>
      <c r="B378" t="s">
        <v>1166</v>
      </c>
      <c r="C378" t="s">
        <v>1167</v>
      </c>
      <c r="D378" t="s">
        <v>1168</v>
      </c>
      <c r="E378" t="s">
        <v>138</v>
      </c>
      <c r="F378" t="s">
        <v>361</v>
      </c>
      <c r="G378" t="s">
        <v>140</v>
      </c>
      <c r="H378">
        <v>4714781020954</v>
      </c>
      <c r="I378">
        <v>1</v>
      </c>
      <c r="J378">
        <v>145</v>
      </c>
      <c r="K378">
        <v>65</v>
      </c>
      <c r="L378">
        <v>0</v>
      </c>
      <c r="M378">
        <v>609</v>
      </c>
      <c r="N378" t="s">
        <v>633</v>
      </c>
      <c r="O378" t="s">
        <v>634</v>
      </c>
      <c r="Q378" t="s">
        <v>24</v>
      </c>
      <c r="T378" t="s">
        <v>635</v>
      </c>
      <c r="V378">
        <v>171421</v>
      </c>
      <c r="W378" t="s">
        <v>1169</v>
      </c>
      <c r="X378" t="s">
        <v>1170</v>
      </c>
      <c r="AC378" t="s">
        <v>27</v>
      </c>
    </row>
    <row r="379" spans="1:29">
      <c r="A379" t="s">
        <v>1171</v>
      </c>
      <c r="B379" t="s">
        <v>1172</v>
      </c>
      <c r="C379" t="s">
        <v>1173</v>
      </c>
      <c r="D379" t="s">
        <v>1174</v>
      </c>
      <c r="E379" t="s">
        <v>61</v>
      </c>
      <c r="F379" t="s">
        <v>62</v>
      </c>
      <c r="G379" t="s">
        <v>84</v>
      </c>
      <c r="H379" t="s">
        <v>85</v>
      </c>
      <c r="I379">
        <v>1</v>
      </c>
      <c r="J379">
        <v>399</v>
      </c>
      <c r="K379">
        <v>0</v>
      </c>
      <c r="L379">
        <v>0</v>
      </c>
      <c r="M379">
        <v>833</v>
      </c>
      <c r="N379" t="s">
        <v>633</v>
      </c>
      <c r="O379" t="s">
        <v>634</v>
      </c>
      <c r="Q379" t="s">
        <v>24</v>
      </c>
      <c r="T379" t="s">
        <v>635</v>
      </c>
      <c r="V379">
        <v>213590</v>
      </c>
      <c r="W379" t="s">
        <v>1175</v>
      </c>
      <c r="X379" t="s">
        <v>1176</v>
      </c>
      <c r="AC379" t="s">
        <v>27</v>
      </c>
    </row>
    <row r="380" spans="1:29">
      <c r="A380" t="s">
        <v>1171</v>
      </c>
      <c r="B380" t="s">
        <v>1172</v>
      </c>
      <c r="C380" t="s">
        <v>1173</v>
      </c>
      <c r="D380" t="s">
        <v>1174</v>
      </c>
      <c r="E380" t="s">
        <v>94</v>
      </c>
      <c r="F380" t="s">
        <v>95</v>
      </c>
      <c r="G380" t="s">
        <v>96</v>
      </c>
      <c r="H380">
        <v>4714781020787</v>
      </c>
      <c r="I380">
        <v>1</v>
      </c>
      <c r="J380">
        <v>135</v>
      </c>
      <c r="K380">
        <v>0</v>
      </c>
      <c r="L380">
        <v>0</v>
      </c>
      <c r="M380">
        <v>833</v>
      </c>
      <c r="N380" t="s">
        <v>633</v>
      </c>
      <c r="O380" t="s">
        <v>634</v>
      </c>
      <c r="Q380" t="s">
        <v>24</v>
      </c>
      <c r="T380" t="s">
        <v>635</v>
      </c>
      <c r="V380">
        <v>213590</v>
      </c>
      <c r="W380" t="s">
        <v>1175</v>
      </c>
      <c r="X380" t="s">
        <v>1176</v>
      </c>
      <c r="AC380" t="s">
        <v>27</v>
      </c>
    </row>
    <row r="381" spans="1:29">
      <c r="A381" t="s">
        <v>1171</v>
      </c>
      <c r="B381" t="s">
        <v>1172</v>
      </c>
      <c r="C381" t="s">
        <v>1173</v>
      </c>
      <c r="D381" t="s">
        <v>1174</v>
      </c>
      <c r="E381" t="s">
        <v>262</v>
      </c>
      <c r="F381" t="s">
        <v>263</v>
      </c>
      <c r="G381" t="s">
        <v>264</v>
      </c>
      <c r="H381">
        <v>4714781024730</v>
      </c>
      <c r="I381">
        <v>1</v>
      </c>
      <c r="J381">
        <v>299</v>
      </c>
      <c r="K381">
        <v>0</v>
      </c>
      <c r="L381">
        <v>0</v>
      </c>
      <c r="M381">
        <v>833</v>
      </c>
      <c r="N381" t="s">
        <v>633</v>
      </c>
      <c r="O381" t="s">
        <v>634</v>
      </c>
      <c r="Q381" t="s">
        <v>24</v>
      </c>
      <c r="T381" t="s">
        <v>635</v>
      </c>
      <c r="V381">
        <v>213590</v>
      </c>
      <c r="W381" t="s">
        <v>1175</v>
      </c>
      <c r="X381" t="s">
        <v>1176</v>
      </c>
      <c r="AC381" t="s">
        <v>27</v>
      </c>
    </row>
    <row r="382" spans="1:29">
      <c r="A382" t="s">
        <v>1177</v>
      </c>
      <c r="B382" t="s">
        <v>1178</v>
      </c>
      <c r="C382" t="s">
        <v>1179</v>
      </c>
      <c r="D382" t="s">
        <v>1180</v>
      </c>
      <c r="E382" t="s">
        <v>61</v>
      </c>
      <c r="F382" t="s">
        <v>62</v>
      </c>
      <c r="G382" t="s">
        <v>80</v>
      </c>
      <c r="H382" t="s">
        <v>81</v>
      </c>
      <c r="I382">
        <v>1</v>
      </c>
      <c r="J382">
        <v>399</v>
      </c>
      <c r="K382">
        <v>0</v>
      </c>
      <c r="L382">
        <v>0</v>
      </c>
      <c r="M382">
        <v>789</v>
      </c>
      <c r="N382" t="s">
        <v>633</v>
      </c>
      <c r="O382" t="s">
        <v>634</v>
      </c>
      <c r="Q382" t="s">
        <v>24</v>
      </c>
      <c r="T382" t="s">
        <v>635</v>
      </c>
      <c r="V382">
        <v>175065</v>
      </c>
      <c r="W382" t="s">
        <v>1181</v>
      </c>
      <c r="X382" t="s">
        <v>1182</v>
      </c>
      <c r="AC382" t="s">
        <v>27</v>
      </c>
    </row>
    <row r="383" spans="1:29">
      <c r="A383" t="s">
        <v>1177</v>
      </c>
      <c r="B383" t="s">
        <v>1178</v>
      </c>
      <c r="C383" t="s">
        <v>1179</v>
      </c>
      <c r="D383" t="s">
        <v>1180</v>
      </c>
      <c r="E383" t="s">
        <v>545</v>
      </c>
      <c r="F383" t="s">
        <v>546</v>
      </c>
      <c r="G383" t="s">
        <v>1183</v>
      </c>
      <c r="H383" t="s">
        <v>1184</v>
      </c>
      <c r="I383">
        <v>1</v>
      </c>
      <c r="J383">
        <v>390</v>
      </c>
      <c r="K383">
        <v>0</v>
      </c>
      <c r="L383">
        <v>0</v>
      </c>
      <c r="M383">
        <v>789</v>
      </c>
      <c r="N383" t="s">
        <v>633</v>
      </c>
      <c r="O383" t="s">
        <v>634</v>
      </c>
      <c r="Q383" t="s">
        <v>24</v>
      </c>
      <c r="T383" t="s">
        <v>635</v>
      </c>
      <c r="V383">
        <v>175065</v>
      </c>
      <c r="W383" t="s">
        <v>1181</v>
      </c>
      <c r="X383" t="s">
        <v>1182</v>
      </c>
      <c r="AC383" t="s">
        <v>27</v>
      </c>
    </row>
    <row r="384" spans="1:29">
      <c r="A384" t="s">
        <v>486</v>
      </c>
      <c r="B384" t="s">
        <v>487</v>
      </c>
      <c r="C384" t="s">
        <v>488</v>
      </c>
      <c r="D384" t="s">
        <v>489</v>
      </c>
      <c r="E384" t="s">
        <v>346</v>
      </c>
      <c r="F384" t="s">
        <v>347</v>
      </c>
      <c r="G384" t="s">
        <v>348</v>
      </c>
      <c r="H384">
        <v>4714781020817</v>
      </c>
      <c r="I384">
        <v>1</v>
      </c>
      <c r="J384">
        <v>128</v>
      </c>
      <c r="K384">
        <v>0</v>
      </c>
      <c r="L384">
        <v>0</v>
      </c>
      <c r="M384">
        <v>831</v>
      </c>
      <c r="N384" t="s">
        <v>22</v>
      </c>
      <c r="O384" t="s">
        <v>23</v>
      </c>
      <c r="Q384" t="s">
        <v>24</v>
      </c>
      <c r="T384" t="s">
        <v>25</v>
      </c>
      <c r="Y384">
        <v>412</v>
      </c>
      <c r="Z384" t="s">
        <v>490</v>
      </c>
      <c r="AC384" t="s">
        <v>27</v>
      </c>
    </row>
    <row r="385" spans="1:29">
      <c r="A385" t="s">
        <v>486</v>
      </c>
      <c r="B385" t="s">
        <v>487</v>
      </c>
      <c r="C385" t="s">
        <v>488</v>
      </c>
      <c r="D385" t="s">
        <v>489</v>
      </c>
      <c r="E385" t="s">
        <v>491</v>
      </c>
      <c r="F385" t="s">
        <v>492</v>
      </c>
      <c r="G385" t="s">
        <v>493</v>
      </c>
      <c r="H385">
        <v>4714781020558</v>
      </c>
      <c r="I385">
        <v>1</v>
      </c>
      <c r="J385">
        <v>168</v>
      </c>
      <c r="K385">
        <v>0</v>
      </c>
      <c r="L385">
        <v>0</v>
      </c>
      <c r="M385">
        <v>831</v>
      </c>
      <c r="N385" t="s">
        <v>22</v>
      </c>
      <c r="O385" t="s">
        <v>23</v>
      </c>
      <c r="Q385" t="s">
        <v>24</v>
      </c>
      <c r="T385" t="s">
        <v>25</v>
      </c>
      <c r="Y385">
        <v>412</v>
      </c>
      <c r="Z385" t="s">
        <v>490</v>
      </c>
      <c r="AC385" t="s">
        <v>27</v>
      </c>
    </row>
    <row r="386" spans="1:29">
      <c r="A386" t="s">
        <v>486</v>
      </c>
      <c r="B386" t="s">
        <v>487</v>
      </c>
      <c r="C386" t="s">
        <v>488</v>
      </c>
      <c r="D386" t="s">
        <v>489</v>
      </c>
      <c r="E386" t="s">
        <v>478</v>
      </c>
      <c r="F386" t="s">
        <v>479</v>
      </c>
      <c r="G386" t="s">
        <v>480</v>
      </c>
      <c r="H386">
        <v>4714781020466</v>
      </c>
      <c r="I386">
        <v>1</v>
      </c>
      <c r="J386">
        <v>168</v>
      </c>
      <c r="K386">
        <v>0</v>
      </c>
      <c r="L386">
        <v>0</v>
      </c>
      <c r="M386">
        <v>831</v>
      </c>
      <c r="N386" t="s">
        <v>22</v>
      </c>
      <c r="O386" t="s">
        <v>23</v>
      </c>
      <c r="Q386" t="s">
        <v>24</v>
      </c>
      <c r="T386" t="s">
        <v>25</v>
      </c>
      <c r="Y386">
        <v>412</v>
      </c>
      <c r="Z386" t="s">
        <v>490</v>
      </c>
      <c r="AC386" t="s">
        <v>27</v>
      </c>
    </row>
    <row r="387" spans="1:29">
      <c r="A387" t="s">
        <v>486</v>
      </c>
      <c r="B387" t="s">
        <v>487</v>
      </c>
      <c r="C387" t="s">
        <v>488</v>
      </c>
      <c r="D387" t="s">
        <v>489</v>
      </c>
      <c r="E387" t="s">
        <v>350</v>
      </c>
      <c r="F387" t="s">
        <v>351</v>
      </c>
      <c r="G387" t="s">
        <v>352</v>
      </c>
      <c r="H387">
        <v>4714781020503</v>
      </c>
      <c r="I387">
        <v>1</v>
      </c>
      <c r="J387">
        <v>168</v>
      </c>
      <c r="K387">
        <v>0</v>
      </c>
      <c r="L387">
        <v>0</v>
      </c>
      <c r="M387">
        <v>831</v>
      </c>
      <c r="N387" t="s">
        <v>22</v>
      </c>
      <c r="O387" t="s">
        <v>23</v>
      </c>
      <c r="Q387" t="s">
        <v>24</v>
      </c>
      <c r="T387" t="s">
        <v>25</v>
      </c>
      <c r="Y387">
        <v>412</v>
      </c>
      <c r="Z387" t="s">
        <v>490</v>
      </c>
      <c r="AC387" t="s">
        <v>27</v>
      </c>
    </row>
    <row r="388" spans="1:29">
      <c r="A388" t="s">
        <v>486</v>
      </c>
      <c r="B388" t="s">
        <v>487</v>
      </c>
      <c r="C388" t="s">
        <v>488</v>
      </c>
      <c r="D388" t="s">
        <v>489</v>
      </c>
      <c r="E388" t="s">
        <v>494</v>
      </c>
      <c r="F388" t="s">
        <v>495</v>
      </c>
      <c r="G388" t="s">
        <v>496</v>
      </c>
      <c r="H388" t="s">
        <v>497</v>
      </c>
      <c r="I388">
        <v>1</v>
      </c>
      <c r="J388">
        <v>199</v>
      </c>
      <c r="K388">
        <v>0</v>
      </c>
      <c r="L388">
        <v>0</v>
      </c>
      <c r="M388">
        <v>831</v>
      </c>
      <c r="N388" t="s">
        <v>22</v>
      </c>
      <c r="O388" t="s">
        <v>23</v>
      </c>
      <c r="Q388" t="s">
        <v>24</v>
      </c>
      <c r="T388" t="s">
        <v>25</v>
      </c>
      <c r="Y388">
        <v>412</v>
      </c>
      <c r="Z388" t="s">
        <v>490</v>
      </c>
      <c r="AC388" t="s">
        <v>27</v>
      </c>
    </row>
    <row r="389" spans="1:29">
      <c r="A389" t="s">
        <v>1185</v>
      </c>
      <c r="B389" t="s">
        <v>1186</v>
      </c>
      <c r="C389" t="s">
        <v>1187</v>
      </c>
      <c r="D389" t="s">
        <v>1188</v>
      </c>
      <c r="E389" t="s">
        <v>371</v>
      </c>
      <c r="F389" t="s">
        <v>372</v>
      </c>
      <c r="G389" t="s">
        <v>373</v>
      </c>
      <c r="H389">
        <v>4714781024716</v>
      </c>
      <c r="I389">
        <v>1</v>
      </c>
      <c r="J389">
        <v>299</v>
      </c>
      <c r="K389">
        <v>65</v>
      </c>
      <c r="L389">
        <v>0</v>
      </c>
      <c r="M389">
        <v>663</v>
      </c>
      <c r="N389" t="s">
        <v>633</v>
      </c>
      <c r="O389" t="s">
        <v>634</v>
      </c>
      <c r="Q389" t="s">
        <v>24</v>
      </c>
      <c r="T389" t="s">
        <v>635</v>
      </c>
      <c r="V389">
        <v>862374</v>
      </c>
      <c r="W389" t="s">
        <v>1189</v>
      </c>
      <c r="X389" t="s">
        <v>1190</v>
      </c>
      <c r="AC389" t="s">
        <v>27</v>
      </c>
    </row>
    <row r="390" spans="1:29">
      <c r="A390" t="s">
        <v>1185</v>
      </c>
      <c r="B390" t="s">
        <v>1186</v>
      </c>
      <c r="C390" t="s">
        <v>1187</v>
      </c>
      <c r="D390" t="s">
        <v>1188</v>
      </c>
      <c r="E390" t="s">
        <v>357</v>
      </c>
      <c r="F390" t="s">
        <v>358</v>
      </c>
      <c r="G390" t="s">
        <v>359</v>
      </c>
      <c r="H390">
        <v>4714781024723</v>
      </c>
      <c r="I390">
        <v>1</v>
      </c>
      <c r="J390">
        <v>299</v>
      </c>
      <c r="K390">
        <v>65</v>
      </c>
      <c r="L390">
        <v>0</v>
      </c>
      <c r="M390">
        <v>663</v>
      </c>
      <c r="N390" t="s">
        <v>633</v>
      </c>
      <c r="O390" t="s">
        <v>634</v>
      </c>
      <c r="Q390" t="s">
        <v>24</v>
      </c>
      <c r="T390" t="s">
        <v>635</v>
      </c>
      <c r="V390">
        <v>862374</v>
      </c>
      <c r="W390" t="s">
        <v>1189</v>
      </c>
      <c r="X390" t="s">
        <v>1190</v>
      </c>
      <c r="AC390" t="s">
        <v>27</v>
      </c>
    </row>
    <row r="391" spans="1:29">
      <c r="A391" t="s">
        <v>481</v>
      </c>
      <c r="B391" t="s">
        <v>482</v>
      </c>
      <c r="C391" t="s">
        <v>483</v>
      </c>
      <c r="D391" t="s">
        <v>484</v>
      </c>
      <c r="E391" t="s">
        <v>269</v>
      </c>
      <c r="F391" t="s">
        <v>270</v>
      </c>
      <c r="G391" t="s">
        <v>271</v>
      </c>
      <c r="H391">
        <v>4714781021777</v>
      </c>
      <c r="I391">
        <v>3</v>
      </c>
      <c r="J391">
        <v>1197</v>
      </c>
      <c r="K391">
        <v>0</v>
      </c>
      <c r="L391">
        <v>0</v>
      </c>
      <c r="M391">
        <v>1596</v>
      </c>
      <c r="N391" t="s">
        <v>39</v>
      </c>
      <c r="O391" t="s">
        <v>40</v>
      </c>
      <c r="Q391" t="s">
        <v>24</v>
      </c>
      <c r="T391" t="s">
        <v>25</v>
      </c>
      <c r="Y391">
        <v>221</v>
      </c>
      <c r="Z391" t="s">
        <v>485</v>
      </c>
      <c r="AC391" t="s">
        <v>42</v>
      </c>
    </row>
    <row r="392" spans="1:29">
      <c r="A392" t="s">
        <v>481</v>
      </c>
      <c r="B392" t="s">
        <v>482</v>
      </c>
      <c r="C392" t="s">
        <v>483</v>
      </c>
      <c r="D392" t="s">
        <v>484</v>
      </c>
      <c r="E392" t="s">
        <v>61</v>
      </c>
      <c r="F392" t="s">
        <v>62</v>
      </c>
      <c r="G392" t="s">
        <v>84</v>
      </c>
      <c r="H392" t="s">
        <v>85</v>
      </c>
      <c r="I392">
        <v>1</v>
      </c>
      <c r="J392">
        <v>399</v>
      </c>
      <c r="K392">
        <v>0</v>
      </c>
      <c r="L392">
        <v>0</v>
      </c>
      <c r="M392">
        <v>1596</v>
      </c>
      <c r="N392" t="s">
        <v>39</v>
      </c>
      <c r="O392" t="s">
        <v>40</v>
      </c>
      <c r="Q392" t="s">
        <v>24</v>
      </c>
      <c r="T392" t="s">
        <v>25</v>
      </c>
      <c r="Y392">
        <v>221</v>
      </c>
      <c r="Z392" t="s">
        <v>485</v>
      </c>
      <c r="AC392" t="s">
        <v>42</v>
      </c>
    </row>
    <row r="393" spans="1:29">
      <c r="A393" t="s">
        <v>469</v>
      </c>
      <c r="B393" t="s">
        <v>470</v>
      </c>
      <c r="C393" t="s">
        <v>471</v>
      </c>
      <c r="D393" t="s">
        <v>472</v>
      </c>
      <c r="E393" t="s">
        <v>473</v>
      </c>
      <c r="F393" t="s">
        <v>474</v>
      </c>
      <c r="G393" t="s">
        <v>475</v>
      </c>
      <c r="H393">
        <v>4714781021609</v>
      </c>
      <c r="I393">
        <v>1</v>
      </c>
      <c r="J393">
        <v>149</v>
      </c>
      <c r="K393">
        <v>60</v>
      </c>
      <c r="L393">
        <v>0</v>
      </c>
      <c r="M393">
        <v>505</v>
      </c>
      <c r="N393" t="s">
        <v>39</v>
      </c>
      <c r="O393" t="s">
        <v>171</v>
      </c>
      <c r="Q393" t="s">
        <v>24</v>
      </c>
      <c r="T393" t="s">
        <v>25</v>
      </c>
      <c r="Y393">
        <v>334</v>
      </c>
      <c r="Z393" t="s">
        <v>476</v>
      </c>
      <c r="AC393" t="s">
        <v>42</v>
      </c>
    </row>
    <row r="394" spans="1:29">
      <c r="A394" t="s">
        <v>469</v>
      </c>
      <c r="B394" t="s">
        <v>470</v>
      </c>
      <c r="C394" t="s">
        <v>471</v>
      </c>
      <c r="D394" t="s">
        <v>472</v>
      </c>
      <c r="E394" t="s">
        <v>142</v>
      </c>
      <c r="F394" t="s">
        <v>477</v>
      </c>
      <c r="G394" t="s">
        <v>144</v>
      </c>
      <c r="H394">
        <v>4714781020794</v>
      </c>
      <c r="I394">
        <v>1</v>
      </c>
      <c r="J394">
        <v>128</v>
      </c>
      <c r="K394">
        <v>60</v>
      </c>
      <c r="L394">
        <v>0</v>
      </c>
      <c r="M394">
        <v>505</v>
      </c>
      <c r="N394" t="s">
        <v>39</v>
      </c>
      <c r="O394" t="s">
        <v>171</v>
      </c>
      <c r="Q394" t="s">
        <v>24</v>
      </c>
      <c r="T394" t="s">
        <v>25</v>
      </c>
      <c r="Y394">
        <v>334</v>
      </c>
      <c r="Z394" t="s">
        <v>476</v>
      </c>
      <c r="AC394" t="s">
        <v>42</v>
      </c>
    </row>
    <row r="395" spans="1:29">
      <c r="A395" t="s">
        <v>469</v>
      </c>
      <c r="B395" t="s">
        <v>470</v>
      </c>
      <c r="C395" t="s">
        <v>471</v>
      </c>
      <c r="D395" t="s">
        <v>472</v>
      </c>
      <c r="E395" t="s">
        <v>478</v>
      </c>
      <c r="F395" t="s">
        <v>479</v>
      </c>
      <c r="G395" t="s">
        <v>480</v>
      </c>
      <c r="H395">
        <v>4714781020466</v>
      </c>
      <c r="I395">
        <v>1</v>
      </c>
      <c r="J395">
        <v>168</v>
      </c>
      <c r="K395">
        <v>60</v>
      </c>
      <c r="L395">
        <v>0</v>
      </c>
      <c r="M395">
        <v>505</v>
      </c>
      <c r="N395" t="s">
        <v>39</v>
      </c>
      <c r="O395" t="s">
        <v>171</v>
      </c>
      <c r="Q395" t="s">
        <v>24</v>
      </c>
      <c r="T395" t="s">
        <v>25</v>
      </c>
      <c r="Y395">
        <v>334</v>
      </c>
      <c r="Z395" t="s">
        <v>476</v>
      </c>
      <c r="AC395" t="s">
        <v>42</v>
      </c>
    </row>
    <row r="396" spans="1:29">
      <c r="A396" t="s">
        <v>1191</v>
      </c>
      <c r="B396" t="s">
        <v>1192</v>
      </c>
      <c r="C396" t="s">
        <v>1193</v>
      </c>
      <c r="D396" t="s">
        <v>1194</v>
      </c>
      <c r="E396" t="s">
        <v>18</v>
      </c>
      <c r="F396" t="s">
        <v>19</v>
      </c>
      <c r="G396" t="s">
        <v>20</v>
      </c>
      <c r="H396" t="s">
        <v>21</v>
      </c>
      <c r="I396">
        <v>1</v>
      </c>
      <c r="J396">
        <v>888</v>
      </c>
      <c r="K396">
        <v>0</v>
      </c>
      <c r="L396">
        <v>0</v>
      </c>
      <c r="M396">
        <v>1246</v>
      </c>
      <c r="N396" t="s">
        <v>633</v>
      </c>
      <c r="O396" t="s">
        <v>634</v>
      </c>
      <c r="Q396" t="s">
        <v>24</v>
      </c>
      <c r="T396" t="s">
        <v>635</v>
      </c>
      <c r="V396">
        <v>881940</v>
      </c>
      <c r="W396" t="s">
        <v>1195</v>
      </c>
      <c r="X396" t="s">
        <v>1196</v>
      </c>
      <c r="AC396" t="s">
        <v>27</v>
      </c>
    </row>
    <row r="397" spans="1:29">
      <c r="A397" t="s">
        <v>1191</v>
      </c>
      <c r="B397" t="s">
        <v>1192</v>
      </c>
      <c r="C397" t="s">
        <v>1193</v>
      </c>
      <c r="D397" t="s">
        <v>1194</v>
      </c>
      <c r="E397" t="s">
        <v>273</v>
      </c>
      <c r="F397" t="s">
        <v>274</v>
      </c>
      <c r="G397" t="s">
        <v>275</v>
      </c>
      <c r="H397">
        <v>4714781020282</v>
      </c>
      <c r="I397">
        <v>1</v>
      </c>
      <c r="J397">
        <v>299</v>
      </c>
      <c r="K397">
        <v>0</v>
      </c>
      <c r="L397">
        <v>0</v>
      </c>
      <c r="M397">
        <v>1246</v>
      </c>
      <c r="N397" t="s">
        <v>633</v>
      </c>
      <c r="O397" t="s">
        <v>634</v>
      </c>
      <c r="Q397" t="s">
        <v>24</v>
      </c>
      <c r="T397" t="s">
        <v>635</v>
      </c>
      <c r="V397">
        <v>881940</v>
      </c>
      <c r="W397" t="s">
        <v>1195</v>
      </c>
      <c r="X397" t="s">
        <v>1196</v>
      </c>
      <c r="AC397" t="s">
        <v>27</v>
      </c>
    </row>
    <row r="398" spans="1:29">
      <c r="A398" t="s">
        <v>1191</v>
      </c>
      <c r="B398" t="s">
        <v>1192</v>
      </c>
      <c r="C398" t="s">
        <v>1193</v>
      </c>
      <c r="D398" t="s">
        <v>1194</v>
      </c>
      <c r="E398" t="s">
        <v>1197</v>
      </c>
      <c r="F398" t="s">
        <v>1198</v>
      </c>
      <c r="G398" t="s">
        <v>1199</v>
      </c>
      <c r="H398">
        <v>4714781020152</v>
      </c>
      <c r="I398">
        <v>1</v>
      </c>
      <c r="J398">
        <v>59</v>
      </c>
      <c r="K398">
        <v>0</v>
      </c>
      <c r="L398">
        <v>0</v>
      </c>
      <c r="M398">
        <v>1246</v>
      </c>
      <c r="N398" t="s">
        <v>633</v>
      </c>
      <c r="O398" t="s">
        <v>634</v>
      </c>
      <c r="Q398" t="s">
        <v>24</v>
      </c>
      <c r="T398" t="s">
        <v>635</v>
      </c>
      <c r="V398">
        <v>881940</v>
      </c>
      <c r="W398" t="s">
        <v>1195</v>
      </c>
      <c r="X398" t="s">
        <v>1196</v>
      </c>
      <c r="AC398" t="s">
        <v>27</v>
      </c>
    </row>
    <row r="399" spans="1:29">
      <c r="A399" t="s">
        <v>464</v>
      </c>
      <c r="B399" t="s">
        <v>465</v>
      </c>
      <c r="C399" t="s">
        <v>466</v>
      </c>
      <c r="D399" t="s">
        <v>467</v>
      </c>
      <c r="E399" t="s">
        <v>61</v>
      </c>
      <c r="F399" t="s">
        <v>62</v>
      </c>
      <c r="G399" t="s">
        <v>80</v>
      </c>
      <c r="H399" t="s">
        <v>81</v>
      </c>
      <c r="I399">
        <v>1</v>
      </c>
      <c r="J399">
        <v>399</v>
      </c>
      <c r="K399">
        <v>0</v>
      </c>
      <c r="L399">
        <v>0</v>
      </c>
      <c r="M399">
        <v>798</v>
      </c>
      <c r="N399" t="s">
        <v>39</v>
      </c>
      <c r="O399" t="s">
        <v>40</v>
      </c>
      <c r="Q399" t="s">
        <v>24</v>
      </c>
      <c r="T399" t="s">
        <v>25</v>
      </c>
      <c r="Y399">
        <v>804</v>
      </c>
      <c r="Z399" t="s">
        <v>468</v>
      </c>
      <c r="AC399" t="s">
        <v>42</v>
      </c>
    </row>
    <row r="400" spans="1:29">
      <c r="A400" t="s">
        <v>464</v>
      </c>
      <c r="B400" t="s">
        <v>465</v>
      </c>
      <c r="C400" t="s">
        <v>466</v>
      </c>
      <c r="D400" t="s">
        <v>467</v>
      </c>
      <c r="E400" t="s">
        <v>61</v>
      </c>
      <c r="F400" t="s">
        <v>62</v>
      </c>
      <c r="G400" t="s">
        <v>178</v>
      </c>
      <c r="H400" t="s">
        <v>179</v>
      </c>
      <c r="I400">
        <v>1</v>
      </c>
      <c r="J400">
        <v>399</v>
      </c>
      <c r="K400">
        <v>0</v>
      </c>
      <c r="L400">
        <v>0</v>
      </c>
      <c r="M400">
        <v>798</v>
      </c>
      <c r="N400" t="s">
        <v>39</v>
      </c>
      <c r="O400" t="s">
        <v>40</v>
      </c>
      <c r="Q400" t="s">
        <v>24</v>
      </c>
      <c r="T400" t="s">
        <v>25</v>
      </c>
      <c r="Y400">
        <v>804</v>
      </c>
      <c r="Z400" t="s">
        <v>468</v>
      </c>
      <c r="AC400" t="s">
        <v>42</v>
      </c>
    </row>
    <row r="401" spans="1:29">
      <c r="A401" t="s">
        <v>455</v>
      </c>
      <c r="B401" t="s">
        <v>456</v>
      </c>
      <c r="C401" t="s">
        <v>457</v>
      </c>
      <c r="D401" t="s">
        <v>458</v>
      </c>
      <c r="E401" t="s">
        <v>459</v>
      </c>
      <c r="F401" t="s">
        <v>460</v>
      </c>
      <c r="G401" t="s">
        <v>461</v>
      </c>
      <c r="H401" t="s">
        <v>462</v>
      </c>
      <c r="I401">
        <v>1</v>
      </c>
      <c r="J401">
        <v>1160</v>
      </c>
      <c r="K401">
        <v>0</v>
      </c>
      <c r="L401">
        <v>0</v>
      </c>
      <c r="M401">
        <v>1102</v>
      </c>
      <c r="N401" t="s">
        <v>39</v>
      </c>
      <c r="O401" t="s">
        <v>40</v>
      </c>
      <c r="Q401" t="s">
        <v>24</v>
      </c>
      <c r="T401" t="s">
        <v>25</v>
      </c>
      <c r="Y401">
        <v>320</v>
      </c>
      <c r="Z401" t="s">
        <v>463</v>
      </c>
      <c r="AC401" t="s">
        <v>42</v>
      </c>
    </row>
    <row r="402" spans="1:29">
      <c r="A402" t="s">
        <v>455</v>
      </c>
      <c r="B402" t="s">
        <v>456</v>
      </c>
      <c r="C402" t="s">
        <v>457</v>
      </c>
      <c r="D402" t="s">
        <v>458</v>
      </c>
      <c r="E402" t="s">
        <v>45</v>
      </c>
      <c r="F402" t="s">
        <v>46</v>
      </c>
      <c r="G402" t="s">
        <v>47</v>
      </c>
      <c r="I402">
        <v>1</v>
      </c>
      <c r="J402">
        <v>-58</v>
      </c>
      <c r="K402">
        <v>0</v>
      </c>
      <c r="L402">
        <v>0</v>
      </c>
      <c r="M402">
        <v>1102</v>
      </c>
      <c r="N402" t="s">
        <v>39</v>
      </c>
      <c r="O402" t="s">
        <v>40</v>
      </c>
      <c r="Q402" t="s">
        <v>24</v>
      </c>
      <c r="T402" t="s">
        <v>25</v>
      </c>
      <c r="Y402">
        <v>320</v>
      </c>
      <c r="Z402" t="s">
        <v>463</v>
      </c>
      <c r="AC402" t="s">
        <v>42</v>
      </c>
    </row>
    <row r="403" spans="1:29">
      <c r="A403" t="s">
        <v>455</v>
      </c>
      <c r="B403" t="s">
        <v>456</v>
      </c>
      <c r="C403" t="s">
        <v>457</v>
      </c>
      <c r="D403" t="s">
        <v>458</v>
      </c>
      <c r="E403" t="s">
        <v>300</v>
      </c>
      <c r="F403" t="s">
        <v>301</v>
      </c>
      <c r="I403">
        <v>1</v>
      </c>
      <c r="J403">
        <v>0</v>
      </c>
      <c r="K403">
        <v>0</v>
      </c>
      <c r="L403">
        <v>0</v>
      </c>
      <c r="M403">
        <v>1102</v>
      </c>
      <c r="N403" t="s">
        <v>39</v>
      </c>
      <c r="O403" t="s">
        <v>40</v>
      </c>
      <c r="Q403" t="s">
        <v>24</v>
      </c>
      <c r="T403" t="s">
        <v>25</v>
      </c>
      <c r="Y403">
        <v>320</v>
      </c>
      <c r="Z403" t="s">
        <v>463</v>
      </c>
      <c r="AC403" t="s">
        <v>42</v>
      </c>
    </row>
    <row r="404" spans="1:29">
      <c r="A404" t="s">
        <v>455</v>
      </c>
      <c r="B404" t="s">
        <v>456</v>
      </c>
      <c r="C404" t="s">
        <v>457</v>
      </c>
      <c r="D404" t="s">
        <v>458</v>
      </c>
      <c r="E404" t="s">
        <v>48</v>
      </c>
      <c r="F404" t="s">
        <v>49</v>
      </c>
      <c r="G404" t="s">
        <v>50</v>
      </c>
      <c r="I404">
        <v>1</v>
      </c>
      <c r="J404">
        <v>58</v>
      </c>
      <c r="K404">
        <v>0</v>
      </c>
      <c r="L404">
        <v>0</v>
      </c>
      <c r="M404">
        <v>1102</v>
      </c>
      <c r="N404" t="s">
        <v>39</v>
      </c>
      <c r="O404" t="s">
        <v>40</v>
      </c>
      <c r="Q404" t="s">
        <v>24</v>
      </c>
      <c r="T404" t="s">
        <v>25</v>
      </c>
      <c r="Y404">
        <v>320</v>
      </c>
      <c r="Z404" t="s">
        <v>463</v>
      </c>
      <c r="AC404" t="s">
        <v>42</v>
      </c>
    </row>
    <row r="405" spans="1:29">
      <c r="A405" t="s">
        <v>1200</v>
      </c>
      <c r="B405" t="s">
        <v>1201</v>
      </c>
      <c r="C405" t="s">
        <v>1202</v>
      </c>
      <c r="D405" t="s">
        <v>1203</v>
      </c>
      <c r="E405" t="s">
        <v>61</v>
      </c>
      <c r="F405" t="s">
        <v>62</v>
      </c>
      <c r="G405" t="s">
        <v>84</v>
      </c>
      <c r="H405" t="s">
        <v>85</v>
      </c>
      <c r="I405">
        <v>2</v>
      </c>
      <c r="J405">
        <v>798</v>
      </c>
      <c r="K405">
        <v>0</v>
      </c>
      <c r="L405">
        <v>0</v>
      </c>
      <c r="M405">
        <v>867</v>
      </c>
      <c r="N405" t="s">
        <v>633</v>
      </c>
      <c r="O405" t="s">
        <v>634</v>
      </c>
      <c r="Q405" t="s">
        <v>24</v>
      </c>
      <c r="T405" t="s">
        <v>635</v>
      </c>
      <c r="V405">
        <v>147967</v>
      </c>
      <c r="W405" t="s">
        <v>1204</v>
      </c>
      <c r="X405" t="s">
        <v>1205</v>
      </c>
      <c r="AC405" t="s">
        <v>27</v>
      </c>
    </row>
    <row r="406" spans="1:29">
      <c r="A406" t="s">
        <v>1200</v>
      </c>
      <c r="B406" t="s">
        <v>1201</v>
      </c>
      <c r="C406" t="s">
        <v>1202</v>
      </c>
      <c r="D406" t="s">
        <v>1203</v>
      </c>
      <c r="E406" t="s">
        <v>86</v>
      </c>
      <c r="F406" t="s">
        <v>87</v>
      </c>
      <c r="G406" t="s">
        <v>88</v>
      </c>
      <c r="H406">
        <v>4714781021234</v>
      </c>
      <c r="I406">
        <v>1</v>
      </c>
      <c r="J406">
        <v>69</v>
      </c>
      <c r="K406">
        <v>0</v>
      </c>
      <c r="L406">
        <v>0</v>
      </c>
      <c r="M406">
        <v>867</v>
      </c>
      <c r="N406" t="s">
        <v>633</v>
      </c>
      <c r="O406" t="s">
        <v>634</v>
      </c>
      <c r="Q406" t="s">
        <v>24</v>
      </c>
      <c r="T406" t="s">
        <v>635</v>
      </c>
      <c r="V406">
        <v>147967</v>
      </c>
      <c r="W406" t="s">
        <v>1204</v>
      </c>
      <c r="X406" t="s">
        <v>1205</v>
      </c>
      <c r="AC406" t="s">
        <v>27</v>
      </c>
    </row>
    <row r="407" spans="1:29">
      <c r="A407" t="s">
        <v>450</v>
      </c>
      <c r="B407" t="s">
        <v>451</v>
      </c>
      <c r="C407" t="s">
        <v>452</v>
      </c>
      <c r="D407" t="s">
        <v>453</v>
      </c>
      <c r="E407" t="s">
        <v>296</v>
      </c>
      <c r="F407" t="s">
        <v>297</v>
      </c>
      <c r="G407" t="s">
        <v>298</v>
      </c>
      <c r="H407" t="s">
        <v>299</v>
      </c>
      <c r="I407">
        <v>1</v>
      </c>
      <c r="J407">
        <v>270</v>
      </c>
      <c r="K407">
        <v>0</v>
      </c>
      <c r="L407">
        <v>0</v>
      </c>
      <c r="M407">
        <v>1069</v>
      </c>
      <c r="N407" t="s">
        <v>39</v>
      </c>
      <c r="O407" t="s">
        <v>171</v>
      </c>
      <c r="Q407" t="s">
        <v>24</v>
      </c>
      <c r="T407" t="s">
        <v>25</v>
      </c>
      <c r="Y407">
        <v>402</v>
      </c>
      <c r="Z407" t="s">
        <v>454</v>
      </c>
      <c r="AC407" t="s">
        <v>42</v>
      </c>
    </row>
    <row r="408" spans="1:29">
      <c r="A408" t="s">
        <v>450</v>
      </c>
      <c r="B408" t="s">
        <v>451</v>
      </c>
      <c r="C408" t="s">
        <v>452</v>
      </c>
      <c r="D408" t="s">
        <v>453</v>
      </c>
      <c r="E408" t="s">
        <v>433</v>
      </c>
      <c r="F408" t="s">
        <v>434</v>
      </c>
      <c r="G408" t="s">
        <v>435</v>
      </c>
      <c r="H408" t="s">
        <v>436</v>
      </c>
      <c r="I408">
        <v>1</v>
      </c>
      <c r="J408">
        <v>799</v>
      </c>
      <c r="K408">
        <v>0</v>
      </c>
      <c r="L408">
        <v>0</v>
      </c>
      <c r="M408">
        <v>1069</v>
      </c>
      <c r="N408" t="s">
        <v>39</v>
      </c>
      <c r="O408" t="s">
        <v>171</v>
      </c>
      <c r="Q408" t="s">
        <v>24</v>
      </c>
      <c r="T408" t="s">
        <v>25</v>
      </c>
      <c r="Y408">
        <v>402</v>
      </c>
      <c r="Z408" t="s">
        <v>454</v>
      </c>
      <c r="AC408" t="s">
        <v>42</v>
      </c>
    </row>
    <row r="409" spans="1:29">
      <c r="A409" t="s">
        <v>450</v>
      </c>
      <c r="B409" t="s">
        <v>451</v>
      </c>
      <c r="C409" t="s">
        <v>452</v>
      </c>
      <c r="D409" t="s">
        <v>453</v>
      </c>
      <c r="E409" t="s">
        <v>300</v>
      </c>
      <c r="F409" t="s">
        <v>301</v>
      </c>
      <c r="I409">
        <v>1</v>
      </c>
      <c r="J409">
        <v>0</v>
      </c>
      <c r="K409">
        <v>0</v>
      </c>
      <c r="L409">
        <v>0</v>
      </c>
      <c r="M409">
        <v>1069</v>
      </c>
      <c r="N409" t="s">
        <v>39</v>
      </c>
      <c r="O409" t="s">
        <v>171</v>
      </c>
      <c r="Q409" t="s">
        <v>24</v>
      </c>
      <c r="T409" t="s">
        <v>25</v>
      </c>
      <c r="Y409">
        <v>402</v>
      </c>
      <c r="Z409" t="s">
        <v>454</v>
      </c>
      <c r="AC409" t="s">
        <v>42</v>
      </c>
    </row>
    <row r="410" spans="1:29">
      <c r="A410" t="s">
        <v>441</v>
      </c>
      <c r="B410" t="s">
        <v>442</v>
      </c>
      <c r="C410" t="s">
        <v>443</v>
      </c>
      <c r="D410" t="s">
        <v>444</v>
      </c>
      <c r="E410" t="s">
        <v>445</v>
      </c>
      <c r="F410" t="s">
        <v>446</v>
      </c>
      <c r="G410" t="s">
        <v>447</v>
      </c>
      <c r="H410" t="s">
        <v>448</v>
      </c>
      <c r="I410">
        <v>1</v>
      </c>
      <c r="J410">
        <v>1320</v>
      </c>
      <c r="K410">
        <v>0</v>
      </c>
      <c r="L410">
        <v>0</v>
      </c>
      <c r="M410">
        <v>1254</v>
      </c>
      <c r="N410" t="s">
        <v>39</v>
      </c>
      <c r="O410" t="s">
        <v>171</v>
      </c>
      <c r="Q410" t="s">
        <v>24</v>
      </c>
      <c r="T410" t="s">
        <v>25</v>
      </c>
      <c r="Y410">
        <v>815</v>
      </c>
      <c r="Z410" t="s">
        <v>449</v>
      </c>
      <c r="AC410" t="s">
        <v>42</v>
      </c>
    </row>
    <row r="411" spans="1:29">
      <c r="A411" t="s">
        <v>441</v>
      </c>
      <c r="B411" t="s">
        <v>442</v>
      </c>
      <c r="C411" t="s">
        <v>443</v>
      </c>
      <c r="D411" t="s">
        <v>444</v>
      </c>
      <c r="E411" t="s">
        <v>45</v>
      </c>
      <c r="F411" t="s">
        <v>46</v>
      </c>
      <c r="G411" t="s">
        <v>47</v>
      </c>
      <c r="I411">
        <v>1</v>
      </c>
      <c r="J411">
        <v>-66</v>
      </c>
      <c r="K411">
        <v>0</v>
      </c>
      <c r="L411">
        <v>0</v>
      </c>
      <c r="M411">
        <v>1254</v>
      </c>
      <c r="N411" t="s">
        <v>39</v>
      </c>
      <c r="O411" t="s">
        <v>171</v>
      </c>
      <c r="Q411" t="s">
        <v>24</v>
      </c>
      <c r="T411" t="s">
        <v>25</v>
      </c>
      <c r="Y411">
        <v>815</v>
      </c>
      <c r="Z411" t="s">
        <v>449</v>
      </c>
      <c r="AC411" t="s">
        <v>42</v>
      </c>
    </row>
    <row r="412" spans="1:29">
      <c r="A412" t="s">
        <v>441</v>
      </c>
      <c r="B412" t="s">
        <v>442</v>
      </c>
      <c r="C412" t="s">
        <v>443</v>
      </c>
      <c r="D412" t="s">
        <v>444</v>
      </c>
      <c r="E412" t="s">
        <v>300</v>
      </c>
      <c r="F412" t="s">
        <v>301</v>
      </c>
      <c r="I412">
        <v>1</v>
      </c>
      <c r="J412">
        <v>0</v>
      </c>
      <c r="K412">
        <v>0</v>
      </c>
      <c r="L412">
        <v>0</v>
      </c>
      <c r="M412">
        <v>1254</v>
      </c>
      <c r="N412" t="s">
        <v>39</v>
      </c>
      <c r="O412" t="s">
        <v>171</v>
      </c>
      <c r="Q412" t="s">
        <v>24</v>
      </c>
      <c r="T412" t="s">
        <v>25</v>
      </c>
      <c r="Y412">
        <v>815</v>
      </c>
      <c r="Z412" t="s">
        <v>449</v>
      </c>
      <c r="AC412" t="s">
        <v>42</v>
      </c>
    </row>
    <row r="413" spans="1:29">
      <c r="A413" t="s">
        <v>441</v>
      </c>
      <c r="B413" t="s">
        <v>442</v>
      </c>
      <c r="C413" t="s">
        <v>443</v>
      </c>
      <c r="D413" t="s">
        <v>444</v>
      </c>
      <c r="E413" t="s">
        <v>48</v>
      </c>
      <c r="F413" t="s">
        <v>49</v>
      </c>
      <c r="G413" t="s">
        <v>50</v>
      </c>
      <c r="I413">
        <v>1</v>
      </c>
      <c r="J413">
        <v>66</v>
      </c>
      <c r="K413">
        <v>0</v>
      </c>
      <c r="L413">
        <v>0</v>
      </c>
      <c r="M413">
        <v>1254</v>
      </c>
      <c r="N413" t="s">
        <v>39</v>
      </c>
      <c r="O413" t="s">
        <v>171</v>
      </c>
      <c r="Q413" t="s">
        <v>24</v>
      </c>
      <c r="T413" t="s">
        <v>25</v>
      </c>
      <c r="Y413">
        <v>815</v>
      </c>
      <c r="Z413" t="s">
        <v>449</v>
      </c>
      <c r="AC413" t="s">
        <v>42</v>
      </c>
    </row>
    <row r="414" spans="1:29">
      <c r="A414" t="s">
        <v>429</v>
      </c>
      <c r="B414" t="s">
        <v>430</v>
      </c>
      <c r="C414" t="s">
        <v>431</v>
      </c>
      <c r="D414" t="s">
        <v>432</v>
      </c>
      <c r="E414" t="s">
        <v>433</v>
      </c>
      <c r="F414" t="s">
        <v>434</v>
      </c>
      <c r="G414" t="s">
        <v>435</v>
      </c>
      <c r="H414" t="s">
        <v>436</v>
      </c>
      <c r="I414">
        <v>1</v>
      </c>
      <c r="J414">
        <v>799</v>
      </c>
      <c r="K414">
        <v>0</v>
      </c>
      <c r="L414">
        <v>0</v>
      </c>
      <c r="M414">
        <v>858</v>
      </c>
      <c r="N414" t="s">
        <v>39</v>
      </c>
      <c r="O414" t="s">
        <v>59</v>
      </c>
      <c r="Q414" t="s">
        <v>24</v>
      </c>
      <c r="T414" t="s">
        <v>25</v>
      </c>
      <c r="Y414">
        <v>242</v>
      </c>
      <c r="Z414" t="s">
        <v>437</v>
      </c>
      <c r="AC414" t="s">
        <v>42</v>
      </c>
    </row>
    <row r="415" spans="1:29">
      <c r="A415" t="s">
        <v>429</v>
      </c>
      <c r="B415" t="s">
        <v>430</v>
      </c>
      <c r="C415" t="s">
        <v>431</v>
      </c>
      <c r="D415" t="s">
        <v>432</v>
      </c>
      <c r="E415" t="s">
        <v>438</v>
      </c>
      <c r="F415" t="s">
        <v>439</v>
      </c>
      <c r="G415" t="s">
        <v>440</v>
      </c>
      <c r="H415">
        <v>4714781021241</v>
      </c>
      <c r="I415">
        <v>1</v>
      </c>
      <c r="J415">
        <v>59</v>
      </c>
      <c r="K415">
        <v>0</v>
      </c>
      <c r="L415">
        <v>0</v>
      </c>
      <c r="M415">
        <v>858</v>
      </c>
      <c r="N415" t="s">
        <v>39</v>
      </c>
      <c r="O415" t="s">
        <v>59</v>
      </c>
      <c r="Q415" t="s">
        <v>24</v>
      </c>
      <c r="T415" t="s">
        <v>25</v>
      </c>
      <c r="Y415">
        <v>242</v>
      </c>
      <c r="Z415" t="s">
        <v>437</v>
      </c>
      <c r="AC415" t="s">
        <v>42</v>
      </c>
    </row>
    <row r="416" spans="1:29">
      <c r="A416" t="s">
        <v>1206</v>
      </c>
      <c r="B416" t="s">
        <v>1207</v>
      </c>
      <c r="C416" t="s">
        <v>1208</v>
      </c>
      <c r="D416" t="s">
        <v>1209</v>
      </c>
      <c r="E416" t="s">
        <v>346</v>
      </c>
      <c r="F416" t="s">
        <v>347</v>
      </c>
      <c r="G416" t="s">
        <v>348</v>
      </c>
      <c r="H416">
        <v>4714781020817</v>
      </c>
      <c r="I416">
        <v>1</v>
      </c>
      <c r="J416">
        <v>128</v>
      </c>
      <c r="K416">
        <v>0</v>
      </c>
      <c r="L416">
        <v>0</v>
      </c>
      <c r="M416">
        <v>726</v>
      </c>
      <c r="N416" t="s">
        <v>633</v>
      </c>
      <c r="O416" t="s">
        <v>634</v>
      </c>
      <c r="Q416" t="s">
        <v>24</v>
      </c>
      <c r="S416">
        <v>74720476</v>
      </c>
      <c r="T416" t="s">
        <v>635</v>
      </c>
      <c r="V416">
        <v>214386</v>
      </c>
      <c r="W416" t="s">
        <v>1210</v>
      </c>
      <c r="X416" t="s">
        <v>1211</v>
      </c>
      <c r="AC416" t="s">
        <v>27</v>
      </c>
    </row>
    <row r="417" spans="1:29">
      <c r="A417" t="s">
        <v>1206</v>
      </c>
      <c r="B417" t="s">
        <v>1207</v>
      </c>
      <c r="C417" t="s">
        <v>1208</v>
      </c>
      <c r="D417" t="s">
        <v>1209</v>
      </c>
      <c r="E417" t="s">
        <v>273</v>
      </c>
      <c r="F417" t="s">
        <v>274</v>
      </c>
      <c r="G417" t="s">
        <v>275</v>
      </c>
      <c r="H417">
        <v>4714781020282</v>
      </c>
      <c r="I417">
        <v>1</v>
      </c>
      <c r="J417">
        <v>299</v>
      </c>
      <c r="K417">
        <v>0</v>
      </c>
      <c r="L417">
        <v>0</v>
      </c>
      <c r="M417">
        <v>726</v>
      </c>
      <c r="N417" t="s">
        <v>633</v>
      </c>
      <c r="O417" t="s">
        <v>634</v>
      </c>
      <c r="Q417" t="s">
        <v>24</v>
      </c>
      <c r="S417">
        <v>74720476</v>
      </c>
      <c r="T417" t="s">
        <v>635</v>
      </c>
      <c r="V417">
        <v>214386</v>
      </c>
      <c r="W417" t="s">
        <v>1210</v>
      </c>
      <c r="X417" t="s">
        <v>1211</v>
      </c>
      <c r="AC417" t="s">
        <v>27</v>
      </c>
    </row>
    <row r="418" spans="1:29">
      <c r="A418" t="s">
        <v>1206</v>
      </c>
      <c r="B418" t="s">
        <v>1207</v>
      </c>
      <c r="C418" t="s">
        <v>1208</v>
      </c>
      <c r="D418" t="s">
        <v>1209</v>
      </c>
      <c r="E418" t="s">
        <v>371</v>
      </c>
      <c r="F418" t="s">
        <v>372</v>
      </c>
      <c r="G418" t="s">
        <v>373</v>
      </c>
      <c r="H418">
        <v>4714781024716</v>
      </c>
      <c r="I418">
        <v>1</v>
      </c>
      <c r="J418">
        <v>299</v>
      </c>
      <c r="K418">
        <v>0</v>
      </c>
      <c r="L418">
        <v>0</v>
      </c>
      <c r="M418">
        <v>726</v>
      </c>
      <c r="N418" t="s">
        <v>633</v>
      </c>
      <c r="O418" t="s">
        <v>634</v>
      </c>
      <c r="Q418" t="s">
        <v>24</v>
      </c>
      <c r="S418">
        <v>74720476</v>
      </c>
      <c r="T418" t="s">
        <v>635</v>
      </c>
      <c r="V418">
        <v>214386</v>
      </c>
      <c r="W418" t="s">
        <v>1210</v>
      </c>
      <c r="X418" t="s">
        <v>1211</v>
      </c>
      <c r="AC418" t="s">
        <v>27</v>
      </c>
    </row>
    <row r="419" spans="1:29">
      <c r="A419" t="s">
        <v>1212</v>
      </c>
      <c r="B419" t="s">
        <v>1213</v>
      </c>
      <c r="C419" t="s">
        <v>1214</v>
      </c>
      <c r="D419" t="s">
        <v>1215</v>
      </c>
      <c r="E419" t="s">
        <v>262</v>
      </c>
      <c r="F419" t="s">
        <v>263</v>
      </c>
      <c r="G419" t="s">
        <v>264</v>
      </c>
      <c r="H419">
        <v>4714781024730</v>
      </c>
      <c r="I419">
        <v>1</v>
      </c>
      <c r="J419">
        <v>299</v>
      </c>
      <c r="K419">
        <v>65</v>
      </c>
      <c r="L419">
        <v>0</v>
      </c>
      <c r="M419">
        <v>364</v>
      </c>
      <c r="N419" t="s">
        <v>633</v>
      </c>
      <c r="O419" t="s">
        <v>634</v>
      </c>
      <c r="Q419" t="s">
        <v>24</v>
      </c>
      <c r="T419" t="s">
        <v>635</v>
      </c>
      <c r="V419">
        <v>208657</v>
      </c>
      <c r="W419" t="s">
        <v>1216</v>
      </c>
      <c r="X419" t="s">
        <v>1217</v>
      </c>
      <c r="AC419" t="s">
        <v>27</v>
      </c>
    </row>
    <row r="420" spans="1:29">
      <c r="A420" t="s">
        <v>1218</v>
      </c>
      <c r="B420" t="s">
        <v>1219</v>
      </c>
      <c r="C420" t="s">
        <v>1220</v>
      </c>
      <c r="D420" t="s">
        <v>1221</v>
      </c>
      <c r="E420" t="s">
        <v>203</v>
      </c>
      <c r="F420" t="s">
        <v>204</v>
      </c>
      <c r="G420" t="s">
        <v>205</v>
      </c>
      <c r="H420" t="s">
        <v>206</v>
      </c>
      <c r="I420">
        <v>1</v>
      </c>
      <c r="J420">
        <v>528</v>
      </c>
      <c r="K420">
        <v>65</v>
      </c>
      <c r="L420">
        <v>0</v>
      </c>
      <c r="M420">
        <v>593</v>
      </c>
      <c r="N420" t="s">
        <v>633</v>
      </c>
      <c r="O420" t="s">
        <v>634</v>
      </c>
      <c r="Q420" t="s">
        <v>24</v>
      </c>
      <c r="T420" t="s">
        <v>635</v>
      </c>
      <c r="V420">
        <v>216555</v>
      </c>
      <c r="W420" t="s">
        <v>1222</v>
      </c>
      <c r="X420" t="s">
        <v>1223</v>
      </c>
      <c r="AC420" t="s">
        <v>27</v>
      </c>
    </row>
    <row r="421" spans="1:29">
      <c r="A421" t="s">
        <v>1224</v>
      </c>
      <c r="B421" t="s">
        <v>1225</v>
      </c>
      <c r="C421" t="s">
        <v>1226</v>
      </c>
      <c r="D421" t="s">
        <v>1227</v>
      </c>
      <c r="E421" t="s">
        <v>203</v>
      </c>
      <c r="F421" t="s">
        <v>204</v>
      </c>
      <c r="G421" t="s">
        <v>205</v>
      </c>
      <c r="H421" t="s">
        <v>206</v>
      </c>
      <c r="I421">
        <v>1</v>
      </c>
      <c r="J421">
        <v>528</v>
      </c>
      <c r="K421">
        <v>65</v>
      </c>
      <c r="L421">
        <v>0</v>
      </c>
      <c r="M421">
        <v>593</v>
      </c>
      <c r="N421" t="s">
        <v>633</v>
      </c>
      <c r="O421" t="s">
        <v>634</v>
      </c>
      <c r="Q421" t="s">
        <v>24</v>
      </c>
      <c r="T421" t="s">
        <v>635</v>
      </c>
      <c r="V421">
        <v>238599</v>
      </c>
      <c r="W421" t="s">
        <v>1228</v>
      </c>
      <c r="X421" t="s">
        <v>1229</v>
      </c>
      <c r="AC421" t="s">
        <v>27</v>
      </c>
    </row>
    <row r="422" spans="1:29">
      <c r="A422" t="s">
        <v>1230</v>
      </c>
      <c r="B422" t="s">
        <v>1231</v>
      </c>
      <c r="C422" t="s">
        <v>1232</v>
      </c>
      <c r="D422" t="s">
        <v>1233</v>
      </c>
      <c r="E422" t="s">
        <v>61</v>
      </c>
      <c r="F422" t="s">
        <v>62</v>
      </c>
      <c r="G422" t="s">
        <v>84</v>
      </c>
      <c r="H422" t="s">
        <v>85</v>
      </c>
      <c r="I422">
        <v>2</v>
      </c>
      <c r="J422">
        <v>798</v>
      </c>
      <c r="K422">
        <v>0</v>
      </c>
      <c r="L422">
        <v>0</v>
      </c>
      <c r="M422">
        <v>1670</v>
      </c>
      <c r="N422" t="s">
        <v>633</v>
      </c>
      <c r="O422" t="s">
        <v>634</v>
      </c>
      <c r="Q422" t="s">
        <v>24</v>
      </c>
      <c r="T422" t="s">
        <v>635</v>
      </c>
      <c r="V422">
        <v>893792</v>
      </c>
      <c r="W422" t="s">
        <v>1234</v>
      </c>
      <c r="X422" t="s">
        <v>1235</v>
      </c>
      <c r="AC422" t="s">
        <v>27</v>
      </c>
    </row>
    <row r="423" spans="1:29">
      <c r="A423" t="s">
        <v>1230</v>
      </c>
      <c r="B423" t="s">
        <v>1231</v>
      </c>
      <c r="C423" t="s">
        <v>1232</v>
      </c>
      <c r="D423" t="s">
        <v>1233</v>
      </c>
      <c r="E423" t="s">
        <v>545</v>
      </c>
      <c r="F423" t="s">
        <v>546</v>
      </c>
      <c r="G423" t="s">
        <v>547</v>
      </c>
      <c r="H423" t="s">
        <v>548</v>
      </c>
      <c r="I423">
        <v>1</v>
      </c>
      <c r="J423">
        <v>390</v>
      </c>
      <c r="K423">
        <v>0</v>
      </c>
      <c r="L423">
        <v>0</v>
      </c>
      <c r="M423">
        <v>1670</v>
      </c>
      <c r="N423" t="s">
        <v>633</v>
      </c>
      <c r="O423" t="s">
        <v>634</v>
      </c>
      <c r="Q423" t="s">
        <v>24</v>
      </c>
      <c r="T423" t="s">
        <v>635</v>
      </c>
      <c r="V423">
        <v>893792</v>
      </c>
      <c r="W423" t="s">
        <v>1234</v>
      </c>
      <c r="X423" t="s">
        <v>1235</v>
      </c>
      <c r="AC423" t="s">
        <v>27</v>
      </c>
    </row>
    <row r="424" spans="1:29">
      <c r="A424" t="s">
        <v>1230</v>
      </c>
      <c r="B424" t="s">
        <v>1231</v>
      </c>
      <c r="C424" t="s">
        <v>1232</v>
      </c>
      <c r="D424" t="s">
        <v>1233</v>
      </c>
      <c r="E424" t="s">
        <v>157</v>
      </c>
      <c r="F424" t="s">
        <v>158</v>
      </c>
      <c r="G424" t="s">
        <v>159</v>
      </c>
      <c r="H424">
        <v>4714781021463</v>
      </c>
      <c r="I424">
        <v>1</v>
      </c>
      <c r="J424">
        <v>120</v>
      </c>
      <c r="K424">
        <v>0</v>
      </c>
      <c r="L424">
        <v>0</v>
      </c>
      <c r="M424">
        <v>1670</v>
      </c>
      <c r="N424" t="s">
        <v>633</v>
      </c>
      <c r="O424" t="s">
        <v>634</v>
      </c>
      <c r="Q424" t="s">
        <v>24</v>
      </c>
      <c r="T424" t="s">
        <v>635</v>
      </c>
      <c r="V424">
        <v>893792</v>
      </c>
      <c r="W424" t="s">
        <v>1234</v>
      </c>
      <c r="X424" t="s">
        <v>1235</v>
      </c>
      <c r="AC424" t="s">
        <v>27</v>
      </c>
    </row>
    <row r="425" spans="1:29">
      <c r="A425" t="s">
        <v>1230</v>
      </c>
      <c r="B425" t="s">
        <v>1231</v>
      </c>
      <c r="C425" t="s">
        <v>1232</v>
      </c>
      <c r="D425" t="s">
        <v>1233</v>
      </c>
      <c r="E425" t="s">
        <v>55</v>
      </c>
      <c r="F425" t="s">
        <v>56</v>
      </c>
      <c r="G425" t="s">
        <v>97</v>
      </c>
      <c r="H425" t="s">
        <v>98</v>
      </c>
      <c r="I425">
        <v>1</v>
      </c>
      <c r="J425">
        <v>450</v>
      </c>
      <c r="K425">
        <v>0</v>
      </c>
      <c r="L425">
        <v>0</v>
      </c>
      <c r="M425">
        <v>1670</v>
      </c>
      <c r="N425" t="s">
        <v>633</v>
      </c>
      <c r="O425" t="s">
        <v>634</v>
      </c>
      <c r="Q425" t="s">
        <v>24</v>
      </c>
      <c r="T425" t="s">
        <v>635</v>
      </c>
      <c r="V425">
        <v>893792</v>
      </c>
      <c r="W425" t="s">
        <v>1234</v>
      </c>
      <c r="X425" t="s">
        <v>1235</v>
      </c>
      <c r="AC425" t="s">
        <v>27</v>
      </c>
    </row>
    <row r="426" spans="1:29">
      <c r="A426" t="s">
        <v>1230</v>
      </c>
      <c r="B426" t="s">
        <v>1231</v>
      </c>
      <c r="C426" t="s">
        <v>1232</v>
      </c>
      <c r="D426" t="s">
        <v>1233</v>
      </c>
      <c r="E426" t="s">
        <v>45</v>
      </c>
      <c r="F426" t="s">
        <v>46</v>
      </c>
      <c r="G426" t="s">
        <v>47</v>
      </c>
      <c r="I426">
        <v>1</v>
      </c>
      <c r="J426">
        <v>-88</v>
      </c>
      <c r="K426">
        <v>0</v>
      </c>
      <c r="L426">
        <v>0</v>
      </c>
      <c r="M426">
        <v>1670</v>
      </c>
      <c r="N426" t="s">
        <v>633</v>
      </c>
      <c r="O426" t="s">
        <v>634</v>
      </c>
      <c r="Q426" t="s">
        <v>24</v>
      </c>
      <c r="T426" t="s">
        <v>635</v>
      </c>
      <c r="V426">
        <v>893792</v>
      </c>
      <c r="W426" t="s">
        <v>1234</v>
      </c>
      <c r="X426" t="s">
        <v>1235</v>
      </c>
      <c r="AC426" t="s">
        <v>27</v>
      </c>
    </row>
    <row r="427" spans="1:29">
      <c r="A427" t="s">
        <v>1230</v>
      </c>
      <c r="B427" t="s">
        <v>1231</v>
      </c>
      <c r="C427" t="s">
        <v>1232</v>
      </c>
      <c r="D427" t="s">
        <v>1233</v>
      </c>
      <c r="E427" t="s">
        <v>48</v>
      </c>
      <c r="F427" t="s">
        <v>49</v>
      </c>
      <c r="G427" t="s">
        <v>50</v>
      </c>
      <c r="I427">
        <v>1</v>
      </c>
      <c r="J427">
        <v>88</v>
      </c>
      <c r="K427">
        <v>0</v>
      </c>
      <c r="L427">
        <v>0</v>
      </c>
      <c r="M427">
        <v>1670</v>
      </c>
      <c r="N427" t="s">
        <v>633</v>
      </c>
      <c r="O427" t="s">
        <v>634</v>
      </c>
      <c r="Q427" t="s">
        <v>24</v>
      </c>
      <c r="T427" t="s">
        <v>635</v>
      </c>
      <c r="V427">
        <v>893792</v>
      </c>
      <c r="W427" t="s">
        <v>1234</v>
      </c>
      <c r="X427" t="s">
        <v>1235</v>
      </c>
      <c r="AC427" t="s">
        <v>27</v>
      </c>
    </row>
    <row r="428" spans="1:29">
      <c r="A428" t="s">
        <v>1236</v>
      </c>
      <c r="B428" t="s">
        <v>1237</v>
      </c>
      <c r="C428" t="s">
        <v>1238</v>
      </c>
      <c r="D428" t="s">
        <v>1239</v>
      </c>
      <c r="E428" t="s">
        <v>61</v>
      </c>
      <c r="F428" t="s">
        <v>62</v>
      </c>
      <c r="G428" t="s">
        <v>80</v>
      </c>
      <c r="H428" t="s">
        <v>81</v>
      </c>
      <c r="I428">
        <v>2</v>
      </c>
      <c r="J428">
        <v>798</v>
      </c>
      <c r="K428">
        <v>0</v>
      </c>
      <c r="L428">
        <v>0</v>
      </c>
      <c r="M428">
        <v>798</v>
      </c>
      <c r="N428" t="s">
        <v>633</v>
      </c>
      <c r="O428" t="s">
        <v>634</v>
      </c>
      <c r="Q428" t="s">
        <v>24</v>
      </c>
      <c r="T428" t="s">
        <v>635</v>
      </c>
      <c r="V428">
        <v>155290</v>
      </c>
      <c r="W428" t="s">
        <v>1240</v>
      </c>
      <c r="X428" t="s">
        <v>1241</v>
      </c>
      <c r="AC428" t="s">
        <v>27</v>
      </c>
    </row>
    <row r="429" spans="1:29">
      <c r="A429" t="s">
        <v>1242</v>
      </c>
      <c r="B429" t="s">
        <v>1243</v>
      </c>
      <c r="C429" t="s">
        <v>1244</v>
      </c>
      <c r="D429" t="s">
        <v>1245</v>
      </c>
      <c r="E429" t="s">
        <v>61</v>
      </c>
      <c r="F429" t="s">
        <v>62</v>
      </c>
      <c r="G429" t="s">
        <v>84</v>
      </c>
      <c r="H429" t="s">
        <v>85</v>
      </c>
      <c r="I429">
        <v>1</v>
      </c>
      <c r="J429">
        <v>399</v>
      </c>
      <c r="K429">
        <v>65</v>
      </c>
      <c r="L429">
        <v>0</v>
      </c>
      <c r="M429">
        <v>464</v>
      </c>
      <c r="N429" t="s">
        <v>633</v>
      </c>
      <c r="O429" t="s">
        <v>634</v>
      </c>
      <c r="Q429" t="s">
        <v>24</v>
      </c>
      <c r="T429" t="s">
        <v>635</v>
      </c>
      <c r="V429">
        <v>118682</v>
      </c>
      <c r="W429" t="s">
        <v>1246</v>
      </c>
      <c r="X429" t="s">
        <v>1247</v>
      </c>
      <c r="AC429" t="s">
        <v>27</v>
      </c>
    </row>
    <row r="430" spans="1:29">
      <c r="A430" t="s">
        <v>1248</v>
      </c>
      <c r="B430" t="s">
        <v>1249</v>
      </c>
      <c r="C430" t="s">
        <v>1250</v>
      </c>
      <c r="D430" t="s">
        <v>1251</v>
      </c>
      <c r="E430" t="s">
        <v>315</v>
      </c>
      <c r="F430" t="s">
        <v>316</v>
      </c>
      <c r="G430" t="s">
        <v>317</v>
      </c>
      <c r="H430" t="s">
        <v>318</v>
      </c>
      <c r="I430">
        <v>1</v>
      </c>
      <c r="J430">
        <v>280</v>
      </c>
      <c r="K430">
        <v>0</v>
      </c>
      <c r="L430">
        <v>0</v>
      </c>
      <c r="M430">
        <v>1527</v>
      </c>
      <c r="N430" t="s">
        <v>633</v>
      </c>
      <c r="O430" t="s">
        <v>634</v>
      </c>
      <c r="Q430" t="s">
        <v>24</v>
      </c>
      <c r="T430" t="s">
        <v>635</v>
      </c>
      <c r="V430">
        <v>196992</v>
      </c>
      <c r="W430" t="s">
        <v>1252</v>
      </c>
      <c r="X430" t="s">
        <v>1253</v>
      </c>
      <c r="AC430" t="s">
        <v>27</v>
      </c>
    </row>
    <row r="431" spans="1:29">
      <c r="A431" t="s">
        <v>1248</v>
      </c>
      <c r="B431" t="s">
        <v>1249</v>
      </c>
      <c r="C431" t="s">
        <v>1250</v>
      </c>
      <c r="D431" t="s">
        <v>1251</v>
      </c>
      <c r="E431" t="s">
        <v>273</v>
      </c>
      <c r="F431" t="s">
        <v>274</v>
      </c>
      <c r="G431" t="s">
        <v>275</v>
      </c>
      <c r="H431">
        <v>4714781020282</v>
      </c>
      <c r="I431">
        <v>1</v>
      </c>
      <c r="J431">
        <v>299</v>
      </c>
      <c r="K431">
        <v>0</v>
      </c>
      <c r="L431">
        <v>0</v>
      </c>
      <c r="M431">
        <v>1527</v>
      </c>
      <c r="N431" t="s">
        <v>633</v>
      </c>
      <c r="O431" t="s">
        <v>634</v>
      </c>
      <c r="Q431" t="s">
        <v>24</v>
      </c>
      <c r="T431" t="s">
        <v>635</v>
      </c>
      <c r="V431">
        <v>196992</v>
      </c>
      <c r="W431" t="s">
        <v>1252</v>
      </c>
      <c r="X431" t="s">
        <v>1253</v>
      </c>
      <c r="AC431" t="s">
        <v>27</v>
      </c>
    </row>
    <row r="432" spans="1:29">
      <c r="A432" t="s">
        <v>1248</v>
      </c>
      <c r="B432" t="s">
        <v>1249</v>
      </c>
      <c r="C432" t="s">
        <v>1250</v>
      </c>
      <c r="D432" t="s">
        <v>1251</v>
      </c>
      <c r="E432" t="s">
        <v>371</v>
      </c>
      <c r="F432" t="s">
        <v>372</v>
      </c>
      <c r="G432" t="s">
        <v>373</v>
      </c>
      <c r="H432">
        <v>4714781024716</v>
      </c>
      <c r="I432">
        <v>1</v>
      </c>
      <c r="J432">
        <v>299</v>
      </c>
      <c r="K432">
        <v>0</v>
      </c>
      <c r="L432">
        <v>0</v>
      </c>
      <c r="M432">
        <v>1527</v>
      </c>
      <c r="N432" t="s">
        <v>633</v>
      </c>
      <c r="O432" t="s">
        <v>634</v>
      </c>
      <c r="Q432" t="s">
        <v>24</v>
      </c>
      <c r="T432" t="s">
        <v>635</v>
      </c>
      <c r="V432">
        <v>196992</v>
      </c>
      <c r="W432" t="s">
        <v>1252</v>
      </c>
      <c r="X432" t="s">
        <v>1253</v>
      </c>
      <c r="AC432" t="s">
        <v>27</v>
      </c>
    </row>
    <row r="433" spans="1:29">
      <c r="A433" t="s">
        <v>1248</v>
      </c>
      <c r="B433" t="s">
        <v>1249</v>
      </c>
      <c r="C433" t="s">
        <v>1250</v>
      </c>
      <c r="D433" t="s">
        <v>1251</v>
      </c>
      <c r="E433" t="s">
        <v>262</v>
      </c>
      <c r="F433" t="s">
        <v>263</v>
      </c>
      <c r="G433" t="s">
        <v>264</v>
      </c>
      <c r="H433">
        <v>4714781024730</v>
      </c>
      <c r="I433">
        <v>1</v>
      </c>
      <c r="J433">
        <v>299</v>
      </c>
      <c r="K433">
        <v>0</v>
      </c>
      <c r="L433">
        <v>0</v>
      </c>
      <c r="M433">
        <v>1527</v>
      </c>
      <c r="N433" t="s">
        <v>633</v>
      </c>
      <c r="O433" t="s">
        <v>634</v>
      </c>
      <c r="Q433" t="s">
        <v>24</v>
      </c>
      <c r="T433" t="s">
        <v>635</v>
      </c>
      <c r="V433">
        <v>196992</v>
      </c>
      <c r="W433" t="s">
        <v>1252</v>
      </c>
      <c r="X433" t="s">
        <v>1253</v>
      </c>
      <c r="AC433" t="s">
        <v>27</v>
      </c>
    </row>
    <row r="434" spans="1:29">
      <c r="A434" t="s">
        <v>1248</v>
      </c>
      <c r="B434" t="s">
        <v>1249</v>
      </c>
      <c r="C434" t="s">
        <v>1250</v>
      </c>
      <c r="D434" t="s">
        <v>1251</v>
      </c>
      <c r="E434" t="s">
        <v>1254</v>
      </c>
      <c r="F434" t="s">
        <v>1255</v>
      </c>
      <c r="G434" t="s">
        <v>1256</v>
      </c>
      <c r="H434">
        <v>4714781020855</v>
      </c>
      <c r="I434">
        <v>1</v>
      </c>
      <c r="J434">
        <v>350</v>
      </c>
      <c r="K434">
        <v>0</v>
      </c>
      <c r="L434">
        <v>0</v>
      </c>
      <c r="M434">
        <v>1527</v>
      </c>
      <c r="N434" t="s">
        <v>633</v>
      </c>
      <c r="O434" t="s">
        <v>634</v>
      </c>
      <c r="Q434" t="s">
        <v>24</v>
      </c>
      <c r="T434" t="s">
        <v>635</v>
      </c>
      <c r="V434">
        <v>196992</v>
      </c>
      <c r="W434" t="s">
        <v>1252</v>
      </c>
      <c r="X434" t="s">
        <v>1253</v>
      </c>
      <c r="AC434" t="s">
        <v>27</v>
      </c>
    </row>
    <row r="435" spans="1:29">
      <c r="A435" t="s">
        <v>422</v>
      </c>
      <c r="B435" t="s">
        <v>423</v>
      </c>
      <c r="C435" t="s">
        <v>424</v>
      </c>
      <c r="D435" t="s">
        <v>425</v>
      </c>
      <c r="E435" t="s">
        <v>226</v>
      </c>
      <c r="F435" t="s">
        <v>227</v>
      </c>
      <c r="G435" t="s">
        <v>228</v>
      </c>
      <c r="H435" t="s">
        <v>229</v>
      </c>
      <c r="I435">
        <v>1</v>
      </c>
      <c r="J435">
        <v>769</v>
      </c>
      <c r="K435">
        <v>0</v>
      </c>
      <c r="L435">
        <v>0</v>
      </c>
      <c r="M435">
        <v>719</v>
      </c>
      <c r="N435" t="s">
        <v>39</v>
      </c>
      <c r="O435" t="s">
        <v>59</v>
      </c>
      <c r="Q435" t="s">
        <v>24</v>
      </c>
      <c r="T435" t="s">
        <v>25</v>
      </c>
      <c r="Y435">
        <v>401</v>
      </c>
      <c r="Z435" t="s">
        <v>426</v>
      </c>
      <c r="AC435" t="s">
        <v>42</v>
      </c>
    </row>
    <row r="436" spans="1:29">
      <c r="A436" t="s">
        <v>422</v>
      </c>
      <c r="B436" t="s">
        <v>423</v>
      </c>
      <c r="C436" t="s">
        <v>424</v>
      </c>
      <c r="D436" t="s">
        <v>425</v>
      </c>
      <c r="E436" t="s">
        <v>108</v>
      </c>
      <c r="F436" t="s">
        <v>427</v>
      </c>
      <c r="G436" t="s">
        <v>428</v>
      </c>
      <c r="I436">
        <v>1</v>
      </c>
      <c r="J436">
        <v>-50</v>
      </c>
      <c r="K436">
        <v>0</v>
      </c>
      <c r="L436">
        <v>0</v>
      </c>
      <c r="M436">
        <v>719</v>
      </c>
      <c r="N436" t="s">
        <v>39</v>
      </c>
      <c r="O436" t="s">
        <v>59</v>
      </c>
      <c r="Q436" t="s">
        <v>24</v>
      </c>
      <c r="T436" t="s">
        <v>25</v>
      </c>
      <c r="Y436">
        <v>401</v>
      </c>
      <c r="Z436" t="s">
        <v>426</v>
      </c>
      <c r="AC436" t="s">
        <v>42</v>
      </c>
    </row>
    <row r="437" spans="1:29">
      <c r="A437" t="s">
        <v>1257</v>
      </c>
      <c r="B437" t="s">
        <v>1258</v>
      </c>
      <c r="C437" t="s">
        <v>1259</v>
      </c>
      <c r="D437" t="s">
        <v>1260</v>
      </c>
      <c r="E437" t="s">
        <v>138</v>
      </c>
      <c r="F437" t="s">
        <v>139</v>
      </c>
      <c r="G437" t="s">
        <v>140</v>
      </c>
      <c r="H437">
        <v>4714781020954</v>
      </c>
      <c r="I437">
        <v>1</v>
      </c>
      <c r="J437">
        <v>149</v>
      </c>
      <c r="K437">
        <v>0</v>
      </c>
      <c r="L437">
        <v>0</v>
      </c>
      <c r="M437">
        <v>714</v>
      </c>
      <c r="N437" t="s">
        <v>633</v>
      </c>
      <c r="O437" t="s">
        <v>337</v>
      </c>
      <c r="Q437" t="s">
        <v>24</v>
      </c>
      <c r="T437" t="s">
        <v>635</v>
      </c>
      <c r="V437">
        <v>228499</v>
      </c>
      <c r="W437" t="s">
        <v>1261</v>
      </c>
      <c r="X437" t="s">
        <v>1262</v>
      </c>
      <c r="AC437" t="s">
        <v>42</v>
      </c>
    </row>
    <row r="438" spans="1:29">
      <c r="A438" t="s">
        <v>1257</v>
      </c>
      <c r="B438" t="s">
        <v>1258</v>
      </c>
      <c r="C438" t="s">
        <v>1259</v>
      </c>
      <c r="D438" t="s">
        <v>1260</v>
      </c>
      <c r="E438" t="s">
        <v>94</v>
      </c>
      <c r="F438" t="s">
        <v>95</v>
      </c>
      <c r="G438" t="s">
        <v>96</v>
      </c>
      <c r="H438">
        <v>4714781020787</v>
      </c>
      <c r="I438">
        <v>1</v>
      </c>
      <c r="J438">
        <v>135</v>
      </c>
      <c r="K438">
        <v>0</v>
      </c>
      <c r="L438">
        <v>0</v>
      </c>
      <c r="M438">
        <v>714</v>
      </c>
      <c r="N438" t="s">
        <v>633</v>
      </c>
      <c r="O438" t="s">
        <v>337</v>
      </c>
      <c r="Q438" t="s">
        <v>24</v>
      </c>
      <c r="T438" t="s">
        <v>635</v>
      </c>
      <c r="V438">
        <v>228499</v>
      </c>
      <c r="W438" t="s">
        <v>1261</v>
      </c>
      <c r="X438" t="s">
        <v>1262</v>
      </c>
      <c r="AC438" t="s">
        <v>42</v>
      </c>
    </row>
    <row r="439" spans="1:29">
      <c r="A439" t="s">
        <v>1257</v>
      </c>
      <c r="B439" t="s">
        <v>1258</v>
      </c>
      <c r="C439" t="s">
        <v>1259</v>
      </c>
      <c r="D439" t="s">
        <v>1260</v>
      </c>
      <c r="E439" t="s">
        <v>149</v>
      </c>
      <c r="F439" t="s">
        <v>150</v>
      </c>
      <c r="G439" t="s">
        <v>151</v>
      </c>
      <c r="H439" t="s">
        <v>152</v>
      </c>
      <c r="I439">
        <v>1</v>
      </c>
      <c r="J439">
        <v>430</v>
      </c>
      <c r="K439">
        <v>0</v>
      </c>
      <c r="L439">
        <v>0</v>
      </c>
      <c r="M439">
        <v>714</v>
      </c>
      <c r="N439" t="s">
        <v>633</v>
      </c>
      <c r="O439" t="s">
        <v>337</v>
      </c>
      <c r="Q439" t="s">
        <v>24</v>
      </c>
      <c r="T439" t="s">
        <v>635</v>
      </c>
      <c r="V439">
        <v>228499</v>
      </c>
      <c r="W439" t="s">
        <v>1261</v>
      </c>
      <c r="X439" t="s">
        <v>1262</v>
      </c>
      <c r="AC439" t="s">
        <v>42</v>
      </c>
    </row>
    <row r="440" spans="1:29">
      <c r="A440" t="s">
        <v>418</v>
      </c>
      <c r="B440" t="s">
        <v>419</v>
      </c>
      <c r="C440" t="s">
        <v>369</v>
      </c>
      <c r="D440" t="s">
        <v>370</v>
      </c>
      <c r="E440" t="s">
        <v>375</v>
      </c>
      <c r="F440" t="s">
        <v>376</v>
      </c>
      <c r="G440" t="s">
        <v>420</v>
      </c>
      <c r="H440" t="s">
        <v>421</v>
      </c>
      <c r="I440">
        <v>1</v>
      </c>
      <c r="J440">
        <v>480</v>
      </c>
      <c r="K440">
        <v>0</v>
      </c>
      <c r="L440">
        <v>0</v>
      </c>
      <c r="M440">
        <v>869</v>
      </c>
      <c r="N440" t="s">
        <v>39</v>
      </c>
      <c r="O440" t="s">
        <v>40</v>
      </c>
      <c r="Q440" t="s">
        <v>24</v>
      </c>
      <c r="T440" t="s">
        <v>25</v>
      </c>
      <c r="Y440">
        <v>407</v>
      </c>
      <c r="Z440" t="s">
        <v>374</v>
      </c>
      <c r="AC440" t="s">
        <v>42</v>
      </c>
    </row>
    <row r="441" spans="1:29">
      <c r="A441" t="s">
        <v>418</v>
      </c>
      <c r="B441" t="s">
        <v>419</v>
      </c>
      <c r="C441" t="s">
        <v>369</v>
      </c>
      <c r="D441" t="s">
        <v>370</v>
      </c>
      <c r="E441" t="s">
        <v>157</v>
      </c>
      <c r="F441" t="s">
        <v>158</v>
      </c>
      <c r="G441" t="s">
        <v>159</v>
      </c>
      <c r="H441">
        <v>4714781021463</v>
      </c>
      <c r="I441">
        <v>2</v>
      </c>
      <c r="J441">
        <v>240</v>
      </c>
      <c r="K441">
        <v>0</v>
      </c>
      <c r="L441">
        <v>0</v>
      </c>
      <c r="M441">
        <v>869</v>
      </c>
      <c r="N441" t="s">
        <v>39</v>
      </c>
      <c r="O441" t="s">
        <v>40</v>
      </c>
      <c r="Q441" t="s">
        <v>24</v>
      </c>
      <c r="T441" t="s">
        <v>25</v>
      </c>
      <c r="Y441">
        <v>407</v>
      </c>
      <c r="Z441" t="s">
        <v>374</v>
      </c>
      <c r="AC441" t="s">
        <v>42</v>
      </c>
    </row>
    <row r="442" spans="1:29">
      <c r="A442" t="s">
        <v>418</v>
      </c>
      <c r="B442" t="s">
        <v>419</v>
      </c>
      <c r="C442" t="s">
        <v>369</v>
      </c>
      <c r="D442" t="s">
        <v>370</v>
      </c>
      <c r="E442" t="s">
        <v>138</v>
      </c>
      <c r="F442" t="s">
        <v>139</v>
      </c>
      <c r="G442" t="s">
        <v>140</v>
      </c>
      <c r="H442">
        <v>4714781020954</v>
      </c>
      <c r="I442">
        <v>1</v>
      </c>
      <c r="J442">
        <v>149</v>
      </c>
      <c r="K442">
        <v>0</v>
      </c>
      <c r="L442">
        <v>0</v>
      </c>
      <c r="M442">
        <v>869</v>
      </c>
      <c r="N442" t="s">
        <v>39</v>
      </c>
      <c r="O442" t="s">
        <v>40</v>
      </c>
      <c r="Q442" t="s">
        <v>24</v>
      </c>
      <c r="T442" t="s">
        <v>25</v>
      </c>
      <c r="Y442">
        <v>407</v>
      </c>
      <c r="Z442" t="s">
        <v>374</v>
      </c>
      <c r="AC442" t="s">
        <v>42</v>
      </c>
    </row>
    <row r="443" spans="1:29">
      <c r="A443" t="s">
        <v>1263</v>
      </c>
      <c r="B443" t="s">
        <v>1264</v>
      </c>
      <c r="C443" t="s">
        <v>1265</v>
      </c>
      <c r="D443" t="s">
        <v>1266</v>
      </c>
      <c r="E443" t="s">
        <v>203</v>
      </c>
      <c r="F443" t="s">
        <v>204</v>
      </c>
      <c r="G443" t="s">
        <v>205</v>
      </c>
      <c r="H443" t="s">
        <v>206</v>
      </c>
      <c r="I443">
        <v>1</v>
      </c>
      <c r="J443">
        <v>528</v>
      </c>
      <c r="K443">
        <v>65</v>
      </c>
      <c r="L443">
        <v>0</v>
      </c>
      <c r="M443">
        <v>593</v>
      </c>
      <c r="N443" t="s">
        <v>633</v>
      </c>
      <c r="O443" t="s">
        <v>634</v>
      </c>
      <c r="Q443" t="s">
        <v>24</v>
      </c>
      <c r="T443" t="s">
        <v>635</v>
      </c>
      <c r="V443">
        <v>201221</v>
      </c>
      <c r="W443" t="s">
        <v>1267</v>
      </c>
      <c r="X443" t="s">
        <v>1268</v>
      </c>
      <c r="AC443" t="s">
        <v>27</v>
      </c>
    </row>
    <row r="444" spans="1:29">
      <c r="A444" t="s">
        <v>1269</v>
      </c>
      <c r="B444" t="s">
        <v>1270</v>
      </c>
      <c r="C444" t="s">
        <v>1271</v>
      </c>
      <c r="D444" t="s">
        <v>1272</v>
      </c>
      <c r="E444" t="s">
        <v>545</v>
      </c>
      <c r="F444" t="s">
        <v>546</v>
      </c>
      <c r="G444" t="s">
        <v>547</v>
      </c>
      <c r="H444" t="s">
        <v>548</v>
      </c>
      <c r="I444">
        <v>1</v>
      </c>
      <c r="J444">
        <v>390</v>
      </c>
      <c r="K444">
        <v>0</v>
      </c>
      <c r="L444">
        <v>0</v>
      </c>
      <c r="M444">
        <v>1173</v>
      </c>
      <c r="N444" t="s">
        <v>633</v>
      </c>
      <c r="O444" t="s">
        <v>634</v>
      </c>
      <c r="Q444" t="s">
        <v>24</v>
      </c>
      <c r="T444" t="s">
        <v>635</v>
      </c>
      <c r="V444">
        <v>113090</v>
      </c>
      <c r="W444" t="s">
        <v>1273</v>
      </c>
      <c r="X444" t="s">
        <v>1274</v>
      </c>
      <c r="Y444">
        <v>800</v>
      </c>
      <c r="AC444" t="s">
        <v>27</v>
      </c>
    </row>
    <row r="445" spans="1:29">
      <c r="A445" t="s">
        <v>1269</v>
      </c>
      <c r="B445" t="s">
        <v>1270</v>
      </c>
      <c r="C445" t="s">
        <v>1271</v>
      </c>
      <c r="D445" t="s">
        <v>1272</v>
      </c>
      <c r="E445" t="s">
        <v>35</v>
      </c>
      <c r="F445" t="s">
        <v>36</v>
      </c>
      <c r="G445" t="s">
        <v>1133</v>
      </c>
      <c r="H445" t="s">
        <v>1134</v>
      </c>
      <c r="I445">
        <v>1</v>
      </c>
      <c r="J445">
        <v>748</v>
      </c>
      <c r="K445">
        <v>0</v>
      </c>
      <c r="L445">
        <v>0</v>
      </c>
      <c r="M445">
        <v>1173</v>
      </c>
      <c r="N445" t="s">
        <v>633</v>
      </c>
      <c r="O445" t="s">
        <v>634</v>
      </c>
      <c r="Q445" t="s">
        <v>24</v>
      </c>
      <c r="T445" t="s">
        <v>635</v>
      </c>
      <c r="V445">
        <v>113090</v>
      </c>
      <c r="W445" t="s">
        <v>1273</v>
      </c>
      <c r="X445" t="s">
        <v>1274</v>
      </c>
      <c r="Y445">
        <v>800</v>
      </c>
      <c r="AC445" t="s">
        <v>27</v>
      </c>
    </row>
    <row r="446" spans="1:29">
      <c r="A446" t="s">
        <v>1269</v>
      </c>
      <c r="B446" t="s">
        <v>1270</v>
      </c>
      <c r="C446" t="s">
        <v>1271</v>
      </c>
      <c r="D446" t="s">
        <v>1272</v>
      </c>
      <c r="E446" t="s">
        <v>142</v>
      </c>
      <c r="F446" t="s">
        <v>143</v>
      </c>
      <c r="G446" t="s">
        <v>144</v>
      </c>
      <c r="H446">
        <v>4714781020794</v>
      </c>
      <c r="I446">
        <v>1</v>
      </c>
      <c r="J446">
        <v>109</v>
      </c>
      <c r="K446">
        <v>0</v>
      </c>
      <c r="L446">
        <v>0</v>
      </c>
      <c r="M446">
        <v>1173</v>
      </c>
      <c r="N446" t="s">
        <v>633</v>
      </c>
      <c r="O446" t="s">
        <v>634</v>
      </c>
      <c r="Q446" t="s">
        <v>24</v>
      </c>
      <c r="T446" t="s">
        <v>635</v>
      </c>
      <c r="V446">
        <v>113090</v>
      </c>
      <c r="W446" t="s">
        <v>1273</v>
      </c>
      <c r="X446" t="s">
        <v>1274</v>
      </c>
      <c r="Y446">
        <v>800</v>
      </c>
      <c r="AC446" t="s">
        <v>27</v>
      </c>
    </row>
    <row r="447" spans="1:29">
      <c r="A447" t="s">
        <v>1269</v>
      </c>
      <c r="B447" t="s">
        <v>1270</v>
      </c>
      <c r="C447" t="s">
        <v>1271</v>
      </c>
      <c r="D447" t="s">
        <v>1272</v>
      </c>
      <c r="E447" t="s">
        <v>889</v>
      </c>
      <c r="F447" t="s">
        <v>890</v>
      </c>
      <c r="G447" t="s">
        <v>50</v>
      </c>
      <c r="I447">
        <v>1</v>
      </c>
      <c r="J447">
        <v>-12</v>
      </c>
      <c r="K447">
        <v>0</v>
      </c>
      <c r="L447">
        <v>0</v>
      </c>
      <c r="M447">
        <v>1173</v>
      </c>
      <c r="N447" t="s">
        <v>633</v>
      </c>
      <c r="O447" t="s">
        <v>634</v>
      </c>
      <c r="Q447" t="s">
        <v>24</v>
      </c>
      <c r="T447" t="s">
        <v>635</v>
      </c>
      <c r="V447">
        <v>113090</v>
      </c>
      <c r="W447" t="s">
        <v>1273</v>
      </c>
      <c r="X447" t="s">
        <v>1274</v>
      </c>
      <c r="Y447">
        <v>800</v>
      </c>
      <c r="AC447" t="s">
        <v>27</v>
      </c>
    </row>
    <row r="448" spans="1:29">
      <c r="A448" t="s">
        <v>1269</v>
      </c>
      <c r="B448" t="s">
        <v>1270</v>
      </c>
      <c r="C448" t="s">
        <v>1271</v>
      </c>
      <c r="D448" t="s">
        <v>1272</v>
      </c>
      <c r="E448" t="s">
        <v>45</v>
      </c>
      <c r="F448" t="s">
        <v>46</v>
      </c>
      <c r="G448" t="s">
        <v>47</v>
      </c>
      <c r="I448">
        <v>1</v>
      </c>
      <c r="J448">
        <v>-62</v>
      </c>
      <c r="K448">
        <v>0</v>
      </c>
      <c r="L448">
        <v>0</v>
      </c>
      <c r="M448">
        <v>1173</v>
      </c>
      <c r="N448" t="s">
        <v>633</v>
      </c>
      <c r="O448" t="s">
        <v>634</v>
      </c>
      <c r="Q448" t="s">
        <v>24</v>
      </c>
      <c r="T448" t="s">
        <v>635</v>
      </c>
      <c r="V448">
        <v>113090</v>
      </c>
      <c r="W448" t="s">
        <v>1273</v>
      </c>
      <c r="X448" t="s">
        <v>1274</v>
      </c>
      <c r="Y448">
        <v>800</v>
      </c>
      <c r="AC448" t="s">
        <v>27</v>
      </c>
    </row>
    <row r="449" spans="1:29">
      <c r="A449" t="s">
        <v>1269</v>
      </c>
      <c r="B449" t="s">
        <v>1270</v>
      </c>
      <c r="C449" t="s">
        <v>1271</v>
      </c>
      <c r="D449" t="s">
        <v>1272</v>
      </c>
      <c r="E449" t="s">
        <v>48</v>
      </c>
      <c r="F449" t="s">
        <v>49</v>
      </c>
      <c r="G449" t="s">
        <v>50</v>
      </c>
      <c r="I449">
        <v>1</v>
      </c>
      <c r="J449">
        <v>62</v>
      </c>
      <c r="K449">
        <v>0</v>
      </c>
      <c r="L449">
        <v>0</v>
      </c>
      <c r="M449">
        <v>1173</v>
      </c>
      <c r="N449" t="s">
        <v>633</v>
      </c>
      <c r="O449" t="s">
        <v>634</v>
      </c>
      <c r="Q449" t="s">
        <v>24</v>
      </c>
      <c r="T449" t="s">
        <v>635</v>
      </c>
      <c r="V449">
        <v>113090</v>
      </c>
      <c r="W449" t="s">
        <v>1273</v>
      </c>
      <c r="X449" t="s">
        <v>1274</v>
      </c>
      <c r="Y449">
        <v>800</v>
      </c>
      <c r="AC449" t="s">
        <v>27</v>
      </c>
    </row>
    <row r="450" spans="1:29">
      <c r="A450" t="s">
        <v>411</v>
      </c>
      <c r="B450" t="s">
        <v>412</v>
      </c>
      <c r="C450" t="s">
        <v>413</v>
      </c>
      <c r="D450" t="s">
        <v>414</v>
      </c>
      <c r="E450" t="s">
        <v>61</v>
      </c>
      <c r="F450" t="s">
        <v>62</v>
      </c>
      <c r="G450" t="s">
        <v>84</v>
      </c>
      <c r="H450" t="s">
        <v>85</v>
      </c>
      <c r="I450">
        <v>3</v>
      </c>
      <c r="J450">
        <v>1197</v>
      </c>
      <c r="K450">
        <v>0</v>
      </c>
      <c r="L450">
        <v>0</v>
      </c>
      <c r="M450">
        <v>1565</v>
      </c>
      <c r="N450" t="s">
        <v>39</v>
      </c>
      <c r="O450" t="s">
        <v>40</v>
      </c>
      <c r="Q450" t="s">
        <v>24</v>
      </c>
      <c r="T450" t="s">
        <v>25</v>
      </c>
      <c r="Y450">
        <v>433</v>
      </c>
      <c r="Z450" t="s">
        <v>415</v>
      </c>
      <c r="AC450" t="s">
        <v>42</v>
      </c>
    </row>
    <row r="451" spans="1:29">
      <c r="A451" t="s">
        <v>411</v>
      </c>
      <c r="B451" t="s">
        <v>412</v>
      </c>
      <c r="C451" t="s">
        <v>413</v>
      </c>
      <c r="D451" t="s">
        <v>414</v>
      </c>
      <c r="E451" t="s">
        <v>55</v>
      </c>
      <c r="F451" t="s">
        <v>56</v>
      </c>
      <c r="G451" t="s">
        <v>416</v>
      </c>
      <c r="H451" t="s">
        <v>417</v>
      </c>
      <c r="I451">
        <v>1</v>
      </c>
      <c r="J451">
        <v>450</v>
      </c>
      <c r="K451">
        <v>0</v>
      </c>
      <c r="L451">
        <v>0</v>
      </c>
      <c r="M451">
        <v>1565</v>
      </c>
      <c r="N451" t="s">
        <v>39</v>
      </c>
      <c r="O451" t="s">
        <v>40</v>
      </c>
      <c r="Q451" t="s">
        <v>24</v>
      </c>
      <c r="T451" t="s">
        <v>25</v>
      </c>
      <c r="Y451">
        <v>433</v>
      </c>
      <c r="Z451" t="s">
        <v>415</v>
      </c>
      <c r="AC451" t="s">
        <v>42</v>
      </c>
    </row>
    <row r="452" spans="1:29">
      <c r="A452" t="s">
        <v>411</v>
      </c>
      <c r="B452" t="s">
        <v>412</v>
      </c>
      <c r="C452" t="s">
        <v>413</v>
      </c>
      <c r="D452" t="s">
        <v>414</v>
      </c>
      <c r="E452" t="s">
        <v>45</v>
      </c>
      <c r="F452" t="s">
        <v>46</v>
      </c>
      <c r="G452" t="s">
        <v>47</v>
      </c>
      <c r="I452">
        <v>1</v>
      </c>
      <c r="J452">
        <v>-82</v>
      </c>
      <c r="K452">
        <v>0</v>
      </c>
      <c r="L452">
        <v>0</v>
      </c>
      <c r="M452">
        <v>1565</v>
      </c>
      <c r="N452" t="s">
        <v>39</v>
      </c>
      <c r="O452" t="s">
        <v>40</v>
      </c>
      <c r="Q452" t="s">
        <v>24</v>
      </c>
      <c r="T452" t="s">
        <v>25</v>
      </c>
      <c r="Y452">
        <v>433</v>
      </c>
      <c r="Z452" t="s">
        <v>415</v>
      </c>
      <c r="AC452" t="s">
        <v>42</v>
      </c>
    </row>
    <row r="453" spans="1:29">
      <c r="A453" t="s">
        <v>411</v>
      </c>
      <c r="B453" t="s">
        <v>412</v>
      </c>
      <c r="C453" t="s">
        <v>413</v>
      </c>
      <c r="D453" t="s">
        <v>414</v>
      </c>
      <c r="E453" t="s">
        <v>48</v>
      </c>
      <c r="F453" t="s">
        <v>49</v>
      </c>
      <c r="G453" t="s">
        <v>50</v>
      </c>
      <c r="I453">
        <v>1</v>
      </c>
      <c r="J453">
        <v>82</v>
      </c>
      <c r="K453">
        <v>0</v>
      </c>
      <c r="L453">
        <v>0</v>
      </c>
      <c r="M453">
        <v>1565</v>
      </c>
      <c r="N453" t="s">
        <v>39</v>
      </c>
      <c r="O453" t="s">
        <v>40</v>
      </c>
      <c r="Q453" t="s">
        <v>24</v>
      </c>
      <c r="T453" t="s">
        <v>25</v>
      </c>
      <c r="Y453">
        <v>433</v>
      </c>
      <c r="Z453" t="s">
        <v>415</v>
      </c>
      <c r="AC453" t="s">
        <v>42</v>
      </c>
    </row>
    <row r="454" spans="1:29">
      <c r="A454" t="s">
        <v>406</v>
      </c>
      <c r="B454" t="s">
        <v>407</v>
      </c>
      <c r="C454" t="s">
        <v>408</v>
      </c>
      <c r="D454" t="s">
        <v>409</v>
      </c>
      <c r="E454" t="s">
        <v>61</v>
      </c>
      <c r="F454" t="s">
        <v>62</v>
      </c>
      <c r="G454" t="s">
        <v>84</v>
      </c>
      <c r="H454" t="s">
        <v>85</v>
      </c>
      <c r="I454">
        <v>3</v>
      </c>
      <c r="J454">
        <v>1197</v>
      </c>
      <c r="K454">
        <v>0</v>
      </c>
      <c r="L454">
        <v>0</v>
      </c>
      <c r="M454">
        <v>1145</v>
      </c>
      <c r="N454" t="s">
        <v>39</v>
      </c>
      <c r="O454" t="s">
        <v>59</v>
      </c>
      <c r="Q454" t="s">
        <v>24</v>
      </c>
      <c r="T454" t="s">
        <v>25</v>
      </c>
      <c r="Y454">
        <v>557</v>
      </c>
      <c r="Z454" t="s">
        <v>410</v>
      </c>
      <c r="AC454" t="s">
        <v>42</v>
      </c>
    </row>
    <row r="455" spans="1:29">
      <c r="A455" t="s">
        <v>406</v>
      </c>
      <c r="B455" t="s">
        <v>407</v>
      </c>
      <c r="C455" t="s">
        <v>408</v>
      </c>
      <c r="D455" t="s">
        <v>409</v>
      </c>
      <c r="E455" t="s">
        <v>45</v>
      </c>
      <c r="F455" t="s">
        <v>46</v>
      </c>
      <c r="G455" t="s">
        <v>47</v>
      </c>
      <c r="I455">
        <v>1</v>
      </c>
      <c r="J455">
        <v>-52</v>
      </c>
      <c r="K455">
        <v>0</v>
      </c>
      <c r="L455">
        <v>0</v>
      </c>
      <c r="M455">
        <v>1145</v>
      </c>
      <c r="N455" t="s">
        <v>39</v>
      </c>
      <c r="O455" t="s">
        <v>59</v>
      </c>
      <c r="Q455" t="s">
        <v>24</v>
      </c>
      <c r="T455" t="s">
        <v>25</v>
      </c>
      <c r="Y455">
        <v>557</v>
      </c>
      <c r="Z455" t="s">
        <v>410</v>
      </c>
      <c r="AC455" t="s">
        <v>42</v>
      </c>
    </row>
    <row r="456" spans="1:29">
      <c r="A456" t="s">
        <v>406</v>
      </c>
      <c r="B456" t="s">
        <v>407</v>
      </c>
      <c r="C456" t="s">
        <v>408</v>
      </c>
      <c r="D456" t="s">
        <v>409</v>
      </c>
      <c r="E456" t="s">
        <v>48</v>
      </c>
      <c r="F456" t="s">
        <v>49</v>
      </c>
      <c r="G456" t="s">
        <v>50</v>
      </c>
      <c r="I456">
        <v>1</v>
      </c>
      <c r="J456">
        <v>60</v>
      </c>
      <c r="K456">
        <v>0</v>
      </c>
      <c r="L456">
        <v>0</v>
      </c>
      <c r="M456">
        <v>1145</v>
      </c>
      <c r="N456" t="s">
        <v>39</v>
      </c>
      <c r="O456" t="s">
        <v>59</v>
      </c>
      <c r="Q456" t="s">
        <v>24</v>
      </c>
      <c r="T456" t="s">
        <v>25</v>
      </c>
      <c r="Y456">
        <v>557</v>
      </c>
      <c r="Z456" t="s">
        <v>410</v>
      </c>
      <c r="AC456" t="s">
        <v>42</v>
      </c>
    </row>
    <row r="457" spans="1:29">
      <c r="A457" t="s">
        <v>1275</v>
      </c>
      <c r="B457" t="s">
        <v>1276</v>
      </c>
      <c r="C457" t="s">
        <v>1277</v>
      </c>
      <c r="D457" t="s">
        <v>1278</v>
      </c>
      <c r="E457" t="s">
        <v>61</v>
      </c>
      <c r="F457" t="s">
        <v>62</v>
      </c>
      <c r="G457" t="s">
        <v>312</v>
      </c>
      <c r="H457" t="s">
        <v>313</v>
      </c>
      <c r="I457">
        <v>1</v>
      </c>
      <c r="J457">
        <v>399</v>
      </c>
      <c r="K457">
        <v>65</v>
      </c>
      <c r="L457">
        <v>0</v>
      </c>
      <c r="M457">
        <v>464</v>
      </c>
      <c r="N457" t="s">
        <v>633</v>
      </c>
      <c r="O457" t="s">
        <v>634</v>
      </c>
      <c r="Q457" t="s">
        <v>24</v>
      </c>
      <c r="T457" t="s">
        <v>635</v>
      </c>
      <c r="V457">
        <v>208381</v>
      </c>
      <c r="W457" t="s">
        <v>1279</v>
      </c>
      <c r="X457" t="s">
        <v>1280</v>
      </c>
      <c r="AC457" t="s">
        <v>27</v>
      </c>
    </row>
    <row r="458" spans="1:29">
      <c r="A458" t="s">
        <v>399</v>
      </c>
      <c r="B458" t="s">
        <v>400</v>
      </c>
      <c r="C458" t="s">
        <v>401</v>
      </c>
      <c r="D458" t="s">
        <v>402</v>
      </c>
      <c r="E458" t="s">
        <v>285</v>
      </c>
      <c r="F458" t="s">
        <v>286</v>
      </c>
      <c r="G458" t="s">
        <v>63</v>
      </c>
      <c r="H458" t="s">
        <v>403</v>
      </c>
      <c r="I458">
        <v>1</v>
      </c>
      <c r="J458">
        <v>375</v>
      </c>
      <c r="K458">
        <v>0</v>
      </c>
      <c r="L458">
        <v>0</v>
      </c>
      <c r="M458">
        <v>750</v>
      </c>
      <c r="N458" t="s">
        <v>39</v>
      </c>
      <c r="O458" t="s">
        <v>40</v>
      </c>
      <c r="Q458" t="s">
        <v>24</v>
      </c>
      <c r="T458" t="s">
        <v>25</v>
      </c>
      <c r="Y458">
        <v>106</v>
      </c>
      <c r="Z458" t="s">
        <v>404</v>
      </c>
      <c r="AC458" t="s">
        <v>42</v>
      </c>
    </row>
    <row r="459" spans="1:29">
      <c r="A459" t="s">
        <v>399</v>
      </c>
      <c r="B459" t="s">
        <v>400</v>
      </c>
      <c r="C459" t="s">
        <v>401</v>
      </c>
      <c r="D459" t="s">
        <v>402</v>
      </c>
      <c r="E459" t="s">
        <v>285</v>
      </c>
      <c r="F459" t="s">
        <v>286</v>
      </c>
      <c r="G459" t="s">
        <v>178</v>
      </c>
      <c r="H459" t="s">
        <v>405</v>
      </c>
      <c r="I459">
        <v>1</v>
      </c>
      <c r="J459">
        <v>375</v>
      </c>
      <c r="K459">
        <v>0</v>
      </c>
      <c r="L459">
        <v>0</v>
      </c>
      <c r="M459">
        <v>750</v>
      </c>
      <c r="N459" t="s">
        <v>39</v>
      </c>
      <c r="O459" t="s">
        <v>40</v>
      </c>
      <c r="Q459" t="s">
        <v>24</v>
      </c>
      <c r="T459" t="s">
        <v>25</v>
      </c>
      <c r="Y459">
        <v>106</v>
      </c>
      <c r="Z459" t="s">
        <v>404</v>
      </c>
      <c r="AC459" t="s">
        <v>42</v>
      </c>
    </row>
    <row r="460" spans="1:29">
      <c r="A460" t="s">
        <v>393</v>
      </c>
      <c r="B460" t="s">
        <v>394</v>
      </c>
      <c r="C460" t="s">
        <v>395</v>
      </c>
      <c r="D460" t="s">
        <v>396</v>
      </c>
      <c r="E460" t="s">
        <v>55</v>
      </c>
      <c r="F460" t="s">
        <v>56</v>
      </c>
      <c r="G460" t="s">
        <v>97</v>
      </c>
      <c r="H460" t="s">
        <v>98</v>
      </c>
      <c r="I460">
        <v>1</v>
      </c>
      <c r="J460">
        <v>450</v>
      </c>
      <c r="K460">
        <v>0</v>
      </c>
      <c r="L460">
        <v>0</v>
      </c>
      <c r="M460">
        <v>1148</v>
      </c>
      <c r="N460" t="s">
        <v>39</v>
      </c>
      <c r="O460" t="s">
        <v>171</v>
      </c>
      <c r="Q460" t="s">
        <v>24</v>
      </c>
      <c r="T460" t="s">
        <v>25</v>
      </c>
      <c r="Y460">
        <v>710</v>
      </c>
      <c r="Z460" t="s">
        <v>397</v>
      </c>
      <c r="AA460" t="s">
        <v>398</v>
      </c>
      <c r="AC460" t="s">
        <v>42</v>
      </c>
    </row>
    <row r="461" spans="1:29">
      <c r="A461" t="s">
        <v>393</v>
      </c>
      <c r="B461" t="s">
        <v>394</v>
      </c>
      <c r="C461" t="s">
        <v>395</v>
      </c>
      <c r="D461" t="s">
        <v>396</v>
      </c>
      <c r="E461" t="s">
        <v>61</v>
      </c>
      <c r="F461" t="s">
        <v>62</v>
      </c>
      <c r="G461" t="s">
        <v>84</v>
      </c>
      <c r="H461" t="s">
        <v>85</v>
      </c>
      <c r="I461">
        <v>1</v>
      </c>
      <c r="J461">
        <v>399</v>
      </c>
      <c r="K461">
        <v>0</v>
      </c>
      <c r="L461">
        <v>0</v>
      </c>
      <c r="M461">
        <v>1148</v>
      </c>
      <c r="N461" t="s">
        <v>39</v>
      </c>
      <c r="O461" t="s">
        <v>171</v>
      </c>
      <c r="Q461" t="s">
        <v>24</v>
      </c>
      <c r="T461" t="s">
        <v>25</v>
      </c>
      <c r="Y461">
        <v>710</v>
      </c>
      <c r="Z461" t="s">
        <v>397</v>
      </c>
      <c r="AA461" t="s">
        <v>398</v>
      </c>
      <c r="AC461" t="s">
        <v>42</v>
      </c>
    </row>
    <row r="462" spans="1:29">
      <c r="A462" t="s">
        <v>393</v>
      </c>
      <c r="B462" t="s">
        <v>394</v>
      </c>
      <c r="C462" t="s">
        <v>395</v>
      </c>
      <c r="D462" t="s">
        <v>396</v>
      </c>
      <c r="E462" t="s">
        <v>371</v>
      </c>
      <c r="F462" t="s">
        <v>372</v>
      </c>
      <c r="G462" t="s">
        <v>373</v>
      </c>
      <c r="H462">
        <v>4714781024716</v>
      </c>
      <c r="I462">
        <v>1</v>
      </c>
      <c r="J462">
        <v>299</v>
      </c>
      <c r="K462">
        <v>0</v>
      </c>
      <c r="L462">
        <v>0</v>
      </c>
      <c r="M462">
        <v>1148</v>
      </c>
      <c r="N462" t="s">
        <v>39</v>
      </c>
      <c r="O462" t="s">
        <v>171</v>
      </c>
      <c r="Q462" t="s">
        <v>24</v>
      </c>
      <c r="T462" t="s">
        <v>25</v>
      </c>
      <c r="Y462">
        <v>710</v>
      </c>
      <c r="Z462" t="s">
        <v>397</v>
      </c>
      <c r="AA462" t="s">
        <v>398</v>
      </c>
      <c r="AC462" t="s">
        <v>42</v>
      </c>
    </row>
    <row r="463" spans="1:29">
      <c r="A463" t="s">
        <v>393</v>
      </c>
      <c r="B463" t="s">
        <v>394</v>
      </c>
      <c r="C463" t="s">
        <v>395</v>
      </c>
      <c r="D463" t="s">
        <v>396</v>
      </c>
      <c r="E463" t="s">
        <v>48</v>
      </c>
      <c r="F463" t="s">
        <v>49</v>
      </c>
      <c r="G463" t="s">
        <v>50</v>
      </c>
      <c r="I463">
        <v>1</v>
      </c>
      <c r="J463">
        <v>57</v>
      </c>
      <c r="K463">
        <v>0</v>
      </c>
      <c r="L463">
        <v>0</v>
      </c>
      <c r="M463">
        <v>1148</v>
      </c>
      <c r="N463" t="s">
        <v>39</v>
      </c>
      <c r="O463" t="s">
        <v>171</v>
      </c>
      <c r="Q463" t="s">
        <v>24</v>
      </c>
      <c r="T463" t="s">
        <v>25</v>
      </c>
      <c r="Y463">
        <v>710</v>
      </c>
      <c r="Z463" t="s">
        <v>397</v>
      </c>
      <c r="AA463" t="s">
        <v>398</v>
      </c>
      <c r="AC463" t="s">
        <v>42</v>
      </c>
    </row>
    <row r="464" spans="1:29">
      <c r="A464" t="s">
        <v>388</v>
      </c>
      <c r="B464" t="s">
        <v>389</v>
      </c>
      <c r="C464" t="s">
        <v>390</v>
      </c>
      <c r="D464" t="s">
        <v>391</v>
      </c>
      <c r="E464" t="s">
        <v>273</v>
      </c>
      <c r="F464" t="s">
        <v>274</v>
      </c>
      <c r="G464" t="s">
        <v>275</v>
      </c>
      <c r="H464">
        <v>4714781020282</v>
      </c>
      <c r="I464">
        <v>2</v>
      </c>
      <c r="J464">
        <v>598</v>
      </c>
      <c r="K464">
        <v>0</v>
      </c>
      <c r="L464">
        <v>0</v>
      </c>
      <c r="M464">
        <v>1144</v>
      </c>
      <c r="N464" t="s">
        <v>39</v>
      </c>
      <c r="O464" t="s">
        <v>59</v>
      </c>
      <c r="Q464" t="s">
        <v>24</v>
      </c>
      <c r="T464" t="s">
        <v>25</v>
      </c>
      <c r="Y464">
        <v>338</v>
      </c>
      <c r="Z464" t="s">
        <v>392</v>
      </c>
      <c r="AC464" t="s">
        <v>42</v>
      </c>
    </row>
    <row r="465" spans="1:29">
      <c r="A465" t="s">
        <v>388</v>
      </c>
      <c r="B465" t="s">
        <v>389</v>
      </c>
      <c r="C465" t="s">
        <v>390</v>
      </c>
      <c r="D465" t="s">
        <v>391</v>
      </c>
      <c r="E465" t="s">
        <v>138</v>
      </c>
      <c r="F465" t="s">
        <v>139</v>
      </c>
      <c r="G465" t="s">
        <v>140</v>
      </c>
      <c r="H465">
        <v>4714781020954</v>
      </c>
      <c r="I465">
        <v>1</v>
      </c>
      <c r="J465">
        <v>149</v>
      </c>
      <c r="K465">
        <v>0</v>
      </c>
      <c r="L465">
        <v>0</v>
      </c>
      <c r="M465">
        <v>1144</v>
      </c>
      <c r="N465" t="s">
        <v>39</v>
      </c>
      <c r="O465" t="s">
        <v>59</v>
      </c>
      <c r="Q465" t="s">
        <v>24</v>
      </c>
      <c r="T465" t="s">
        <v>25</v>
      </c>
      <c r="Y465">
        <v>338</v>
      </c>
      <c r="Z465" t="s">
        <v>392</v>
      </c>
      <c r="AC465" t="s">
        <v>42</v>
      </c>
    </row>
    <row r="466" spans="1:29">
      <c r="A466" t="s">
        <v>388</v>
      </c>
      <c r="B466" t="s">
        <v>389</v>
      </c>
      <c r="C466" t="s">
        <v>390</v>
      </c>
      <c r="D466" t="s">
        <v>391</v>
      </c>
      <c r="E466" t="s">
        <v>99</v>
      </c>
      <c r="F466" t="s">
        <v>349</v>
      </c>
      <c r="G466" t="s">
        <v>101</v>
      </c>
      <c r="H466">
        <v>4714781020770</v>
      </c>
      <c r="I466">
        <v>1</v>
      </c>
      <c r="J466">
        <v>149</v>
      </c>
      <c r="K466">
        <v>0</v>
      </c>
      <c r="L466">
        <v>0</v>
      </c>
      <c r="M466">
        <v>1144</v>
      </c>
      <c r="N466" t="s">
        <v>39</v>
      </c>
      <c r="O466" t="s">
        <v>59</v>
      </c>
      <c r="Q466" t="s">
        <v>24</v>
      </c>
      <c r="T466" t="s">
        <v>25</v>
      </c>
      <c r="Y466">
        <v>338</v>
      </c>
      <c r="Z466" t="s">
        <v>392</v>
      </c>
      <c r="AC466" t="s">
        <v>42</v>
      </c>
    </row>
    <row r="467" spans="1:29">
      <c r="A467" t="s">
        <v>388</v>
      </c>
      <c r="B467" t="s">
        <v>389</v>
      </c>
      <c r="C467" t="s">
        <v>390</v>
      </c>
      <c r="D467" t="s">
        <v>391</v>
      </c>
      <c r="E467" t="s">
        <v>65</v>
      </c>
      <c r="F467" t="s">
        <v>66</v>
      </c>
      <c r="G467" t="s">
        <v>67</v>
      </c>
      <c r="H467">
        <v>4714781020800</v>
      </c>
      <c r="I467">
        <v>1</v>
      </c>
      <c r="J467">
        <v>128</v>
      </c>
      <c r="K467">
        <v>0</v>
      </c>
      <c r="L467">
        <v>0</v>
      </c>
      <c r="M467">
        <v>1144</v>
      </c>
      <c r="N467" t="s">
        <v>39</v>
      </c>
      <c r="O467" t="s">
        <v>59</v>
      </c>
      <c r="Q467" t="s">
        <v>24</v>
      </c>
      <c r="T467" t="s">
        <v>25</v>
      </c>
      <c r="Y467">
        <v>338</v>
      </c>
      <c r="Z467" t="s">
        <v>392</v>
      </c>
      <c r="AC467" t="s">
        <v>42</v>
      </c>
    </row>
    <row r="468" spans="1:29">
      <c r="A468" t="s">
        <v>388</v>
      </c>
      <c r="B468" t="s">
        <v>389</v>
      </c>
      <c r="C468" t="s">
        <v>390</v>
      </c>
      <c r="D468" t="s">
        <v>391</v>
      </c>
      <c r="E468" t="s">
        <v>157</v>
      </c>
      <c r="F468" t="s">
        <v>158</v>
      </c>
      <c r="G468" t="s">
        <v>159</v>
      </c>
      <c r="H468">
        <v>4714781021463</v>
      </c>
      <c r="I468">
        <v>1</v>
      </c>
      <c r="J468">
        <v>120</v>
      </c>
      <c r="K468">
        <v>0</v>
      </c>
      <c r="L468">
        <v>0</v>
      </c>
      <c r="M468">
        <v>1144</v>
      </c>
      <c r="N468" t="s">
        <v>39</v>
      </c>
      <c r="O468" t="s">
        <v>59</v>
      </c>
      <c r="Q468" t="s">
        <v>24</v>
      </c>
      <c r="T468" t="s">
        <v>25</v>
      </c>
      <c r="Y468">
        <v>338</v>
      </c>
      <c r="Z468" t="s">
        <v>392</v>
      </c>
      <c r="AC468" t="s">
        <v>42</v>
      </c>
    </row>
    <row r="469" spans="1:29">
      <c r="A469" t="s">
        <v>1281</v>
      </c>
      <c r="B469" t="s">
        <v>1282</v>
      </c>
      <c r="C469" t="s">
        <v>1283</v>
      </c>
      <c r="D469" t="s">
        <v>1284</v>
      </c>
      <c r="E469" t="s">
        <v>779</v>
      </c>
      <c r="F469" t="s">
        <v>780</v>
      </c>
      <c r="G469" t="s">
        <v>934</v>
      </c>
      <c r="H469" t="s">
        <v>935</v>
      </c>
      <c r="I469">
        <v>1</v>
      </c>
      <c r="J469">
        <v>699</v>
      </c>
      <c r="K469">
        <v>0</v>
      </c>
      <c r="L469">
        <v>0</v>
      </c>
      <c r="M469">
        <v>699</v>
      </c>
      <c r="N469" t="s">
        <v>633</v>
      </c>
      <c r="O469" t="s">
        <v>634</v>
      </c>
      <c r="Q469" t="s">
        <v>24</v>
      </c>
      <c r="T469" t="s">
        <v>635</v>
      </c>
      <c r="V469">
        <v>126890</v>
      </c>
      <c r="W469" t="s">
        <v>1285</v>
      </c>
      <c r="X469" t="s">
        <v>1286</v>
      </c>
      <c r="AC469" t="s">
        <v>27</v>
      </c>
    </row>
    <row r="470" spans="1:29">
      <c r="A470" t="s">
        <v>379</v>
      </c>
      <c r="B470" t="s">
        <v>380</v>
      </c>
      <c r="C470" t="s">
        <v>381</v>
      </c>
      <c r="D470" t="s">
        <v>382</v>
      </c>
      <c r="E470" t="s">
        <v>383</v>
      </c>
      <c r="F470" t="s">
        <v>384</v>
      </c>
      <c r="G470" t="s">
        <v>385</v>
      </c>
      <c r="H470" t="s">
        <v>386</v>
      </c>
      <c r="I470">
        <v>1</v>
      </c>
      <c r="J470">
        <v>960</v>
      </c>
      <c r="K470">
        <v>0</v>
      </c>
      <c r="L470">
        <v>0</v>
      </c>
      <c r="M470">
        <v>1293</v>
      </c>
      <c r="N470" t="s">
        <v>39</v>
      </c>
      <c r="O470" t="s">
        <v>40</v>
      </c>
      <c r="Q470" t="s">
        <v>24</v>
      </c>
      <c r="T470" t="s">
        <v>25</v>
      </c>
      <c r="Y470">
        <v>604</v>
      </c>
      <c r="Z470" t="s">
        <v>387</v>
      </c>
      <c r="AC470" t="s">
        <v>42</v>
      </c>
    </row>
    <row r="471" spans="1:29">
      <c r="A471" t="s">
        <v>379</v>
      </c>
      <c r="B471" t="s">
        <v>380</v>
      </c>
      <c r="C471" t="s">
        <v>381</v>
      </c>
      <c r="D471" t="s">
        <v>382</v>
      </c>
      <c r="E471" t="s">
        <v>269</v>
      </c>
      <c r="F471" t="s">
        <v>270</v>
      </c>
      <c r="G471" t="s">
        <v>271</v>
      </c>
      <c r="H471">
        <v>4714781021777</v>
      </c>
      <c r="I471">
        <v>1</v>
      </c>
      <c r="J471">
        <v>399</v>
      </c>
      <c r="K471">
        <v>0</v>
      </c>
      <c r="L471">
        <v>0</v>
      </c>
      <c r="M471">
        <v>1293</v>
      </c>
      <c r="N471" t="s">
        <v>39</v>
      </c>
      <c r="O471" t="s">
        <v>40</v>
      </c>
      <c r="Q471" t="s">
        <v>24</v>
      </c>
      <c r="T471" t="s">
        <v>25</v>
      </c>
      <c r="Y471">
        <v>604</v>
      </c>
      <c r="Z471" t="s">
        <v>387</v>
      </c>
      <c r="AC471" t="s">
        <v>42</v>
      </c>
    </row>
    <row r="472" spans="1:29">
      <c r="A472" t="s">
        <v>379</v>
      </c>
      <c r="B472" t="s">
        <v>380</v>
      </c>
      <c r="C472" t="s">
        <v>381</v>
      </c>
      <c r="D472" t="s">
        <v>382</v>
      </c>
      <c r="E472" t="s">
        <v>45</v>
      </c>
      <c r="F472" t="s">
        <v>46</v>
      </c>
      <c r="G472" t="s">
        <v>47</v>
      </c>
      <c r="I472">
        <v>1</v>
      </c>
      <c r="J472">
        <v>-66</v>
      </c>
      <c r="K472">
        <v>0</v>
      </c>
      <c r="L472">
        <v>0</v>
      </c>
      <c r="M472">
        <v>1293</v>
      </c>
      <c r="N472" t="s">
        <v>39</v>
      </c>
      <c r="O472" t="s">
        <v>40</v>
      </c>
      <c r="Q472" t="s">
        <v>24</v>
      </c>
      <c r="T472" t="s">
        <v>25</v>
      </c>
      <c r="Y472">
        <v>604</v>
      </c>
      <c r="Z472" t="s">
        <v>387</v>
      </c>
      <c r="AC472" t="s">
        <v>42</v>
      </c>
    </row>
    <row r="473" spans="1:29">
      <c r="A473" t="s">
        <v>379</v>
      </c>
      <c r="B473" t="s">
        <v>380</v>
      </c>
      <c r="C473" t="s">
        <v>381</v>
      </c>
      <c r="D473" t="s">
        <v>382</v>
      </c>
      <c r="E473" t="s">
        <v>48</v>
      </c>
      <c r="F473" t="s">
        <v>49</v>
      </c>
      <c r="G473" t="s">
        <v>50</v>
      </c>
      <c r="I473">
        <v>1</v>
      </c>
      <c r="J473">
        <v>68</v>
      </c>
      <c r="K473">
        <v>0</v>
      </c>
      <c r="L473">
        <v>0</v>
      </c>
      <c r="M473">
        <v>1293</v>
      </c>
      <c r="N473" t="s">
        <v>39</v>
      </c>
      <c r="O473" t="s">
        <v>40</v>
      </c>
      <c r="Q473" t="s">
        <v>24</v>
      </c>
      <c r="T473" t="s">
        <v>25</v>
      </c>
      <c r="Y473">
        <v>604</v>
      </c>
      <c r="Z473" t="s">
        <v>387</v>
      </c>
      <c r="AC473" t="s">
        <v>42</v>
      </c>
    </row>
    <row r="474" spans="1:29">
      <c r="A474" t="s">
        <v>1287</v>
      </c>
      <c r="B474" t="s">
        <v>1288</v>
      </c>
      <c r="C474" t="s">
        <v>1289</v>
      </c>
      <c r="D474" t="s">
        <v>1290</v>
      </c>
      <c r="E474" t="s">
        <v>61</v>
      </c>
      <c r="F474" t="s">
        <v>62</v>
      </c>
      <c r="G474" t="s">
        <v>293</v>
      </c>
      <c r="H474" t="s">
        <v>667</v>
      </c>
      <c r="I474">
        <v>1</v>
      </c>
      <c r="J474">
        <v>399</v>
      </c>
      <c r="K474">
        <v>0</v>
      </c>
      <c r="L474">
        <v>0</v>
      </c>
      <c r="M474">
        <v>799</v>
      </c>
      <c r="N474" t="s">
        <v>633</v>
      </c>
      <c r="O474" t="s">
        <v>634</v>
      </c>
      <c r="Q474" t="s">
        <v>24</v>
      </c>
      <c r="T474" t="s">
        <v>635</v>
      </c>
      <c r="V474">
        <v>956835</v>
      </c>
      <c r="W474" t="s">
        <v>1291</v>
      </c>
      <c r="X474" t="s">
        <v>1292</v>
      </c>
      <c r="AC474" t="s">
        <v>27</v>
      </c>
    </row>
    <row r="475" spans="1:29">
      <c r="A475" t="s">
        <v>1287</v>
      </c>
      <c r="B475" t="s">
        <v>1288</v>
      </c>
      <c r="C475" t="s">
        <v>1289</v>
      </c>
      <c r="D475" t="s">
        <v>1290</v>
      </c>
      <c r="E475" t="s">
        <v>55</v>
      </c>
      <c r="F475" t="s">
        <v>56</v>
      </c>
      <c r="G475" t="s">
        <v>57</v>
      </c>
      <c r="H475" t="s">
        <v>58</v>
      </c>
      <c r="I475">
        <v>1</v>
      </c>
      <c r="J475">
        <v>450</v>
      </c>
      <c r="K475">
        <v>0</v>
      </c>
      <c r="L475">
        <v>0</v>
      </c>
      <c r="M475">
        <v>799</v>
      </c>
      <c r="N475" t="s">
        <v>633</v>
      </c>
      <c r="O475" t="s">
        <v>634</v>
      </c>
      <c r="Q475" t="s">
        <v>24</v>
      </c>
      <c r="T475" t="s">
        <v>635</v>
      </c>
      <c r="V475">
        <v>956835</v>
      </c>
      <c r="W475" t="s">
        <v>1291</v>
      </c>
      <c r="X475" t="s">
        <v>1292</v>
      </c>
      <c r="AC475" t="s">
        <v>27</v>
      </c>
    </row>
    <row r="476" spans="1:29">
      <c r="A476" t="s">
        <v>1287</v>
      </c>
      <c r="B476" t="s">
        <v>1288</v>
      </c>
      <c r="C476" t="s">
        <v>1289</v>
      </c>
      <c r="D476" t="s">
        <v>1290</v>
      </c>
      <c r="E476" t="s">
        <v>108</v>
      </c>
      <c r="F476" t="s">
        <v>427</v>
      </c>
      <c r="G476" t="s">
        <v>428</v>
      </c>
      <c r="I476">
        <v>1</v>
      </c>
      <c r="J476">
        <v>-50</v>
      </c>
      <c r="K476">
        <v>0</v>
      </c>
      <c r="L476">
        <v>0</v>
      </c>
      <c r="M476">
        <v>799</v>
      </c>
      <c r="N476" t="s">
        <v>633</v>
      </c>
      <c r="O476" t="s">
        <v>634</v>
      </c>
      <c r="Q476" t="s">
        <v>24</v>
      </c>
      <c r="T476" t="s">
        <v>635</v>
      </c>
      <c r="V476">
        <v>956835</v>
      </c>
      <c r="W476" t="s">
        <v>1291</v>
      </c>
      <c r="X476" t="s">
        <v>1292</v>
      </c>
      <c r="AC476" t="s">
        <v>27</v>
      </c>
    </row>
    <row r="477" spans="1:29">
      <c r="A477" t="s">
        <v>1293</v>
      </c>
      <c r="B477" t="s">
        <v>1294</v>
      </c>
      <c r="C477" t="s">
        <v>1295</v>
      </c>
      <c r="D477" t="s">
        <v>1296</v>
      </c>
      <c r="E477" t="s">
        <v>61</v>
      </c>
      <c r="F477" t="s">
        <v>62</v>
      </c>
      <c r="G477" t="s">
        <v>84</v>
      </c>
      <c r="H477" t="s">
        <v>85</v>
      </c>
      <c r="I477">
        <v>1</v>
      </c>
      <c r="J477">
        <v>399</v>
      </c>
      <c r="K477">
        <v>0</v>
      </c>
      <c r="L477">
        <v>0</v>
      </c>
      <c r="M477">
        <v>797</v>
      </c>
      <c r="N477" t="s">
        <v>633</v>
      </c>
      <c r="O477" t="s">
        <v>634</v>
      </c>
      <c r="Q477" t="s">
        <v>24</v>
      </c>
      <c r="T477" t="s">
        <v>635</v>
      </c>
      <c r="V477">
        <v>124540</v>
      </c>
      <c r="W477" t="s">
        <v>1297</v>
      </c>
      <c r="X477" t="s">
        <v>1298</v>
      </c>
      <c r="AC477" t="s">
        <v>27</v>
      </c>
    </row>
    <row r="478" spans="1:29">
      <c r="A478" t="s">
        <v>1293</v>
      </c>
      <c r="B478" t="s">
        <v>1294</v>
      </c>
      <c r="C478" t="s">
        <v>1295</v>
      </c>
      <c r="D478" t="s">
        <v>1296</v>
      </c>
      <c r="E478" t="s">
        <v>94</v>
      </c>
      <c r="F478" t="s">
        <v>95</v>
      </c>
      <c r="G478" t="s">
        <v>96</v>
      </c>
      <c r="H478">
        <v>4714781020787</v>
      </c>
      <c r="I478">
        <v>2</v>
      </c>
      <c r="J478">
        <v>270</v>
      </c>
      <c r="K478">
        <v>0</v>
      </c>
      <c r="L478">
        <v>0</v>
      </c>
      <c r="M478">
        <v>797</v>
      </c>
      <c r="N478" t="s">
        <v>633</v>
      </c>
      <c r="O478" t="s">
        <v>634</v>
      </c>
      <c r="Q478" t="s">
        <v>24</v>
      </c>
      <c r="T478" t="s">
        <v>635</v>
      </c>
      <c r="V478">
        <v>124540</v>
      </c>
      <c r="W478" t="s">
        <v>1297</v>
      </c>
      <c r="X478" t="s">
        <v>1298</v>
      </c>
      <c r="AC478" t="s">
        <v>27</v>
      </c>
    </row>
    <row r="479" spans="1:29">
      <c r="A479" t="s">
        <v>1293</v>
      </c>
      <c r="B479" t="s">
        <v>1294</v>
      </c>
      <c r="C479" t="s">
        <v>1295</v>
      </c>
      <c r="D479" t="s">
        <v>1296</v>
      </c>
      <c r="E479" t="s">
        <v>346</v>
      </c>
      <c r="F479" t="s">
        <v>347</v>
      </c>
      <c r="G479" t="s">
        <v>348</v>
      </c>
      <c r="H479">
        <v>4714781020817</v>
      </c>
      <c r="I479">
        <v>1</v>
      </c>
      <c r="J479">
        <v>128</v>
      </c>
      <c r="K479">
        <v>0</v>
      </c>
      <c r="L479">
        <v>0</v>
      </c>
      <c r="M479">
        <v>797</v>
      </c>
      <c r="N479" t="s">
        <v>633</v>
      </c>
      <c r="O479" t="s">
        <v>634</v>
      </c>
      <c r="Q479" t="s">
        <v>24</v>
      </c>
      <c r="T479" t="s">
        <v>635</v>
      </c>
      <c r="V479">
        <v>124540</v>
      </c>
      <c r="W479" t="s">
        <v>1297</v>
      </c>
      <c r="X479" t="s">
        <v>1298</v>
      </c>
      <c r="AC479" t="s">
        <v>27</v>
      </c>
    </row>
    <row r="480" spans="1:29">
      <c r="A480" t="s">
        <v>367</v>
      </c>
      <c r="B480" t="s">
        <v>368</v>
      </c>
      <c r="C480" t="s">
        <v>369</v>
      </c>
      <c r="D480" t="s">
        <v>370</v>
      </c>
      <c r="E480" t="s">
        <v>371</v>
      </c>
      <c r="F480" t="s">
        <v>372</v>
      </c>
      <c r="G480" t="s">
        <v>373</v>
      </c>
      <c r="H480">
        <v>4714781024716</v>
      </c>
      <c r="I480">
        <v>1</v>
      </c>
      <c r="J480">
        <v>299</v>
      </c>
      <c r="K480">
        <v>0</v>
      </c>
      <c r="L480">
        <v>0</v>
      </c>
      <c r="M480">
        <v>1024</v>
      </c>
      <c r="N480" t="s">
        <v>39</v>
      </c>
      <c r="O480" t="s">
        <v>40</v>
      </c>
      <c r="Q480" t="s">
        <v>24</v>
      </c>
      <c r="T480" t="s">
        <v>25</v>
      </c>
      <c r="Y480">
        <v>407</v>
      </c>
      <c r="Z480" t="s">
        <v>374</v>
      </c>
      <c r="AC480" t="s">
        <v>42</v>
      </c>
    </row>
    <row r="481" spans="1:29">
      <c r="A481" t="s">
        <v>367</v>
      </c>
      <c r="B481" t="s">
        <v>368</v>
      </c>
      <c r="C481" t="s">
        <v>369</v>
      </c>
      <c r="D481" t="s">
        <v>370</v>
      </c>
      <c r="E481" t="s">
        <v>262</v>
      </c>
      <c r="F481" t="s">
        <v>263</v>
      </c>
      <c r="G481" t="s">
        <v>264</v>
      </c>
      <c r="H481">
        <v>4714781024730</v>
      </c>
      <c r="I481">
        <v>1</v>
      </c>
      <c r="J481">
        <v>299</v>
      </c>
      <c r="K481">
        <v>0</v>
      </c>
      <c r="L481">
        <v>0</v>
      </c>
      <c r="M481">
        <v>1024</v>
      </c>
      <c r="N481" t="s">
        <v>39</v>
      </c>
      <c r="O481" t="s">
        <v>40</v>
      </c>
      <c r="Q481" t="s">
        <v>24</v>
      </c>
      <c r="T481" t="s">
        <v>25</v>
      </c>
      <c r="Y481">
        <v>407</v>
      </c>
      <c r="Z481" t="s">
        <v>374</v>
      </c>
      <c r="AC481" t="s">
        <v>42</v>
      </c>
    </row>
    <row r="482" spans="1:29">
      <c r="A482" t="s">
        <v>367</v>
      </c>
      <c r="B482" t="s">
        <v>368</v>
      </c>
      <c r="C482" t="s">
        <v>369</v>
      </c>
      <c r="D482" t="s">
        <v>370</v>
      </c>
      <c r="E482" t="s">
        <v>375</v>
      </c>
      <c r="F482" t="s">
        <v>376</v>
      </c>
      <c r="G482" t="s">
        <v>377</v>
      </c>
      <c r="H482" t="s">
        <v>378</v>
      </c>
      <c r="I482">
        <v>1</v>
      </c>
      <c r="J482">
        <v>480</v>
      </c>
      <c r="K482">
        <v>0</v>
      </c>
      <c r="L482">
        <v>0</v>
      </c>
      <c r="M482">
        <v>1024</v>
      </c>
      <c r="N482" t="s">
        <v>39</v>
      </c>
      <c r="O482" t="s">
        <v>40</v>
      </c>
      <c r="Q482" t="s">
        <v>24</v>
      </c>
      <c r="T482" t="s">
        <v>25</v>
      </c>
      <c r="Y482">
        <v>407</v>
      </c>
      <c r="Z482" t="s">
        <v>374</v>
      </c>
      <c r="AC482" t="s">
        <v>42</v>
      </c>
    </row>
    <row r="483" spans="1:29">
      <c r="A483" t="s">
        <v>367</v>
      </c>
      <c r="B483" t="s">
        <v>368</v>
      </c>
      <c r="C483" t="s">
        <v>369</v>
      </c>
      <c r="D483" t="s">
        <v>370</v>
      </c>
      <c r="E483" t="s">
        <v>45</v>
      </c>
      <c r="F483" t="s">
        <v>46</v>
      </c>
      <c r="G483" t="s">
        <v>47</v>
      </c>
      <c r="I483">
        <v>1</v>
      </c>
      <c r="J483">
        <v>-54</v>
      </c>
      <c r="K483">
        <v>0</v>
      </c>
      <c r="L483">
        <v>0</v>
      </c>
      <c r="M483">
        <v>1024</v>
      </c>
      <c r="N483" t="s">
        <v>39</v>
      </c>
      <c r="O483" t="s">
        <v>40</v>
      </c>
      <c r="Q483" t="s">
        <v>24</v>
      </c>
      <c r="T483" t="s">
        <v>25</v>
      </c>
      <c r="Y483">
        <v>407</v>
      </c>
      <c r="Z483" t="s">
        <v>374</v>
      </c>
      <c r="AC483" t="s">
        <v>42</v>
      </c>
    </row>
    <row r="484" spans="1:29">
      <c r="A484" t="s">
        <v>367</v>
      </c>
      <c r="B484" t="s">
        <v>368</v>
      </c>
      <c r="C484" t="s">
        <v>369</v>
      </c>
      <c r="D484" t="s">
        <v>370</v>
      </c>
      <c r="E484" t="s">
        <v>48</v>
      </c>
      <c r="F484" t="s">
        <v>49</v>
      </c>
      <c r="G484" t="s">
        <v>50</v>
      </c>
      <c r="I484">
        <v>1</v>
      </c>
      <c r="J484">
        <v>54</v>
      </c>
      <c r="K484">
        <v>0</v>
      </c>
      <c r="L484">
        <v>0</v>
      </c>
      <c r="M484">
        <v>1024</v>
      </c>
      <c r="N484" t="s">
        <v>39</v>
      </c>
      <c r="O484" t="s">
        <v>40</v>
      </c>
      <c r="Q484" t="s">
        <v>24</v>
      </c>
      <c r="T484" t="s">
        <v>25</v>
      </c>
      <c r="Y484">
        <v>407</v>
      </c>
      <c r="Z484" t="s">
        <v>374</v>
      </c>
      <c r="AC484" t="s">
        <v>42</v>
      </c>
    </row>
    <row r="485" spans="1:29">
      <c r="A485" t="s">
        <v>1299</v>
      </c>
      <c r="B485" t="s">
        <v>1300</v>
      </c>
      <c r="C485" t="s">
        <v>1301</v>
      </c>
      <c r="D485" t="s">
        <v>1302</v>
      </c>
      <c r="E485" t="s">
        <v>99</v>
      </c>
      <c r="F485" t="s">
        <v>349</v>
      </c>
      <c r="G485" t="s">
        <v>101</v>
      </c>
      <c r="H485">
        <v>4714781020770</v>
      </c>
      <c r="I485">
        <v>1</v>
      </c>
      <c r="J485">
        <v>149</v>
      </c>
      <c r="K485">
        <v>0</v>
      </c>
      <c r="L485">
        <v>0</v>
      </c>
      <c r="M485">
        <v>998</v>
      </c>
      <c r="N485" t="s">
        <v>633</v>
      </c>
      <c r="O485" t="s">
        <v>634</v>
      </c>
      <c r="Q485" t="s">
        <v>24</v>
      </c>
      <c r="T485" t="s">
        <v>635</v>
      </c>
      <c r="V485">
        <v>120489</v>
      </c>
      <c r="W485" t="s">
        <v>1303</v>
      </c>
      <c r="X485" t="s">
        <v>1304</v>
      </c>
      <c r="AC485" t="s">
        <v>27</v>
      </c>
    </row>
    <row r="486" spans="1:29">
      <c r="A486" t="s">
        <v>1299</v>
      </c>
      <c r="B486" t="s">
        <v>1300</v>
      </c>
      <c r="C486" t="s">
        <v>1301</v>
      </c>
      <c r="D486" t="s">
        <v>1302</v>
      </c>
      <c r="E486" t="s">
        <v>61</v>
      </c>
      <c r="F486" t="s">
        <v>62</v>
      </c>
      <c r="G486" t="s">
        <v>84</v>
      </c>
      <c r="H486" t="s">
        <v>85</v>
      </c>
      <c r="I486">
        <v>1</v>
      </c>
      <c r="J486">
        <v>399</v>
      </c>
      <c r="K486">
        <v>0</v>
      </c>
      <c r="L486">
        <v>0</v>
      </c>
      <c r="M486">
        <v>998</v>
      </c>
      <c r="N486" t="s">
        <v>633</v>
      </c>
      <c r="O486" t="s">
        <v>634</v>
      </c>
      <c r="Q486" t="s">
        <v>24</v>
      </c>
      <c r="T486" t="s">
        <v>635</v>
      </c>
      <c r="V486">
        <v>120489</v>
      </c>
      <c r="W486" t="s">
        <v>1303</v>
      </c>
      <c r="X486" t="s">
        <v>1304</v>
      </c>
      <c r="AC486" t="s">
        <v>27</v>
      </c>
    </row>
    <row r="487" spans="1:29">
      <c r="A487" t="s">
        <v>1299</v>
      </c>
      <c r="B487" t="s">
        <v>1300</v>
      </c>
      <c r="C487" t="s">
        <v>1301</v>
      </c>
      <c r="D487" t="s">
        <v>1302</v>
      </c>
      <c r="E487" t="s">
        <v>55</v>
      </c>
      <c r="F487" t="s">
        <v>56</v>
      </c>
      <c r="G487" t="s">
        <v>97</v>
      </c>
      <c r="H487" t="s">
        <v>98</v>
      </c>
      <c r="I487">
        <v>1</v>
      </c>
      <c r="J487">
        <v>450</v>
      </c>
      <c r="K487">
        <v>0</v>
      </c>
      <c r="L487">
        <v>0</v>
      </c>
      <c r="M487">
        <v>998</v>
      </c>
      <c r="N487" t="s">
        <v>633</v>
      </c>
      <c r="O487" t="s">
        <v>634</v>
      </c>
      <c r="Q487" t="s">
        <v>24</v>
      </c>
      <c r="T487" t="s">
        <v>635</v>
      </c>
      <c r="V487">
        <v>120489</v>
      </c>
      <c r="W487" t="s">
        <v>1303</v>
      </c>
      <c r="X487" t="s">
        <v>1304</v>
      </c>
      <c r="AC487" t="s">
        <v>27</v>
      </c>
    </row>
    <row r="488" spans="1:29">
      <c r="A488" t="s">
        <v>362</v>
      </c>
      <c r="B488" t="s">
        <v>363</v>
      </c>
      <c r="C488" t="s">
        <v>364</v>
      </c>
      <c r="D488" t="s">
        <v>365</v>
      </c>
      <c r="E488" t="s">
        <v>61</v>
      </c>
      <c r="F488" t="s">
        <v>62</v>
      </c>
      <c r="G488" t="s">
        <v>80</v>
      </c>
      <c r="H488" t="s">
        <v>81</v>
      </c>
      <c r="I488">
        <v>1</v>
      </c>
      <c r="J488">
        <v>399</v>
      </c>
      <c r="K488">
        <v>60</v>
      </c>
      <c r="L488">
        <v>0</v>
      </c>
      <c r="M488">
        <v>627</v>
      </c>
      <c r="N488" t="s">
        <v>39</v>
      </c>
      <c r="O488" t="s">
        <v>59</v>
      </c>
      <c r="Q488" t="s">
        <v>24</v>
      </c>
      <c r="T488" t="s">
        <v>25</v>
      </c>
      <c r="Y488">
        <v>950</v>
      </c>
      <c r="Z488" t="s">
        <v>366</v>
      </c>
      <c r="AC488" t="s">
        <v>42</v>
      </c>
    </row>
    <row r="489" spans="1:29">
      <c r="A489" t="s">
        <v>362</v>
      </c>
      <c r="B489" t="s">
        <v>363</v>
      </c>
      <c r="C489" t="s">
        <v>364</v>
      </c>
      <c r="D489" t="s">
        <v>365</v>
      </c>
      <c r="E489" t="s">
        <v>350</v>
      </c>
      <c r="F489" t="s">
        <v>351</v>
      </c>
      <c r="G489" t="s">
        <v>352</v>
      </c>
      <c r="H489">
        <v>4714781020503</v>
      </c>
      <c r="I489">
        <v>1</v>
      </c>
      <c r="J489">
        <v>168</v>
      </c>
      <c r="K489">
        <v>60</v>
      </c>
      <c r="L489">
        <v>0</v>
      </c>
      <c r="M489">
        <v>627</v>
      </c>
      <c r="N489" t="s">
        <v>39</v>
      </c>
      <c r="O489" t="s">
        <v>59</v>
      </c>
      <c r="Q489" t="s">
        <v>24</v>
      </c>
      <c r="T489" t="s">
        <v>25</v>
      </c>
      <c r="Y489">
        <v>950</v>
      </c>
      <c r="Z489" t="s">
        <v>366</v>
      </c>
      <c r="AC489" t="s">
        <v>42</v>
      </c>
    </row>
    <row r="490" spans="1:29">
      <c r="A490" t="s">
        <v>1305</v>
      </c>
      <c r="B490" t="s">
        <v>1306</v>
      </c>
      <c r="C490" t="s">
        <v>1307</v>
      </c>
      <c r="D490" t="s">
        <v>1308</v>
      </c>
      <c r="E490" t="s">
        <v>104</v>
      </c>
      <c r="F490" t="s">
        <v>105</v>
      </c>
      <c r="G490" t="s">
        <v>106</v>
      </c>
      <c r="H490">
        <v>4714781020268</v>
      </c>
      <c r="I490">
        <v>1</v>
      </c>
      <c r="J490">
        <v>430</v>
      </c>
      <c r="K490">
        <v>65</v>
      </c>
      <c r="L490">
        <v>0</v>
      </c>
      <c r="M490">
        <v>802</v>
      </c>
      <c r="N490" t="s">
        <v>633</v>
      </c>
      <c r="O490" t="s">
        <v>634</v>
      </c>
      <c r="Q490" t="s">
        <v>24</v>
      </c>
      <c r="T490" t="s">
        <v>635</v>
      </c>
      <c r="V490">
        <v>215699</v>
      </c>
      <c r="W490" t="s">
        <v>1309</v>
      </c>
      <c r="X490" t="s">
        <v>1310</v>
      </c>
      <c r="AC490" t="s">
        <v>27</v>
      </c>
    </row>
    <row r="491" spans="1:29">
      <c r="A491" t="s">
        <v>1305</v>
      </c>
      <c r="B491" t="s">
        <v>1306</v>
      </c>
      <c r="C491" t="s">
        <v>1307</v>
      </c>
      <c r="D491" t="s">
        <v>1308</v>
      </c>
      <c r="E491" t="s">
        <v>724</v>
      </c>
      <c r="F491" t="s">
        <v>725</v>
      </c>
      <c r="G491" t="s">
        <v>726</v>
      </c>
      <c r="H491">
        <v>4714781020275</v>
      </c>
      <c r="I491">
        <v>1</v>
      </c>
      <c r="J491">
        <v>149</v>
      </c>
      <c r="K491">
        <v>65</v>
      </c>
      <c r="L491">
        <v>0</v>
      </c>
      <c r="M491">
        <v>802</v>
      </c>
      <c r="N491" t="s">
        <v>633</v>
      </c>
      <c r="O491" t="s">
        <v>634</v>
      </c>
      <c r="Q491" t="s">
        <v>24</v>
      </c>
      <c r="T491" t="s">
        <v>635</v>
      </c>
      <c r="V491">
        <v>215699</v>
      </c>
      <c r="W491" t="s">
        <v>1309</v>
      </c>
      <c r="X491" t="s">
        <v>1310</v>
      </c>
      <c r="AC491" t="s">
        <v>27</v>
      </c>
    </row>
    <row r="492" spans="1:29">
      <c r="A492" t="s">
        <v>1305</v>
      </c>
      <c r="B492" t="s">
        <v>1306</v>
      </c>
      <c r="C492" t="s">
        <v>1307</v>
      </c>
      <c r="D492" t="s">
        <v>1308</v>
      </c>
      <c r="E492" t="s">
        <v>602</v>
      </c>
      <c r="F492" t="s">
        <v>603</v>
      </c>
      <c r="G492" t="s">
        <v>604</v>
      </c>
      <c r="H492">
        <v>4714781021050</v>
      </c>
      <c r="I492">
        <v>1</v>
      </c>
      <c r="J492">
        <v>99</v>
      </c>
      <c r="K492">
        <v>65</v>
      </c>
      <c r="L492">
        <v>0</v>
      </c>
      <c r="M492">
        <v>802</v>
      </c>
      <c r="N492" t="s">
        <v>633</v>
      </c>
      <c r="O492" t="s">
        <v>634</v>
      </c>
      <c r="Q492" t="s">
        <v>24</v>
      </c>
      <c r="T492" t="s">
        <v>635</v>
      </c>
      <c r="V492">
        <v>215699</v>
      </c>
      <c r="W492" t="s">
        <v>1309</v>
      </c>
      <c r="X492" t="s">
        <v>1310</v>
      </c>
      <c r="AC492" t="s">
        <v>27</v>
      </c>
    </row>
    <row r="493" spans="1:29">
      <c r="A493" t="s">
        <v>1305</v>
      </c>
      <c r="B493" t="s">
        <v>1306</v>
      </c>
      <c r="C493" t="s">
        <v>1307</v>
      </c>
      <c r="D493" t="s">
        <v>1308</v>
      </c>
      <c r="E493" t="s">
        <v>86</v>
      </c>
      <c r="F493" t="s">
        <v>87</v>
      </c>
      <c r="G493" t="s">
        <v>88</v>
      </c>
      <c r="H493">
        <v>4714781021234</v>
      </c>
      <c r="I493">
        <v>1</v>
      </c>
      <c r="J493">
        <v>59</v>
      </c>
      <c r="K493">
        <v>65</v>
      </c>
      <c r="L493">
        <v>0</v>
      </c>
      <c r="M493">
        <v>802</v>
      </c>
      <c r="N493" t="s">
        <v>633</v>
      </c>
      <c r="O493" t="s">
        <v>634</v>
      </c>
      <c r="Q493" t="s">
        <v>24</v>
      </c>
      <c r="T493" t="s">
        <v>635</v>
      </c>
      <c r="V493">
        <v>215699</v>
      </c>
      <c r="W493" t="s">
        <v>1309</v>
      </c>
      <c r="X493" t="s">
        <v>1310</v>
      </c>
      <c r="AC493" t="s">
        <v>27</v>
      </c>
    </row>
    <row r="494" spans="1:29">
      <c r="A494" t="s">
        <v>353</v>
      </c>
      <c r="B494" t="s">
        <v>354</v>
      </c>
      <c r="C494" t="s">
        <v>355</v>
      </c>
      <c r="D494" t="s">
        <v>356</v>
      </c>
      <c r="E494" t="s">
        <v>357</v>
      </c>
      <c r="F494" t="s">
        <v>358</v>
      </c>
      <c r="G494" t="s">
        <v>359</v>
      </c>
      <c r="H494">
        <v>4714781024723</v>
      </c>
      <c r="I494">
        <v>1</v>
      </c>
      <c r="J494">
        <v>299</v>
      </c>
      <c r="K494">
        <v>60</v>
      </c>
      <c r="L494">
        <v>0</v>
      </c>
      <c r="M494">
        <v>649</v>
      </c>
      <c r="N494" t="s">
        <v>39</v>
      </c>
      <c r="O494" t="s">
        <v>40</v>
      </c>
      <c r="Q494" t="s">
        <v>24</v>
      </c>
      <c r="T494" t="s">
        <v>25</v>
      </c>
      <c r="Y494">
        <v>221</v>
      </c>
      <c r="Z494" t="s">
        <v>360</v>
      </c>
      <c r="AC494" t="s">
        <v>42</v>
      </c>
    </row>
    <row r="495" spans="1:29">
      <c r="A495" t="s">
        <v>353</v>
      </c>
      <c r="B495" t="s">
        <v>354</v>
      </c>
      <c r="C495" t="s">
        <v>355</v>
      </c>
      <c r="D495" t="s">
        <v>356</v>
      </c>
      <c r="E495" t="s">
        <v>138</v>
      </c>
      <c r="F495" t="s">
        <v>361</v>
      </c>
      <c r="G495" t="s">
        <v>140</v>
      </c>
      <c r="H495">
        <v>4714781020954</v>
      </c>
      <c r="I495">
        <v>2</v>
      </c>
      <c r="J495">
        <v>290</v>
      </c>
      <c r="K495">
        <v>60</v>
      </c>
      <c r="L495">
        <v>0</v>
      </c>
      <c r="M495">
        <v>649</v>
      </c>
      <c r="N495" t="s">
        <v>39</v>
      </c>
      <c r="O495" t="s">
        <v>40</v>
      </c>
      <c r="Q495" t="s">
        <v>24</v>
      </c>
      <c r="T495" t="s">
        <v>25</v>
      </c>
      <c r="Y495">
        <v>221</v>
      </c>
      <c r="Z495" t="s">
        <v>360</v>
      </c>
      <c r="AC495" t="s">
        <v>42</v>
      </c>
    </row>
    <row r="496" spans="1:29">
      <c r="A496" t="s">
        <v>1311</v>
      </c>
      <c r="B496" t="s">
        <v>1312</v>
      </c>
      <c r="C496" t="s">
        <v>1313</v>
      </c>
      <c r="D496" t="s">
        <v>1314</v>
      </c>
      <c r="E496" t="s">
        <v>357</v>
      </c>
      <c r="F496" t="s">
        <v>358</v>
      </c>
      <c r="G496" t="s">
        <v>359</v>
      </c>
      <c r="H496">
        <v>4714781024723</v>
      </c>
      <c r="I496">
        <v>1</v>
      </c>
      <c r="J496">
        <v>299</v>
      </c>
      <c r="K496">
        <v>65</v>
      </c>
      <c r="L496">
        <v>0</v>
      </c>
      <c r="M496">
        <v>364</v>
      </c>
      <c r="N496" t="s">
        <v>633</v>
      </c>
      <c r="O496" t="s">
        <v>634</v>
      </c>
      <c r="Q496" t="s">
        <v>24</v>
      </c>
      <c r="T496" t="s">
        <v>635</v>
      </c>
      <c r="V496">
        <v>956167</v>
      </c>
      <c r="W496" t="s">
        <v>1315</v>
      </c>
      <c r="X496" t="s">
        <v>1316</v>
      </c>
      <c r="AC496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D73B-8737-CE41-BEEA-8C0EB6ADB4BC}">
  <sheetPr codeName="Sheet4"/>
  <dimension ref="A1:AL2556"/>
  <sheetViews>
    <sheetView tabSelected="1" topLeftCell="E1" zoomScale="125" workbookViewId="0">
      <pane activePane="bottomRight" state="frozen"/>
      <selection activeCell="I7" sqref="I7"/>
    </sheetView>
  </sheetViews>
  <sheetFormatPr baseColWidth="10" defaultRowHeight="33" customHeight="1"/>
  <cols>
    <col min="1" max="1" width="19.33203125" style="56" bestFit="1" customWidth="1"/>
    <col min="2" max="2" width="10.1640625" style="57" bestFit="1" customWidth="1"/>
    <col min="3" max="4" width="7.83203125" style="56" bestFit="1" customWidth="1"/>
    <col min="5" max="5" width="18.5" style="56" bestFit="1" customWidth="1"/>
    <col min="6" max="6" width="12.83203125" style="56" bestFit="1" customWidth="1"/>
    <col min="7" max="7" width="18.5" style="58" bestFit="1" customWidth="1"/>
    <col min="8" max="8" width="4.5" style="56" bestFit="1" customWidth="1"/>
    <col min="9" max="9" width="44.5" style="56" bestFit="1" customWidth="1"/>
    <col min="10" max="10" width="7.83203125" style="56" bestFit="1" customWidth="1"/>
    <col min="11" max="11" width="9.5" style="56" bestFit="1" customWidth="1"/>
    <col min="12" max="12" width="7.83203125" style="56" bestFit="1" customWidth="1"/>
    <col min="13" max="13" width="4.5" style="56" bestFit="1" customWidth="1"/>
    <col min="14" max="14" width="7.83203125" style="56" bestFit="1" customWidth="1"/>
    <col min="15" max="17" width="9.5" style="56" bestFit="1" customWidth="1"/>
    <col min="18" max="18" width="6.1640625" style="56" bestFit="1" customWidth="1"/>
    <col min="19" max="21" width="7.83203125" style="56" bestFit="1" customWidth="1"/>
    <col min="22" max="22" width="31.83203125" style="56" bestFit="1" customWidth="1"/>
    <col min="23" max="23" width="4.83203125" style="56" bestFit="1" customWidth="1"/>
    <col min="24" max="24" width="18.33203125" style="56" bestFit="1" customWidth="1"/>
    <col min="25" max="25" width="15" style="56" bestFit="1" customWidth="1"/>
    <col min="26" max="26" width="42.5" style="56" bestFit="1" customWidth="1"/>
    <col min="27" max="27" width="14.5" style="56" bestFit="1" customWidth="1"/>
    <col min="28" max="28" width="19.83203125" style="56" bestFit="1" customWidth="1"/>
    <col min="29" max="29" width="12.83203125" style="56" bestFit="1" customWidth="1"/>
    <col min="30" max="30" width="7.83203125" style="56" bestFit="1" customWidth="1"/>
    <col min="31" max="31" width="11.1640625" style="56" bestFit="1" customWidth="1"/>
    <col min="32" max="32" width="11.5" style="56" bestFit="1" customWidth="1"/>
    <col min="33" max="33" width="9.1640625" style="56" bestFit="1" customWidth="1"/>
    <col min="34" max="34" width="9.5" style="56" bestFit="1" customWidth="1"/>
    <col min="35" max="35" width="7.83203125" style="56" bestFit="1" customWidth="1"/>
    <col min="36" max="36" width="11.1640625" style="57" bestFit="1" customWidth="1"/>
    <col min="37" max="37" width="7.83203125" style="56" bestFit="1" customWidth="1"/>
    <col min="38" max="38" width="9.5" style="56" bestFit="1" customWidth="1"/>
    <col min="39" max="256" width="8.83203125" style="56" customWidth="1"/>
    <col min="257" max="16384" width="10.83203125" style="56"/>
  </cols>
  <sheetData>
    <row r="1" spans="1:38" ht="33" customHeight="1">
      <c r="A1" s="56" t="s">
        <v>6742</v>
      </c>
      <c r="B1" s="57" t="s">
        <v>6741</v>
      </c>
      <c r="C1" s="56" t="s">
        <v>12</v>
      </c>
      <c r="D1" s="56" t="s">
        <v>6740</v>
      </c>
      <c r="E1" s="56" t="s">
        <v>6739</v>
      </c>
      <c r="F1" s="56" t="s">
        <v>6738</v>
      </c>
      <c r="G1" s="58" t="s">
        <v>6737</v>
      </c>
      <c r="H1" s="56" t="s">
        <v>184</v>
      </c>
      <c r="I1" s="56" t="s">
        <v>6736</v>
      </c>
      <c r="J1" s="56" t="s">
        <v>6735</v>
      </c>
      <c r="K1" s="56" t="s">
        <v>6734</v>
      </c>
      <c r="L1" s="56" t="s">
        <v>6733</v>
      </c>
      <c r="M1" s="56" t="s">
        <v>5</v>
      </c>
      <c r="N1" s="56" t="s">
        <v>6732</v>
      </c>
      <c r="O1" s="56" t="s">
        <v>6731</v>
      </c>
      <c r="P1" s="56" t="s">
        <v>6730</v>
      </c>
      <c r="Q1" s="56" t="s">
        <v>6729</v>
      </c>
      <c r="R1" s="56" t="s">
        <v>6728</v>
      </c>
      <c r="S1" s="56" t="s">
        <v>6727</v>
      </c>
      <c r="T1" s="56" t="s">
        <v>6726</v>
      </c>
      <c r="U1" s="56" t="s">
        <v>6725</v>
      </c>
      <c r="V1" s="56" t="s">
        <v>8</v>
      </c>
      <c r="W1" s="56" t="s">
        <v>6724</v>
      </c>
      <c r="X1" s="56" t="s">
        <v>6723</v>
      </c>
      <c r="Y1" s="56" t="s">
        <v>6722</v>
      </c>
      <c r="Z1" s="56" t="s">
        <v>6721</v>
      </c>
      <c r="AA1" s="56" t="s">
        <v>189</v>
      </c>
      <c r="AB1" s="56" t="s">
        <v>6720</v>
      </c>
      <c r="AC1" s="56" t="s">
        <v>6719</v>
      </c>
      <c r="AD1" s="56" t="s">
        <v>6718</v>
      </c>
      <c r="AE1" s="56" t="s">
        <v>6717</v>
      </c>
      <c r="AF1" s="56" t="s">
        <v>9</v>
      </c>
      <c r="AG1" s="56" t="s">
        <v>11</v>
      </c>
      <c r="AH1" s="56" t="s">
        <v>6716</v>
      </c>
      <c r="AI1" s="56" t="s">
        <v>6715</v>
      </c>
      <c r="AJ1" s="57" t="s">
        <v>6714</v>
      </c>
      <c r="AK1" s="56" t="s">
        <v>6713</v>
      </c>
      <c r="AL1" s="56" t="s">
        <v>6712</v>
      </c>
    </row>
    <row r="2" spans="1:38" ht="33" customHeight="1">
      <c r="A2" s="56" t="s">
        <v>6711</v>
      </c>
      <c r="B2" s="57">
        <v>44351.577962962961</v>
      </c>
      <c r="C2" s="56" t="s">
        <v>3803</v>
      </c>
      <c r="D2" s="56" t="s">
        <v>3802</v>
      </c>
      <c r="E2" s="56" t="s">
        <v>6710</v>
      </c>
      <c r="F2" s="56" t="s">
        <v>6709</v>
      </c>
      <c r="G2" s="58" t="s">
        <v>1531</v>
      </c>
      <c r="H2" s="56">
        <v>1</v>
      </c>
      <c r="I2" s="56" t="s">
        <v>3696</v>
      </c>
      <c r="J2" s="56">
        <v>299</v>
      </c>
      <c r="K2" s="56">
        <v>299</v>
      </c>
      <c r="L2" s="56">
        <v>299</v>
      </c>
      <c r="M2" s="56">
        <v>100</v>
      </c>
      <c r="N2" s="56">
        <v>6</v>
      </c>
      <c r="O2" s="56">
        <v>0</v>
      </c>
      <c r="P2" s="56">
        <v>0</v>
      </c>
      <c r="Q2" s="56">
        <v>393</v>
      </c>
      <c r="R2" s="56">
        <v>0</v>
      </c>
      <c r="S2" s="56">
        <v>0</v>
      </c>
      <c r="T2" s="56" t="s">
        <v>27</v>
      </c>
      <c r="U2" s="56">
        <v>393</v>
      </c>
      <c r="V2" s="56" t="s">
        <v>3736</v>
      </c>
      <c r="W2" s="56" t="s">
        <v>3548</v>
      </c>
      <c r="X2" s="56" t="s">
        <v>3735</v>
      </c>
      <c r="Y2" s="56" t="s">
        <v>3560</v>
      </c>
      <c r="Z2" s="56" t="s">
        <v>6708</v>
      </c>
      <c r="AC2" s="56" t="s">
        <v>3543</v>
      </c>
      <c r="AH2" s="56" t="s">
        <v>3542</v>
      </c>
      <c r="AI2" s="56" t="s">
        <v>3541</v>
      </c>
    </row>
    <row r="3" spans="1:38" ht="33" customHeight="1">
      <c r="A3" s="56" t="s">
        <v>6707</v>
      </c>
      <c r="B3" s="57">
        <v>44351.618009259262</v>
      </c>
      <c r="C3" s="56" t="s">
        <v>4512</v>
      </c>
      <c r="D3" s="56" t="s">
        <v>4511</v>
      </c>
      <c r="E3" s="56" t="s">
        <v>6706</v>
      </c>
      <c r="F3" s="56" t="s">
        <v>6705</v>
      </c>
      <c r="G3" s="58" t="s">
        <v>2156</v>
      </c>
      <c r="H3" s="56">
        <v>1</v>
      </c>
      <c r="I3" s="56" t="s">
        <v>1376</v>
      </c>
      <c r="J3" s="56">
        <v>149</v>
      </c>
      <c r="K3" s="56">
        <v>149</v>
      </c>
      <c r="L3" s="56">
        <v>533</v>
      </c>
      <c r="M3" s="56">
        <v>65</v>
      </c>
      <c r="N3" s="56">
        <v>0</v>
      </c>
      <c r="O3" s="56">
        <v>0</v>
      </c>
      <c r="P3" s="56">
        <v>0</v>
      </c>
      <c r="Q3" s="56">
        <v>598</v>
      </c>
      <c r="R3" s="56">
        <v>0</v>
      </c>
      <c r="S3" s="56">
        <v>0</v>
      </c>
      <c r="T3" s="56" t="s">
        <v>3562</v>
      </c>
      <c r="U3" s="56">
        <v>598</v>
      </c>
      <c r="V3" s="56" t="s">
        <v>3549</v>
      </c>
      <c r="W3" s="56" t="s">
        <v>3548</v>
      </c>
      <c r="X3" s="56" t="s">
        <v>3547</v>
      </c>
      <c r="Z3" s="56" t="s">
        <v>3546</v>
      </c>
      <c r="AA3" s="56" t="s">
        <v>6704</v>
      </c>
      <c r="AB3" s="56" t="s">
        <v>6703</v>
      </c>
      <c r="AC3" s="56" t="s">
        <v>3543</v>
      </c>
      <c r="AD3" s="56" t="s">
        <v>24</v>
      </c>
      <c r="AE3" s="56" t="s">
        <v>6080</v>
      </c>
      <c r="AF3" s="56" t="s">
        <v>6702</v>
      </c>
      <c r="AH3" s="56" t="s">
        <v>3542</v>
      </c>
      <c r="AI3" s="56" t="s">
        <v>3723</v>
      </c>
    </row>
    <row r="4" spans="1:38" ht="33" customHeight="1">
      <c r="A4" s="56" t="s">
        <v>6707</v>
      </c>
      <c r="B4" s="57">
        <v>44351.618009259262</v>
      </c>
      <c r="C4" s="56" t="s">
        <v>4512</v>
      </c>
      <c r="D4" s="56" t="s">
        <v>4511</v>
      </c>
      <c r="E4" s="56" t="s">
        <v>6706</v>
      </c>
      <c r="F4" s="56" t="s">
        <v>6705</v>
      </c>
      <c r="G4" s="58" t="s">
        <v>2165</v>
      </c>
      <c r="H4" s="56">
        <v>1</v>
      </c>
      <c r="I4" s="56" t="s">
        <v>3694</v>
      </c>
      <c r="J4" s="56">
        <v>128</v>
      </c>
      <c r="K4" s="56">
        <v>128</v>
      </c>
      <c r="P4" s="56">
        <v>0</v>
      </c>
      <c r="S4" s="56">
        <v>0</v>
      </c>
      <c r="T4" s="56" t="s">
        <v>3562</v>
      </c>
      <c r="V4" s="56" t="s">
        <v>3549</v>
      </c>
      <c r="W4" s="56" t="s">
        <v>3548</v>
      </c>
      <c r="X4" s="56" t="s">
        <v>3547</v>
      </c>
      <c r="Z4" s="56" t="s">
        <v>3546</v>
      </c>
      <c r="AA4" s="56" t="s">
        <v>6704</v>
      </c>
      <c r="AB4" s="56" t="s">
        <v>6703</v>
      </c>
      <c r="AC4" s="56" t="s">
        <v>3543</v>
      </c>
      <c r="AD4" s="56" t="s">
        <v>24</v>
      </c>
      <c r="AE4" s="56" t="s">
        <v>6080</v>
      </c>
      <c r="AF4" s="56" t="s">
        <v>6702</v>
      </c>
      <c r="AH4" s="56" t="s">
        <v>3542</v>
      </c>
      <c r="AI4" s="56" t="s">
        <v>3723</v>
      </c>
    </row>
    <row r="5" spans="1:38" ht="33" customHeight="1">
      <c r="A5" s="56" t="s">
        <v>6707</v>
      </c>
      <c r="B5" s="57">
        <v>44351.618009259262</v>
      </c>
      <c r="C5" s="56" t="s">
        <v>4512</v>
      </c>
      <c r="D5" s="56" t="s">
        <v>4511</v>
      </c>
      <c r="E5" s="56" t="s">
        <v>6706</v>
      </c>
      <c r="F5" s="56" t="s">
        <v>6705</v>
      </c>
      <c r="G5" s="58" t="s">
        <v>2163</v>
      </c>
      <c r="H5" s="56">
        <v>1</v>
      </c>
      <c r="I5" s="56" t="s">
        <v>3694</v>
      </c>
      <c r="J5" s="56">
        <v>128</v>
      </c>
      <c r="K5" s="56">
        <v>128</v>
      </c>
      <c r="P5" s="56">
        <v>0</v>
      </c>
      <c r="S5" s="56">
        <v>0</v>
      </c>
      <c r="T5" s="56" t="s">
        <v>3562</v>
      </c>
      <c r="V5" s="56" t="s">
        <v>3549</v>
      </c>
      <c r="W5" s="56" t="s">
        <v>3548</v>
      </c>
      <c r="X5" s="56" t="s">
        <v>3547</v>
      </c>
      <c r="Z5" s="56" t="s">
        <v>3546</v>
      </c>
      <c r="AA5" s="56" t="s">
        <v>6704</v>
      </c>
      <c r="AB5" s="56" t="s">
        <v>6703</v>
      </c>
      <c r="AC5" s="56" t="s">
        <v>3543</v>
      </c>
      <c r="AD5" s="56" t="s">
        <v>24</v>
      </c>
      <c r="AE5" s="56" t="s">
        <v>6080</v>
      </c>
      <c r="AF5" s="56" t="s">
        <v>6702</v>
      </c>
      <c r="AH5" s="56" t="s">
        <v>3542</v>
      </c>
      <c r="AI5" s="56" t="s">
        <v>3723</v>
      </c>
    </row>
    <row r="6" spans="1:38" ht="33" customHeight="1">
      <c r="A6" s="56" t="s">
        <v>6707</v>
      </c>
      <c r="B6" s="57">
        <v>44351.618009259262</v>
      </c>
      <c r="C6" s="56" t="s">
        <v>4512</v>
      </c>
      <c r="D6" s="56" t="s">
        <v>4511</v>
      </c>
      <c r="E6" s="56" t="s">
        <v>6706</v>
      </c>
      <c r="F6" s="56" t="s">
        <v>6705</v>
      </c>
      <c r="G6" s="58" t="s">
        <v>2161</v>
      </c>
      <c r="H6" s="56">
        <v>1</v>
      </c>
      <c r="I6" s="56" t="s">
        <v>3694</v>
      </c>
      <c r="J6" s="56">
        <v>128</v>
      </c>
      <c r="K6" s="56">
        <v>128</v>
      </c>
      <c r="P6" s="56">
        <v>0</v>
      </c>
      <c r="S6" s="56">
        <v>0</v>
      </c>
      <c r="T6" s="56" t="s">
        <v>3562</v>
      </c>
      <c r="V6" s="56" t="s">
        <v>3549</v>
      </c>
      <c r="W6" s="56" t="s">
        <v>3548</v>
      </c>
      <c r="X6" s="56" t="s">
        <v>3547</v>
      </c>
      <c r="Z6" s="56" t="s">
        <v>3546</v>
      </c>
      <c r="AA6" s="56" t="s">
        <v>6704</v>
      </c>
      <c r="AB6" s="56" t="s">
        <v>6703</v>
      </c>
      <c r="AC6" s="56" t="s">
        <v>3543</v>
      </c>
      <c r="AD6" s="56" t="s">
        <v>24</v>
      </c>
      <c r="AE6" s="56" t="s">
        <v>6080</v>
      </c>
      <c r="AF6" s="56" t="s">
        <v>6702</v>
      </c>
      <c r="AH6" s="56" t="s">
        <v>3542</v>
      </c>
      <c r="AI6" s="56" t="s">
        <v>3723</v>
      </c>
    </row>
    <row r="7" spans="1:38" ht="33" customHeight="1">
      <c r="A7" s="56" t="s">
        <v>6701</v>
      </c>
      <c r="B7" s="57">
        <v>44352.599050925928</v>
      </c>
      <c r="C7" s="56" t="s">
        <v>4512</v>
      </c>
      <c r="D7" s="56" t="s">
        <v>4511</v>
      </c>
      <c r="E7" s="56" t="s">
        <v>6700</v>
      </c>
      <c r="F7" s="56" t="s">
        <v>6699</v>
      </c>
      <c r="G7" s="58" t="s">
        <v>2161</v>
      </c>
      <c r="H7" s="56">
        <v>1</v>
      </c>
      <c r="I7" s="56" t="s">
        <v>3694</v>
      </c>
      <c r="J7" s="56">
        <v>128</v>
      </c>
      <c r="K7" s="56">
        <v>128</v>
      </c>
      <c r="L7" s="56">
        <v>128</v>
      </c>
      <c r="M7" s="56">
        <v>65</v>
      </c>
      <c r="N7" s="56">
        <v>0</v>
      </c>
      <c r="O7" s="56">
        <v>0</v>
      </c>
      <c r="P7" s="56">
        <v>0</v>
      </c>
      <c r="Q7" s="56">
        <v>193</v>
      </c>
      <c r="R7" s="56">
        <v>0</v>
      </c>
      <c r="S7" s="56">
        <v>0</v>
      </c>
      <c r="T7" s="56" t="s">
        <v>3562</v>
      </c>
      <c r="U7" s="56">
        <v>193</v>
      </c>
      <c r="V7" s="56" t="s">
        <v>3549</v>
      </c>
      <c r="W7" s="56" t="s">
        <v>3548</v>
      </c>
      <c r="X7" s="56" t="s">
        <v>3547</v>
      </c>
      <c r="Z7" s="56" t="s">
        <v>3546</v>
      </c>
      <c r="AA7" s="56" t="s">
        <v>6698</v>
      </c>
      <c r="AB7" s="56" t="s">
        <v>6697</v>
      </c>
      <c r="AC7" s="56" t="s">
        <v>3543</v>
      </c>
      <c r="AD7" s="56" t="s">
        <v>24</v>
      </c>
      <c r="AE7" s="56" t="s">
        <v>6354</v>
      </c>
      <c r="AF7" s="56" t="s">
        <v>6696</v>
      </c>
      <c r="AH7" s="56" t="s">
        <v>3542</v>
      </c>
      <c r="AI7" s="56" t="s">
        <v>3723</v>
      </c>
    </row>
    <row r="8" spans="1:38" ht="33" customHeight="1">
      <c r="A8" s="56" t="s">
        <v>6695</v>
      </c>
      <c r="B8" s="57">
        <v>44353.655162037037</v>
      </c>
      <c r="C8" s="56" t="s">
        <v>3803</v>
      </c>
      <c r="D8" s="56" t="s">
        <v>3802</v>
      </c>
      <c r="E8" s="56" t="s">
        <v>6694</v>
      </c>
      <c r="F8" s="56" t="s">
        <v>6693</v>
      </c>
      <c r="G8" s="58" t="s">
        <v>3668</v>
      </c>
      <c r="H8" s="56">
        <v>1</v>
      </c>
      <c r="I8" s="56" t="s">
        <v>3577</v>
      </c>
      <c r="J8" s="56">
        <v>700</v>
      </c>
      <c r="K8" s="56">
        <v>599</v>
      </c>
      <c r="L8" s="56">
        <v>1398</v>
      </c>
      <c r="M8" s="56">
        <v>0</v>
      </c>
      <c r="N8" s="56">
        <v>0</v>
      </c>
      <c r="O8" s="56">
        <v>100</v>
      </c>
      <c r="P8" s="56">
        <v>0</v>
      </c>
      <c r="Q8" s="56">
        <v>1298</v>
      </c>
      <c r="R8" s="56">
        <v>0</v>
      </c>
      <c r="S8" s="56">
        <v>0</v>
      </c>
      <c r="T8" s="56" t="s">
        <v>3562</v>
      </c>
      <c r="U8" s="56">
        <v>1298</v>
      </c>
      <c r="V8" s="56" t="s">
        <v>6536</v>
      </c>
      <c r="W8" s="56" t="s">
        <v>3548</v>
      </c>
      <c r="X8" s="56" t="s">
        <v>39</v>
      </c>
      <c r="Y8" s="56" t="s">
        <v>4413</v>
      </c>
      <c r="Z8" s="56" t="s">
        <v>6692</v>
      </c>
      <c r="AC8" s="56" t="s">
        <v>3543</v>
      </c>
      <c r="AD8" s="56" t="s">
        <v>24</v>
      </c>
      <c r="AE8" s="56" t="s">
        <v>6691</v>
      </c>
      <c r="AF8" s="56" t="s">
        <v>6690</v>
      </c>
      <c r="AH8" s="56" t="s">
        <v>3542</v>
      </c>
      <c r="AI8" s="56" t="s">
        <v>3723</v>
      </c>
    </row>
    <row r="9" spans="1:38" ht="33" customHeight="1">
      <c r="A9" s="56" t="s">
        <v>6695</v>
      </c>
      <c r="B9" s="57">
        <v>44353.655162037037</v>
      </c>
      <c r="C9" s="56" t="s">
        <v>3803</v>
      </c>
      <c r="D9" s="56" t="s">
        <v>3802</v>
      </c>
      <c r="E9" s="56" t="s">
        <v>6694</v>
      </c>
      <c r="F9" s="56" t="s">
        <v>6693</v>
      </c>
      <c r="G9" s="58" t="s">
        <v>3656</v>
      </c>
      <c r="H9" s="56">
        <v>1</v>
      </c>
      <c r="I9" s="56" t="s">
        <v>6686</v>
      </c>
      <c r="J9" s="56">
        <v>1107</v>
      </c>
      <c r="K9" s="56">
        <v>799</v>
      </c>
      <c r="P9" s="56">
        <v>0</v>
      </c>
      <c r="S9" s="56">
        <v>0</v>
      </c>
      <c r="T9" s="56" t="s">
        <v>3562</v>
      </c>
      <c r="V9" s="56" t="s">
        <v>6536</v>
      </c>
      <c r="W9" s="56" t="s">
        <v>3548</v>
      </c>
      <c r="X9" s="56" t="s">
        <v>39</v>
      </c>
      <c r="Y9" s="56" t="s">
        <v>4413</v>
      </c>
      <c r="Z9" s="56" t="s">
        <v>6692</v>
      </c>
      <c r="AC9" s="56" t="s">
        <v>3543</v>
      </c>
      <c r="AD9" s="56" t="s">
        <v>24</v>
      </c>
      <c r="AE9" s="56" t="s">
        <v>6691</v>
      </c>
      <c r="AF9" s="56" t="s">
        <v>6690</v>
      </c>
      <c r="AH9" s="56" t="s">
        <v>3542</v>
      </c>
      <c r="AI9" s="56" t="s">
        <v>3723</v>
      </c>
    </row>
    <row r="10" spans="1:38" ht="33" customHeight="1">
      <c r="A10" s="56" t="s">
        <v>6689</v>
      </c>
      <c r="B10" s="57">
        <v>44354.540555555555</v>
      </c>
      <c r="C10" s="56" t="s">
        <v>4512</v>
      </c>
      <c r="D10" s="56" t="s">
        <v>4511</v>
      </c>
      <c r="E10" s="56" t="s">
        <v>6688</v>
      </c>
      <c r="F10" s="56" t="s">
        <v>6687</v>
      </c>
      <c r="G10" s="58" t="s">
        <v>3656</v>
      </c>
      <c r="H10" s="56">
        <v>2</v>
      </c>
      <c r="I10" s="56" t="s">
        <v>6686</v>
      </c>
      <c r="J10" s="56">
        <v>1107</v>
      </c>
      <c r="K10" s="56">
        <v>799</v>
      </c>
      <c r="L10" s="56">
        <v>1598</v>
      </c>
      <c r="M10" s="56">
        <v>0</v>
      </c>
      <c r="N10" s="56">
        <v>0</v>
      </c>
      <c r="O10" s="56">
        <v>100</v>
      </c>
      <c r="P10" s="56">
        <v>0</v>
      </c>
      <c r="Q10" s="56">
        <v>1498</v>
      </c>
      <c r="R10" s="56">
        <v>0</v>
      </c>
      <c r="S10" s="56">
        <v>0</v>
      </c>
      <c r="T10" s="56" t="s">
        <v>3562</v>
      </c>
      <c r="U10" s="56">
        <v>1498</v>
      </c>
      <c r="V10" s="56" t="s">
        <v>3549</v>
      </c>
      <c r="W10" s="56" t="s">
        <v>3548</v>
      </c>
      <c r="X10" s="56" t="s">
        <v>3547</v>
      </c>
      <c r="Z10" s="56" t="s">
        <v>3546</v>
      </c>
      <c r="AA10" s="56" t="s">
        <v>6685</v>
      </c>
      <c r="AB10" s="56" t="s">
        <v>6684</v>
      </c>
      <c r="AC10" s="56" t="s">
        <v>3543</v>
      </c>
      <c r="AD10" s="56" t="s">
        <v>24</v>
      </c>
      <c r="AE10" s="56" t="s">
        <v>5367</v>
      </c>
      <c r="AF10" s="56" t="s">
        <v>6683</v>
      </c>
      <c r="AH10" s="56" t="s">
        <v>3542</v>
      </c>
      <c r="AI10" s="56" t="s">
        <v>3723</v>
      </c>
    </row>
    <row r="11" spans="1:38" ht="33" customHeight="1">
      <c r="A11" s="56" t="s">
        <v>6681</v>
      </c>
      <c r="B11" s="57">
        <v>44354.596701388888</v>
      </c>
      <c r="C11" s="56" t="s">
        <v>4512</v>
      </c>
      <c r="D11" s="56" t="s">
        <v>4511</v>
      </c>
      <c r="E11" s="56" t="s">
        <v>6680</v>
      </c>
      <c r="F11" s="56" t="s">
        <v>6679</v>
      </c>
      <c r="G11" s="58" t="s">
        <v>3681</v>
      </c>
      <c r="H11" s="56">
        <v>3</v>
      </c>
      <c r="I11" s="56" t="s">
        <v>6682</v>
      </c>
      <c r="J11" s="56">
        <v>894</v>
      </c>
      <c r="K11" s="56">
        <v>750</v>
      </c>
      <c r="L11" s="56">
        <v>2399</v>
      </c>
      <c r="M11" s="56">
        <v>0</v>
      </c>
      <c r="N11" s="56">
        <v>0</v>
      </c>
      <c r="O11" s="56">
        <v>100</v>
      </c>
      <c r="P11" s="56">
        <v>0</v>
      </c>
      <c r="Q11" s="56">
        <v>2299</v>
      </c>
      <c r="R11" s="56">
        <v>0</v>
      </c>
      <c r="S11" s="56">
        <v>0</v>
      </c>
      <c r="T11" s="56" t="s">
        <v>3562</v>
      </c>
      <c r="U11" s="56">
        <v>2299</v>
      </c>
      <c r="V11" s="56" t="s">
        <v>3549</v>
      </c>
      <c r="W11" s="56" t="s">
        <v>3548</v>
      </c>
      <c r="X11" s="56" t="s">
        <v>3547</v>
      </c>
      <c r="Z11" s="56" t="s">
        <v>3546</v>
      </c>
      <c r="AA11" s="56" t="s">
        <v>6678</v>
      </c>
      <c r="AB11" s="56" t="s">
        <v>6677</v>
      </c>
      <c r="AC11" s="56" t="s">
        <v>3543</v>
      </c>
      <c r="AD11" s="56" t="s">
        <v>24</v>
      </c>
      <c r="AE11" s="56" t="s">
        <v>5833</v>
      </c>
      <c r="AF11" s="56" t="s">
        <v>6676</v>
      </c>
      <c r="AH11" s="56" t="s">
        <v>3542</v>
      </c>
      <c r="AI11" s="56" t="s">
        <v>3723</v>
      </c>
    </row>
    <row r="12" spans="1:38" ht="33" customHeight="1">
      <c r="A12" s="56" t="s">
        <v>6681</v>
      </c>
      <c r="B12" s="57">
        <v>44354.596701388888</v>
      </c>
      <c r="C12" s="56" t="s">
        <v>4512</v>
      </c>
      <c r="D12" s="56" t="s">
        <v>4511</v>
      </c>
      <c r="E12" s="56" t="s">
        <v>6680</v>
      </c>
      <c r="F12" s="56" t="s">
        <v>6679</v>
      </c>
      <c r="G12" s="58" t="s">
        <v>2156</v>
      </c>
      <c r="H12" s="56">
        <v>1</v>
      </c>
      <c r="I12" s="56" t="s">
        <v>1376</v>
      </c>
      <c r="J12" s="56">
        <v>149</v>
      </c>
      <c r="K12" s="56">
        <v>149</v>
      </c>
      <c r="P12" s="56">
        <v>0</v>
      </c>
      <c r="S12" s="56">
        <v>0</v>
      </c>
      <c r="T12" s="56" t="s">
        <v>3562</v>
      </c>
      <c r="V12" s="56" t="s">
        <v>3549</v>
      </c>
      <c r="W12" s="56" t="s">
        <v>3548</v>
      </c>
      <c r="X12" s="56" t="s">
        <v>3547</v>
      </c>
      <c r="Z12" s="56" t="s">
        <v>3546</v>
      </c>
      <c r="AA12" s="56" t="s">
        <v>6678</v>
      </c>
      <c r="AB12" s="56" t="s">
        <v>6677</v>
      </c>
      <c r="AC12" s="56" t="s">
        <v>3543</v>
      </c>
      <c r="AD12" s="56" t="s">
        <v>24</v>
      </c>
      <c r="AE12" s="56" t="s">
        <v>5833</v>
      </c>
      <c r="AF12" s="56" t="s">
        <v>6676</v>
      </c>
      <c r="AH12" s="56" t="s">
        <v>3542</v>
      </c>
      <c r="AI12" s="56" t="s">
        <v>3723</v>
      </c>
    </row>
    <row r="13" spans="1:38" ht="33" customHeight="1">
      <c r="A13" s="56" t="s">
        <v>6675</v>
      </c>
      <c r="B13" s="57">
        <v>44354.61577546296</v>
      </c>
      <c r="C13" s="56" t="s">
        <v>4512</v>
      </c>
      <c r="D13" s="56" t="s">
        <v>4511</v>
      </c>
      <c r="E13" s="56" t="s">
        <v>6674</v>
      </c>
      <c r="F13" s="56" t="s">
        <v>6673</v>
      </c>
      <c r="G13" s="58" t="s">
        <v>3196</v>
      </c>
      <c r="H13" s="56">
        <v>1</v>
      </c>
      <c r="I13" s="56" t="s">
        <v>2550</v>
      </c>
      <c r="J13" s="56">
        <v>120</v>
      </c>
      <c r="K13" s="56">
        <v>120</v>
      </c>
      <c r="L13" s="56">
        <v>1008</v>
      </c>
      <c r="M13" s="56">
        <v>0</v>
      </c>
      <c r="N13" s="56">
        <v>0</v>
      </c>
      <c r="O13" s="56">
        <v>100</v>
      </c>
      <c r="P13" s="56">
        <v>0</v>
      </c>
      <c r="Q13" s="56">
        <v>908</v>
      </c>
      <c r="R13" s="56">
        <v>0</v>
      </c>
      <c r="S13" s="56">
        <v>0</v>
      </c>
      <c r="T13" s="56" t="s">
        <v>3562</v>
      </c>
      <c r="U13" s="56">
        <v>908</v>
      </c>
      <c r="V13" s="56" t="s">
        <v>3549</v>
      </c>
      <c r="W13" s="56" t="s">
        <v>3548</v>
      </c>
      <c r="X13" s="56" t="s">
        <v>3547</v>
      </c>
      <c r="Z13" s="56" t="s">
        <v>3546</v>
      </c>
      <c r="AA13" s="56" t="s">
        <v>6672</v>
      </c>
      <c r="AB13" s="56" t="s">
        <v>6671</v>
      </c>
      <c r="AC13" s="56" t="s">
        <v>3543</v>
      </c>
      <c r="AD13" s="56" t="s">
        <v>24</v>
      </c>
      <c r="AE13" s="56" t="s">
        <v>6080</v>
      </c>
      <c r="AF13" s="56" t="s">
        <v>6670</v>
      </c>
      <c r="AH13" s="56" t="s">
        <v>3542</v>
      </c>
      <c r="AI13" s="56" t="s">
        <v>3723</v>
      </c>
    </row>
    <row r="14" spans="1:38" ht="33" customHeight="1">
      <c r="A14" s="56" t="s">
        <v>6675</v>
      </c>
      <c r="B14" s="57">
        <v>44354.61577546296</v>
      </c>
      <c r="C14" s="56" t="s">
        <v>4512</v>
      </c>
      <c r="D14" s="56" t="s">
        <v>4511</v>
      </c>
      <c r="E14" s="56" t="s">
        <v>6674</v>
      </c>
      <c r="F14" s="56" t="s">
        <v>6673</v>
      </c>
      <c r="G14" s="58" t="s">
        <v>4162</v>
      </c>
      <c r="H14" s="56">
        <v>1</v>
      </c>
      <c r="I14" s="56" t="s">
        <v>3669</v>
      </c>
      <c r="J14" s="56">
        <v>897</v>
      </c>
      <c r="K14" s="56">
        <v>888</v>
      </c>
      <c r="P14" s="56">
        <v>0</v>
      </c>
      <c r="S14" s="56">
        <v>0</v>
      </c>
      <c r="T14" s="56" t="s">
        <v>3562</v>
      </c>
      <c r="V14" s="56" t="s">
        <v>3549</v>
      </c>
      <c r="W14" s="56" t="s">
        <v>3548</v>
      </c>
      <c r="X14" s="56" t="s">
        <v>3547</v>
      </c>
      <c r="Z14" s="56" t="s">
        <v>3546</v>
      </c>
      <c r="AA14" s="56" t="s">
        <v>6672</v>
      </c>
      <c r="AB14" s="56" t="s">
        <v>6671</v>
      </c>
      <c r="AC14" s="56" t="s">
        <v>3543</v>
      </c>
      <c r="AD14" s="56" t="s">
        <v>24</v>
      </c>
      <c r="AE14" s="56" t="s">
        <v>6080</v>
      </c>
      <c r="AF14" s="56" t="s">
        <v>6670</v>
      </c>
      <c r="AH14" s="56" t="s">
        <v>3542</v>
      </c>
      <c r="AI14" s="56" t="s">
        <v>3723</v>
      </c>
    </row>
    <row r="15" spans="1:38" ht="33" customHeight="1">
      <c r="A15" s="56" t="s">
        <v>6669</v>
      </c>
      <c r="B15" s="57">
        <v>44355.631365740737</v>
      </c>
      <c r="C15" s="56" t="s">
        <v>4512</v>
      </c>
      <c r="D15" s="56" t="s">
        <v>4511</v>
      </c>
      <c r="E15" s="56" t="s">
        <v>6668</v>
      </c>
      <c r="F15" s="56" t="s">
        <v>6667</v>
      </c>
      <c r="G15" s="58" t="s">
        <v>2165</v>
      </c>
      <c r="H15" s="56">
        <v>1</v>
      </c>
      <c r="I15" s="56" t="s">
        <v>3694</v>
      </c>
      <c r="J15" s="56">
        <v>128</v>
      </c>
      <c r="K15" s="56">
        <v>128</v>
      </c>
      <c r="L15" s="56">
        <v>1626</v>
      </c>
      <c r="M15" s="56">
        <v>0</v>
      </c>
      <c r="N15" s="56">
        <v>0</v>
      </c>
      <c r="O15" s="56">
        <v>100</v>
      </c>
      <c r="P15" s="56">
        <v>0</v>
      </c>
      <c r="Q15" s="56">
        <v>1526</v>
      </c>
      <c r="R15" s="56">
        <v>0</v>
      </c>
      <c r="S15" s="56">
        <v>0</v>
      </c>
      <c r="T15" s="56" t="s">
        <v>3562</v>
      </c>
      <c r="U15" s="56">
        <v>1526</v>
      </c>
      <c r="V15" s="56" t="s">
        <v>3549</v>
      </c>
      <c r="W15" s="56" t="s">
        <v>3548</v>
      </c>
      <c r="X15" s="56" t="s">
        <v>3547</v>
      </c>
      <c r="Z15" s="56" t="s">
        <v>3546</v>
      </c>
      <c r="AA15" s="56" t="s">
        <v>6666</v>
      </c>
      <c r="AB15" s="56" t="s">
        <v>6665</v>
      </c>
      <c r="AC15" s="56" t="s">
        <v>3842</v>
      </c>
      <c r="AD15" s="56" t="s">
        <v>24</v>
      </c>
      <c r="AE15" s="56" t="s">
        <v>3862</v>
      </c>
      <c r="AF15" s="56" t="s">
        <v>6664</v>
      </c>
      <c r="AH15" s="56" t="s">
        <v>3542</v>
      </c>
      <c r="AI15" s="56" t="s">
        <v>3723</v>
      </c>
    </row>
    <row r="16" spans="1:38" ht="33" customHeight="1">
      <c r="A16" s="56" t="s">
        <v>6669</v>
      </c>
      <c r="B16" s="57">
        <v>44355.631365740737</v>
      </c>
      <c r="C16" s="56" t="s">
        <v>4512</v>
      </c>
      <c r="D16" s="56" t="s">
        <v>4511</v>
      </c>
      <c r="E16" s="56" t="s">
        <v>6668</v>
      </c>
      <c r="F16" s="56" t="s">
        <v>6667</v>
      </c>
      <c r="G16" s="58" t="s">
        <v>3681</v>
      </c>
      <c r="H16" s="56">
        <v>1</v>
      </c>
      <c r="I16" s="56" t="s">
        <v>3569</v>
      </c>
      <c r="J16" s="56">
        <v>894</v>
      </c>
      <c r="K16" s="56">
        <v>750</v>
      </c>
      <c r="P16" s="56">
        <v>0</v>
      </c>
      <c r="S16" s="56">
        <v>0</v>
      </c>
      <c r="T16" s="56" t="s">
        <v>3562</v>
      </c>
      <c r="V16" s="56" t="s">
        <v>3549</v>
      </c>
      <c r="W16" s="56" t="s">
        <v>3548</v>
      </c>
      <c r="X16" s="56" t="s">
        <v>3547</v>
      </c>
      <c r="Z16" s="56" t="s">
        <v>3546</v>
      </c>
      <c r="AA16" s="56" t="s">
        <v>6666</v>
      </c>
      <c r="AB16" s="56" t="s">
        <v>6665</v>
      </c>
      <c r="AC16" s="56" t="s">
        <v>3842</v>
      </c>
      <c r="AD16" s="56" t="s">
        <v>24</v>
      </c>
      <c r="AE16" s="56" t="s">
        <v>3862</v>
      </c>
      <c r="AF16" s="56" t="s">
        <v>6664</v>
      </c>
      <c r="AH16" s="56" t="s">
        <v>3542</v>
      </c>
      <c r="AI16" s="56" t="s">
        <v>3723</v>
      </c>
    </row>
    <row r="17" spans="1:35" ht="33" customHeight="1">
      <c r="A17" s="56" t="s">
        <v>6669</v>
      </c>
      <c r="B17" s="57">
        <v>44355.631365740737</v>
      </c>
      <c r="C17" s="56" t="s">
        <v>4512</v>
      </c>
      <c r="D17" s="56" t="s">
        <v>4511</v>
      </c>
      <c r="E17" s="56" t="s">
        <v>6668</v>
      </c>
      <c r="F17" s="56" t="s">
        <v>6667</v>
      </c>
      <c r="G17" s="58" t="s">
        <v>3593</v>
      </c>
      <c r="H17" s="56">
        <v>1</v>
      </c>
      <c r="I17" s="56" t="s">
        <v>3577</v>
      </c>
      <c r="J17" s="56">
        <v>700</v>
      </c>
      <c r="K17" s="56">
        <v>599</v>
      </c>
      <c r="P17" s="56">
        <v>0</v>
      </c>
      <c r="S17" s="56">
        <v>0</v>
      </c>
      <c r="T17" s="56" t="s">
        <v>3562</v>
      </c>
      <c r="V17" s="56" t="s">
        <v>3549</v>
      </c>
      <c r="W17" s="56" t="s">
        <v>3548</v>
      </c>
      <c r="X17" s="56" t="s">
        <v>3547</v>
      </c>
      <c r="Z17" s="56" t="s">
        <v>3546</v>
      </c>
      <c r="AA17" s="56" t="s">
        <v>6666</v>
      </c>
      <c r="AB17" s="56" t="s">
        <v>6665</v>
      </c>
      <c r="AC17" s="56" t="s">
        <v>3842</v>
      </c>
      <c r="AD17" s="56" t="s">
        <v>24</v>
      </c>
      <c r="AE17" s="56" t="s">
        <v>3862</v>
      </c>
      <c r="AF17" s="56" t="s">
        <v>6664</v>
      </c>
      <c r="AH17" s="56" t="s">
        <v>3542</v>
      </c>
      <c r="AI17" s="56" t="s">
        <v>3723</v>
      </c>
    </row>
    <row r="18" spans="1:35" ht="33" customHeight="1">
      <c r="A18" s="56" t="s">
        <v>6669</v>
      </c>
      <c r="B18" s="57">
        <v>44355.631365740737</v>
      </c>
      <c r="C18" s="56" t="s">
        <v>4512</v>
      </c>
      <c r="D18" s="56" t="s">
        <v>4511</v>
      </c>
      <c r="E18" s="56" t="s">
        <v>6668</v>
      </c>
      <c r="F18" s="56" t="s">
        <v>6667</v>
      </c>
      <c r="G18" s="58" t="s">
        <v>2156</v>
      </c>
      <c r="H18" s="56">
        <v>1</v>
      </c>
      <c r="I18" s="56" t="s">
        <v>1376</v>
      </c>
      <c r="J18" s="56">
        <v>149</v>
      </c>
      <c r="K18" s="56">
        <v>149</v>
      </c>
      <c r="P18" s="56">
        <v>0</v>
      </c>
      <c r="S18" s="56">
        <v>0</v>
      </c>
      <c r="T18" s="56" t="s">
        <v>3562</v>
      </c>
      <c r="V18" s="56" t="s">
        <v>3549</v>
      </c>
      <c r="W18" s="56" t="s">
        <v>3548</v>
      </c>
      <c r="X18" s="56" t="s">
        <v>3547</v>
      </c>
      <c r="Z18" s="56" t="s">
        <v>3546</v>
      </c>
      <c r="AA18" s="56" t="s">
        <v>6666</v>
      </c>
      <c r="AB18" s="56" t="s">
        <v>6665</v>
      </c>
      <c r="AC18" s="56" t="s">
        <v>3842</v>
      </c>
      <c r="AD18" s="56" t="s">
        <v>24</v>
      </c>
      <c r="AE18" s="56" t="s">
        <v>3862</v>
      </c>
      <c r="AF18" s="56" t="s">
        <v>6664</v>
      </c>
      <c r="AH18" s="56" t="s">
        <v>3542</v>
      </c>
      <c r="AI18" s="56" t="s">
        <v>3723</v>
      </c>
    </row>
    <row r="19" spans="1:35" ht="33" customHeight="1">
      <c r="A19" s="56" t="s">
        <v>6663</v>
      </c>
      <c r="B19" s="57">
        <v>44356.417407407411</v>
      </c>
      <c r="C19" s="56" t="s">
        <v>3803</v>
      </c>
      <c r="D19" s="56" t="s">
        <v>4511</v>
      </c>
      <c r="E19" s="56" t="s">
        <v>6662</v>
      </c>
      <c r="F19" s="56" t="s">
        <v>6661</v>
      </c>
      <c r="G19" s="58" t="s">
        <v>3681</v>
      </c>
      <c r="H19" s="56">
        <v>2</v>
      </c>
      <c r="I19" s="56" t="s">
        <v>3569</v>
      </c>
      <c r="J19" s="56">
        <v>894</v>
      </c>
      <c r="K19" s="56">
        <v>750</v>
      </c>
      <c r="L19" s="56">
        <v>1500</v>
      </c>
      <c r="M19" s="56">
        <v>0</v>
      </c>
      <c r="N19" s="56">
        <v>0</v>
      </c>
      <c r="O19" s="56">
        <v>100</v>
      </c>
      <c r="P19" s="56">
        <v>0</v>
      </c>
      <c r="Q19" s="56">
        <v>1400</v>
      </c>
      <c r="R19" s="56">
        <v>0</v>
      </c>
      <c r="S19" s="56">
        <v>0</v>
      </c>
      <c r="T19" s="56" t="s">
        <v>3562</v>
      </c>
      <c r="U19" s="56">
        <v>1400</v>
      </c>
      <c r="V19" s="56" t="s">
        <v>59</v>
      </c>
      <c r="W19" s="56" t="s">
        <v>3548</v>
      </c>
      <c r="X19" s="56" t="s">
        <v>3716</v>
      </c>
      <c r="Z19" s="56" t="s">
        <v>3546</v>
      </c>
      <c r="AA19" s="56" t="s">
        <v>6660</v>
      </c>
      <c r="AB19" s="56" t="s">
        <v>6659</v>
      </c>
      <c r="AC19" s="56" t="s">
        <v>3543</v>
      </c>
      <c r="AD19" s="56" t="s">
        <v>24</v>
      </c>
      <c r="AE19" s="56" t="s">
        <v>6649</v>
      </c>
      <c r="AF19" s="56" t="s">
        <v>6658</v>
      </c>
      <c r="AH19" s="56" t="s">
        <v>3542</v>
      </c>
      <c r="AI19" s="56" t="s">
        <v>3723</v>
      </c>
    </row>
    <row r="20" spans="1:35" ht="33" customHeight="1">
      <c r="A20" s="56" t="s">
        <v>6657</v>
      </c>
      <c r="B20" s="57">
        <v>44356.630231481482</v>
      </c>
      <c r="C20" s="56" t="s">
        <v>3803</v>
      </c>
      <c r="D20" s="56" t="s">
        <v>3802</v>
      </c>
      <c r="E20" s="56" t="s">
        <v>6656</v>
      </c>
      <c r="F20" s="56" t="s">
        <v>6655</v>
      </c>
      <c r="G20" s="58" t="s">
        <v>3656</v>
      </c>
      <c r="H20" s="56">
        <v>1</v>
      </c>
      <c r="I20" s="56" t="s">
        <v>3655</v>
      </c>
      <c r="J20" s="56">
        <v>1107</v>
      </c>
      <c r="K20" s="56">
        <v>799</v>
      </c>
      <c r="L20" s="56">
        <v>799</v>
      </c>
      <c r="M20" s="56">
        <v>100</v>
      </c>
      <c r="N20" s="56">
        <v>0</v>
      </c>
      <c r="O20" s="56">
        <v>0</v>
      </c>
      <c r="P20" s="56">
        <v>0</v>
      </c>
      <c r="Q20" s="56">
        <v>899</v>
      </c>
      <c r="R20" s="56">
        <v>0</v>
      </c>
      <c r="S20" s="56">
        <v>0</v>
      </c>
      <c r="T20" s="56" t="s">
        <v>27</v>
      </c>
      <c r="U20" s="56">
        <v>899</v>
      </c>
      <c r="V20" s="56" t="s">
        <v>3736</v>
      </c>
      <c r="W20" s="56" t="s">
        <v>3548</v>
      </c>
      <c r="X20" s="56" t="s">
        <v>3735</v>
      </c>
      <c r="Y20" s="56" t="s">
        <v>6295</v>
      </c>
      <c r="Z20" s="56" t="s">
        <v>6654</v>
      </c>
      <c r="AC20" s="56" t="s">
        <v>3543</v>
      </c>
      <c r="AH20" s="56" t="s">
        <v>3542</v>
      </c>
      <c r="AI20" s="56" t="s">
        <v>3541</v>
      </c>
    </row>
    <row r="21" spans="1:35" ht="33" customHeight="1">
      <c r="A21" s="56" t="s">
        <v>6653</v>
      </c>
      <c r="B21" s="57">
        <v>44356.978912037041</v>
      </c>
      <c r="C21" s="56" t="s">
        <v>3803</v>
      </c>
      <c r="D21" s="56" t="s">
        <v>3802</v>
      </c>
      <c r="E21" s="56" t="s">
        <v>6652</v>
      </c>
      <c r="F21" s="56" t="s">
        <v>6651</v>
      </c>
      <c r="G21" s="58" t="s">
        <v>3316</v>
      </c>
      <c r="H21" s="56">
        <v>2</v>
      </c>
      <c r="I21" s="56" t="s">
        <v>3695</v>
      </c>
      <c r="J21" s="56">
        <v>399</v>
      </c>
      <c r="K21" s="56">
        <v>399</v>
      </c>
      <c r="L21" s="56">
        <v>1097</v>
      </c>
      <c r="M21" s="56">
        <v>0</v>
      </c>
      <c r="N21" s="56">
        <v>0</v>
      </c>
      <c r="O21" s="56">
        <v>100</v>
      </c>
      <c r="P21" s="56">
        <v>0</v>
      </c>
      <c r="Q21" s="56">
        <v>997</v>
      </c>
      <c r="R21" s="56">
        <v>0</v>
      </c>
      <c r="S21" s="56">
        <v>0</v>
      </c>
      <c r="T21" s="56" t="s">
        <v>3562</v>
      </c>
      <c r="U21" s="56">
        <v>997</v>
      </c>
      <c r="V21" s="56" t="s">
        <v>59</v>
      </c>
      <c r="W21" s="56" t="s">
        <v>3548</v>
      </c>
      <c r="X21" s="56" t="s">
        <v>39</v>
      </c>
      <c r="Y21" s="56" t="s">
        <v>4706</v>
      </c>
      <c r="Z21" s="56" t="s">
        <v>6650</v>
      </c>
      <c r="AC21" s="56" t="s">
        <v>3543</v>
      </c>
      <c r="AD21" s="56" t="s">
        <v>24</v>
      </c>
      <c r="AE21" s="56" t="s">
        <v>6649</v>
      </c>
      <c r="AF21" s="56" t="s">
        <v>6648</v>
      </c>
      <c r="AH21" s="56" t="s">
        <v>3542</v>
      </c>
      <c r="AI21" s="56" t="s">
        <v>3723</v>
      </c>
    </row>
    <row r="22" spans="1:35" ht="33" customHeight="1">
      <c r="A22" s="56" t="s">
        <v>6653</v>
      </c>
      <c r="B22" s="57">
        <v>44356.978912037041</v>
      </c>
      <c r="C22" s="56" t="s">
        <v>3803</v>
      </c>
      <c r="D22" s="56" t="s">
        <v>3802</v>
      </c>
      <c r="E22" s="56" t="s">
        <v>6652</v>
      </c>
      <c r="F22" s="56" t="s">
        <v>6651</v>
      </c>
      <c r="G22" s="58" t="s">
        <v>1510</v>
      </c>
      <c r="H22" s="56">
        <v>1</v>
      </c>
      <c r="I22" s="56" t="s">
        <v>3696</v>
      </c>
      <c r="J22" s="56">
        <v>299</v>
      </c>
      <c r="K22" s="56">
        <v>299</v>
      </c>
      <c r="P22" s="56">
        <v>0</v>
      </c>
      <c r="S22" s="56">
        <v>0</v>
      </c>
      <c r="T22" s="56" t="s">
        <v>3562</v>
      </c>
      <c r="V22" s="56" t="s">
        <v>59</v>
      </c>
      <c r="W22" s="56" t="s">
        <v>3548</v>
      </c>
      <c r="X22" s="56" t="s">
        <v>39</v>
      </c>
      <c r="Y22" s="56" t="s">
        <v>4706</v>
      </c>
      <c r="Z22" s="56" t="s">
        <v>6650</v>
      </c>
      <c r="AC22" s="56" t="s">
        <v>3543</v>
      </c>
      <c r="AD22" s="56" t="s">
        <v>24</v>
      </c>
      <c r="AE22" s="56" t="s">
        <v>6649</v>
      </c>
      <c r="AF22" s="56" t="s">
        <v>6648</v>
      </c>
      <c r="AH22" s="56" t="s">
        <v>3542</v>
      </c>
      <c r="AI22" s="56" t="s">
        <v>3723</v>
      </c>
    </row>
    <row r="23" spans="1:35" ht="33" customHeight="1">
      <c r="A23" s="56" t="s">
        <v>6647</v>
      </c>
      <c r="B23" s="57">
        <v>44357.353402777779</v>
      </c>
      <c r="C23" s="56" t="s">
        <v>3803</v>
      </c>
      <c r="D23" s="56" t="s">
        <v>3802</v>
      </c>
      <c r="E23" s="56" t="s">
        <v>6646</v>
      </c>
      <c r="F23" s="56" t="s">
        <v>6645</v>
      </c>
      <c r="G23" s="58" t="s">
        <v>3681</v>
      </c>
      <c r="H23" s="56">
        <v>2</v>
      </c>
      <c r="I23" s="56" t="s">
        <v>3569</v>
      </c>
      <c r="J23" s="56">
        <v>894</v>
      </c>
      <c r="K23" s="56">
        <v>750</v>
      </c>
      <c r="L23" s="56">
        <v>1500</v>
      </c>
      <c r="M23" s="56">
        <v>0</v>
      </c>
      <c r="N23" s="56">
        <v>0</v>
      </c>
      <c r="O23" s="56">
        <v>100</v>
      </c>
      <c r="P23" s="56">
        <v>0</v>
      </c>
      <c r="Q23" s="56">
        <v>1400</v>
      </c>
      <c r="R23" s="56">
        <v>0</v>
      </c>
      <c r="S23" s="56">
        <v>0</v>
      </c>
      <c r="T23" s="56" t="s">
        <v>3562</v>
      </c>
      <c r="U23" s="56">
        <v>1400</v>
      </c>
      <c r="V23" s="56" t="s">
        <v>59</v>
      </c>
      <c r="W23" s="56" t="s">
        <v>3548</v>
      </c>
      <c r="X23" s="56" t="s">
        <v>39</v>
      </c>
      <c r="Y23" s="56" t="s">
        <v>6644</v>
      </c>
      <c r="Z23" s="56" t="s">
        <v>6643</v>
      </c>
      <c r="AC23" s="56" t="s">
        <v>3543</v>
      </c>
      <c r="AD23" s="56" t="s">
        <v>24</v>
      </c>
      <c r="AE23" s="56" t="s">
        <v>6569</v>
      </c>
      <c r="AF23" s="56" t="s">
        <v>6642</v>
      </c>
      <c r="AH23" s="56" t="s">
        <v>3542</v>
      </c>
      <c r="AI23" s="56" t="s">
        <v>3723</v>
      </c>
    </row>
    <row r="24" spans="1:35" ht="33" customHeight="1">
      <c r="A24" s="56" t="s">
        <v>6641</v>
      </c>
      <c r="B24" s="57">
        <v>44357.581875000003</v>
      </c>
      <c r="C24" s="56" t="s">
        <v>4512</v>
      </c>
      <c r="D24" s="56" t="s">
        <v>4511</v>
      </c>
      <c r="E24" s="56" t="s">
        <v>6640</v>
      </c>
      <c r="F24" s="56" t="s">
        <v>6639</v>
      </c>
      <c r="G24" s="58" t="s">
        <v>3811</v>
      </c>
      <c r="H24" s="56">
        <v>1</v>
      </c>
      <c r="I24" s="56" t="s">
        <v>3669</v>
      </c>
      <c r="J24" s="56">
        <v>897</v>
      </c>
      <c r="K24" s="56">
        <v>888</v>
      </c>
      <c r="L24" s="56">
        <v>888</v>
      </c>
      <c r="M24" s="56">
        <v>65</v>
      </c>
      <c r="N24" s="56">
        <v>0</v>
      </c>
      <c r="O24" s="56">
        <v>0</v>
      </c>
      <c r="P24" s="56">
        <v>0</v>
      </c>
      <c r="Q24" s="56">
        <v>953</v>
      </c>
      <c r="R24" s="56">
        <v>0</v>
      </c>
      <c r="S24" s="56">
        <v>0</v>
      </c>
      <c r="T24" s="56" t="s">
        <v>3562</v>
      </c>
      <c r="U24" s="56">
        <v>953</v>
      </c>
      <c r="V24" s="56" t="s">
        <v>3612</v>
      </c>
      <c r="W24" s="56" t="s">
        <v>3548</v>
      </c>
      <c r="X24" s="56" t="s">
        <v>3611</v>
      </c>
      <c r="Z24" s="56" t="s">
        <v>3546</v>
      </c>
      <c r="AA24" s="56" t="s">
        <v>6638</v>
      </c>
      <c r="AB24" s="56" t="s">
        <v>6637</v>
      </c>
      <c r="AC24" s="56" t="s">
        <v>3543</v>
      </c>
      <c r="AD24" s="56" t="s">
        <v>24</v>
      </c>
      <c r="AE24" s="56" t="s">
        <v>5127</v>
      </c>
      <c r="AF24" s="56" t="s">
        <v>6636</v>
      </c>
      <c r="AH24" s="56" t="s">
        <v>3542</v>
      </c>
      <c r="AI24" s="56" t="s">
        <v>3723</v>
      </c>
    </row>
    <row r="25" spans="1:35" ht="33" customHeight="1">
      <c r="A25" s="56" t="s">
        <v>6635</v>
      </c>
      <c r="B25" s="57">
        <v>44357.623090277775</v>
      </c>
      <c r="C25" s="56" t="s">
        <v>3803</v>
      </c>
      <c r="D25" s="56" t="s">
        <v>3802</v>
      </c>
      <c r="E25" s="56" t="s">
        <v>6634</v>
      </c>
      <c r="F25" s="56" t="s">
        <v>6633</v>
      </c>
      <c r="G25" s="58" t="s">
        <v>3656</v>
      </c>
      <c r="H25" s="56">
        <v>1</v>
      </c>
      <c r="I25" s="56" t="s">
        <v>3655</v>
      </c>
      <c r="J25" s="56">
        <v>1107</v>
      </c>
      <c r="K25" s="56">
        <v>799</v>
      </c>
      <c r="L25" s="56">
        <v>1549</v>
      </c>
      <c r="M25" s="56">
        <v>0</v>
      </c>
      <c r="N25" s="56">
        <v>0</v>
      </c>
      <c r="O25" s="56">
        <v>100</v>
      </c>
      <c r="P25" s="56">
        <v>0</v>
      </c>
      <c r="Q25" s="56">
        <v>1449</v>
      </c>
      <c r="R25" s="56">
        <v>0</v>
      </c>
      <c r="S25" s="56">
        <v>0</v>
      </c>
      <c r="T25" s="56" t="s">
        <v>3562</v>
      </c>
      <c r="U25" s="56">
        <v>1449</v>
      </c>
      <c r="V25" s="56" t="s">
        <v>6536</v>
      </c>
      <c r="W25" s="56" t="s">
        <v>3548</v>
      </c>
      <c r="X25" s="56" t="s">
        <v>39</v>
      </c>
      <c r="Y25" s="56" t="s">
        <v>5779</v>
      </c>
      <c r="Z25" s="56" t="s">
        <v>6632</v>
      </c>
      <c r="AC25" s="56" t="s">
        <v>3543</v>
      </c>
      <c r="AD25" s="56" t="s">
        <v>24</v>
      </c>
      <c r="AE25" s="56" t="s">
        <v>6569</v>
      </c>
      <c r="AF25" s="56" t="s">
        <v>6631</v>
      </c>
      <c r="AH25" s="56" t="s">
        <v>3542</v>
      </c>
      <c r="AI25" s="56" t="s">
        <v>3723</v>
      </c>
    </row>
    <row r="26" spans="1:35" ht="33" customHeight="1">
      <c r="A26" s="56" t="s">
        <v>6635</v>
      </c>
      <c r="B26" s="57">
        <v>44357.623090277775</v>
      </c>
      <c r="C26" s="56" t="s">
        <v>3803</v>
      </c>
      <c r="D26" s="56" t="s">
        <v>3802</v>
      </c>
      <c r="E26" s="56" t="s">
        <v>6634</v>
      </c>
      <c r="F26" s="56" t="s">
        <v>6633</v>
      </c>
      <c r="G26" s="58" t="s">
        <v>3681</v>
      </c>
      <c r="H26" s="56">
        <v>1</v>
      </c>
      <c r="I26" s="56" t="s">
        <v>3569</v>
      </c>
      <c r="J26" s="56">
        <v>894</v>
      </c>
      <c r="K26" s="56">
        <v>750</v>
      </c>
      <c r="P26" s="56">
        <v>0</v>
      </c>
      <c r="S26" s="56">
        <v>0</v>
      </c>
      <c r="T26" s="56" t="s">
        <v>3562</v>
      </c>
      <c r="V26" s="56" t="s">
        <v>6536</v>
      </c>
      <c r="W26" s="56" t="s">
        <v>3548</v>
      </c>
      <c r="X26" s="56" t="s">
        <v>39</v>
      </c>
      <c r="Y26" s="56" t="s">
        <v>5779</v>
      </c>
      <c r="Z26" s="56" t="s">
        <v>6632</v>
      </c>
      <c r="AC26" s="56" t="s">
        <v>3543</v>
      </c>
      <c r="AD26" s="56" t="s">
        <v>24</v>
      </c>
      <c r="AE26" s="56" t="s">
        <v>6569</v>
      </c>
      <c r="AF26" s="56" t="s">
        <v>6631</v>
      </c>
      <c r="AH26" s="56" t="s">
        <v>3542</v>
      </c>
      <c r="AI26" s="56" t="s">
        <v>3723</v>
      </c>
    </row>
    <row r="27" spans="1:35" ht="33" customHeight="1">
      <c r="A27" s="56" t="s">
        <v>6630</v>
      </c>
      <c r="B27" s="57">
        <v>44357.661273148151</v>
      </c>
      <c r="C27" s="56" t="s">
        <v>3803</v>
      </c>
      <c r="D27" s="56" t="s">
        <v>3802</v>
      </c>
      <c r="E27" s="56" t="s">
        <v>6629</v>
      </c>
      <c r="F27" s="56" t="s">
        <v>6628</v>
      </c>
      <c r="G27" s="58" t="s">
        <v>4137</v>
      </c>
      <c r="H27" s="56">
        <v>1</v>
      </c>
      <c r="I27" s="56" t="s">
        <v>3577</v>
      </c>
      <c r="J27" s="56">
        <v>700</v>
      </c>
      <c r="K27" s="56">
        <v>599</v>
      </c>
      <c r="L27" s="56">
        <v>1497</v>
      </c>
      <c r="M27" s="56">
        <v>0</v>
      </c>
      <c r="N27" s="56">
        <v>0</v>
      </c>
      <c r="O27" s="56">
        <v>150</v>
      </c>
      <c r="P27" s="56">
        <v>0</v>
      </c>
      <c r="Q27" s="56">
        <v>1347</v>
      </c>
      <c r="R27" s="56">
        <v>0</v>
      </c>
      <c r="S27" s="56">
        <v>0</v>
      </c>
      <c r="T27" s="56" t="s">
        <v>3562</v>
      </c>
      <c r="U27" s="56">
        <v>1347</v>
      </c>
      <c r="V27" s="56" t="s">
        <v>6536</v>
      </c>
      <c r="W27" s="56" t="s">
        <v>3548</v>
      </c>
      <c r="X27" s="56" t="s">
        <v>39</v>
      </c>
      <c r="Y27" s="56" t="s">
        <v>3617</v>
      </c>
      <c r="Z27" s="56" t="s">
        <v>6627</v>
      </c>
      <c r="AC27" s="56" t="s">
        <v>3543</v>
      </c>
      <c r="AD27" s="56" t="s">
        <v>24</v>
      </c>
      <c r="AE27" s="56" t="s">
        <v>6569</v>
      </c>
      <c r="AF27" s="56" t="s">
        <v>6626</v>
      </c>
      <c r="AH27" s="56" t="s">
        <v>3542</v>
      </c>
      <c r="AI27" s="56" t="s">
        <v>3723</v>
      </c>
    </row>
    <row r="28" spans="1:35" ht="33" customHeight="1">
      <c r="A28" s="56" t="s">
        <v>6630</v>
      </c>
      <c r="B28" s="57">
        <v>44357.661273148151</v>
      </c>
      <c r="C28" s="56" t="s">
        <v>3803</v>
      </c>
      <c r="D28" s="56" t="s">
        <v>3802</v>
      </c>
      <c r="E28" s="56" t="s">
        <v>6629</v>
      </c>
      <c r="F28" s="56" t="s">
        <v>6628</v>
      </c>
      <c r="G28" s="58" t="s">
        <v>4490</v>
      </c>
      <c r="H28" s="56">
        <v>1</v>
      </c>
      <c r="I28" s="56" t="s">
        <v>3577</v>
      </c>
      <c r="J28" s="56">
        <v>700</v>
      </c>
      <c r="K28" s="56">
        <v>599</v>
      </c>
      <c r="P28" s="56">
        <v>0</v>
      </c>
      <c r="S28" s="56">
        <v>0</v>
      </c>
      <c r="T28" s="56" t="s">
        <v>3562</v>
      </c>
      <c r="V28" s="56" t="s">
        <v>6536</v>
      </c>
      <c r="W28" s="56" t="s">
        <v>3548</v>
      </c>
      <c r="X28" s="56" t="s">
        <v>39</v>
      </c>
      <c r="Y28" s="56" t="s">
        <v>3617</v>
      </c>
      <c r="Z28" s="56" t="s">
        <v>6627</v>
      </c>
      <c r="AC28" s="56" t="s">
        <v>3543</v>
      </c>
      <c r="AD28" s="56" t="s">
        <v>24</v>
      </c>
      <c r="AE28" s="56" t="s">
        <v>6569</v>
      </c>
      <c r="AF28" s="56" t="s">
        <v>6626</v>
      </c>
      <c r="AH28" s="56" t="s">
        <v>3542</v>
      </c>
      <c r="AI28" s="56" t="s">
        <v>3723</v>
      </c>
    </row>
    <row r="29" spans="1:35" ht="33" customHeight="1">
      <c r="A29" s="56" t="s">
        <v>6630</v>
      </c>
      <c r="B29" s="57">
        <v>44357.661273148151</v>
      </c>
      <c r="C29" s="56" t="s">
        <v>3803</v>
      </c>
      <c r="D29" s="56" t="s">
        <v>3802</v>
      </c>
      <c r="E29" s="56" t="s">
        <v>6629</v>
      </c>
      <c r="F29" s="56" t="s">
        <v>6628</v>
      </c>
      <c r="G29" s="58" t="s">
        <v>3299</v>
      </c>
      <c r="H29" s="56">
        <v>1</v>
      </c>
      <c r="I29" s="56" t="s">
        <v>3576</v>
      </c>
      <c r="J29" s="56">
        <v>299</v>
      </c>
      <c r="K29" s="56">
        <v>299</v>
      </c>
      <c r="P29" s="56">
        <v>0</v>
      </c>
      <c r="S29" s="56">
        <v>0</v>
      </c>
      <c r="T29" s="56" t="s">
        <v>3562</v>
      </c>
      <c r="V29" s="56" t="s">
        <v>6536</v>
      </c>
      <c r="W29" s="56" t="s">
        <v>3548</v>
      </c>
      <c r="X29" s="56" t="s">
        <v>39</v>
      </c>
      <c r="Y29" s="56" t="s">
        <v>3617</v>
      </c>
      <c r="Z29" s="56" t="s">
        <v>6627</v>
      </c>
      <c r="AC29" s="56" t="s">
        <v>3543</v>
      </c>
      <c r="AD29" s="56" t="s">
        <v>24</v>
      </c>
      <c r="AE29" s="56" t="s">
        <v>6569</v>
      </c>
      <c r="AF29" s="56" t="s">
        <v>6626</v>
      </c>
      <c r="AH29" s="56" t="s">
        <v>3542</v>
      </c>
      <c r="AI29" s="56" t="s">
        <v>3723</v>
      </c>
    </row>
    <row r="30" spans="1:35" ht="33" customHeight="1">
      <c r="A30" s="56" t="s">
        <v>6625</v>
      </c>
      <c r="B30" s="57">
        <v>44357.681493055556</v>
      </c>
      <c r="C30" s="56" t="s">
        <v>3803</v>
      </c>
      <c r="D30" s="56" t="s">
        <v>3802</v>
      </c>
      <c r="E30" s="56" t="s">
        <v>6624</v>
      </c>
      <c r="F30" s="56" t="s">
        <v>6623</v>
      </c>
      <c r="G30" s="58" t="s">
        <v>2156</v>
      </c>
      <c r="H30" s="56">
        <v>1</v>
      </c>
      <c r="I30" s="56" t="s">
        <v>1376</v>
      </c>
      <c r="J30" s="56">
        <v>149</v>
      </c>
      <c r="K30" s="56">
        <v>149</v>
      </c>
      <c r="L30" s="56">
        <v>1683</v>
      </c>
      <c r="M30" s="56">
        <v>0</v>
      </c>
      <c r="N30" s="56">
        <v>0</v>
      </c>
      <c r="O30" s="56">
        <v>100</v>
      </c>
      <c r="P30" s="56">
        <v>0</v>
      </c>
      <c r="Q30" s="56">
        <v>1583</v>
      </c>
      <c r="R30" s="56">
        <v>0</v>
      </c>
      <c r="S30" s="56">
        <v>0</v>
      </c>
      <c r="T30" s="56" t="s">
        <v>3562</v>
      </c>
      <c r="U30" s="56">
        <v>1583</v>
      </c>
      <c r="V30" s="56" t="s">
        <v>59</v>
      </c>
      <c r="W30" s="56" t="s">
        <v>3548</v>
      </c>
      <c r="X30" s="56" t="s">
        <v>39</v>
      </c>
      <c r="Y30" s="56" t="s">
        <v>3677</v>
      </c>
      <c r="Z30" s="56" t="s">
        <v>6622</v>
      </c>
      <c r="AC30" s="56" t="s">
        <v>3543</v>
      </c>
      <c r="AD30" s="56" t="s">
        <v>24</v>
      </c>
      <c r="AE30" s="56" t="s">
        <v>6569</v>
      </c>
      <c r="AF30" s="56" t="s">
        <v>6621</v>
      </c>
      <c r="AH30" s="56" t="s">
        <v>3542</v>
      </c>
      <c r="AI30" s="56" t="s">
        <v>3723</v>
      </c>
    </row>
    <row r="31" spans="1:35" ht="33" customHeight="1">
      <c r="A31" s="56" t="s">
        <v>6625</v>
      </c>
      <c r="B31" s="57">
        <v>44357.681493055556</v>
      </c>
      <c r="C31" s="56" t="s">
        <v>3803</v>
      </c>
      <c r="D31" s="56" t="s">
        <v>3802</v>
      </c>
      <c r="E31" s="56" t="s">
        <v>6624</v>
      </c>
      <c r="F31" s="56" t="s">
        <v>6623</v>
      </c>
      <c r="G31" s="58" t="s">
        <v>1531</v>
      </c>
      <c r="H31" s="56">
        <v>1</v>
      </c>
      <c r="I31" s="56" t="s">
        <v>3696</v>
      </c>
      <c r="J31" s="56">
        <v>299</v>
      </c>
      <c r="K31" s="56">
        <v>299</v>
      </c>
      <c r="P31" s="56">
        <v>0</v>
      </c>
      <c r="S31" s="56">
        <v>0</v>
      </c>
      <c r="T31" s="56" t="s">
        <v>3562</v>
      </c>
      <c r="V31" s="56" t="s">
        <v>59</v>
      </c>
      <c r="W31" s="56" t="s">
        <v>3548</v>
      </c>
      <c r="X31" s="56" t="s">
        <v>39</v>
      </c>
      <c r="Y31" s="56" t="s">
        <v>3677</v>
      </c>
      <c r="Z31" s="56" t="s">
        <v>6622</v>
      </c>
      <c r="AC31" s="56" t="s">
        <v>3543</v>
      </c>
      <c r="AD31" s="56" t="s">
        <v>24</v>
      </c>
      <c r="AE31" s="56" t="s">
        <v>6569</v>
      </c>
      <c r="AF31" s="56" t="s">
        <v>6621</v>
      </c>
      <c r="AH31" s="56" t="s">
        <v>3542</v>
      </c>
      <c r="AI31" s="56" t="s">
        <v>3723</v>
      </c>
    </row>
    <row r="32" spans="1:35" ht="33" customHeight="1">
      <c r="A32" s="56" t="s">
        <v>6625</v>
      </c>
      <c r="B32" s="57">
        <v>44357.681493055556</v>
      </c>
      <c r="C32" s="56" t="s">
        <v>3803</v>
      </c>
      <c r="D32" s="56" t="s">
        <v>3802</v>
      </c>
      <c r="E32" s="56" t="s">
        <v>6624</v>
      </c>
      <c r="F32" s="56" t="s">
        <v>6623</v>
      </c>
      <c r="G32" s="58" t="s">
        <v>1510</v>
      </c>
      <c r="H32" s="56">
        <v>1</v>
      </c>
      <c r="I32" s="56" t="s">
        <v>3696</v>
      </c>
      <c r="J32" s="56">
        <v>299</v>
      </c>
      <c r="K32" s="56">
        <v>299</v>
      </c>
      <c r="P32" s="56">
        <v>0</v>
      </c>
      <c r="S32" s="56">
        <v>0</v>
      </c>
      <c r="T32" s="56" t="s">
        <v>3562</v>
      </c>
      <c r="V32" s="56" t="s">
        <v>59</v>
      </c>
      <c r="W32" s="56" t="s">
        <v>3548</v>
      </c>
      <c r="X32" s="56" t="s">
        <v>39</v>
      </c>
      <c r="Y32" s="56" t="s">
        <v>3677</v>
      </c>
      <c r="Z32" s="56" t="s">
        <v>6622</v>
      </c>
      <c r="AC32" s="56" t="s">
        <v>3543</v>
      </c>
      <c r="AD32" s="56" t="s">
        <v>24</v>
      </c>
      <c r="AE32" s="56" t="s">
        <v>6569</v>
      </c>
      <c r="AF32" s="56" t="s">
        <v>6621</v>
      </c>
      <c r="AH32" s="56" t="s">
        <v>3542</v>
      </c>
      <c r="AI32" s="56" t="s">
        <v>3723</v>
      </c>
    </row>
    <row r="33" spans="1:35" ht="33" customHeight="1">
      <c r="A33" s="56" t="s">
        <v>6625</v>
      </c>
      <c r="B33" s="57">
        <v>44357.681493055556</v>
      </c>
      <c r="C33" s="56" t="s">
        <v>3803</v>
      </c>
      <c r="D33" s="56" t="s">
        <v>3802</v>
      </c>
      <c r="E33" s="56" t="s">
        <v>6624</v>
      </c>
      <c r="F33" s="56" t="s">
        <v>6623</v>
      </c>
      <c r="G33" s="58" t="s">
        <v>3217</v>
      </c>
      <c r="H33" s="56">
        <v>1</v>
      </c>
      <c r="I33" s="56" t="s">
        <v>3594</v>
      </c>
      <c r="J33" s="56">
        <v>69</v>
      </c>
      <c r="K33" s="56">
        <v>69</v>
      </c>
      <c r="P33" s="56">
        <v>0</v>
      </c>
      <c r="S33" s="56">
        <v>0</v>
      </c>
      <c r="T33" s="56" t="s">
        <v>3562</v>
      </c>
      <c r="V33" s="56" t="s">
        <v>59</v>
      </c>
      <c r="W33" s="56" t="s">
        <v>3548</v>
      </c>
      <c r="X33" s="56" t="s">
        <v>39</v>
      </c>
      <c r="Y33" s="56" t="s">
        <v>3677</v>
      </c>
      <c r="Z33" s="56" t="s">
        <v>6622</v>
      </c>
      <c r="AC33" s="56" t="s">
        <v>3543</v>
      </c>
      <c r="AD33" s="56" t="s">
        <v>24</v>
      </c>
      <c r="AE33" s="56" t="s">
        <v>6569</v>
      </c>
      <c r="AF33" s="56" t="s">
        <v>6621</v>
      </c>
      <c r="AH33" s="56" t="s">
        <v>3542</v>
      </c>
      <c r="AI33" s="56" t="s">
        <v>3723</v>
      </c>
    </row>
    <row r="34" spans="1:35" ht="33" customHeight="1">
      <c r="A34" s="56" t="s">
        <v>6625</v>
      </c>
      <c r="B34" s="57">
        <v>44357.681493055556</v>
      </c>
      <c r="C34" s="56" t="s">
        <v>3803</v>
      </c>
      <c r="D34" s="56" t="s">
        <v>3802</v>
      </c>
      <c r="E34" s="56" t="s">
        <v>6624</v>
      </c>
      <c r="F34" s="56" t="s">
        <v>6623</v>
      </c>
      <c r="G34" s="58" t="s">
        <v>3222</v>
      </c>
      <c r="H34" s="56">
        <v>1</v>
      </c>
      <c r="I34" s="56" t="s">
        <v>3594</v>
      </c>
      <c r="J34" s="56">
        <v>69</v>
      </c>
      <c r="K34" s="56">
        <v>69</v>
      </c>
      <c r="P34" s="56">
        <v>0</v>
      </c>
      <c r="S34" s="56">
        <v>0</v>
      </c>
      <c r="T34" s="56" t="s">
        <v>3562</v>
      </c>
      <c r="V34" s="56" t="s">
        <v>59</v>
      </c>
      <c r="W34" s="56" t="s">
        <v>3548</v>
      </c>
      <c r="X34" s="56" t="s">
        <v>39</v>
      </c>
      <c r="Y34" s="56" t="s">
        <v>3677</v>
      </c>
      <c r="Z34" s="56" t="s">
        <v>6622</v>
      </c>
      <c r="AC34" s="56" t="s">
        <v>3543</v>
      </c>
      <c r="AD34" s="56" t="s">
        <v>24</v>
      </c>
      <c r="AE34" s="56" t="s">
        <v>6569</v>
      </c>
      <c r="AF34" s="56" t="s">
        <v>6621</v>
      </c>
      <c r="AH34" s="56" t="s">
        <v>3542</v>
      </c>
      <c r="AI34" s="56" t="s">
        <v>3723</v>
      </c>
    </row>
    <row r="35" spans="1:35" ht="33" customHeight="1">
      <c r="A35" s="56" t="s">
        <v>6625</v>
      </c>
      <c r="B35" s="57">
        <v>44357.681493055556</v>
      </c>
      <c r="C35" s="56" t="s">
        <v>3803</v>
      </c>
      <c r="D35" s="56" t="s">
        <v>3802</v>
      </c>
      <c r="E35" s="56" t="s">
        <v>6624</v>
      </c>
      <c r="F35" s="56" t="s">
        <v>6623</v>
      </c>
      <c r="G35" s="58" t="s">
        <v>3316</v>
      </c>
      <c r="H35" s="56">
        <v>2</v>
      </c>
      <c r="I35" s="56" t="s">
        <v>3695</v>
      </c>
      <c r="J35" s="56">
        <v>399</v>
      </c>
      <c r="K35" s="56">
        <v>399</v>
      </c>
      <c r="P35" s="56">
        <v>0</v>
      </c>
      <c r="S35" s="56">
        <v>0</v>
      </c>
      <c r="T35" s="56" t="s">
        <v>3562</v>
      </c>
      <c r="V35" s="56" t="s">
        <v>59</v>
      </c>
      <c r="W35" s="56" t="s">
        <v>3548</v>
      </c>
      <c r="X35" s="56" t="s">
        <v>39</v>
      </c>
      <c r="Y35" s="56" t="s">
        <v>3677</v>
      </c>
      <c r="Z35" s="56" t="s">
        <v>6622</v>
      </c>
      <c r="AC35" s="56" t="s">
        <v>3543</v>
      </c>
      <c r="AD35" s="56" t="s">
        <v>24</v>
      </c>
      <c r="AE35" s="56" t="s">
        <v>6569</v>
      </c>
      <c r="AF35" s="56" t="s">
        <v>6621</v>
      </c>
      <c r="AH35" s="56" t="s">
        <v>3542</v>
      </c>
      <c r="AI35" s="56" t="s">
        <v>3723</v>
      </c>
    </row>
    <row r="36" spans="1:35" ht="33" customHeight="1">
      <c r="A36" s="56" t="s">
        <v>6620</v>
      </c>
      <c r="B36" s="57">
        <v>44357.751331018517</v>
      </c>
      <c r="C36" s="56" t="s">
        <v>4512</v>
      </c>
      <c r="D36" s="56" t="s">
        <v>4511</v>
      </c>
      <c r="E36" s="56" t="s">
        <v>6619</v>
      </c>
      <c r="F36" s="56" t="s">
        <v>6618</v>
      </c>
      <c r="G36" s="58" t="s">
        <v>3299</v>
      </c>
      <c r="H36" s="56">
        <v>2</v>
      </c>
      <c r="I36" s="56" t="s">
        <v>3576</v>
      </c>
      <c r="J36" s="56">
        <v>299</v>
      </c>
      <c r="K36" s="56">
        <v>299</v>
      </c>
      <c r="L36" s="56">
        <v>1298</v>
      </c>
      <c r="M36" s="56">
        <v>0</v>
      </c>
      <c r="N36" s="56">
        <v>0</v>
      </c>
      <c r="O36" s="56">
        <v>130</v>
      </c>
      <c r="P36" s="56">
        <v>0</v>
      </c>
      <c r="Q36" s="56">
        <v>1168</v>
      </c>
      <c r="R36" s="56">
        <v>0</v>
      </c>
      <c r="S36" s="56">
        <v>0</v>
      </c>
      <c r="T36" s="56" t="s">
        <v>3562</v>
      </c>
      <c r="U36" s="56">
        <v>1168</v>
      </c>
      <c r="V36" s="56" t="s">
        <v>3612</v>
      </c>
      <c r="W36" s="56" t="s">
        <v>3548</v>
      </c>
      <c r="X36" s="56" t="s">
        <v>3611</v>
      </c>
      <c r="Z36" s="56" t="s">
        <v>3546</v>
      </c>
      <c r="AA36" s="56" t="s">
        <v>6617</v>
      </c>
      <c r="AB36" s="56" t="s">
        <v>6616</v>
      </c>
      <c r="AC36" s="56" t="s">
        <v>3543</v>
      </c>
      <c r="AD36" s="56" t="s">
        <v>24</v>
      </c>
      <c r="AE36" s="56" t="s">
        <v>5367</v>
      </c>
      <c r="AF36" s="56" t="s">
        <v>6615</v>
      </c>
      <c r="AH36" s="56" t="s">
        <v>3542</v>
      </c>
      <c r="AI36" s="56" t="s">
        <v>3723</v>
      </c>
    </row>
    <row r="37" spans="1:35" ht="33" customHeight="1">
      <c r="A37" s="56" t="s">
        <v>6620</v>
      </c>
      <c r="B37" s="57">
        <v>44357.751331018517</v>
      </c>
      <c r="C37" s="56" t="s">
        <v>4512</v>
      </c>
      <c r="D37" s="56" t="s">
        <v>4511</v>
      </c>
      <c r="E37" s="56" t="s">
        <v>6619</v>
      </c>
      <c r="F37" s="56" t="s">
        <v>6618</v>
      </c>
      <c r="G37" s="58" t="s">
        <v>1486</v>
      </c>
      <c r="H37" s="56">
        <v>1</v>
      </c>
      <c r="I37" s="56" t="s">
        <v>4174</v>
      </c>
      <c r="J37" s="56">
        <v>350</v>
      </c>
      <c r="K37" s="56">
        <v>350</v>
      </c>
      <c r="P37" s="56">
        <v>0</v>
      </c>
      <c r="S37" s="56">
        <v>0</v>
      </c>
      <c r="T37" s="56" t="s">
        <v>3562</v>
      </c>
      <c r="V37" s="56" t="s">
        <v>3612</v>
      </c>
      <c r="W37" s="56" t="s">
        <v>3548</v>
      </c>
      <c r="X37" s="56" t="s">
        <v>3611</v>
      </c>
      <c r="Z37" s="56" t="s">
        <v>3546</v>
      </c>
      <c r="AA37" s="56" t="s">
        <v>6617</v>
      </c>
      <c r="AB37" s="56" t="s">
        <v>6616</v>
      </c>
      <c r="AC37" s="56" t="s">
        <v>3543</v>
      </c>
      <c r="AD37" s="56" t="s">
        <v>24</v>
      </c>
      <c r="AE37" s="56" t="s">
        <v>5367</v>
      </c>
      <c r="AF37" s="56" t="s">
        <v>6615</v>
      </c>
      <c r="AH37" s="56" t="s">
        <v>3542</v>
      </c>
      <c r="AI37" s="56" t="s">
        <v>3723</v>
      </c>
    </row>
    <row r="38" spans="1:35" ht="33" customHeight="1">
      <c r="A38" s="56" t="s">
        <v>6620</v>
      </c>
      <c r="B38" s="57">
        <v>44357.751331018517</v>
      </c>
      <c r="C38" s="56" t="s">
        <v>4512</v>
      </c>
      <c r="D38" s="56" t="s">
        <v>4511</v>
      </c>
      <c r="E38" s="56" t="s">
        <v>6619</v>
      </c>
      <c r="F38" s="56" t="s">
        <v>6618</v>
      </c>
      <c r="G38" s="58" t="s">
        <v>1484</v>
      </c>
      <c r="H38" s="56">
        <v>1</v>
      </c>
      <c r="I38" s="56" t="s">
        <v>4174</v>
      </c>
      <c r="J38" s="56">
        <v>350</v>
      </c>
      <c r="K38" s="56">
        <v>350</v>
      </c>
      <c r="P38" s="56">
        <v>0</v>
      </c>
      <c r="S38" s="56">
        <v>0</v>
      </c>
      <c r="T38" s="56" t="s">
        <v>3562</v>
      </c>
      <c r="V38" s="56" t="s">
        <v>3612</v>
      </c>
      <c r="W38" s="56" t="s">
        <v>3548</v>
      </c>
      <c r="X38" s="56" t="s">
        <v>3611</v>
      </c>
      <c r="Z38" s="56" t="s">
        <v>3546</v>
      </c>
      <c r="AA38" s="56" t="s">
        <v>6617</v>
      </c>
      <c r="AB38" s="56" t="s">
        <v>6616</v>
      </c>
      <c r="AC38" s="56" t="s">
        <v>3543</v>
      </c>
      <c r="AD38" s="56" t="s">
        <v>24</v>
      </c>
      <c r="AE38" s="56" t="s">
        <v>5367</v>
      </c>
      <c r="AF38" s="56" t="s">
        <v>6615</v>
      </c>
      <c r="AH38" s="56" t="s">
        <v>3542</v>
      </c>
      <c r="AI38" s="56" t="s">
        <v>3723</v>
      </c>
    </row>
    <row r="39" spans="1:35" ht="33" customHeight="1">
      <c r="A39" s="56" t="s">
        <v>6614</v>
      </c>
      <c r="B39" s="57">
        <v>44357.824780092589</v>
      </c>
      <c r="C39" s="56" t="s">
        <v>3803</v>
      </c>
      <c r="D39" s="56" t="s">
        <v>3802</v>
      </c>
      <c r="E39" s="56" t="s">
        <v>6613</v>
      </c>
      <c r="F39" s="56" t="s">
        <v>6612</v>
      </c>
      <c r="G39" s="58" t="s">
        <v>3299</v>
      </c>
      <c r="H39" s="56">
        <v>1</v>
      </c>
      <c r="I39" s="56" t="s">
        <v>3576</v>
      </c>
      <c r="J39" s="56">
        <v>299</v>
      </c>
      <c r="K39" s="56">
        <v>299</v>
      </c>
      <c r="L39" s="56">
        <v>1127</v>
      </c>
      <c r="M39" s="56">
        <v>0</v>
      </c>
      <c r="N39" s="56">
        <v>0</v>
      </c>
      <c r="O39" s="56">
        <v>113</v>
      </c>
      <c r="P39" s="56">
        <v>0</v>
      </c>
      <c r="Q39" s="56">
        <v>1014</v>
      </c>
      <c r="R39" s="56">
        <v>0</v>
      </c>
      <c r="S39" s="56">
        <v>0</v>
      </c>
      <c r="T39" s="56" t="s">
        <v>3562</v>
      </c>
      <c r="U39" s="56">
        <v>1014</v>
      </c>
      <c r="V39" s="56" t="s">
        <v>59</v>
      </c>
      <c r="W39" s="56" t="s">
        <v>3548</v>
      </c>
      <c r="X39" s="56" t="s">
        <v>39</v>
      </c>
      <c r="Y39" s="56" t="s">
        <v>3998</v>
      </c>
      <c r="Z39" s="56" t="s">
        <v>6611</v>
      </c>
      <c r="AC39" s="56" t="s">
        <v>3543</v>
      </c>
      <c r="AD39" s="56" t="s">
        <v>24</v>
      </c>
      <c r="AE39" s="56" t="s">
        <v>6569</v>
      </c>
      <c r="AF39" s="56" t="s">
        <v>6610</v>
      </c>
      <c r="AH39" s="56" t="s">
        <v>3542</v>
      </c>
      <c r="AI39" s="56" t="s">
        <v>3723</v>
      </c>
    </row>
    <row r="40" spans="1:35" ht="33" customHeight="1">
      <c r="A40" s="56" t="s">
        <v>6614</v>
      </c>
      <c r="B40" s="57">
        <v>44357.824780092589</v>
      </c>
      <c r="C40" s="56" t="s">
        <v>3803</v>
      </c>
      <c r="D40" s="56" t="s">
        <v>3802</v>
      </c>
      <c r="E40" s="56" t="s">
        <v>6613</v>
      </c>
      <c r="F40" s="56" t="s">
        <v>6612</v>
      </c>
      <c r="G40" s="58" t="s">
        <v>1484</v>
      </c>
      <c r="H40" s="56">
        <v>1</v>
      </c>
      <c r="I40" s="56" t="s">
        <v>4174</v>
      </c>
      <c r="J40" s="56">
        <v>350</v>
      </c>
      <c r="K40" s="56">
        <v>350</v>
      </c>
      <c r="P40" s="56">
        <v>0</v>
      </c>
      <c r="S40" s="56">
        <v>0</v>
      </c>
      <c r="T40" s="56" t="s">
        <v>3562</v>
      </c>
      <c r="V40" s="56" t="s">
        <v>59</v>
      </c>
      <c r="W40" s="56" t="s">
        <v>3548</v>
      </c>
      <c r="X40" s="56" t="s">
        <v>39</v>
      </c>
      <c r="Y40" s="56" t="s">
        <v>3998</v>
      </c>
      <c r="Z40" s="56" t="s">
        <v>6611</v>
      </c>
      <c r="AC40" s="56" t="s">
        <v>3543</v>
      </c>
      <c r="AD40" s="56" t="s">
        <v>24</v>
      </c>
      <c r="AE40" s="56" t="s">
        <v>6569</v>
      </c>
      <c r="AF40" s="56" t="s">
        <v>6610</v>
      </c>
      <c r="AH40" s="56" t="s">
        <v>3542</v>
      </c>
      <c r="AI40" s="56" t="s">
        <v>3723</v>
      </c>
    </row>
    <row r="41" spans="1:35" ht="33" customHeight="1">
      <c r="A41" s="56" t="s">
        <v>6614</v>
      </c>
      <c r="B41" s="57">
        <v>44357.824780092589</v>
      </c>
      <c r="C41" s="56" t="s">
        <v>3803</v>
      </c>
      <c r="D41" s="56" t="s">
        <v>3802</v>
      </c>
      <c r="E41" s="56" t="s">
        <v>6613</v>
      </c>
      <c r="F41" s="56" t="s">
        <v>6612</v>
      </c>
      <c r="G41" s="58" t="s">
        <v>2161</v>
      </c>
      <c r="H41" s="56">
        <v>1</v>
      </c>
      <c r="I41" s="56" t="s">
        <v>3694</v>
      </c>
      <c r="J41" s="56">
        <v>128</v>
      </c>
      <c r="K41" s="56">
        <v>128</v>
      </c>
      <c r="P41" s="56">
        <v>0</v>
      </c>
      <c r="S41" s="56">
        <v>0</v>
      </c>
      <c r="T41" s="56" t="s">
        <v>3562</v>
      </c>
      <c r="V41" s="56" t="s">
        <v>59</v>
      </c>
      <c r="W41" s="56" t="s">
        <v>3548</v>
      </c>
      <c r="X41" s="56" t="s">
        <v>39</v>
      </c>
      <c r="Y41" s="56" t="s">
        <v>3998</v>
      </c>
      <c r="Z41" s="56" t="s">
        <v>6611</v>
      </c>
      <c r="AC41" s="56" t="s">
        <v>3543</v>
      </c>
      <c r="AD41" s="56" t="s">
        <v>24</v>
      </c>
      <c r="AE41" s="56" t="s">
        <v>6569</v>
      </c>
      <c r="AF41" s="56" t="s">
        <v>6610</v>
      </c>
      <c r="AH41" s="56" t="s">
        <v>3542</v>
      </c>
      <c r="AI41" s="56" t="s">
        <v>3723</v>
      </c>
    </row>
    <row r="42" spans="1:35" ht="33" customHeight="1">
      <c r="A42" s="56" t="s">
        <v>6614</v>
      </c>
      <c r="B42" s="57">
        <v>44357.824780092589</v>
      </c>
      <c r="C42" s="56" t="s">
        <v>3803</v>
      </c>
      <c r="D42" s="56" t="s">
        <v>3802</v>
      </c>
      <c r="E42" s="56" t="s">
        <v>6613</v>
      </c>
      <c r="F42" s="56" t="s">
        <v>6612</v>
      </c>
      <c r="G42" s="58" t="s">
        <v>2171</v>
      </c>
      <c r="H42" s="56">
        <v>1</v>
      </c>
      <c r="I42" s="56" t="s">
        <v>3762</v>
      </c>
      <c r="J42" s="56">
        <v>350</v>
      </c>
      <c r="K42" s="56">
        <v>350</v>
      </c>
      <c r="P42" s="56">
        <v>0</v>
      </c>
      <c r="S42" s="56">
        <v>0</v>
      </c>
      <c r="T42" s="56" t="s">
        <v>3562</v>
      </c>
      <c r="V42" s="56" t="s">
        <v>59</v>
      </c>
      <c r="W42" s="56" t="s">
        <v>3548</v>
      </c>
      <c r="X42" s="56" t="s">
        <v>39</v>
      </c>
      <c r="Y42" s="56" t="s">
        <v>3998</v>
      </c>
      <c r="Z42" s="56" t="s">
        <v>6611</v>
      </c>
      <c r="AC42" s="56" t="s">
        <v>3543</v>
      </c>
      <c r="AD42" s="56" t="s">
        <v>24</v>
      </c>
      <c r="AE42" s="56" t="s">
        <v>6569</v>
      </c>
      <c r="AF42" s="56" t="s">
        <v>6610</v>
      </c>
      <c r="AH42" s="56" t="s">
        <v>3542</v>
      </c>
      <c r="AI42" s="56" t="s">
        <v>3723</v>
      </c>
    </row>
    <row r="43" spans="1:35" ht="33" customHeight="1">
      <c r="A43" s="56" t="s">
        <v>6609</v>
      </c>
      <c r="B43" s="57">
        <v>44357.863055555557</v>
      </c>
      <c r="C43" s="56" t="s">
        <v>3803</v>
      </c>
      <c r="D43" s="56" t="s">
        <v>3802</v>
      </c>
      <c r="E43" s="56" t="s">
        <v>6608</v>
      </c>
      <c r="F43" s="56" t="s">
        <v>6607</v>
      </c>
      <c r="G43" s="58" t="s">
        <v>3681</v>
      </c>
      <c r="H43" s="56">
        <v>2</v>
      </c>
      <c r="I43" s="56" t="s">
        <v>3569</v>
      </c>
      <c r="J43" s="56">
        <v>894</v>
      </c>
      <c r="K43" s="56">
        <v>750</v>
      </c>
      <c r="L43" s="56">
        <v>1500</v>
      </c>
      <c r="M43" s="56">
        <v>0</v>
      </c>
      <c r="N43" s="56">
        <v>0</v>
      </c>
      <c r="O43" s="56">
        <v>100</v>
      </c>
      <c r="P43" s="56">
        <v>0</v>
      </c>
      <c r="Q43" s="56">
        <v>1400</v>
      </c>
      <c r="R43" s="56">
        <v>0</v>
      </c>
      <c r="S43" s="56">
        <v>0</v>
      </c>
      <c r="T43" s="56" t="s">
        <v>3562</v>
      </c>
      <c r="U43" s="56">
        <v>1400</v>
      </c>
      <c r="V43" s="56" t="s">
        <v>3865</v>
      </c>
      <c r="W43" s="56" t="s">
        <v>3548</v>
      </c>
      <c r="X43" s="56" t="s">
        <v>39</v>
      </c>
      <c r="Y43" s="56" t="s">
        <v>4165</v>
      </c>
      <c r="Z43" s="56" t="s">
        <v>6606</v>
      </c>
      <c r="AC43" s="56" t="s">
        <v>3543</v>
      </c>
      <c r="AD43" s="56" t="s">
        <v>24</v>
      </c>
      <c r="AE43" s="56" t="s">
        <v>6569</v>
      </c>
      <c r="AF43" s="56" t="s">
        <v>6605</v>
      </c>
      <c r="AH43" s="56" t="s">
        <v>3542</v>
      </c>
      <c r="AI43" s="56" t="s">
        <v>3723</v>
      </c>
    </row>
    <row r="44" spans="1:35" ht="33" customHeight="1">
      <c r="A44" s="56" t="s">
        <v>6604</v>
      </c>
      <c r="B44" s="57">
        <v>44357.865069444444</v>
      </c>
      <c r="C44" s="56" t="s">
        <v>4512</v>
      </c>
      <c r="D44" s="56" t="s">
        <v>4511</v>
      </c>
      <c r="E44" s="56" t="s">
        <v>5315</v>
      </c>
      <c r="F44" s="56" t="s">
        <v>5314</v>
      </c>
      <c r="G44" s="58" t="s">
        <v>1531</v>
      </c>
      <c r="H44" s="56">
        <v>1</v>
      </c>
      <c r="I44" s="56" t="s">
        <v>3696</v>
      </c>
      <c r="J44" s="56">
        <v>299</v>
      </c>
      <c r="K44" s="56">
        <v>299</v>
      </c>
      <c r="L44" s="56">
        <v>1196</v>
      </c>
      <c r="M44" s="56">
        <v>0</v>
      </c>
      <c r="N44" s="56">
        <v>24</v>
      </c>
      <c r="O44" s="56">
        <v>118</v>
      </c>
      <c r="P44" s="56">
        <v>0</v>
      </c>
      <c r="Q44" s="56">
        <v>1054</v>
      </c>
      <c r="R44" s="56">
        <v>0</v>
      </c>
      <c r="S44" s="56">
        <v>0</v>
      </c>
      <c r="T44" s="56" t="s">
        <v>3562</v>
      </c>
      <c r="U44" s="56">
        <v>1054</v>
      </c>
      <c r="V44" s="56" t="s">
        <v>3549</v>
      </c>
      <c r="W44" s="56" t="s">
        <v>3548</v>
      </c>
      <c r="X44" s="56" t="s">
        <v>3547</v>
      </c>
      <c r="Z44" s="56" t="s">
        <v>3546</v>
      </c>
      <c r="AA44" s="56" t="s">
        <v>5313</v>
      </c>
      <c r="AB44" s="56" t="s">
        <v>5312</v>
      </c>
      <c r="AC44" s="56" t="s">
        <v>3543</v>
      </c>
      <c r="AD44" s="56" t="s">
        <v>24</v>
      </c>
      <c r="AE44" s="56" t="s">
        <v>4145</v>
      </c>
      <c r="AF44" s="56" t="s">
        <v>6603</v>
      </c>
      <c r="AH44" s="56" t="s">
        <v>3542</v>
      </c>
      <c r="AI44" s="56" t="s">
        <v>3723</v>
      </c>
    </row>
    <row r="45" spans="1:35" ht="33" customHeight="1">
      <c r="A45" s="56" t="s">
        <v>6604</v>
      </c>
      <c r="B45" s="57">
        <v>44357.865069444444</v>
      </c>
      <c r="C45" s="56" t="s">
        <v>4512</v>
      </c>
      <c r="D45" s="56" t="s">
        <v>4511</v>
      </c>
      <c r="E45" s="56" t="s">
        <v>5315</v>
      </c>
      <c r="F45" s="56" t="s">
        <v>5314</v>
      </c>
      <c r="G45" s="58" t="s">
        <v>1508</v>
      </c>
      <c r="H45" s="56">
        <v>1</v>
      </c>
      <c r="I45" s="56" t="s">
        <v>3696</v>
      </c>
      <c r="J45" s="56">
        <v>299</v>
      </c>
      <c r="K45" s="56">
        <v>299</v>
      </c>
      <c r="P45" s="56">
        <v>0</v>
      </c>
      <c r="S45" s="56">
        <v>0</v>
      </c>
      <c r="T45" s="56" t="s">
        <v>3562</v>
      </c>
      <c r="V45" s="56" t="s">
        <v>3549</v>
      </c>
      <c r="W45" s="56" t="s">
        <v>3548</v>
      </c>
      <c r="X45" s="56" t="s">
        <v>3547</v>
      </c>
      <c r="Z45" s="56" t="s">
        <v>3546</v>
      </c>
      <c r="AA45" s="56" t="s">
        <v>5313</v>
      </c>
      <c r="AB45" s="56" t="s">
        <v>5312</v>
      </c>
      <c r="AC45" s="56" t="s">
        <v>3543</v>
      </c>
      <c r="AD45" s="56" t="s">
        <v>24</v>
      </c>
      <c r="AE45" s="56" t="s">
        <v>4145</v>
      </c>
      <c r="AF45" s="56" t="s">
        <v>6603</v>
      </c>
      <c r="AH45" s="56" t="s">
        <v>3542</v>
      </c>
      <c r="AI45" s="56" t="s">
        <v>3723</v>
      </c>
    </row>
    <row r="46" spans="1:35" ht="33" customHeight="1">
      <c r="A46" s="56" t="s">
        <v>6604</v>
      </c>
      <c r="B46" s="57">
        <v>44357.865069444444</v>
      </c>
      <c r="C46" s="56" t="s">
        <v>4512</v>
      </c>
      <c r="D46" s="56" t="s">
        <v>4511</v>
      </c>
      <c r="E46" s="56" t="s">
        <v>5315</v>
      </c>
      <c r="F46" s="56" t="s">
        <v>5314</v>
      </c>
      <c r="G46" s="58" t="s">
        <v>1510</v>
      </c>
      <c r="H46" s="56">
        <v>1</v>
      </c>
      <c r="I46" s="56" t="s">
        <v>3696</v>
      </c>
      <c r="J46" s="56">
        <v>299</v>
      </c>
      <c r="K46" s="56">
        <v>299</v>
      </c>
      <c r="P46" s="56">
        <v>0</v>
      </c>
      <c r="S46" s="56">
        <v>0</v>
      </c>
      <c r="T46" s="56" t="s">
        <v>3562</v>
      </c>
      <c r="V46" s="56" t="s">
        <v>3549</v>
      </c>
      <c r="W46" s="56" t="s">
        <v>3548</v>
      </c>
      <c r="X46" s="56" t="s">
        <v>3547</v>
      </c>
      <c r="Z46" s="56" t="s">
        <v>3546</v>
      </c>
      <c r="AA46" s="56" t="s">
        <v>5313</v>
      </c>
      <c r="AB46" s="56" t="s">
        <v>5312</v>
      </c>
      <c r="AC46" s="56" t="s">
        <v>3543</v>
      </c>
      <c r="AD46" s="56" t="s">
        <v>24</v>
      </c>
      <c r="AE46" s="56" t="s">
        <v>4145</v>
      </c>
      <c r="AF46" s="56" t="s">
        <v>6603</v>
      </c>
      <c r="AH46" s="56" t="s">
        <v>3542</v>
      </c>
      <c r="AI46" s="56" t="s">
        <v>3723</v>
      </c>
    </row>
    <row r="47" spans="1:35" ht="33" customHeight="1">
      <c r="A47" s="56" t="s">
        <v>6604</v>
      </c>
      <c r="B47" s="57">
        <v>44357.865069444444</v>
      </c>
      <c r="C47" s="56" t="s">
        <v>4512</v>
      </c>
      <c r="D47" s="56" t="s">
        <v>4511</v>
      </c>
      <c r="E47" s="56" t="s">
        <v>5315</v>
      </c>
      <c r="F47" s="56" t="s">
        <v>5314</v>
      </c>
      <c r="G47" s="58" t="s">
        <v>1506</v>
      </c>
      <c r="H47" s="56">
        <v>1</v>
      </c>
      <c r="I47" s="56" t="s">
        <v>3696</v>
      </c>
      <c r="J47" s="56">
        <v>299</v>
      </c>
      <c r="K47" s="56">
        <v>299</v>
      </c>
      <c r="P47" s="56">
        <v>0</v>
      </c>
      <c r="S47" s="56">
        <v>0</v>
      </c>
      <c r="T47" s="56" t="s">
        <v>3562</v>
      </c>
      <c r="V47" s="56" t="s">
        <v>3549</v>
      </c>
      <c r="W47" s="56" t="s">
        <v>3548</v>
      </c>
      <c r="X47" s="56" t="s">
        <v>3547</v>
      </c>
      <c r="Z47" s="56" t="s">
        <v>3546</v>
      </c>
      <c r="AA47" s="56" t="s">
        <v>5313</v>
      </c>
      <c r="AB47" s="56" t="s">
        <v>5312</v>
      </c>
      <c r="AC47" s="56" t="s">
        <v>3543</v>
      </c>
      <c r="AD47" s="56" t="s">
        <v>24</v>
      </c>
      <c r="AE47" s="56" t="s">
        <v>4145</v>
      </c>
      <c r="AF47" s="56" t="s">
        <v>6603</v>
      </c>
      <c r="AH47" s="56" t="s">
        <v>3542</v>
      </c>
      <c r="AI47" s="56" t="s">
        <v>3723</v>
      </c>
    </row>
    <row r="48" spans="1:35" ht="33" customHeight="1">
      <c r="A48" s="56" t="s">
        <v>6602</v>
      </c>
      <c r="B48" s="57">
        <v>44357.874120370368</v>
      </c>
      <c r="C48" s="56" t="s">
        <v>4512</v>
      </c>
      <c r="D48" s="56" t="s">
        <v>4511</v>
      </c>
      <c r="E48" s="56" t="s">
        <v>6601</v>
      </c>
      <c r="F48" s="56" t="s">
        <v>6600</v>
      </c>
      <c r="G48" s="58" t="s">
        <v>1491</v>
      </c>
      <c r="H48" s="56">
        <v>1</v>
      </c>
      <c r="I48" s="56" t="s">
        <v>3586</v>
      </c>
      <c r="J48" s="56">
        <v>149</v>
      </c>
      <c r="K48" s="56">
        <v>149</v>
      </c>
      <c r="L48" s="56">
        <v>298</v>
      </c>
      <c r="M48" s="56">
        <v>65</v>
      </c>
      <c r="N48" s="56">
        <v>0</v>
      </c>
      <c r="O48" s="56">
        <v>0</v>
      </c>
      <c r="P48" s="56">
        <v>0</v>
      </c>
      <c r="Q48" s="56">
        <v>363</v>
      </c>
      <c r="R48" s="56">
        <v>0</v>
      </c>
      <c r="S48" s="56">
        <v>0</v>
      </c>
      <c r="T48" s="56" t="s">
        <v>3562</v>
      </c>
      <c r="U48" s="56">
        <v>363</v>
      </c>
      <c r="V48" s="56" t="s">
        <v>3612</v>
      </c>
      <c r="W48" s="56" t="s">
        <v>3548</v>
      </c>
      <c r="X48" s="56" t="s">
        <v>3611</v>
      </c>
      <c r="Z48" s="56" t="s">
        <v>3546</v>
      </c>
      <c r="AA48" s="56" t="s">
        <v>6599</v>
      </c>
      <c r="AB48" s="56" t="s">
        <v>6598</v>
      </c>
      <c r="AC48" s="56" t="s">
        <v>3543</v>
      </c>
      <c r="AD48" s="56" t="s">
        <v>24</v>
      </c>
      <c r="AE48" s="56" t="s">
        <v>5367</v>
      </c>
      <c r="AF48" s="56" t="s">
        <v>6597</v>
      </c>
      <c r="AH48" s="56" t="s">
        <v>3542</v>
      </c>
      <c r="AI48" s="56" t="s">
        <v>3723</v>
      </c>
    </row>
    <row r="49" spans="1:35" ht="33" customHeight="1">
      <c r="A49" s="56" t="s">
        <v>6602</v>
      </c>
      <c r="B49" s="57">
        <v>44357.874120370368</v>
      </c>
      <c r="C49" s="56" t="s">
        <v>4512</v>
      </c>
      <c r="D49" s="56" t="s">
        <v>4511</v>
      </c>
      <c r="E49" s="56" t="s">
        <v>6601</v>
      </c>
      <c r="F49" s="56" t="s">
        <v>6600</v>
      </c>
      <c r="G49" s="58" t="s">
        <v>1493</v>
      </c>
      <c r="H49" s="56">
        <v>1</v>
      </c>
      <c r="I49" s="56" t="s">
        <v>3586</v>
      </c>
      <c r="J49" s="56">
        <v>149</v>
      </c>
      <c r="K49" s="56">
        <v>149</v>
      </c>
      <c r="P49" s="56">
        <v>0</v>
      </c>
      <c r="S49" s="56">
        <v>0</v>
      </c>
      <c r="T49" s="56" t="s">
        <v>3562</v>
      </c>
      <c r="V49" s="56" t="s">
        <v>3612</v>
      </c>
      <c r="W49" s="56" t="s">
        <v>3548</v>
      </c>
      <c r="X49" s="56" t="s">
        <v>3611</v>
      </c>
      <c r="Z49" s="56" t="s">
        <v>3546</v>
      </c>
      <c r="AA49" s="56" t="s">
        <v>6599</v>
      </c>
      <c r="AB49" s="56" t="s">
        <v>6598</v>
      </c>
      <c r="AC49" s="56" t="s">
        <v>3543</v>
      </c>
      <c r="AD49" s="56" t="s">
        <v>24</v>
      </c>
      <c r="AE49" s="56" t="s">
        <v>5367</v>
      </c>
      <c r="AF49" s="56" t="s">
        <v>6597</v>
      </c>
      <c r="AH49" s="56" t="s">
        <v>3542</v>
      </c>
      <c r="AI49" s="56" t="s">
        <v>3723</v>
      </c>
    </row>
    <row r="50" spans="1:35" ht="33" customHeight="1">
      <c r="A50" s="56" t="s">
        <v>6596</v>
      </c>
      <c r="B50" s="57">
        <v>44357.939363425925</v>
      </c>
      <c r="C50" s="56" t="s">
        <v>4512</v>
      </c>
      <c r="D50" s="56" t="s">
        <v>4511</v>
      </c>
      <c r="E50" s="56" t="s">
        <v>5970</v>
      </c>
      <c r="F50" s="56" t="s">
        <v>5969</v>
      </c>
      <c r="G50" s="58" t="s">
        <v>1531</v>
      </c>
      <c r="H50" s="56">
        <v>2</v>
      </c>
      <c r="I50" s="56" t="s">
        <v>3696</v>
      </c>
      <c r="J50" s="56">
        <v>299</v>
      </c>
      <c r="K50" s="56">
        <v>299</v>
      </c>
      <c r="L50" s="56">
        <v>1195</v>
      </c>
      <c r="M50" s="56">
        <v>0</v>
      </c>
      <c r="N50" s="56">
        <v>0</v>
      </c>
      <c r="O50" s="56">
        <v>100</v>
      </c>
      <c r="P50" s="56">
        <v>0</v>
      </c>
      <c r="Q50" s="56">
        <v>1095</v>
      </c>
      <c r="R50" s="56">
        <v>0</v>
      </c>
      <c r="S50" s="56">
        <v>0</v>
      </c>
      <c r="T50" s="56" t="s">
        <v>3562</v>
      </c>
      <c r="U50" s="56">
        <v>1095</v>
      </c>
      <c r="V50" s="56" t="s">
        <v>3549</v>
      </c>
      <c r="W50" s="56" t="s">
        <v>3548</v>
      </c>
      <c r="X50" s="56" t="s">
        <v>3547</v>
      </c>
      <c r="Z50" s="56" t="s">
        <v>3546</v>
      </c>
      <c r="AA50" s="56" t="s">
        <v>5968</v>
      </c>
      <c r="AB50" s="56" t="s">
        <v>5967</v>
      </c>
      <c r="AC50" s="56" t="s">
        <v>3543</v>
      </c>
      <c r="AD50" s="56" t="s">
        <v>24</v>
      </c>
      <c r="AE50" s="56" t="s">
        <v>4145</v>
      </c>
      <c r="AF50" s="56" t="s">
        <v>6595</v>
      </c>
      <c r="AH50" s="56" t="s">
        <v>3542</v>
      </c>
      <c r="AI50" s="56" t="s">
        <v>3723</v>
      </c>
    </row>
    <row r="51" spans="1:35" ht="33" customHeight="1">
      <c r="A51" s="56" t="s">
        <v>6596</v>
      </c>
      <c r="B51" s="57">
        <v>44357.939363425925</v>
      </c>
      <c r="C51" s="56" t="s">
        <v>4512</v>
      </c>
      <c r="D51" s="56" t="s">
        <v>4511</v>
      </c>
      <c r="E51" s="56" t="s">
        <v>5970</v>
      </c>
      <c r="F51" s="56" t="s">
        <v>5969</v>
      </c>
      <c r="G51" s="58" t="s">
        <v>1508</v>
      </c>
      <c r="H51" s="56">
        <v>1</v>
      </c>
      <c r="I51" s="56" t="s">
        <v>3696</v>
      </c>
      <c r="J51" s="56">
        <v>299</v>
      </c>
      <c r="K51" s="56">
        <v>299</v>
      </c>
      <c r="P51" s="56">
        <v>0</v>
      </c>
      <c r="S51" s="56">
        <v>0</v>
      </c>
      <c r="T51" s="56" t="s">
        <v>3562</v>
      </c>
      <c r="V51" s="56" t="s">
        <v>3549</v>
      </c>
      <c r="W51" s="56" t="s">
        <v>3548</v>
      </c>
      <c r="X51" s="56" t="s">
        <v>3547</v>
      </c>
      <c r="Z51" s="56" t="s">
        <v>3546</v>
      </c>
      <c r="AA51" s="56" t="s">
        <v>5968</v>
      </c>
      <c r="AB51" s="56" t="s">
        <v>5967</v>
      </c>
      <c r="AC51" s="56" t="s">
        <v>3543</v>
      </c>
      <c r="AD51" s="56" t="s">
        <v>24</v>
      </c>
      <c r="AE51" s="56" t="s">
        <v>4145</v>
      </c>
      <c r="AF51" s="56" t="s">
        <v>6595</v>
      </c>
      <c r="AH51" s="56" t="s">
        <v>3542</v>
      </c>
      <c r="AI51" s="56" t="s">
        <v>3723</v>
      </c>
    </row>
    <row r="52" spans="1:35" ht="33" customHeight="1">
      <c r="A52" s="56" t="s">
        <v>6596</v>
      </c>
      <c r="B52" s="57">
        <v>44357.939363425925</v>
      </c>
      <c r="C52" s="56" t="s">
        <v>4512</v>
      </c>
      <c r="D52" s="56" t="s">
        <v>4511</v>
      </c>
      <c r="E52" s="56" t="s">
        <v>5970</v>
      </c>
      <c r="F52" s="56" t="s">
        <v>5969</v>
      </c>
      <c r="G52" s="58" t="s">
        <v>3189</v>
      </c>
      <c r="H52" s="56">
        <v>2</v>
      </c>
      <c r="I52" s="56" t="s">
        <v>3761</v>
      </c>
      <c r="J52" s="56">
        <v>149</v>
      </c>
      <c r="K52" s="56">
        <v>149</v>
      </c>
      <c r="P52" s="56">
        <v>0</v>
      </c>
      <c r="S52" s="56">
        <v>0</v>
      </c>
      <c r="T52" s="56" t="s">
        <v>3562</v>
      </c>
      <c r="V52" s="56" t="s">
        <v>3549</v>
      </c>
      <c r="W52" s="56" t="s">
        <v>3548</v>
      </c>
      <c r="X52" s="56" t="s">
        <v>3547</v>
      </c>
      <c r="Z52" s="56" t="s">
        <v>3546</v>
      </c>
      <c r="AA52" s="56" t="s">
        <v>5968</v>
      </c>
      <c r="AB52" s="56" t="s">
        <v>5967</v>
      </c>
      <c r="AC52" s="56" t="s">
        <v>3543</v>
      </c>
      <c r="AD52" s="56" t="s">
        <v>24</v>
      </c>
      <c r="AE52" s="56" t="s">
        <v>4145</v>
      </c>
      <c r="AF52" s="56" t="s">
        <v>6595</v>
      </c>
      <c r="AH52" s="56" t="s">
        <v>3542</v>
      </c>
      <c r="AI52" s="56" t="s">
        <v>3723</v>
      </c>
    </row>
    <row r="53" spans="1:35" ht="33" customHeight="1">
      <c r="A53" s="56" t="s">
        <v>6594</v>
      </c>
      <c r="B53" s="57">
        <v>44357.947777777779</v>
      </c>
      <c r="C53" s="56" t="s">
        <v>4512</v>
      </c>
      <c r="D53" s="56" t="s">
        <v>4511</v>
      </c>
      <c r="E53" s="56" t="s">
        <v>6593</v>
      </c>
      <c r="F53" s="56" t="s">
        <v>6592</v>
      </c>
      <c r="G53" s="58" t="s">
        <v>1531</v>
      </c>
      <c r="H53" s="56">
        <v>1</v>
      </c>
      <c r="I53" s="56" t="s">
        <v>3696</v>
      </c>
      <c r="J53" s="56">
        <v>299</v>
      </c>
      <c r="K53" s="56">
        <v>299</v>
      </c>
      <c r="L53" s="56">
        <v>598</v>
      </c>
      <c r="M53" s="56">
        <v>65</v>
      </c>
      <c r="N53" s="56">
        <v>0</v>
      </c>
      <c r="O53" s="56">
        <v>0</v>
      </c>
      <c r="P53" s="56">
        <v>0</v>
      </c>
      <c r="Q53" s="56">
        <v>663</v>
      </c>
      <c r="R53" s="56">
        <v>0</v>
      </c>
      <c r="S53" s="56">
        <v>0</v>
      </c>
      <c r="T53" s="56" t="s">
        <v>3562</v>
      </c>
      <c r="U53" s="56">
        <v>663</v>
      </c>
      <c r="V53" s="56" t="s">
        <v>3612</v>
      </c>
      <c r="W53" s="56" t="s">
        <v>3548</v>
      </c>
      <c r="X53" s="56" t="s">
        <v>3611</v>
      </c>
      <c r="Z53" s="56" t="s">
        <v>3546</v>
      </c>
      <c r="AA53" s="56" t="s">
        <v>6591</v>
      </c>
      <c r="AB53" s="56" t="s">
        <v>6590</v>
      </c>
      <c r="AC53" s="56" t="s">
        <v>3543</v>
      </c>
      <c r="AD53" s="56" t="s">
        <v>24</v>
      </c>
      <c r="AE53" s="56" t="s">
        <v>5127</v>
      </c>
      <c r="AF53" s="56" t="s">
        <v>6589</v>
      </c>
      <c r="AH53" s="56" t="s">
        <v>3542</v>
      </c>
      <c r="AI53" s="56" t="s">
        <v>3723</v>
      </c>
    </row>
    <row r="54" spans="1:35" ht="33" customHeight="1">
      <c r="A54" s="56" t="s">
        <v>6594</v>
      </c>
      <c r="B54" s="57">
        <v>44357.947777777779</v>
      </c>
      <c r="C54" s="56" t="s">
        <v>4512</v>
      </c>
      <c r="D54" s="56" t="s">
        <v>4511</v>
      </c>
      <c r="E54" s="56" t="s">
        <v>6593</v>
      </c>
      <c r="F54" s="56" t="s">
        <v>6592</v>
      </c>
      <c r="G54" s="58" t="s">
        <v>1508</v>
      </c>
      <c r="H54" s="56">
        <v>1</v>
      </c>
      <c r="I54" s="56" t="s">
        <v>3696</v>
      </c>
      <c r="J54" s="56">
        <v>299</v>
      </c>
      <c r="K54" s="56">
        <v>299</v>
      </c>
      <c r="P54" s="56">
        <v>0</v>
      </c>
      <c r="S54" s="56">
        <v>0</v>
      </c>
      <c r="T54" s="56" t="s">
        <v>3562</v>
      </c>
      <c r="V54" s="56" t="s">
        <v>3612</v>
      </c>
      <c r="W54" s="56" t="s">
        <v>3548</v>
      </c>
      <c r="X54" s="56" t="s">
        <v>3611</v>
      </c>
      <c r="Z54" s="56" t="s">
        <v>3546</v>
      </c>
      <c r="AA54" s="56" t="s">
        <v>6591</v>
      </c>
      <c r="AB54" s="56" t="s">
        <v>6590</v>
      </c>
      <c r="AC54" s="56" t="s">
        <v>3543</v>
      </c>
      <c r="AD54" s="56" t="s">
        <v>24</v>
      </c>
      <c r="AE54" s="56" t="s">
        <v>5127</v>
      </c>
      <c r="AF54" s="56" t="s">
        <v>6589</v>
      </c>
      <c r="AH54" s="56" t="s">
        <v>3542</v>
      </c>
      <c r="AI54" s="56" t="s">
        <v>3723</v>
      </c>
    </row>
    <row r="55" spans="1:35" ht="33" customHeight="1">
      <c r="A55" s="56" t="s">
        <v>6588</v>
      </c>
      <c r="B55" s="57">
        <v>44357.949895833335</v>
      </c>
      <c r="C55" s="56" t="s">
        <v>3803</v>
      </c>
      <c r="D55" s="56" t="s">
        <v>3802</v>
      </c>
      <c r="E55" s="56" t="s">
        <v>6587</v>
      </c>
      <c r="F55" s="56" t="s">
        <v>6586</v>
      </c>
      <c r="G55" s="58" t="s">
        <v>3811</v>
      </c>
      <c r="H55" s="56">
        <v>1</v>
      </c>
      <c r="I55" s="56" t="s">
        <v>3669</v>
      </c>
      <c r="J55" s="56">
        <v>897</v>
      </c>
      <c r="K55" s="56">
        <v>888</v>
      </c>
      <c r="L55" s="56">
        <v>1187</v>
      </c>
      <c r="M55" s="56">
        <v>0</v>
      </c>
      <c r="N55" s="56">
        <v>0</v>
      </c>
      <c r="O55" s="56">
        <v>100</v>
      </c>
      <c r="P55" s="56">
        <v>0</v>
      </c>
      <c r="Q55" s="56">
        <v>1087</v>
      </c>
      <c r="R55" s="56">
        <v>0</v>
      </c>
      <c r="S55" s="56">
        <v>0</v>
      </c>
      <c r="T55" s="56" t="s">
        <v>3562</v>
      </c>
      <c r="U55" s="56">
        <v>1087</v>
      </c>
      <c r="V55" s="56" t="s">
        <v>6536</v>
      </c>
      <c r="W55" s="56" t="s">
        <v>3548</v>
      </c>
      <c r="X55" s="56" t="s">
        <v>39</v>
      </c>
      <c r="Y55" s="56" t="s">
        <v>4187</v>
      </c>
      <c r="Z55" s="56" t="s">
        <v>6585</v>
      </c>
      <c r="AC55" s="56" t="s">
        <v>3543</v>
      </c>
      <c r="AD55" s="56" t="s">
        <v>24</v>
      </c>
      <c r="AE55" s="56" t="s">
        <v>6569</v>
      </c>
      <c r="AF55" s="56" t="s">
        <v>6584</v>
      </c>
      <c r="AH55" s="56" t="s">
        <v>3542</v>
      </c>
      <c r="AI55" s="56" t="s">
        <v>3723</v>
      </c>
    </row>
    <row r="56" spans="1:35" ht="33" customHeight="1">
      <c r="A56" s="56" t="s">
        <v>6588</v>
      </c>
      <c r="B56" s="57">
        <v>44357.949895833335</v>
      </c>
      <c r="C56" s="56" t="s">
        <v>3803</v>
      </c>
      <c r="D56" s="56" t="s">
        <v>3802</v>
      </c>
      <c r="E56" s="56" t="s">
        <v>6587</v>
      </c>
      <c r="F56" s="56" t="s">
        <v>6586</v>
      </c>
      <c r="G56" s="58" t="s">
        <v>1510</v>
      </c>
      <c r="H56" s="56">
        <v>1</v>
      </c>
      <c r="I56" s="56" t="s">
        <v>3696</v>
      </c>
      <c r="J56" s="56">
        <v>299</v>
      </c>
      <c r="K56" s="56">
        <v>299</v>
      </c>
      <c r="P56" s="56">
        <v>0</v>
      </c>
      <c r="S56" s="56">
        <v>0</v>
      </c>
      <c r="T56" s="56" t="s">
        <v>3562</v>
      </c>
      <c r="V56" s="56" t="s">
        <v>6536</v>
      </c>
      <c r="W56" s="56" t="s">
        <v>3548</v>
      </c>
      <c r="X56" s="56" t="s">
        <v>39</v>
      </c>
      <c r="Y56" s="56" t="s">
        <v>4187</v>
      </c>
      <c r="Z56" s="56" t="s">
        <v>6585</v>
      </c>
      <c r="AC56" s="56" t="s">
        <v>3543</v>
      </c>
      <c r="AD56" s="56" t="s">
        <v>24</v>
      </c>
      <c r="AE56" s="56" t="s">
        <v>6569</v>
      </c>
      <c r="AF56" s="56" t="s">
        <v>6584</v>
      </c>
      <c r="AH56" s="56" t="s">
        <v>3542</v>
      </c>
      <c r="AI56" s="56" t="s">
        <v>3723</v>
      </c>
    </row>
    <row r="57" spans="1:35" ht="33" customHeight="1">
      <c r="A57" s="56" t="s">
        <v>6583</v>
      </c>
      <c r="B57" s="57">
        <v>44357.98201388889</v>
      </c>
      <c r="C57" s="56" t="s">
        <v>3803</v>
      </c>
      <c r="D57" s="56" t="s">
        <v>3802</v>
      </c>
      <c r="E57" s="56" t="s">
        <v>6582</v>
      </c>
      <c r="F57" s="56" t="s">
        <v>6581</v>
      </c>
      <c r="G57" s="58" t="s">
        <v>1354</v>
      </c>
      <c r="H57" s="56">
        <v>1</v>
      </c>
      <c r="I57" s="56" t="s">
        <v>4037</v>
      </c>
      <c r="J57" s="56">
        <v>59</v>
      </c>
      <c r="K57" s="56">
        <v>59</v>
      </c>
      <c r="L57" s="56">
        <v>956</v>
      </c>
      <c r="M57" s="56">
        <v>0</v>
      </c>
      <c r="N57" s="56">
        <v>0</v>
      </c>
      <c r="O57" s="56">
        <v>0</v>
      </c>
      <c r="P57" s="56">
        <v>0</v>
      </c>
      <c r="Q57" s="56">
        <v>956</v>
      </c>
      <c r="R57" s="56">
        <v>0</v>
      </c>
      <c r="S57" s="56">
        <v>0</v>
      </c>
      <c r="T57" s="56" t="s">
        <v>3562</v>
      </c>
      <c r="U57" s="56">
        <v>956</v>
      </c>
      <c r="V57" s="56" t="s">
        <v>6536</v>
      </c>
      <c r="W57" s="56" t="s">
        <v>3548</v>
      </c>
      <c r="X57" s="56" t="s">
        <v>39</v>
      </c>
      <c r="Y57" s="56" t="s">
        <v>5779</v>
      </c>
      <c r="Z57" s="56" t="s">
        <v>6580</v>
      </c>
      <c r="AC57" s="56" t="s">
        <v>3842</v>
      </c>
      <c r="AD57" s="56" t="s">
        <v>24</v>
      </c>
      <c r="AE57" s="56" t="s">
        <v>6569</v>
      </c>
      <c r="AF57" s="56" t="s">
        <v>6579</v>
      </c>
      <c r="AH57" s="56" t="s">
        <v>3542</v>
      </c>
      <c r="AI57" s="56" t="s">
        <v>3723</v>
      </c>
    </row>
    <row r="58" spans="1:35" ht="33" customHeight="1">
      <c r="A58" s="56" t="s">
        <v>6583</v>
      </c>
      <c r="B58" s="57">
        <v>44357.98201388889</v>
      </c>
      <c r="C58" s="56" t="s">
        <v>3803</v>
      </c>
      <c r="D58" s="56" t="s">
        <v>3802</v>
      </c>
      <c r="E58" s="56" t="s">
        <v>6582</v>
      </c>
      <c r="F58" s="56" t="s">
        <v>6581</v>
      </c>
      <c r="G58" s="58" t="s">
        <v>1508</v>
      </c>
      <c r="H58" s="56">
        <v>3</v>
      </c>
      <c r="I58" s="56" t="s">
        <v>3696</v>
      </c>
      <c r="J58" s="56">
        <v>299</v>
      </c>
      <c r="K58" s="56">
        <v>299</v>
      </c>
      <c r="P58" s="56">
        <v>0</v>
      </c>
      <c r="S58" s="56">
        <v>0</v>
      </c>
      <c r="T58" s="56" t="s">
        <v>3562</v>
      </c>
      <c r="V58" s="56" t="s">
        <v>6536</v>
      </c>
      <c r="W58" s="56" t="s">
        <v>3548</v>
      </c>
      <c r="X58" s="56" t="s">
        <v>39</v>
      </c>
      <c r="Y58" s="56" t="s">
        <v>5779</v>
      </c>
      <c r="Z58" s="56" t="s">
        <v>6580</v>
      </c>
      <c r="AC58" s="56" t="s">
        <v>3842</v>
      </c>
      <c r="AD58" s="56" t="s">
        <v>24</v>
      </c>
      <c r="AE58" s="56" t="s">
        <v>6569</v>
      </c>
      <c r="AF58" s="56" t="s">
        <v>6579</v>
      </c>
      <c r="AH58" s="56" t="s">
        <v>3542</v>
      </c>
      <c r="AI58" s="56" t="s">
        <v>3723</v>
      </c>
    </row>
    <row r="59" spans="1:35" ht="33" customHeight="1">
      <c r="A59" s="56" t="s">
        <v>6578</v>
      </c>
      <c r="B59" s="57">
        <v>44357.982476851852</v>
      </c>
      <c r="C59" s="56" t="s">
        <v>3803</v>
      </c>
      <c r="D59" s="56" t="s">
        <v>3802</v>
      </c>
      <c r="E59" s="56" t="s">
        <v>6577</v>
      </c>
      <c r="F59" s="56" t="s">
        <v>6576</v>
      </c>
      <c r="G59" s="58" t="s">
        <v>2165</v>
      </c>
      <c r="H59" s="56">
        <v>1</v>
      </c>
      <c r="I59" s="56" t="s">
        <v>3694</v>
      </c>
      <c r="J59" s="56">
        <v>128</v>
      </c>
      <c r="K59" s="56">
        <v>128</v>
      </c>
      <c r="L59" s="56">
        <v>1233</v>
      </c>
      <c r="M59" s="56">
        <v>0</v>
      </c>
      <c r="N59" s="56">
        <v>0</v>
      </c>
      <c r="O59" s="56">
        <v>124</v>
      </c>
      <c r="P59" s="56">
        <v>0</v>
      </c>
      <c r="Q59" s="56">
        <v>1109</v>
      </c>
      <c r="R59" s="56">
        <v>0</v>
      </c>
      <c r="S59" s="56">
        <v>0</v>
      </c>
      <c r="T59" s="56" t="s">
        <v>27</v>
      </c>
      <c r="U59" s="56">
        <v>1109</v>
      </c>
      <c r="V59" s="56" t="s">
        <v>3736</v>
      </c>
      <c r="W59" s="56" t="s">
        <v>3548</v>
      </c>
      <c r="X59" s="56" t="s">
        <v>3735</v>
      </c>
      <c r="Y59" s="56" t="s">
        <v>6575</v>
      </c>
      <c r="Z59" s="56" t="s">
        <v>6574</v>
      </c>
      <c r="AC59" s="56" t="s">
        <v>3842</v>
      </c>
      <c r="AH59" s="56" t="s">
        <v>3542</v>
      </c>
      <c r="AI59" s="56" t="s">
        <v>3541</v>
      </c>
    </row>
    <row r="60" spans="1:35" ht="33" customHeight="1">
      <c r="A60" s="56" t="s">
        <v>6578</v>
      </c>
      <c r="B60" s="57">
        <v>44357.982476851852</v>
      </c>
      <c r="C60" s="56" t="s">
        <v>3803</v>
      </c>
      <c r="D60" s="56" t="s">
        <v>3802</v>
      </c>
      <c r="E60" s="56" t="s">
        <v>6577</v>
      </c>
      <c r="F60" s="56" t="s">
        <v>6576</v>
      </c>
      <c r="G60" s="58" t="s">
        <v>2163</v>
      </c>
      <c r="H60" s="56">
        <v>1</v>
      </c>
      <c r="I60" s="56" t="s">
        <v>3694</v>
      </c>
      <c r="J60" s="56">
        <v>128</v>
      </c>
      <c r="K60" s="56">
        <v>128</v>
      </c>
      <c r="P60" s="56">
        <v>0</v>
      </c>
      <c r="S60" s="56">
        <v>0</v>
      </c>
      <c r="T60" s="56" t="s">
        <v>27</v>
      </c>
      <c r="V60" s="56" t="s">
        <v>3736</v>
      </c>
      <c r="W60" s="56" t="s">
        <v>3548</v>
      </c>
      <c r="X60" s="56" t="s">
        <v>3735</v>
      </c>
      <c r="Y60" s="56" t="s">
        <v>6575</v>
      </c>
      <c r="Z60" s="56" t="s">
        <v>6574</v>
      </c>
      <c r="AC60" s="56" t="s">
        <v>3842</v>
      </c>
      <c r="AH60" s="56" t="s">
        <v>3542</v>
      </c>
      <c r="AI60" s="56" t="s">
        <v>3541</v>
      </c>
    </row>
    <row r="61" spans="1:35" ht="33" customHeight="1">
      <c r="A61" s="56" t="s">
        <v>6578</v>
      </c>
      <c r="B61" s="57">
        <v>44357.982476851852</v>
      </c>
      <c r="C61" s="56" t="s">
        <v>3803</v>
      </c>
      <c r="D61" s="56" t="s">
        <v>3802</v>
      </c>
      <c r="E61" s="56" t="s">
        <v>6577</v>
      </c>
      <c r="F61" s="56" t="s">
        <v>6576</v>
      </c>
      <c r="G61" s="58" t="s">
        <v>2161</v>
      </c>
      <c r="H61" s="56">
        <v>1</v>
      </c>
      <c r="I61" s="56" t="s">
        <v>3694</v>
      </c>
      <c r="J61" s="56">
        <v>128</v>
      </c>
      <c r="K61" s="56">
        <v>128</v>
      </c>
      <c r="P61" s="56">
        <v>0</v>
      </c>
      <c r="S61" s="56">
        <v>0</v>
      </c>
      <c r="T61" s="56" t="s">
        <v>27</v>
      </c>
      <c r="V61" s="56" t="s">
        <v>3736</v>
      </c>
      <c r="W61" s="56" t="s">
        <v>3548</v>
      </c>
      <c r="X61" s="56" t="s">
        <v>3735</v>
      </c>
      <c r="Y61" s="56" t="s">
        <v>6575</v>
      </c>
      <c r="Z61" s="56" t="s">
        <v>6574</v>
      </c>
      <c r="AC61" s="56" t="s">
        <v>3842</v>
      </c>
      <c r="AH61" s="56" t="s">
        <v>3542</v>
      </c>
      <c r="AI61" s="56" t="s">
        <v>3541</v>
      </c>
    </row>
    <row r="62" spans="1:35" ht="33" customHeight="1">
      <c r="A62" s="56" t="s">
        <v>6578</v>
      </c>
      <c r="B62" s="57">
        <v>44357.982476851852</v>
      </c>
      <c r="C62" s="56" t="s">
        <v>3803</v>
      </c>
      <c r="D62" s="56" t="s">
        <v>3802</v>
      </c>
      <c r="E62" s="56" t="s">
        <v>6577</v>
      </c>
      <c r="F62" s="56" t="s">
        <v>6576</v>
      </c>
      <c r="G62" s="58" t="s">
        <v>2169</v>
      </c>
      <c r="H62" s="56">
        <v>1</v>
      </c>
      <c r="I62" s="56" t="s">
        <v>3762</v>
      </c>
      <c r="J62" s="56">
        <v>350</v>
      </c>
      <c r="K62" s="56">
        <v>350</v>
      </c>
      <c r="P62" s="56">
        <v>0</v>
      </c>
      <c r="S62" s="56">
        <v>0</v>
      </c>
      <c r="T62" s="56" t="s">
        <v>27</v>
      </c>
      <c r="V62" s="56" t="s">
        <v>3736</v>
      </c>
      <c r="W62" s="56" t="s">
        <v>3548</v>
      </c>
      <c r="X62" s="56" t="s">
        <v>3735</v>
      </c>
      <c r="Y62" s="56" t="s">
        <v>6575</v>
      </c>
      <c r="Z62" s="56" t="s">
        <v>6574</v>
      </c>
      <c r="AC62" s="56" t="s">
        <v>3842</v>
      </c>
      <c r="AH62" s="56" t="s">
        <v>3542</v>
      </c>
      <c r="AI62" s="56" t="s">
        <v>3541</v>
      </c>
    </row>
    <row r="63" spans="1:35" ht="33" customHeight="1">
      <c r="A63" s="56" t="s">
        <v>6578</v>
      </c>
      <c r="B63" s="57">
        <v>44357.982476851852</v>
      </c>
      <c r="C63" s="56" t="s">
        <v>3803</v>
      </c>
      <c r="D63" s="56" t="s">
        <v>3802</v>
      </c>
      <c r="E63" s="56" t="s">
        <v>6577</v>
      </c>
      <c r="F63" s="56" t="s">
        <v>6576</v>
      </c>
      <c r="G63" s="58" t="s">
        <v>2171</v>
      </c>
      <c r="H63" s="56">
        <v>1</v>
      </c>
      <c r="I63" s="56" t="s">
        <v>3762</v>
      </c>
      <c r="J63" s="56">
        <v>350</v>
      </c>
      <c r="K63" s="56">
        <v>350</v>
      </c>
      <c r="P63" s="56">
        <v>0</v>
      </c>
      <c r="S63" s="56">
        <v>0</v>
      </c>
      <c r="T63" s="56" t="s">
        <v>27</v>
      </c>
      <c r="V63" s="56" t="s">
        <v>3736</v>
      </c>
      <c r="W63" s="56" t="s">
        <v>3548</v>
      </c>
      <c r="X63" s="56" t="s">
        <v>3735</v>
      </c>
      <c r="Y63" s="56" t="s">
        <v>6575</v>
      </c>
      <c r="Z63" s="56" t="s">
        <v>6574</v>
      </c>
      <c r="AC63" s="56" t="s">
        <v>3842</v>
      </c>
      <c r="AH63" s="56" t="s">
        <v>3542</v>
      </c>
      <c r="AI63" s="56" t="s">
        <v>3541</v>
      </c>
    </row>
    <row r="64" spans="1:35" ht="33" customHeight="1">
      <c r="A64" s="56" t="s">
        <v>6578</v>
      </c>
      <c r="B64" s="57">
        <v>44357.982476851852</v>
      </c>
      <c r="C64" s="56" t="s">
        <v>3803</v>
      </c>
      <c r="D64" s="56" t="s">
        <v>3802</v>
      </c>
      <c r="E64" s="56" t="s">
        <v>6577</v>
      </c>
      <c r="F64" s="56" t="s">
        <v>6576</v>
      </c>
      <c r="G64" s="58" t="s">
        <v>2156</v>
      </c>
      <c r="H64" s="56">
        <v>1</v>
      </c>
      <c r="I64" s="56" t="s">
        <v>1376</v>
      </c>
      <c r="J64" s="56">
        <v>149</v>
      </c>
      <c r="K64" s="56">
        <v>149</v>
      </c>
      <c r="P64" s="56">
        <v>0</v>
      </c>
      <c r="S64" s="56">
        <v>0</v>
      </c>
      <c r="T64" s="56" t="s">
        <v>27</v>
      </c>
      <c r="V64" s="56" t="s">
        <v>3736</v>
      </c>
      <c r="W64" s="56" t="s">
        <v>3548</v>
      </c>
      <c r="X64" s="56" t="s">
        <v>3735</v>
      </c>
      <c r="Y64" s="56" t="s">
        <v>6575</v>
      </c>
      <c r="Z64" s="56" t="s">
        <v>6574</v>
      </c>
      <c r="AC64" s="56" t="s">
        <v>3842</v>
      </c>
      <c r="AH64" s="56" t="s">
        <v>3542</v>
      </c>
      <c r="AI64" s="56" t="s">
        <v>3541</v>
      </c>
    </row>
    <row r="65" spans="1:35" ht="33" customHeight="1">
      <c r="A65" s="56" t="s">
        <v>6573</v>
      </c>
      <c r="B65" s="57">
        <v>44357.982754629629</v>
      </c>
      <c r="C65" s="56" t="s">
        <v>3803</v>
      </c>
      <c r="D65" s="56" t="s">
        <v>3802</v>
      </c>
      <c r="E65" s="56" t="s">
        <v>6572</v>
      </c>
      <c r="F65" s="56" t="s">
        <v>6571</v>
      </c>
      <c r="G65" s="58" t="s">
        <v>3316</v>
      </c>
      <c r="H65" s="56">
        <v>3</v>
      </c>
      <c r="I65" s="56" t="s">
        <v>3695</v>
      </c>
      <c r="J65" s="56">
        <v>399</v>
      </c>
      <c r="K65" s="56">
        <v>399</v>
      </c>
      <c r="L65" s="56">
        <v>1197</v>
      </c>
      <c r="M65" s="56">
        <v>0</v>
      </c>
      <c r="N65" s="56">
        <v>0</v>
      </c>
      <c r="O65" s="56">
        <v>120</v>
      </c>
      <c r="P65" s="56">
        <v>0</v>
      </c>
      <c r="Q65" s="56">
        <v>1077</v>
      </c>
      <c r="R65" s="56">
        <v>0</v>
      </c>
      <c r="S65" s="56">
        <v>0</v>
      </c>
      <c r="T65" s="56" t="s">
        <v>3562</v>
      </c>
      <c r="U65" s="56">
        <v>1077</v>
      </c>
      <c r="V65" s="56" t="s">
        <v>59</v>
      </c>
      <c r="W65" s="56" t="s">
        <v>3548</v>
      </c>
      <c r="X65" s="56" t="s">
        <v>39</v>
      </c>
      <c r="Y65" s="56" t="s">
        <v>3629</v>
      </c>
      <c r="Z65" s="56" t="s">
        <v>6570</v>
      </c>
      <c r="AC65" s="56" t="s">
        <v>3543</v>
      </c>
      <c r="AD65" s="56" t="s">
        <v>24</v>
      </c>
      <c r="AE65" s="56" t="s">
        <v>6569</v>
      </c>
      <c r="AF65" s="56" t="s">
        <v>6568</v>
      </c>
      <c r="AH65" s="56" t="s">
        <v>3542</v>
      </c>
      <c r="AI65" s="56" t="s">
        <v>3723</v>
      </c>
    </row>
    <row r="66" spans="1:35" ht="33" customHeight="1">
      <c r="A66" s="56" t="s">
        <v>6567</v>
      </c>
      <c r="B66" s="57">
        <v>44358.074733796297</v>
      </c>
      <c r="C66" s="56" t="s">
        <v>3803</v>
      </c>
      <c r="D66" s="56" t="s">
        <v>4511</v>
      </c>
      <c r="E66" s="56" t="s">
        <v>6566</v>
      </c>
      <c r="F66" s="56" t="s">
        <v>6565</v>
      </c>
      <c r="G66" s="58" t="s">
        <v>3316</v>
      </c>
      <c r="H66" s="56">
        <v>2</v>
      </c>
      <c r="I66" s="56" t="s">
        <v>3695</v>
      </c>
      <c r="J66" s="56">
        <v>399</v>
      </c>
      <c r="K66" s="56">
        <v>399</v>
      </c>
      <c r="L66" s="56">
        <v>1396</v>
      </c>
      <c r="M66" s="56">
        <v>0</v>
      </c>
      <c r="N66" s="56">
        <v>0</v>
      </c>
      <c r="O66" s="56">
        <v>140</v>
      </c>
      <c r="P66" s="56">
        <v>0</v>
      </c>
      <c r="Q66" s="56">
        <v>1256</v>
      </c>
      <c r="R66" s="56">
        <v>0</v>
      </c>
      <c r="S66" s="56">
        <v>0</v>
      </c>
      <c r="T66" s="56" t="s">
        <v>3562</v>
      </c>
      <c r="U66" s="56">
        <v>1256</v>
      </c>
      <c r="V66" s="56" t="s">
        <v>59</v>
      </c>
      <c r="W66" s="56" t="s">
        <v>3548</v>
      </c>
      <c r="X66" s="56" t="s">
        <v>3765</v>
      </c>
      <c r="Z66" s="56" t="s">
        <v>3546</v>
      </c>
      <c r="AA66" s="56" t="s">
        <v>6564</v>
      </c>
      <c r="AB66" s="56" t="s">
        <v>6563</v>
      </c>
      <c r="AC66" s="56" t="s">
        <v>3543</v>
      </c>
      <c r="AD66" s="56" t="s">
        <v>24</v>
      </c>
      <c r="AE66" s="56" t="s">
        <v>6354</v>
      </c>
      <c r="AF66" s="56" t="s">
        <v>6562</v>
      </c>
      <c r="AH66" s="56" t="s">
        <v>3542</v>
      </c>
      <c r="AI66" s="56" t="s">
        <v>3723</v>
      </c>
    </row>
    <row r="67" spans="1:35" ht="33" customHeight="1">
      <c r="A67" s="56" t="s">
        <v>6567</v>
      </c>
      <c r="B67" s="57">
        <v>44358.074733796297</v>
      </c>
      <c r="C67" s="56" t="s">
        <v>3803</v>
      </c>
      <c r="D67" s="56" t="s">
        <v>4511</v>
      </c>
      <c r="E67" s="56" t="s">
        <v>6566</v>
      </c>
      <c r="F67" s="56" t="s">
        <v>6565</v>
      </c>
      <c r="G67" s="58" t="s">
        <v>1508</v>
      </c>
      <c r="H67" s="56">
        <v>1</v>
      </c>
      <c r="I67" s="56" t="s">
        <v>3696</v>
      </c>
      <c r="J67" s="56">
        <v>299</v>
      </c>
      <c r="K67" s="56">
        <v>299</v>
      </c>
      <c r="P67" s="56">
        <v>0</v>
      </c>
      <c r="S67" s="56">
        <v>0</v>
      </c>
      <c r="T67" s="56" t="s">
        <v>3562</v>
      </c>
      <c r="V67" s="56" t="s">
        <v>59</v>
      </c>
      <c r="W67" s="56" t="s">
        <v>3548</v>
      </c>
      <c r="X67" s="56" t="s">
        <v>3765</v>
      </c>
      <c r="Z67" s="56" t="s">
        <v>3546</v>
      </c>
      <c r="AA67" s="56" t="s">
        <v>6564</v>
      </c>
      <c r="AB67" s="56" t="s">
        <v>6563</v>
      </c>
      <c r="AC67" s="56" t="s">
        <v>3543</v>
      </c>
      <c r="AD67" s="56" t="s">
        <v>24</v>
      </c>
      <c r="AE67" s="56" t="s">
        <v>6354</v>
      </c>
      <c r="AF67" s="56" t="s">
        <v>6562</v>
      </c>
      <c r="AH67" s="56" t="s">
        <v>3542</v>
      </c>
      <c r="AI67" s="56" t="s">
        <v>3723</v>
      </c>
    </row>
    <row r="68" spans="1:35" ht="33" customHeight="1">
      <c r="A68" s="56" t="s">
        <v>6567</v>
      </c>
      <c r="B68" s="57">
        <v>44358.074733796297</v>
      </c>
      <c r="C68" s="56" t="s">
        <v>3803</v>
      </c>
      <c r="D68" s="56" t="s">
        <v>4511</v>
      </c>
      <c r="E68" s="56" t="s">
        <v>6566</v>
      </c>
      <c r="F68" s="56" t="s">
        <v>6565</v>
      </c>
      <c r="G68" s="58" t="s">
        <v>1531</v>
      </c>
      <c r="H68" s="56">
        <v>1</v>
      </c>
      <c r="I68" s="56" t="s">
        <v>3696</v>
      </c>
      <c r="J68" s="56">
        <v>299</v>
      </c>
      <c r="K68" s="56">
        <v>299</v>
      </c>
      <c r="P68" s="56">
        <v>0</v>
      </c>
      <c r="S68" s="56">
        <v>0</v>
      </c>
      <c r="T68" s="56" t="s">
        <v>3562</v>
      </c>
      <c r="V68" s="56" t="s">
        <v>59</v>
      </c>
      <c r="W68" s="56" t="s">
        <v>3548</v>
      </c>
      <c r="X68" s="56" t="s">
        <v>3765</v>
      </c>
      <c r="Z68" s="56" t="s">
        <v>3546</v>
      </c>
      <c r="AA68" s="56" t="s">
        <v>6564</v>
      </c>
      <c r="AB68" s="56" t="s">
        <v>6563</v>
      </c>
      <c r="AC68" s="56" t="s">
        <v>3543</v>
      </c>
      <c r="AD68" s="56" t="s">
        <v>24</v>
      </c>
      <c r="AE68" s="56" t="s">
        <v>6354</v>
      </c>
      <c r="AF68" s="56" t="s">
        <v>6562</v>
      </c>
      <c r="AH68" s="56" t="s">
        <v>3542</v>
      </c>
      <c r="AI68" s="56" t="s">
        <v>3723</v>
      </c>
    </row>
    <row r="69" spans="1:35" ht="33" customHeight="1">
      <c r="A69" s="56" t="s">
        <v>6567</v>
      </c>
      <c r="B69" s="57">
        <v>44358.074733796297</v>
      </c>
      <c r="C69" s="56" t="s">
        <v>3803</v>
      </c>
      <c r="D69" s="56" t="s">
        <v>4511</v>
      </c>
      <c r="E69" s="56" t="s">
        <v>6566</v>
      </c>
      <c r="F69" s="56" t="s">
        <v>6565</v>
      </c>
      <c r="G69" s="58" t="s">
        <v>3551</v>
      </c>
      <c r="H69" s="56">
        <v>1</v>
      </c>
      <c r="I69" s="56" t="s">
        <v>3550</v>
      </c>
      <c r="J69" s="56">
        <v>0</v>
      </c>
      <c r="K69" s="56">
        <v>0</v>
      </c>
      <c r="P69" s="56">
        <v>0</v>
      </c>
      <c r="S69" s="56">
        <v>0</v>
      </c>
      <c r="T69" s="56" t="s">
        <v>3562</v>
      </c>
      <c r="V69" s="56" t="s">
        <v>59</v>
      </c>
      <c r="W69" s="56" t="s">
        <v>3548</v>
      </c>
      <c r="X69" s="56" t="s">
        <v>3765</v>
      </c>
      <c r="Z69" s="56" t="s">
        <v>3546</v>
      </c>
      <c r="AA69" s="56" t="s">
        <v>6564</v>
      </c>
      <c r="AB69" s="56" t="s">
        <v>6563</v>
      </c>
      <c r="AC69" s="56" t="s">
        <v>3543</v>
      </c>
      <c r="AD69" s="56" t="s">
        <v>24</v>
      </c>
      <c r="AE69" s="56" t="s">
        <v>6354</v>
      </c>
      <c r="AF69" s="56" t="s">
        <v>6562</v>
      </c>
      <c r="AH69" s="56" t="s">
        <v>3542</v>
      </c>
      <c r="AI69" s="56" t="s">
        <v>3723</v>
      </c>
    </row>
    <row r="70" spans="1:35" ht="33" customHeight="1">
      <c r="A70" s="56" t="s">
        <v>6567</v>
      </c>
      <c r="B70" s="57">
        <v>44358.074733796297</v>
      </c>
      <c r="C70" s="56" t="s">
        <v>3803</v>
      </c>
      <c r="D70" s="56" t="s">
        <v>4511</v>
      </c>
      <c r="E70" s="56" t="s">
        <v>6566</v>
      </c>
      <c r="F70" s="56" t="s">
        <v>6565</v>
      </c>
      <c r="G70" s="58" t="s">
        <v>1500</v>
      </c>
      <c r="H70" s="56">
        <v>1</v>
      </c>
      <c r="I70" s="56" t="s">
        <v>6228</v>
      </c>
      <c r="J70" s="56">
        <v>0</v>
      </c>
      <c r="K70" s="56">
        <v>0</v>
      </c>
      <c r="P70" s="56">
        <v>0</v>
      </c>
      <c r="S70" s="56">
        <v>0</v>
      </c>
      <c r="T70" s="56" t="s">
        <v>3562</v>
      </c>
      <c r="V70" s="56" t="s">
        <v>59</v>
      </c>
      <c r="W70" s="56" t="s">
        <v>3548</v>
      </c>
      <c r="X70" s="56" t="s">
        <v>3765</v>
      </c>
      <c r="Z70" s="56" t="s">
        <v>3546</v>
      </c>
      <c r="AA70" s="56" t="s">
        <v>6564</v>
      </c>
      <c r="AB70" s="56" t="s">
        <v>6563</v>
      </c>
      <c r="AC70" s="56" t="s">
        <v>3543</v>
      </c>
      <c r="AD70" s="56" t="s">
        <v>24</v>
      </c>
      <c r="AE70" s="56" t="s">
        <v>6354</v>
      </c>
      <c r="AF70" s="56" t="s">
        <v>6562</v>
      </c>
      <c r="AH70" s="56" t="s">
        <v>3542</v>
      </c>
      <c r="AI70" s="56" t="s">
        <v>3723</v>
      </c>
    </row>
    <row r="71" spans="1:35" ht="33" customHeight="1">
      <c r="A71" s="56" t="s">
        <v>6561</v>
      </c>
      <c r="B71" s="57">
        <v>44358.212268518517</v>
      </c>
      <c r="C71" s="56" t="s">
        <v>3803</v>
      </c>
      <c r="D71" s="56" t="s">
        <v>3802</v>
      </c>
      <c r="E71" s="56" t="s">
        <v>6560</v>
      </c>
      <c r="F71" s="56" t="s">
        <v>6559</v>
      </c>
      <c r="G71" s="58" t="s">
        <v>3316</v>
      </c>
      <c r="H71" s="56">
        <v>1</v>
      </c>
      <c r="I71" s="56" t="s">
        <v>3695</v>
      </c>
      <c r="J71" s="56">
        <v>399</v>
      </c>
      <c r="K71" s="56">
        <v>399</v>
      </c>
      <c r="L71" s="56">
        <v>698</v>
      </c>
      <c r="M71" s="56">
        <v>0</v>
      </c>
      <c r="N71" s="56">
        <v>0</v>
      </c>
      <c r="O71" s="56">
        <v>0</v>
      </c>
      <c r="P71" s="56">
        <v>0</v>
      </c>
      <c r="Q71" s="56">
        <v>698</v>
      </c>
      <c r="R71" s="56">
        <v>0</v>
      </c>
      <c r="S71" s="56">
        <v>0</v>
      </c>
      <c r="T71" s="56" t="s">
        <v>27</v>
      </c>
      <c r="U71" s="56">
        <v>698</v>
      </c>
      <c r="V71" s="56" t="s">
        <v>3736</v>
      </c>
      <c r="W71" s="56" t="s">
        <v>3548</v>
      </c>
      <c r="X71" s="56" t="s">
        <v>3735</v>
      </c>
      <c r="Y71" s="56" t="s">
        <v>4538</v>
      </c>
      <c r="Z71" s="56" t="s">
        <v>6558</v>
      </c>
      <c r="AC71" s="56" t="s">
        <v>3543</v>
      </c>
      <c r="AH71" s="56" t="s">
        <v>3542</v>
      </c>
      <c r="AI71" s="56" t="s">
        <v>3541</v>
      </c>
    </row>
    <row r="72" spans="1:35" ht="33" customHeight="1">
      <c r="A72" s="56" t="s">
        <v>6561</v>
      </c>
      <c r="B72" s="57">
        <v>44358.212268518517</v>
      </c>
      <c r="C72" s="56" t="s">
        <v>3803</v>
      </c>
      <c r="D72" s="56" t="s">
        <v>3802</v>
      </c>
      <c r="E72" s="56" t="s">
        <v>6560</v>
      </c>
      <c r="F72" s="56" t="s">
        <v>6559</v>
      </c>
      <c r="G72" s="58" t="s">
        <v>1510</v>
      </c>
      <c r="H72" s="56">
        <v>1</v>
      </c>
      <c r="I72" s="56" t="s">
        <v>3696</v>
      </c>
      <c r="J72" s="56">
        <v>299</v>
      </c>
      <c r="K72" s="56">
        <v>299</v>
      </c>
      <c r="P72" s="56">
        <v>0</v>
      </c>
      <c r="S72" s="56">
        <v>0</v>
      </c>
      <c r="T72" s="56" t="s">
        <v>27</v>
      </c>
      <c r="V72" s="56" t="s">
        <v>3736</v>
      </c>
      <c r="W72" s="56" t="s">
        <v>3548</v>
      </c>
      <c r="X72" s="56" t="s">
        <v>3735</v>
      </c>
      <c r="Y72" s="56" t="s">
        <v>4538</v>
      </c>
      <c r="Z72" s="56" t="s">
        <v>6558</v>
      </c>
      <c r="AC72" s="56" t="s">
        <v>3543</v>
      </c>
      <c r="AH72" s="56" t="s">
        <v>3542</v>
      </c>
      <c r="AI72" s="56" t="s">
        <v>3541</v>
      </c>
    </row>
    <row r="73" spans="1:35" ht="33" customHeight="1">
      <c r="A73" s="56" t="s">
        <v>6561</v>
      </c>
      <c r="B73" s="57">
        <v>44358.212268518517</v>
      </c>
      <c r="C73" s="56" t="s">
        <v>3803</v>
      </c>
      <c r="D73" s="56" t="s">
        <v>3802</v>
      </c>
      <c r="E73" s="56" t="s">
        <v>6560</v>
      </c>
      <c r="F73" s="56" t="s">
        <v>6559</v>
      </c>
      <c r="G73" s="58" t="s">
        <v>3551</v>
      </c>
      <c r="H73" s="56">
        <v>1</v>
      </c>
      <c r="I73" s="56" t="s">
        <v>3550</v>
      </c>
      <c r="J73" s="56">
        <v>0</v>
      </c>
      <c r="K73" s="56">
        <v>0</v>
      </c>
      <c r="P73" s="56">
        <v>0</v>
      </c>
      <c r="S73" s="56">
        <v>0</v>
      </c>
      <c r="T73" s="56" t="s">
        <v>27</v>
      </c>
      <c r="V73" s="56" t="s">
        <v>3736</v>
      </c>
      <c r="W73" s="56" t="s">
        <v>3548</v>
      </c>
      <c r="X73" s="56" t="s">
        <v>3735</v>
      </c>
      <c r="Y73" s="56" t="s">
        <v>4538</v>
      </c>
      <c r="Z73" s="56" t="s">
        <v>6558</v>
      </c>
      <c r="AC73" s="56" t="s">
        <v>3543</v>
      </c>
      <c r="AH73" s="56" t="s">
        <v>3542</v>
      </c>
      <c r="AI73" s="56" t="s">
        <v>3541</v>
      </c>
    </row>
    <row r="74" spans="1:35" ht="33" customHeight="1">
      <c r="A74" s="56" t="s">
        <v>6557</v>
      </c>
      <c r="B74" s="57">
        <v>44358.393831018519</v>
      </c>
      <c r="C74" s="56" t="s">
        <v>3803</v>
      </c>
      <c r="D74" s="56" t="s">
        <v>3802</v>
      </c>
      <c r="E74" s="56" t="s">
        <v>6556</v>
      </c>
      <c r="F74" s="56" t="s">
        <v>6555</v>
      </c>
      <c r="G74" s="58" t="s">
        <v>1713</v>
      </c>
      <c r="H74" s="56">
        <v>1</v>
      </c>
      <c r="I74" s="56" t="s">
        <v>3761</v>
      </c>
      <c r="J74" s="56">
        <v>149</v>
      </c>
      <c r="K74" s="56">
        <v>149</v>
      </c>
      <c r="L74" s="56">
        <v>447</v>
      </c>
      <c r="M74" s="56">
        <v>0</v>
      </c>
      <c r="N74" s="56">
        <v>0</v>
      </c>
      <c r="O74" s="56">
        <v>0</v>
      </c>
      <c r="P74" s="56">
        <v>0</v>
      </c>
      <c r="Q74" s="56">
        <v>447</v>
      </c>
      <c r="R74" s="56">
        <v>0</v>
      </c>
      <c r="S74" s="56">
        <v>0</v>
      </c>
      <c r="T74" s="56" t="s">
        <v>3562</v>
      </c>
      <c r="U74" s="56">
        <v>447</v>
      </c>
      <c r="V74" s="56" t="s">
        <v>59</v>
      </c>
      <c r="W74" s="56" t="s">
        <v>3548</v>
      </c>
      <c r="X74" s="56" t="s">
        <v>39</v>
      </c>
      <c r="Y74" s="56" t="s">
        <v>3664</v>
      </c>
      <c r="Z74" s="56" t="s">
        <v>6554</v>
      </c>
      <c r="AC74" s="56" t="s">
        <v>3543</v>
      </c>
      <c r="AD74" s="56" t="s">
        <v>24</v>
      </c>
      <c r="AE74" s="56" t="s">
        <v>6354</v>
      </c>
      <c r="AF74" s="56" t="s">
        <v>6553</v>
      </c>
      <c r="AH74" s="56" t="s">
        <v>3542</v>
      </c>
      <c r="AI74" s="56" t="s">
        <v>3723</v>
      </c>
    </row>
    <row r="75" spans="1:35" ht="33" customHeight="1">
      <c r="A75" s="56" t="s">
        <v>6557</v>
      </c>
      <c r="B75" s="57">
        <v>44358.393831018519</v>
      </c>
      <c r="C75" s="56" t="s">
        <v>3803</v>
      </c>
      <c r="D75" s="56" t="s">
        <v>3802</v>
      </c>
      <c r="E75" s="56" t="s">
        <v>6556</v>
      </c>
      <c r="F75" s="56" t="s">
        <v>6555</v>
      </c>
      <c r="G75" s="58" t="s">
        <v>3189</v>
      </c>
      <c r="H75" s="56">
        <v>1</v>
      </c>
      <c r="I75" s="56" t="s">
        <v>3761</v>
      </c>
      <c r="J75" s="56">
        <v>149</v>
      </c>
      <c r="K75" s="56">
        <v>149</v>
      </c>
      <c r="P75" s="56">
        <v>0</v>
      </c>
      <c r="S75" s="56">
        <v>0</v>
      </c>
      <c r="T75" s="56" t="s">
        <v>3562</v>
      </c>
      <c r="V75" s="56" t="s">
        <v>59</v>
      </c>
      <c r="W75" s="56" t="s">
        <v>3548</v>
      </c>
      <c r="X75" s="56" t="s">
        <v>39</v>
      </c>
      <c r="Y75" s="56" t="s">
        <v>3664</v>
      </c>
      <c r="Z75" s="56" t="s">
        <v>6554</v>
      </c>
      <c r="AC75" s="56" t="s">
        <v>3543</v>
      </c>
      <c r="AD75" s="56" t="s">
        <v>24</v>
      </c>
      <c r="AE75" s="56" t="s">
        <v>6354</v>
      </c>
      <c r="AF75" s="56" t="s">
        <v>6553</v>
      </c>
      <c r="AH75" s="56" t="s">
        <v>3542</v>
      </c>
      <c r="AI75" s="56" t="s">
        <v>3723</v>
      </c>
    </row>
    <row r="76" spans="1:35" ht="33" customHeight="1">
      <c r="A76" s="56" t="s">
        <v>6557</v>
      </c>
      <c r="B76" s="57">
        <v>44358.393831018519</v>
      </c>
      <c r="C76" s="56" t="s">
        <v>3803</v>
      </c>
      <c r="D76" s="56" t="s">
        <v>3802</v>
      </c>
      <c r="E76" s="56" t="s">
        <v>6556</v>
      </c>
      <c r="F76" s="56" t="s">
        <v>6555</v>
      </c>
      <c r="G76" s="58" t="s">
        <v>3187</v>
      </c>
      <c r="H76" s="56">
        <v>1</v>
      </c>
      <c r="I76" s="56" t="s">
        <v>3761</v>
      </c>
      <c r="J76" s="56">
        <v>149</v>
      </c>
      <c r="K76" s="56">
        <v>149</v>
      </c>
      <c r="P76" s="56">
        <v>0</v>
      </c>
      <c r="S76" s="56">
        <v>0</v>
      </c>
      <c r="T76" s="56" t="s">
        <v>3562</v>
      </c>
      <c r="V76" s="56" t="s">
        <v>59</v>
      </c>
      <c r="W76" s="56" t="s">
        <v>3548</v>
      </c>
      <c r="X76" s="56" t="s">
        <v>39</v>
      </c>
      <c r="Y76" s="56" t="s">
        <v>3664</v>
      </c>
      <c r="Z76" s="56" t="s">
        <v>6554</v>
      </c>
      <c r="AC76" s="56" t="s">
        <v>3543</v>
      </c>
      <c r="AD76" s="56" t="s">
        <v>24</v>
      </c>
      <c r="AE76" s="56" t="s">
        <v>6354</v>
      </c>
      <c r="AF76" s="56" t="s">
        <v>6553</v>
      </c>
      <c r="AH76" s="56" t="s">
        <v>3542</v>
      </c>
      <c r="AI76" s="56" t="s">
        <v>3723</v>
      </c>
    </row>
    <row r="77" spans="1:35" ht="33" customHeight="1">
      <c r="A77" s="56" t="s">
        <v>6557</v>
      </c>
      <c r="B77" s="57">
        <v>44358.393831018519</v>
      </c>
      <c r="C77" s="56" t="s">
        <v>3803</v>
      </c>
      <c r="D77" s="56" t="s">
        <v>3802</v>
      </c>
      <c r="E77" s="56" t="s">
        <v>6556</v>
      </c>
      <c r="F77" s="56" t="s">
        <v>6555</v>
      </c>
      <c r="G77" s="58" t="s">
        <v>3551</v>
      </c>
      <c r="H77" s="56">
        <v>1</v>
      </c>
      <c r="I77" s="56" t="s">
        <v>3550</v>
      </c>
      <c r="J77" s="56">
        <v>0</v>
      </c>
      <c r="K77" s="56">
        <v>0</v>
      </c>
      <c r="P77" s="56">
        <v>0</v>
      </c>
      <c r="S77" s="56">
        <v>0</v>
      </c>
      <c r="T77" s="56" t="s">
        <v>3562</v>
      </c>
      <c r="V77" s="56" t="s">
        <v>59</v>
      </c>
      <c r="W77" s="56" t="s">
        <v>3548</v>
      </c>
      <c r="X77" s="56" t="s">
        <v>39</v>
      </c>
      <c r="Y77" s="56" t="s">
        <v>3664</v>
      </c>
      <c r="Z77" s="56" t="s">
        <v>6554</v>
      </c>
      <c r="AC77" s="56" t="s">
        <v>3543</v>
      </c>
      <c r="AD77" s="56" t="s">
        <v>24</v>
      </c>
      <c r="AE77" s="56" t="s">
        <v>6354</v>
      </c>
      <c r="AF77" s="56" t="s">
        <v>6553</v>
      </c>
      <c r="AH77" s="56" t="s">
        <v>3542</v>
      </c>
      <c r="AI77" s="56" t="s">
        <v>3723</v>
      </c>
    </row>
    <row r="78" spans="1:35" ht="33" customHeight="1">
      <c r="A78" s="56" t="s">
        <v>6551</v>
      </c>
      <c r="B78" s="57">
        <v>44358.394201388888</v>
      </c>
      <c r="C78" s="56" t="s">
        <v>4512</v>
      </c>
      <c r="D78" s="56" t="s">
        <v>4511</v>
      </c>
      <c r="E78" s="56" t="s">
        <v>6550</v>
      </c>
      <c r="F78" s="56" t="s">
        <v>6549</v>
      </c>
      <c r="G78" s="58" t="s">
        <v>3199</v>
      </c>
      <c r="H78" s="56">
        <v>1</v>
      </c>
      <c r="I78" s="56" t="s">
        <v>3834</v>
      </c>
      <c r="J78" s="56">
        <v>119</v>
      </c>
      <c r="K78" s="56">
        <v>99</v>
      </c>
      <c r="L78" s="56">
        <v>1537</v>
      </c>
      <c r="M78" s="56">
        <v>0</v>
      </c>
      <c r="N78" s="56">
        <v>0</v>
      </c>
      <c r="O78" s="56">
        <v>100</v>
      </c>
      <c r="P78" s="56">
        <v>0</v>
      </c>
      <c r="Q78" s="56">
        <v>1437</v>
      </c>
      <c r="R78" s="56">
        <v>0</v>
      </c>
      <c r="S78" s="56">
        <v>0</v>
      </c>
      <c r="T78" s="56" t="s">
        <v>3562</v>
      </c>
      <c r="U78" s="56">
        <v>1437</v>
      </c>
      <c r="V78" s="56" t="s">
        <v>3612</v>
      </c>
      <c r="W78" s="56" t="s">
        <v>3548</v>
      </c>
      <c r="X78" s="56" t="s">
        <v>3611</v>
      </c>
      <c r="Z78" s="56" t="s">
        <v>3546</v>
      </c>
      <c r="AA78" s="56" t="s">
        <v>6548</v>
      </c>
      <c r="AB78" s="56" t="s">
        <v>6547</v>
      </c>
      <c r="AC78" s="56" t="s">
        <v>3543</v>
      </c>
      <c r="AD78" s="56" t="s">
        <v>24</v>
      </c>
      <c r="AE78" s="56" t="s">
        <v>4145</v>
      </c>
      <c r="AF78" s="56" t="s">
        <v>6546</v>
      </c>
      <c r="AH78" s="56" t="s">
        <v>3542</v>
      </c>
      <c r="AI78" s="56" t="s">
        <v>3723</v>
      </c>
    </row>
    <row r="79" spans="1:35" ht="33" customHeight="1">
      <c r="A79" s="56" t="s">
        <v>6551</v>
      </c>
      <c r="B79" s="57">
        <v>44358.394201388888</v>
      </c>
      <c r="C79" s="56" t="s">
        <v>4512</v>
      </c>
      <c r="D79" s="56" t="s">
        <v>4511</v>
      </c>
      <c r="E79" s="56" t="s">
        <v>6550</v>
      </c>
      <c r="F79" s="56" t="s">
        <v>6549</v>
      </c>
      <c r="G79" s="58" t="s">
        <v>3196</v>
      </c>
      <c r="H79" s="56">
        <v>1</v>
      </c>
      <c r="I79" s="56" t="s">
        <v>2550</v>
      </c>
      <c r="J79" s="56">
        <v>120</v>
      </c>
      <c r="K79" s="56">
        <v>120</v>
      </c>
      <c r="P79" s="56">
        <v>0</v>
      </c>
      <c r="S79" s="56">
        <v>0</v>
      </c>
      <c r="T79" s="56" t="s">
        <v>3562</v>
      </c>
      <c r="V79" s="56" t="s">
        <v>3612</v>
      </c>
      <c r="W79" s="56" t="s">
        <v>3548</v>
      </c>
      <c r="X79" s="56" t="s">
        <v>3611</v>
      </c>
      <c r="Z79" s="56" t="s">
        <v>3546</v>
      </c>
      <c r="AA79" s="56" t="s">
        <v>6548</v>
      </c>
      <c r="AB79" s="56" t="s">
        <v>6547</v>
      </c>
      <c r="AC79" s="56" t="s">
        <v>3543</v>
      </c>
      <c r="AD79" s="56" t="s">
        <v>24</v>
      </c>
      <c r="AE79" s="56" t="s">
        <v>4145</v>
      </c>
      <c r="AF79" s="56" t="s">
        <v>6546</v>
      </c>
      <c r="AH79" s="56" t="s">
        <v>3542</v>
      </c>
      <c r="AI79" s="56" t="s">
        <v>3723</v>
      </c>
    </row>
    <row r="80" spans="1:35" ht="33" customHeight="1">
      <c r="A80" s="56" t="s">
        <v>6551</v>
      </c>
      <c r="B80" s="57">
        <v>44358.394201388888</v>
      </c>
      <c r="C80" s="56" t="s">
        <v>4512</v>
      </c>
      <c r="D80" s="56" t="s">
        <v>4511</v>
      </c>
      <c r="E80" s="56" t="s">
        <v>6550</v>
      </c>
      <c r="F80" s="56" t="s">
        <v>6549</v>
      </c>
      <c r="G80" s="58" t="s">
        <v>6275</v>
      </c>
      <c r="H80" s="56">
        <v>1</v>
      </c>
      <c r="I80" s="56" t="s">
        <v>3577</v>
      </c>
      <c r="J80" s="56">
        <v>700</v>
      </c>
      <c r="K80" s="56">
        <v>599</v>
      </c>
      <c r="P80" s="56">
        <v>0</v>
      </c>
      <c r="S80" s="56">
        <v>0</v>
      </c>
      <c r="T80" s="56" t="s">
        <v>3562</v>
      </c>
      <c r="V80" s="56" t="s">
        <v>3612</v>
      </c>
      <c r="W80" s="56" t="s">
        <v>3548</v>
      </c>
      <c r="X80" s="56" t="s">
        <v>3611</v>
      </c>
      <c r="Z80" s="56" t="s">
        <v>3546</v>
      </c>
      <c r="AA80" s="56" t="s">
        <v>6548</v>
      </c>
      <c r="AB80" s="56" t="s">
        <v>6547</v>
      </c>
      <c r="AC80" s="56" t="s">
        <v>3543</v>
      </c>
      <c r="AD80" s="56" t="s">
        <v>24</v>
      </c>
      <c r="AE80" s="56" t="s">
        <v>4145</v>
      </c>
      <c r="AF80" s="56" t="s">
        <v>6546</v>
      </c>
      <c r="AH80" s="56" t="s">
        <v>3542</v>
      </c>
      <c r="AI80" s="56" t="s">
        <v>3723</v>
      </c>
    </row>
    <row r="81" spans="1:35" ht="33" customHeight="1">
      <c r="A81" s="56" t="s">
        <v>6551</v>
      </c>
      <c r="B81" s="57">
        <v>44358.394201388888</v>
      </c>
      <c r="C81" s="56" t="s">
        <v>4512</v>
      </c>
      <c r="D81" s="56" t="s">
        <v>4511</v>
      </c>
      <c r="E81" s="56" t="s">
        <v>6550</v>
      </c>
      <c r="F81" s="56" t="s">
        <v>6549</v>
      </c>
      <c r="G81" s="58" t="s">
        <v>6552</v>
      </c>
      <c r="H81" s="56">
        <v>1</v>
      </c>
      <c r="I81" s="56" t="s">
        <v>5335</v>
      </c>
      <c r="J81" s="56">
        <v>505</v>
      </c>
      <c r="K81" s="56">
        <v>420</v>
      </c>
      <c r="P81" s="56">
        <v>0</v>
      </c>
      <c r="S81" s="56">
        <v>0</v>
      </c>
      <c r="T81" s="56" t="s">
        <v>3562</v>
      </c>
      <c r="V81" s="56" t="s">
        <v>3612</v>
      </c>
      <c r="W81" s="56" t="s">
        <v>3548</v>
      </c>
      <c r="X81" s="56" t="s">
        <v>3611</v>
      </c>
      <c r="Z81" s="56" t="s">
        <v>3546</v>
      </c>
      <c r="AA81" s="56" t="s">
        <v>6548</v>
      </c>
      <c r="AB81" s="56" t="s">
        <v>6547</v>
      </c>
      <c r="AC81" s="56" t="s">
        <v>3543</v>
      </c>
      <c r="AD81" s="56" t="s">
        <v>24</v>
      </c>
      <c r="AE81" s="56" t="s">
        <v>4145</v>
      </c>
      <c r="AF81" s="56" t="s">
        <v>6546</v>
      </c>
      <c r="AH81" s="56" t="s">
        <v>3542</v>
      </c>
      <c r="AI81" s="56" t="s">
        <v>3723</v>
      </c>
    </row>
    <row r="82" spans="1:35" ht="33" customHeight="1">
      <c r="A82" s="56" t="s">
        <v>6551</v>
      </c>
      <c r="B82" s="57">
        <v>44358.394201388888</v>
      </c>
      <c r="C82" s="56" t="s">
        <v>4512</v>
      </c>
      <c r="D82" s="56" t="s">
        <v>4511</v>
      </c>
      <c r="E82" s="56" t="s">
        <v>6550</v>
      </c>
      <c r="F82" s="56" t="s">
        <v>6549</v>
      </c>
      <c r="G82" s="58" t="s">
        <v>1508</v>
      </c>
      <c r="H82" s="56">
        <v>1</v>
      </c>
      <c r="I82" s="56" t="s">
        <v>3696</v>
      </c>
      <c r="J82" s="56">
        <v>299</v>
      </c>
      <c r="K82" s="56">
        <v>299</v>
      </c>
      <c r="P82" s="56">
        <v>0</v>
      </c>
      <c r="S82" s="56">
        <v>0</v>
      </c>
      <c r="T82" s="56" t="s">
        <v>3562</v>
      </c>
      <c r="V82" s="56" t="s">
        <v>3612</v>
      </c>
      <c r="W82" s="56" t="s">
        <v>3548</v>
      </c>
      <c r="X82" s="56" t="s">
        <v>3611</v>
      </c>
      <c r="Z82" s="56" t="s">
        <v>3546</v>
      </c>
      <c r="AA82" s="56" t="s">
        <v>6548</v>
      </c>
      <c r="AB82" s="56" t="s">
        <v>6547</v>
      </c>
      <c r="AC82" s="56" t="s">
        <v>3543</v>
      </c>
      <c r="AD82" s="56" t="s">
        <v>24</v>
      </c>
      <c r="AE82" s="56" t="s">
        <v>4145</v>
      </c>
      <c r="AF82" s="56" t="s">
        <v>6546</v>
      </c>
      <c r="AH82" s="56" t="s">
        <v>3542</v>
      </c>
      <c r="AI82" s="56" t="s">
        <v>3723</v>
      </c>
    </row>
    <row r="83" spans="1:35" ht="33" customHeight="1">
      <c r="A83" s="56" t="s">
        <v>6551</v>
      </c>
      <c r="B83" s="57">
        <v>44358.394201388888</v>
      </c>
      <c r="C83" s="56" t="s">
        <v>4512</v>
      </c>
      <c r="D83" s="56" t="s">
        <v>4511</v>
      </c>
      <c r="E83" s="56" t="s">
        <v>6550</v>
      </c>
      <c r="F83" s="56" t="s">
        <v>6549</v>
      </c>
      <c r="G83" s="58" t="s">
        <v>3551</v>
      </c>
      <c r="H83" s="56">
        <v>1</v>
      </c>
      <c r="I83" s="56" t="s">
        <v>3550</v>
      </c>
      <c r="J83" s="56">
        <v>0</v>
      </c>
      <c r="K83" s="56">
        <v>0</v>
      </c>
      <c r="P83" s="56">
        <v>0</v>
      </c>
      <c r="S83" s="56">
        <v>0</v>
      </c>
      <c r="T83" s="56" t="s">
        <v>3562</v>
      </c>
      <c r="V83" s="56" t="s">
        <v>3612</v>
      </c>
      <c r="W83" s="56" t="s">
        <v>3548</v>
      </c>
      <c r="X83" s="56" t="s">
        <v>3611</v>
      </c>
      <c r="Z83" s="56" t="s">
        <v>3546</v>
      </c>
      <c r="AA83" s="56" t="s">
        <v>6548</v>
      </c>
      <c r="AB83" s="56" t="s">
        <v>6547</v>
      </c>
      <c r="AC83" s="56" t="s">
        <v>3543</v>
      </c>
      <c r="AD83" s="56" t="s">
        <v>24</v>
      </c>
      <c r="AE83" s="56" t="s">
        <v>4145</v>
      </c>
      <c r="AF83" s="56" t="s">
        <v>6546</v>
      </c>
      <c r="AH83" s="56" t="s">
        <v>3542</v>
      </c>
      <c r="AI83" s="56" t="s">
        <v>3723</v>
      </c>
    </row>
    <row r="84" spans="1:35" ht="33" customHeight="1">
      <c r="A84" s="56" t="s">
        <v>6551</v>
      </c>
      <c r="B84" s="57">
        <v>44358.394201388888</v>
      </c>
      <c r="C84" s="56" t="s">
        <v>4512</v>
      </c>
      <c r="D84" s="56" t="s">
        <v>4511</v>
      </c>
      <c r="E84" s="56" t="s">
        <v>6550</v>
      </c>
      <c r="F84" s="56" t="s">
        <v>6549</v>
      </c>
      <c r="G84" s="58" t="s">
        <v>1713</v>
      </c>
      <c r="H84" s="56">
        <v>1</v>
      </c>
      <c r="I84" s="56" t="s">
        <v>3568</v>
      </c>
      <c r="J84" s="56">
        <v>0</v>
      </c>
      <c r="K84" s="56">
        <v>0</v>
      </c>
      <c r="P84" s="56">
        <v>0</v>
      </c>
      <c r="S84" s="56">
        <v>0</v>
      </c>
      <c r="T84" s="56" t="s">
        <v>3562</v>
      </c>
      <c r="V84" s="56" t="s">
        <v>3612</v>
      </c>
      <c r="W84" s="56" t="s">
        <v>3548</v>
      </c>
      <c r="X84" s="56" t="s">
        <v>3611</v>
      </c>
      <c r="Z84" s="56" t="s">
        <v>3546</v>
      </c>
      <c r="AA84" s="56" t="s">
        <v>6548</v>
      </c>
      <c r="AB84" s="56" t="s">
        <v>6547</v>
      </c>
      <c r="AC84" s="56" t="s">
        <v>3543</v>
      </c>
      <c r="AD84" s="56" t="s">
        <v>24</v>
      </c>
      <c r="AE84" s="56" t="s">
        <v>4145</v>
      </c>
      <c r="AF84" s="56" t="s">
        <v>6546</v>
      </c>
      <c r="AH84" s="56" t="s">
        <v>3542</v>
      </c>
      <c r="AI84" s="56" t="s">
        <v>3723</v>
      </c>
    </row>
    <row r="85" spans="1:35" ht="33" customHeight="1">
      <c r="A85" s="56" t="s">
        <v>6551</v>
      </c>
      <c r="B85" s="57">
        <v>44358.394201388888</v>
      </c>
      <c r="C85" s="56" t="s">
        <v>4512</v>
      </c>
      <c r="D85" s="56" t="s">
        <v>4511</v>
      </c>
      <c r="E85" s="56" t="s">
        <v>6550</v>
      </c>
      <c r="F85" s="56" t="s">
        <v>6549</v>
      </c>
      <c r="G85" s="58" t="s">
        <v>1500</v>
      </c>
      <c r="H85" s="56">
        <v>1</v>
      </c>
      <c r="I85" s="56" t="s">
        <v>6228</v>
      </c>
      <c r="J85" s="56">
        <v>0</v>
      </c>
      <c r="K85" s="56">
        <v>0</v>
      </c>
      <c r="P85" s="56">
        <v>0</v>
      </c>
      <c r="S85" s="56">
        <v>0</v>
      </c>
      <c r="T85" s="56" t="s">
        <v>3562</v>
      </c>
      <c r="V85" s="56" t="s">
        <v>3612</v>
      </c>
      <c r="W85" s="56" t="s">
        <v>3548</v>
      </c>
      <c r="X85" s="56" t="s">
        <v>3611</v>
      </c>
      <c r="Z85" s="56" t="s">
        <v>3546</v>
      </c>
      <c r="AA85" s="56" t="s">
        <v>6548</v>
      </c>
      <c r="AB85" s="56" t="s">
        <v>6547</v>
      </c>
      <c r="AC85" s="56" t="s">
        <v>3543</v>
      </c>
      <c r="AD85" s="56" t="s">
        <v>24</v>
      </c>
      <c r="AE85" s="56" t="s">
        <v>4145</v>
      </c>
      <c r="AF85" s="56" t="s">
        <v>6546</v>
      </c>
      <c r="AH85" s="56" t="s">
        <v>3542</v>
      </c>
      <c r="AI85" s="56" t="s">
        <v>3723</v>
      </c>
    </row>
    <row r="86" spans="1:35" ht="33" customHeight="1">
      <c r="A86" s="56" t="s">
        <v>6545</v>
      </c>
      <c r="B86" s="57">
        <v>44358.399525462963</v>
      </c>
      <c r="C86" s="56" t="s">
        <v>3803</v>
      </c>
      <c r="D86" s="56" t="s">
        <v>4511</v>
      </c>
      <c r="E86" s="56" t="s">
        <v>6544</v>
      </c>
      <c r="F86" s="56" t="s">
        <v>6543</v>
      </c>
      <c r="G86" s="58" t="s">
        <v>3811</v>
      </c>
      <c r="H86" s="56">
        <v>1</v>
      </c>
      <c r="I86" s="56" t="s">
        <v>3669</v>
      </c>
      <c r="J86" s="56">
        <v>897</v>
      </c>
      <c r="K86" s="56">
        <v>888</v>
      </c>
      <c r="L86" s="56">
        <v>1087</v>
      </c>
      <c r="M86" s="56">
        <v>0</v>
      </c>
      <c r="N86" s="56">
        <v>0</v>
      </c>
      <c r="O86" s="56">
        <v>100</v>
      </c>
      <c r="P86" s="56">
        <v>0</v>
      </c>
      <c r="Q86" s="56">
        <v>987</v>
      </c>
      <c r="R86" s="56">
        <v>0</v>
      </c>
      <c r="S86" s="56">
        <v>0</v>
      </c>
      <c r="T86" s="56" t="s">
        <v>3562</v>
      </c>
      <c r="U86" s="56">
        <v>987</v>
      </c>
      <c r="V86" s="56" t="s">
        <v>6536</v>
      </c>
      <c r="W86" s="56" t="s">
        <v>3548</v>
      </c>
      <c r="X86" s="56" t="s">
        <v>3765</v>
      </c>
      <c r="Z86" s="56" t="s">
        <v>3546</v>
      </c>
      <c r="AA86" s="56" t="s">
        <v>6542</v>
      </c>
      <c r="AB86" s="56" t="s">
        <v>6541</v>
      </c>
      <c r="AC86" s="56" t="s">
        <v>3543</v>
      </c>
      <c r="AD86" s="56" t="s">
        <v>24</v>
      </c>
      <c r="AE86" s="56" t="s">
        <v>6354</v>
      </c>
      <c r="AF86" s="56" t="s">
        <v>6540</v>
      </c>
      <c r="AH86" s="56" t="s">
        <v>3542</v>
      </c>
      <c r="AI86" s="56" t="s">
        <v>3723</v>
      </c>
    </row>
    <row r="87" spans="1:35" ht="33" customHeight="1">
      <c r="A87" s="56" t="s">
        <v>6545</v>
      </c>
      <c r="B87" s="57">
        <v>44358.399525462963</v>
      </c>
      <c r="C87" s="56" t="s">
        <v>3803</v>
      </c>
      <c r="D87" s="56" t="s">
        <v>4511</v>
      </c>
      <c r="E87" s="56" t="s">
        <v>6544</v>
      </c>
      <c r="F87" s="56" t="s">
        <v>6543</v>
      </c>
      <c r="G87" s="58" t="s">
        <v>3693</v>
      </c>
      <c r="H87" s="56">
        <v>1</v>
      </c>
      <c r="I87" s="56" t="s">
        <v>3692</v>
      </c>
      <c r="J87" s="56">
        <v>207</v>
      </c>
      <c r="K87" s="56">
        <v>199</v>
      </c>
      <c r="P87" s="56">
        <v>0</v>
      </c>
      <c r="S87" s="56">
        <v>0</v>
      </c>
      <c r="T87" s="56" t="s">
        <v>3562</v>
      </c>
      <c r="V87" s="56" t="s">
        <v>6536</v>
      </c>
      <c r="W87" s="56" t="s">
        <v>3548</v>
      </c>
      <c r="X87" s="56" t="s">
        <v>3765</v>
      </c>
      <c r="Z87" s="56" t="s">
        <v>3546</v>
      </c>
      <c r="AA87" s="56" t="s">
        <v>6542</v>
      </c>
      <c r="AB87" s="56" t="s">
        <v>6541</v>
      </c>
      <c r="AC87" s="56" t="s">
        <v>3543</v>
      </c>
      <c r="AD87" s="56" t="s">
        <v>24</v>
      </c>
      <c r="AE87" s="56" t="s">
        <v>6354</v>
      </c>
      <c r="AF87" s="56" t="s">
        <v>6540</v>
      </c>
      <c r="AH87" s="56" t="s">
        <v>3542</v>
      </c>
      <c r="AI87" s="56" t="s">
        <v>3723</v>
      </c>
    </row>
    <row r="88" spans="1:35" ht="33" customHeight="1">
      <c r="A88" s="56" t="s">
        <v>6545</v>
      </c>
      <c r="B88" s="57">
        <v>44358.399525462963</v>
      </c>
      <c r="C88" s="56" t="s">
        <v>3803</v>
      </c>
      <c r="D88" s="56" t="s">
        <v>4511</v>
      </c>
      <c r="E88" s="56" t="s">
        <v>6544</v>
      </c>
      <c r="F88" s="56" t="s">
        <v>6543</v>
      </c>
      <c r="G88" s="58" t="s">
        <v>3551</v>
      </c>
      <c r="H88" s="56">
        <v>1</v>
      </c>
      <c r="I88" s="56" t="s">
        <v>3550</v>
      </c>
      <c r="J88" s="56">
        <v>0</v>
      </c>
      <c r="K88" s="56">
        <v>0</v>
      </c>
      <c r="P88" s="56">
        <v>0</v>
      </c>
      <c r="S88" s="56">
        <v>0</v>
      </c>
      <c r="T88" s="56" t="s">
        <v>3562</v>
      </c>
      <c r="V88" s="56" t="s">
        <v>6536</v>
      </c>
      <c r="W88" s="56" t="s">
        <v>3548</v>
      </c>
      <c r="X88" s="56" t="s">
        <v>3765</v>
      </c>
      <c r="Z88" s="56" t="s">
        <v>3546</v>
      </c>
      <c r="AA88" s="56" t="s">
        <v>6542</v>
      </c>
      <c r="AB88" s="56" t="s">
        <v>6541</v>
      </c>
      <c r="AC88" s="56" t="s">
        <v>3543</v>
      </c>
      <c r="AD88" s="56" t="s">
        <v>24</v>
      </c>
      <c r="AE88" s="56" t="s">
        <v>6354</v>
      </c>
      <c r="AF88" s="56" t="s">
        <v>6540</v>
      </c>
      <c r="AH88" s="56" t="s">
        <v>3542</v>
      </c>
      <c r="AI88" s="56" t="s">
        <v>3723</v>
      </c>
    </row>
    <row r="89" spans="1:35" ht="33" customHeight="1">
      <c r="A89" s="56" t="s">
        <v>6545</v>
      </c>
      <c r="B89" s="57">
        <v>44358.399525462963</v>
      </c>
      <c r="C89" s="56" t="s">
        <v>3803</v>
      </c>
      <c r="D89" s="56" t="s">
        <v>4511</v>
      </c>
      <c r="E89" s="56" t="s">
        <v>6544</v>
      </c>
      <c r="F89" s="56" t="s">
        <v>6543</v>
      </c>
      <c r="G89" s="58" t="s">
        <v>1500</v>
      </c>
      <c r="H89" s="56">
        <v>1</v>
      </c>
      <c r="I89" s="56" t="s">
        <v>6228</v>
      </c>
      <c r="J89" s="56">
        <v>0</v>
      </c>
      <c r="K89" s="56">
        <v>0</v>
      </c>
      <c r="P89" s="56">
        <v>0</v>
      </c>
      <c r="S89" s="56">
        <v>0</v>
      </c>
      <c r="T89" s="56" t="s">
        <v>3562</v>
      </c>
      <c r="V89" s="56" t="s">
        <v>6536</v>
      </c>
      <c r="W89" s="56" t="s">
        <v>3548</v>
      </c>
      <c r="X89" s="56" t="s">
        <v>3765</v>
      </c>
      <c r="Z89" s="56" t="s">
        <v>3546</v>
      </c>
      <c r="AA89" s="56" t="s">
        <v>6542</v>
      </c>
      <c r="AB89" s="56" t="s">
        <v>6541</v>
      </c>
      <c r="AC89" s="56" t="s">
        <v>3543</v>
      </c>
      <c r="AD89" s="56" t="s">
        <v>24</v>
      </c>
      <c r="AE89" s="56" t="s">
        <v>6354</v>
      </c>
      <c r="AF89" s="56" t="s">
        <v>6540</v>
      </c>
      <c r="AH89" s="56" t="s">
        <v>3542</v>
      </c>
      <c r="AI89" s="56" t="s">
        <v>3723</v>
      </c>
    </row>
    <row r="90" spans="1:35" ht="33" customHeight="1">
      <c r="A90" s="56" t="s">
        <v>6539</v>
      </c>
      <c r="B90" s="57">
        <v>44358.427002314813</v>
      </c>
      <c r="C90" s="56" t="s">
        <v>3803</v>
      </c>
      <c r="D90" s="56" t="s">
        <v>3802</v>
      </c>
      <c r="E90" s="56" t="s">
        <v>6538</v>
      </c>
      <c r="F90" s="56" t="s">
        <v>6537</v>
      </c>
      <c r="G90" s="58" t="s">
        <v>3187</v>
      </c>
      <c r="H90" s="56">
        <v>1</v>
      </c>
      <c r="I90" s="56" t="s">
        <v>3761</v>
      </c>
      <c r="J90" s="56">
        <v>149</v>
      </c>
      <c r="K90" s="56">
        <v>149</v>
      </c>
      <c r="L90" s="56">
        <v>2094</v>
      </c>
      <c r="M90" s="56">
        <v>0</v>
      </c>
      <c r="N90" s="56">
        <v>0</v>
      </c>
      <c r="O90" s="56">
        <v>100</v>
      </c>
      <c r="P90" s="56">
        <v>0</v>
      </c>
      <c r="Q90" s="56">
        <v>1994</v>
      </c>
      <c r="R90" s="56">
        <v>0</v>
      </c>
      <c r="S90" s="56">
        <v>0</v>
      </c>
      <c r="T90" s="56" t="s">
        <v>3562</v>
      </c>
      <c r="U90" s="56">
        <v>1994</v>
      </c>
      <c r="V90" s="56" t="s">
        <v>6536</v>
      </c>
      <c r="W90" s="56" t="s">
        <v>3548</v>
      </c>
      <c r="X90" s="56" t="s">
        <v>39</v>
      </c>
      <c r="Y90" s="56" t="s">
        <v>4386</v>
      </c>
      <c r="Z90" s="56" t="s">
        <v>6535</v>
      </c>
      <c r="AC90" s="56" t="s">
        <v>3543</v>
      </c>
      <c r="AD90" s="56" t="s">
        <v>24</v>
      </c>
      <c r="AE90" s="56" t="s">
        <v>6354</v>
      </c>
      <c r="AF90" s="56" t="s">
        <v>6534</v>
      </c>
      <c r="AH90" s="56" t="s">
        <v>3542</v>
      </c>
      <c r="AI90" s="56" t="s">
        <v>3723</v>
      </c>
    </row>
    <row r="91" spans="1:35" ht="33" customHeight="1">
      <c r="A91" s="56" t="s">
        <v>6539</v>
      </c>
      <c r="B91" s="57">
        <v>44358.427002314813</v>
      </c>
      <c r="C91" s="56" t="s">
        <v>3803</v>
      </c>
      <c r="D91" s="56" t="s">
        <v>3802</v>
      </c>
      <c r="E91" s="56" t="s">
        <v>6538</v>
      </c>
      <c r="F91" s="56" t="s">
        <v>6537</v>
      </c>
      <c r="G91" s="58" t="s">
        <v>3189</v>
      </c>
      <c r="H91" s="56">
        <v>1</v>
      </c>
      <c r="I91" s="56" t="s">
        <v>3761</v>
      </c>
      <c r="J91" s="56">
        <v>149</v>
      </c>
      <c r="K91" s="56">
        <v>149</v>
      </c>
      <c r="P91" s="56">
        <v>0</v>
      </c>
      <c r="S91" s="56">
        <v>0</v>
      </c>
      <c r="T91" s="56" t="s">
        <v>3562</v>
      </c>
      <c r="V91" s="56" t="s">
        <v>6536</v>
      </c>
      <c r="W91" s="56" t="s">
        <v>3548</v>
      </c>
      <c r="X91" s="56" t="s">
        <v>39</v>
      </c>
      <c r="Y91" s="56" t="s">
        <v>4386</v>
      </c>
      <c r="Z91" s="56" t="s">
        <v>6535</v>
      </c>
      <c r="AC91" s="56" t="s">
        <v>3543</v>
      </c>
      <c r="AD91" s="56" t="s">
        <v>24</v>
      </c>
      <c r="AE91" s="56" t="s">
        <v>6354</v>
      </c>
      <c r="AF91" s="56" t="s">
        <v>6534</v>
      </c>
      <c r="AH91" s="56" t="s">
        <v>3542</v>
      </c>
      <c r="AI91" s="56" t="s">
        <v>3723</v>
      </c>
    </row>
    <row r="92" spans="1:35" ht="33" customHeight="1">
      <c r="A92" s="56" t="s">
        <v>6539</v>
      </c>
      <c r="B92" s="57">
        <v>44358.427002314813</v>
      </c>
      <c r="C92" s="56" t="s">
        <v>3803</v>
      </c>
      <c r="D92" s="56" t="s">
        <v>3802</v>
      </c>
      <c r="E92" s="56" t="s">
        <v>6538</v>
      </c>
      <c r="F92" s="56" t="s">
        <v>6537</v>
      </c>
      <c r="G92" s="58" t="s">
        <v>3316</v>
      </c>
      <c r="H92" s="56">
        <v>2</v>
      </c>
      <c r="I92" s="56" t="s">
        <v>3695</v>
      </c>
      <c r="J92" s="56">
        <v>399</v>
      </c>
      <c r="K92" s="56">
        <v>399</v>
      </c>
      <c r="P92" s="56">
        <v>0</v>
      </c>
      <c r="S92" s="56">
        <v>0</v>
      </c>
      <c r="T92" s="56" t="s">
        <v>3562</v>
      </c>
      <c r="V92" s="56" t="s">
        <v>6536</v>
      </c>
      <c r="W92" s="56" t="s">
        <v>3548</v>
      </c>
      <c r="X92" s="56" t="s">
        <v>39</v>
      </c>
      <c r="Y92" s="56" t="s">
        <v>4386</v>
      </c>
      <c r="Z92" s="56" t="s">
        <v>6535</v>
      </c>
      <c r="AC92" s="56" t="s">
        <v>3543</v>
      </c>
      <c r="AD92" s="56" t="s">
        <v>24</v>
      </c>
      <c r="AE92" s="56" t="s">
        <v>6354</v>
      </c>
      <c r="AF92" s="56" t="s">
        <v>6534</v>
      </c>
      <c r="AH92" s="56" t="s">
        <v>3542</v>
      </c>
      <c r="AI92" s="56" t="s">
        <v>3723</v>
      </c>
    </row>
    <row r="93" spans="1:35" ht="33" customHeight="1">
      <c r="A93" s="56" t="s">
        <v>6539</v>
      </c>
      <c r="B93" s="57">
        <v>44358.427002314813</v>
      </c>
      <c r="C93" s="56" t="s">
        <v>3803</v>
      </c>
      <c r="D93" s="56" t="s">
        <v>3802</v>
      </c>
      <c r="E93" s="56" t="s">
        <v>6538</v>
      </c>
      <c r="F93" s="56" t="s">
        <v>6537</v>
      </c>
      <c r="G93" s="58" t="s">
        <v>1491</v>
      </c>
      <c r="H93" s="56">
        <v>1</v>
      </c>
      <c r="I93" s="56" t="s">
        <v>3586</v>
      </c>
      <c r="J93" s="56">
        <v>149</v>
      </c>
      <c r="K93" s="56">
        <v>149</v>
      </c>
      <c r="P93" s="56">
        <v>0</v>
      </c>
      <c r="S93" s="56">
        <v>0</v>
      </c>
      <c r="T93" s="56" t="s">
        <v>3562</v>
      </c>
      <c r="V93" s="56" t="s">
        <v>6536</v>
      </c>
      <c r="W93" s="56" t="s">
        <v>3548</v>
      </c>
      <c r="X93" s="56" t="s">
        <v>39</v>
      </c>
      <c r="Y93" s="56" t="s">
        <v>4386</v>
      </c>
      <c r="Z93" s="56" t="s">
        <v>6535</v>
      </c>
      <c r="AC93" s="56" t="s">
        <v>3543</v>
      </c>
      <c r="AD93" s="56" t="s">
        <v>24</v>
      </c>
      <c r="AE93" s="56" t="s">
        <v>6354</v>
      </c>
      <c r="AF93" s="56" t="s">
        <v>6534</v>
      </c>
      <c r="AH93" s="56" t="s">
        <v>3542</v>
      </c>
      <c r="AI93" s="56" t="s">
        <v>3723</v>
      </c>
    </row>
    <row r="94" spans="1:35" ht="33" customHeight="1">
      <c r="A94" s="56" t="s">
        <v>6539</v>
      </c>
      <c r="B94" s="57">
        <v>44358.427002314813</v>
      </c>
      <c r="C94" s="56" t="s">
        <v>3803</v>
      </c>
      <c r="D94" s="56" t="s">
        <v>3802</v>
      </c>
      <c r="E94" s="56" t="s">
        <v>6538</v>
      </c>
      <c r="F94" s="56" t="s">
        <v>6537</v>
      </c>
      <c r="G94" s="58" t="s">
        <v>1486</v>
      </c>
      <c r="H94" s="56">
        <v>1</v>
      </c>
      <c r="I94" s="56" t="s">
        <v>4174</v>
      </c>
      <c r="J94" s="56">
        <v>350</v>
      </c>
      <c r="K94" s="56">
        <v>350</v>
      </c>
      <c r="P94" s="56">
        <v>0</v>
      </c>
      <c r="S94" s="56">
        <v>0</v>
      </c>
      <c r="T94" s="56" t="s">
        <v>3562</v>
      </c>
      <c r="V94" s="56" t="s">
        <v>6536</v>
      </c>
      <c r="W94" s="56" t="s">
        <v>3548</v>
      </c>
      <c r="X94" s="56" t="s">
        <v>39</v>
      </c>
      <c r="Y94" s="56" t="s">
        <v>4386</v>
      </c>
      <c r="Z94" s="56" t="s">
        <v>6535</v>
      </c>
      <c r="AC94" s="56" t="s">
        <v>3543</v>
      </c>
      <c r="AD94" s="56" t="s">
        <v>24</v>
      </c>
      <c r="AE94" s="56" t="s">
        <v>6354</v>
      </c>
      <c r="AF94" s="56" t="s">
        <v>6534</v>
      </c>
      <c r="AH94" s="56" t="s">
        <v>3542</v>
      </c>
      <c r="AI94" s="56" t="s">
        <v>3723</v>
      </c>
    </row>
    <row r="95" spans="1:35" ht="33" customHeight="1">
      <c r="A95" s="56" t="s">
        <v>6539</v>
      </c>
      <c r="B95" s="57">
        <v>44358.427002314813</v>
      </c>
      <c r="C95" s="56" t="s">
        <v>3803</v>
      </c>
      <c r="D95" s="56" t="s">
        <v>3802</v>
      </c>
      <c r="E95" s="56" t="s">
        <v>6538</v>
      </c>
      <c r="F95" s="56" t="s">
        <v>6537</v>
      </c>
      <c r="G95" s="58" t="s">
        <v>2171</v>
      </c>
      <c r="H95" s="56">
        <v>1</v>
      </c>
      <c r="I95" s="56" t="s">
        <v>3762</v>
      </c>
      <c r="J95" s="56">
        <v>350</v>
      </c>
      <c r="K95" s="56">
        <v>350</v>
      </c>
      <c r="P95" s="56">
        <v>0</v>
      </c>
      <c r="S95" s="56">
        <v>0</v>
      </c>
      <c r="T95" s="56" t="s">
        <v>3562</v>
      </c>
      <c r="V95" s="56" t="s">
        <v>6536</v>
      </c>
      <c r="W95" s="56" t="s">
        <v>3548</v>
      </c>
      <c r="X95" s="56" t="s">
        <v>39</v>
      </c>
      <c r="Y95" s="56" t="s">
        <v>4386</v>
      </c>
      <c r="Z95" s="56" t="s">
        <v>6535</v>
      </c>
      <c r="AC95" s="56" t="s">
        <v>3543</v>
      </c>
      <c r="AD95" s="56" t="s">
        <v>24</v>
      </c>
      <c r="AE95" s="56" t="s">
        <v>6354</v>
      </c>
      <c r="AF95" s="56" t="s">
        <v>6534</v>
      </c>
      <c r="AH95" s="56" t="s">
        <v>3542</v>
      </c>
      <c r="AI95" s="56" t="s">
        <v>3723</v>
      </c>
    </row>
    <row r="96" spans="1:35" ht="33" customHeight="1">
      <c r="A96" s="56" t="s">
        <v>6539</v>
      </c>
      <c r="B96" s="57">
        <v>44358.427002314813</v>
      </c>
      <c r="C96" s="56" t="s">
        <v>3803</v>
      </c>
      <c r="D96" s="56" t="s">
        <v>3802</v>
      </c>
      <c r="E96" s="56" t="s">
        <v>6538</v>
      </c>
      <c r="F96" s="56" t="s">
        <v>6537</v>
      </c>
      <c r="G96" s="58" t="s">
        <v>2156</v>
      </c>
      <c r="H96" s="56">
        <v>1</v>
      </c>
      <c r="I96" s="56" t="s">
        <v>1376</v>
      </c>
      <c r="J96" s="56">
        <v>149</v>
      </c>
      <c r="K96" s="56">
        <v>149</v>
      </c>
      <c r="P96" s="56">
        <v>0</v>
      </c>
      <c r="S96" s="56">
        <v>0</v>
      </c>
      <c r="T96" s="56" t="s">
        <v>3562</v>
      </c>
      <c r="V96" s="56" t="s">
        <v>6536</v>
      </c>
      <c r="W96" s="56" t="s">
        <v>3548</v>
      </c>
      <c r="X96" s="56" t="s">
        <v>39</v>
      </c>
      <c r="Y96" s="56" t="s">
        <v>4386</v>
      </c>
      <c r="Z96" s="56" t="s">
        <v>6535</v>
      </c>
      <c r="AC96" s="56" t="s">
        <v>3543</v>
      </c>
      <c r="AD96" s="56" t="s">
        <v>24</v>
      </c>
      <c r="AE96" s="56" t="s">
        <v>6354</v>
      </c>
      <c r="AF96" s="56" t="s">
        <v>6534</v>
      </c>
      <c r="AH96" s="56" t="s">
        <v>3542</v>
      </c>
      <c r="AI96" s="56" t="s">
        <v>3723</v>
      </c>
    </row>
    <row r="97" spans="1:35" ht="33" customHeight="1">
      <c r="A97" s="56" t="s">
        <v>6539</v>
      </c>
      <c r="B97" s="57">
        <v>44358.427002314813</v>
      </c>
      <c r="C97" s="56" t="s">
        <v>3803</v>
      </c>
      <c r="D97" s="56" t="s">
        <v>3802</v>
      </c>
      <c r="E97" s="56" t="s">
        <v>6538</v>
      </c>
      <c r="F97" s="56" t="s">
        <v>6537</v>
      </c>
      <c r="G97" s="58" t="s">
        <v>3551</v>
      </c>
      <c r="H97" s="56">
        <v>1</v>
      </c>
      <c r="I97" s="56" t="s">
        <v>3550</v>
      </c>
      <c r="J97" s="56">
        <v>0</v>
      </c>
      <c r="K97" s="56">
        <v>0</v>
      </c>
      <c r="P97" s="56">
        <v>0</v>
      </c>
      <c r="S97" s="56">
        <v>0</v>
      </c>
      <c r="T97" s="56" t="s">
        <v>3562</v>
      </c>
      <c r="V97" s="56" t="s">
        <v>6536</v>
      </c>
      <c r="W97" s="56" t="s">
        <v>3548</v>
      </c>
      <c r="X97" s="56" t="s">
        <v>39</v>
      </c>
      <c r="Y97" s="56" t="s">
        <v>4386</v>
      </c>
      <c r="Z97" s="56" t="s">
        <v>6535</v>
      </c>
      <c r="AC97" s="56" t="s">
        <v>3543</v>
      </c>
      <c r="AD97" s="56" t="s">
        <v>24</v>
      </c>
      <c r="AE97" s="56" t="s">
        <v>6354</v>
      </c>
      <c r="AF97" s="56" t="s">
        <v>6534</v>
      </c>
      <c r="AH97" s="56" t="s">
        <v>3542</v>
      </c>
      <c r="AI97" s="56" t="s">
        <v>3723</v>
      </c>
    </row>
    <row r="98" spans="1:35" ht="33" customHeight="1">
      <c r="A98" s="56" t="s">
        <v>6539</v>
      </c>
      <c r="B98" s="57">
        <v>44358.427002314813</v>
      </c>
      <c r="C98" s="56" t="s">
        <v>3803</v>
      </c>
      <c r="D98" s="56" t="s">
        <v>3802</v>
      </c>
      <c r="E98" s="56" t="s">
        <v>6538</v>
      </c>
      <c r="F98" s="56" t="s">
        <v>6537</v>
      </c>
      <c r="G98" s="58" t="s">
        <v>1713</v>
      </c>
      <c r="H98" s="56">
        <v>1</v>
      </c>
      <c r="I98" s="56" t="s">
        <v>3568</v>
      </c>
      <c r="J98" s="56">
        <v>0</v>
      </c>
      <c r="K98" s="56">
        <v>0</v>
      </c>
      <c r="P98" s="56">
        <v>0</v>
      </c>
      <c r="S98" s="56">
        <v>0</v>
      </c>
      <c r="T98" s="56" t="s">
        <v>3562</v>
      </c>
      <c r="V98" s="56" t="s">
        <v>6536</v>
      </c>
      <c r="W98" s="56" t="s">
        <v>3548</v>
      </c>
      <c r="X98" s="56" t="s">
        <v>39</v>
      </c>
      <c r="Y98" s="56" t="s">
        <v>4386</v>
      </c>
      <c r="Z98" s="56" t="s">
        <v>6535</v>
      </c>
      <c r="AC98" s="56" t="s">
        <v>3543</v>
      </c>
      <c r="AD98" s="56" t="s">
        <v>24</v>
      </c>
      <c r="AE98" s="56" t="s">
        <v>6354</v>
      </c>
      <c r="AF98" s="56" t="s">
        <v>6534</v>
      </c>
      <c r="AH98" s="56" t="s">
        <v>3542</v>
      </c>
      <c r="AI98" s="56" t="s">
        <v>3723</v>
      </c>
    </row>
    <row r="99" spans="1:35" ht="33" customHeight="1">
      <c r="A99" s="56" t="s">
        <v>6539</v>
      </c>
      <c r="B99" s="57">
        <v>44358.427002314813</v>
      </c>
      <c r="C99" s="56" t="s">
        <v>3803</v>
      </c>
      <c r="D99" s="56" t="s">
        <v>3802</v>
      </c>
      <c r="E99" s="56" t="s">
        <v>6538</v>
      </c>
      <c r="F99" s="56" t="s">
        <v>6537</v>
      </c>
      <c r="G99" s="58" t="s">
        <v>1500</v>
      </c>
      <c r="H99" s="56">
        <v>1</v>
      </c>
      <c r="I99" s="56" t="s">
        <v>6228</v>
      </c>
      <c r="J99" s="56">
        <v>0</v>
      </c>
      <c r="K99" s="56">
        <v>0</v>
      </c>
      <c r="P99" s="56">
        <v>0</v>
      </c>
      <c r="S99" s="56">
        <v>0</v>
      </c>
      <c r="T99" s="56" t="s">
        <v>3562</v>
      </c>
      <c r="V99" s="56" t="s">
        <v>6536</v>
      </c>
      <c r="W99" s="56" t="s">
        <v>3548</v>
      </c>
      <c r="X99" s="56" t="s">
        <v>39</v>
      </c>
      <c r="Y99" s="56" t="s">
        <v>4386</v>
      </c>
      <c r="Z99" s="56" t="s">
        <v>6535</v>
      </c>
      <c r="AC99" s="56" t="s">
        <v>3543</v>
      </c>
      <c r="AD99" s="56" t="s">
        <v>24</v>
      </c>
      <c r="AE99" s="56" t="s">
        <v>6354</v>
      </c>
      <c r="AF99" s="56" t="s">
        <v>6534</v>
      </c>
      <c r="AH99" s="56" t="s">
        <v>3542</v>
      </c>
      <c r="AI99" s="56" t="s">
        <v>3723</v>
      </c>
    </row>
    <row r="100" spans="1:35" ht="33" customHeight="1">
      <c r="A100" s="56" t="s">
        <v>6539</v>
      </c>
      <c r="B100" s="57">
        <v>44358.427002314813</v>
      </c>
      <c r="C100" s="56" t="s">
        <v>3803</v>
      </c>
      <c r="D100" s="56" t="s">
        <v>3802</v>
      </c>
      <c r="E100" s="56" t="s">
        <v>6538</v>
      </c>
      <c r="F100" s="56" t="s">
        <v>6537</v>
      </c>
      <c r="H100" s="56">
        <v>1</v>
      </c>
      <c r="I100" s="56" t="s">
        <v>3563</v>
      </c>
      <c r="J100" s="56">
        <v>0</v>
      </c>
      <c r="K100" s="56">
        <v>0</v>
      </c>
      <c r="P100" s="56">
        <v>0</v>
      </c>
      <c r="S100" s="56">
        <v>0</v>
      </c>
      <c r="T100" s="56" t="s">
        <v>3562</v>
      </c>
      <c r="V100" s="56" t="s">
        <v>6536</v>
      </c>
      <c r="W100" s="56" t="s">
        <v>3548</v>
      </c>
      <c r="X100" s="56" t="s">
        <v>39</v>
      </c>
      <c r="Y100" s="56" t="s">
        <v>4386</v>
      </c>
      <c r="Z100" s="56" t="s">
        <v>6535</v>
      </c>
      <c r="AC100" s="56" t="s">
        <v>3543</v>
      </c>
      <c r="AD100" s="56" t="s">
        <v>24</v>
      </c>
      <c r="AE100" s="56" t="s">
        <v>6354</v>
      </c>
      <c r="AF100" s="56" t="s">
        <v>6534</v>
      </c>
      <c r="AH100" s="56" t="s">
        <v>3542</v>
      </c>
      <c r="AI100" s="56" t="s">
        <v>3723</v>
      </c>
    </row>
    <row r="101" spans="1:35" ht="33" customHeight="1">
      <c r="A101" s="56" t="s">
        <v>6533</v>
      </c>
      <c r="B101" s="57">
        <v>44358.429837962962</v>
      </c>
      <c r="C101" s="56" t="s">
        <v>3803</v>
      </c>
      <c r="D101" s="56" t="s">
        <v>4426</v>
      </c>
      <c r="E101" s="56" t="s">
        <v>5447</v>
      </c>
      <c r="F101" s="56" t="s">
        <v>6532</v>
      </c>
      <c r="G101" s="58" t="s">
        <v>3316</v>
      </c>
      <c r="H101" s="56">
        <v>1</v>
      </c>
      <c r="I101" s="56" t="s">
        <v>3695</v>
      </c>
      <c r="J101" s="56">
        <v>399</v>
      </c>
      <c r="K101" s="56">
        <v>399</v>
      </c>
      <c r="L101" s="56">
        <v>1196</v>
      </c>
      <c r="M101" s="56">
        <v>0</v>
      </c>
      <c r="N101" s="56">
        <v>0</v>
      </c>
      <c r="O101" s="56">
        <v>100</v>
      </c>
      <c r="P101" s="56">
        <v>0</v>
      </c>
      <c r="Q101" s="56">
        <v>1096</v>
      </c>
      <c r="R101" s="56">
        <v>0</v>
      </c>
      <c r="S101" s="56">
        <v>0</v>
      </c>
      <c r="T101" s="56" t="s">
        <v>3562</v>
      </c>
      <c r="U101" s="56">
        <v>1096</v>
      </c>
      <c r="V101" s="56" t="s">
        <v>59</v>
      </c>
      <c r="W101" s="56" t="s">
        <v>3548</v>
      </c>
      <c r="X101" s="56" t="s">
        <v>3716</v>
      </c>
      <c r="Z101" s="56" t="s">
        <v>3546</v>
      </c>
      <c r="AA101" s="56" t="s">
        <v>6531</v>
      </c>
      <c r="AB101" s="56" t="s">
        <v>6530</v>
      </c>
      <c r="AC101" s="56" t="s">
        <v>3543</v>
      </c>
      <c r="AD101" s="56" t="s">
        <v>24</v>
      </c>
      <c r="AE101" s="56" t="s">
        <v>6354</v>
      </c>
      <c r="AF101" s="56" t="s">
        <v>6529</v>
      </c>
      <c r="AH101" s="56" t="s">
        <v>3542</v>
      </c>
      <c r="AI101" s="56" t="s">
        <v>3723</v>
      </c>
    </row>
    <row r="102" spans="1:35" ht="33" customHeight="1">
      <c r="A102" s="56" t="s">
        <v>6533</v>
      </c>
      <c r="B102" s="57">
        <v>44358.429837962962</v>
      </c>
      <c r="C102" s="56" t="s">
        <v>3803</v>
      </c>
      <c r="D102" s="56" t="s">
        <v>4426</v>
      </c>
      <c r="E102" s="56" t="s">
        <v>5447</v>
      </c>
      <c r="F102" s="56" t="s">
        <v>6532</v>
      </c>
      <c r="G102" s="58" t="s">
        <v>3196</v>
      </c>
      <c r="H102" s="56">
        <v>4</v>
      </c>
      <c r="I102" s="56" t="s">
        <v>2550</v>
      </c>
      <c r="J102" s="56">
        <v>120</v>
      </c>
      <c r="K102" s="56">
        <v>120</v>
      </c>
      <c r="P102" s="56">
        <v>0</v>
      </c>
      <c r="S102" s="56">
        <v>0</v>
      </c>
      <c r="T102" s="56" t="s">
        <v>3562</v>
      </c>
      <c r="V102" s="56" t="s">
        <v>59</v>
      </c>
      <c r="W102" s="56" t="s">
        <v>3548</v>
      </c>
      <c r="X102" s="56" t="s">
        <v>3716</v>
      </c>
      <c r="Z102" s="56" t="s">
        <v>3546</v>
      </c>
      <c r="AA102" s="56" t="s">
        <v>6531</v>
      </c>
      <c r="AB102" s="56" t="s">
        <v>6530</v>
      </c>
      <c r="AC102" s="56" t="s">
        <v>3543</v>
      </c>
      <c r="AD102" s="56" t="s">
        <v>24</v>
      </c>
      <c r="AE102" s="56" t="s">
        <v>6354</v>
      </c>
      <c r="AF102" s="56" t="s">
        <v>6529</v>
      </c>
      <c r="AH102" s="56" t="s">
        <v>3542</v>
      </c>
      <c r="AI102" s="56" t="s">
        <v>3723</v>
      </c>
    </row>
    <row r="103" spans="1:35" ht="33" customHeight="1">
      <c r="A103" s="56" t="s">
        <v>6533</v>
      </c>
      <c r="B103" s="57">
        <v>44358.429837962962</v>
      </c>
      <c r="C103" s="56" t="s">
        <v>3803</v>
      </c>
      <c r="D103" s="56" t="s">
        <v>4426</v>
      </c>
      <c r="E103" s="56" t="s">
        <v>5447</v>
      </c>
      <c r="F103" s="56" t="s">
        <v>6532</v>
      </c>
      <c r="G103" s="58" t="s">
        <v>1517</v>
      </c>
      <c r="H103" s="56">
        <v>1</v>
      </c>
      <c r="I103" s="56" t="s">
        <v>3740</v>
      </c>
      <c r="J103" s="56">
        <v>220</v>
      </c>
      <c r="K103" s="56">
        <v>168</v>
      </c>
      <c r="P103" s="56">
        <v>0</v>
      </c>
      <c r="S103" s="56">
        <v>0</v>
      </c>
      <c r="T103" s="56" t="s">
        <v>3562</v>
      </c>
      <c r="V103" s="56" t="s">
        <v>59</v>
      </c>
      <c r="W103" s="56" t="s">
        <v>3548</v>
      </c>
      <c r="X103" s="56" t="s">
        <v>3716</v>
      </c>
      <c r="Z103" s="56" t="s">
        <v>3546</v>
      </c>
      <c r="AA103" s="56" t="s">
        <v>6531</v>
      </c>
      <c r="AB103" s="56" t="s">
        <v>6530</v>
      </c>
      <c r="AC103" s="56" t="s">
        <v>3543</v>
      </c>
      <c r="AD103" s="56" t="s">
        <v>24</v>
      </c>
      <c r="AE103" s="56" t="s">
        <v>6354</v>
      </c>
      <c r="AF103" s="56" t="s">
        <v>6529</v>
      </c>
      <c r="AH103" s="56" t="s">
        <v>3542</v>
      </c>
      <c r="AI103" s="56" t="s">
        <v>3723</v>
      </c>
    </row>
    <row r="104" spans="1:35" ht="33" customHeight="1">
      <c r="A104" s="56" t="s">
        <v>6533</v>
      </c>
      <c r="B104" s="57">
        <v>44358.429837962962</v>
      </c>
      <c r="C104" s="56" t="s">
        <v>3803</v>
      </c>
      <c r="D104" s="56" t="s">
        <v>4426</v>
      </c>
      <c r="E104" s="56" t="s">
        <v>5447</v>
      </c>
      <c r="F104" s="56" t="s">
        <v>6532</v>
      </c>
      <c r="G104" s="58" t="s">
        <v>3187</v>
      </c>
      <c r="H104" s="56">
        <v>1</v>
      </c>
      <c r="I104" s="56" t="s">
        <v>3761</v>
      </c>
      <c r="J104" s="56">
        <v>149</v>
      </c>
      <c r="K104" s="56">
        <v>149</v>
      </c>
      <c r="P104" s="56">
        <v>0</v>
      </c>
      <c r="S104" s="56">
        <v>0</v>
      </c>
      <c r="T104" s="56" t="s">
        <v>3562</v>
      </c>
      <c r="V104" s="56" t="s">
        <v>59</v>
      </c>
      <c r="W104" s="56" t="s">
        <v>3548</v>
      </c>
      <c r="X104" s="56" t="s">
        <v>3716</v>
      </c>
      <c r="Z104" s="56" t="s">
        <v>3546</v>
      </c>
      <c r="AA104" s="56" t="s">
        <v>6531</v>
      </c>
      <c r="AB104" s="56" t="s">
        <v>6530</v>
      </c>
      <c r="AC104" s="56" t="s">
        <v>3543</v>
      </c>
      <c r="AD104" s="56" t="s">
        <v>24</v>
      </c>
      <c r="AE104" s="56" t="s">
        <v>6354</v>
      </c>
      <c r="AF104" s="56" t="s">
        <v>6529</v>
      </c>
      <c r="AH104" s="56" t="s">
        <v>3542</v>
      </c>
      <c r="AI104" s="56" t="s">
        <v>3723</v>
      </c>
    </row>
    <row r="105" spans="1:35" ht="33" customHeight="1">
      <c r="A105" s="56" t="s">
        <v>6533</v>
      </c>
      <c r="B105" s="57">
        <v>44358.429837962962</v>
      </c>
      <c r="C105" s="56" t="s">
        <v>3803</v>
      </c>
      <c r="D105" s="56" t="s">
        <v>4426</v>
      </c>
      <c r="E105" s="56" t="s">
        <v>5447</v>
      </c>
      <c r="F105" s="56" t="s">
        <v>6532</v>
      </c>
      <c r="G105" s="58" t="s">
        <v>3551</v>
      </c>
      <c r="H105" s="56">
        <v>1</v>
      </c>
      <c r="I105" s="56" t="s">
        <v>3550</v>
      </c>
      <c r="J105" s="56">
        <v>0</v>
      </c>
      <c r="K105" s="56">
        <v>0</v>
      </c>
      <c r="P105" s="56">
        <v>0</v>
      </c>
      <c r="S105" s="56">
        <v>0</v>
      </c>
      <c r="T105" s="56" t="s">
        <v>3562</v>
      </c>
      <c r="V105" s="56" t="s">
        <v>59</v>
      </c>
      <c r="W105" s="56" t="s">
        <v>3548</v>
      </c>
      <c r="X105" s="56" t="s">
        <v>3716</v>
      </c>
      <c r="Z105" s="56" t="s">
        <v>3546</v>
      </c>
      <c r="AA105" s="56" t="s">
        <v>6531</v>
      </c>
      <c r="AB105" s="56" t="s">
        <v>6530</v>
      </c>
      <c r="AC105" s="56" t="s">
        <v>3543</v>
      </c>
      <c r="AD105" s="56" t="s">
        <v>24</v>
      </c>
      <c r="AE105" s="56" t="s">
        <v>6354</v>
      </c>
      <c r="AF105" s="56" t="s">
        <v>6529</v>
      </c>
      <c r="AH105" s="56" t="s">
        <v>3542</v>
      </c>
      <c r="AI105" s="56" t="s">
        <v>3723</v>
      </c>
    </row>
    <row r="106" spans="1:35" ht="33" customHeight="1">
      <c r="A106" s="56" t="s">
        <v>6533</v>
      </c>
      <c r="B106" s="57">
        <v>44358.429837962962</v>
      </c>
      <c r="C106" s="56" t="s">
        <v>3803</v>
      </c>
      <c r="D106" s="56" t="s">
        <v>4426</v>
      </c>
      <c r="E106" s="56" t="s">
        <v>5447</v>
      </c>
      <c r="F106" s="56" t="s">
        <v>6532</v>
      </c>
      <c r="G106" s="58" t="s">
        <v>1500</v>
      </c>
      <c r="H106" s="56">
        <v>1</v>
      </c>
      <c r="I106" s="56" t="s">
        <v>6228</v>
      </c>
      <c r="J106" s="56">
        <v>0</v>
      </c>
      <c r="K106" s="56">
        <v>0</v>
      </c>
      <c r="P106" s="56">
        <v>0</v>
      </c>
      <c r="S106" s="56">
        <v>0</v>
      </c>
      <c r="T106" s="56" t="s">
        <v>3562</v>
      </c>
      <c r="V106" s="56" t="s">
        <v>59</v>
      </c>
      <c r="W106" s="56" t="s">
        <v>3548</v>
      </c>
      <c r="X106" s="56" t="s">
        <v>3716</v>
      </c>
      <c r="Z106" s="56" t="s">
        <v>3546</v>
      </c>
      <c r="AA106" s="56" t="s">
        <v>6531</v>
      </c>
      <c r="AB106" s="56" t="s">
        <v>6530</v>
      </c>
      <c r="AC106" s="56" t="s">
        <v>3543</v>
      </c>
      <c r="AD106" s="56" t="s">
        <v>24</v>
      </c>
      <c r="AE106" s="56" t="s">
        <v>6354</v>
      </c>
      <c r="AF106" s="56" t="s">
        <v>6529</v>
      </c>
      <c r="AH106" s="56" t="s">
        <v>3542</v>
      </c>
      <c r="AI106" s="56" t="s">
        <v>3723</v>
      </c>
    </row>
    <row r="107" spans="1:35" ht="33" customHeight="1">
      <c r="A107" s="56" t="s">
        <v>6528</v>
      </c>
      <c r="B107" s="57">
        <v>44358.448379629626</v>
      </c>
      <c r="C107" s="56" t="s">
        <v>3803</v>
      </c>
      <c r="D107" s="56" t="s">
        <v>3802</v>
      </c>
      <c r="E107" s="56" t="s">
        <v>6527</v>
      </c>
      <c r="F107" s="56" t="s">
        <v>6526</v>
      </c>
      <c r="G107" s="58" t="s">
        <v>1506</v>
      </c>
      <c r="H107" s="56">
        <v>1</v>
      </c>
      <c r="I107" s="56" t="s">
        <v>3696</v>
      </c>
      <c r="J107" s="56">
        <v>299</v>
      </c>
      <c r="K107" s="56">
        <v>299</v>
      </c>
      <c r="L107" s="56">
        <v>1492</v>
      </c>
      <c r="M107" s="56">
        <v>0</v>
      </c>
      <c r="N107" s="56">
        <v>0</v>
      </c>
      <c r="O107" s="56">
        <v>150</v>
      </c>
      <c r="P107" s="56">
        <v>0</v>
      </c>
      <c r="Q107" s="56">
        <v>1342</v>
      </c>
      <c r="R107" s="56">
        <v>0</v>
      </c>
      <c r="S107" s="56">
        <v>0</v>
      </c>
      <c r="T107" s="56" t="s">
        <v>3562</v>
      </c>
      <c r="U107" s="56">
        <v>1342</v>
      </c>
      <c r="V107" s="56" t="s">
        <v>59</v>
      </c>
      <c r="W107" s="56" t="s">
        <v>3548</v>
      </c>
      <c r="X107" s="56" t="s">
        <v>39</v>
      </c>
      <c r="Y107" s="56" t="s">
        <v>4088</v>
      </c>
      <c r="Z107" s="56" t="s">
        <v>6525</v>
      </c>
      <c r="AC107" s="56" t="s">
        <v>3543</v>
      </c>
      <c r="AD107" s="56" t="s">
        <v>24</v>
      </c>
      <c r="AE107" s="56" t="s">
        <v>6354</v>
      </c>
      <c r="AF107" s="56" t="s">
        <v>6524</v>
      </c>
      <c r="AH107" s="56" t="s">
        <v>3542</v>
      </c>
      <c r="AI107" s="56" t="s">
        <v>3723</v>
      </c>
    </row>
    <row r="108" spans="1:35" ht="33" customHeight="1">
      <c r="A108" s="56" t="s">
        <v>6528</v>
      </c>
      <c r="B108" s="57">
        <v>44358.448379629626</v>
      </c>
      <c r="C108" s="56" t="s">
        <v>3803</v>
      </c>
      <c r="D108" s="56" t="s">
        <v>3802</v>
      </c>
      <c r="E108" s="56" t="s">
        <v>6527</v>
      </c>
      <c r="F108" s="56" t="s">
        <v>6526</v>
      </c>
      <c r="G108" s="58" t="s">
        <v>1510</v>
      </c>
      <c r="H108" s="56">
        <v>1</v>
      </c>
      <c r="I108" s="56" t="s">
        <v>3696</v>
      </c>
      <c r="J108" s="56">
        <v>299</v>
      </c>
      <c r="K108" s="56">
        <v>299</v>
      </c>
      <c r="P108" s="56">
        <v>0</v>
      </c>
      <c r="S108" s="56">
        <v>0</v>
      </c>
      <c r="T108" s="56" t="s">
        <v>3562</v>
      </c>
      <c r="V108" s="56" t="s">
        <v>59</v>
      </c>
      <c r="W108" s="56" t="s">
        <v>3548</v>
      </c>
      <c r="X108" s="56" t="s">
        <v>39</v>
      </c>
      <c r="Y108" s="56" t="s">
        <v>4088</v>
      </c>
      <c r="Z108" s="56" t="s">
        <v>6525</v>
      </c>
      <c r="AC108" s="56" t="s">
        <v>3543</v>
      </c>
      <c r="AD108" s="56" t="s">
        <v>24</v>
      </c>
      <c r="AE108" s="56" t="s">
        <v>6354</v>
      </c>
      <c r="AF108" s="56" t="s">
        <v>6524</v>
      </c>
      <c r="AH108" s="56" t="s">
        <v>3542</v>
      </c>
      <c r="AI108" s="56" t="s">
        <v>3723</v>
      </c>
    </row>
    <row r="109" spans="1:35" ht="33" customHeight="1">
      <c r="A109" s="56" t="s">
        <v>6528</v>
      </c>
      <c r="B109" s="57">
        <v>44358.448379629626</v>
      </c>
      <c r="C109" s="56" t="s">
        <v>3803</v>
      </c>
      <c r="D109" s="56" t="s">
        <v>3802</v>
      </c>
      <c r="E109" s="56" t="s">
        <v>6527</v>
      </c>
      <c r="F109" s="56" t="s">
        <v>6526</v>
      </c>
      <c r="G109" s="58" t="s">
        <v>3187</v>
      </c>
      <c r="H109" s="56">
        <v>2</v>
      </c>
      <c r="I109" s="56" t="s">
        <v>3761</v>
      </c>
      <c r="J109" s="56">
        <v>149</v>
      </c>
      <c r="K109" s="56">
        <v>149</v>
      </c>
      <c r="P109" s="56">
        <v>0</v>
      </c>
      <c r="S109" s="56">
        <v>0</v>
      </c>
      <c r="T109" s="56" t="s">
        <v>3562</v>
      </c>
      <c r="V109" s="56" t="s">
        <v>59</v>
      </c>
      <c r="W109" s="56" t="s">
        <v>3548</v>
      </c>
      <c r="X109" s="56" t="s">
        <v>39</v>
      </c>
      <c r="Y109" s="56" t="s">
        <v>4088</v>
      </c>
      <c r="Z109" s="56" t="s">
        <v>6525</v>
      </c>
      <c r="AC109" s="56" t="s">
        <v>3543</v>
      </c>
      <c r="AD109" s="56" t="s">
        <v>24</v>
      </c>
      <c r="AE109" s="56" t="s">
        <v>6354</v>
      </c>
      <c r="AF109" s="56" t="s">
        <v>6524</v>
      </c>
      <c r="AH109" s="56" t="s">
        <v>3542</v>
      </c>
      <c r="AI109" s="56" t="s">
        <v>3723</v>
      </c>
    </row>
    <row r="110" spans="1:35" ht="33" customHeight="1">
      <c r="A110" s="56" t="s">
        <v>6528</v>
      </c>
      <c r="B110" s="57">
        <v>44358.448379629626</v>
      </c>
      <c r="C110" s="56" t="s">
        <v>3803</v>
      </c>
      <c r="D110" s="56" t="s">
        <v>3802</v>
      </c>
      <c r="E110" s="56" t="s">
        <v>6527</v>
      </c>
      <c r="F110" s="56" t="s">
        <v>6526</v>
      </c>
      <c r="G110" s="58" t="s">
        <v>1491</v>
      </c>
      <c r="H110" s="56">
        <v>2</v>
      </c>
      <c r="I110" s="56" t="s">
        <v>3586</v>
      </c>
      <c r="J110" s="56">
        <v>149</v>
      </c>
      <c r="K110" s="56">
        <v>149</v>
      </c>
      <c r="P110" s="56">
        <v>0</v>
      </c>
      <c r="S110" s="56">
        <v>0</v>
      </c>
      <c r="T110" s="56" t="s">
        <v>3562</v>
      </c>
      <c r="V110" s="56" t="s">
        <v>59</v>
      </c>
      <c r="W110" s="56" t="s">
        <v>3548</v>
      </c>
      <c r="X110" s="56" t="s">
        <v>39</v>
      </c>
      <c r="Y110" s="56" t="s">
        <v>4088</v>
      </c>
      <c r="Z110" s="56" t="s">
        <v>6525</v>
      </c>
      <c r="AC110" s="56" t="s">
        <v>3543</v>
      </c>
      <c r="AD110" s="56" t="s">
        <v>24</v>
      </c>
      <c r="AE110" s="56" t="s">
        <v>6354</v>
      </c>
      <c r="AF110" s="56" t="s">
        <v>6524</v>
      </c>
      <c r="AH110" s="56" t="s">
        <v>3542</v>
      </c>
      <c r="AI110" s="56" t="s">
        <v>3723</v>
      </c>
    </row>
    <row r="111" spans="1:35" ht="33" customHeight="1">
      <c r="A111" s="56" t="s">
        <v>6528</v>
      </c>
      <c r="B111" s="57">
        <v>44358.448379629626</v>
      </c>
      <c r="C111" s="56" t="s">
        <v>3803</v>
      </c>
      <c r="D111" s="56" t="s">
        <v>3802</v>
      </c>
      <c r="E111" s="56" t="s">
        <v>6527</v>
      </c>
      <c r="F111" s="56" t="s">
        <v>6526</v>
      </c>
      <c r="G111" s="58" t="s">
        <v>1493</v>
      </c>
      <c r="H111" s="56">
        <v>2</v>
      </c>
      <c r="I111" s="56" t="s">
        <v>3586</v>
      </c>
      <c r="J111" s="56">
        <v>149</v>
      </c>
      <c r="K111" s="56">
        <v>149</v>
      </c>
      <c r="P111" s="56">
        <v>0</v>
      </c>
      <c r="S111" s="56">
        <v>0</v>
      </c>
      <c r="T111" s="56" t="s">
        <v>3562</v>
      </c>
      <c r="V111" s="56" t="s">
        <v>59</v>
      </c>
      <c r="W111" s="56" t="s">
        <v>3548</v>
      </c>
      <c r="X111" s="56" t="s">
        <v>39</v>
      </c>
      <c r="Y111" s="56" t="s">
        <v>4088</v>
      </c>
      <c r="Z111" s="56" t="s">
        <v>6525</v>
      </c>
      <c r="AC111" s="56" t="s">
        <v>3543</v>
      </c>
      <c r="AD111" s="56" t="s">
        <v>24</v>
      </c>
      <c r="AE111" s="56" t="s">
        <v>6354</v>
      </c>
      <c r="AF111" s="56" t="s">
        <v>6524</v>
      </c>
      <c r="AH111" s="56" t="s">
        <v>3542</v>
      </c>
      <c r="AI111" s="56" t="s">
        <v>3723</v>
      </c>
    </row>
    <row r="112" spans="1:35" ht="33" customHeight="1">
      <c r="A112" s="56" t="s">
        <v>6528</v>
      </c>
      <c r="B112" s="57">
        <v>44358.448379629626</v>
      </c>
      <c r="C112" s="56" t="s">
        <v>3803</v>
      </c>
      <c r="D112" s="56" t="s">
        <v>3802</v>
      </c>
      <c r="E112" s="56" t="s">
        <v>6527</v>
      </c>
      <c r="F112" s="56" t="s">
        <v>6526</v>
      </c>
      <c r="G112" s="58" t="s">
        <v>3551</v>
      </c>
      <c r="H112" s="56">
        <v>1</v>
      </c>
      <c r="I112" s="56" t="s">
        <v>3550</v>
      </c>
      <c r="J112" s="56">
        <v>0</v>
      </c>
      <c r="K112" s="56">
        <v>0</v>
      </c>
      <c r="P112" s="56">
        <v>0</v>
      </c>
      <c r="S112" s="56">
        <v>0</v>
      </c>
      <c r="T112" s="56" t="s">
        <v>3562</v>
      </c>
      <c r="V112" s="56" t="s">
        <v>59</v>
      </c>
      <c r="W112" s="56" t="s">
        <v>3548</v>
      </c>
      <c r="X112" s="56" t="s">
        <v>39</v>
      </c>
      <c r="Y112" s="56" t="s">
        <v>4088</v>
      </c>
      <c r="Z112" s="56" t="s">
        <v>6525</v>
      </c>
      <c r="AC112" s="56" t="s">
        <v>3543</v>
      </c>
      <c r="AD112" s="56" t="s">
        <v>24</v>
      </c>
      <c r="AE112" s="56" t="s">
        <v>6354</v>
      </c>
      <c r="AF112" s="56" t="s">
        <v>6524</v>
      </c>
      <c r="AH112" s="56" t="s">
        <v>3542</v>
      </c>
      <c r="AI112" s="56" t="s">
        <v>3723</v>
      </c>
    </row>
    <row r="113" spans="1:35" ht="33" customHeight="1">
      <c r="A113" s="56" t="s">
        <v>6528</v>
      </c>
      <c r="B113" s="57">
        <v>44358.448379629626</v>
      </c>
      <c r="C113" s="56" t="s">
        <v>3803</v>
      </c>
      <c r="D113" s="56" t="s">
        <v>3802</v>
      </c>
      <c r="E113" s="56" t="s">
        <v>6527</v>
      </c>
      <c r="F113" s="56" t="s">
        <v>6526</v>
      </c>
      <c r="G113" s="58" t="s">
        <v>1500</v>
      </c>
      <c r="H113" s="56">
        <v>1</v>
      </c>
      <c r="I113" s="56" t="s">
        <v>6228</v>
      </c>
      <c r="J113" s="56">
        <v>0</v>
      </c>
      <c r="K113" s="56">
        <v>0</v>
      </c>
      <c r="P113" s="56">
        <v>0</v>
      </c>
      <c r="S113" s="56">
        <v>0</v>
      </c>
      <c r="T113" s="56" t="s">
        <v>3562</v>
      </c>
      <c r="V113" s="56" t="s">
        <v>59</v>
      </c>
      <c r="W113" s="56" t="s">
        <v>3548</v>
      </c>
      <c r="X113" s="56" t="s">
        <v>39</v>
      </c>
      <c r="Y113" s="56" t="s">
        <v>4088</v>
      </c>
      <c r="Z113" s="56" t="s">
        <v>6525</v>
      </c>
      <c r="AC113" s="56" t="s">
        <v>3543</v>
      </c>
      <c r="AD113" s="56" t="s">
        <v>24</v>
      </c>
      <c r="AE113" s="56" t="s">
        <v>6354</v>
      </c>
      <c r="AF113" s="56" t="s">
        <v>6524</v>
      </c>
      <c r="AH113" s="56" t="s">
        <v>3542</v>
      </c>
      <c r="AI113" s="56" t="s">
        <v>3723</v>
      </c>
    </row>
    <row r="114" spans="1:35" ht="33" customHeight="1">
      <c r="A114" s="56" t="s">
        <v>6523</v>
      </c>
      <c r="B114" s="57">
        <v>44358.501030092593</v>
      </c>
      <c r="C114" s="56" t="s">
        <v>3803</v>
      </c>
      <c r="D114" s="56" t="s">
        <v>4511</v>
      </c>
      <c r="E114" s="56" t="s">
        <v>6522</v>
      </c>
      <c r="F114" s="56" t="s">
        <v>6521</v>
      </c>
      <c r="G114" s="58" t="s">
        <v>3316</v>
      </c>
      <c r="H114" s="56">
        <v>2</v>
      </c>
      <c r="I114" s="56" t="s">
        <v>3695</v>
      </c>
      <c r="J114" s="56">
        <v>399</v>
      </c>
      <c r="K114" s="56">
        <v>399</v>
      </c>
      <c r="L114" s="56">
        <v>1165</v>
      </c>
      <c r="M114" s="56">
        <v>0</v>
      </c>
      <c r="N114" s="56">
        <v>0</v>
      </c>
      <c r="O114" s="56">
        <v>117</v>
      </c>
      <c r="P114" s="56">
        <v>0</v>
      </c>
      <c r="Q114" s="56">
        <v>1048</v>
      </c>
      <c r="R114" s="56">
        <v>0</v>
      </c>
      <c r="S114" s="56">
        <v>0</v>
      </c>
      <c r="T114" s="56" t="s">
        <v>3562</v>
      </c>
      <c r="U114" s="56">
        <v>1048</v>
      </c>
      <c r="V114" s="56" t="s">
        <v>59</v>
      </c>
      <c r="W114" s="56" t="s">
        <v>3548</v>
      </c>
      <c r="X114" s="56" t="s">
        <v>3716</v>
      </c>
      <c r="Z114" s="56" t="s">
        <v>3546</v>
      </c>
      <c r="AA114" s="56" t="s">
        <v>6520</v>
      </c>
      <c r="AB114" s="56" t="s">
        <v>6519</v>
      </c>
      <c r="AC114" s="56" t="s">
        <v>3543</v>
      </c>
      <c r="AD114" s="56" t="s">
        <v>24</v>
      </c>
      <c r="AE114" s="56" t="s">
        <v>6354</v>
      </c>
      <c r="AF114" s="56" t="s">
        <v>6518</v>
      </c>
      <c r="AH114" s="56" t="s">
        <v>3542</v>
      </c>
      <c r="AI114" s="56" t="s">
        <v>3723</v>
      </c>
    </row>
    <row r="115" spans="1:35" ht="33" customHeight="1">
      <c r="A115" s="56" t="s">
        <v>6523</v>
      </c>
      <c r="B115" s="57">
        <v>44358.501030092593</v>
      </c>
      <c r="C115" s="56" t="s">
        <v>3803</v>
      </c>
      <c r="D115" s="56" t="s">
        <v>4511</v>
      </c>
      <c r="E115" s="56" t="s">
        <v>6522</v>
      </c>
      <c r="F115" s="56" t="s">
        <v>6521</v>
      </c>
      <c r="G115" s="58" t="s">
        <v>3189</v>
      </c>
      <c r="H115" s="56">
        <v>1</v>
      </c>
      <c r="I115" s="56" t="s">
        <v>3761</v>
      </c>
      <c r="J115" s="56">
        <v>149</v>
      </c>
      <c r="K115" s="56">
        <v>149</v>
      </c>
      <c r="P115" s="56">
        <v>0</v>
      </c>
      <c r="S115" s="56">
        <v>0</v>
      </c>
      <c r="T115" s="56" t="s">
        <v>3562</v>
      </c>
      <c r="V115" s="56" t="s">
        <v>59</v>
      </c>
      <c r="W115" s="56" t="s">
        <v>3548</v>
      </c>
      <c r="X115" s="56" t="s">
        <v>3716</v>
      </c>
      <c r="Z115" s="56" t="s">
        <v>3546</v>
      </c>
      <c r="AA115" s="56" t="s">
        <v>6520</v>
      </c>
      <c r="AB115" s="56" t="s">
        <v>6519</v>
      </c>
      <c r="AC115" s="56" t="s">
        <v>3543</v>
      </c>
      <c r="AD115" s="56" t="s">
        <v>24</v>
      </c>
      <c r="AE115" s="56" t="s">
        <v>6354</v>
      </c>
      <c r="AF115" s="56" t="s">
        <v>6518</v>
      </c>
      <c r="AH115" s="56" t="s">
        <v>3542</v>
      </c>
      <c r="AI115" s="56" t="s">
        <v>3723</v>
      </c>
    </row>
    <row r="116" spans="1:35" ht="33" customHeight="1">
      <c r="A116" s="56" t="s">
        <v>6523</v>
      </c>
      <c r="B116" s="57">
        <v>44358.501030092593</v>
      </c>
      <c r="C116" s="56" t="s">
        <v>3803</v>
      </c>
      <c r="D116" s="56" t="s">
        <v>4511</v>
      </c>
      <c r="E116" s="56" t="s">
        <v>6522</v>
      </c>
      <c r="F116" s="56" t="s">
        <v>6521</v>
      </c>
      <c r="G116" s="58" t="s">
        <v>3187</v>
      </c>
      <c r="H116" s="56">
        <v>1</v>
      </c>
      <c r="I116" s="56" t="s">
        <v>3761</v>
      </c>
      <c r="J116" s="56">
        <v>149</v>
      </c>
      <c r="K116" s="56">
        <v>149</v>
      </c>
      <c r="P116" s="56">
        <v>0</v>
      </c>
      <c r="S116" s="56">
        <v>0</v>
      </c>
      <c r="T116" s="56" t="s">
        <v>3562</v>
      </c>
      <c r="V116" s="56" t="s">
        <v>59</v>
      </c>
      <c r="W116" s="56" t="s">
        <v>3548</v>
      </c>
      <c r="X116" s="56" t="s">
        <v>3716</v>
      </c>
      <c r="Z116" s="56" t="s">
        <v>3546</v>
      </c>
      <c r="AA116" s="56" t="s">
        <v>6520</v>
      </c>
      <c r="AB116" s="56" t="s">
        <v>6519</v>
      </c>
      <c r="AC116" s="56" t="s">
        <v>3543</v>
      </c>
      <c r="AD116" s="56" t="s">
        <v>24</v>
      </c>
      <c r="AE116" s="56" t="s">
        <v>6354</v>
      </c>
      <c r="AF116" s="56" t="s">
        <v>6518</v>
      </c>
      <c r="AH116" s="56" t="s">
        <v>3542</v>
      </c>
      <c r="AI116" s="56" t="s">
        <v>3723</v>
      </c>
    </row>
    <row r="117" spans="1:35" ht="33" customHeight="1">
      <c r="A117" s="56" t="s">
        <v>6523</v>
      </c>
      <c r="B117" s="57">
        <v>44358.501030092593</v>
      </c>
      <c r="C117" s="56" t="s">
        <v>3803</v>
      </c>
      <c r="D117" s="56" t="s">
        <v>4511</v>
      </c>
      <c r="E117" s="56" t="s">
        <v>6522</v>
      </c>
      <c r="F117" s="56" t="s">
        <v>6521</v>
      </c>
      <c r="G117" s="58" t="s">
        <v>3217</v>
      </c>
      <c r="H117" s="56">
        <v>1</v>
      </c>
      <c r="I117" s="56" t="s">
        <v>3594</v>
      </c>
      <c r="J117" s="56">
        <v>69</v>
      </c>
      <c r="K117" s="56">
        <v>69</v>
      </c>
      <c r="P117" s="56">
        <v>0</v>
      </c>
      <c r="S117" s="56">
        <v>0</v>
      </c>
      <c r="T117" s="56" t="s">
        <v>3562</v>
      </c>
      <c r="V117" s="56" t="s">
        <v>59</v>
      </c>
      <c r="W117" s="56" t="s">
        <v>3548</v>
      </c>
      <c r="X117" s="56" t="s">
        <v>3716</v>
      </c>
      <c r="Z117" s="56" t="s">
        <v>3546</v>
      </c>
      <c r="AA117" s="56" t="s">
        <v>6520</v>
      </c>
      <c r="AB117" s="56" t="s">
        <v>6519</v>
      </c>
      <c r="AC117" s="56" t="s">
        <v>3543</v>
      </c>
      <c r="AD117" s="56" t="s">
        <v>24</v>
      </c>
      <c r="AE117" s="56" t="s">
        <v>6354</v>
      </c>
      <c r="AF117" s="56" t="s">
        <v>6518</v>
      </c>
      <c r="AH117" s="56" t="s">
        <v>3542</v>
      </c>
      <c r="AI117" s="56" t="s">
        <v>3723</v>
      </c>
    </row>
    <row r="118" spans="1:35" ht="33" customHeight="1">
      <c r="A118" s="56" t="s">
        <v>6523</v>
      </c>
      <c r="B118" s="57">
        <v>44358.501030092593</v>
      </c>
      <c r="C118" s="56" t="s">
        <v>3803</v>
      </c>
      <c r="D118" s="56" t="s">
        <v>4511</v>
      </c>
      <c r="E118" s="56" t="s">
        <v>6522</v>
      </c>
      <c r="F118" s="56" t="s">
        <v>6521</v>
      </c>
      <c r="G118" s="58" t="s">
        <v>3551</v>
      </c>
      <c r="H118" s="56">
        <v>1</v>
      </c>
      <c r="I118" s="56" t="s">
        <v>3550</v>
      </c>
      <c r="J118" s="56">
        <v>0</v>
      </c>
      <c r="K118" s="56">
        <v>0</v>
      </c>
      <c r="P118" s="56">
        <v>0</v>
      </c>
      <c r="S118" s="56">
        <v>0</v>
      </c>
      <c r="T118" s="56" t="s">
        <v>3562</v>
      </c>
      <c r="V118" s="56" t="s">
        <v>59</v>
      </c>
      <c r="W118" s="56" t="s">
        <v>3548</v>
      </c>
      <c r="X118" s="56" t="s">
        <v>3716</v>
      </c>
      <c r="Z118" s="56" t="s">
        <v>3546</v>
      </c>
      <c r="AA118" s="56" t="s">
        <v>6520</v>
      </c>
      <c r="AB118" s="56" t="s">
        <v>6519</v>
      </c>
      <c r="AC118" s="56" t="s">
        <v>3543</v>
      </c>
      <c r="AD118" s="56" t="s">
        <v>24</v>
      </c>
      <c r="AE118" s="56" t="s">
        <v>6354</v>
      </c>
      <c r="AF118" s="56" t="s">
        <v>6518</v>
      </c>
      <c r="AH118" s="56" t="s">
        <v>3542</v>
      </c>
      <c r="AI118" s="56" t="s">
        <v>3723</v>
      </c>
    </row>
    <row r="119" spans="1:35" ht="33" customHeight="1">
      <c r="A119" s="56" t="s">
        <v>6523</v>
      </c>
      <c r="B119" s="57">
        <v>44358.501030092593</v>
      </c>
      <c r="C119" s="56" t="s">
        <v>3803</v>
      </c>
      <c r="D119" s="56" t="s">
        <v>4511</v>
      </c>
      <c r="E119" s="56" t="s">
        <v>6522</v>
      </c>
      <c r="F119" s="56" t="s">
        <v>6521</v>
      </c>
      <c r="G119" s="58" t="s">
        <v>1500</v>
      </c>
      <c r="H119" s="56">
        <v>1</v>
      </c>
      <c r="I119" s="56" t="s">
        <v>6228</v>
      </c>
      <c r="J119" s="56">
        <v>0</v>
      </c>
      <c r="K119" s="56">
        <v>0</v>
      </c>
      <c r="P119" s="56">
        <v>0</v>
      </c>
      <c r="S119" s="56">
        <v>0</v>
      </c>
      <c r="T119" s="56" t="s">
        <v>3562</v>
      </c>
      <c r="V119" s="56" t="s">
        <v>59</v>
      </c>
      <c r="W119" s="56" t="s">
        <v>3548</v>
      </c>
      <c r="X119" s="56" t="s">
        <v>3716</v>
      </c>
      <c r="Z119" s="56" t="s">
        <v>3546</v>
      </c>
      <c r="AA119" s="56" t="s">
        <v>6520</v>
      </c>
      <c r="AB119" s="56" t="s">
        <v>6519</v>
      </c>
      <c r="AC119" s="56" t="s">
        <v>3543</v>
      </c>
      <c r="AD119" s="56" t="s">
        <v>24</v>
      </c>
      <c r="AE119" s="56" t="s">
        <v>6354</v>
      </c>
      <c r="AF119" s="56" t="s">
        <v>6518</v>
      </c>
      <c r="AH119" s="56" t="s">
        <v>3542</v>
      </c>
      <c r="AI119" s="56" t="s">
        <v>3723</v>
      </c>
    </row>
    <row r="120" spans="1:35" ht="33" customHeight="1">
      <c r="A120" s="56" t="s">
        <v>6517</v>
      </c>
      <c r="B120" s="57">
        <v>44358.522118055553</v>
      </c>
      <c r="C120" s="56" t="s">
        <v>3803</v>
      </c>
      <c r="D120" s="56" t="s">
        <v>4426</v>
      </c>
      <c r="E120" s="56" t="s">
        <v>6516</v>
      </c>
      <c r="F120" s="56" t="s">
        <v>6515</v>
      </c>
      <c r="G120" s="58" t="s">
        <v>4025</v>
      </c>
      <c r="H120" s="56">
        <v>1</v>
      </c>
      <c r="I120" s="56" t="s">
        <v>3602</v>
      </c>
      <c r="J120" s="56">
        <v>447</v>
      </c>
      <c r="K120" s="56">
        <v>399</v>
      </c>
      <c r="L120" s="56">
        <v>527</v>
      </c>
      <c r="M120" s="56">
        <v>65</v>
      </c>
      <c r="N120" s="56">
        <v>0</v>
      </c>
      <c r="O120" s="56">
        <v>0</v>
      </c>
      <c r="P120" s="56">
        <v>0</v>
      </c>
      <c r="Q120" s="56">
        <v>592</v>
      </c>
      <c r="R120" s="56">
        <v>0</v>
      </c>
      <c r="S120" s="56">
        <v>0</v>
      </c>
      <c r="T120" s="56" t="s">
        <v>27</v>
      </c>
      <c r="U120" s="56">
        <v>592</v>
      </c>
      <c r="V120" s="56" t="s">
        <v>3549</v>
      </c>
      <c r="W120" s="56" t="s">
        <v>3548</v>
      </c>
      <c r="X120" s="56" t="s">
        <v>3547</v>
      </c>
      <c r="Z120" s="56" t="s">
        <v>3546</v>
      </c>
      <c r="AA120" s="56" t="s">
        <v>6514</v>
      </c>
      <c r="AB120" s="56" t="s">
        <v>6513</v>
      </c>
      <c r="AC120" s="56" t="s">
        <v>3543</v>
      </c>
      <c r="AH120" s="56" t="s">
        <v>3542</v>
      </c>
      <c r="AI120" s="56" t="s">
        <v>3541</v>
      </c>
    </row>
    <row r="121" spans="1:35" ht="33" customHeight="1">
      <c r="A121" s="56" t="s">
        <v>6517</v>
      </c>
      <c r="B121" s="57">
        <v>44358.522118055553</v>
      </c>
      <c r="C121" s="56" t="s">
        <v>3803</v>
      </c>
      <c r="D121" s="56" t="s">
        <v>4426</v>
      </c>
      <c r="E121" s="56" t="s">
        <v>6516</v>
      </c>
      <c r="F121" s="56" t="s">
        <v>6515</v>
      </c>
      <c r="G121" s="58" t="s">
        <v>2165</v>
      </c>
      <c r="H121" s="56">
        <v>1</v>
      </c>
      <c r="I121" s="56" t="s">
        <v>3694</v>
      </c>
      <c r="J121" s="56">
        <v>128</v>
      </c>
      <c r="K121" s="56">
        <v>128</v>
      </c>
      <c r="P121" s="56">
        <v>0</v>
      </c>
      <c r="S121" s="56">
        <v>0</v>
      </c>
      <c r="T121" s="56" t="s">
        <v>27</v>
      </c>
      <c r="V121" s="56" t="s">
        <v>3549</v>
      </c>
      <c r="W121" s="56" t="s">
        <v>3548</v>
      </c>
      <c r="X121" s="56" t="s">
        <v>3547</v>
      </c>
      <c r="Z121" s="56" t="s">
        <v>3546</v>
      </c>
      <c r="AA121" s="56" t="s">
        <v>6514</v>
      </c>
      <c r="AB121" s="56" t="s">
        <v>6513</v>
      </c>
      <c r="AC121" s="56" t="s">
        <v>3543</v>
      </c>
      <c r="AH121" s="56" t="s">
        <v>3542</v>
      </c>
      <c r="AI121" s="56" t="s">
        <v>3541</v>
      </c>
    </row>
    <row r="122" spans="1:35" ht="33" customHeight="1">
      <c r="A122" s="56" t="s">
        <v>6517</v>
      </c>
      <c r="B122" s="57">
        <v>44358.522118055553</v>
      </c>
      <c r="C122" s="56" t="s">
        <v>3803</v>
      </c>
      <c r="D122" s="56" t="s">
        <v>4426</v>
      </c>
      <c r="E122" s="56" t="s">
        <v>6516</v>
      </c>
      <c r="F122" s="56" t="s">
        <v>6515</v>
      </c>
      <c r="G122" s="58" t="s">
        <v>3551</v>
      </c>
      <c r="H122" s="56">
        <v>1</v>
      </c>
      <c r="I122" s="56" t="s">
        <v>3550</v>
      </c>
      <c r="J122" s="56">
        <v>0</v>
      </c>
      <c r="K122" s="56">
        <v>0</v>
      </c>
      <c r="P122" s="56">
        <v>0</v>
      </c>
      <c r="S122" s="56">
        <v>0</v>
      </c>
      <c r="T122" s="56" t="s">
        <v>27</v>
      </c>
      <c r="V122" s="56" t="s">
        <v>3549</v>
      </c>
      <c r="W122" s="56" t="s">
        <v>3548</v>
      </c>
      <c r="X122" s="56" t="s">
        <v>3547</v>
      </c>
      <c r="Z122" s="56" t="s">
        <v>3546</v>
      </c>
      <c r="AA122" s="56" t="s">
        <v>6514</v>
      </c>
      <c r="AB122" s="56" t="s">
        <v>6513</v>
      </c>
      <c r="AC122" s="56" t="s">
        <v>3543</v>
      </c>
      <c r="AH122" s="56" t="s">
        <v>3542</v>
      </c>
      <c r="AI122" s="56" t="s">
        <v>3541</v>
      </c>
    </row>
    <row r="123" spans="1:35" ht="33" customHeight="1">
      <c r="A123" s="56" t="s">
        <v>6512</v>
      </c>
      <c r="B123" s="57">
        <v>44358.528912037036</v>
      </c>
      <c r="C123" s="56" t="s">
        <v>4512</v>
      </c>
      <c r="D123" s="56" t="s">
        <v>4511</v>
      </c>
      <c r="E123" s="56" t="s">
        <v>6511</v>
      </c>
      <c r="F123" s="56" t="s">
        <v>6510</v>
      </c>
      <c r="G123" s="58" t="s">
        <v>3747</v>
      </c>
      <c r="H123" s="56">
        <v>1</v>
      </c>
      <c r="I123" s="56" t="s">
        <v>3746</v>
      </c>
      <c r="J123" s="56">
        <v>660</v>
      </c>
      <c r="K123" s="56">
        <v>450</v>
      </c>
      <c r="L123" s="56">
        <v>1179</v>
      </c>
      <c r="M123" s="56">
        <v>0</v>
      </c>
      <c r="N123" s="56">
        <v>0</v>
      </c>
      <c r="O123" s="56">
        <v>100</v>
      </c>
      <c r="P123" s="56">
        <v>0</v>
      </c>
      <c r="Q123" s="56">
        <v>1079</v>
      </c>
      <c r="R123" s="56">
        <v>0</v>
      </c>
      <c r="S123" s="56">
        <v>0</v>
      </c>
      <c r="T123" s="56" t="s">
        <v>3562</v>
      </c>
      <c r="U123" s="56">
        <v>1079</v>
      </c>
      <c r="V123" s="56" t="s">
        <v>3549</v>
      </c>
      <c r="W123" s="56" t="s">
        <v>3548</v>
      </c>
      <c r="X123" s="56" t="s">
        <v>3547</v>
      </c>
      <c r="Z123" s="56" t="s">
        <v>3546</v>
      </c>
      <c r="AA123" s="56" t="s">
        <v>6509</v>
      </c>
      <c r="AB123" s="56" t="s">
        <v>6508</v>
      </c>
      <c r="AC123" s="56" t="s">
        <v>3543</v>
      </c>
      <c r="AD123" s="56" t="s">
        <v>24</v>
      </c>
      <c r="AE123" s="56" t="s">
        <v>3862</v>
      </c>
      <c r="AF123" s="56" t="s">
        <v>6507</v>
      </c>
      <c r="AH123" s="56" t="s">
        <v>3542</v>
      </c>
      <c r="AI123" s="56" t="s">
        <v>3723</v>
      </c>
    </row>
    <row r="124" spans="1:35" ht="33" customHeight="1">
      <c r="A124" s="56" t="s">
        <v>6512</v>
      </c>
      <c r="B124" s="57">
        <v>44358.528912037036</v>
      </c>
      <c r="C124" s="56" t="s">
        <v>4512</v>
      </c>
      <c r="D124" s="56" t="s">
        <v>4511</v>
      </c>
      <c r="E124" s="56" t="s">
        <v>6511</v>
      </c>
      <c r="F124" s="56" t="s">
        <v>6510</v>
      </c>
      <c r="G124" s="58" t="s">
        <v>5349</v>
      </c>
      <c r="H124" s="56">
        <v>1</v>
      </c>
      <c r="I124" s="56" t="s">
        <v>5335</v>
      </c>
      <c r="J124" s="56">
        <v>547</v>
      </c>
      <c r="K124" s="56">
        <v>460</v>
      </c>
      <c r="P124" s="56">
        <v>0</v>
      </c>
      <c r="S124" s="56">
        <v>0</v>
      </c>
      <c r="T124" s="56" t="s">
        <v>3562</v>
      </c>
      <c r="V124" s="56" t="s">
        <v>3549</v>
      </c>
      <c r="W124" s="56" t="s">
        <v>3548</v>
      </c>
      <c r="X124" s="56" t="s">
        <v>3547</v>
      </c>
      <c r="Z124" s="56" t="s">
        <v>3546</v>
      </c>
      <c r="AA124" s="56" t="s">
        <v>6509</v>
      </c>
      <c r="AB124" s="56" t="s">
        <v>6508</v>
      </c>
      <c r="AC124" s="56" t="s">
        <v>3543</v>
      </c>
      <c r="AD124" s="56" t="s">
        <v>24</v>
      </c>
      <c r="AE124" s="56" t="s">
        <v>3862</v>
      </c>
      <c r="AF124" s="56" t="s">
        <v>6507</v>
      </c>
      <c r="AH124" s="56" t="s">
        <v>3542</v>
      </c>
      <c r="AI124" s="56" t="s">
        <v>3723</v>
      </c>
    </row>
    <row r="125" spans="1:35" ht="33" customHeight="1">
      <c r="A125" s="56" t="s">
        <v>6512</v>
      </c>
      <c r="B125" s="57">
        <v>44358.528912037036</v>
      </c>
      <c r="C125" s="56" t="s">
        <v>4512</v>
      </c>
      <c r="D125" s="56" t="s">
        <v>4511</v>
      </c>
      <c r="E125" s="56" t="s">
        <v>6511</v>
      </c>
      <c r="F125" s="56" t="s">
        <v>6510</v>
      </c>
      <c r="G125" s="58" t="s">
        <v>3196</v>
      </c>
      <c r="H125" s="56">
        <v>1</v>
      </c>
      <c r="I125" s="56" t="s">
        <v>2550</v>
      </c>
      <c r="J125" s="56">
        <v>120</v>
      </c>
      <c r="K125" s="56">
        <v>120</v>
      </c>
      <c r="P125" s="56">
        <v>0</v>
      </c>
      <c r="S125" s="56">
        <v>0</v>
      </c>
      <c r="T125" s="56" t="s">
        <v>3562</v>
      </c>
      <c r="V125" s="56" t="s">
        <v>3549</v>
      </c>
      <c r="W125" s="56" t="s">
        <v>3548</v>
      </c>
      <c r="X125" s="56" t="s">
        <v>3547</v>
      </c>
      <c r="Z125" s="56" t="s">
        <v>3546</v>
      </c>
      <c r="AA125" s="56" t="s">
        <v>6509</v>
      </c>
      <c r="AB125" s="56" t="s">
        <v>6508</v>
      </c>
      <c r="AC125" s="56" t="s">
        <v>3543</v>
      </c>
      <c r="AD125" s="56" t="s">
        <v>24</v>
      </c>
      <c r="AE125" s="56" t="s">
        <v>3862</v>
      </c>
      <c r="AF125" s="56" t="s">
        <v>6507</v>
      </c>
      <c r="AH125" s="56" t="s">
        <v>3542</v>
      </c>
      <c r="AI125" s="56" t="s">
        <v>3723</v>
      </c>
    </row>
    <row r="126" spans="1:35" ht="33" customHeight="1">
      <c r="A126" s="56" t="s">
        <v>6512</v>
      </c>
      <c r="B126" s="57">
        <v>44358.528912037036</v>
      </c>
      <c r="C126" s="56" t="s">
        <v>4512</v>
      </c>
      <c r="D126" s="56" t="s">
        <v>4511</v>
      </c>
      <c r="E126" s="56" t="s">
        <v>6511</v>
      </c>
      <c r="F126" s="56" t="s">
        <v>6510</v>
      </c>
      <c r="G126" s="58" t="s">
        <v>1491</v>
      </c>
      <c r="H126" s="56">
        <v>1</v>
      </c>
      <c r="I126" s="56" t="s">
        <v>3586</v>
      </c>
      <c r="J126" s="56">
        <v>149</v>
      </c>
      <c r="K126" s="56">
        <v>149</v>
      </c>
      <c r="P126" s="56">
        <v>0</v>
      </c>
      <c r="S126" s="56">
        <v>0</v>
      </c>
      <c r="T126" s="56" t="s">
        <v>3562</v>
      </c>
      <c r="V126" s="56" t="s">
        <v>3549</v>
      </c>
      <c r="W126" s="56" t="s">
        <v>3548</v>
      </c>
      <c r="X126" s="56" t="s">
        <v>3547</v>
      </c>
      <c r="Z126" s="56" t="s">
        <v>3546</v>
      </c>
      <c r="AA126" s="56" t="s">
        <v>6509</v>
      </c>
      <c r="AB126" s="56" t="s">
        <v>6508</v>
      </c>
      <c r="AC126" s="56" t="s">
        <v>3543</v>
      </c>
      <c r="AD126" s="56" t="s">
        <v>24</v>
      </c>
      <c r="AE126" s="56" t="s">
        <v>3862</v>
      </c>
      <c r="AF126" s="56" t="s">
        <v>6507</v>
      </c>
      <c r="AH126" s="56" t="s">
        <v>3542</v>
      </c>
      <c r="AI126" s="56" t="s">
        <v>3723</v>
      </c>
    </row>
    <row r="127" spans="1:35" ht="33" customHeight="1">
      <c r="A127" s="56" t="s">
        <v>6512</v>
      </c>
      <c r="B127" s="57">
        <v>44358.528912037036</v>
      </c>
      <c r="C127" s="56" t="s">
        <v>4512</v>
      </c>
      <c r="D127" s="56" t="s">
        <v>4511</v>
      </c>
      <c r="E127" s="56" t="s">
        <v>6511</v>
      </c>
      <c r="F127" s="56" t="s">
        <v>6510</v>
      </c>
      <c r="G127" s="58" t="s">
        <v>3551</v>
      </c>
      <c r="H127" s="56">
        <v>1</v>
      </c>
      <c r="I127" s="56" t="s">
        <v>3550</v>
      </c>
      <c r="J127" s="56">
        <v>0</v>
      </c>
      <c r="K127" s="56">
        <v>0</v>
      </c>
      <c r="P127" s="56">
        <v>0</v>
      </c>
      <c r="S127" s="56">
        <v>0</v>
      </c>
      <c r="T127" s="56" t="s">
        <v>3562</v>
      </c>
      <c r="V127" s="56" t="s">
        <v>3549</v>
      </c>
      <c r="W127" s="56" t="s">
        <v>3548</v>
      </c>
      <c r="X127" s="56" t="s">
        <v>3547</v>
      </c>
      <c r="Z127" s="56" t="s">
        <v>3546</v>
      </c>
      <c r="AA127" s="56" t="s">
        <v>6509</v>
      </c>
      <c r="AB127" s="56" t="s">
        <v>6508</v>
      </c>
      <c r="AC127" s="56" t="s">
        <v>3543</v>
      </c>
      <c r="AD127" s="56" t="s">
        <v>24</v>
      </c>
      <c r="AE127" s="56" t="s">
        <v>3862</v>
      </c>
      <c r="AF127" s="56" t="s">
        <v>6507</v>
      </c>
      <c r="AH127" s="56" t="s">
        <v>3542</v>
      </c>
      <c r="AI127" s="56" t="s">
        <v>3723</v>
      </c>
    </row>
    <row r="128" spans="1:35" ht="33" customHeight="1">
      <c r="A128" s="56" t="s">
        <v>6512</v>
      </c>
      <c r="B128" s="57">
        <v>44358.528912037036</v>
      </c>
      <c r="C128" s="56" t="s">
        <v>4512</v>
      </c>
      <c r="D128" s="56" t="s">
        <v>4511</v>
      </c>
      <c r="E128" s="56" t="s">
        <v>6511</v>
      </c>
      <c r="F128" s="56" t="s">
        <v>6510</v>
      </c>
      <c r="G128" s="58" t="s">
        <v>1500</v>
      </c>
      <c r="H128" s="56">
        <v>1</v>
      </c>
      <c r="I128" s="56" t="s">
        <v>6228</v>
      </c>
      <c r="J128" s="56">
        <v>0</v>
      </c>
      <c r="K128" s="56">
        <v>0</v>
      </c>
      <c r="P128" s="56">
        <v>0</v>
      </c>
      <c r="S128" s="56">
        <v>0</v>
      </c>
      <c r="T128" s="56" t="s">
        <v>3562</v>
      </c>
      <c r="V128" s="56" t="s">
        <v>3549</v>
      </c>
      <c r="W128" s="56" t="s">
        <v>3548</v>
      </c>
      <c r="X128" s="56" t="s">
        <v>3547</v>
      </c>
      <c r="Z128" s="56" t="s">
        <v>3546</v>
      </c>
      <c r="AA128" s="56" t="s">
        <v>6509</v>
      </c>
      <c r="AB128" s="56" t="s">
        <v>6508</v>
      </c>
      <c r="AC128" s="56" t="s">
        <v>3543</v>
      </c>
      <c r="AD128" s="56" t="s">
        <v>24</v>
      </c>
      <c r="AE128" s="56" t="s">
        <v>3862</v>
      </c>
      <c r="AF128" s="56" t="s">
        <v>6507</v>
      </c>
      <c r="AH128" s="56" t="s">
        <v>3542</v>
      </c>
      <c r="AI128" s="56" t="s">
        <v>3723</v>
      </c>
    </row>
    <row r="129" spans="1:35" ht="33" customHeight="1">
      <c r="A129" s="56" t="s">
        <v>6506</v>
      </c>
      <c r="B129" s="57">
        <v>44358.575266203705</v>
      </c>
      <c r="C129" s="56" t="s">
        <v>3803</v>
      </c>
      <c r="D129" s="56" t="s">
        <v>3802</v>
      </c>
      <c r="E129" s="56" t="s">
        <v>6505</v>
      </c>
      <c r="F129" s="56" t="s">
        <v>6504</v>
      </c>
      <c r="G129" s="58" t="s">
        <v>3299</v>
      </c>
      <c r="H129" s="56">
        <v>1</v>
      </c>
      <c r="I129" s="56" t="s">
        <v>3576</v>
      </c>
      <c r="J129" s="56">
        <v>299</v>
      </c>
      <c r="K129" s="56">
        <v>299</v>
      </c>
      <c r="L129" s="56">
        <v>1097</v>
      </c>
      <c r="M129" s="56">
        <v>0</v>
      </c>
      <c r="N129" s="56">
        <v>0</v>
      </c>
      <c r="O129" s="56">
        <v>110</v>
      </c>
      <c r="P129" s="56">
        <v>0</v>
      </c>
      <c r="Q129" s="56">
        <v>987</v>
      </c>
      <c r="R129" s="56">
        <v>0</v>
      </c>
      <c r="S129" s="56">
        <v>0</v>
      </c>
      <c r="T129" s="56" t="s">
        <v>3562</v>
      </c>
      <c r="U129" s="56">
        <v>987</v>
      </c>
      <c r="V129" s="56" t="s">
        <v>59</v>
      </c>
      <c r="W129" s="56" t="s">
        <v>3548</v>
      </c>
      <c r="X129" s="56" t="s">
        <v>39</v>
      </c>
      <c r="Y129" s="56" t="s">
        <v>3617</v>
      </c>
      <c r="Z129" s="56" t="s">
        <v>6503</v>
      </c>
      <c r="AC129" s="56" t="s">
        <v>3543</v>
      </c>
      <c r="AD129" s="56" t="s">
        <v>24</v>
      </c>
      <c r="AE129" s="56" t="s">
        <v>6354</v>
      </c>
      <c r="AF129" s="56" t="s">
        <v>6502</v>
      </c>
      <c r="AH129" s="56" t="s">
        <v>3542</v>
      </c>
      <c r="AI129" s="56" t="s">
        <v>3723</v>
      </c>
    </row>
    <row r="130" spans="1:35" ht="33" customHeight="1">
      <c r="A130" s="56" t="s">
        <v>6506</v>
      </c>
      <c r="B130" s="57">
        <v>44358.575266203705</v>
      </c>
      <c r="C130" s="56" t="s">
        <v>3803</v>
      </c>
      <c r="D130" s="56" t="s">
        <v>3802</v>
      </c>
      <c r="E130" s="56" t="s">
        <v>6505</v>
      </c>
      <c r="F130" s="56" t="s">
        <v>6504</v>
      </c>
      <c r="G130" s="58" t="s">
        <v>3603</v>
      </c>
      <c r="H130" s="56">
        <v>2</v>
      </c>
      <c r="I130" s="56" t="s">
        <v>3602</v>
      </c>
      <c r="J130" s="56">
        <v>447</v>
      </c>
      <c r="K130" s="56">
        <v>399</v>
      </c>
      <c r="P130" s="56">
        <v>0</v>
      </c>
      <c r="S130" s="56">
        <v>0</v>
      </c>
      <c r="T130" s="56" t="s">
        <v>3562</v>
      </c>
      <c r="V130" s="56" t="s">
        <v>59</v>
      </c>
      <c r="W130" s="56" t="s">
        <v>3548</v>
      </c>
      <c r="X130" s="56" t="s">
        <v>39</v>
      </c>
      <c r="Y130" s="56" t="s">
        <v>3617</v>
      </c>
      <c r="Z130" s="56" t="s">
        <v>6503</v>
      </c>
      <c r="AC130" s="56" t="s">
        <v>3543</v>
      </c>
      <c r="AD130" s="56" t="s">
        <v>24</v>
      </c>
      <c r="AE130" s="56" t="s">
        <v>6354</v>
      </c>
      <c r="AF130" s="56" t="s">
        <v>6502</v>
      </c>
      <c r="AH130" s="56" t="s">
        <v>3542</v>
      </c>
      <c r="AI130" s="56" t="s">
        <v>3723</v>
      </c>
    </row>
    <row r="131" spans="1:35" ht="33" customHeight="1">
      <c r="A131" s="56" t="s">
        <v>6506</v>
      </c>
      <c r="B131" s="57">
        <v>44358.575266203705</v>
      </c>
      <c r="C131" s="56" t="s">
        <v>3803</v>
      </c>
      <c r="D131" s="56" t="s">
        <v>3802</v>
      </c>
      <c r="E131" s="56" t="s">
        <v>6505</v>
      </c>
      <c r="F131" s="56" t="s">
        <v>6504</v>
      </c>
      <c r="G131" s="58" t="s">
        <v>3551</v>
      </c>
      <c r="H131" s="56">
        <v>1</v>
      </c>
      <c r="I131" s="56" t="s">
        <v>3550</v>
      </c>
      <c r="J131" s="56">
        <v>0</v>
      </c>
      <c r="K131" s="56">
        <v>0</v>
      </c>
      <c r="P131" s="56">
        <v>0</v>
      </c>
      <c r="S131" s="56">
        <v>0</v>
      </c>
      <c r="T131" s="56" t="s">
        <v>3562</v>
      </c>
      <c r="V131" s="56" t="s">
        <v>59</v>
      </c>
      <c r="W131" s="56" t="s">
        <v>3548</v>
      </c>
      <c r="X131" s="56" t="s">
        <v>39</v>
      </c>
      <c r="Y131" s="56" t="s">
        <v>3617</v>
      </c>
      <c r="Z131" s="56" t="s">
        <v>6503</v>
      </c>
      <c r="AC131" s="56" t="s">
        <v>3543</v>
      </c>
      <c r="AD131" s="56" t="s">
        <v>24</v>
      </c>
      <c r="AE131" s="56" t="s">
        <v>6354</v>
      </c>
      <c r="AF131" s="56" t="s">
        <v>6502</v>
      </c>
      <c r="AH131" s="56" t="s">
        <v>3542</v>
      </c>
      <c r="AI131" s="56" t="s">
        <v>3723</v>
      </c>
    </row>
    <row r="132" spans="1:35" ht="33" customHeight="1">
      <c r="A132" s="56" t="s">
        <v>6506</v>
      </c>
      <c r="B132" s="57">
        <v>44358.575266203705</v>
      </c>
      <c r="C132" s="56" t="s">
        <v>3803</v>
      </c>
      <c r="D132" s="56" t="s">
        <v>3802</v>
      </c>
      <c r="E132" s="56" t="s">
        <v>6505</v>
      </c>
      <c r="F132" s="56" t="s">
        <v>6504</v>
      </c>
      <c r="G132" s="58" t="s">
        <v>1500</v>
      </c>
      <c r="H132" s="56">
        <v>1</v>
      </c>
      <c r="I132" s="56" t="s">
        <v>6228</v>
      </c>
      <c r="J132" s="56">
        <v>0</v>
      </c>
      <c r="K132" s="56">
        <v>0</v>
      </c>
      <c r="P132" s="56">
        <v>0</v>
      </c>
      <c r="S132" s="56">
        <v>0</v>
      </c>
      <c r="T132" s="56" t="s">
        <v>3562</v>
      </c>
      <c r="V132" s="56" t="s">
        <v>59</v>
      </c>
      <c r="W132" s="56" t="s">
        <v>3548</v>
      </c>
      <c r="X132" s="56" t="s">
        <v>39</v>
      </c>
      <c r="Y132" s="56" t="s">
        <v>3617</v>
      </c>
      <c r="Z132" s="56" t="s">
        <v>6503</v>
      </c>
      <c r="AC132" s="56" t="s">
        <v>3543</v>
      </c>
      <c r="AD132" s="56" t="s">
        <v>24</v>
      </c>
      <c r="AE132" s="56" t="s">
        <v>6354</v>
      </c>
      <c r="AF132" s="56" t="s">
        <v>6502</v>
      </c>
      <c r="AH132" s="56" t="s">
        <v>3542</v>
      </c>
      <c r="AI132" s="56" t="s">
        <v>3723</v>
      </c>
    </row>
    <row r="133" spans="1:35" ht="33" customHeight="1">
      <c r="A133" s="56" t="s">
        <v>6501</v>
      </c>
      <c r="B133" s="57">
        <v>44358.593425925923</v>
      </c>
      <c r="C133" s="56" t="s">
        <v>4512</v>
      </c>
      <c r="D133" s="56" t="s">
        <v>4511</v>
      </c>
      <c r="E133" s="56" t="s">
        <v>6500</v>
      </c>
      <c r="F133" s="56" t="s">
        <v>6499</v>
      </c>
      <c r="G133" s="58" t="s">
        <v>3747</v>
      </c>
      <c r="H133" s="56">
        <v>1</v>
      </c>
      <c r="I133" s="56" t="s">
        <v>3746</v>
      </c>
      <c r="J133" s="56">
        <v>660</v>
      </c>
      <c r="K133" s="56">
        <v>450</v>
      </c>
      <c r="L133" s="56">
        <v>2244</v>
      </c>
      <c r="M133" s="56">
        <v>0</v>
      </c>
      <c r="N133" s="56">
        <v>0</v>
      </c>
      <c r="O133" s="56">
        <v>225</v>
      </c>
      <c r="P133" s="56">
        <v>0</v>
      </c>
      <c r="Q133" s="56">
        <v>2019</v>
      </c>
      <c r="R133" s="56">
        <v>0</v>
      </c>
      <c r="S133" s="56">
        <v>0</v>
      </c>
      <c r="T133" s="56" t="s">
        <v>3562</v>
      </c>
      <c r="U133" s="56">
        <v>2019</v>
      </c>
      <c r="V133" s="56" t="s">
        <v>3612</v>
      </c>
      <c r="W133" s="56" t="s">
        <v>3548</v>
      </c>
      <c r="X133" s="56" t="s">
        <v>3611</v>
      </c>
      <c r="Z133" s="56" t="s">
        <v>3546</v>
      </c>
      <c r="AA133" s="56" t="s">
        <v>6497</v>
      </c>
      <c r="AB133" s="56" t="s">
        <v>6496</v>
      </c>
      <c r="AC133" s="56" t="s">
        <v>3543</v>
      </c>
      <c r="AD133" s="56" t="s">
        <v>24</v>
      </c>
      <c r="AE133" s="56" t="s">
        <v>5367</v>
      </c>
      <c r="AF133" s="56" t="s">
        <v>6495</v>
      </c>
      <c r="AH133" s="56" t="s">
        <v>3542</v>
      </c>
      <c r="AI133" s="56" t="s">
        <v>3723</v>
      </c>
    </row>
    <row r="134" spans="1:35" ht="33" customHeight="1">
      <c r="A134" s="56" t="s">
        <v>6501</v>
      </c>
      <c r="B134" s="57">
        <v>44358.593425925923</v>
      </c>
      <c r="C134" s="56" t="s">
        <v>4512</v>
      </c>
      <c r="D134" s="56" t="s">
        <v>4511</v>
      </c>
      <c r="E134" s="56" t="s">
        <v>6500</v>
      </c>
      <c r="F134" s="56" t="s">
        <v>6499</v>
      </c>
      <c r="G134" s="58" t="s">
        <v>1531</v>
      </c>
      <c r="H134" s="56">
        <v>3</v>
      </c>
      <c r="I134" s="56" t="s">
        <v>3696</v>
      </c>
      <c r="J134" s="56">
        <v>299</v>
      </c>
      <c r="K134" s="56">
        <v>299</v>
      </c>
      <c r="P134" s="56">
        <v>0</v>
      </c>
      <c r="S134" s="56">
        <v>0</v>
      </c>
      <c r="T134" s="56" t="s">
        <v>3562</v>
      </c>
      <c r="V134" s="56" t="s">
        <v>3612</v>
      </c>
      <c r="W134" s="56" t="s">
        <v>3548</v>
      </c>
      <c r="X134" s="56" t="s">
        <v>3611</v>
      </c>
      <c r="Z134" s="56" t="s">
        <v>3546</v>
      </c>
      <c r="AA134" s="56" t="s">
        <v>6497</v>
      </c>
      <c r="AB134" s="56" t="s">
        <v>6496</v>
      </c>
      <c r="AC134" s="56" t="s">
        <v>3543</v>
      </c>
      <c r="AD134" s="56" t="s">
        <v>24</v>
      </c>
      <c r="AE134" s="56" t="s">
        <v>5367</v>
      </c>
      <c r="AF134" s="56" t="s">
        <v>6495</v>
      </c>
      <c r="AH134" s="56" t="s">
        <v>3542</v>
      </c>
      <c r="AI134" s="56" t="s">
        <v>3723</v>
      </c>
    </row>
    <row r="135" spans="1:35" ht="33" customHeight="1">
      <c r="A135" s="56" t="s">
        <v>6501</v>
      </c>
      <c r="B135" s="57">
        <v>44358.593425925923</v>
      </c>
      <c r="C135" s="56" t="s">
        <v>4512</v>
      </c>
      <c r="D135" s="56" t="s">
        <v>4511</v>
      </c>
      <c r="E135" s="56" t="s">
        <v>6500</v>
      </c>
      <c r="F135" s="56" t="s">
        <v>6499</v>
      </c>
      <c r="G135" s="58" t="s">
        <v>1506</v>
      </c>
      <c r="H135" s="56">
        <v>3</v>
      </c>
      <c r="I135" s="56" t="s">
        <v>3696</v>
      </c>
      <c r="J135" s="56">
        <v>299</v>
      </c>
      <c r="K135" s="56">
        <v>299</v>
      </c>
      <c r="P135" s="56">
        <v>0</v>
      </c>
      <c r="S135" s="56">
        <v>0</v>
      </c>
      <c r="T135" s="56" t="s">
        <v>3562</v>
      </c>
      <c r="V135" s="56" t="s">
        <v>3612</v>
      </c>
      <c r="W135" s="56" t="s">
        <v>3548</v>
      </c>
      <c r="X135" s="56" t="s">
        <v>3611</v>
      </c>
      <c r="Z135" s="56" t="s">
        <v>3546</v>
      </c>
      <c r="AA135" s="56" t="s">
        <v>6497</v>
      </c>
      <c r="AB135" s="56" t="s">
        <v>6496</v>
      </c>
      <c r="AC135" s="56" t="s">
        <v>3543</v>
      </c>
      <c r="AD135" s="56" t="s">
        <v>24</v>
      </c>
      <c r="AE135" s="56" t="s">
        <v>5367</v>
      </c>
      <c r="AF135" s="56" t="s">
        <v>6495</v>
      </c>
      <c r="AH135" s="56" t="s">
        <v>3542</v>
      </c>
      <c r="AI135" s="56" t="s">
        <v>3723</v>
      </c>
    </row>
    <row r="136" spans="1:35" ht="33" customHeight="1">
      <c r="A136" s="56" t="s">
        <v>6501</v>
      </c>
      <c r="B136" s="57">
        <v>44358.593425925923</v>
      </c>
      <c r="C136" s="56" t="s">
        <v>4512</v>
      </c>
      <c r="D136" s="56" t="s">
        <v>4511</v>
      </c>
      <c r="E136" s="56" t="s">
        <v>6500</v>
      </c>
      <c r="F136" s="56" t="s">
        <v>6499</v>
      </c>
      <c r="G136" s="58" t="s">
        <v>3551</v>
      </c>
      <c r="H136" s="56">
        <v>1</v>
      </c>
      <c r="I136" s="56" t="s">
        <v>3550</v>
      </c>
      <c r="J136" s="56">
        <v>0</v>
      </c>
      <c r="K136" s="56">
        <v>0</v>
      </c>
      <c r="P136" s="56">
        <v>0</v>
      </c>
      <c r="S136" s="56">
        <v>0</v>
      </c>
      <c r="T136" s="56" t="s">
        <v>3562</v>
      </c>
      <c r="V136" s="56" t="s">
        <v>3612</v>
      </c>
      <c r="W136" s="56" t="s">
        <v>3548</v>
      </c>
      <c r="X136" s="56" t="s">
        <v>3611</v>
      </c>
      <c r="Z136" s="56" t="s">
        <v>3546</v>
      </c>
      <c r="AA136" s="56" t="s">
        <v>6497</v>
      </c>
      <c r="AB136" s="56" t="s">
        <v>6496</v>
      </c>
      <c r="AC136" s="56" t="s">
        <v>3543</v>
      </c>
      <c r="AD136" s="56" t="s">
        <v>24</v>
      </c>
      <c r="AE136" s="56" t="s">
        <v>5367</v>
      </c>
      <c r="AF136" s="56" t="s">
        <v>6495</v>
      </c>
      <c r="AH136" s="56" t="s">
        <v>3542</v>
      </c>
      <c r="AI136" s="56" t="s">
        <v>3723</v>
      </c>
    </row>
    <row r="137" spans="1:35" ht="33" customHeight="1">
      <c r="A137" s="56" t="s">
        <v>6501</v>
      </c>
      <c r="B137" s="57">
        <v>44358.593425925923</v>
      </c>
      <c r="C137" s="56" t="s">
        <v>4512</v>
      </c>
      <c r="D137" s="56" t="s">
        <v>4511</v>
      </c>
      <c r="E137" s="56" t="s">
        <v>6500</v>
      </c>
      <c r="F137" s="56" t="s">
        <v>6499</v>
      </c>
      <c r="G137" s="58" t="s">
        <v>1713</v>
      </c>
      <c r="H137" s="56">
        <v>1</v>
      </c>
      <c r="I137" s="56" t="s">
        <v>3568</v>
      </c>
      <c r="J137" s="56">
        <v>0</v>
      </c>
      <c r="K137" s="56">
        <v>0</v>
      </c>
      <c r="P137" s="56">
        <v>0</v>
      </c>
      <c r="S137" s="56">
        <v>0</v>
      </c>
      <c r="T137" s="56" t="s">
        <v>3562</v>
      </c>
      <c r="V137" s="56" t="s">
        <v>3612</v>
      </c>
      <c r="W137" s="56" t="s">
        <v>3548</v>
      </c>
      <c r="X137" s="56" t="s">
        <v>3611</v>
      </c>
      <c r="Z137" s="56" t="s">
        <v>3546</v>
      </c>
      <c r="AA137" s="56" t="s">
        <v>6497</v>
      </c>
      <c r="AB137" s="56" t="s">
        <v>6496</v>
      </c>
      <c r="AC137" s="56" t="s">
        <v>3543</v>
      </c>
      <c r="AD137" s="56" t="s">
        <v>24</v>
      </c>
      <c r="AE137" s="56" t="s">
        <v>5367</v>
      </c>
      <c r="AF137" s="56" t="s">
        <v>6495</v>
      </c>
      <c r="AH137" s="56" t="s">
        <v>3542</v>
      </c>
      <c r="AI137" s="56" t="s">
        <v>3723</v>
      </c>
    </row>
    <row r="138" spans="1:35" ht="33" customHeight="1">
      <c r="A138" s="56" t="s">
        <v>6501</v>
      </c>
      <c r="B138" s="57">
        <v>44358.593425925923</v>
      </c>
      <c r="C138" s="56" t="s">
        <v>4512</v>
      </c>
      <c r="D138" s="56" t="s">
        <v>4511</v>
      </c>
      <c r="E138" s="56" t="s">
        <v>6500</v>
      </c>
      <c r="F138" s="56" t="s">
        <v>6499</v>
      </c>
      <c r="G138" s="58" t="s">
        <v>1500</v>
      </c>
      <c r="H138" s="56">
        <v>1</v>
      </c>
      <c r="I138" s="56" t="s">
        <v>6228</v>
      </c>
      <c r="J138" s="56">
        <v>0</v>
      </c>
      <c r="K138" s="56">
        <v>0</v>
      </c>
      <c r="P138" s="56">
        <v>0</v>
      </c>
      <c r="S138" s="56">
        <v>0</v>
      </c>
      <c r="T138" s="56" t="s">
        <v>3562</v>
      </c>
      <c r="V138" s="56" t="s">
        <v>3612</v>
      </c>
      <c r="W138" s="56" t="s">
        <v>3548</v>
      </c>
      <c r="X138" s="56" t="s">
        <v>3611</v>
      </c>
      <c r="Z138" s="56" t="s">
        <v>3546</v>
      </c>
      <c r="AA138" s="56" t="s">
        <v>6497</v>
      </c>
      <c r="AB138" s="56" t="s">
        <v>6496</v>
      </c>
      <c r="AC138" s="56" t="s">
        <v>3543</v>
      </c>
      <c r="AD138" s="56" t="s">
        <v>24</v>
      </c>
      <c r="AE138" s="56" t="s">
        <v>5367</v>
      </c>
      <c r="AF138" s="56" t="s">
        <v>6495</v>
      </c>
      <c r="AH138" s="56" t="s">
        <v>3542</v>
      </c>
      <c r="AI138" s="56" t="s">
        <v>3723</v>
      </c>
    </row>
    <row r="139" spans="1:35" ht="33" customHeight="1">
      <c r="A139" s="56" t="s">
        <v>6501</v>
      </c>
      <c r="B139" s="57">
        <v>44358.593425925923</v>
      </c>
      <c r="C139" s="56" t="s">
        <v>4512</v>
      </c>
      <c r="D139" s="56" t="s">
        <v>4511</v>
      </c>
      <c r="E139" s="56" t="s">
        <v>6500</v>
      </c>
      <c r="F139" s="56" t="s">
        <v>6499</v>
      </c>
      <c r="G139" s="58" t="s">
        <v>6498</v>
      </c>
      <c r="H139" s="56">
        <v>1</v>
      </c>
      <c r="I139" s="56" t="s">
        <v>3563</v>
      </c>
      <c r="J139" s="56">
        <v>0</v>
      </c>
      <c r="K139" s="56">
        <v>0</v>
      </c>
      <c r="P139" s="56">
        <v>0</v>
      </c>
      <c r="S139" s="56">
        <v>0</v>
      </c>
      <c r="T139" s="56" t="s">
        <v>3562</v>
      </c>
      <c r="V139" s="56" t="s">
        <v>3612</v>
      </c>
      <c r="W139" s="56" t="s">
        <v>3548</v>
      </c>
      <c r="X139" s="56" t="s">
        <v>3611</v>
      </c>
      <c r="Z139" s="56" t="s">
        <v>3546</v>
      </c>
      <c r="AA139" s="56" t="s">
        <v>6497</v>
      </c>
      <c r="AB139" s="56" t="s">
        <v>6496</v>
      </c>
      <c r="AC139" s="56" t="s">
        <v>3543</v>
      </c>
      <c r="AD139" s="56" t="s">
        <v>24</v>
      </c>
      <c r="AE139" s="56" t="s">
        <v>5367</v>
      </c>
      <c r="AF139" s="56" t="s">
        <v>6495</v>
      </c>
      <c r="AH139" s="56" t="s">
        <v>3542</v>
      </c>
      <c r="AI139" s="56" t="s">
        <v>3723</v>
      </c>
    </row>
    <row r="140" spans="1:35" ht="33" customHeight="1">
      <c r="A140" s="56" t="s">
        <v>6494</v>
      </c>
      <c r="B140" s="57">
        <v>44358.609490740739</v>
      </c>
      <c r="C140" s="56" t="s">
        <v>3803</v>
      </c>
      <c r="D140" s="56" t="s">
        <v>3802</v>
      </c>
      <c r="E140" s="56" t="s">
        <v>6493</v>
      </c>
      <c r="F140" s="56" t="s">
        <v>6492</v>
      </c>
      <c r="G140" s="58" t="s">
        <v>3934</v>
      </c>
      <c r="H140" s="56">
        <v>1</v>
      </c>
      <c r="I140" s="56" t="s">
        <v>3602</v>
      </c>
      <c r="J140" s="56">
        <v>447</v>
      </c>
      <c r="K140" s="56">
        <v>399</v>
      </c>
      <c r="L140" s="56">
        <v>1197</v>
      </c>
      <c r="M140" s="56">
        <v>0</v>
      </c>
      <c r="N140" s="56">
        <v>0</v>
      </c>
      <c r="O140" s="56">
        <v>100</v>
      </c>
      <c r="P140" s="56">
        <v>0</v>
      </c>
      <c r="Q140" s="56">
        <v>1097</v>
      </c>
      <c r="R140" s="56">
        <v>0</v>
      </c>
      <c r="S140" s="56">
        <v>0</v>
      </c>
      <c r="T140" s="56" t="s">
        <v>3562</v>
      </c>
      <c r="U140" s="56">
        <v>1097</v>
      </c>
      <c r="V140" s="56" t="s">
        <v>3561</v>
      </c>
      <c r="W140" s="56" t="s">
        <v>3548</v>
      </c>
      <c r="X140" s="56" t="s">
        <v>39</v>
      </c>
      <c r="Y140" s="56" t="s">
        <v>4706</v>
      </c>
      <c r="Z140" s="56" t="s">
        <v>6491</v>
      </c>
      <c r="AC140" s="56" t="s">
        <v>3543</v>
      </c>
      <c r="AD140" s="56" t="s">
        <v>24</v>
      </c>
      <c r="AE140" s="56" t="s">
        <v>6354</v>
      </c>
      <c r="AF140" s="56" t="s">
        <v>6490</v>
      </c>
      <c r="AH140" s="56" t="s">
        <v>3542</v>
      </c>
      <c r="AI140" s="56" t="s">
        <v>3723</v>
      </c>
    </row>
    <row r="141" spans="1:35" ht="33" customHeight="1">
      <c r="A141" s="56" t="s">
        <v>6494</v>
      </c>
      <c r="B141" s="57">
        <v>44358.609490740739</v>
      </c>
      <c r="C141" s="56" t="s">
        <v>3803</v>
      </c>
      <c r="D141" s="56" t="s">
        <v>3802</v>
      </c>
      <c r="E141" s="56" t="s">
        <v>6493</v>
      </c>
      <c r="F141" s="56" t="s">
        <v>6492</v>
      </c>
      <c r="G141" s="58" t="s">
        <v>4025</v>
      </c>
      <c r="H141" s="56">
        <v>1</v>
      </c>
      <c r="I141" s="56" t="s">
        <v>3602</v>
      </c>
      <c r="J141" s="56">
        <v>447</v>
      </c>
      <c r="K141" s="56">
        <v>399</v>
      </c>
      <c r="P141" s="56">
        <v>0</v>
      </c>
      <c r="S141" s="56">
        <v>0</v>
      </c>
      <c r="T141" s="56" t="s">
        <v>3562</v>
      </c>
      <c r="V141" s="56" t="s">
        <v>3561</v>
      </c>
      <c r="W141" s="56" t="s">
        <v>3548</v>
      </c>
      <c r="X141" s="56" t="s">
        <v>39</v>
      </c>
      <c r="Y141" s="56" t="s">
        <v>4706</v>
      </c>
      <c r="Z141" s="56" t="s">
        <v>6491</v>
      </c>
      <c r="AC141" s="56" t="s">
        <v>3543</v>
      </c>
      <c r="AD141" s="56" t="s">
        <v>24</v>
      </c>
      <c r="AE141" s="56" t="s">
        <v>6354</v>
      </c>
      <c r="AF141" s="56" t="s">
        <v>6490</v>
      </c>
      <c r="AH141" s="56" t="s">
        <v>3542</v>
      </c>
      <c r="AI141" s="56" t="s">
        <v>3723</v>
      </c>
    </row>
    <row r="142" spans="1:35" ht="33" customHeight="1">
      <c r="A142" s="56" t="s">
        <v>6494</v>
      </c>
      <c r="B142" s="57">
        <v>44358.609490740739</v>
      </c>
      <c r="C142" s="56" t="s">
        <v>3803</v>
      </c>
      <c r="D142" s="56" t="s">
        <v>3802</v>
      </c>
      <c r="E142" s="56" t="s">
        <v>6493</v>
      </c>
      <c r="F142" s="56" t="s">
        <v>6492</v>
      </c>
      <c r="G142" s="58" t="s">
        <v>3840</v>
      </c>
      <c r="H142" s="56">
        <v>1</v>
      </c>
      <c r="I142" s="56" t="s">
        <v>3602</v>
      </c>
      <c r="J142" s="56">
        <v>447</v>
      </c>
      <c r="K142" s="56">
        <v>399</v>
      </c>
      <c r="P142" s="56">
        <v>0</v>
      </c>
      <c r="S142" s="56">
        <v>0</v>
      </c>
      <c r="T142" s="56" t="s">
        <v>3562</v>
      </c>
      <c r="V142" s="56" t="s">
        <v>3561</v>
      </c>
      <c r="W142" s="56" t="s">
        <v>3548</v>
      </c>
      <c r="X142" s="56" t="s">
        <v>39</v>
      </c>
      <c r="Y142" s="56" t="s">
        <v>4706</v>
      </c>
      <c r="Z142" s="56" t="s">
        <v>6491</v>
      </c>
      <c r="AC142" s="56" t="s">
        <v>3543</v>
      </c>
      <c r="AD142" s="56" t="s">
        <v>24</v>
      </c>
      <c r="AE142" s="56" t="s">
        <v>6354</v>
      </c>
      <c r="AF142" s="56" t="s">
        <v>6490</v>
      </c>
      <c r="AH142" s="56" t="s">
        <v>3542</v>
      </c>
      <c r="AI142" s="56" t="s">
        <v>3723</v>
      </c>
    </row>
    <row r="143" spans="1:35" ht="33" customHeight="1">
      <c r="A143" s="56" t="s">
        <v>6489</v>
      </c>
      <c r="B143" s="57">
        <v>44358.625706018516</v>
      </c>
      <c r="C143" s="56" t="s">
        <v>3803</v>
      </c>
      <c r="D143" s="56" t="s">
        <v>3802</v>
      </c>
      <c r="E143" s="56" t="s">
        <v>6488</v>
      </c>
      <c r="F143" s="56" t="s">
        <v>6487</v>
      </c>
      <c r="G143" s="58" t="s">
        <v>3681</v>
      </c>
      <c r="H143" s="56">
        <v>1</v>
      </c>
      <c r="I143" s="56" t="s">
        <v>3569</v>
      </c>
      <c r="J143" s="56">
        <v>894</v>
      </c>
      <c r="K143" s="56">
        <v>750</v>
      </c>
      <c r="L143" s="56">
        <v>1210</v>
      </c>
      <c r="M143" s="56">
        <v>0</v>
      </c>
      <c r="N143" s="56">
        <v>0</v>
      </c>
      <c r="O143" s="56">
        <v>100</v>
      </c>
      <c r="P143" s="56">
        <v>0</v>
      </c>
      <c r="Q143" s="56">
        <v>1110</v>
      </c>
      <c r="R143" s="56">
        <v>0</v>
      </c>
      <c r="S143" s="56">
        <v>0</v>
      </c>
      <c r="T143" s="56" t="s">
        <v>3562</v>
      </c>
      <c r="U143" s="56">
        <v>1110</v>
      </c>
      <c r="V143" s="56" t="s">
        <v>59</v>
      </c>
      <c r="W143" s="56" t="s">
        <v>3548</v>
      </c>
      <c r="X143" s="56" t="s">
        <v>39</v>
      </c>
      <c r="Y143" s="56" t="s">
        <v>3597</v>
      </c>
      <c r="Z143" s="56" t="s">
        <v>6486</v>
      </c>
      <c r="AC143" s="56" t="s">
        <v>3543</v>
      </c>
      <c r="AD143" s="56" t="s">
        <v>24</v>
      </c>
      <c r="AE143" s="56" t="s">
        <v>6354</v>
      </c>
      <c r="AF143" s="56" t="s">
        <v>6485</v>
      </c>
      <c r="AH143" s="56" t="s">
        <v>3542</v>
      </c>
      <c r="AI143" s="56" t="s">
        <v>3723</v>
      </c>
    </row>
    <row r="144" spans="1:35" ht="33" customHeight="1">
      <c r="A144" s="56" t="s">
        <v>6489</v>
      </c>
      <c r="B144" s="57">
        <v>44358.625706018516</v>
      </c>
      <c r="C144" s="56" t="s">
        <v>3803</v>
      </c>
      <c r="D144" s="56" t="s">
        <v>3802</v>
      </c>
      <c r="E144" s="56" t="s">
        <v>6488</v>
      </c>
      <c r="F144" s="56" t="s">
        <v>6487</v>
      </c>
      <c r="G144" s="58" t="s">
        <v>4124</v>
      </c>
      <c r="H144" s="56">
        <v>1</v>
      </c>
      <c r="I144" s="56" t="s">
        <v>4123</v>
      </c>
      <c r="J144" s="56">
        <v>478</v>
      </c>
      <c r="K144" s="56">
        <v>460</v>
      </c>
      <c r="P144" s="56">
        <v>0</v>
      </c>
      <c r="S144" s="56">
        <v>0</v>
      </c>
      <c r="T144" s="56" t="s">
        <v>3562</v>
      </c>
      <c r="V144" s="56" t="s">
        <v>59</v>
      </c>
      <c r="W144" s="56" t="s">
        <v>3548</v>
      </c>
      <c r="X144" s="56" t="s">
        <v>39</v>
      </c>
      <c r="Y144" s="56" t="s">
        <v>3597</v>
      </c>
      <c r="Z144" s="56" t="s">
        <v>6486</v>
      </c>
      <c r="AC144" s="56" t="s">
        <v>3543</v>
      </c>
      <c r="AD144" s="56" t="s">
        <v>24</v>
      </c>
      <c r="AE144" s="56" t="s">
        <v>6354</v>
      </c>
      <c r="AF144" s="56" t="s">
        <v>6485</v>
      </c>
      <c r="AH144" s="56" t="s">
        <v>3542</v>
      </c>
      <c r="AI144" s="56" t="s">
        <v>3723</v>
      </c>
    </row>
    <row r="145" spans="1:35" ht="33" customHeight="1">
      <c r="A145" s="56" t="s">
        <v>6489</v>
      </c>
      <c r="B145" s="57">
        <v>44358.625706018516</v>
      </c>
      <c r="C145" s="56" t="s">
        <v>3803</v>
      </c>
      <c r="D145" s="56" t="s">
        <v>3802</v>
      </c>
      <c r="E145" s="56" t="s">
        <v>6488</v>
      </c>
      <c r="F145" s="56" t="s">
        <v>6487</v>
      </c>
      <c r="G145" s="58" t="s">
        <v>3551</v>
      </c>
      <c r="H145" s="56">
        <v>1</v>
      </c>
      <c r="I145" s="56" t="s">
        <v>3550</v>
      </c>
      <c r="J145" s="56">
        <v>0</v>
      </c>
      <c r="K145" s="56">
        <v>0</v>
      </c>
      <c r="P145" s="56">
        <v>0</v>
      </c>
      <c r="S145" s="56">
        <v>0</v>
      </c>
      <c r="T145" s="56" t="s">
        <v>3562</v>
      </c>
      <c r="V145" s="56" t="s">
        <v>59</v>
      </c>
      <c r="W145" s="56" t="s">
        <v>3548</v>
      </c>
      <c r="X145" s="56" t="s">
        <v>39</v>
      </c>
      <c r="Y145" s="56" t="s">
        <v>3597</v>
      </c>
      <c r="Z145" s="56" t="s">
        <v>6486</v>
      </c>
      <c r="AC145" s="56" t="s">
        <v>3543</v>
      </c>
      <c r="AD145" s="56" t="s">
        <v>24</v>
      </c>
      <c r="AE145" s="56" t="s">
        <v>6354</v>
      </c>
      <c r="AF145" s="56" t="s">
        <v>6485</v>
      </c>
      <c r="AH145" s="56" t="s">
        <v>3542</v>
      </c>
      <c r="AI145" s="56" t="s">
        <v>3723</v>
      </c>
    </row>
    <row r="146" spans="1:35" ht="33" customHeight="1">
      <c r="A146" s="56" t="s">
        <v>6489</v>
      </c>
      <c r="B146" s="57">
        <v>44358.625706018516</v>
      </c>
      <c r="C146" s="56" t="s">
        <v>3803</v>
      </c>
      <c r="D146" s="56" t="s">
        <v>3802</v>
      </c>
      <c r="E146" s="56" t="s">
        <v>6488</v>
      </c>
      <c r="F146" s="56" t="s">
        <v>6487</v>
      </c>
      <c r="G146" s="58" t="s">
        <v>1500</v>
      </c>
      <c r="H146" s="56">
        <v>1</v>
      </c>
      <c r="I146" s="56" t="s">
        <v>6228</v>
      </c>
      <c r="J146" s="56">
        <v>0</v>
      </c>
      <c r="K146" s="56">
        <v>0</v>
      </c>
      <c r="P146" s="56">
        <v>0</v>
      </c>
      <c r="S146" s="56">
        <v>0</v>
      </c>
      <c r="T146" s="56" t="s">
        <v>3562</v>
      </c>
      <c r="V146" s="56" t="s">
        <v>59</v>
      </c>
      <c r="W146" s="56" t="s">
        <v>3548</v>
      </c>
      <c r="X146" s="56" t="s">
        <v>39</v>
      </c>
      <c r="Y146" s="56" t="s">
        <v>3597</v>
      </c>
      <c r="Z146" s="56" t="s">
        <v>6486</v>
      </c>
      <c r="AC146" s="56" t="s">
        <v>3543</v>
      </c>
      <c r="AD146" s="56" t="s">
        <v>24</v>
      </c>
      <c r="AE146" s="56" t="s">
        <v>6354</v>
      </c>
      <c r="AF146" s="56" t="s">
        <v>6485</v>
      </c>
      <c r="AH146" s="56" t="s">
        <v>3542</v>
      </c>
      <c r="AI146" s="56" t="s">
        <v>3723</v>
      </c>
    </row>
    <row r="147" spans="1:35" ht="33" customHeight="1">
      <c r="A147" s="56" t="s">
        <v>6484</v>
      </c>
      <c r="B147" s="57">
        <v>44358.625902777778</v>
      </c>
      <c r="C147" s="56" t="s">
        <v>3803</v>
      </c>
      <c r="D147" s="56" t="s">
        <v>3802</v>
      </c>
      <c r="E147" s="56" t="s">
        <v>6483</v>
      </c>
      <c r="F147" s="56" t="s">
        <v>6482</v>
      </c>
      <c r="G147" s="58" t="s">
        <v>1508</v>
      </c>
      <c r="H147" s="56">
        <v>2</v>
      </c>
      <c r="I147" s="56" t="s">
        <v>3696</v>
      </c>
      <c r="J147" s="56">
        <v>299</v>
      </c>
      <c r="K147" s="56">
        <v>299</v>
      </c>
      <c r="L147" s="56">
        <v>1196</v>
      </c>
      <c r="M147" s="56">
        <v>0</v>
      </c>
      <c r="N147" s="56">
        <v>0</v>
      </c>
      <c r="O147" s="56">
        <v>100</v>
      </c>
      <c r="P147" s="56">
        <v>0</v>
      </c>
      <c r="Q147" s="56">
        <v>1096</v>
      </c>
      <c r="R147" s="56">
        <v>0</v>
      </c>
      <c r="S147" s="56">
        <v>0</v>
      </c>
      <c r="T147" s="56" t="s">
        <v>3562</v>
      </c>
      <c r="U147" s="56">
        <v>1096</v>
      </c>
      <c r="V147" s="56" t="s">
        <v>3561</v>
      </c>
      <c r="W147" s="56" t="s">
        <v>3548</v>
      </c>
      <c r="X147" s="56" t="s">
        <v>39</v>
      </c>
      <c r="Y147" s="56" t="s">
        <v>5013</v>
      </c>
      <c r="Z147" s="56" t="s">
        <v>6481</v>
      </c>
      <c r="AC147" s="56" t="s">
        <v>3543</v>
      </c>
      <c r="AD147" s="56" t="s">
        <v>24</v>
      </c>
      <c r="AE147" s="56" t="s">
        <v>6354</v>
      </c>
      <c r="AF147" s="56" t="s">
        <v>6480</v>
      </c>
      <c r="AH147" s="56" t="s">
        <v>3542</v>
      </c>
      <c r="AI147" s="56" t="s">
        <v>3723</v>
      </c>
    </row>
    <row r="148" spans="1:35" ht="33" customHeight="1">
      <c r="A148" s="56" t="s">
        <v>6484</v>
      </c>
      <c r="B148" s="57">
        <v>44358.625902777778</v>
      </c>
      <c r="C148" s="56" t="s">
        <v>3803</v>
      </c>
      <c r="D148" s="56" t="s">
        <v>3802</v>
      </c>
      <c r="E148" s="56" t="s">
        <v>6483</v>
      </c>
      <c r="F148" s="56" t="s">
        <v>6482</v>
      </c>
      <c r="G148" s="58" t="s">
        <v>1531</v>
      </c>
      <c r="H148" s="56">
        <v>1</v>
      </c>
      <c r="I148" s="56" t="s">
        <v>3696</v>
      </c>
      <c r="J148" s="56">
        <v>299</v>
      </c>
      <c r="K148" s="56">
        <v>299</v>
      </c>
      <c r="P148" s="56">
        <v>0</v>
      </c>
      <c r="S148" s="56">
        <v>0</v>
      </c>
      <c r="T148" s="56" t="s">
        <v>3562</v>
      </c>
      <c r="V148" s="56" t="s">
        <v>3561</v>
      </c>
      <c r="W148" s="56" t="s">
        <v>3548</v>
      </c>
      <c r="X148" s="56" t="s">
        <v>39</v>
      </c>
      <c r="Y148" s="56" t="s">
        <v>5013</v>
      </c>
      <c r="Z148" s="56" t="s">
        <v>6481</v>
      </c>
      <c r="AC148" s="56" t="s">
        <v>3543</v>
      </c>
      <c r="AD148" s="56" t="s">
        <v>24</v>
      </c>
      <c r="AE148" s="56" t="s">
        <v>6354</v>
      </c>
      <c r="AF148" s="56" t="s">
        <v>6480</v>
      </c>
      <c r="AH148" s="56" t="s">
        <v>3542</v>
      </c>
      <c r="AI148" s="56" t="s">
        <v>3723</v>
      </c>
    </row>
    <row r="149" spans="1:35" ht="33" customHeight="1">
      <c r="A149" s="56" t="s">
        <v>6484</v>
      </c>
      <c r="B149" s="57">
        <v>44358.625902777778</v>
      </c>
      <c r="C149" s="56" t="s">
        <v>3803</v>
      </c>
      <c r="D149" s="56" t="s">
        <v>3802</v>
      </c>
      <c r="E149" s="56" t="s">
        <v>6483</v>
      </c>
      <c r="F149" s="56" t="s">
        <v>6482</v>
      </c>
      <c r="G149" s="58" t="s">
        <v>3299</v>
      </c>
      <c r="H149" s="56">
        <v>1</v>
      </c>
      <c r="I149" s="56" t="s">
        <v>3576</v>
      </c>
      <c r="J149" s="56">
        <v>299</v>
      </c>
      <c r="K149" s="56">
        <v>299</v>
      </c>
      <c r="P149" s="56">
        <v>0</v>
      </c>
      <c r="S149" s="56">
        <v>0</v>
      </c>
      <c r="T149" s="56" t="s">
        <v>3562</v>
      </c>
      <c r="V149" s="56" t="s">
        <v>3561</v>
      </c>
      <c r="W149" s="56" t="s">
        <v>3548</v>
      </c>
      <c r="X149" s="56" t="s">
        <v>39</v>
      </c>
      <c r="Y149" s="56" t="s">
        <v>5013</v>
      </c>
      <c r="Z149" s="56" t="s">
        <v>6481</v>
      </c>
      <c r="AC149" s="56" t="s">
        <v>3543</v>
      </c>
      <c r="AD149" s="56" t="s">
        <v>24</v>
      </c>
      <c r="AE149" s="56" t="s">
        <v>6354</v>
      </c>
      <c r="AF149" s="56" t="s">
        <v>6480</v>
      </c>
      <c r="AH149" s="56" t="s">
        <v>3542</v>
      </c>
      <c r="AI149" s="56" t="s">
        <v>3723</v>
      </c>
    </row>
    <row r="150" spans="1:35" ht="33" customHeight="1">
      <c r="A150" s="56" t="s">
        <v>6479</v>
      </c>
      <c r="B150" s="57">
        <v>44358.631805555553</v>
      </c>
      <c r="C150" s="56" t="s">
        <v>3803</v>
      </c>
      <c r="D150" s="56" t="s">
        <v>3802</v>
      </c>
      <c r="E150" s="56" t="s">
        <v>6478</v>
      </c>
      <c r="F150" s="56" t="s">
        <v>6477</v>
      </c>
      <c r="G150" s="58" t="s">
        <v>3811</v>
      </c>
      <c r="H150" s="56">
        <v>1</v>
      </c>
      <c r="I150" s="56" t="s">
        <v>3669</v>
      </c>
      <c r="J150" s="56">
        <v>897</v>
      </c>
      <c r="K150" s="56">
        <v>888</v>
      </c>
      <c r="L150" s="56">
        <v>1577</v>
      </c>
      <c r="M150" s="56">
        <v>0</v>
      </c>
      <c r="N150" s="56">
        <v>32</v>
      </c>
      <c r="O150" s="56">
        <v>155</v>
      </c>
      <c r="P150" s="56">
        <v>0</v>
      </c>
      <c r="Q150" s="56">
        <v>1390</v>
      </c>
      <c r="R150" s="56">
        <v>0</v>
      </c>
      <c r="S150" s="56">
        <v>0</v>
      </c>
      <c r="T150" s="56" t="s">
        <v>3562</v>
      </c>
      <c r="U150" s="56">
        <v>1390</v>
      </c>
      <c r="V150" s="56" t="s">
        <v>3865</v>
      </c>
      <c r="W150" s="56" t="s">
        <v>3548</v>
      </c>
      <c r="X150" s="56" t="s">
        <v>39</v>
      </c>
      <c r="Y150" s="56" t="s">
        <v>6476</v>
      </c>
      <c r="Z150" s="56" t="s">
        <v>6475</v>
      </c>
      <c r="AC150" s="56" t="s">
        <v>3543</v>
      </c>
      <c r="AD150" s="56" t="s">
        <v>24</v>
      </c>
      <c r="AE150" s="56" t="s">
        <v>6354</v>
      </c>
      <c r="AF150" s="56" t="s">
        <v>6474</v>
      </c>
      <c r="AH150" s="56" t="s">
        <v>3542</v>
      </c>
      <c r="AI150" s="56" t="s">
        <v>3723</v>
      </c>
    </row>
    <row r="151" spans="1:35" ht="33" customHeight="1">
      <c r="A151" s="56" t="s">
        <v>6479</v>
      </c>
      <c r="B151" s="57">
        <v>44358.631805555553</v>
      </c>
      <c r="C151" s="56" t="s">
        <v>3803</v>
      </c>
      <c r="D151" s="56" t="s">
        <v>3802</v>
      </c>
      <c r="E151" s="56" t="s">
        <v>6478</v>
      </c>
      <c r="F151" s="56" t="s">
        <v>6477</v>
      </c>
      <c r="G151" s="58" t="s">
        <v>3770</v>
      </c>
      <c r="H151" s="56">
        <v>1</v>
      </c>
      <c r="I151" s="56" t="s">
        <v>3769</v>
      </c>
      <c r="J151" s="56">
        <v>405</v>
      </c>
      <c r="K151" s="56">
        <v>390</v>
      </c>
      <c r="P151" s="56">
        <v>0</v>
      </c>
      <c r="S151" s="56">
        <v>0</v>
      </c>
      <c r="T151" s="56" t="s">
        <v>3562</v>
      </c>
      <c r="V151" s="56" t="s">
        <v>3865</v>
      </c>
      <c r="W151" s="56" t="s">
        <v>3548</v>
      </c>
      <c r="X151" s="56" t="s">
        <v>39</v>
      </c>
      <c r="Y151" s="56" t="s">
        <v>6476</v>
      </c>
      <c r="Z151" s="56" t="s">
        <v>6475</v>
      </c>
      <c r="AC151" s="56" t="s">
        <v>3543</v>
      </c>
      <c r="AD151" s="56" t="s">
        <v>24</v>
      </c>
      <c r="AE151" s="56" t="s">
        <v>6354</v>
      </c>
      <c r="AF151" s="56" t="s">
        <v>6474</v>
      </c>
      <c r="AH151" s="56" t="s">
        <v>3542</v>
      </c>
      <c r="AI151" s="56" t="s">
        <v>3723</v>
      </c>
    </row>
    <row r="152" spans="1:35" ht="33" customHeight="1">
      <c r="A152" s="56" t="s">
        <v>6479</v>
      </c>
      <c r="B152" s="57">
        <v>44358.631805555553</v>
      </c>
      <c r="C152" s="56" t="s">
        <v>3803</v>
      </c>
      <c r="D152" s="56" t="s">
        <v>3802</v>
      </c>
      <c r="E152" s="56" t="s">
        <v>6478</v>
      </c>
      <c r="F152" s="56" t="s">
        <v>6477</v>
      </c>
      <c r="G152" s="58" t="s">
        <v>1531</v>
      </c>
      <c r="H152" s="56">
        <v>1</v>
      </c>
      <c r="I152" s="56" t="s">
        <v>3696</v>
      </c>
      <c r="J152" s="56">
        <v>299</v>
      </c>
      <c r="K152" s="56">
        <v>299</v>
      </c>
      <c r="P152" s="56">
        <v>0</v>
      </c>
      <c r="S152" s="56">
        <v>0</v>
      </c>
      <c r="T152" s="56" t="s">
        <v>3562</v>
      </c>
      <c r="V152" s="56" t="s">
        <v>3865</v>
      </c>
      <c r="W152" s="56" t="s">
        <v>3548</v>
      </c>
      <c r="X152" s="56" t="s">
        <v>39</v>
      </c>
      <c r="Y152" s="56" t="s">
        <v>6476</v>
      </c>
      <c r="Z152" s="56" t="s">
        <v>6475</v>
      </c>
      <c r="AC152" s="56" t="s">
        <v>3543</v>
      </c>
      <c r="AD152" s="56" t="s">
        <v>24</v>
      </c>
      <c r="AE152" s="56" t="s">
        <v>6354</v>
      </c>
      <c r="AF152" s="56" t="s">
        <v>6474</v>
      </c>
      <c r="AH152" s="56" t="s">
        <v>3542</v>
      </c>
      <c r="AI152" s="56" t="s">
        <v>3723</v>
      </c>
    </row>
    <row r="153" spans="1:35" ht="33" customHeight="1">
      <c r="A153" s="56" t="s">
        <v>6479</v>
      </c>
      <c r="B153" s="57">
        <v>44358.631805555553</v>
      </c>
      <c r="C153" s="56" t="s">
        <v>3803</v>
      </c>
      <c r="D153" s="56" t="s">
        <v>3802</v>
      </c>
      <c r="E153" s="56" t="s">
        <v>6478</v>
      </c>
      <c r="F153" s="56" t="s">
        <v>6477</v>
      </c>
      <c r="G153" s="58" t="s">
        <v>3551</v>
      </c>
      <c r="H153" s="56">
        <v>1</v>
      </c>
      <c r="I153" s="56" t="s">
        <v>3550</v>
      </c>
      <c r="J153" s="56">
        <v>0</v>
      </c>
      <c r="K153" s="56">
        <v>0</v>
      </c>
      <c r="P153" s="56">
        <v>0</v>
      </c>
      <c r="S153" s="56">
        <v>0</v>
      </c>
      <c r="T153" s="56" t="s">
        <v>3562</v>
      </c>
      <c r="V153" s="56" t="s">
        <v>3865</v>
      </c>
      <c r="W153" s="56" t="s">
        <v>3548</v>
      </c>
      <c r="X153" s="56" t="s">
        <v>39</v>
      </c>
      <c r="Y153" s="56" t="s">
        <v>6476</v>
      </c>
      <c r="Z153" s="56" t="s">
        <v>6475</v>
      </c>
      <c r="AC153" s="56" t="s">
        <v>3543</v>
      </c>
      <c r="AD153" s="56" t="s">
        <v>24</v>
      </c>
      <c r="AE153" s="56" t="s">
        <v>6354</v>
      </c>
      <c r="AF153" s="56" t="s">
        <v>6474</v>
      </c>
      <c r="AH153" s="56" t="s">
        <v>3542</v>
      </c>
      <c r="AI153" s="56" t="s">
        <v>3723</v>
      </c>
    </row>
    <row r="154" spans="1:35" ht="33" customHeight="1">
      <c r="A154" s="56" t="s">
        <v>6479</v>
      </c>
      <c r="B154" s="57">
        <v>44358.631805555553</v>
      </c>
      <c r="C154" s="56" t="s">
        <v>3803</v>
      </c>
      <c r="D154" s="56" t="s">
        <v>3802</v>
      </c>
      <c r="E154" s="56" t="s">
        <v>6478</v>
      </c>
      <c r="F154" s="56" t="s">
        <v>6477</v>
      </c>
      <c r="G154" s="58" t="s">
        <v>1713</v>
      </c>
      <c r="H154" s="56">
        <v>1</v>
      </c>
      <c r="I154" s="56" t="s">
        <v>3568</v>
      </c>
      <c r="J154" s="56">
        <v>0</v>
      </c>
      <c r="K154" s="56">
        <v>0</v>
      </c>
      <c r="P154" s="56">
        <v>0</v>
      </c>
      <c r="S154" s="56">
        <v>0</v>
      </c>
      <c r="T154" s="56" t="s">
        <v>3562</v>
      </c>
      <c r="V154" s="56" t="s">
        <v>3865</v>
      </c>
      <c r="W154" s="56" t="s">
        <v>3548</v>
      </c>
      <c r="X154" s="56" t="s">
        <v>39</v>
      </c>
      <c r="Y154" s="56" t="s">
        <v>6476</v>
      </c>
      <c r="Z154" s="56" t="s">
        <v>6475</v>
      </c>
      <c r="AC154" s="56" t="s">
        <v>3543</v>
      </c>
      <c r="AD154" s="56" t="s">
        <v>24</v>
      </c>
      <c r="AE154" s="56" t="s">
        <v>6354</v>
      </c>
      <c r="AF154" s="56" t="s">
        <v>6474</v>
      </c>
      <c r="AH154" s="56" t="s">
        <v>3542</v>
      </c>
      <c r="AI154" s="56" t="s">
        <v>3723</v>
      </c>
    </row>
    <row r="155" spans="1:35" ht="33" customHeight="1">
      <c r="A155" s="56" t="s">
        <v>6479</v>
      </c>
      <c r="B155" s="57">
        <v>44358.631805555553</v>
      </c>
      <c r="C155" s="56" t="s">
        <v>3803</v>
      </c>
      <c r="D155" s="56" t="s">
        <v>3802</v>
      </c>
      <c r="E155" s="56" t="s">
        <v>6478</v>
      </c>
      <c r="F155" s="56" t="s">
        <v>6477</v>
      </c>
      <c r="G155" s="58" t="s">
        <v>1500</v>
      </c>
      <c r="H155" s="56">
        <v>1</v>
      </c>
      <c r="I155" s="56" t="s">
        <v>6228</v>
      </c>
      <c r="J155" s="56">
        <v>0</v>
      </c>
      <c r="K155" s="56">
        <v>0</v>
      </c>
      <c r="P155" s="56">
        <v>0</v>
      </c>
      <c r="S155" s="56">
        <v>0</v>
      </c>
      <c r="T155" s="56" t="s">
        <v>3562</v>
      </c>
      <c r="V155" s="56" t="s">
        <v>3865</v>
      </c>
      <c r="W155" s="56" t="s">
        <v>3548</v>
      </c>
      <c r="X155" s="56" t="s">
        <v>39</v>
      </c>
      <c r="Y155" s="56" t="s">
        <v>6476</v>
      </c>
      <c r="Z155" s="56" t="s">
        <v>6475</v>
      </c>
      <c r="AC155" s="56" t="s">
        <v>3543</v>
      </c>
      <c r="AD155" s="56" t="s">
        <v>24</v>
      </c>
      <c r="AE155" s="56" t="s">
        <v>6354</v>
      </c>
      <c r="AF155" s="56" t="s">
        <v>6474</v>
      </c>
      <c r="AH155" s="56" t="s">
        <v>3542</v>
      </c>
      <c r="AI155" s="56" t="s">
        <v>3723</v>
      </c>
    </row>
    <row r="156" spans="1:35" ht="33" customHeight="1">
      <c r="A156" s="56" t="s">
        <v>6473</v>
      </c>
      <c r="B156" s="57">
        <v>44358.635625000003</v>
      </c>
      <c r="C156" s="56" t="s">
        <v>3803</v>
      </c>
      <c r="D156" s="56" t="s">
        <v>4426</v>
      </c>
      <c r="E156" s="56" t="s">
        <v>6472</v>
      </c>
      <c r="F156" s="56" t="s">
        <v>6471</v>
      </c>
      <c r="G156" s="58" t="s">
        <v>5087</v>
      </c>
      <c r="H156" s="56">
        <v>1</v>
      </c>
      <c r="I156" s="56" t="s">
        <v>3653</v>
      </c>
      <c r="J156" s="56">
        <v>447</v>
      </c>
      <c r="K156" s="56">
        <v>430</v>
      </c>
      <c r="L156" s="56">
        <v>430</v>
      </c>
      <c r="M156" s="56">
        <v>0</v>
      </c>
      <c r="N156" s="56">
        <v>0</v>
      </c>
      <c r="O156" s="56">
        <v>0</v>
      </c>
      <c r="P156" s="56">
        <v>0</v>
      </c>
      <c r="Q156" s="56">
        <v>430</v>
      </c>
      <c r="R156" s="56">
        <v>0</v>
      </c>
      <c r="S156" s="56">
        <v>0</v>
      </c>
      <c r="T156" s="56" t="s">
        <v>27</v>
      </c>
      <c r="U156" s="56">
        <v>430</v>
      </c>
      <c r="V156" s="56" t="s">
        <v>3549</v>
      </c>
      <c r="W156" s="56" t="s">
        <v>3548</v>
      </c>
      <c r="X156" s="56" t="s">
        <v>3547</v>
      </c>
      <c r="Z156" s="56" t="s">
        <v>3546</v>
      </c>
      <c r="AA156" s="56" t="s">
        <v>6470</v>
      </c>
      <c r="AB156" s="56" t="s">
        <v>6469</v>
      </c>
      <c r="AC156" s="56" t="s">
        <v>3543</v>
      </c>
      <c r="AH156" s="56" t="s">
        <v>3542</v>
      </c>
      <c r="AI156" s="56" t="s">
        <v>3541</v>
      </c>
    </row>
    <row r="157" spans="1:35" ht="33" customHeight="1">
      <c r="A157" s="56" t="s">
        <v>6473</v>
      </c>
      <c r="B157" s="57">
        <v>44358.635625000003</v>
      </c>
      <c r="C157" s="56" t="s">
        <v>3803</v>
      </c>
      <c r="D157" s="56" t="s">
        <v>4426</v>
      </c>
      <c r="E157" s="56" t="s">
        <v>6472</v>
      </c>
      <c r="F157" s="56" t="s">
        <v>6471</v>
      </c>
      <c r="G157" s="58" t="s">
        <v>3551</v>
      </c>
      <c r="H157" s="56">
        <v>1</v>
      </c>
      <c r="I157" s="56" t="s">
        <v>3550</v>
      </c>
      <c r="J157" s="56">
        <v>0</v>
      </c>
      <c r="K157" s="56">
        <v>0</v>
      </c>
      <c r="P157" s="56">
        <v>0</v>
      </c>
      <c r="S157" s="56">
        <v>0</v>
      </c>
      <c r="T157" s="56" t="s">
        <v>27</v>
      </c>
      <c r="V157" s="56" t="s">
        <v>3549</v>
      </c>
      <c r="W157" s="56" t="s">
        <v>3548</v>
      </c>
      <c r="X157" s="56" t="s">
        <v>3547</v>
      </c>
      <c r="Z157" s="56" t="s">
        <v>3546</v>
      </c>
      <c r="AA157" s="56" t="s">
        <v>6470</v>
      </c>
      <c r="AB157" s="56" t="s">
        <v>6469</v>
      </c>
      <c r="AC157" s="56" t="s">
        <v>3543</v>
      </c>
      <c r="AH157" s="56" t="s">
        <v>3542</v>
      </c>
      <c r="AI157" s="56" t="s">
        <v>3541</v>
      </c>
    </row>
    <row r="158" spans="1:35" ht="33" customHeight="1">
      <c r="A158" s="56" t="s">
        <v>6468</v>
      </c>
      <c r="B158" s="57">
        <v>44358.644791666666</v>
      </c>
      <c r="C158" s="56" t="s">
        <v>4512</v>
      </c>
      <c r="D158" s="56" t="s">
        <v>4511</v>
      </c>
      <c r="E158" s="56" t="s">
        <v>6467</v>
      </c>
      <c r="F158" s="56" t="s">
        <v>6466</v>
      </c>
      <c r="G158" s="58" t="s">
        <v>3811</v>
      </c>
      <c r="H158" s="56">
        <v>1</v>
      </c>
      <c r="I158" s="56" t="s">
        <v>3669</v>
      </c>
      <c r="J158" s="56">
        <v>897</v>
      </c>
      <c r="K158" s="56">
        <v>888</v>
      </c>
      <c r="L158" s="56">
        <v>1144</v>
      </c>
      <c r="M158" s="56">
        <v>0</v>
      </c>
      <c r="N158" s="56">
        <v>0</v>
      </c>
      <c r="O158" s="56">
        <v>115</v>
      </c>
      <c r="P158" s="56">
        <v>0</v>
      </c>
      <c r="Q158" s="56">
        <v>1029</v>
      </c>
      <c r="R158" s="56">
        <v>0</v>
      </c>
      <c r="S158" s="56">
        <v>0</v>
      </c>
      <c r="T158" s="56" t="s">
        <v>3562</v>
      </c>
      <c r="U158" s="56">
        <v>1029</v>
      </c>
      <c r="V158" s="56" t="s">
        <v>3612</v>
      </c>
      <c r="W158" s="56" t="s">
        <v>3548</v>
      </c>
      <c r="X158" s="56" t="s">
        <v>3611</v>
      </c>
      <c r="Z158" s="56" t="s">
        <v>3546</v>
      </c>
      <c r="AA158" s="56" t="s">
        <v>6465</v>
      </c>
      <c r="AB158" s="56" t="s">
        <v>6464</v>
      </c>
      <c r="AC158" s="56" t="s">
        <v>3543</v>
      </c>
      <c r="AD158" s="56" t="s">
        <v>24</v>
      </c>
      <c r="AE158" s="56" t="s">
        <v>4834</v>
      </c>
      <c r="AF158" s="56" t="s">
        <v>6463</v>
      </c>
      <c r="AH158" s="56" t="s">
        <v>3542</v>
      </c>
      <c r="AI158" s="56" t="s">
        <v>3723</v>
      </c>
    </row>
    <row r="159" spans="1:35" ht="33" customHeight="1">
      <c r="A159" s="56" t="s">
        <v>6468</v>
      </c>
      <c r="B159" s="57">
        <v>44358.644791666666</v>
      </c>
      <c r="C159" s="56" t="s">
        <v>4512</v>
      </c>
      <c r="D159" s="56" t="s">
        <v>4511</v>
      </c>
      <c r="E159" s="56" t="s">
        <v>6467</v>
      </c>
      <c r="F159" s="56" t="s">
        <v>6466</v>
      </c>
      <c r="G159" s="58" t="s">
        <v>2165</v>
      </c>
      <c r="H159" s="56">
        <v>1</v>
      </c>
      <c r="I159" s="56" t="s">
        <v>3694</v>
      </c>
      <c r="J159" s="56">
        <v>128</v>
      </c>
      <c r="K159" s="56">
        <v>128</v>
      </c>
      <c r="P159" s="56">
        <v>0</v>
      </c>
      <c r="S159" s="56">
        <v>0</v>
      </c>
      <c r="T159" s="56" t="s">
        <v>3562</v>
      </c>
      <c r="V159" s="56" t="s">
        <v>3612</v>
      </c>
      <c r="W159" s="56" t="s">
        <v>3548</v>
      </c>
      <c r="X159" s="56" t="s">
        <v>3611</v>
      </c>
      <c r="Z159" s="56" t="s">
        <v>3546</v>
      </c>
      <c r="AA159" s="56" t="s">
        <v>6465</v>
      </c>
      <c r="AB159" s="56" t="s">
        <v>6464</v>
      </c>
      <c r="AC159" s="56" t="s">
        <v>3543</v>
      </c>
      <c r="AD159" s="56" t="s">
        <v>24</v>
      </c>
      <c r="AE159" s="56" t="s">
        <v>4834</v>
      </c>
      <c r="AF159" s="56" t="s">
        <v>6463</v>
      </c>
      <c r="AH159" s="56" t="s">
        <v>3542</v>
      </c>
      <c r="AI159" s="56" t="s">
        <v>3723</v>
      </c>
    </row>
    <row r="160" spans="1:35" ht="33" customHeight="1">
      <c r="A160" s="56" t="s">
        <v>6468</v>
      </c>
      <c r="B160" s="57">
        <v>44358.644791666666</v>
      </c>
      <c r="C160" s="56" t="s">
        <v>4512</v>
      </c>
      <c r="D160" s="56" t="s">
        <v>4511</v>
      </c>
      <c r="E160" s="56" t="s">
        <v>6467</v>
      </c>
      <c r="F160" s="56" t="s">
        <v>6466</v>
      </c>
      <c r="G160" s="58" t="s">
        <v>2163</v>
      </c>
      <c r="H160" s="56">
        <v>1</v>
      </c>
      <c r="I160" s="56" t="s">
        <v>3694</v>
      </c>
      <c r="J160" s="56">
        <v>128</v>
      </c>
      <c r="K160" s="56">
        <v>128</v>
      </c>
      <c r="P160" s="56">
        <v>0</v>
      </c>
      <c r="S160" s="56">
        <v>0</v>
      </c>
      <c r="T160" s="56" t="s">
        <v>3562</v>
      </c>
      <c r="V160" s="56" t="s">
        <v>3612</v>
      </c>
      <c r="W160" s="56" t="s">
        <v>3548</v>
      </c>
      <c r="X160" s="56" t="s">
        <v>3611</v>
      </c>
      <c r="Z160" s="56" t="s">
        <v>3546</v>
      </c>
      <c r="AA160" s="56" t="s">
        <v>6465</v>
      </c>
      <c r="AB160" s="56" t="s">
        <v>6464</v>
      </c>
      <c r="AC160" s="56" t="s">
        <v>3543</v>
      </c>
      <c r="AD160" s="56" t="s">
        <v>24</v>
      </c>
      <c r="AE160" s="56" t="s">
        <v>4834</v>
      </c>
      <c r="AF160" s="56" t="s">
        <v>6463</v>
      </c>
      <c r="AH160" s="56" t="s">
        <v>3542</v>
      </c>
      <c r="AI160" s="56" t="s">
        <v>3723</v>
      </c>
    </row>
    <row r="161" spans="1:35" ht="33" customHeight="1">
      <c r="A161" s="56" t="s">
        <v>6468</v>
      </c>
      <c r="B161" s="57">
        <v>44358.644791666666</v>
      </c>
      <c r="C161" s="56" t="s">
        <v>4512</v>
      </c>
      <c r="D161" s="56" t="s">
        <v>4511</v>
      </c>
      <c r="E161" s="56" t="s">
        <v>6467</v>
      </c>
      <c r="F161" s="56" t="s">
        <v>6466</v>
      </c>
      <c r="G161" s="58" t="s">
        <v>3551</v>
      </c>
      <c r="H161" s="56">
        <v>1</v>
      </c>
      <c r="I161" s="56" t="s">
        <v>3550</v>
      </c>
      <c r="J161" s="56">
        <v>0</v>
      </c>
      <c r="K161" s="56">
        <v>0</v>
      </c>
      <c r="P161" s="56">
        <v>0</v>
      </c>
      <c r="S161" s="56">
        <v>0</v>
      </c>
      <c r="T161" s="56" t="s">
        <v>3562</v>
      </c>
      <c r="V161" s="56" t="s">
        <v>3612</v>
      </c>
      <c r="W161" s="56" t="s">
        <v>3548</v>
      </c>
      <c r="X161" s="56" t="s">
        <v>3611</v>
      </c>
      <c r="Z161" s="56" t="s">
        <v>3546</v>
      </c>
      <c r="AA161" s="56" t="s">
        <v>6465</v>
      </c>
      <c r="AB161" s="56" t="s">
        <v>6464</v>
      </c>
      <c r="AC161" s="56" t="s">
        <v>3543</v>
      </c>
      <c r="AD161" s="56" t="s">
        <v>24</v>
      </c>
      <c r="AE161" s="56" t="s">
        <v>4834</v>
      </c>
      <c r="AF161" s="56" t="s">
        <v>6463</v>
      </c>
      <c r="AH161" s="56" t="s">
        <v>3542</v>
      </c>
      <c r="AI161" s="56" t="s">
        <v>3723</v>
      </c>
    </row>
    <row r="162" spans="1:35" ht="33" customHeight="1">
      <c r="A162" s="56" t="s">
        <v>6468</v>
      </c>
      <c r="B162" s="57">
        <v>44358.644791666666</v>
      </c>
      <c r="C162" s="56" t="s">
        <v>4512</v>
      </c>
      <c r="D162" s="56" t="s">
        <v>4511</v>
      </c>
      <c r="E162" s="56" t="s">
        <v>6467</v>
      </c>
      <c r="F162" s="56" t="s">
        <v>6466</v>
      </c>
      <c r="G162" s="58" t="s">
        <v>1500</v>
      </c>
      <c r="H162" s="56">
        <v>1</v>
      </c>
      <c r="I162" s="56" t="s">
        <v>6228</v>
      </c>
      <c r="J162" s="56">
        <v>0</v>
      </c>
      <c r="K162" s="56">
        <v>0</v>
      </c>
      <c r="P162" s="56">
        <v>0</v>
      </c>
      <c r="S162" s="56">
        <v>0</v>
      </c>
      <c r="T162" s="56" t="s">
        <v>3562</v>
      </c>
      <c r="V162" s="56" t="s">
        <v>3612</v>
      </c>
      <c r="W162" s="56" t="s">
        <v>3548</v>
      </c>
      <c r="X162" s="56" t="s">
        <v>3611</v>
      </c>
      <c r="Z162" s="56" t="s">
        <v>3546</v>
      </c>
      <c r="AA162" s="56" t="s">
        <v>6465</v>
      </c>
      <c r="AB162" s="56" t="s">
        <v>6464</v>
      </c>
      <c r="AC162" s="56" t="s">
        <v>3543</v>
      </c>
      <c r="AD162" s="56" t="s">
        <v>24</v>
      </c>
      <c r="AE162" s="56" t="s">
        <v>4834</v>
      </c>
      <c r="AF162" s="56" t="s">
        <v>6463</v>
      </c>
      <c r="AH162" s="56" t="s">
        <v>3542</v>
      </c>
      <c r="AI162" s="56" t="s">
        <v>3723</v>
      </c>
    </row>
    <row r="163" spans="1:35" ht="33" customHeight="1">
      <c r="A163" s="56" t="s">
        <v>6462</v>
      </c>
      <c r="B163" s="57">
        <v>44358.696817129632</v>
      </c>
      <c r="C163" s="56" t="s">
        <v>4512</v>
      </c>
      <c r="D163" s="56" t="s">
        <v>4511</v>
      </c>
      <c r="E163" s="56" t="s">
        <v>6461</v>
      </c>
      <c r="F163" s="56" t="s">
        <v>6460</v>
      </c>
      <c r="G163" s="58" t="s">
        <v>3656</v>
      </c>
      <c r="H163" s="56">
        <v>1</v>
      </c>
      <c r="I163" s="56" t="s">
        <v>3655</v>
      </c>
      <c r="J163" s="56">
        <v>1107</v>
      </c>
      <c r="K163" s="56">
        <v>799</v>
      </c>
      <c r="L163" s="56">
        <v>799</v>
      </c>
      <c r="M163" s="56">
        <v>0</v>
      </c>
      <c r="N163" s="56">
        <v>0</v>
      </c>
      <c r="O163" s="56">
        <v>0</v>
      </c>
      <c r="P163" s="56">
        <v>0</v>
      </c>
      <c r="Q163" s="56">
        <v>799</v>
      </c>
      <c r="R163" s="56">
        <v>0</v>
      </c>
      <c r="S163" s="56">
        <v>0</v>
      </c>
      <c r="T163" s="56" t="s">
        <v>3562</v>
      </c>
      <c r="U163" s="56">
        <v>799</v>
      </c>
      <c r="V163" s="56" t="s">
        <v>3549</v>
      </c>
      <c r="W163" s="56" t="s">
        <v>3548</v>
      </c>
      <c r="X163" s="56" t="s">
        <v>3547</v>
      </c>
      <c r="Z163" s="56" t="s">
        <v>3546</v>
      </c>
      <c r="AA163" s="56" t="s">
        <v>6459</v>
      </c>
      <c r="AB163" s="56" t="s">
        <v>6458</v>
      </c>
      <c r="AC163" s="56" t="s">
        <v>3623</v>
      </c>
      <c r="AD163" s="56" t="s">
        <v>24</v>
      </c>
      <c r="AE163" s="56" t="s">
        <v>4145</v>
      </c>
      <c r="AF163" s="56" t="s">
        <v>6457</v>
      </c>
      <c r="AG163" s="56" t="s">
        <v>6456</v>
      </c>
      <c r="AH163" s="56" t="s">
        <v>3621</v>
      </c>
      <c r="AI163" s="56" t="s">
        <v>3723</v>
      </c>
    </row>
    <row r="164" spans="1:35" ht="33" customHeight="1">
      <c r="A164" s="56" t="s">
        <v>6462</v>
      </c>
      <c r="B164" s="57">
        <v>44358.696817129632</v>
      </c>
      <c r="C164" s="56" t="s">
        <v>4512</v>
      </c>
      <c r="D164" s="56" t="s">
        <v>4511</v>
      </c>
      <c r="E164" s="56" t="s">
        <v>6461</v>
      </c>
      <c r="F164" s="56" t="s">
        <v>6460</v>
      </c>
      <c r="G164" s="58" t="s">
        <v>3551</v>
      </c>
      <c r="H164" s="56">
        <v>1</v>
      </c>
      <c r="I164" s="56" t="s">
        <v>3550</v>
      </c>
      <c r="J164" s="56">
        <v>0</v>
      </c>
      <c r="K164" s="56">
        <v>0</v>
      </c>
      <c r="P164" s="56">
        <v>0</v>
      </c>
      <c r="S164" s="56">
        <v>0</v>
      </c>
      <c r="T164" s="56" t="s">
        <v>3562</v>
      </c>
      <c r="V164" s="56" t="s">
        <v>3549</v>
      </c>
      <c r="W164" s="56" t="s">
        <v>3548</v>
      </c>
      <c r="X164" s="56" t="s">
        <v>3547</v>
      </c>
      <c r="Z164" s="56" t="s">
        <v>3546</v>
      </c>
      <c r="AA164" s="56" t="s">
        <v>6459</v>
      </c>
      <c r="AB164" s="56" t="s">
        <v>6458</v>
      </c>
      <c r="AC164" s="56" t="s">
        <v>3623</v>
      </c>
      <c r="AD164" s="56" t="s">
        <v>24</v>
      </c>
      <c r="AE164" s="56" t="s">
        <v>4145</v>
      </c>
      <c r="AF164" s="56" t="s">
        <v>6457</v>
      </c>
      <c r="AG164" s="56" t="s">
        <v>6456</v>
      </c>
      <c r="AH164" s="56" t="s">
        <v>3621</v>
      </c>
      <c r="AI164" s="56" t="s">
        <v>3723</v>
      </c>
    </row>
    <row r="165" spans="1:35" ht="33" customHeight="1">
      <c r="A165" s="56" t="s">
        <v>6455</v>
      </c>
      <c r="B165" s="57">
        <v>44358.714166666665</v>
      </c>
      <c r="C165" s="56" t="s">
        <v>3803</v>
      </c>
      <c r="D165" s="56" t="s">
        <v>3802</v>
      </c>
      <c r="E165" s="56" t="s">
        <v>6454</v>
      </c>
      <c r="F165" s="56" t="s">
        <v>6453</v>
      </c>
      <c r="G165" s="58" t="s">
        <v>1484</v>
      </c>
      <c r="H165" s="56">
        <v>2</v>
      </c>
      <c r="I165" s="56" t="s">
        <v>4174</v>
      </c>
      <c r="J165" s="56">
        <v>350</v>
      </c>
      <c r="K165" s="56">
        <v>350</v>
      </c>
      <c r="L165" s="56">
        <v>1033</v>
      </c>
      <c r="M165" s="56">
        <v>0</v>
      </c>
      <c r="N165" s="56">
        <v>0</v>
      </c>
      <c r="O165" s="56">
        <v>104</v>
      </c>
      <c r="P165" s="56">
        <v>0</v>
      </c>
      <c r="Q165" s="56">
        <v>929</v>
      </c>
      <c r="R165" s="56">
        <v>0</v>
      </c>
      <c r="S165" s="56">
        <v>0</v>
      </c>
      <c r="T165" s="56" t="s">
        <v>3562</v>
      </c>
      <c r="U165" s="56">
        <v>929</v>
      </c>
      <c r="V165" s="56" t="s">
        <v>3561</v>
      </c>
      <c r="W165" s="56" t="s">
        <v>3548</v>
      </c>
      <c r="X165" s="56" t="s">
        <v>39</v>
      </c>
      <c r="Y165" s="56" t="s">
        <v>3560</v>
      </c>
      <c r="Z165" s="56" t="s">
        <v>6452</v>
      </c>
      <c r="AC165" s="56" t="s">
        <v>3543</v>
      </c>
      <c r="AD165" s="56" t="s">
        <v>24</v>
      </c>
      <c r="AE165" s="56" t="s">
        <v>6354</v>
      </c>
      <c r="AF165" s="56" t="s">
        <v>6451</v>
      </c>
      <c r="AH165" s="56" t="s">
        <v>3542</v>
      </c>
      <c r="AI165" s="56" t="s">
        <v>3723</v>
      </c>
    </row>
    <row r="166" spans="1:35" ht="33" customHeight="1">
      <c r="A166" s="56" t="s">
        <v>6455</v>
      </c>
      <c r="B166" s="57">
        <v>44358.714166666665</v>
      </c>
      <c r="C166" s="56" t="s">
        <v>3803</v>
      </c>
      <c r="D166" s="56" t="s">
        <v>3802</v>
      </c>
      <c r="E166" s="56" t="s">
        <v>6454</v>
      </c>
      <c r="F166" s="56" t="s">
        <v>6453</v>
      </c>
      <c r="G166" s="58" t="s">
        <v>1514</v>
      </c>
      <c r="H166" s="56">
        <v>1</v>
      </c>
      <c r="I166" s="56" t="s">
        <v>3797</v>
      </c>
      <c r="J166" s="56">
        <v>165</v>
      </c>
      <c r="K166" s="56">
        <v>165</v>
      </c>
      <c r="P166" s="56">
        <v>0</v>
      </c>
      <c r="S166" s="56">
        <v>0</v>
      </c>
      <c r="T166" s="56" t="s">
        <v>3562</v>
      </c>
      <c r="V166" s="56" t="s">
        <v>3561</v>
      </c>
      <c r="W166" s="56" t="s">
        <v>3548</v>
      </c>
      <c r="X166" s="56" t="s">
        <v>39</v>
      </c>
      <c r="Y166" s="56" t="s">
        <v>3560</v>
      </c>
      <c r="Z166" s="56" t="s">
        <v>6452</v>
      </c>
      <c r="AC166" s="56" t="s">
        <v>3543</v>
      </c>
      <c r="AD166" s="56" t="s">
        <v>24</v>
      </c>
      <c r="AE166" s="56" t="s">
        <v>6354</v>
      </c>
      <c r="AF166" s="56" t="s">
        <v>6451</v>
      </c>
      <c r="AH166" s="56" t="s">
        <v>3542</v>
      </c>
      <c r="AI166" s="56" t="s">
        <v>3723</v>
      </c>
    </row>
    <row r="167" spans="1:35" ht="33" customHeight="1">
      <c r="A167" s="56" t="s">
        <v>6455</v>
      </c>
      <c r="B167" s="57">
        <v>44358.714166666665</v>
      </c>
      <c r="C167" s="56" t="s">
        <v>3803</v>
      </c>
      <c r="D167" s="56" t="s">
        <v>3802</v>
      </c>
      <c r="E167" s="56" t="s">
        <v>6454</v>
      </c>
      <c r="F167" s="56" t="s">
        <v>6453</v>
      </c>
      <c r="G167" s="58" t="s">
        <v>1517</v>
      </c>
      <c r="H167" s="56">
        <v>1</v>
      </c>
      <c r="I167" s="56" t="s">
        <v>3740</v>
      </c>
      <c r="J167" s="56">
        <v>220</v>
      </c>
      <c r="K167" s="56">
        <v>168</v>
      </c>
      <c r="P167" s="56">
        <v>0</v>
      </c>
      <c r="S167" s="56">
        <v>0</v>
      </c>
      <c r="T167" s="56" t="s">
        <v>3562</v>
      </c>
      <c r="V167" s="56" t="s">
        <v>3561</v>
      </c>
      <c r="W167" s="56" t="s">
        <v>3548</v>
      </c>
      <c r="X167" s="56" t="s">
        <v>39</v>
      </c>
      <c r="Y167" s="56" t="s">
        <v>3560</v>
      </c>
      <c r="Z167" s="56" t="s">
        <v>6452</v>
      </c>
      <c r="AC167" s="56" t="s">
        <v>3543</v>
      </c>
      <c r="AD167" s="56" t="s">
        <v>24</v>
      </c>
      <c r="AE167" s="56" t="s">
        <v>6354</v>
      </c>
      <c r="AF167" s="56" t="s">
        <v>6451</v>
      </c>
      <c r="AH167" s="56" t="s">
        <v>3542</v>
      </c>
      <c r="AI167" s="56" t="s">
        <v>3723</v>
      </c>
    </row>
    <row r="168" spans="1:35" ht="33" customHeight="1">
      <c r="A168" s="56" t="s">
        <v>6450</v>
      </c>
      <c r="B168" s="57">
        <v>44358.829884259256</v>
      </c>
      <c r="C168" s="56" t="s">
        <v>3803</v>
      </c>
      <c r="D168" s="56" t="s">
        <v>4511</v>
      </c>
      <c r="E168" s="56" t="s">
        <v>6449</v>
      </c>
      <c r="F168" s="56" t="s">
        <v>6448</v>
      </c>
      <c r="G168" s="58" t="s">
        <v>3603</v>
      </c>
      <c r="H168" s="56">
        <v>1</v>
      </c>
      <c r="I168" s="56" t="s">
        <v>3602</v>
      </c>
      <c r="J168" s="56">
        <v>447</v>
      </c>
      <c r="K168" s="56">
        <v>399</v>
      </c>
      <c r="L168" s="56">
        <v>1149</v>
      </c>
      <c r="M168" s="56">
        <v>0</v>
      </c>
      <c r="N168" s="56">
        <v>0</v>
      </c>
      <c r="O168" s="56">
        <v>100</v>
      </c>
      <c r="P168" s="56">
        <v>0</v>
      </c>
      <c r="Q168" s="56">
        <v>1049</v>
      </c>
      <c r="R168" s="56">
        <v>0</v>
      </c>
      <c r="S168" s="56">
        <v>0</v>
      </c>
      <c r="T168" s="56" t="s">
        <v>3562</v>
      </c>
      <c r="U168" s="56">
        <v>1049</v>
      </c>
      <c r="V168" s="56" t="s">
        <v>59</v>
      </c>
      <c r="W168" s="56" t="s">
        <v>3548</v>
      </c>
      <c r="X168" s="56" t="s">
        <v>3716</v>
      </c>
      <c r="Z168" s="56" t="s">
        <v>3546</v>
      </c>
      <c r="AA168" s="56" t="s">
        <v>6447</v>
      </c>
      <c r="AB168" s="56" t="s">
        <v>6446</v>
      </c>
      <c r="AC168" s="56" t="s">
        <v>3543</v>
      </c>
      <c r="AD168" s="56" t="s">
        <v>24</v>
      </c>
      <c r="AE168" s="56" t="s">
        <v>6354</v>
      </c>
      <c r="AF168" s="56" t="s">
        <v>6445</v>
      </c>
      <c r="AH168" s="56" t="s">
        <v>3542</v>
      </c>
      <c r="AI168" s="56" t="s">
        <v>3723</v>
      </c>
    </row>
    <row r="169" spans="1:35" ht="33" customHeight="1">
      <c r="A169" s="56" t="s">
        <v>6450</v>
      </c>
      <c r="B169" s="57">
        <v>44358.829884259256</v>
      </c>
      <c r="C169" s="56" t="s">
        <v>3803</v>
      </c>
      <c r="D169" s="56" t="s">
        <v>4511</v>
      </c>
      <c r="E169" s="56" t="s">
        <v>6449</v>
      </c>
      <c r="F169" s="56" t="s">
        <v>6448</v>
      </c>
      <c r="G169" s="58" t="s">
        <v>3681</v>
      </c>
      <c r="H169" s="56">
        <v>1</v>
      </c>
      <c r="I169" s="56" t="s">
        <v>3569</v>
      </c>
      <c r="J169" s="56">
        <v>894</v>
      </c>
      <c r="K169" s="56">
        <v>750</v>
      </c>
      <c r="P169" s="56">
        <v>0</v>
      </c>
      <c r="S169" s="56">
        <v>0</v>
      </c>
      <c r="T169" s="56" t="s">
        <v>3562</v>
      </c>
      <c r="V169" s="56" t="s">
        <v>59</v>
      </c>
      <c r="W169" s="56" t="s">
        <v>3548</v>
      </c>
      <c r="X169" s="56" t="s">
        <v>3716</v>
      </c>
      <c r="Z169" s="56" t="s">
        <v>3546</v>
      </c>
      <c r="AA169" s="56" t="s">
        <v>6447</v>
      </c>
      <c r="AB169" s="56" t="s">
        <v>6446</v>
      </c>
      <c r="AC169" s="56" t="s">
        <v>3543</v>
      </c>
      <c r="AD169" s="56" t="s">
        <v>24</v>
      </c>
      <c r="AE169" s="56" t="s">
        <v>6354</v>
      </c>
      <c r="AF169" s="56" t="s">
        <v>6445</v>
      </c>
      <c r="AH169" s="56" t="s">
        <v>3542</v>
      </c>
      <c r="AI169" s="56" t="s">
        <v>3723</v>
      </c>
    </row>
    <row r="170" spans="1:35" ht="33" customHeight="1">
      <c r="A170" s="56" t="s">
        <v>6450</v>
      </c>
      <c r="B170" s="57">
        <v>44358.829884259256</v>
      </c>
      <c r="C170" s="56" t="s">
        <v>3803</v>
      </c>
      <c r="D170" s="56" t="s">
        <v>4511</v>
      </c>
      <c r="E170" s="56" t="s">
        <v>6449</v>
      </c>
      <c r="F170" s="56" t="s">
        <v>6448</v>
      </c>
      <c r="G170" s="58" t="s">
        <v>3551</v>
      </c>
      <c r="H170" s="56">
        <v>1</v>
      </c>
      <c r="I170" s="56" t="s">
        <v>3550</v>
      </c>
      <c r="J170" s="56">
        <v>0</v>
      </c>
      <c r="K170" s="56">
        <v>0</v>
      </c>
      <c r="P170" s="56">
        <v>0</v>
      </c>
      <c r="S170" s="56">
        <v>0</v>
      </c>
      <c r="T170" s="56" t="s">
        <v>3562</v>
      </c>
      <c r="V170" s="56" t="s">
        <v>59</v>
      </c>
      <c r="W170" s="56" t="s">
        <v>3548</v>
      </c>
      <c r="X170" s="56" t="s">
        <v>3716</v>
      </c>
      <c r="Z170" s="56" t="s">
        <v>3546</v>
      </c>
      <c r="AA170" s="56" t="s">
        <v>6447</v>
      </c>
      <c r="AB170" s="56" t="s">
        <v>6446</v>
      </c>
      <c r="AC170" s="56" t="s">
        <v>3543</v>
      </c>
      <c r="AD170" s="56" t="s">
        <v>24</v>
      </c>
      <c r="AE170" s="56" t="s">
        <v>6354</v>
      </c>
      <c r="AF170" s="56" t="s">
        <v>6445</v>
      </c>
      <c r="AH170" s="56" t="s">
        <v>3542</v>
      </c>
      <c r="AI170" s="56" t="s">
        <v>3723</v>
      </c>
    </row>
    <row r="171" spans="1:35" ht="33" customHeight="1">
      <c r="A171" s="56" t="s">
        <v>6450</v>
      </c>
      <c r="B171" s="57">
        <v>44358.829884259256</v>
      </c>
      <c r="C171" s="56" t="s">
        <v>3803</v>
      </c>
      <c r="D171" s="56" t="s">
        <v>4511</v>
      </c>
      <c r="E171" s="56" t="s">
        <v>6449</v>
      </c>
      <c r="F171" s="56" t="s">
        <v>6448</v>
      </c>
      <c r="G171" s="58" t="s">
        <v>1500</v>
      </c>
      <c r="H171" s="56">
        <v>1</v>
      </c>
      <c r="I171" s="56" t="s">
        <v>6228</v>
      </c>
      <c r="J171" s="56">
        <v>0</v>
      </c>
      <c r="K171" s="56">
        <v>0</v>
      </c>
      <c r="P171" s="56">
        <v>0</v>
      </c>
      <c r="S171" s="56">
        <v>0</v>
      </c>
      <c r="T171" s="56" t="s">
        <v>3562</v>
      </c>
      <c r="V171" s="56" t="s">
        <v>59</v>
      </c>
      <c r="W171" s="56" t="s">
        <v>3548</v>
      </c>
      <c r="X171" s="56" t="s">
        <v>3716</v>
      </c>
      <c r="Z171" s="56" t="s">
        <v>3546</v>
      </c>
      <c r="AA171" s="56" t="s">
        <v>6447</v>
      </c>
      <c r="AB171" s="56" t="s">
        <v>6446</v>
      </c>
      <c r="AC171" s="56" t="s">
        <v>3543</v>
      </c>
      <c r="AD171" s="56" t="s">
        <v>24</v>
      </c>
      <c r="AE171" s="56" t="s">
        <v>6354</v>
      </c>
      <c r="AF171" s="56" t="s">
        <v>6445</v>
      </c>
      <c r="AH171" s="56" t="s">
        <v>3542</v>
      </c>
      <c r="AI171" s="56" t="s">
        <v>3723</v>
      </c>
    </row>
    <row r="172" spans="1:35" ht="33" customHeight="1">
      <c r="A172" s="56" t="s">
        <v>6444</v>
      </c>
      <c r="B172" s="57">
        <v>44358.840243055558</v>
      </c>
      <c r="C172" s="56" t="s">
        <v>3803</v>
      </c>
      <c r="D172" s="56" t="s">
        <v>4426</v>
      </c>
      <c r="E172" s="56" t="s">
        <v>6443</v>
      </c>
      <c r="F172" s="56" t="s">
        <v>6442</v>
      </c>
      <c r="G172" s="58" t="s">
        <v>3654</v>
      </c>
      <c r="H172" s="56">
        <v>1</v>
      </c>
      <c r="I172" s="56" t="s">
        <v>3653</v>
      </c>
      <c r="J172" s="56">
        <v>447</v>
      </c>
      <c r="K172" s="56">
        <v>430</v>
      </c>
      <c r="L172" s="56">
        <v>1079</v>
      </c>
      <c r="M172" s="56">
        <v>0</v>
      </c>
      <c r="N172" s="56">
        <v>0</v>
      </c>
      <c r="O172" s="56">
        <v>100</v>
      </c>
      <c r="P172" s="56">
        <v>0</v>
      </c>
      <c r="Q172" s="56">
        <v>979</v>
      </c>
      <c r="R172" s="56">
        <v>0</v>
      </c>
      <c r="S172" s="56">
        <v>0</v>
      </c>
      <c r="T172" s="56" t="s">
        <v>3562</v>
      </c>
      <c r="U172" s="56">
        <v>979</v>
      </c>
      <c r="V172" s="56" t="s">
        <v>59</v>
      </c>
      <c r="W172" s="56" t="s">
        <v>3548</v>
      </c>
      <c r="X172" s="56" t="s">
        <v>3716</v>
      </c>
      <c r="Z172" s="56" t="s">
        <v>3546</v>
      </c>
      <c r="AA172" s="56" t="s">
        <v>1014</v>
      </c>
      <c r="AB172" s="56" t="s">
        <v>6441</v>
      </c>
      <c r="AC172" s="56" t="s">
        <v>3543</v>
      </c>
      <c r="AD172" s="56" t="s">
        <v>24</v>
      </c>
      <c r="AE172" s="56" t="s">
        <v>6354</v>
      </c>
      <c r="AF172" s="56" t="s">
        <v>6440</v>
      </c>
      <c r="AH172" s="56" t="s">
        <v>3542</v>
      </c>
      <c r="AI172" s="56" t="s">
        <v>3723</v>
      </c>
    </row>
    <row r="173" spans="1:35" ht="33" customHeight="1">
      <c r="A173" s="56" t="s">
        <v>6444</v>
      </c>
      <c r="B173" s="57">
        <v>44358.840243055558</v>
      </c>
      <c r="C173" s="56" t="s">
        <v>3803</v>
      </c>
      <c r="D173" s="56" t="s">
        <v>4426</v>
      </c>
      <c r="E173" s="56" t="s">
        <v>6443</v>
      </c>
      <c r="F173" s="56" t="s">
        <v>6442</v>
      </c>
      <c r="G173" s="58" t="s">
        <v>1508</v>
      </c>
      <c r="H173" s="56">
        <v>1</v>
      </c>
      <c r="I173" s="56" t="s">
        <v>3696</v>
      </c>
      <c r="J173" s="56">
        <v>299</v>
      </c>
      <c r="K173" s="56">
        <v>299</v>
      </c>
      <c r="P173" s="56">
        <v>0</v>
      </c>
      <c r="S173" s="56">
        <v>0</v>
      </c>
      <c r="T173" s="56" t="s">
        <v>3562</v>
      </c>
      <c r="V173" s="56" t="s">
        <v>59</v>
      </c>
      <c r="W173" s="56" t="s">
        <v>3548</v>
      </c>
      <c r="X173" s="56" t="s">
        <v>3716</v>
      </c>
      <c r="Z173" s="56" t="s">
        <v>3546</v>
      </c>
      <c r="AA173" s="56" t="s">
        <v>1014</v>
      </c>
      <c r="AB173" s="56" t="s">
        <v>6441</v>
      </c>
      <c r="AC173" s="56" t="s">
        <v>3543</v>
      </c>
      <c r="AD173" s="56" t="s">
        <v>24</v>
      </c>
      <c r="AE173" s="56" t="s">
        <v>6354</v>
      </c>
      <c r="AF173" s="56" t="s">
        <v>6440</v>
      </c>
      <c r="AH173" s="56" t="s">
        <v>3542</v>
      </c>
      <c r="AI173" s="56" t="s">
        <v>3723</v>
      </c>
    </row>
    <row r="174" spans="1:35" ht="33" customHeight="1">
      <c r="A174" s="56" t="s">
        <v>6444</v>
      </c>
      <c r="B174" s="57">
        <v>44358.840243055558</v>
      </c>
      <c r="C174" s="56" t="s">
        <v>3803</v>
      </c>
      <c r="D174" s="56" t="s">
        <v>4426</v>
      </c>
      <c r="E174" s="56" t="s">
        <v>6443</v>
      </c>
      <c r="F174" s="56" t="s">
        <v>6442</v>
      </c>
      <c r="G174" s="58" t="s">
        <v>1486</v>
      </c>
      <c r="H174" s="56">
        <v>1</v>
      </c>
      <c r="I174" s="56" t="s">
        <v>4174</v>
      </c>
      <c r="J174" s="56">
        <v>350</v>
      </c>
      <c r="K174" s="56">
        <v>350</v>
      </c>
      <c r="P174" s="56">
        <v>0</v>
      </c>
      <c r="S174" s="56">
        <v>0</v>
      </c>
      <c r="T174" s="56" t="s">
        <v>3562</v>
      </c>
      <c r="V174" s="56" t="s">
        <v>59</v>
      </c>
      <c r="W174" s="56" t="s">
        <v>3548</v>
      </c>
      <c r="X174" s="56" t="s">
        <v>3716</v>
      </c>
      <c r="Z174" s="56" t="s">
        <v>3546</v>
      </c>
      <c r="AA174" s="56" t="s">
        <v>1014</v>
      </c>
      <c r="AB174" s="56" t="s">
        <v>6441</v>
      </c>
      <c r="AC174" s="56" t="s">
        <v>3543</v>
      </c>
      <c r="AD174" s="56" t="s">
        <v>24</v>
      </c>
      <c r="AE174" s="56" t="s">
        <v>6354</v>
      </c>
      <c r="AF174" s="56" t="s">
        <v>6440</v>
      </c>
      <c r="AH174" s="56" t="s">
        <v>3542</v>
      </c>
      <c r="AI174" s="56" t="s">
        <v>3723</v>
      </c>
    </row>
    <row r="175" spans="1:35" ht="33" customHeight="1">
      <c r="A175" s="56" t="s">
        <v>6444</v>
      </c>
      <c r="B175" s="57">
        <v>44358.840243055558</v>
      </c>
      <c r="C175" s="56" t="s">
        <v>3803</v>
      </c>
      <c r="D175" s="56" t="s">
        <v>4426</v>
      </c>
      <c r="E175" s="56" t="s">
        <v>6443</v>
      </c>
      <c r="F175" s="56" t="s">
        <v>6442</v>
      </c>
      <c r="G175" s="58" t="s">
        <v>3551</v>
      </c>
      <c r="H175" s="56">
        <v>1</v>
      </c>
      <c r="I175" s="56" t="s">
        <v>3550</v>
      </c>
      <c r="J175" s="56">
        <v>0</v>
      </c>
      <c r="K175" s="56">
        <v>0</v>
      </c>
      <c r="P175" s="56">
        <v>0</v>
      </c>
      <c r="S175" s="56">
        <v>0</v>
      </c>
      <c r="T175" s="56" t="s">
        <v>3562</v>
      </c>
      <c r="V175" s="56" t="s">
        <v>59</v>
      </c>
      <c r="W175" s="56" t="s">
        <v>3548</v>
      </c>
      <c r="X175" s="56" t="s">
        <v>3716</v>
      </c>
      <c r="Z175" s="56" t="s">
        <v>3546</v>
      </c>
      <c r="AA175" s="56" t="s">
        <v>1014</v>
      </c>
      <c r="AB175" s="56" t="s">
        <v>6441</v>
      </c>
      <c r="AC175" s="56" t="s">
        <v>3543</v>
      </c>
      <c r="AD175" s="56" t="s">
        <v>24</v>
      </c>
      <c r="AE175" s="56" t="s">
        <v>6354</v>
      </c>
      <c r="AF175" s="56" t="s">
        <v>6440</v>
      </c>
      <c r="AH175" s="56" t="s">
        <v>3542</v>
      </c>
      <c r="AI175" s="56" t="s">
        <v>3723</v>
      </c>
    </row>
    <row r="176" spans="1:35" ht="33" customHeight="1">
      <c r="A176" s="56" t="s">
        <v>6444</v>
      </c>
      <c r="B176" s="57">
        <v>44358.840243055558</v>
      </c>
      <c r="C176" s="56" t="s">
        <v>3803</v>
      </c>
      <c r="D176" s="56" t="s">
        <v>4426</v>
      </c>
      <c r="E176" s="56" t="s">
        <v>6443</v>
      </c>
      <c r="F176" s="56" t="s">
        <v>6442</v>
      </c>
      <c r="G176" s="58" t="s">
        <v>1500</v>
      </c>
      <c r="H176" s="56">
        <v>1</v>
      </c>
      <c r="I176" s="56" t="s">
        <v>6228</v>
      </c>
      <c r="J176" s="56">
        <v>0</v>
      </c>
      <c r="K176" s="56">
        <v>0</v>
      </c>
      <c r="P176" s="56">
        <v>0</v>
      </c>
      <c r="S176" s="56">
        <v>0</v>
      </c>
      <c r="T176" s="56" t="s">
        <v>3562</v>
      </c>
      <c r="V176" s="56" t="s">
        <v>59</v>
      </c>
      <c r="W176" s="56" t="s">
        <v>3548</v>
      </c>
      <c r="X176" s="56" t="s">
        <v>3716</v>
      </c>
      <c r="Z176" s="56" t="s">
        <v>3546</v>
      </c>
      <c r="AA176" s="56" t="s">
        <v>1014</v>
      </c>
      <c r="AB176" s="56" t="s">
        <v>6441</v>
      </c>
      <c r="AC176" s="56" t="s">
        <v>3543</v>
      </c>
      <c r="AD176" s="56" t="s">
        <v>24</v>
      </c>
      <c r="AE176" s="56" t="s">
        <v>6354</v>
      </c>
      <c r="AF176" s="56" t="s">
        <v>6440</v>
      </c>
      <c r="AH176" s="56" t="s">
        <v>3542</v>
      </c>
      <c r="AI176" s="56" t="s">
        <v>3723</v>
      </c>
    </row>
    <row r="177" spans="1:35" ht="33" customHeight="1">
      <c r="A177" s="56" t="s">
        <v>6439</v>
      </c>
      <c r="B177" s="57">
        <v>44358.843124999999</v>
      </c>
      <c r="C177" s="56" t="s">
        <v>3803</v>
      </c>
      <c r="D177" s="56" t="s">
        <v>3802</v>
      </c>
      <c r="E177" s="56" t="s">
        <v>6438</v>
      </c>
      <c r="F177" s="56" t="s">
        <v>6437</v>
      </c>
      <c r="G177" s="58" t="s">
        <v>3593</v>
      </c>
      <c r="H177" s="56">
        <v>1</v>
      </c>
      <c r="I177" s="56" t="s">
        <v>3577</v>
      </c>
      <c r="J177" s="56">
        <v>700</v>
      </c>
      <c r="K177" s="56">
        <v>599</v>
      </c>
      <c r="L177" s="56">
        <v>1197</v>
      </c>
      <c r="M177" s="56">
        <v>0</v>
      </c>
      <c r="N177" s="56">
        <v>0</v>
      </c>
      <c r="O177" s="56">
        <v>120</v>
      </c>
      <c r="P177" s="56">
        <v>0</v>
      </c>
      <c r="Q177" s="56">
        <v>1077</v>
      </c>
      <c r="R177" s="56">
        <v>0</v>
      </c>
      <c r="S177" s="56">
        <v>0</v>
      </c>
      <c r="T177" s="56" t="s">
        <v>3562</v>
      </c>
      <c r="U177" s="56">
        <v>1077</v>
      </c>
      <c r="V177" s="56" t="s">
        <v>59</v>
      </c>
      <c r="W177" s="56" t="s">
        <v>3548</v>
      </c>
      <c r="X177" s="56" t="s">
        <v>39</v>
      </c>
      <c r="Y177" s="56" t="s">
        <v>5410</v>
      </c>
      <c r="Z177" s="56" t="s">
        <v>6436</v>
      </c>
      <c r="AC177" s="56" t="s">
        <v>3543</v>
      </c>
      <c r="AD177" s="56" t="s">
        <v>24</v>
      </c>
      <c r="AE177" s="56" t="s">
        <v>6354</v>
      </c>
      <c r="AF177" s="56" t="s">
        <v>6435</v>
      </c>
      <c r="AH177" s="56" t="s">
        <v>3542</v>
      </c>
      <c r="AI177" s="56" t="s">
        <v>3723</v>
      </c>
    </row>
    <row r="178" spans="1:35" ht="33" customHeight="1">
      <c r="A178" s="56" t="s">
        <v>6439</v>
      </c>
      <c r="B178" s="57">
        <v>44358.843124999999</v>
      </c>
      <c r="C178" s="56" t="s">
        <v>3803</v>
      </c>
      <c r="D178" s="56" t="s">
        <v>3802</v>
      </c>
      <c r="E178" s="56" t="s">
        <v>6438</v>
      </c>
      <c r="F178" s="56" t="s">
        <v>6437</v>
      </c>
      <c r="G178" s="58" t="s">
        <v>1510</v>
      </c>
      <c r="H178" s="56">
        <v>1</v>
      </c>
      <c r="I178" s="56" t="s">
        <v>3696</v>
      </c>
      <c r="J178" s="56">
        <v>299</v>
      </c>
      <c r="K178" s="56">
        <v>299</v>
      </c>
      <c r="P178" s="56">
        <v>0</v>
      </c>
      <c r="S178" s="56">
        <v>0</v>
      </c>
      <c r="T178" s="56" t="s">
        <v>3562</v>
      </c>
      <c r="V178" s="56" t="s">
        <v>59</v>
      </c>
      <c r="W178" s="56" t="s">
        <v>3548</v>
      </c>
      <c r="X178" s="56" t="s">
        <v>39</v>
      </c>
      <c r="Y178" s="56" t="s">
        <v>5410</v>
      </c>
      <c r="Z178" s="56" t="s">
        <v>6436</v>
      </c>
      <c r="AC178" s="56" t="s">
        <v>3543</v>
      </c>
      <c r="AD178" s="56" t="s">
        <v>24</v>
      </c>
      <c r="AE178" s="56" t="s">
        <v>6354</v>
      </c>
      <c r="AF178" s="56" t="s">
        <v>6435</v>
      </c>
      <c r="AH178" s="56" t="s">
        <v>3542</v>
      </c>
      <c r="AI178" s="56" t="s">
        <v>3723</v>
      </c>
    </row>
    <row r="179" spans="1:35" ht="33" customHeight="1">
      <c r="A179" s="56" t="s">
        <v>6439</v>
      </c>
      <c r="B179" s="57">
        <v>44358.843124999999</v>
      </c>
      <c r="C179" s="56" t="s">
        <v>3803</v>
      </c>
      <c r="D179" s="56" t="s">
        <v>3802</v>
      </c>
      <c r="E179" s="56" t="s">
        <v>6438</v>
      </c>
      <c r="F179" s="56" t="s">
        <v>6437</v>
      </c>
      <c r="G179" s="58" t="s">
        <v>1508</v>
      </c>
      <c r="H179" s="56">
        <v>1</v>
      </c>
      <c r="I179" s="56" t="s">
        <v>3696</v>
      </c>
      <c r="J179" s="56">
        <v>299</v>
      </c>
      <c r="K179" s="56">
        <v>299</v>
      </c>
      <c r="P179" s="56">
        <v>0</v>
      </c>
      <c r="S179" s="56">
        <v>0</v>
      </c>
      <c r="T179" s="56" t="s">
        <v>3562</v>
      </c>
      <c r="V179" s="56" t="s">
        <v>59</v>
      </c>
      <c r="W179" s="56" t="s">
        <v>3548</v>
      </c>
      <c r="X179" s="56" t="s">
        <v>39</v>
      </c>
      <c r="Y179" s="56" t="s">
        <v>5410</v>
      </c>
      <c r="Z179" s="56" t="s">
        <v>6436</v>
      </c>
      <c r="AC179" s="56" t="s">
        <v>3543</v>
      </c>
      <c r="AD179" s="56" t="s">
        <v>24</v>
      </c>
      <c r="AE179" s="56" t="s">
        <v>6354</v>
      </c>
      <c r="AF179" s="56" t="s">
        <v>6435</v>
      </c>
      <c r="AH179" s="56" t="s">
        <v>3542</v>
      </c>
      <c r="AI179" s="56" t="s">
        <v>3723</v>
      </c>
    </row>
    <row r="180" spans="1:35" ht="33" customHeight="1">
      <c r="A180" s="56" t="s">
        <v>6439</v>
      </c>
      <c r="B180" s="57">
        <v>44358.843124999999</v>
      </c>
      <c r="C180" s="56" t="s">
        <v>3803</v>
      </c>
      <c r="D180" s="56" t="s">
        <v>3802</v>
      </c>
      <c r="E180" s="56" t="s">
        <v>6438</v>
      </c>
      <c r="F180" s="56" t="s">
        <v>6437</v>
      </c>
      <c r="G180" s="58" t="s">
        <v>3551</v>
      </c>
      <c r="H180" s="56">
        <v>1</v>
      </c>
      <c r="I180" s="56" t="s">
        <v>3550</v>
      </c>
      <c r="J180" s="56">
        <v>0</v>
      </c>
      <c r="K180" s="56">
        <v>0</v>
      </c>
      <c r="P180" s="56">
        <v>0</v>
      </c>
      <c r="S180" s="56">
        <v>0</v>
      </c>
      <c r="T180" s="56" t="s">
        <v>3562</v>
      </c>
      <c r="V180" s="56" t="s">
        <v>59</v>
      </c>
      <c r="W180" s="56" t="s">
        <v>3548</v>
      </c>
      <c r="X180" s="56" t="s">
        <v>39</v>
      </c>
      <c r="Y180" s="56" t="s">
        <v>5410</v>
      </c>
      <c r="Z180" s="56" t="s">
        <v>6436</v>
      </c>
      <c r="AC180" s="56" t="s">
        <v>3543</v>
      </c>
      <c r="AD180" s="56" t="s">
        <v>24</v>
      </c>
      <c r="AE180" s="56" t="s">
        <v>6354</v>
      </c>
      <c r="AF180" s="56" t="s">
        <v>6435</v>
      </c>
      <c r="AH180" s="56" t="s">
        <v>3542</v>
      </c>
      <c r="AI180" s="56" t="s">
        <v>3723</v>
      </c>
    </row>
    <row r="181" spans="1:35" ht="33" customHeight="1">
      <c r="A181" s="56" t="s">
        <v>6439</v>
      </c>
      <c r="B181" s="57">
        <v>44358.843124999999</v>
      </c>
      <c r="C181" s="56" t="s">
        <v>3803</v>
      </c>
      <c r="D181" s="56" t="s">
        <v>3802</v>
      </c>
      <c r="E181" s="56" t="s">
        <v>6438</v>
      </c>
      <c r="F181" s="56" t="s">
        <v>6437</v>
      </c>
      <c r="G181" s="58" t="s">
        <v>1500</v>
      </c>
      <c r="H181" s="56">
        <v>1</v>
      </c>
      <c r="I181" s="56" t="s">
        <v>6228</v>
      </c>
      <c r="J181" s="56">
        <v>0</v>
      </c>
      <c r="K181" s="56">
        <v>0</v>
      </c>
      <c r="P181" s="56">
        <v>0</v>
      </c>
      <c r="S181" s="56">
        <v>0</v>
      </c>
      <c r="T181" s="56" t="s">
        <v>3562</v>
      </c>
      <c r="V181" s="56" t="s">
        <v>59</v>
      </c>
      <c r="W181" s="56" t="s">
        <v>3548</v>
      </c>
      <c r="X181" s="56" t="s">
        <v>39</v>
      </c>
      <c r="Y181" s="56" t="s">
        <v>5410</v>
      </c>
      <c r="Z181" s="56" t="s">
        <v>6436</v>
      </c>
      <c r="AC181" s="56" t="s">
        <v>3543</v>
      </c>
      <c r="AD181" s="56" t="s">
        <v>24</v>
      </c>
      <c r="AE181" s="56" t="s">
        <v>6354</v>
      </c>
      <c r="AF181" s="56" t="s">
        <v>6435</v>
      </c>
      <c r="AH181" s="56" t="s">
        <v>3542</v>
      </c>
      <c r="AI181" s="56" t="s">
        <v>3723</v>
      </c>
    </row>
    <row r="182" spans="1:35" ht="33" customHeight="1">
      <c r="A182" s="56" t="s">
        <v>6434</v>
      </c>
      <c r="B182" s="57">
        <v>44358.843842592592</v>
      </c>
      <c r="C182" s="56" t="s">
        <v>3803</v>
      </c>
      <c r="D182" s="56" t="s">
        <v>4426</v>
      </c>
      <c r="E182" s="56" t="s">
        <v>6433</v>
      </c>
      <c r="F182" s="56" t="s">
        <v>6432</v>
      </c>
      <c r="G182" s="58" t="s">
        <v>3187</v>
      </c>
      <c r="H182" s="56">
        <v>1</v>
      </c>
      <c r="I182" s="56" t="s">
        <v>3761</v>
      </c>
      <c r="J182" s="56">
        <v>149</v>
      </c>
      <c r="K182" s="56">
        <v>149</v>
      </c>
      <c r="L182" s="56">
        <v>1208</v>
      </c>
      <c r="M182" s="56">
        <v>0</v>
      </c>
      <c r="N182" s="56">
        <v>24</v>
      </c>
      <c r="O182" s="56">
        <v>119</v>
      </c>
      <c r="P182" s="56">
        <v>0</v>
      </c>
      <c r="Q182" s="56">
        <v>1065</v>
      </c>
      <c r="R182" s="56">
        <v>0</v>
      </c>
      <c r="S182" s="56">
        <v>0</v>
      </c>
      <c r="T182" s="56" t="s">
        <v>27</v>
      </c>
      <c r="U182" s="56">
        <v>1065</v>
      </c>
      <c r="V182" s="56" t="s">
        <v>3549</v>
      </c>
      <c r="W182" s="56" t="s">
        <v>3548</v>
      </c>
      <c r="X182" s="56" t="s">
        <v>3547</v>
      </c>
      <c r="Z182" s="56" t="s">
        <v>3546</v>
      </c>
      <c r="AA182" s="56" t="s">
        <v>1169</v>
      </c>
      <c r="AB182" s="56" t="s">
        <v>6431</v>
      </c>
      <c r="AC182" s="56" t="s">
        <v>3543</v>
      </c>
      <c r="AH182" s="56" t="s">
        <v>3542</v>
      </c>
      <c r="AI182" s="56" t="s">
        <v>3541</v>
      </c>
    </row>
    <row r="183" spans="1:35" ht="33" customHeight="1">
      <c r="A183" s="56" t="s">
        <v>6434</v>
      </c>
      <c r="B183" s="57">
        <v>44358.843842592592</v>
      </c>
      <c r="C183" s="56" t="s">
        <v>3803</v>
      </c>
      <c r="D183" s="56" t="s">
        <v>4426</v>
      </c>
      <c r="E183" s="56" t="s">
        <v>6433</v>
      </c>
      <c r="F183" s="56" t="s">
        <v>6432</v>
      </c>
      <c r="G183" s="58" t="s">
        <v>5349</v>
      </c>
      <c r="H183" s="56">
        <v>1</v>
      </c>
      <c r="I183" s="56" t="s">
        <v>5335</v>
      </c>
      <c r="J183" s="56">
        <v>547</v>
      </c>
      <c r="K183" s="56">
        <v>460</v>
      </c>
      <c r="P183" s="56">
        <v>0</v>
      </c>
      <c r="S183" s="56">
        <v>0</v>
      </c>
      <c r="T183" s="56" t="s">
        <v>27</v>
      </c>
      <c r="V183" s="56" t="s">
        <v>3549</v>
      </c>
      <c r="W183" s="56" t="s">
        <v>3548</v>
      </c>
      <c r="X183" s="56" t="s">
        <v>3547</v>
      </c>
      <c r="Z183" s="56" t="s">
        <v>3546</v>
      </c>
      <c r="AA183" s="56" t="s">
        <v>1169</v>
      </c>
      <c r="AB183" s="56" t="s">
        <v>6431</v>
      </c>
      <c r="AC183" s="56" t="s">
        <v>3543</v>
      </c>
      <c r="AH183" s="56" t="s">
        <v>3542</v>
      </c>
      <c r="AI183" s="56" t="s">
        <v>3541</v>
      </c>
    </row>
    <row r="184" spans="1:35" ht="33" customHeight="1">
      <c r="A184" s="56" t="s">
        <v>6434</v>
      </c>
      <c r="B184" s="57">
        <v>44358.843842592592</v>
      </c>
      <c r="C184" s="56" t="s">
        <v>3803</v>
      </c>
      <c r="D184" s="56" t="s">
        <v>4426</v>
      </c>
      <c r="E184" s="56" t="s">
        <v>6433</v>
      </c>
      <c r="F184" s="56" t="s">
        <v>6432</v>
      </c>
      <c r="G184" s="58" t="s">
        <v>3593</v>
      </c>
      <c r="H184" s="56">
        <v>1</v>
      </c>
      <c r="I184" s="56" t="s">
        <v>3577</v>
      </c>
      <c r="J184" s="56">
        <v>700</v>
      </c>
      <c r="K184" s="56">
        <v>599</v>
      </c>
      <c r="P184" s="56">
        <v>0</v>
      </c>
      <c r="S184" s="56">
        <v>0</v>
      </c>
      <c r="T184" s="56" t="s">
        <v>27</v>
      </c>
      <c r="V184" s="56" t="s">
        <v>3549</v>
      </c>
      <c r="W184" s="56" t="s">
        <v>3548</v>
      </c>
      <c r="X184" s="56" t="s">
        <v>3547</v>
      </c>
      <c r="Z184" s="56" t="s">
        <v>3546</v>
      </c>
      <c r="AA184" s="56" t="s">
        <v>1169</v>
      </c>
      <c r="AB184" s="56" t="s">
        <v>6431</v>
      </c>
      <c r="AC184" s="56" t="s">
        <v>3543</v>
      </c>
      <c r="AH184" s="56" t="s">
        <v>3542</v>
      </c>
      <c r="AI184" s="56" t="s">
        <v>3541</v>
      </c>
    </row>
    <row r="185" spans="1:35" ht="33" customHeight="1">
      <c r="A185" s="56" t="s">
        <v>6434</v>
      </c>
      <c r="B185" s="57">
        <v>44358.843842592592</v>
      </c>
      <c r="C185" s="56" t="s">
        <v>3803</v>
      </c>
      <c r="D185" s="56" t="s">
        <v>4426</v>
      </c>
      <c r="E185" s="56" t="s">
        <v>6433</v>
      </c>
      <c r="F185" s="56" t="s">
        <v>6432</v>
      </c>
      <c r="G185" s="58" t="s">
        <v>3551</v>
      </c>
      <c r="H185" s="56">
        <v>1</v>
      </c>
      <c r="I185" s="56" t="s">
        <v>3550</v>
      </c>
      <c r="J185" s="56">
        <v>0</v>
      </c>
      <c r="K185" s="56">
        <v>0</v>
      </c>
      <c r="P185" s="56">
        <v>0</v>
      </c>
      <c r="S185" s="56">
        <v>0</v>
      </c>
      <c r="T185" s="56" t="s">
        <v>27</v>
      </c>
      <c r="V185" s="56" t="s">
        <v>3549</v>
      </c>
      <c r="W185" s="56" t="s">
        <v>3548</v>
      </c>
      <c r="X185" s="56" t="s">
        <v>3547</v>
      </c>
      <c r="Z185" s="56" t="s">
        <v>3546</v>
      </c>
      <c r="AA185" s="56" t="s">
        <v>1169</v>
      </c>
      <c r="AB185" s="56" t="s">
        <v>6431</v>
      </c>
      <c r="AC185" s="56" t="s">
        <v>3543</v>
      </c>
      <c r="AH185" s="56" t="s">
        <v>3542</v>
      </c>
      <c r="AI185" s="56" t="s">
        <v>3541</v>
      </c>
    </row>
    <row r="186" spans="1:35" ht="33" customHeight="1">
      <c r="A186" s="56" t="s">
        <v>6434</v>
      </c>
      <c r="B186" s="57">
        <v>44358.843842592592</v>
      </c>
      <c r="C186" s="56" t="s">
        <v>3803</v>
      </c>
      <c r="D186" s="56" t="s">
        <v>4426</v>
      </c>
      <c r="E186" s="56" t="s">
        <v>6433</v>
      </c>
      <c r="F186" s="56" t="s">
        <v>6432</v>
      </c>
      <c r="G186" s="58" t="s">
        <v>1500</v>
      </c>
      <c r="H186" s="56">
        <v>1</v>
      </c>
      <c r="I186" s="56" t="s">
        <v>6228</v>
      </c>
      <c r="J186" s="56">
        <v>0</v>
      </c>
      <c r="K186" s="56">
        <v>0</v>
      </c>
      <c r="P186" s="56">
        <v>0</v>
      </c>
      <c r="S186" s="56">
        <v>0</v>
      </c>
      <c r="T186" s="56" t="s">
        <v>27</v>
      </c>
      <c r="V186" s="56" t="s">
        <v>3549</v>
      </c>
      <c r="W186" s="56" t="s">
        <v>3548</v>
      </c>
      <c r="X186" s="56" t="s">
        <v>3547</v>
      </c>
      <c r="Z186" s="56" t="s">
        <v>3546</v>
      </c>
      <c r="AA186" s="56" t="s">
        <v>1169</v>
      </c>
      <c r="AB186" s="56" t="s">
        <v>6431</v>
      </c>
      <c r="AC186" s="56" t="s">
        <v>3543</v>
      </c>
      <c r="AH186" s="56" t="s">
        <v>3542</v>
      </c>
      <c r="AI186" s="56" t="s">
        <v>3541</v>
      </c>
    </row>
    <row r="187" spans="1:35" ht="33" customHeight="1">
      <c r="A187" s="56" t="s">
        <v>6430</v>
      </c>
      <c r="B187" s="57">
        <v>44358.845243055555</v>
      </c>
      <c r="C187" s="56" t="s">
        <v>4512</v>
      </c>
      <c r="D187" s="56" t="s">
        <v>4511</v>
      </c>
      <c r="E187" s="56" t="s">
        <v>6429</v>
      </c>
      <c r="F187" s="56" t="s">
        <v>6428</v>
      </c>
      <c r="G187" s="58" t="s">
        <v>1510</v>
      </c>
      <c r="H187" s="56">
        <v>1</v>
      </c>
      <c r="I187" s="56" t="s">
        <v>3696</v>
      </c>
      <c r="J187" s="56">
        <v>299</v>
      </c>
      <c r="K187" s="56">
        <v>299</v>
      </c>
      <c r="L187" s="56">
        <v>598</v>
      </c>
      <c r="M187" s="56">
        <v>0</v>
      </c>
      <c r="N187" s="56">
        <v>0</v>
      </c>
      <c r="O187" s="56">
        <v>0</v>
      </c>
      <c r="P187" s="56">
        <v>0</v>
      </c>
      <c r="Q187" s="56">
        <v>598</v>
      </c>
      <c r="R187" s="56">
        <v>0</v>
      </c>
      <c r="S187" s="56">
        <v>0</v>
      </c>
      <c r="T187" s="56" t="s">
        <v>3562</v>
      </c>
      <c r="U187" s="56">
        <v>598</v>
      </c>
      <c r="V187" s="56" t="s">
        <v>3549</v>
      </c>
      <c r="W187" s="56" t="s">
        <v>3548</v>
      </c>
      <c r="X187" s="56" t="s">
        <v>3547</v>
      </c>
      <c r="Z187" s="56" t="s">
        <v>3546</v>
      </c>
      <c r="AA187" s="56" t="s">
        <v>6427</v>
      </c>
      <c r="AB187" s="56" t="s">
        <v>6426</v>
      </c>
      <c r="AC187" s="56" t="s">
        <v>3543</v>
      </c>
      <c r="AH187" s="56" t="s">
        <v>3542</v>
      </c>
      <c r="AI187" s="56" t="s">
        <v>3541</v>
      </c>
    </row>
    <row r="188" spans="1:35" ht="33" customHeight="1">
      <c r="A188" s="56" t="s">
        <v>6430</v>
      </c>
      <c r="B188" s="57">
        <v>44358.845243055555</v>
      </c>
      <c r="C188" s="56" t="s">
        <v>4512</v>
      </c>
      <c r="D188" s="56" t="s">
        <v>4511</v>
      </c>
      <c r="E188" s="56" t="s">
        <v>6429</v>
      </c>
      <c r="F188" s="56" t="s">
        <v>6428</v>
      </c>
      <c r="G188" s="58" t="s">
        <v>1506</v>
      </c>
      <c r="H188" s="56">
        <v>1</v>
      </c>
      <c r="I188" s="56" t="s">
        <v>3696</v>
      </c>
      <c r="J188" s="56">
        <v>299</v>
      </c>
      <c r="K188" s="56">
        <v>299</v>
      </c>
      <c r="P188" s="56">
        <v>0</v>
      </c>
      <c r="S188" s="56">
        <v>0</v>
      </c>
      <c r="T188" s="56" t="s">
        <v>3562</v>
      </c>
      <c r="V188" s="56" t="s">
        <v>3549</v>
      </c>
      <c r="W188" s="56" t="s">
        <v>3548</v>
      </c>
      <c r="X188" s="56" t="s">
        <v>3547</v>
      </c>
      <c r="Z188" s="56" t="s">
        <v>3546</v>
      </c>
      <c r="AA188" s="56" t="s">
        <v>6427</v>
      </c>
      <c r="AB188" s="56" t="s">
        <v>6426</v>
      </c>
      <c r="AC188" s="56" t="s">
        <v>3543</v>
      </c>
      <c r="AH188" s="56" t="s">
        <v>3542</v>
      </c>
      <c r="AI188" s="56" t="s">
        <v>3541</v>
      </c>
    </row>
    <row r="189" spans="1:35" ht="33" customHeight="1">
      <c r="A189" s="56" t="s">
        <v>6430</v>
      </c>
      <c r="B189" s="57">
        <v>44358.845243055555</v>
      </c>
      <c r="C189" s="56" t="s">
        <v>4512</v>
      </c>
      <c r="D189" s="56" t="s">
        <v>4511</v>
      </c>
      <c r="E189" s="56" t="s">
        <v>6429</v>
      </c>
      <c r="F189" s="56" t="s">
        <v>6428</v>
      </c>
      <c r="G189" s="58" t="s">
        <v>3551</v>
      </c>
      <c r="H189" s="56">
        <v>1</v>
      </c>
      <c r="I189" s="56" t="s">
        <v>3550</v>
      </c>
      <c r="J189" s="56">
        <v>0</v>
      </c>
      <c r="K189" s="56">
        <v>0</v>
      </c>
      <c r="P189" s="56">
        <v>0</v>
      </c>
      <c r="S189" s="56">
        <v>0</v>
      </c>
      <c r="T189" s="56" t="s">
        <v>3562</v>
      </c>
      <c r="V189" s="56" t="s">
        <v>3549</v>
      </c>
      <c r="W189" s="56" t="s">
        <v>3548</v>
      </c>
      <c r="X189" s="56" t="s">
        <v>3547</v>
      </c>
      <c r="Z189" s="56" t="s">
        <v>3546</v>
      </c>
      <c r="AA189" s="56" t="s">
        <v>6427</v>
      </c>
      <c r="AB189" s="56" t="s">
        <v>6426</v>
      </c>
      <c r="AC189" s="56" t="s">
        <v>3543</v>
      </c>
      <c r="AH189" s="56" t="s">
        <v>3542</v>
      </c>
      <c r="AI189" s="56" t="s">
        <v>3541</v>
      </c>
    </row>
    <row r="190" spans="1:35" ht="33" customHeight="1">
      <c r="A190" s="56" t="s">
        <v>6425</v>
      </c>
      <c r="B190" s="57">
        <v>44358.847430555557</v>
      </c>
      <c r="C190" s="56" t="s">
        <v>3803</v>
      </c>
      <c r="D190" s="56" t="s">
        <v>3802</v>
      </c>
      <c r="E190" s="56" t="s">
        <v>6424</v>
      </c>
      <c r="F190" s="56" t="s">
        <v>6423</v>
      </c>
      <c r="G190" s="58" t="s">
        <v>1510</v>
      </c>
      <c r="H190" s="56">
        <v>3</v>
      </c>
      <c r="I190" s="56" t="s">
        <v>3696</v>
      </c>
      <c r="J190" s="56">
        <v>299</v>
      </c>
      <c r="K190" s="56">
        <v>299</v>
      </c>
      <c r="L190" s="56">
        <v>1047</v>
      </c>
      <c r="M190" s="56">
        <v>0</v>
      </c>
      <c r="N190" s="56">
        <v>0</v>
      </c>
      <c r="O190" s="56">
        <v>100</v>
      </c>
      <c r="P190" s="56">
        <v>0</v>
      </c>
      <c r="Q190" s="56">
        <v>947</v>
      </c>
      <c r="R190" s="56">
        <v>0</v>
      </c>
      <c r="S190" s="56">
        <v>0</v>
      </c>
      <c r="T190" s="56" t="s">
        <v>3562</v>
      </c>
      <c r="U190" s="56">
        <v>947</v>
      </c>
      <c r="V190" s="56" t="s">
        <v>3561</v>
      </c>
      <c r="W190" s="56" t="s">
        <v>3548</v>
      </c>
      <c r="X190" s="56" t="s">
        <v>39</v>
      </c>
      <c r="Y190" s="56" t="s">
        <v>4193</v>
      </c>
      <c r="Z190" s="56" t="s">
        <v>6422</v>
      </c>
      <c r="AC190" s="56" t="s">
        <v>3543</v>
      </c>
      <c r="AD190" s="56" t="s">
        <v>24</v>
      </c>
      <c r="AE190" s="56" t="s">
        <v>6354</v>
      </c>
      <c r="AF190" s="56" t="s">
        <v>6421</v>
      </c>
      <c r="AH190" s="56" t="s">
        <v>3542</v>
      </c>
      <c r="AI190" s="56" t="s">
        <v>3723</v>
      </c>
    </row>
    <row r="191" spans="1:35" ht="33" customHeight="1">
      <c r="A191" s="56" t="s">
        <v>6425</v>
      </c>
      <c r="B191" s="57">
        <v>44358.847430555557</v>
      </c>
      <c r="C191" s="56" t="s">
        <v>3803</v>
      </c>
      <c r="D191" s="56" t="s">
        <v>3802</v>
      </c>
      <c r="E191" s="56" t="s">
        <v>6424</v>
      </c>
      <c r="F191" s="56" t="s">
        <v>6423</v>
      </c>
      <c r="G191" s="58" t="s">
        <v>1500</v>
      </c>
      <c r="H191" s="56">
        <v>1</v>
      </c>
      <c r="I191" s="56" t="s">
        <v>3231</v>
      </c>
      <c r="J191" s="56">
        <v>250</v>
      </c>
      <c r="K191" s="56">
        <v>150</v>
      </c>
      <c r="P191" s="56">
        <v>0</v>
      </c>
      <c r="S191" s="56">
        <v>0</v>
      </c>
      <c r="T191" s="56" t="s">
        <v>3562</v>
      </c>
      <c r="V191" s="56" t="s">
        <v>3561</v>
      </c>
      <c r="W191" s="56" t="s">
        <v>3548</v>
      </c>
      <c r="X191" s="56" t="s">
        <v>39</v>
      </c>
      <c r="Y191" s="56" t="s">
        <v>4193</v>
      </c>
      <c r="Z191" s="56" t="s">
        <v>6422</v>
      </c>
      <c r="AC191" s="56" t="s">
        <v>3543</v>
      </c>
      <c r="AD191" s="56" t="s">
        <v>24</v>
      </c>
      <c r="AE191" s="56" t="s">
        <v>6354</v>
      </c>
      <c r="AF191" s="56" t="s">
        <v>6421</v>
      </c>
      <c r="AH191" s="56" t="s">
        <v>3542</v>
      </c>
      <c r="AI191" s="56" t="s">
        <v>3723</v>
      </c>
    </row>
    <row r="192" spans="1:35" ht="33" customHeight="1">
      <c r="A192" s="56" t="s">
        <v>6419</v>
      </c>
      <c r="B192" s="57">
        <v>44358.852453703701</v>
      </c>
      <c r="C192" s="56" t="s">
        <v>3803</v>
      </c>
      <c r="D192" s="56" t="s">
        <v>3802</v>
      </c>
      <c r="E192" s="56" t="s">
        <v>4549</v>
      </c>
      <c r="F192" s="56" t="s">
        <v>4548</v>
      </c>
      <c r="G192" s="58" t="s">
        <v>6420</v>
      </c>
      <c r="H192" s="56">
        <v>1</v>
      </c>
      <c r="I192" s="56" t="s">
        <v>3569</v>
      </c>
      <c r="J192" s="56">
        <v>894</v>
      </c>
      <c r="K192" s="56">
        <v>750</v>
      </c>
      <c r="L192" s="56">
        <v>1546</v>
      </c>
      <c r="M192" s="56">
        <v>0</v>
      </c>
      <c r="N192" s="56">
        <v>0</v>
      </c>
      <c r="O192" s="56">
        <v>155</v>
      </c>
      <c r="P192" s="56">
        <v>0</v>
      </c>
      <c r="Q192" s="56">
        <v>1391</v>
      </c>
      <c r="R192" s="56">
        <v>0</v>
      </c>
      <c r="S192" s="56">
        <v>0</v>
      </c>
      <c r="T192" s="56" t="s">
        <v>3562</v>
      </c>
      <c r="U192" s="56">
        <v>1391</v>
      </c>
      <c r="V192" s="56" t="s">
        <v>3865</v>
      </c>
      <c r="W192" s="56" t="s">
        <v>3548</v>
      </c>
      <c r="X192" s="56" t="s">
        <v>39</v>
      </c>
      <c r="Y192" s="56" t="s">
        <v>3629</v>
      </c>
      <c r="Z192" s="56" t="s">
        <v>4547</v>
      </c>
      <c r="AC192" s="56" t="s">
        <v>3543</v>
      </c>
      <c r="AD192" s="56" t="s">
        <v>24</v>
      </c>
      <c r="AE192" s="56" t="s">
        <v>5833</v>
      </c>
      <c r="AF192" s="56" t="s">
        <v>6418</v>
      </c>
      <c r="AH192" s="56" t="s">
        <v>3542</v>
      </c>
      <c r="AI192" s="56" t="s">
        <v>3723</v>
      </c>
    </row>
    <row r="193" spans="1:35" ht="33" customHeight="1">
      <c r="A193" s="56" t="s">
        <v>6419</v>
      </c>
      <c r="B193" s="57">
        <v>44358.852453703701</v>
      </c>
      <c r="C193" s="56" t="s">
        <v>3803</v>
      </c>
      <c r="D193" s="56" t="s">
        <v>3802</v>
      </c>
      <c r="E193" s="56" t="s">
        <v>4549</v>
      </c>
      <c r="F193" s="56" t="s">
        <v>4548</v>
      </c>
      <c r="G193" s="58" t="s">
        <v>4551</v>
      </c>
      <c r="H193" s="56">
        <v>4</v>
      </c>
      <c r="I193" s="56" t="s">
        <v>3692</v>
      </c>
      <c r="J193" s="56">
        <v>207</v>
      </c>
      <c r="K193" s="56">
        <v>199</v>
      </c>
      <c r="P193" s="56">
        <v>0</v>
      </c>
      <c r="S193" s="56">
        <v>0</v>
      </c>
      <c r="T193" s="56" t="s">
        <v>3562</v>
      </c>
      <c r="V193" s="56" t="s">
        <v>3865</v>
      </c>
      <c r="W193" s="56" t="s">
        <v>3548</v>
      </c>
      <c r="X193" s="56" t="s">
        <v>39</v>
      </c>
      <c r="Y193" s="56" t="s">
        <v>3629</v>
      </c>
      <c r="Z193" s="56" t="s">
        <v>4547</v>
      </c>
      <c r="AC193" s="56" t="s">
        <v>3543</v>
      </c>
      <c r="AD193" s="56" t="s">
        <v>24</v>
      </c>
      <c r="AE193" s="56" t="s">
        <v>5833</v>
      </c>
      <c r="AF193" s="56" t="s">
        <v>6418</v>
      </c>
      <c r="AH193" s="56" t="s">
        <v>3542</v>
      </c>
      <c r="AI193" s="56" t="s">
        <v>3723</v>
      </c>
    </row>
    <row r="194" spans="1:35" ht="33" customHeight="1">
      <c r="A194" s="56" t="s">
        <v>6419</v>
      </c>
      <c r="B194" s="57">
        <v>44358.852453703701</v>
      </c>
      <c r="C194" s="56" t="s">
        <v>3803</v>
      </c>
      <c r="D194" s="56" t="s">
        <v>3802</v>
      </c>
      <c r="E194" s="56" t="s">
        <v>4549</v>
      </c>
      <c r="F194" s="56" t="s">
        <v>4548</v>
      </c>
      <c r="G194" s="58" t="s">
        <v>3551</v>
      </c>
      <c r="H194" s="56">
        <v>1</v>
      </c>
      <c r="I194" s="56" t="s">
        <v>3550</v>
      </c>
      <c r="J194" s="56">
        <v>0</v>
      </c>
      <c r="K194" s="56">
        <v>0</v>
      </c>
      <c r="P194" s="56">
        <v>0</v>
      </c>
      <c r="S194" s="56">
        <v>0</v>
      </c>
      <c r="T194" s="56" t="s">
        <v>3562</v>
      </c>
      <c r="V194" s="56" t="s">
        <v>3865</v>
      </c>
      <c r="W194" s="56" t="s">
        <v>3548</v>
      </c>
      <c r="X194" s="56" t="s">
        <v>39</v>
      </c>
      <c r="Y194" s="56" t="s">
        <v>3629</v>
      </c>
      <c r="Z194" s="56" t="s">
        <v>4547</v>
      </c>
      <c r="AC194" s="56" t="s">
        <v>3543</v>
      </c>
      <c r="AD194" s="56" t="s">
        <v>24</v>
      </c>
      <c r="AE194" s="56" t="s">
        <v>5833</v>
      </c>
      <c r="AF194" s="56" t="s">
        <v>6418</v>
      </c>
      <c r="AH194" s="56" t="s">
        <v>3542</v>
      </c>
      <c r="AI194" s="56" t="s">
        <v>3723</v>
      </c>
    </row>
    <row r="195" spans="1:35" ht="33" customHeight="1">
      <c r="A195" s="56" t="s">
        <v>6419</v>
      </c>
      <c r="B195" s="57">
        <v>44358.852453703701</v>
      </c>
      <c r="C195" s="56" t="s">
        <v>3803</v>
      </c>
      <c r="D195" s="56" t="s">
        <v>3802</v>
      </c>
      <c r="E195" s="56" t="s">
        <v>4549</v>
      </c>
      <c r="F195" s="56" t="s">
        <v>4548</v>
      </c>
      <c r="G195" s="58" t="s">
        <v>1713</v>
      </c>
      <c r="H195" s="56">
        <v>1</v>
      </c>
      <c r="I195" s="56" t="s">
        <v>3568</v>
      </c>
      <c r="J195" s="56">
        <v>0</v>
      </c>
      <c r="K195" s="56">
        <v>0</v>
      </c>
      <c r="P195" s="56">
        <v>0</v>
      </c>
      <c r="S195" s="56">
        <v>0</v>
      </c>
      <c r="T195" s="56" t="s">
        <v>3562</v>
      </c>
      <c r="V195" s="56" t="s">
        <v>3865</v>
      </c>
      <c r="W195" s="56" t="s">
        <v>3548</v>
      </c>
      <c r="X195" s="56" t="s">
        <v>39</v>
      </c>
      <c r="Y195" s="56" t="s">
        <v>3629</v>
      </c>
      <c r="Z195" s="56" t="s">
        <v>4547</v>
      </c>
      <c r="AC195" s="56" t="s">
        <v>3543</v>
      </c>
      <c r="AD195" s="56" t="s">
        <v>24</v>
      </c>
      <c r="AE195" s="56" t="s">
        <v>5833</v>
      </c>
      <c r="AF195" s="56" t="s">
        <v>6418</v>
      </c>
      <c r="AH195" s="56" t="s">
        <v>3542</v>
      </c>
      <c r="AI195" s="56" t="s">
        <v>3723</v>
      </c>
    </row>
    <row r="196" spans="1:35" ht="33" customHeight="1">
      <c r="A196" s="56" t="s">
        <v>6419</v>
      </c>
      <c r="B196" s="57">
        <v>44358.852453703701</v>
      </c>
      <c r="C196" s="56" t="s">
        <v>3803</v>
      </c>
      <c r="D196" s="56" t="s">
        <v>3802</v>
      </c>
      <c r="E196" s="56" t="s">
        <v>4549</v>
      </c>
      <c r="F196" s="56" t="s">
        <v>4548</v>
      </c>
      <c r="G196" s="58" t="s">
        <v>1500</v>
      </c>
      <c r="H196" s="56">
        <v>1</v>
      </c>
      <c r="I196" s="56" t="s">
        <v>6228</v>
      </c>
      <c r="J196" s="56">
        <v>0</v>
      </c>
      <c r="K196" s="56">
        <v>0</v>
      </c>
      <c r="P196" s="56">
        <v>0</v>
      </c>
      <c r="S196" s="56">
        <v>0</v>
      </c>
      <c r="T196" s="56" t="s">
        <v>3562</v>
      </c>
      <c r="V196" s="56" t="s">
        <v>3865</v>
      </c>
      <c r="W196" s="56" t="s">
        <v>3548</v>
      </c>
      <c r="X196" s="56" t="s">
        <v>39</v>
      </c>
      <c r="Y196" s="56" t="s">
        <v>3629</v>
      </c>
      <c r="Z196" s="56" t="s">
        <v>4547</v>
      </c>
      <c r="AC196" s="56" t="s">
        <v>3543</v>
      </c>
      <c r="AD196" s="56" t="s">
        <v>24</v>
      </c>
      <c r="AE196" s="56" t="s">
        <v>5833</v>
      </c>
      <c r="AF196" s="56" t="s">
        <v>6418</v>
      </c>
      <c r="AH196" s="56" t="s">
        <v>3542</v>
      </c>
      <c r="AI196" s="56" t="s">
        <v>3723</v>
      </c>
    </row>
    <row r="197" spans="1:35" ht="33" customHeight="1">
      <c r="A197" s="56" t="s">
        <v>6417</v>
      </c>
      <c r="B197" s="57">
        <v>44358.853194444448</v>
      </c>
      <c r="C197" s="56" t="s">
        <v>4512</v>
      </c>
      <c r="D197" s="56" t="s">
        <v>4511</v>
      </c>
      <c r="E197" s="56" t="s">
        <v>6416</v>
      </c>
      <c r="F197" s="56" t="s">
        <v>6415</v>
      </c>
      <c r="G197" s="58" t="s">
        <v>3570</v>
      </c>
      <c r="H197" s="56">
        <v>1</v>
      </c>
      <c r="I197" s="56" t="s">
        <v>3569</v>
      </c>
      <c r="J197" s="56">
        <v>894</v>
      </c>
      <c r="K197" s="56">
        <v>750</v>
      </c>
      <c r="L197" s="56">
        <v>1300</v>
      </c>
      <c r="M197" s="56">
        <v>0</v>
      </c>
      <c r="N197" s="56">
        <v>0</v>
      </c>
      <c r="O197" s="56">
        <v>130</v>
      </c>
      <c r="P197" s="56">
        <v>0</v>
      </c>
      <c r="Q197" s="56">
        <v>1170</v>
      </c>
      <c r="R197" s="56">
        <v>0</v>
      </c>
      <c r="S197" s="56">
        <v>0</v>
      </c>
      <c r="T197" s="56" t="s">
        <v>3562</v>
      </c>
      <c r="U197" s="56">
        <v>1170</v>
      </c>
      <c r="V197" s="56" t="s">
        <v>3612</v>
      </c>
      <c r="W197" s="56" t="s">
        <v>3548</v>
      </c>
      <c r="X197" s="56" t="s">
        <v>3611</v>
      </c>
      <c r="Z197" s="56" t="s">
        <v>3546</v>
      </c>
      <c r="AA197" s="56" t="s">
        <v>6414</v>
      </c>
      <c r="AB197" s="56" t="s">
        <v>6413</v>
      </c>
      <c r="AC197" s="56" t="s">
        <v>3543</v>
      </c>
      <c r="AD197" s="56" t="s">
        <v>24</v>
      </c>
      <c r="AE197" s="56" t="s">
        <v>4834</v>
      </c>
      <c r="AF197" s="56" t="s">
        <v>6412</v>
      </c>
      <c r="AH197" s="56" t="s">
        <v>3542</v>
      </c>
      <c r="AI197" s="56" t="s">
        <v>3723</v>
      </c>
    </row>
    <row r="198" spans="1:35" ht="33" customHeight="1">
      <c r="A198" s="56" t="s">
        <v>6417</v>
      </c>
      <c r="B198" s="57">
        <v>44358.853194444448</v>
      </c>
      <c r="C198" s="56" t="s">
        <v>4512</v>
      </c>
      <c r="D198" s="56" t="s">
        <v>4511</v>
      </c>
      <c r="E198" s="56" t="s">
        <v>6416</v>
      </c>
      <c r="F198" s="56" t="s">
        <v>6415</v>
      </c>
      <c r="G198" s="58" t="s">
        <v>3732</v>
      </c>
      <c r="H198" s="56">
        <v>1</v>
      </c>
      <c r="I198" s="56" t="s">
        <v>3731</v>
      </c>
      <c r="J198" s="56">
        <v>867</v>
      </c>
      <c r="K198" s="56">
        <v>550</v>
      </c>
      <c r="P198" s="56">
        <v>0</v>
      </c>
      <c r="S198" s="56">
        <v>0</v>
      </c>
      <c r="T198" s="56" t="s">
        <v>3562</v>
      </c>
      <c r="V198" s="56" t="s">
        <v>3612</v>
      </c>
      <c r="W198" s="56" t="s">
        <v>3548</v>
      </c>
      <c r="X198" s="56" t="s">
        <v>3611</v>
      </c>
      <c r="Z198" s="56" t="s">
        <v>3546</v>
      </c>
      <c r="AA198" s="56" t="s">
        <v>6414</v>
      </c>
      <c r="AB198" s="56" t="s">
        <v>6413</v>
      </c>
      <c r="AC198" s="56" t="s">
        <v>3543</v>
      </c>
      <c r="AD198" s="56" t="s">
        <v>24</v>
      </c>
      <c r="AE198" s="56" t="s">
        <v>4834</v>
      </c>
      <c r="AF198" s="56" t="s">
        <v>6412</v>
      </c>
      <c r="AH198" s="56" t="s">
        <v>3542</v>
      </c>
      <c r="AI198" s="56" t="s">
        <v>3723</v>
      </c>
    </row>
    <row r="199" spans="1:35" ht="33" customHeight="1">
      <c r="A199" s="56" t="s">
        <v>6417</v>
      </c>
      <c r="B199" s="57">
        <v>44358.853194444448</v>
      </c>
      <c r="C199" s="56" t="s">
        <v>4512</v>
      </c>
      <c r="D199" s="56" t="s">
        <v>4511</v>
      </c>
      <c r="E199" s="56" t="s">
        <v>6416</v>
      </c>
      <c r="F199" s="56" t="s">
        <v>6415</v>
      </c>
      <c r="G199" s="58" t="s">
        <v>3551</v>
      </c>
      <c r="H199" s="56">
        <v>1</v>
      </c>
      <c r="I199" s="56" t="s">
        <v>3550</v>
      </c>
      <c r="J199" s="56">
        <v>0</v>
      </c>
      <c r="K199" s="56">
        <v>0</v>
      </c>
      <c r="P199" s="56">
        <v>0</v>
      </c>
      <c r="S199" s="56">
        <v>0</v>
      </c>
      <c r="T199" s="56" t="s">
        <v>3562</v>
      </c>
      <c r="V199" s="56" t="s">
        <v>3612</v>
      </c>
      <c r="W199" s="56" t="s">
        <v>3548</v>
      </c>
      <c r="X199" s="56" t="s">
        <v>3611</v>
      </c>
      <c r="Z199" s="56" t="s">
        <v>3546</v>
      </c>
      <c r="AA199" s="56" t="s">
        <v>6414</v>
      </c>
      <c r="AB199" s="56" t="s">
        <v>6413</v>
      </c>
      <c r="AC199" s="56" t="s">
        <v>3543</v>
      </c>
      <c r="AD199" s="56" t="s">
        <v>24</v>
      </c>
      <c r="AE199" s="56" t="s">
        <v>4834</v>
      </c>
      <c r="AF199" s="56" t="s">
        <v>6412</v>
      </c>
      <c r="AH199" s="56" t="s">
        <v>3542</v>
      </c>
      <c r="AI199" s="56" t="s">
        <v>3723</v>
      </c>
    </row>
    <row r="200" spans="1:35" ht="33" customHeight="1">
      <c r="A200" s="56" t="s">
        <v>6417</v>
      </c>
      <c r="B200" s="57">
        <v>44358.853194444448</v>
      </c>
      <c r="C200" s="56" t="s">
        <v>4512</v>
      </c>
      <c r="D200" s="56" t="s">
        <v>4511</v>
      </c>
      <c r="E200" s="56" t="s">
        <v>6416</v>
      </c>
      <c r="F200" s="56" t="s">
        <v>6415</v>
      </c>
      <c r="G200" s="58" t="s">
        <v>1500</v>
      </c>
      <c r="H200" s="56">
        <v>1</v>
      </c>
      <c r="I200" s="56" t="s">
        <v>6228</v>
      </c>
      <c r="J200" s="56">
        <v>0</v>
      </c>
      <c r="K200" s="56">
        <v>0</v>
      </c>
      <c r="P200" s="56">
        <v>0</v>
      </c>
      <c r="S200" s="56">
        <v>0</v>
      </c>
      <c r="T200" s="56" t="s">
        <v>3562</v>
      </c>
      <c r="V200" s="56" t="s">
        <v>3612</v>
      </c>
      <c r="W200" s="56" t="s">
        <v>3548</v>
      </c>
      <c r="X200" s="56" t="s">
        <v>3611</v>
      </c>
      <c r="Z200" s="56" t="s">
        <v>3546</v>
      </c>
      <c r="AA200" s="56" t="s">
        <v>6414</v>
      </c>
      <c r="AB200" s="56" t="s">
        <v>6413</v>
      </c>
      <c r="AC200" s="56" t="s">
        <v>3543</v>
      </c>
      <c r="AD200" s="56" t="s">
        <v>24</v>
      </c>
      <c r="AE200" s="56" t="s">
        <v>4834</v>
      </c>
      <c r="AF200" s="56" t="s">
        <v>6412</v>
      </c>
      <c r="AH200" s="56" t="s">
        <v>3542</v>
      </c>
      <c r="AI200" s="56" t="s">
        <v>3723</v>
      </c>
    </row>
    <row r="201" spans="1:35" ht="33" customHeight="1">
      <c r="A201" s="56" t="s">
        <v>6411</v>
      </c>
      <c r="B201" s="57">
        <v>44358.868356481478</v>
      </c>
      <c r="C201" s="56" t="s">
        <v>3803</v>
      </c>
      <c r="D201" s="56" t="s">
        <v>3802</v>
      </c>
      <c r="E201" s="56" t="s">
        <v>6410</v>
      </c>
      <c r="F201" s="56" t="s">
        <v>6409</v>
      </c>
      <c r="G201" s="58" t="s">
        <v>1510</v>
      </c>
      <c r="H201" s="56">
        <v>3</v>
      </c>
      <c r="I201" s="56" t="s">
        <v>3696</v>
      </c>
      <c r="J201" s="56">
        <v>299</v>
      </c>
      <c r="K201" s="56">
        <v>299</v>
      </c>
      <c r="L201" s="56">
        <v>1015</v>
      </c>
      <c r="M201" s="56">
        <v>0</v>
      </c>
      <c r="N201" s="56">
        <v>0</v>
      </c>
      <c r="O201" s="56">
        <v>100</v>
      </c>
      <c r="P201" s="56">
        <v>0</v>
      </c>
      <c r="Q201" s="56">
        <v>915</v>
      </c>
      <c r="R201" s="56">
        <v>0</v>
      </c>
      <c r="S201" s="56">
        <v>0</v>
      </c>
      <c r="T201" s="56" t="s">
        <v>3562</v>
      </c>
      <c r="U201" s="56">
        <v>915</v>
      </c>
      <c r="V201" s="56" t="s">
        <v>3561</v>
      </c>
      <c r="W201" s="56" t="s">
        <v>3548</v>
      </c>
      <c r="X201" s="56" t="s">
        <v>39</v>
      </c>
      <c r="Y201" s="56" t="s">
        <v>3589</v>
      </c>
      <c r="Z201" s="56" t="s">
        <v>6408</v>
      </c>
      <c r="AC201" s="56" t="s">
        <v>3543</v>
      </c>
      <c r="AD201" s="56" t="s">
        <v>24</v>
      </c>
      <c r="AE201" s="56" t="s">
        <v>6354</v>
      </c>
      <c r="AF201" s="56" t="s">
        <v>6407</v>
      </c>
      <c r="AH201" s="56" t="s">
        <v>3542</v>
      </c>
      <c r="AI201" s="56" t="s">
        <v>3723</v>
      </c>
    </row>
    <row r="202" spans="1:35" ht="33" customHeight="1">
      <c r="A202" s="56" t="s">
        <v>6411</v>
      </c>
      <c r="B202" s="57">
        <v>44358.868356481478</v>
      </c>
      <c r="C202" s="56" t="s">
        <v>3803</v>
      </c>
      <c r="D202" s="56" t="s">
        <v>3802</v>
      </c>
      <c r="E202" s="56" t="s">
        <v>6410</v>
      </c>
      <c r="F202" s="56" t="s">
        <v>6409</v>
      </c>
      <c r="G202" s="58" t="s">
        <v>3222</v>
      </c>
      <c r="H202" s="56">
        <v>1</v>
      </c>
      <c r="I202" s="56" t="s">
        <v>3712</v>
      </c>
      <c r="J202" s="56">
        <v>59</v>
      </c>
      <c r="K202" s="56">
        <v>59</v>
      </c>
      <c r="P202" s="56">
        <v>0</v>
      </c>
      <c r="S202" s="56">
        <v>0</v>
      </c>
      <c r="T202" s="56" t="s">
        <v>3562</v>
      </c>
      <c r="V202" s="56" t="s">
        <v>3561</v>
      </c>
      <c r="W202" s="56" t="s">
        <v>3548</v>
      </c>
      <c r="X202" s="56" t="s">
        <v>39</v>
      </c>
      <c r="Y202" s="56" t="s">
        <v>3589</v>
      </c>
      <c r="Z202" s="56" t="s">
        <v>6408</v>
      </c>
      <c r="AC202" s="56" t="s">
        <v>3543</v>
      </c>
      <c r="AD202" s="56" t="s">
        <v>24</v>
      </c>
      <c r="AE202" s="56" t="s">
        <v>6354</v>
      </c>
      <c r="AF202" s="56" t="s">
        <v>6407</v>
      </c>
      <c r="AH202" s="56" t="s">
        <v>3542</v>
      </c>
      <c r="AI202" s="56" t="s">
        <v>3723</v>
      </c>
    </row>
    <row r="203" spans="1:35" ht="33" customHeight="1">
      <c r="A203" s="56" t="s">
        <v>6411</v>
      </c>
      <c r="B203" s="57">
        <v>44358.868356481478</v>
      </c>
      <c r="C203" s="56" t="s">
        <v>3803</v>
      </c>
      <c r="D203" s="56" t="s">
        <v>3802</v>
      </c>
      <c r="E203" s="56" t="s">
        <v>6410</v>
      </c>
      <c r="F203" s="56" t="s">
        <v>6409</v>
      </c>
      <c r="G203" s="58" t="s">
        <v>3217</v>
      </c>
      <c r="H203" s="56">
        <v>1</v>
      </c>
      <c r="I203" s="56" t="s">
        <v>3720</v>
      </c>
      <c r="J203" s="56">
        <v>59</v>
      </c>
      <c r="K203" s="56">
        <v>59</v>
      </c>
      <c r="P203" s="56">
        <v>0</v>
      </c>
      <c r="S203" s="56">
        <v>0</v>
      </c>
      <c r="T203" s="56" t="s">
        <v>3562</v>
      </c>
      <c r="V203" s="56" t="s">
        <v>3561</v>
      </c>
      <c r="W203" s="56" t="s">
        <v>3548</v>
      </c>
      <c r="X203" s="56" t="s">
        <v>39</v>
      </c>
      <c r="Y203" s="56" t="s">
        <v>3589</v>
      </c>
      <c r="Z203" s="56" t="s">
        <v>6408</v>
      </c>
      <c r="AC203" s="56" t="s">
        <v>3543</v>
      </c>
      <c r="AD203" s="56" t="s">
        <v>24</v>
      </c>
      <c r="AE203" s="56" t="s">
        <v>6354</v>
      </c>
      <c r="AF203" s="56" t="s">
        <v>6407</v>
      </c>
      <c r="AH203" s="56" t="s">
        <v>3542</v>
      </c>
      <c r="AI203" s="56" t="s">
        <v>3723</v>
      </c>
    </row>
    <row r="204" spans="1:35" ht="33" customHeight="1">
      <c r="A204" s="56" t="s">
        <v>6406</v>
      </c>
      <c r="B204" s="57">
        <v>44358.869386574072</v>
      </c>
      <c r="C204" s="56" t="s">
        <v>4512</v>
      </c>
      <c r="D204" s="56" t="s">
        <v>4511</v>
      </c>
      <c r="E204" s="56" t="s">
        <v>6405</v>
      </c>
      <c r="F204" s="56" t="s">
        <v>6404</v>
      </c>
      <c r="G204" s="58" t="s">
        <v>5349</v>
      </c>
      <c r="H204" s="56">
        <v>1</v>
      </c>
      <c r="I204" s="56" t="s">
        <v>5335</v>
      </c>
      <c r="J204" s="56">
        <v>547</v>
      </c>
      <c r="K204" s="56">
        <v>460</v>
      </c>
      <c r="L204" s="56">
        <v>1658</v>
      </c>
      <c r="M204" s="56">
        <v>0</v>
      </c>
      <c r="N204" s="56">
        <v>0</v>
      </c>
      <c r="O204" s="56">
        <v>166</v>
      </c>
      <c r="P204" s="56">
        <v>0</v>
      </c>
      <c r="Q204" s="56">
        <v>1492</v>
      </c>
      <c r="R204" s="56">
        <v>0</v>
      </c>
      <c r="S204" s="56">
        <v>0</v>
      </c>
      <c r="T204" s="56" t="s">
        <v>3562</v>
      </c>
      <c r="U204" s="56">
        <v>1492</v>
      </c>
      <c r="V204" s="56" t="s">
        <v>3612</v>
      </c>
      <c r="W204" s="56" t="s">
        <v>3548</v>
      </c>
      <c r="X204" s="56" t="s">
        <v>3611</v>
      </c>
      <c r="Z204" s="56" t="s">
        <v>3546</v>
      </c>
      <c r="AA204" s="56" t="s">
        <v>5822</v>
      </c>
      <c r="AB204" s="56" t="s">
        <v>5821</v>
      </c>
      <c r="AC204" s="56" t="s">
        <v>3543</v>
      </c>
      <c r="AD204" s="56" t="s">
        <v>24</v>
      </c>
      <c r="AE204" s="56" t="s">
        <v>4834</v>
      </c>
      <c r="AF204" s="56" t="s">
        <v>6403</v>
      </c>
      <c r="AH204" s="56" t="s">
        <v>3542</v>
      </c>
      <c r="AI204" s="56" t="s">
        <v>3723</v>
      </c>
    </row>
    <row r="205" spans="1:35" ht="33" customHeight="1">
      <c r="A205" s="56" t="s">
        <v>6406</v>
      </c>
      <c r="B205" s="57">
        <v>44358.869386574072</v>
      </c>
      <c r="C205" s="56" t="s">
        <v>4512</v>
      </c>
      <c r="D205" s="56" t="s">
        <v>4511</v>
      </c>
      <c r="E205" s="56" t="s">
        <v>6405</v>
      </c>
      <c r="F205" s="56" t="s">
        <v>6404</v>
      </c>
      <c r="G205" s="58" t="s">
        <v>3593</v>
      </c>
      <c r="H205" s="56">
        <v>2</v>
      </c>
      <c r="I205" s="56" t="s">
        <v>3577</v>
      </c>
      <c r="J205" s="56">
        <v>700</v>
      </c>
      <c r="K205" s="56">
        <v>599</v>
      </c>
      <c r="P205" s="56">
        <v>0</v>
      </c>
      <c r="S205" s="56">
        <v>0</v>
      </c>
      <c r="T205" s="56" t="s">
        <v>3562</v>
      </c>
      <c r="V205" s="56" t="s">
        <v>3612</v>
      </c>
      <c r="W205" s="56" t="s">
        <v>3548</v>
      </c>
      <c r="X205" s="56" t="s">
        <v>3611</v>
      </c>
      <c r="Z205" s="56" t="s">
        <v>3546</v>
      </c>
      <c r="AA205" s="56" t="s">
        <v>5822</v>
      </c>
      <c r="AB205" s="56" t="s">
        <v>5821</v>
      </c>
      <c r="AC205" s="56" t="s">
        <v>3543</v>
      </c>
      <c r="AD205" s="56" t="s">
        <v>24</v>
      </c>
      <c r="AE205" s="56" t="s">
        <v>4834</v>
      </c>
      <c r="AF205" s="56" t="s">
        <v>6403</v>
      </c>
      <c r="AH205" s="56" t="s">
        <v>3542</v>
      </c>
      <c r="AI205" s="56" t="s">
        <v>3723</v>
      </c>
    </row>
    <row r="206" spans="1:35" ht="33" customHeight="1">
      <c r="A206" s="56" t="s">
        <v>6406</v>
      </c>
      <c r="B206" s="57">
        <v>44358.869386574072</v>
      </c>
      <c r="C206" s="56" t="s">
        <v>4512</v>
      </c>
      <c r="D206" s="56" t="s">
        <v>4511</v>
      </c>
      <c r="E206" s="56" t="s">
        <v>6405</v>
      </c>
      <c r="F206" s="56" t="s">
        <v>6404</v>
      </c>
      <c r="G206" s="58" t="s">
        <v>3551</v>
      </c>
      <c r="H206" s="56">
        <v>1</v>
      </c>
      <c r="I206" s="56" t="s">
        <v>3550</v>
      </c>
      <c r="J206" s="56">
        <v>0</v>
      </c>
      <c r="K206" s="56">
        <v>0</v>
      </c>
      <c r="P206" s="56">
        <v>0</v>
      </c>
      <c r="S206" s="56">
        <v>0</v>
      </c>
      <c r="T206" s="56" t="s">
        <v>3562</v>
      </c>
      <c r="V206" s="56" t="s">
        <v>3612</v>
      </c>
      <c r="W206" s="56" t="s">
        <v>3548</v>
      </c>
      <c r="X206" s="56" t="s">
        <v>3611</v>
      </c>
      <c r="Z206" s="56" t="s">
        <v>3546</v>
      </c>
      <c r="AA206" s="56" t="s">
        <v>5822</v>
      </c>
      <c r="AB206" s="56" t="s">
        <v>5821</v>
      </c>
      <c r="AC206" s="56" t="s">
        <v>3543</v>
      </c>
      <c r="AD206" s="56" t="s">
        <v>24</v>
      </c>
      <c r="AE206" s="56" t="s">
        <v>4834</v>
      </c>
      <c r="AF206" s="56" t="s">
        <v>6403</v>
      </c>
      <c r="AH206" s="56" t="s">
        <v>3542</v>
      </c>
      <c r="AI206" s="56" t="s">
        <v>3723</v>
      </c>
    </row>
    <row r="207" spans="1:35" ht="33" customHeight="1">
      <c r="A207" s="56" t="s">
        <v>6406</v>
      </c>
      <c r="B207" s="57">
        <v>44358.869386574072</v>
      </c>
      <c r="C207" s="56" t="s">
        <v>4512</v>
      </c>
      <c r="D207" s="56" t="s">
        <v>4511</v>
      </c>
      <c r="E207" s="56" t="s">
        <v>6405</v>
      </c>
      <c r="F207" s="56" t="s">
        <v>6404</v>
      </c>
      <c r="G207" s="58" t="s">
        <v>1713</v>
      </c>
      <c r="H207" s="56">
        <v>1</v>
      </c>
      <c r="I207" s="56" t="s">
        <v>3568</v>
      </c>
      <c r="J207" s="56">
        <v>0</v>
      </c>
      <c r="K207" s="56">
        <v>0</v>
      </c>
      <c r="P207" s="56">
        <v>0</v>
      </c>
      <c r="S207" s="56">
        <v>0</v>
      </c>
      <c r="T207" s="56" t="s">
        <v>3562</v>
      </c>
      <c r="V207" s="56" t="s">
        <v>3612</v>
      </c>
      <c r="W207" s="56" t="s">
        <v>3548</v>
      </c>
      <c r="X207" s="56" t="s">
        <v>3611</v>
      </c>
      <c r="Z207" s="56" t="s">
        <v>3546</v>
      </c>
      <c r="AA207" s="56" t="s">
        <v>5822</v>
      </c>
      <c r="AB207" s="56" t="s">
        <v>5821</v>
      </c>
      <c r="AC207" s="56" t="s">
        <v>3543</v>
      </c>
      <c r="AD207" s="56" t="s">
        <v>24</v>
      </c>
      <c r="AE207" s="56" t="s">
        <v>4834</v>
      </c>
      <c r="AF207" s="56" t="s">
        <v>6403</v>
      </c>
      <c r="AH207" s="56" t="s">
        <v>3542</v>
      </c>
      <c r="AI207" s="56" t="s">
        <v>3723</v>
      </c>
    </row>
    <row r="208" spans="1:35" ht="33" customHeight="1">
      <c r="A208" s="56" t="s">
        <v>6406</v>
      </c>
      <c r="B208" s="57">
        <v>44358.869386574072</v>
      </c>
      <c r="C208" s="56" t="s">
        <v>4512</v>
      </c>
      <c r="D208" s="56" t="s">
        <v>4511</v>
      </c>
      <c r="E208" s="56" t="s">
        <v>6405</v>
      </c>
      <c r="F208" s="56" t="s">
        <v>6404</v>
      </c>
      <c r="G208" s="58" t="s">
        <v>1500</v>
      </c>
      <c r="H208" s="56">
        <v>1</v>
      </c>
      <c r="I208" s="56" t="s">
        <v>6228</v>
      </c>
      <c r="J208" s="56">
        <v>0</v>
      </c>
      <c r="K208" s="56">
        <v>0</v>
      </c>
      <c r="P208" s="56">
        <v>0</v>
      </c>
      <c r="S208" s="56">
        <v>0</v>
      </c>
      <c r="T208" s="56" t="s">
        <v>3562</v>
      </c>
      <c r="V208" s="56" t="s">
        <v>3612</v>
      </c>
      <c r="W208" s="56" t="s">
        <v>3548</v>
      </c>
      <c r="X208" s="56" t="s">
        <v>3611</v>
      </c>
      <c r="Z208" s="56" t="s">
        <v>3546</v>
      </c>
      <c r="AA208" s="56" t="s">
        <v>5822</v>
      </c>
      <c r="AB208" s="56" t="s">
        <v>5821</v>
      </c>
      <c r="AC208" s="56" t="s">
        <v>3543</v>
      </c>
      <c r="AD208" s="56" t="s">
        <v>24</v>
      </c>
      <c r="AE208" s="56" t="s">
        <v>4834</v>
      </c>
      <c r="AF208" s="56" t="s">
        <v>6403</v>
      </c>
      <c r="AH208" s="56" t="s">
        <v>3542</v>
      </c>
      <c r="AI208" s="56" t="s">
        <v>3723</v>
      </c>
    </row>
    <row r="209" spans="1:35" ht="33" customHeight="1">
      <c r="A209" s="56" t="s">
        <v>6402</v>
      </c>
      <c r="B209" s="57">
        <v>44358.882175925923</v>
      </c>
      <c r="C209" s="56" t="s">
        <v>3803</v>
      </c>
      <c r="D209" s="56" t="s">
        <v>3802</v>
      </c>
      <c r="E209" s="56" t="s">
        <v>6401</v>
      </c>
      <c r="F209" s="56" t="s">
        <v>6400</v>
      </c>
      <c r="G209" s="58" t="s">
        <v>3196</v>
      </c>
      <c r="H209" s="56">
        <v>1</v>
      </c>
      <c r="I209" s="56" t="s">
        <v>2550</v>
      </c>
      <c r="J209" s="56">
        <v>120</v>
      </c>
      <c r="K209" s="56">
        <v>120</v>
      </c>
      <c r="L209" s="56">
        <v>404</v>
      </c>
      <c r="M209" s="56">
        <v>0</v>
      </c>
      <c r="N209" s="56">
        <v>0</v>
      </c>
      <c r="O209" s="56">
        <v>0</v>
      </c>
      <c r="P209" s="56">
        <v>0</v>
      </c>
      <c r="Q209" s="56">
        <v>404</v>
      </c>
      <c r="R209" s="56">
        <v>0</v>
      </c>
      <c r="S209" s="56">
        <v>0</v>
      </c>
      <c r="T209" s="56" t="s">
        <v>3562</v>
      </c>
      <c r="U209" s="56">
        <v>404</v>
      </c>
      <c r="V209" s="56" t="s">
        <v>3561</v>
      </c>
      <c r="W209" s="56" t="s">
        <v>3548</v>
      </c>
      <c r="X209" s="56" t="s">
        <v>39</v>
      </c>
      <c r="Y209" s="56" t="s">
        <v>3677</v>
      </c>
      <c r="Z209" s="56" t="s">
        <v>6399</v>
      </c>
      <c r="AC209" s="56" t="s">
        <v>3543</v>
      </c>
      <c r="AD209" s="56" t="s">
        <v>24</v>
      </c>
      <c r="AE209" s="56" t="s">
        <v>6354</v>
      </c>
      <c r="AF209" s="56" t="s">
        <v>6398</v>
      </c>
      <c r="AH209" s="56" t="s">
        <v>3542</v>
      </c>
      <c r="AI209" s="56" t="s">
        <v>3723</v>
      </c>
    </row>
    <row r="210" spans="1:35" ht="33" customHeight="1">
      <c r="A210" s="56" t="s">
        <v>6402</v>
      </c>
      <c r="B210" s="57">
        <v>44358.882175925923</v>
      </c>
      <c r="C210" s="56" t="s">
        <v>3803</v>
      </c>
      <c r="D210" s="56" t="s">
        <v>3802</v>
      </c>
      <c r="E210" s="56" t="s">
        <v>6401</v>
      </c>
      <c r="F210" s="56" t="s">
        <v>6400</v>
      </c>
      <c r="G210" s="58" t="s">
        <v>1493</v>
      </c>
      <c r="H210" s="56">
        <v>1</v>
      </c>
      <c r="I210" s="56" t="s">
        <v>3601</v>
      </c>
      <c r="J210" s="56">
        <v>135</v>
      </c>
      <c r="K210" s="56">
        <v>135</v>
      </c>
      <c r="P210" s="56">
        <v>0</v>
      </c>
      <c r="S210" s="56">
        <v>0</v>
      </c>
      <c r="T210" s="56" t="s">
        <v>3562</v>
      </c>
      <c r="V210" s="56" t="s">
        <v>3561</v>
      </c>
      <c r="W210" s="56" t="s">
        <v>3548</v>
      </c>
      <c r="X210" s="56" t="s">
        <v>39</v>
      </c>
      <c r="Y210" s="56" t="s">
        <v>3677</v>
      </c>
      <c r="Z210" s="56" t="s">
        <v>6399</v>
      </c>
      <c r="AC210" s="56" t="s">
        <v>3543</v>
      </c>
      <c r="AD210" s="56" t="s">
        <v>24</v>
      </c>
      <c r="AE210" s="56" t="s">
        <v>6354</v>
      </c>
      <c r="AF210" s="56" t="s">
        <v>6398</v>
      </c>
      <c r="AH210" s="56" t="s">
        <v>3542</v>
      </c>
      <c r="AI210" s="56" t="s">
        <v>3723</v>
      </c>
    </row>
    <row r="211" spans="1:35" ht="33" customHeight="1">
      <c r="A211" s="56" t="s">
        <v>6402</v>
      </c>
      <c r="B211" s="57">
        <v>44358.882175925923</v>
      </c>
      <c r="C211" s="56" t="s">
        <v>3803</v>
      </c>
      <c r="D211" s="56" t="s">
        <v>3802</v>
      </c>
      <c r="E211" s="56" t="s">
        <v>6401</v>
      </c>
      <c r="F211" s="56" t="s">
        <v>6400</v>
      </c>
      <c r="G211" s="58" t="s">
        <v>1491</v>
      </c>
      <c r="H211" s="56">
        <v>1</v>
      </c>
      <c r="I211" s="56" t="s">
        <v>3586</v>
      </c>
      <c r="J211" s="56">
        <v>149</v>
      </c>
      <c r="K211" s="56">
        <v>149</v>
      </c>
      <c r="P211" s="56">
        <v>0</v>
      </c>
      <c r="S211" s="56">
        <v>0</v>
      </c>
      <c r="T211" s="56" t="s">
        <v>3562</v>
      </c>
      <c r="V211" s="56" t="s">
        <v>3561</v>
      </c>
      <c r="W211" s="56" t="s">
        <v>3548</v>
      </c>
      <c r="X211" s="56" t="s">
        <v>39</v>
      </c>
      <c r="Y211" s="56" t="s">
        <v>3677</v>
      </c>
      <c r="Z211" s="56" t="s">
        <v>6399</v>
      </c>
      <c r="AC211" s="56" t="s">
        <v>3543</v>
      </c>
      <c r="AD211" s="56" t="s">
        <v>24</v>
      </c>
      <c r="AE211" s="56" t="s">
        <v>6354</v>
      </c>
      <c r="AF211" s="56" t="s">
        <v>6398</v>
      </c>
      <c r="AH211" s="56" t="s">
        <v>3542</v>
      </c>
      <c r="AI211" s="56" t="s">
        <v>3723</v>
      </c>
    </row>
    <row r="212" spans="1:35" ht="33" customHeight="1">
      <c r="A212" s="56" t="s">
        <v>6397</v>
      </c>
      <c r="B212" s="57">
        <v>44358.885706018518</v>
      </c>
      <c r="C212" s="56" t="s">
        <v>3803</v>
      </c>
      <c r="D212" s="56" t="s">
        <v>3802</v>
      </c>
      <c r="E212" s="56" t="s">
        <v>6396</v>
      </c>
      <c r="F212" s="56" t="s">
        <v>6395</v>
      </c>
      <c r="G212" s="58" t="s">
        <v>6394</v>
      </c>
      <c r="H212" s="56">
        <v>1</v>
      </c>
      <c r="I212" s="56" t="s">
        <v>3848</v>
      </c>
      <c r="J212" s="56">
        <v>1396</v>
      </c>
      <c r="K212" s="56">
        <v>1320</v>
      </c>
      <c r="L212" s="56">
        <v>1320</v>
      </c>
      <c r="M212" s="56">
        <v>0</v>
      </c>
      <c r="N212" s="56">
        <v>0</v>
      </c>
      <c r="O212" s="56">
        <v>132</v>
      </c>
      <c r="P212" s="56">
        <v>0</v>
      </c>
      <c r="Q212" s="56">
        <v>1188</v>
      </c>
      <c r="R212" s="56">
        <v>0</v>
      </c>
      <c r="S212" s="56">
        <v>0</v>
      </c>
      <c r="T212" s="56" t="s">
        <v>3562</v>
      </c>
      <c r="U212" s="56">
        <v>1188</v>
      </c>
      <c r="V212" s="56" t="s">
        <v>3561</v>
      </c>
      <c r="W212" s="56" t="s">
        <v>3548</v>
      </c>
      <c r="X212" s="56" t="s">
        <v>39</v>
      </c>
      <c r="Y212" s="56" t="s">
        <v>3677</v>
      </c>
      <c r="Z212" s="56" t="s">
        <v>6393</v>
      </c>
      <c r="AC212" s="56" t="s">
        <v>3543</v>
      </c>
      <c r="AD212" s="56" t="s">
        <v>24</v>
      </c>
      <c r="AE212" s="56" t="s">
        <v>6354</v>
      </c>
      <c r="AF212" s="56" t="s">
        <v>6392</v>
      </c>
      <c r="AH212" s="56" t="s">
        <v>3542</v>
      </c>
      <c r="AI212" s="56" t="s">
        <v>3723</v>
      </c>
    </row>
    <row r="213" spans="1:35" ht="33" customHeight="1">
      <c r="A213" s="56" t="s">
        <v>6391</v>
      </c>
      <c r="B213" s="57">
        <v>44358.892268518517</v>
      </c>
      <c r="C213" s="56" t="s">
        <v>3803</v>
      </c>
      <c r="D213" s="56" t="s">
        <v>3802</v>
      </c>
      <c r="E213" s="56" t="s">
        <v>169</v>
      </c>
      <c r="F213" s="56" t="s">
        <v>6390</v>
      </c>
      <c r="G213" s="58" t="s">
        <v>3656</v>
      </c>
      <c r="H213" s="56">
        <v>1</v>
      </c>
      <c r="I213" s="56" t="s">
        <v>3655</v>
      </c>
      <c r="J213" s="56">
        <v>1107</v>
      </c>
      <c r="K213" s="56">
        <v>799</v>
      </c>
      <c r="L213" s="56">
        <v>1125</v>
      </c>
      <c r="M213" s="56">
        <v>0</v>
      </c>
      <c r="N213" s="56">
        <v>0</v>
      </c>
      <c r="O213" s="56">
        <v>113</v>
      </c>
      <c r="P213" s="56">
        <v>0</v>
      </c>
      <c r="Q213" s="56">
        <v>1012</v>
      </c>
      <c r="R213" s="56">
        <v>0</v>
      </c>
      <c r="S213" s="56">
        <v>0</v>
      </c>
      <c r="T213" s="56" t="s">
        <v>3562</v>
      </c>
      <c r="U213" s="56">
        <v>1012</v>
      </c>
      <c r="V213" s="56" t="s">
        <v>59</v>
      </c>
      <c r="W213" s="56" t="s">
        <v>3548</v>
      </c>
      <c r="X213" s="56" t="s">
        <v>39</v>
      </c>
      <c r="Y213" s="56" t="s">
        <v>4364</v>
      </c>
      <c r="Z213" s="56" t="s">
        <v>6389</v>
      </c>
      <c r="AC213" s="56" t="s">
        <v>3543</v>
      </c>
      <c r="AD213" s="56" t="s">
        <v>24</v>
      </c>
      <c r="AE213" s="56" t="s">
        <v>6354</v>
      </c>
      <c r="AF213" s="56" t="s">
        <v>6388</v>
      </c>
      <c r="AH213" s="56" t="s">
        <v>3542</v>
      </c>
      <c r="AI213" s="56" t="s">
        <v>3723</v>
      </c>
    </row>
    <row r="214" spans="1:35" ht="33" customHeight="1">
      <c r="A214" s="56" t="s">
        <v>6391</v>
      </c>
      <c r="B214" s="57">
        <v>44358.892268518517</v>
      </c>
      <c r="C214" s="56" t="s">
        <v>3803</v>
      </c>
      <c r="D214" s="56" t="s">
        <v>3802</v>
      </c>
      <c r="E214" s="56" t="s">
        <v>169</v>
      </c>
      <c r="F214" s="56" t="s">
        <v>6390</v>
      </c>
      <c r="G214" s="58" t="s">
        <v>3217</v>
      </c>
      <c r="H214" s="56">
        <v>2</v>
      </c>
      <c r="I214" s="56" t="s">
        <v>3720</v>
      </c>
      <c r="J214" s="56">
        <v>59</v>
      </c>
      <c r="K214" s="56">
        <v>59</v>
      </c>
      <c r="P214" s="56">
        <v>0</v>
      </c>
      <c r="S214" s="56">
        <v>0</v>
      </c>
      <c r="T214" s="56" t="s">
        <v>3562</v>
      </c>
      <c r="V214" s="56" t="s">
        <v>59</v>
      </c>
      <c r="W214" s="56" t="s">
        <v>3548</v>
      </c>
      <c r="X214" s="56" t="s">
        <v>39</v>
      </c>
      <c r="Y214" s="56" t="s">
        <v>4364</v>
      </c>
      <c r="Z214" s="56" t="s">
        <v>6389</v>
      </c>
      <c r="AC214" s="56" t="s">
        <v>3543</v>
      </c>
      <c r="AD214" s="56" t="s">
        <v>24</v>
      </c>
      <c r="AE214" s="56" t="s">
        <v>6354</v>
      </c>
      <c r="AF214" s="56" t="s">
        <v>6388</v>
      </c>
      <c r="AH214" s="56" t="s">
        <v>3542</v>
      </c>
      <c r="AI214" s="56" t="s">
        <v>3723</v>
      </c>
    </row>
    <row r="215" spans="1:35" ht="33" customHeight="1">
      <c r="A215" s="56" t="s">
        <v>6391</v>
      </c>
      <c r="B215" s="57">
        <v>44358.892268518517</v>
      </c>
      <c r="C215" s="56" t="s">
        <v>3803</v>
      </c>
      <c r="D215" s="56" t="s">
        <v>3802</v>
      </c>
      <c r="E215" s="56" t="s">
        <v>169</v>
      </c>
      <c r="F215" s="56" t="s">
        <v>6390</v>
      </c>
      <c r="G215" s="58" t="s">
        <v>3222</v>
      </c>
      <c r="H215" s="56">
        <v>1</v>
      </c>
      <c r="I215" s="56" t="s">
        <v>3712</v>
      </c>
      <c r="J215" s="56">
        <v>59</v>
      </c>
      <c r="K215" s="56">
        <v>59</v>
      </c>
      <c r="P215" s="56">
        <v>0</v>
      </c>
      <c r="S215" s="56">
        <v>0</v>
      </c>
      <c r="T215" s="56" t="s">
        <v>3562</v>
      </c>
      <c r="V215" s="56" t="s">
        <v>59</v>
      </c>
      <c r="W215" s="56" t="s">
        <v>3548</v>
      </c>
      <c r="X215" s="56" t="s">
        <v>39</v>
      </c>
      <c r="Y215" s="56" t="s">
        <v>4364</v>
      </c>
      <c r="Z215" s="56" t="s">
        <v>6389</v>
      </c>
      <c r="AC215" s="56" t="s">
        <v>3543</v>
      </c>
      <c r="AD215" s="56" t="s">
        <v>24</v>
      </c>
      <c r="AE215" s="56" t="s">
        <v>6354</v>
      </c>
      <c r="AF215" s="56" t="s">
        <v>6388</v>
      </c>
      <c r="AH215" s="56" t="s">
        <v>3542</v>
      </c>
      <c r="AI215" s="56" t="s">
        <v>3723</v>
      </c>
    </row>
    <row r="216" spans="1:35" ht="33" customHeight="1">
      <c r="A216" s="56" t="s">
        <v>6391</v>
      </c>
      <c r="B216" s="57">
        <v>44358.892268518517</v>
      </c>
      <c r="C216" s="56" t="s">
        <v>3803</v>
      </c>
      <c r="D216" s="56" t="s">
        <v>3802</v>
      </c>
      <c r="E216" s="56" t="s">
        <v>169</v>
      </c>
      <c r="F216" s="56" t="s">
        <v>6390</v>
      </c>
      <c r="G216" s="58" t="s">
        <v>1713</v>
      </c>
      <c r="H216" s="56">
        <v>1</v>
      </c>
      <c r="I216" s="56" t="s">
        <v>3587</v>
      </c>
      <c r="J216" s="56">
        <v>149</v>
      </c>
      <c r="K216" s="56">
        <v>149</v>
      </c>
      <c r="P216" s="56">
        <v>0</v>
      </c>
      <c r="S216" s="56">
        <v>0</v>
      </c>
      <c r="T216" s="56" t="s">
        <v>3562</v>
      </c>
      <c r="V216" s="56" t="s">
        <v>59</v>
      </c>
      <c r="W216" s="56" t="s">
        <v>3548</v>
      </c>
      <c r="X216" s="56" t="s">
        <v>39</v>
      </c>
      <c r="Y216" s="56" t="s">
        <v>4364</v>
      </c>
      <c r="Z216" s="56" t="s">
        <v>6389</v>
      </c>
      <c r="AC216" s="56" t="s">
        <v>3543</v>
      </c>
      <c r="AD216" s="56" t="s">
        <v>24</v>
      </c>
      <c r="AE216" s="56" t="s">
        <v>6354</v>
      </c>
      <c r="AF216" s="56" t="s">
        <v>6388</v>
      </c>
      <c r="AH216" s="56" t="s">
        <v>3542</v>
      </c>
      <c r="AI216" s="56" t="s">
        <v>3723</v>
      </c>
    </row>
    <row r="217" spans="1:35" ht="33" customHeight="1">
      <c r="A217" s="56" t="s">
        <v>6391</v>
      </c>
      <c r="B217" s="57">
        <v>44358.892268518517</v>
      </c>
      <c r="C217" s="56" t="s">
        <v>3803</v>
      </c>
      <c r="D217" s="56" t="s">
        <v>3802</v>
      </c>
      <c r="E217" s="56" t="s">
        <v>169</v>
      </c>
      <c r="F217" s="56" t="s">
        <v>6390</v>
      </c>
      <c r="G217" s="58" t="s">
        <v>3551</v>
      </c>
      <c r="H217" s="56">
        <v>1</v>
      </c>
      <c r="I217" s="56" t="s">
        <v>3550</v>
      </c>
      <c r="J217" s="56">
        <v>0</v>
      </c>
      <c r="K217" s="56">
        <v>0</v>
      </c>
      <c r="P217" s="56">
        <v>0</v>
      </c>
      <c r="S217" s="56">
        <v>0</v>
      </c>
      <c r="T217" s="56" t="s">
        <v>3562</v>
      </c>
      <c r="V217" s="56" t="s">
        <v>59</v>
      </c>
      <c r="W217" s="56" t="s">
        <v>3548</v>
      </c>
      <c r="X217" s="56" t="s">
        <v>39</v>
      </c>
      <c r="Y217" s="56" t="s">
        <v>4364</v>
      </c>
      <c r="Z217" s="56" t="s">
        <v>6389</v>
      </c>
      <c r="AC217" s="56" t="s">
        <v>3543</v>
      </c>
      <c r="AD217" s="56" t="s">
        <v>24</v>
      </c>
      <c r="AE217" s="56" t="s">
        <v>6354</v>
      </c>
      <c r="AF217" s="56" t="s">
        <v>6388</v>
      </c>
      <c r="AH217" s="56" t="s">
        <v>3542</v>
      </c>
      <c r="AI217" s="56" t="s">
        <v>3723</v>
      </c>
    </row>
    <row r="218" spans="1:35" ht="33" customHeight="1">
      <c r="A218" s="56" t="s">
        <v>6391</v>
      </c>
      <c r="B218" s="57">
        <v>44358.892268518517</v>
      </c>
      <c r="C218" s="56" t="s">
        <v>3803</v>
      </c>
      <c r="D218" s="56" t="s">
        <v>3802</v>
      </c>
      <c r="E218" s="56" t="s">
        <v>169</v>
      </c>
      <c r="F218" s="56" t="s">
        <v>6390</v>
      </c>
      <c r="G218" s="58" t="s">
        <v>1500</v>
      </c>
      <c r="H218" s="56">
        <v>1</v>
      </c>
      <c r="I218" s="56" t="s">
        <v>6228</v>
      </c>
      <c r="J218" s="56">
        <v>0</v>
      </c>
      <c r="K218" s="56">
        <v>0</v>
      </c>
      <c r="P218" s="56">
        <v>0</v>
      </c>
      <c r="S218" s="56">
        <v>0</v>
      </c>
      <c r="T218" s="56" t="s">
        <v>3562</v>
      </c>
      <c r="V218" s="56" t="s">
        <v>59</v>
      </c>
      <c r="W218" s="56" t="s">
        <v>3548</v>
      </c>
      <c r="X218" s="56" t="s">
        <v>39</v>
      </c>
      <c r="Y218" s="56" t="s">
        <v>4364</v>
      </c>
      <c r="Z218" s="56" t="s">
        <v>6389</v>
      </c>
      <c r="AC218" s="56" t="s">
        <v>3543</v>
      </c>
      <c r="AD218" s="56" t="s">
        <v>24</v>
      </c>
      <c r="AE218" s="56" t="s">
        <v>6354</v>
      </c>
      <c r="AF218" s="56" t="s">
        <v>6388</v>
      </c>
      <c r="AH218" s="56" t="s">
        <v>3542</v>
      </c>
      <c r="AI218" s="56" t="s">
        <v>3723</v>
      </c>
    </row>
    <row r="219" spans="1:35" ht="33" customHeight="1">
      <c r="A219" s="56" t="s">
        <v>6387</v>
      </c>
      <c r="B219" s="57">
        <v>44358.900335648148</v>
      </c>
      <c r="C219" s="56" t="s">
        <v>3803</v>
      </c>
      <c r="D219" s="56" t="s">
        <v>3802</v>
      </c>
      <c r="E219" s="56" t="s">
        <v>4167</v>
      </c>
      <c r="F219" s="56" t="s">
        <v>4166</v>
      </c>
      <c r="G219" s="58" t="s">
        <v>3732</v>
      </c>
      <c r="H219" s="56">
        <v>1</v>
      </c>
      <c r="I219" s="56" t="s">
        <v>3731</v>
      </c>
      <c r="J219" s="56">
        <v>867</v>
      </c>
      <c r="K219" s="56">
        <v>550</v>
      </c>
      <c r="L219" s="56">
        <v>1057</v>
      </c>
      <c r="M219" s="56">
        <v>0</v>
      </c>
      <c r="N219" s="56">
        <v>0</v>
      </c>
      <c r="O219" s="56">
        <v>100</v>
      </c>
      <c r="P219" s="56">
        <v>0</v>
      </c>
      <c r="Q219" s="56">
        <v>957</v>
      </c>
      <c r="R219" s="56">
        <v>0</v>
      </c>
      <c r="S219" s="56">
        <v>0</v>
      </c>
      <c r="T219" s="56" t="s">
        <v>3562</v>
      </c>
      <c r="U219" s="56">
        <v>957</v>
      </c>
      <c r="V219" s="56" t="s">
        <v>59</v>
      </c>
      <c r="W219" s="56" t="s">
        <v>3548</v>
      </c>
      <c r="X219" s="56" t="s">
        <v>39</v>
      </c>
      <c r="Y219" s="56" t="s">
        <v>4165</v>
      </c>
      <c r="Z219" s="56" t="s">
        <v>4164</v>
      </c>
      <c r="AC219" s="56" t="s">
        <v>3543</v>
      </c>
      <c r="AD219" s="56" t="s">
        <v>24</v>
      </c>
      <c r="AE219" s="56" t="s">
        <v>6354</v>
      </c>
      <c r="AF219" s="56" t="s">
        <v>6386</v>
      </c>
      <c r="AH219" s="56" t="s">
        <v>3542</v>
      </c>
      <c r="AI219" s="56" t="s">
        <v>3723</v>
      </c>
    </row>
    <row r="220" spans="1:35" ht="33" customHeight="1">
      <c r="A220" s="56" t="s">
        <v>6387</v>
      </c>
      <c r="B220" s="57">
        <v>44358.900335648148</v>
      </c>
      <c r="C220" s="56" t="s">
        <v>3803</v>
      </c>
      <c r="D220" s="56" t="s">
        <v>3802</v>
      </c>
      <c r="E220" s="56" t="s">
        <v>4167</v>
      </c>
      <c r="F220" s="56" t="s">
        <v>4166</v>
      </c>
      <c r="G220" s="58" t="s">
        <v>2156</v>
      </c>
      <c r="H220" s="56">
        <v>1</v>
      </c>
      <c r="I220" s="56" t="s">
        <v>1376</v>
      </c>
      <c r="J220" s="56">
        <v>149</v>
      </c>
      <c r="K220" s="56">
        <v>149</v>
      </c>
      <c r="P220" s="56">
        <v>0</v>
      </c>
      <c r="S220" s="56">
        <v>0</v>
      </c>
      <c r="T220" s="56" t="s">
        <v>3562</v>
      </c>
      <c r="V220" s="56" t="s">
        <v>59</v>
      </c>
      <c r="W220" s="56" t="s">
        <v>3548</v>
      </c>
      <c r="X220" s="56" t="s">
        <v>39</v>
      </c>
      <c r="Y220" s="56" t="s">
        <v>4165</v>
      </c>
      <c r="Z220" s="56" t="s">
        <v>4164</v>
      </c>
      <c r="AC220" s="56" t="s">
        <v>3543</v>
      </c>
      <c r="AD220" s="56" t="s">
        <v>24</v>
      </c>
      <c r="AE220" s="56" t="s">
        <v>6354</v>
      </c>
      <c r="AF220" s="56" t="s">
        <v>6386</v>
      </c>
      <c r="AH220" s="56" t="s">
        <v>3542</v>
      </c>
      <c r="AI220" s="56" t="s">
        <v>3723</v>
      </c>
    </row>
    <row r="221" spans="1:35" ht="33" customHeight="1">
      <c r="A221" s="56" t="s">
        <v>6387</v>
      </c>
      <c r="B221" s="57">
        <v>44358.900335648148</v>
      </c>
      <c r="C221" s="56" t="s">
        <v>3803</v>
      </c>
      <c r="D221" s="56" t="s">
        <v>3802</v>
      </c>
      <c r="E221" s="56" t="s">
        <v>4167</v>
      </c>
      <c r="F221" s="56" t="s">
        <v>4166</v>
      </c>
      <c r="G221" s="58" t="s">
        <v>1508</v>
      </c>
      <c r="H221" s="56">
        <v>1</v>
      </c>
      <c r="I221" s="56" t="s">
        <v>3696</v>
      </c>
      <c r="J221" s="56">
        <v>299</v>
      </c>
      <c r="K221" s="56">
        <v>299</v>
      </c>
      <c r="P221" s="56">
        <v>0</v>
      </c>
      <c r="S221" s="56">
        <v>0</v>
      </c>
      <c r="T221" s="56" t="s">
        <v>3562</v>
      </c>
      <c r="V221" s="56" t="s">
        <v>59</v>
      </c>
      <c r="W221" s="56" t="s">
        <v>3548</v>
      </c>
      <c r="X221" s="56" t="s">
        <v>39</v>
      </c>
      <c r="Y221" s="56" t="s">
        <v>4165</v>
      </c>
      <c r="Z221" s="56" t="s">
        <v>4164</v>
      </c>
      <c r="AC221" s="56" t="s">
        <v>3543</v>
      </c>
      <c r="AD221" s="56" t="s">
        <v>24</v>
      </c>
      <c r="AE221" s="56" t="s">
        <v>6354</v>
      </c>
      <c r="AF221" s="56" t="s">
        <v>6386</v>
      </c>
      <c r="AH221" s="56" t="s">
        <v>3542</v>
      </c>
      <c r="AI221" s="56" t="s">
        <v>3723</v>
      </c>
    </row>
    <row r="222" spans="1:35" ht="33" customHeight="1">
      <c r="A222" s="56" t="s">
        <v>6387</v>
      </c>
      <c r="B222" s="57">
        <v>44358.900335648148</v>
      </c>
      <c r="C222" s="56" t="s">
        <v>3803</v>
      </c>
      <c r="D222" s="56" t="s">
        <v>3802</v>
      </c>
      <c r="E222" s="56" t="s">
        <v>4167</v>
      </c>
      <c r="F222" s="56" t="s">
        <v>4166</v>
      </c>
      <c r="G222" s="58" t="s">
        <v>3222</v>
      </c>
      <c r="H222" s="56">
        <v>1</v>
      </c>
      <c r="I222" s="56" t="s">
        <v>3712</v>
      </c>
      <c r="J222" s="56">
        <v>59</v>
      </c>
      <c r="K222" s="56">
        <v>59</v>
      </c>
      <c r="P222" s="56">
        <v>0</v>
      </c>
      <c r="S222" s="56">
        <v>0</v>
      </c>
      <c r="T222" s="56" t="s">
        <v>3562</v>
      </c>
      <c r="V222" s="56" t="s">
        <v>59</v>
      </c>
      <c r="W222" s="56" t="s">
        <v>3548</v>
      </c>
      <c r="X222" s="56" t="s">
        <v>39</v>
      </c>
      <c r="Y222" s="56" t="s">
        <v>4165</v>
      </c>
      <c r="Z222" s="56" t="s">
        <v>4164</v>
      </c>
      <c r="AC222" s="56" t="s">
        <v>3543</v>
      </c>
      <c r="AD222" s="56" t="s">
        <v>24</v>
      </c>
      <c r="AE222" s="56" t="s">
        <v>6354</v>
      </c>
      <c r="AF222" s="56" t="s">
        <v>6386</v>
      </c>
      <c r="AH222" s="56" t="s">
        <v>3542</v>
      </c>
      <c r="AI222" s="56" t="s">
        <v>3723</v>
      </c>
    </row>
    <row r="223" spans="1:35" ht="33" customHeight="1">
      <c r="A223" s="56" t="s">
        <v>6387</v>
      </c>
      <c r="B223" s="57">
        <v>44358.900335648148</v>
      </c>
      <c r="C223" s="56" t="s">
        <v>3803</v>
      </c>
      <c r="D223" s="56" t="s">
        <v>3802</v>
      </c>
      <c r="E223" s="56" t="s">
        <v>4167</v>
      </c>
      <c r="F223" s="56" t="s">
        <v>4166</v>
      </c>
      <c r="G223" s="58" t="s">
        <v>3551</v>
      </c>
      <c r="H223" s="56">
        <v>1</v>
      </c>
      <c r="I223" s="56" t="s">
        <v>3550</v>
      </c>
      <c r="J223" s="56">
        <v>0</v>
      </c>
      <c r="K223" s="56">
        <v>0</v>
      </c>
      <c r="P223" s="56">
        <v>0</v>
      </c>
      <c r="S223" s="56">
        <v>0</v>
      </c>
      <c r="T223" s="56" t="s">
        <v>3562</v>
      </c>
      <c r="V223" s="56" t="s">
        <v>59</v>
      </c>
      <c r="W223" s="56" t="s">
        <v>3548</v>
      </c>
      <c r="X223" s="56" t="s">
        <v>39</v>
      </c>
      <c r="Y223" s="56" t="s">
        <v>4165</v>
      </c>
      <c r="Z223" s="56" t="s">
        <v>4164</v>
      </c>
      <c r="AC223" s="56" t="s">
        <v>3543</v>
      </c>
      <c r="AD223" s="56" t="s">
        <v>24</v>
      </c>
      <c r="AE223" s="56" t="s">
        <v>6354</v>
      </c>
      <c r="AF223" s="56" t="s">
        <v>6386</v>
      </c>
      <c r="AH223" s="56" t="s">
        <v>3542</v>
      </c>
      <c r="AI223" s="56" t="s">
        <v>3723</v>
      </c>
    </row>
    <row r="224" spans="1:35" ht="33" customHeight="1">
      <c r="A224" s="56" t="s">
        <v>6387</v>
      </c>
      <c r="B224" s="57">
        <v>44358.900335648148</v>
      </c>
      <c r="C224" s="56" t="s">
        <v>3803</v>
      </c>
      <c r="D224" s="56" t="s">
        <v>3802</v>
      </c>
      <c r="E224" s="56" t="s">
        <v>4167</v>
      </c>
      <c r="F224" s="56" t="s">
        <v>4166</v>
      </c>
      <c r="G224" s="58" t="s">
        <v>1500</v>
      </c>
      <c r="H224" s="56">
        <v>1</v>
      </c>
      <c r="I224" s="56" t="s">
        <v>6228</v>
      </c>
      <c r="J224" s="56">
        <v>0</v>
      </c>
      <c r="K224" s="56">
        <v>0</v>
      </c>
      <c r="P224" s="56">
        <v>0</v>
      </c>
      <c r="S224" s="56">
        <v>0</v>
      </c>
      <c r="T224" s="56" t="s">
        <v>3562</v>
      </c>
      <c r="V224" s="56" t="s">
        <v>59</v>
      </c>
      <c r="W224" s="56" t="s">
        <v>3548</v>
      </c>
      <c r="X224" s="56" t="s">
        <v>39</v>
      </c>
      <c r="Y224" s="56" t="s">
        <v>4165</v>
      </c>
      <c r="Z224" s="56" t="s">
        <v>4164</v>
      </c>
      <c r="AC224" s="56" t="s">
        <v>3543</v>
      </c>
      <c r="AD224" s="56" t="s">
        <v>24</v>
      </c>
      <c r="AE224" s="56" t="s">
        <v>6354</v>
      </c>
      <c r="AF224" s="56" t="s">
        <v>6386</v>
      </c>
      <c r="AH224" s="56" t="s">
        <v>3542</v>
      </c>
      <c r="AI224" s="56" t="s">
        <v>3723</v>
      </c>
    </row>
    <row r="225" spans="1:35" ht="33" customHeight="1">
      <c r="A225" s="56" t="s">
        <v>6385</v>
      </c>
      <c r="B225" s="57">
        <v>44358.902708333335</v>
      </c>
      <c r="C225" s="56" t="s">
        <v>4512</v>
      </c>
      <c r="D225" s="56" t="s">
        <v>4511</v>
      </c>
      <c r="E225" s="56" t="s">
        <v>6384</v>
      </c>
      <c r="F225" s="56" t="s">
        <v>5170</v>
      </c>
      <c r="G225" s="58" t="s">
        <v>3681</v>
      </c>
      <c r="H225" s="56">
        <v>1</v>
      </c>
      <c r="I225" s="56" t="s">
        <v>3569</v>
      </c>
      <c r="J225" s="56">
        <v>894</v>
      </c>
      <c r="K225" s="56">
        <v>750</v>
      </c>
      <c r="L225" s="56">
        <v>750</v>
      </c>
      <c r="M225" s="56">
        <v>0</v>
      </c>
      <c r="N225" s="56">
        <v>0</v>
      </c>
      <c r="O225" s="56">
        <v>0</v>
      </c>
      <c r="P225" s="56">
        <v>0</v>
      </c>
      <c r="Q225" s="56">
        <v>750</v>
      </c>
      <c r="R225" s="56">
        <v>0</v>
      </c>
      <c r="S225" s="56">
        <v>0</v>
      </c>
      <c r="T225" s="56" t="s">
        <v>3562</v>
      </c>
      <c r="U225" s="56">
        <v>750</v>
      </c>
      <c r="V225" s="56" t="s">
        <v>3549</v>
      </c>
      <c r="W225" s="56" t="s">
        <v>3548</v>
      </c>
      <c r="X225" s="56" t="s">
        <v>3547</v>
      </c>
      <c r="Z225" s="56" t="s">
        <v>3546</v>
      </c>
      <c r="AA225" s="56" t="s">
        <v>5169</v>
      </c>
      <c r="AB225" s="56" t="s">
        <v>5168</v>
      </c>
      <c r="AC225" s="56" t="s">
        <v>3543</v>
      </c>
      <c r="AD225" s="56" t="s">
        <v>24</v>
      </c>
      <c r="AE225" s="56" t="s">
        <v>4145</v>
      </c>
      <c r="AF225" s="56" t="s">
        <v>6383</v>
      </c>
      <c r="AH225" s="56" t="s">
        <v>3542</v>
      </c>
      <c r="AI225" s="56" t="s">
        <v>3723</v>
      </c>
    </row>
    <row r="226" spans="1:35" ht="33" customHeight="1">
      <c r="A226" s="56" t="s">
        <v>6385</v>
      </c>
      <c r="B226" s="57">
        <v>44358.902708333335</v>
      </c>
      <c r="C226" s="56" t="s">
        <v>4512</v>
      </c>
      <c r="D226" s="56" t="s">
        <v>4511</v>
      </c>
      <c r="E226" s="56" t="s">
        <v>6384</v>
      </c>
      <c r="F226" s="56" t="s">
        <v>5170</v>
      </c>
      <c r="G226" s="58" t="s">
        <v>3551</v>
      </c>
      <c r="H226" s="56">
        <v>1</v>
      </c>
      <c r="I226" s="56" t="s">
        <v>3550</v>
      </c>
      <c r="J226" s="56">
        <v>0</v>
      </c>
      <c r="K226" s="56">
        <v>0</v>
      </c>
      <c r="P226" s="56">
        <v>0</v>
      </c>
      <c r="S226" s="56">
        <v>0</v>
      </c>
      <c r="T226" s="56" t="s">
        <v>3562</v>
      </c>
      <c r="V226" s="56" t="s">
        <v>3549</v>
      </c>
      <c r="W226" s="56" t="s">
        <v>3548</v>
      </c>
      <c r="X226" s="56" t="s">
        <v>3547</v>
      </c>
      <c r="Z226" s="56" t="s">
        <v>3546</v>
      </c>
      <c r="AA226" s="56" t="s">
        <v>5169</v>
      </c>
      <c r="AB226" s="56" t="s">
        <v>5168</v>
      </c>
      <c r="AC226" s="56" t="s">
        <v>3543</v>
      </c>
      <c r="AD226" s="56" t="s">
        <v>24</v>
      </c>
      <c r="AE226" s="56" t="s">
        <v>4145</v>
      </c>
      <c r="AF226" s="56" t="s">
        <v>6383</v>
      </c>
      <c r="AH226" s="56" t="s">
        <v>3542</v>
      </c>
      <c r="AI226" s="56" t="s">
        <v>3723</v>
      </c>
    </row>
    <row r="227" spans="1:35" ht="33" customHeight="1">
      <c r="A227" s="56" t="s">
        <v>6382</v>
      </c>
      <c r="B227" s="57">
        <v>44358.9062037037</v>
      </c>
      <c r="C227" s="56" t="s">
        <v>4512</v>
      </c>
      <c r="D227" s="56" t="s">
        <v>4511</v>
      </c>
      <c r="E227" s="56" t="s">
        <v>6381</v>
      </c>
      <c r="F227" s="56" t="s">
        <v>6380</v>
      </c>
      <c r="G227" s="58" t="s">
        <v>5349</v>
      </c>
      <c r="H227" s="56">
        <v>1</v>
      </c>
      <c r="I227" s="56" t="s">
        <v>5335</v>
      </c>
      <c r="J227" s="56">
        <v>547</v>
      </c>
      <c r="K227" s="56">
        <v>460</v>
      </c>
      <c r="L227" s="56">
        <v>460</v>
      </c>
      <c r="M227" s="56">
        <v>0</v>
      </c>
      <c r="N227" s="56">
        <v>0</v>
      </c>
      <c r="O227" s="56">
        <v>0</v>
      </c>
      <c r="P227" s="56">
        <v>0</v>
      </c>
      <c r="Q227" s="56">
        <v>460</v>
      </c>
      <c r="R227" s="56">
        <v>0</v>
      </c>
      <c r="S227" s="56">
        <v>0</v>
      </c>
      <c r="T227" s="56" t="s">
        <v>3562</v>
      </c>
      <c r="U227" s="56">
        <v>460</v>
      </c>
      <c r="V227" s="56" t="s">
        <v>3549</v>
      </c>
      <c r="W227" s="56" t="s">
        <v>3548</v>
      </c>
      <c r="X227" s="56" t="s">
        <v>3547</v>
      </c>
      <c r="Z227" s="56" t="s">
        <v>3546</v>
      </c>
      <c r="AA227" s="56" t="s">
        <v>6379</v>
      </c>
      <c r="AB227" s="56" t="s">
        <v>6378</v>
      </c>
      <c r="AC227" s="56" t="s">
        <v>3543</v>
      </c>
      <c r="AD227" s="56" t="s">
        <v>24</v>
      </c>
      <c r="AE227" s="56" t="s">
        <v>3862</v>
      </c>
      <c r="AF227" s="56" t="s">
        <v>6377</v>
      </c>
      <c r="AH227" s="56" t="s">
        <v>3542</v>
      </c>
      <c r="AI227" s="56" t="s">
        <v>3723</v>
      </c>
    </row>
    <row r="228" spans="1:35" ht="33" customHeight="1">
      <c r="A228" s="56" t="s">
        <v>6382</v>
      </c>
      <c r="B228" s="57">
        <v>44358.9062037037</v>
      </c>
      <c r="C228" s="56" t="s">
        <v>4512</v>
      </c>
      <c r="D228" s="56" t="s">
        <v>4511</v>
      </c>
      <c r="E228" s="56" t="s">
        <v>6381</v>
      </c>
      <c r="F228" s="56" t="s">
        <v>6380</v>
      </c>
      <c r="G228" s="58" t="s">
        <v>3551</v>
      </c>
      <c r="H228" s="56">
        <v>1</v>
      </c>
      <c r="I228" s="56" t="s">
        <v>3550</v>
      </c>
      <c r="J228" s="56">
        <v>0</v>
      </c>
      <c r="K228" s="56">
        <v>0</v>
      </c>
      <c r="P228" s="56">
        <v>0</v>
      </c>
      <c r="S228" s="56">
        <v>0</v>
      </c>
      <c r="T228" s="56" t="s">
        <v>3562</v>
      </c>
      <c r="V228" s="56" t="s">
        <v>3549</v>
      </c>
      <c r="W228" s="56" t="s">
        <v>3548</v>
      </c>
      <c r="X228" s="56" t="s">
        <v>3547</v>
      </c>
      <c r="Z228" s="56" t="s">
        <v>3546</v>
      </c>
      <c r="AA228" s="56" t="s">
        <v>6379</v>
      </c>
      <c r="AB228" s="56" t="s">
        <v>6378</v>
      </c>
      <c r="AC228" s="56" t="s">
        <v>3543</v>
      </c>
      <c r="AD228" s="56" t="s">
        <v>24</v>
      </c>
      <c r="AE228" s="56" t="s">
        <v>3862</v>
      </c>
      <c r="AF228" s="56" t="s">
        <v>6377</v>
      </c>
      <c r="AH228" s="56" t="s">
        <v>3542</v>
      </c>
      <c r="AI228" s="56" t="s">
        <v>3723</v>
      </c>
    </row>
    <row r="229" spans="1:35" ht="33" customHeight="1">
      <c r="A229" s="56" t="s">
        <v>6376</v>
      </c>
      <c r="B229" s="57">
        <v>44358.910185185188</v>
      </c>
      <c r="C229" s="56" t="s">
        <v>3803</v>
      </c>
      <c r="D229" s="56" t="s">
        <v>3802</v>
      </c>
      <c r="E229" s="56" t="s">
        <v>6375</v>
      </c>
      <c r="F229" s="56" t="s">
        <v>6374</v>
      </c>
      <c r="G229" s="58" t="s">
        <v>5349</v>
      </c>
      <c r="H229" s="56">
        <v>1</v>
      </c>
      <c r="I229" s="56" t="s">
        <v>5335</v>
      </c>
      <c r="J229" s="56">
        <v>547</v>
      </c>
      <c r="K229" s="56">
        <v>460</v>
      </c>
      <c r="L229" s="56">
        <v>1268</v>
      </c>
      <c r="M229" s="56">
        <v>0</v>
      </c>
      <c r="N229" s="56">
        <v>0</v>
      </c>
      <c r="O229" s="56">
        <v>127</v>
      </c>
      <c r="P229" s="56">
        <v>0</v>
      </c>
      <c r="Q229" s="56">
        <v>1141</v>
      </c>
      <c r="R229" s="56">
        <v>0</v>
      </c>
      <c r="S229" s="56">
        <v>0</v>
      </c>
      <c r="T229" s="56" t="s">
        <v>3562</v>
      </c>
      <c r="U229" s="56">
        <v>1141</v>
      </c>
      <c r="V229" s="56" t="s">
        <v>3561</v>
      </c>
      <c r="W229" s="56" t="s">
        <v>3548</v>
      </c>
      <c r="X229" s="56" t="s">
        <v>39</v>
      </c>
      <c r="Y229" s="56" t="s">
        <v>4617</v>
      </c>
      <c r="Z229" s="56" t="s">
        <v>6373</v>
      </c>
      <c r="AC229" s="56" t="s">
        <v>3543</v>
      </c>
      <c r="AD229" s="56" t="s">
        <v>24</v>
      </c>
      <c r="AE229" s="56" t="s">
        <v>6354</v>
      </c>
      <c r="AF229" s="56" t="s">
        <v>6372</v>
      </c>
      <c r="AH229" s="56" t="s">
        <v>3542</v>
      </c>
      <c r="AI229" s="56" t="s">
        <v>3723</v>
      </c>
    </row>
    <row r="230" spans="1:35" ht="33" customHeight="1">
      <c r="A230" s="56" t="s">
        <v>6376</v>
      </c>
      <c r="B230" s="57">
        <v>44358.910185185188</v>
      </c>
      <c r="C230" s="56" t="s">
        <v>3803</v>
      </c>
      <c r="D230" s="56" t="s">
        <v>3802</v>
      </c>
      <c r="E230" s="56" t="s">
        <v>6375</v>
      </c>
      <c r="F230" s="56" t="s">
        <v>6374</v>
      </c>
      <c r="G230" s="58" t="s">
        <v>1484</v>
      </c>
      <c r="H230" s="56">
        <v>1</v>
      </c>
      <c r="I230" s="56" t="s">
        <v>4174</v>
      </c>
      <c r="J230" s="56">
        <v>350</v>
      </c>
      <c r="K230" s="56">
        <v>350</v>
      </c>
      <c r="P230" s="56">
        <v>0</v>
      </c>
      <c r="S230" s="56">
        <v>0</v>
      </c>
      <c r="T230" s="56" t="s">
        <v>3562</v>
      </c>
      <c r="V230" s="56" t="s">
        <v>3561</v>
      </c>
      <c r="W230" s="56" t="s">
        <v>3548</v>
      </c>
      <c r="X230" s="56" t="s">
        <v>39</v>
      </c>
      <c r="Y230" s="56" t="s">
        <v>4617</v>
      </c>
      <c r="Z230" s="56" t="s">
        <v>6373</v>
      </c>
      <c r="AC230" s="56" t="s">
        <v>3543</v>
      </c>
      <c r="AD230" s="56" t="s">
        <v>24</v>
      </c>
      <c r="AE230" s="56" t="s">
        <v>6354</v>
      </c>
      <c r="AF230" s="56" t="s">
        <v>6372</v>
      </c>
      <c r="AH230" s="56" t="s">
        <v>3542</v>
      </c>
      <c r="AI230" s="56" t="s">
        <v>3723</v>
      </c>
    </row>
    <row r="231" spans="1:35" ht="33" customHeight="1">
      <c r="A231" s="56" t="s">
        <v>6376</v>
      </c>
      <c r="B231" s="57">
        <v>44358.910185185188</v>
      </c>
      <c r="C231" s="56" t="s">
        <v>3803</v>
      </c>
      <c r="D231" s="56" t="s">
        <v>3802</v>
      </c>
      <c r="E231" s="56" t="s">
        <v>6375</v>
      </c>
      <c r="F231" s="56" t="s">
        <v>6374</v>
      </c>
      <c r="G231" s="58" t="s">
        <v>3603</v>
      </c>
      <c r="H231" s="56">
        <v>1</v>
      </c>
      <c r="I231" s="56" t="s">
        <v>3602</v>
      </c>
      <c r="J231" s="56">
        <v>447</v>
      </c>
      <c r="K231" s="56">
        <v>399</v>
      </c>
      <c r="P231" s="56">
        <v>0</v>
      </c>
      <c r="S231" s="56">
        <v>0</v>
      </c>
      <c r="T231" s="56" t="s">
        <v>3562</v>
      </c>
      <c r="V231" s="56" t="s">
        <v>3561</v>
      </c>
      <c r="W231" s="56" t="s">
        <v>3548</v>
      </c>
      <c r="X231" s="56" t="s">
        <v>39</v>
      </c>
      <c r="Y231" s="56" t="s">
        <v>4617</v>
      </c>
      <c r="Z231" s="56" t="s">
        <v>6373</v>
      </c>
      <c r="AC231" s="56" t="s">
        <v>3543</v>
      </c>
      <c r="AD231" s="56" t="s">
        <v>24</v>
      </c>
      <c r="AE231" s="56" t="s">
        <v>6354</v>
      </c>
      <c r="AF231" s="56" t="s">
        <v>6372</v>
      </c>
      <c r="AH231" s="56" t="s">
        <v>3542</v>
      </c>
      <c r="AI231" s="56" t="s">
        <v>3723</v>
      </c>
    </row>
    <row r="232" spans="1:35" ht="33" customHeight="1">
      <c r="A232" s="56" t="s">
        <v>6376</v>
      </c>
      <c r="B232" s="57">
        <v>44358.910185185188</v>
      </c>
      <c r="C232" s="56" t="s">
        <v>3803</v>
      </c>
      <c r="D232" s="56" t="s">
        <v>3802</v>
      </c>
      <c r="E232" s="56" t="s">
        <v>6375</v>
      </c>
      <c r="F232" s="56" t="s">
        <v>6374</v>
      </c>
      <c r="G232" s="58" t="s">
        <v>3222</v>
      </c>
      <c r="H232" s="56">
        <v>1</v>
      </c>
      <c r="I232" s="56" t="s">
        <v>3712</v>
      </c>
      <c r="J232" s="56">
        <v>59</v>
      </c>
      <c r="K232" s="56">
        <v>59</v>
      </c>
      <c r="P232" s="56">
        <v>0</v>
      </c>
      <c r="S232" s="56">
        <v>0</v>
      </c>
      <c r="T232" s="56" t="s">
        <v>3562</v>
      </c>
      <c r="V232" s="56" t="s">
        <v>3561</v>
      </c>
      <c r="W232" s="56" t="s">
        <v>3548</v>
      </c>
      <c r="X232" s="56" t="s">
        <v>39</v>
      </c>
      <c r="Y232" s="56" t="s">
        <v>4617</v>
      </c>
      <c r="Z232" s="56" t="s">
        <v>6373</v>
      </c>
      <c r="AC232" s="56" t="s">
        <v>3543</v>
      </c>
      <c r="AD232" s="56" t="s">
        <v>24</v>
      </c>
      <c r="AE232" s="56" t="s">
        <v>6354</v>
      </c>
      <c r="AF232" s="56" t="s">
        <v>6372</v>
      </c>
      <c r="AH232" s="56" t="s">
        <v>3542</v>
      </c>
      <c r="AI232" s="56" t="s">
        <v>3723</v>
      </c>
    </row>
    <row r="233" spans="1:35" ht="33" customHeight="1">
      <c r="A233" s="56" t="s">
        <v>6371</v>
      </c>
      <c r="B233" s="57">
        <v>44358.930960648147</v>
      </c>
      <c r="C233" s="56" t="s">
        <v>4512</v>
      </c>
      <c r="D233" s="56" t="s">
        <v>4511</v>
      </c>
      <c r="E233" s="56" t="s">
        <v>6370</v>
      </c>
      <c r="F233" s="56" t="s">
        <v>6369</v>
      </c>
      <c r="G233" s="58" t="s">
        <v>4070</v>
      </c>
      <c r="H233" s="56">
        <v>1</v>
      </c>
      <c r="I233" s="56" t="s">
        <v>3602</v>
      </c>
      <c r="J233" s="56">
        <v>447</v>
      </c>
      <c r="K233" s="56">
        <v>399</v>
      </c>
      <c r="L233" s="56">
        <v>399</v>
      </c>
      <c r="M233" s="56">
        <v>0</v>
      </c>
      <c r="N233" s="56">
        <v>0</v>
      </c>
      <c r="O233" s="56">
        <v>0</v>
      </c>
      <c r="P233" s="56">
        <v>0</v>
      </c>
      <c r="Q233" s="56">
        <v>399</v>
      </c>
      <c r="R233" s="56">
        <v>0</v>
      </c>
      <c r="S233" s="56">
        <v>0</v>
      </c>
      <c r="T233" s="56" t="s">
        <v>3562</v>
      </c>
      <c r="U233" s="56">
        <v>399</v>
      </c>
      <c r="V233" s="56" t="s">
        <v>3549</v>
      </c>
      <c r="W233" s="56" t="s">
        <v>3548</v>
      </c>
      <c r="X233" s="56" t="s">
        <v>3547</v>
      </c>
      <c r="Z233" s="56" t="s">
        <v>3546</v>
      </c>
      <c r="AA233" s="56" t="s">
        <v>6368</v>
      </c>
      <c r="AB233" s="56" t="s">
        <v>6367</v>
      </c>
      <c r="AC233" s="56" t="s">
        <v>3543</v>
      </c>
      <c r="AD233" s="56" t="s">
        <v>24</v>
      </c>
      <c r="AE233" s="56" t="s">
        <v>4145</v>
      </c>
      <c r="AF233" s="56" t="s">
        <v>6366</v>
      </c>
      <c r="AH233" s="56" t="s">
        <v>3542</v>
      </c>
      <c r="AI233" s="56" t="s">
        <v>3723</v>
      </c>
    </row>
    <row r="234" spans="1:35" ht="33" customHeight="1">
      <c r="A234" s="56" t="s">
        <v>6371</v>
      </c>
      <c r="B234" s="57">
        <v>44358.930960648147</v>
      </c>
      <c r="C234" s="56" t="s">
        <v>4512</v>
      </c>
      <c r="D234" s="56" t="s">
        <v>4511</v>
      </c>
      <c r="E234" s="56" t="s">
        <v>6370</v>
      </c>
      <c r="F234" s="56" t="s">
        <v>6369</v>
      </c>
      <c r="G234" s="58" t="s">
        <v>3551</v>
      </c>
      <c r="H234" s="56">
        <v>1</v>
      </c>
      <c r="I234" s="56" t="s">
        <v>3550</v>
      </c>
      <c r="J234" s="56">
        <v>0</v>
      </c>
      <c r="K234" s="56">
        <v>0</v>
      </c>
      <c r="P234" s="56">
        <v>0</v>
      </c>
      <c r="S234" s="56">
        <v>0</v>
      </c>
      <c r="T234" s="56" t="s">
        <v>3562</v>
      </c>
      <c r="V234" s="56" t="s">
        <v>3549</v>
      </c>
      <c r="W234" s="56" t="s">
        <v>3548</v>
      </c>
      <c r="X234" s="56" t="s">
        <v>3547</v>
      </c>
      <c r="Z234" s="56" t="s">
        <v>3546</v>
      </c>
      <c r="AA234" s="56" t="s">
        <v>6368</v>
      </c>
      <c r="AB234" s="56" t="s">
        <v>6367</v>
      </c>
      <c r="AC234" s="56" t="s">
        <v>3543</v>
      </c>
      <c r="AD234" s="56" t="s">
        <v>24</v>
      </c>
      <c r="AE234" s="56" t="s">
        <v>4145</v>
      </c>
      <c r="AF234" s="56" t="s">
        <v>6366</v>
      </c>
      <c r="AH234" s="56" t="s">
        <v>3542</v>
      </c>
      <c r="AI234" s="56" t="s">
        <v>3723</v>
      </c>
    </row>
    <row r="235" spans="1:35" ht="33" customHeight="1">
      <c r="A235" s="56" t="s">
        <v>6364</v>
      </c>
      <c r="B235" s="57">
        <v>44358.940300925926</v>
      </c>
      <c r="C235" s="56" t="s">
        <v>4512</v>
      </c>
      <c r="D235" s="56" t="s">
        <v>4511</v>
      </c>
      <c r="E235" s="56" t="s">
        <v>6363</v>
      </c>
      <c r="F235" s="56" t="s">
        <v>6362</v>
      </c>
      <c r="G235" s="58" t="s">
        <v>6365</v>
      </c>
      <c r="H235" s="56">
        <v>1</v>
      </c>
      <c r="I235" s="56" t="s">
        <v>4123</v>
      </c>
      <c r="J235" s="56">
        <v>478</v>
      </c>
      <c r="K235" s="56">
        <v>460</v>
      </c>
      <c r="L235" s="56">
        <v>609</v>
      </c>
      <c r="M235" s="56">
        <v>0</v>
      </c>
      <c r="N235" s="56">
        <v>0</v>
      </c>
      <c r="O235" s="56">
        <v>0</v>
      </c>
      <c r="P235" s="56">
        <v>0</v>
      </c>
      <c r="Q235" s="56">
        <v>609</v>
      </c>
      <c r="R235" s="56">
        <v>0</v>
      </c>
      <c r="S235" s="56">
        <v>0</v>
      </c>
      <c r="T235" s="56" t="s">
        <v>3562</v>
      </c>
      <c r="U235" s="56">
        <v>609</v>
      </c>
      <c r="V235" s="56" t="s">
        <v>3612</v>
      </c>
      <c r="W235" s="56" t="s">
        <v>3548</v>
      </c>
      <c r="X235" s="56" t="s">
        <v>3611</v>
      </c>
      <c r="Z235" s="56" t="s">
        <v>3546</v>
      </c>
      <c r="AA235" s="56" t="s">
        <v>6361</v>
      </c>
      <c r="AB235" s="56" t="s">
        <v>6360</v>
      </c>
      <c r="AC235" s="56" t="s">
        <v>3543</v>
      </c>
      <c r="AD235" s="56" t="s">
        <v>24</v>
      </c>
      <c r="AE235" s="56" t="s">
        <v>5127</v>
      </c>
      <c r="AF235" s="56" t="s">
        <v>6359</v>
      </c>
      <c r="AH235" s="56" t="s">
        <v>3542</v>
      </c>
      <c r="AI235" s="56" t="s">
        <v>3723</v>
      </c>
    </row>
    <row r="236" spans="1:35" ht="33" customHeight="1">
      <c r="A236" s="56" t="s">
        <v>6364</v>
      </c>
      <c r="B236" s="57">
        <v>44358.940300925926</v>
      </c>
      <c r="C236" s="56" t="s">
        <v>4512</v>
      </c>
      <c r="D236" s="56" t="s">
        <v>4511</v>
      </c>
      <c r="E236" s="56" t="s">
        <v>6363</v>
      </c>
      <c r="F236" s="56" t="s">
        <v>6362</v>
      </c>
      <c r="G236" s="58" t="s">
        <v>1713</v>
      </c>
      <c r="H236" s="56">
        <v>1</v>
      </c>
      <c r="I236" s="56" t="s">
        <v>3587</v>
      </c>
      <c r="J236" s="56">
        <v>149</v>
      </c>
      <c r="K236" s="56">
        <v>149</v>
      </c>
      <c r="P236" s="56">
        <v>0</v>
      </c>
      <c r="S236" s="56">
        <v>0</v>
      </c>
      <c r="T236" s="56" t="s">
        <v>3562</v>
      </c>
      <c r="V236" s="56" t="s">
        <v>3612</v>
      </c>
      <c r="W236" s="56" t="s">
        <v>3548</v>
      </c>
      <c r="X236" s="56" t="s">
        <v>3611</v>
      </c>
      <c r="Z236" s="56" t="s">
        <v>3546</v>
      </c>
      <c r="AA236" s="56" t="s">
        <v>6361</v>
      </c>
      <c r="AB236" s="56" t="s">
        <v>6360</v>
      </c>
      <c r="AC236" s="56" t="s">
        <v>3543</v>
      </c>
      <c r="AD236" s="56" t="s">
        <v>24</v>
      </c>
      <c r="AE236" s="56" t="s">
        <v>5127</v>
      </c>
      <c r="AF236" s="56" t="s">
        <v>6359</v>
      </c>
      <c r="AH236" s="56" t="s">
        <v>3542</v>
      </c>
      <c r="AI236" s="56" t="s">
        <v>3723</v>
      </c>
    </row>
    <row r="237" spans="1:35" ht="33" customHeight="1">
      <c r="A237" s="56" t="s">
        <v>6364</v>
      </c>
      <c r="B237" s="57">
        <v>44358.940300925926</v>
      </c>
      <c r="C237" s="56" t="s">
        <v>4512</v>
      </c>
      <c r="D237" s="56" t="s">
        <v>4511</v>
      </c>
      <c r="E237" s="56" t="s">
        <v>6363</v>
      </c>
      <c r="F237" s="56" t="s">
        <v>6362</v>
      </c>
      <c r="G237" s="58" t="s">
        <v>3551</v>
      </c>
      <c r="H237" s="56">
        <v>1</v>
      </c>
      <c r="I237" s="56" t="s">
        <v>3550</v>
      </c>
      <c r="J237" s="56">
        <v>0</v>
      </c>
      <c r="K237" s="56">
        <v>0</v>
      </c>
      <c r="P237" s="56">
        <v>0</v>
      </c>
      <c r="S237" s="56">
        <v>0</v>
      </c>
      <c r="T237" s="56" t="s">
        <v>3562</v>
      </c>
      <c r="V237" s="56" t="s">
        <v>3612</v>
      </c>
      <c r="W237" s="56" t="s">
        <v>3548</v>
      </c>
      <c r="X237" s="56" t="s">
        <v>3611</v>
      </c>
      <c r="Z237" s="56" t="s">
        <v>3546</v>
      </c>
      <c r="AA237" s="56" t="s">
        <v>6361</v>
      </c>
      <c r="AB237" s="56" t="s">
        <v>6360</v>
      </c>
      <c r="AC237" s="56" t="s">
        <v>3543</v>
      </c>
      <c r="AD237" s="56" t="s">
        <v>24</v>
      </c>
      <c r="AE237" s="56" t="s">
        <v>5127</v>
      </c>
      <c r="AF237" s="56" t="s">
        <v>6359</v>
      </c>
      <c r="AH237" s="56" t="s">
        <v>3542</v>
      </c>
      <c r="AI237" s="56" t="s">
        <v>3723</v>
      </c>
    </row>
    <row r="238" spans="1:35" ht="33" customHeight="1">
      <c r="A238" s="56" t="s">
        <v>6358</v>
      </c>
      <c r="B238" s="57">
        <v>44358.964120370372</v>
      </c>
      <c r="C238" s="56" t="s">
        <v>3803</v>
      </c>
      <c r="D238" s="56" t="s">
        <v>3802</v>
      </c>
      <c r="E238" s="56" t="s">
        <v>6357</v>
      </c>
      <c r="F238" s="56" t="s">
        <v>6356</v>
      </c>
      <c r="G238" s="58" t="s">
        <v>3811</v>
      </c>
      <c r="H238" s="56">
        <v>1</v>
      </c>
      <c r="I238" s="56" t="s">
        <v>3669</v>
      </c>
      <c r="J238" s="56">
        <v>897</v>
      </c>
      <c r="K238" s="56">
        <v>888</v>
      </c>
      <c r="L238" s="56">
        <v>1172</v>
      </c>
      <c r="M238" s="56">
        <v>0</v>
      </c>
      <c r="N238" s="56">
        <v>0</v>
      </c>
      <c r="O238" s="56">
        <v>118</v>
      </c>
      <c r="P238" s="56">
        <v>0</v>
      </c>
      <c r="Q238" s="56">
        <v>1054</v>
      </c>
      <c r="R238" s="56">
        <v>0</v>
      </c>
      <c r="S238" s="56">
        <v>0</v>
      </c>
      <c r="T238" s="56" t="s">
        <v>3562</v>
      </c>
      <c r="U238" s="56">
        <v>1054</v>
      </c>
      <c r="V238" s="56" t="s">
        <v>3561</v>
      </c>
      <c r="W238" s="56" t="s">
        <v>3548</v>
      </c>
      <c r="X238" s="56" t="s">
        <v>39</v>
      </c>
      <c r="Y238" s="56" t="s">
        <v>4386</v>
      </c>
      <c r="Z238" s="56" t="s">
        <v>6355</v>
      </c>
      <c r="AC238" s="56" t="s">
        <v>3543</v>
      </c>
      <c r="AD238" s="56" t="s">
        <v>24</v>
      </c>
      <c r="AE238" s="56" t="s">
        <v>6354</v>
      </c>
      <c r="AF238" s="56" t="s">
        <v>6353</v>
      </c>
      <c r="AH238" s="56" t="s">
        <v>3542</v>
      </c>
      <c r="AI238" s="56" t="s">
        <v>3723</v>
      </c>
    </row>
    <row r="239" spans="1:35" ht="33" customHeight="1">
      <c r="A239" s="56" t="s">
        <v>6358</v>
      </c>
      <c r="B239" s="57">
        <v>44358.964120370372</v>
      </c>
      <c r="C239" s="56" t="s">
        <v>3803</v>
      </c>
      <c r="D239" s="56" t="s">
        <v>3802</v>
      </c>
      <c r="E239" s="56" t="s">
        <v>6357</v>
      </c>
      <c r="F239" s="56" t="s">
        <v>6356</v>
      </c>
      <c r="G239" s="58" t="s">
        <v>1491</v>
      </c>
      <c r="H239" s="56">
        <v>1</v>
      </c>
      <c r="I239" s="56" t="s">
        <v>3771</v>
      </c>
      <c r="J239" s="56">
        <v>135</v>
      </c>
      <c r="K239" s="56">
        <v>135</v>
      </c>
      <c r="P239" s="56">
        <v>0</v>
      </c>
      <c r="S239" s="56">
        <v>0</v>
      </c>
      <c r="T239" s="56" t="s">
        <v>3562</v>
      </c>
      <c r="V239" s="56" t="s">
        <v>3561</v>
      </c>
      <c r="W239" s="56" t="s">
        <v>3548</v>
      </c>
      <c r="X239" s="56" t="s">
        <v>39</v>
      </c>
      <c r="Y239" s="56" t="s">
        <v>4386</v>
      </c>
      <c r="Z239" s="56" t="s">
        <v>6355</v>
      </c>
      <c r="AC239" s="56" t="s">
        <v>3543</v>
      </c>
      <c r="AD239" s="56" t="s">
        <v>24</v>
      </c>
      <c r="AE239" s="56" t="s">
        <v>6354</v>
      </c>
      <c r="AF239" s="56" t="s">
        <v>6353</v>
      </c>
      <c r="AH239" s="56" t="s">
        <v>3542</v>
      </c>
      <c r="AI239" s="56" t="s">
        <v>3723</v>
      </c>
    </row>
    <row r="240" spans="1:35" ht="33" customHeight="1">
      <c r="A240" s="56" t="s">
        <v>6358</v>
      </c>
      <c r="B240" s="57">
        <v>44358.964120370372</v>
      </c>
      <c r="C240" s="56" t="s">
        <v>3803</v>
      </c>
      <c r="D240" s="56" t="s">
        <v>3802</v>
      </c>
      <c r="E240" s="56" t="s">
        <v>6357</v>
      </c>
      <c r="F240" s="56" t="s">
        <v>6356</v>
      </c>
      <c r="G240" s="58" t="s">
        <v>1713</v>
      </c>
      <c r="H240" s="56">
        <v>1</v>
      </c>
      <c r="I240" s="56" t="s">
        <v>3587</v>
      </c>
      <c r="J240" s="56">
        <v>149</v>
      </c>
      <c r="K240" s="56">
        <v>149</v>
      </c>
      <c r="P240" s="56">
        <v>0</v>
      </c>
      <c r="S240" s="56">
        <v>0</v>
      </c>
      <c r="T240" s="56" t="s">
        <v>3562</v>
      </c>
      <c r="V240" s="56" t="s">
        <v>3561</v>
      </c>
      <c r="W240" s="56" t="s">
        <v>3548</v>
      </c>
      <c r="X240" s="56" t="s">
        <v>39</v>
      </c>
      <c r="Y240" s="56" t="s">
        <v>4386</v>
      </c>
      <c r="Z240" s="56" t="s">
        <v>6355</v>
      </c>
      <c r="AC240" s="56" t="s">
        <v>3543</v>
      </c>
      <c r="AD240" s="56" t="s">
        <v>24</v>
      </c>
      <c r="AE240" s="56" t="s">
        <v>6354</v>
      </c>
      <c r="AF240" s="56" t="s">
        <v>6353</v>
      </c>
      <c r="AH240" s="56" t="s">
        <v>3542</v>
      </c>
      <c r="AI240" s="56" t="s">
        <v>3723</v>
      </c>
    </row>
    <row r="241" spans="1:35" ht="33" customHeight="1">
      <c r="A241" s="56" t="s">
        <v>6352</v>
      </c>
      <c r="B241" s="57">
        <v>44359.024687500001</v>
      </c>
      <c r="C241" s="56" t="s">
        <v>3803</v>
      </c>
      <c r="D241" s="56" t="s">
        <v>3802</v>
      </c>
      <c r="E241" s="56" t="s">
        <v>6351</v>
      </c>
      <c r="F241" s="56" t="s">
        <v>6350</v>
      </c>
      <c r="G241" s="58" t="s">
        <v>3811</v>
      </c>
      <c r="H241" s="56">
        <v>1</v>
      </c>
      <c r="I241" s="56" t="s">
        <v>3669</v>
      </c>
      <c r="J241" s="56">
        <v>897</v>
      </c>
      <c r="K241" s="56">
        <v>888</v>
      </c>
      <c r="L241" s="56">
        <v>2093</v>
      </c>
      <c r="M241" s="56">
        <v>0</v>
      </c>
      <c r="N241" s="56">
        <v>0</v>
      </c>
      <c r="O241" s="56">
        <v>100</v>
      </c>
      <c r="P241" s="56">
        <v>0</v>
      </c>
      <c r="Q241" s="56">
        <v>1993</v>
      </c>
      <c r="R241" s="56">
        <v>0</v>
      </c>
      <c r="S241" s="56">
        <v>0</v>
      </c>
      <c r="T241" s="56" t="s">
        <v>3562</v>
      </c>
      <c r="U241" s="56">
        <v>1993</v>
      </c>
      <c r="V241" s="56" t="s">
        <v>59</v>
      </c>
      <c r="W241" s="56" t="s">
        <v>3548</v>
      </c>
      <c r="X241" s="56" t="s">
        <v>39</v>
      </c>
      <c r="Y241" s="56" t="s">
        <v>3677</v>
      </c>
      <c r="Z241" s="56" t="s">
        <v>6349</v>
      </c>
      <c r="AC241" s="56" t="s">
        <v>3543</v>
      </c>
      <c r="AD241" s="56" t="s">
        <v>24</v>
      </c>
      <c r="AE241" s="56" t="s">
        <v>6080</v>
      </c>
      <c r="AF241" s="56" t="s">
        <v>6348</v>
      </c>
      <c r="AH241" s="56" t="s">
        <v>3542</v>
      </c>
      <c r="AI241" s="56" t="s">
        <v>3723</v>
      </c>
    </row>
    <row r="242" spans="1:35" ht="33" customHeight="1">
      <c r="A242" s="56" t="s">
        <v>6352</v>
      </c>
      <c r="B242" s="57">
        <v>44359.024687500001</v>
      </c>
      <c r="C242" s="56" t="s">
        <v>3803</v>
      </c>
      <c r="D242" s="56" t="s">
        <v>3802</v>
      </c>
      <c r="E242" s="56" t="s">
        <v>6351</v>
      </c>
      <c r="F242" s="56" t="s">
        <v>6350</v>
      </c>
      <c r="G242" s="58" t="s">
        <v>4137</v>
      </c>
      <c r="H242" s="56">
        <v>1</v>
      </c>
      <c r="I242" s="56" t="s">
        <v>3577</v>
      </c>
      <c r="J242" s="56">
        <v>700</v>
      </c>
      <c r="K242" s="56">
        <v>599</v>
      </c>
      <c r="P242" s="56">
        <v>0</v>
      </c>
      <c r="S242" s="56">
        <v>0</v>
      </c>
      <c r="T242" s="56" t="s">
        <v>3562</v>
      </c>
      <c r="V242" s="56" t="s">
        <v>59</v>
      </c>
      <c r="W242" s="56" t="s">
        <v>3548</v>
      </c>
      <c r="X242" s="56" t="s">
        <v>39</v>
      </c>
      <c r="Y242" s="56" t="s">
        <v>3677</v>
      </c>
      <c r="Z242" s="56" t="s">
        <v>6349</v>
      </c>
      <c r="AC242" s="56" t="s">
        <v>3543</v>
      </c>
      <c r="AD242" s="56" t="s">
        <v>24</v>
      </c>
      <c r="AE242" s="56" t="s">
        <v>6080</v>
      </c>
      <c r="AF242" s="56" t="s">
        <v>6348</v>
      </c>
      <c r="AH242" s="56" t="s">
        <v>3542</v>
      </c>
      <c r="AI242" s="56" t="s">
        <v>3723</v>
      </c>
    </row>
    <row r="243" spans="1:35" ht="33" customHeight="1">
      <c r="A243" s="56" t="s">
        <v>6352</v>
      </c>
      <c r="B243" s="57">
        <v>44359.024687500001</v>
      </c>
      <c r="C243" s="56" t="s">
        <v>3803</v>
      </c>
      <c r="D243" s="56" t="s">
        <v>3802</v>
      </c>
      <c r="E243" s="56" t="s">
        <v>6351</v>
      </c>
      <c r="F243" s="56" t="s">
        <v>6350</v>
      </c>
      <c r="G243" s="58" t="s">
        <v>2156</v>
      </c>
      <c r="H243" s="56">
        <v>1</v>
      </c>
      <c r="I243" s="56" t="s">
        <v>1376</v>
      </c>
      <c r="J243" s="56">
        <v>149</v>
      </c>
      <c r="K243" s="56">
        <v>149</v>
      </c>
      <c r="P243" s="56">
        <v>0</v>
      </c>
      <c r="S243" s="56">
        <v>0</v>
      </c>
      <c r="T243" s="56" t="s">
        <v>3562</v>
      </c>
      <c r="V243" s="56" t="s">
        <v>59</v>
      </c>
      <c r="W243" s="56" t="s">
        <v>3548</v>
      </c>
      <c r="X243" s="56" t="s">
        <v>39</v>
      </c>
      <c r="Y243" s="56" t="s">
        <v>3677</v>
      </c>
      <c r="Z243" s="56" t="s">
        <v>6349</v>
      </c>
      <c r="AC243" s="56" t="s">
        <v>3543</v>
      </c>
      <c r="AD243" s="56" t="s">
        <v>24</v>
      </c>
      <c r="AE243" s="56" t="s">
        <v>6080</v>
      </c>
      <c r="AF243" s="56" t="s">
        <v>6348</v>
      </c>
      <c r="AH243" s="56" t="s">
        <v>3542</v>
      </c>
      <c r="AI243" s="56" t="s">
        <v>3723</v>
      </c>
    </row>
    <row r="244" spans="1:35" ht="33" customHeight="1">
      <c r="A244" s="56" t="s">
        <v>6352</v>
      </c>
      <c r="B244" s="57">
        <v>44359.024687500001</v>
      </c>
      <c r="C244" s="56" t="s">
        <v>3803</v>
      </c>
      <c r="D244" s="56" t="s">
        <v>3802</v>
      </c>
      <c r="E244" s="56" t="s">
        <v>6351</v>
      </c>
      <c r="F244" s="56" t="s">
        <v>6350</v>
      </c>
      <c r="G244" s="58" t="s">
        <v>3199</v>
      </c>
      <c r="H244" s="56">
        <v>1</v>
      </c>
      <c r="I244" s="56" t="s">
        <v>3834</v>
      </c>
      <c r="J244" s="56">
        <v>119</v>
      </c>
      <c r="K244" s="56">
        <v>99</v>
      </c>
      <c r="P244" s="56">
        <v>0</v>
      </c>
      <c r="S244" s="56">
        <v>0</v>
      </c>
      <c r="T244" s="56" t="s">
        <v>3562</v>
      </c>
      <c r="V244" s="56" t="s">
        <v>59</v>
      </c>
      <c r="W244" s="56" t="s">
        <v>3548</v>
      </c>
      <c r="X244" s="56" t="s">
        <v>39</v>
      </c>
      <c r="Y244" s="56" t="s">
        <v>3677</v>
      </c>
      <c r="Z244" s="56" t="s">
        <v>6349</v>
      </c>
      <c r="AC244" s="56" t="s">
        <v>3543</v>
      </c>
      <c r="AD244" s="56" t="s">
        <v>24</v>
      </c>
      <c r="AE244" s="56" t="s">
        <v>6080</v>
      </c>
      <c r="AF244" s="56" t="s">
        <v>6348</v>
      </c>
      <c r="AH244" s="56" t="s">
        <v>3542</v>
      </c>
      <c r="AI244" s="56" t="s">
        <v>3723</v>
      </c>
    </row>
    <row r="245" spans="1:35" ht="33" customHeight="1">
      <c r="A245" s="56" t="s">
        <v>6352</v>
      </c>
      <c r="B245" s="57">
        <v>44359.024687500001</v>
      </c>
      <c r="C245" s="56" t="s">
        <v>3803</v>
      </c>
      <c r="D245" s="56" t="s">
        <v>3802</v>
      </c>
      <c r="E245" s="56" t="s">
        <v>6351</v>
      </c>
      <c r="F245" s="56" t="s">
        <v>6350</v>
      </c>
      <c r="G245" s="58" t="s">
        <v>1354</v>
      </c>
      <c r="H245" s="56">
        <v>1</v>
      </c>
      <c r="I245" s="56" t="s">
        <v>4037</v>
      </c>
      <c r="J245" s="56">
        <v>59</v>
      </c>
      <c r="K245" s="56">
        <v>59</v>
      </c>
      <c r="P245" s="56">
        <v>0</v>
      </c>
      <c r="S245" s="56">
        <v>0</v>
      </c>
      <c r="T245" s="56" t="s">
        <v>3562</v>
      </c>
      <c r="V245" s="56" t="s">
        <v>59</v>
      </c>
      <c r="W245" s="56" t="s">
        <v>3548</v>
      </c>
      <c r="X245" s="56" t="s">
        <v>39</v>
      </c>
      <c r="Y245" s="56" t="s">
        <v>3677</v>
      </c>
      <c r="Z245" s="56" t="s">
        <v>6349</v>
      </c>
      <c r="AC245" s="56" t="s">
        <v>3543</v>
      </c>
      <c r="AD245" s="56" t="s">
        <v>24</v>
      </c>
      <c r="AE245" s="56" t="s">
        <v>6080</v>
      </c>
      <c r="AF245" s="56" t="s">
        <v>6348</v>
      </c>
      <c r="AH245" s="56" t="s">
        <v>3542</v>
      </c>
      <c r="AI245" s="56" t="s">
        <v>3723</v>
      </c>
    </row>
    <row r="246" spans="1:35" ht="33" customHeight="1">
      <c r="A246" s="56" t="s">
        <v>6352</v>
      </c>
      <c r="B246" s="57">
        <v>44359.024687500001</v>
      </c>
      <c r="C246" s="56" t="s">
        <v>3803</v>
      </c>
      <c r="D246" s="56" t="s">
        <v>3802</v>
      </c>
      <c r="E246" s="56" t="s">
        <v>6351</v>
      </c>
      <c r="F246" s="56" t="s">
        <v>6350</v>
      </c>
      <c r="G246" s="58" t="s">
        <v>3299</v>
      </c>
      <c r="H246" s="56">
        <v>1</v>
      </c>
      <c r="I246" s="56" t="s">
        <v>3576</v>
      </c>
      <c r="J246" s="56">
        <v>299</v>
      </c>
      <c r="K246" s="56">
        <v>299</v>
      </c>
      <c r="P246" s="56">
        <v>0</v>
      </c>
      <c r="S246" s="56">
        <v>0</v>
      </c>
      <c r="T246" s="56" t="s">
        <v>3562</v>
      </c>
      <c r="V246" s="56" t="s">
        <v>59</v>
      </c>
      <c r="W246" s="56" t="s">
        <v>3548</v>
      </c>
      <c r="X246" s="56" t="s">
        <v>39</v>
      </c>
      <c r="Y246" s="56" t="s">
        <v>3677</v>
      </c>
      <c r="Z246" s="56" t="s">
        <v>6349</v>
      </c>
      <c r="AC246" s="56" t="s">
        <v>3543</v>
      </c>
      <c r="AD246" s="56" t="s">
        <v>24</v>
      </c>
      <c r="AE246" s="56" t="s">
        <v>6080</v>
      </c>
      <c r="AF246" s="56" t="s">
        <v>6348</v>
      </c>
      <c r="AH246" s="56" t="s">
        <v>3542</v>
      </c>
      <c r="AI246" s="56" t="s">
        <v>3723</v>
      </c>
    </row>
    <row r="247" spans="1:35" ht="33" customHeight="1">
      <c r="A247" s="56" t="s">
        <v>6352</v>
      </c>
      <c r="B247" s="57">
        <v>44359.024687500001</v>
      </c>
      <c r="C247" s="56" t="s">
        <v>3803</v>
      </c>
      <c r="D247" s="56" t="s">
        <v>3802</v>
      </c>
      <c r="E247" s="56" t="s">
        <v>6351</v>
      </c>
      <c r="F247" s="56" t="s">
        <v>6350</v>
      </c>
      <c r="G247" s="58" t="s">
        <v>3551</v>
      </c>
      <c r="H247" s="56">
        <v>1</v>
      </c>
      <c r="I247" s="56" t="s">
        <v>3550</v>
      </c>
      <c r="J247" s="56">
        <v>0</v>
      </c>
      <c r="K247" s="56">
        <v>0</v>
      </c>
      <c r="P247" s="56">
        <v>0</v>
      </c>
      <c r="S247" s="56">
        <v>0</v>
      </c>
      <c r="T247" s="56" t="s">
        <v>3562</v>
      </c>
      <c r="V247" s="56" t="s">
        <v>59</v>
      </c>
      <c r="W247" s="56" t="s">
        <v>3548</v>
      </c>
      <c r="X247" s="56" t="s">
        <v>39</v>
      </c>
      <c r="Y247" s="56" t="s">
        <v>3677</v>
      </c>
      <c r="Z247" s="56" t="s">
        <v>6349</v>
      </c>
      <c r="AC247" s="56" t="s">
        <v>3543</v>
      </c>
      <c r="AD247" s="56" t="s">
        <v>24</v>
      </c>
      <c r="AE247" s="56" t="s">
        <v>6080</v>
      </c>
      <c r="AF247" s="56" t="s">
        <v>6348</v>
      </c>
      <c r="AH247" s="56" t="s">
        <v>3542</v>
      </c>
      <c r="AI247" s="56" t="s">
        <v>3723</v>
      </c>
    </row>
    <row r="248" spans="1:35" ht="33" customHeight="1">
      <c r="A248" s="56" t="s">
        <v>6352</v>
      </c>
      <c r="B248" s="57">
        <v>44359.024687500001</v>
      </c>
      <c r="C248" s="56" t="s">
        <v>3803</v>
      </c>
      <c r="D248" s="56" t="s">
        <v>3802</v>
      </c>
      <c r="E248" s="56" t="s">
        <v>6351</v>
      </c>
      <c r="F248" s="56" t="s">
        <v>6350</v>
      </c>
      <c r="G248" s="58" t="s">
        <v>1713</v>
      </c>
      <c r="H248" s="56">
        <v>1</v>
      </c>
      <c r="I248" s="56" t="s">
        <v>3568</v>
      </c>
      <c r="J248" s="56">
        <v>0</v>
      </c>
      <c r="K248" s="56">
        <v>0</v>
      </c>
      <c r="P248" s="56">
        <v>0</v>
      </c>
      <c r="S248" s="56">
        <v>0</v>
      </c>
      <c r="T248" s="56" t="s">
        <v>3562</v>
      </c>
      <c r="V248" s="56" t="s">
        <v>59</v>
      </c>
      <c r="W248" s="56" t="s">
        <v>3548</v>
      </c>
      <c r="X248" s="56" t="s">
        <v>39</v>
      </c>
      <c r="Y248" s="56" t="s">
        <v>3677</v>
      </c>
      <c r="Z248" s="56" t="s">
        <v>6349</v>
      </c>
      <c r="AC248" s="56" t="s">
        <v>3543</v>
      </c>
      <c r="AD248" s="56" t="s">
        <v>24</v>
      </c>
      <c r="AE248" s="56" t="s">
        <v>6080</v>
      </c>
      <c r="AF248" s="56" t="s">
        <v>6348</v>
      </c>
      <c r="AH248" s="56" t="s">
        <v>3542</v>
      </c>
      <c r="AI248" s="56" t="s">
        <v>3723</v>
      </c>
    </row>
    <row r="249" spans="1:35" ht="33" customHeight="1">
      <c r="A249" s="56" t="s">
        <v>6352</v>
      </c>
      <c r="B249" s="57">
        <v>44359.024687500001</v>
      </c>
      <c r="C249" s="56" t="s">
        <v>3803</v>
      </c>
      <c r="D249" s="56" t="s">
        <v>3802</v>
      </c>
      <c r="E249" s="56" t="s">
        <v>6351</v>
      </c>
      <c r="F249" s="56" t="s">
        <v>6350</v>
      </c>
      <c r="G249" s="58" t="s">
        <v>1500</v>
      </c>
      <c r="H249" s="56">
        <v>1</v>
      </c>
      <c r="I249" s="56" t="s">
        <v>6228</v>
      </c>
      <c r="J249" s="56">
        <v>0</v>
      </c>
      <c r="K249" s="56">
        <v>0</v>
      </c>
      <c r="P249" s="56">
        <v>0</v>
      </c>
      <c r="S249" s="56">
        <v>0</v>
      </c>
      <c r="T249" s="56" t="s">
        <v>3562</v>
      </c>
      <c r="V249" s="56" t="s">
        <v>59</v>
      </c>
      <c r="W249" s="56" t="s">
        <v>3548</v>
      </c>
      <c r="X249" s="56" t="s">
        <v>39</v>
      </c>
      <c r="Y249" s="56" t="s">
        <v>3677</v>
      </c>
      <c r="Z249" s="56" t="s">
        <v>6349</v>
      </c>
      <c r="AC249" s="56" t="s">
        <v>3543</v>
      </c>
      <c r="AD249" s="56" t="s">
        <v>24</v>
      </c>
      <c r="AE249" s="56" t="s">
        <v>6080</v>
      </c>
      <c r="AF249" s="56" t="s">
        <v>6348</v>
      </c>
      <c r="AH249" s="56" t="s">
        <v>3542</v>
      </c>
      <c r="AI249" s="56" t="s">
        <v>3723</v>
      </c>
    </row>
    <row r="250" spans="1:35" ht="33" customHeight="1">
      <c r="A250" s="56" t="s">
        <v>6352</v>
      </c>
      <c r="B250" s="57">
        <v>44359.024687500001</v>
      </c>
      <c r="C250" s="56" t="s">
        <v>3803</v>
      </c>
      <c r="D250" s="56" t="s">
        <v>3802</v>
      </c>
      <c r="E250" s="56" t="s">
        <v>6351</v>
      </c>
      <c r="F250" s="56" t="s">
        <v>6350</v>
      </c>
      <c r="G250" s="58" t="s">
        <v>3564</v>
      </c>
      <c r="H250" s="56">
        <v>1</v>
      </c>
      <c r="I250" s="56" t="s">
        <v>3563</v>
      </c>
      <c r="J250" s="56">
        <v>0</v>
      </c>
      <c r="K250" s="56">
        <v>0</v>
      </c>
      <c r="P250" s="56">
        <v>0</v>
      </c>
      <c r="S250" s="56">
        <v>0</v>
      </c>
      <c r="T250" s="56" t="s">
        <v>3562</v>
      </c>
      <c r="V250" s="56" t="s">
        <v>59</v>
      </c>
      <c r="W250" s="56" t="s">
        <v>3548</v>
      </c>
      <c r="X250" s="56" t="s">
        <v>39</v>
      </c>
      <c r="Y250" s="56" t="s">
        <v>3677</v>
      </c>
      <c r="Z250" s="56" t="s">
        <v>6349</v>
      </c>
      <c r="AC250" s="56" t="s">
        <v>3543</v>
      </c>
      <c r="AD250" s="56" t="s">
        <v>24</v>
      </c>
      <c r="AE250" s="56" t="s">
        <v>6080</v>
      </c>
      <c r="AF250" s="56" t="s">
        <v>6348</v>
      </c>
      <c r="AH250" s="56" t="s">
        <v>3542</v>
      </c>
      <c r="AI250" s="56" t="s">
        <v>3723</v>
      </c>
    </row>
    <row r="251" spans="1:35" ht="33" customHeight="1">
      <c r="A251" s="56" t="s">
        <v>6346</v>
      </c>
      <c r="B251" s="57">
        <v>44359.028321759259</v>
      </c>
      <c r="C251" s="56" t="s">
        <v>3803</v>
      </c>
      <c r="D251" s="56" t="s">
        <v>3802</v>
      </c>
      <c r="E251" s="56" t="s">
        <v>6345</v>
      </c>
      <c r="F251" s="56" t="s">
        <v>6344</v>
      </c>
      <c r="G251" s="58" t="s">
        <v>6347</v>
      </c>
      <c r="H251" s="56">
        <v>1</v>
      </c>
      <c r="I251" s="56" t="s">
        <v>3669</v>
      </c>
      <c r="J251" s="56">
        <v>897</v>
      </c>
      <c r="K251" s="56">
        <v>888</v>
      </c>
      <c r="L251" s="56">
        <v>2818</v>
      </c>
      <c r="M251" s="56">
        <v>0</v>
      </c>
      <c r="N251" s="56">
        <v>0</v>
      </c>
      <c r="O251" s="56">
        <v>252</v>
      </c>
      <c r="P251" s="56">
        <v>0</v>
      </c>
      <c r="Q251" s="56">
        <v>2566</v>
      </c>
      <c r="R251" s="56">
        <v>0</v>
      </c>
      <c r="S251" s="56">
        <v>0</v>
      </c>
      <c r="T251" s="56" t="s">
        <v>27</v>
      </c>
      <c r="U251" s="56">
        <v>2566</v>
      </c>
      <c r="V251" s="56" t="s">
        <v>3736</v>
      </c>
      <c r="W251" s="56" t="s">
        <v>3548</v>
      </c>
      <c r="X251" s="56" t="s">
        <v>3735</v>
      </c>
      <c r="Y251" s="56" t="s">
        <v>3844</v>
      </c>
      <c r="Z251" s="56" t="s">
        <v>6343</v>
      </c>
      <c r="AC251" s="56" t="s">
        <v>3543</v>
      </c>
      <c r="AH251" s="56" t="s">
        <v>3542</v>
      </c>
      <c r="AI251" s="56" t="s">
        <v>3541</v>
      </c>
    </row>
    <row r="252" spans="1:35" ht="33" customHeight="1">
      <c r="A252" s="56" t="s">
        <v>6346</v>
      </c>
      <c r="B252" s="57">
        <v>44359.028321759259</v>
      </c>
      <c r="C252" s="56" t="s">
        <v>3803</v>
      </c>
      <c r="D252" s="56" t="s">
        <v>3802</v>
      </c>
      <c r="E252" s="56" t="s">
        <v>6345</v>
      </c>
      <c r="F252" s="56" t="s">
        <v>6344</v>
      </c>
      <c r="G252" s="58" t="s">
        <v>3681</v>
      </c>
      <c r="H252" s="56">
        <v>1</v>
      </c>
      <c r="I252" s="56" t="s">
        <v>3569</v>
      </c>
      <c r="J252" s="56">
        <v>894</v>
      </c>
      <c r="K252" s="56">
        <v>750</v>
      </c>
      <c r="P252" s="56">
        <v>0</v>
      </c>
      <c r="S252" s="56">
        <v>0</v>
      </c>
      <c r="T252" s="56" t="s">
        <v>27</v>
      </c>
      <c r="V252" s="56" t="s">
        <v>3736</v>
      </c>
      <c r="W252" s="56" t="s">
        <v>3548</v>
      </c>
      <c r="X252" s="56" t="s">
        <v>3735</v>
      </c>
      <c r="Y252" s="56" t="s">
        <v>3844</v>
      </c>
      <c r="Z252" s="56" t="s">
        <v>6343</v>
      </c>
      <c r="AC252" s="56" t="s">
        <v>3543</v>
      </c>
      <c r="AH252" s="56" t="s">
        <v>3542</v>
      </c>
      <c r="AI252" s="56" t="s">
        <v>3541</v>
      </c>
    </row>
    <row r="253" spans="1:35" ht="33" customHeight="1">
      <c r="A253" s="56" t="s">
        <v>6346</v>
      </c>
      <c r="B253" s="57">
        <v>44359.028321759259</v>
      </c>
      <c r="C253" s="56" t="s">
        <v>3803</v>
      </c>
      <c r="D253" s="56" t="s">
        <v>3802</v>
      </c>
      <c r="E253" s="56" t="s">
        <v>6345</v>
      </c>
      <c r="F253" s="56" t="s">
        <v>6344</v>
      </c>
      <c r="G253" s="58" t="s">
        <v>5711</v>
      </c>
      <c r="H253" s="56">
        <v>2</v>
      </c>
      <c r="I253" s="56" t="s">
        <v>5335</v>
      </c>
      <c r="J253" s="56">
        <v>547</v>
      </c>
      <c r="K253" s="56">
        <v>460</v>
      </c>
      <c r="P253" s="56">
        <v>0</v>
      </c>
      <c r="S253" s="56">
        <v>0</v>
      </c>
      <c r="T253" s="56" t="s">
        <v>27</v>
      </c>
      <c r="V253" s="56" t="s">
        <v>3736</v>
      </c>
      <c r="W253" s="56" t="s">
        <v>3548</v>
      </c>
      <c r="X253" s="56" t="s">
        <v>3735</v>
      </c>
      <c r="Y253" s="56" t="s">
        <v>3844</v>
      </c>
      <c r="Z253" s="56" t="s">
        <v>6343</v>
      </c>
      <c r="AC253" s="56" t="s">
        <v>3543</v>
      </c>
      <c r="AH253" s="56" t="s">
        <v>3542</v>
      </c>
      <c r="AI253" s="56" t="s">
        <v>3541</v>
      </c>
    </row>
    <row r="254" spans="1:35" ht="33" customHeight="1">
      <c r="A254" s="56" t="s">
        <v>6346</v>
      </c>
      <c r="B254" s="57">
        <v>44359.028321759259</v>
      </c>
      <c r="C254" s="56" t="s">
        <v>3803</v>
      </c>
      <c r="D254" s="56" t="s">
        <v>3802</v>
      </c>
      <c r="E254" s="56" t="s">
        <v>6345</v>
      </c>
      <c r="F254" s="56" t="s">
        <v>6344</v>
      </c>
      <c r="G254" s="58" t="s">
        <v>3299</v>
      </c>
      <c r="H254" s="56">
        <v>1</v>
      </c>
      <c r="I254" s="56" t="s">
        <v>3576</v>
      </c>
      <c r="J254" s="56">
        <v>260</v>
      </c>
      <c r="K254" s="56">
        <v>260</v>
      </c>
      <c r="P254" s="56">
        <v>0</v>
      </c>
      <c r="S254" s="56">
        <v>0</v>
      </c>
      <c r="T254" s="56" t="s">
        <v>27</v>
      </c>
      <c r="V254" s="56" t="s">
        <v>3736</v>
      </c>
      <c r="W254" s="56" t="s">
        <v>3548</v>
      </c>
      <c r="X254" s="56" t="s">
        <v>3735</v>
      </c>
      <c r="Y254" s="56" t="s">
        <v>3844</v>
      </c>
      <c r="Z254" s="56" t="s">
        <v>6343</v>
      </c>
      <c r="AC254" s="56" t="s">
        <v>3543</v>
      </c>
      <c r="AH254" s="56" t="s">
        <v>3542</v>
      </c>
      <c r="AI254" s="56" t="s">
        <v>3541</v>
      </c>
    </row>
    <row r="255" spans="1:35" ht="33" customHeight="1">
      <c r="A255" s="56" t="s">
        <v>6346</v>
      </c>
      <c r="B255" s="57">
        <v>44359.028321759259</v>
      </c>
      <c r="C255" s="56" t="s">
        <v>3803</v>
      </c>
      <c r="D255" s="56" t="s">
        <v>3802</v>
      </c>
      <c r="E255" s="56" t="s">
        <v>6345</v>
      </c>
      <c r="F255" s="56" t="s">
        <v>6344</v>
      </c>
      <c r="G255" s="58" t="s">
        <v>3551</v>
      </c>
      <c r="H255" s="56">
        <v>1</v>
      </c>
      <c r="I255" s="56" t="s">
        <v>3550</v>
      </c>
      <c r="J255" s="56">
        <v>0</v>
      </c>
      <c r="K255" s="56">
        <v>0</v>
      </c>
      <c r="P255" s="56">
        <v>0</v>
      </c>
      <c r="S255" s="56">
        <v>0</v>
      </c>
      <c r="T255" s="56" t="s">
        <v>27</v>
      </c>
      <c r="V255" s="56" t="s">
        <v>3736</v>
      </c>
      <c r="W255" s="56" t="s">
        <v>3548</v>
      </c>
      <c r="X255" s="56" t="s">
        <v>3735</v>
      </c>
      <c r="Y255" s="56" t="s">
        <v>3844</v>
      </c>
      <c r="Z255" s="56" t="s">
        <v>6343</v>
      </c>
      <c r="AC255" s="56" t="s">
        <v>3543</v>
      </c>
      <c r="AH255" s="56" t="s">
        <v>3542</v>
      </c>
      <c r="AI255" s="56" t="s">
        <v>3541</v>
      </c>
    </row>
    <row r="256" spans="1:35" ht="33" customHeight="1">
      <c r="A256" s="56" t="s">
        <v>6346</v>
      </c>
      <c r="B256" s="57">
        <v>44359.028321759259</v>
      </c>
      <c r="C256" s="56" t="s">
        <v>3803</v>
      </c>
      <c r="D256" s="56" t="s">
        <v>3802</v>
      </c>
      <c r="E256" s="56" t="s">
        <v>6345</v>
      </c>
      <c r="F256" s="56" t="s">
        <v>6344</v>
      </c>
      <c r="G256" s="58" t="s">
        <v>1713</v>
      </c>
      <c r="H256" s="56">
        <v>1</v>
      </c>
      <c r="I256" s="56" t="s">
        <v>3568</v>
      </c>
      <c r="J256" s="56">
        <v>0</v>
      </c>
      <c r="K256" s="56">
        <v>0</v>
      </c>
      <c r="P256" s="56">
        <v>0</v>
      </c>
      <c r="S256" s="56">
        <v>0</v>
      </c>
      <c r="T256" s="56" t="s">
        <v>27</v>
      </c>
      <c r="V256" s="56" t="s">
        <v>3736</v>
      </c>
      <c r="W256" s="56" t="s">
        <v>3548</v>
      </c>
      <c r="X256" s="56" t="s">
        <v>3735</v>
      </c>
      <c r="Y256" s="56" t="s">
        <v>3844</v>
      </c>
      <c r="Z256" s="56" t="s">
        <v>6343</v>
      </c>
      <c r="AC256" s="56" t="s">
        <v>3543</v>
      </c>
      <c r="AH256" s="56" t="s">
        <v>3542</v>
      </c>
      <c r="AI256" s="56" t="s">
        <v>3541</v>
      </c>
    </row>
    <row r="257" spans="1:35" ht="33" customHeight="1">
      <c r="A257" s="56" t="s">
        <v>6346</v>
      </c>
      <c r="B257" s="57">
        <v>44359.028321759259</v>
      </c>
      <c r="C257" s="56" t="s">
        <v>3803</v>
      </c>
      <c r="D257" s="56" t="s">
        <v>3802</v>
      </c>
      <c r="E257" s="56" t="s">
        <v>6345</v>
      </c>
      <c r="F257" s="56" t="s">
        <v>6344</v>
      </c>
      <c r="G257" s="58" t="s">
        <v>1500</v>
      </c>
      <c r="H257" s="56">
        <v>1</v>
      </c>
      <c r="I257" s="56" t="s">
        <v>6228</v>
      </c>
      <c r="J257" s="56">
        <v>0</v>
      </c>
      <c r="K257" s="56">
        <v>0</v>
      </c>
      <c r="P257" s="56">
        <v>0</v>
      </c>
      <c r="S257" s="56">
        <v>0</v>
      </c>
      <c r="T257" s="56" t="s">
        <v>27</v>
      </c>
      <c r="V257" s="56" t="s">
        <v>3736</v>
      </c>
      <c r="W257" s="56" t="s">
        <v>3548</v>
      </c>
      <c r="X257" s="56" t="s">
        <v>3735</v>
      </c>
      <c r="Y257" s="56" t="s">
        <v>3844</v>
      </c>
      <c r="Z257" s="56" t="s">
        <v>6343</v>
      </c>
      <c r="AC257" s="56" t="s">
        <v>3543</v>
      </c>
      <c r="AH257" s="56" t="s">
        <v>3542</v>
      </c>
      <c r="AI257" s="56" t="s">
        <v>3541</v>
      </c>
    </row>
    <row r="258" spans="1:35" ht="33" customHeight="1">
      <c r="A258" s="56" t="s">
        <v>6346</v>
      </c>
      <c r="B258" s="57">
        <v>44359.028321759259</v>
      </c>
      <c r="C258" s="56" t="s">
        <v>3803</v>
      </c>
      <c r="D258" s="56" t="s">
        <v>3802</v>
      </c>
      <c r="E258" s="56" t="s">
        <v>6345</v>
      </c>
      <c r="F258" s="56" t="s">
        <v>6344</v>
      </c>
      <c r="G258" s="58" t="s">
        <v>3564</v>
      </c>
      <c r="H258" s="56">
        <v>1</v>
      </c>
      <c r="I258" s="56" t="s">
        <v>3563</v>
      </c>
      <c r="J258" s="56">
        <v>0</v>
      </c>
      <c r="K258" s="56">
        <v>0</v>
      </c>
      <c r="P258" s="56">
        <v>0</v>
      </c>
      <c r="S258" s="56">
        <v>0</v>
      </c>
      <c r="T258" s="56" t="s">
        <v>27</v>
      </c>
      <c r="V258" s="56" t="s">
        <v>3736</v>
      </c>
      <c r="W258" s="56" t="s">
        <v>3548</v>
      </c>
      <c r="X258" s="56" t="s">
        <v>3735</v>
      </c>
      <c r="Y258" s="56" t="s">
        <v>3844</v>
      </c>
      <c r="Z258" s="56" t="s">
        <v>6343</v>
      </c>
      <c r="AC258" s="56" t="s">
        <v>3543</v>
      </c>
      <c r="AH258" s="56" t="s">
        <v>3542</v>
      </c>
      <c r="AI258" s="56" t="s">
        <v>3541</v>
      </c>
    </row>
    <row r="259" spans="1:35" ht="33" customHeight="1">
      <c r="A259" s="56" t="s">
        <v>6342</v>
      </c>
      <c r="B259" s="57">
        <v>44359.033101851855</v>
      </c>
      <c r="C259" s="56" t="s">
        <v>4512</v>
      </c>
      <c r="D259" s="56" t="s">
        <v>4511</v>
      </c>
      <c r="E259" s="56" t="s">
        <v>6341</v>
      </c>
      <c r="F259" s="56" t="s">
        <v>6340</v>
      </c>
      <c r="G259" s="58" t="s">
        <v>3174</v>
      </c>
      <c r="H259" s="56">
        <v>1</v>
      </c>
      <c r="I259" s="56" t="s">
        <v>3791</v>
      </c>
      <c r="J259" s="56">
        <v>299</v>
      </c>
      <c r="K259" s="56">
        <v>299</v>
      </c>
      <c r="L259" s="56">
        <v>1265</v>
      </c>
      <c r="M259" s="56">
        <v>0</v>
      </c>
      <c r="N259" s="56">
        <v>0</v>
      </c>
      <c r="O259" s="56">
        <v>100</v>
      </c>
      <c r="P259" s="56">
        <v>0</v>
      </c>
      <c r="Q259" s="56">
        <v>1165</v>
      </c>
      <c r="R259" s="56">
        <v>0</v>
      </c>
      <c r="S259" s="56">
        <v>0</v>
      </c>
      <c r="T259" s="56" t="s">
        <v>3562</v>
      </c>
      <c r="U259" s="56">
        <v>1165</v>
      </c>
      <c r="V259" s="56" t="s">
        <v>3549</v>
      </c>
      <c r="W259" s="56" t="s">
        <v>3548</v>
      </c>
      <c r="X259" s="56" t="s">
        <v>3547</v>
      </c>
      <c r="Z259" s="56" t="s">
        <v>3546</v>
      </c>
      <c r="AA259" s="56" t="s">
        <v>6339</v>
      </c>
      <c r="AB259" s="56" t="s">
        <v>6338</v>
      </c>
      <c r="AC259" s="56" t="s">
        <v>3543</v>
      </c>
      <c r="AD259" s="56" t="s">
        <v>24</v>
      </c>
      <c r="AE259" s="56" t="s">
        <v>4145</v>
      </c>
      <c r="AF259" s="56" t="s">
        <v>6337</v>
      </c>
      <c r="AH259" s="56" t="s">
        <v>3542</v>
      </c>
      <c r="AI259" s="56" t="s">
        <v>3723</v>
      </c>
    </row>
    <row r="260" spans="1:35" ht="33" customHeight="1">
      <c r="A260" s="56" t="s">
        <v>6342</v>
      </c>
      <c r="B260" s="57">
        <v>44359.033101851855</v>
      </c>
      <c r="C260" s="56" t="s">
        <v>4512</v>
      </c>
      <c r="D260" s="56" t="s">
        <v>4511</v>
      </c>
      <c r="E260" s="56" t="s">
        <v>6341</v>
      </c>
      <c r="F260" s="56" t="s">
        <v>6340</v>
      </c>
      <c r="G260" s="58" t="s">
        <v>3171</v>
      </c>
      <c r="H260" s="56">
        <v>2</v>
      </c>
      <c r="I260" s="56" t="s">
        <v>3695</v>
      </c>
      <c r="J260" s="56">
        <v>399</v>
      </c>
      <c r="K260" s="56">
        <v>399</v>
      </c>
      <c r="P260" s="56">
        <v>0</v>
      </c>
      <c r="S260" s="56">
        <v>0</v>
      </c>
      <c r="T260" s="56" t="s">
        <v>3562</v>
      </c>
      <c r="V260" s="56" t="s">
        <v>3549</v>
      </c>
      <c r="W260" s="56" t="s">
        <v>3548</v>
      </c>
      <c r="X260" s="56" t="s">
        <v>3547</v>
      </c>
      <c r="Z260" s="56" t="s">
        <v>3546</v>
      </c>
      <c r="AA260" s="56" t="s">
        <v>6339</v>
      </c>
      <c r="AB260" s="56" t="s">
        <v>6338</v>
      </c>
      <c r="AC260" s="56" t="s">
        <v>3543</v>
      </c>
      <c r="AD260" s="56" t="s">
        <v>24</v>
      </c>
      <c r="AE260" s="56" t="s">
        <v>4145</v>
      </c>
      <c r="AF260" s="56" t="s">
        <v>6337</v>
      </c>
      <c r="AH260" s="56" t="s">
        <v>3542</v>
      </c>
      <c r="AI260" s="56" t="s">
        <v>3723</v>
      </c>
    </row>
    <row r="261" spans="1:35" ht="33" customHeight="1">
      <c r="A261" s="56" t="s">
        <v>6342</v>
      </c>
      <c r="B261" s="57">
        <v>44359.033101851855</v>
      </c>
      <c r="C261" s="56" t="s">
        <v>4512</v>
      </c>
      <c r="D261" s="56" t="s">
        <v>4511</v>
      </c>
      <c r="E261" s="56" t="s">
        <v>6341</v>
      </c>
      <c r="F261" s="56" t="s">
        <v>6340</v>
      </c>
      <c r="G261" s="58" t="s">
        <v>1512</v>
      </c>
      <c r="H261" s="56">
        <v>1</v>
      </c>
      <c r="I261" s="56" t="s">
        <v>3740</v>
      </c>
      <c r="J261" s="56">
        <v>220</v>
      </c>
      <c r="K261" s="56">
        <v>168</v>
      </c>
      <c r="P261" s="56">
        <v>0</v>
      </c>
      <c r="S261" s="56">
        <v>0</v>
      </c>
      <c r="T261" s="56" t="s">
        <v>3562</v>
      </c>
      <c r="V261" s="56" t="s">
        <v>3549</v>
      </c>
      <c r="W261" s="56" t="s">
        <v>3548</v>
      </c>
      <c r="X261" s="56" t="s">
        <v>3547</v>
      </c>
      <c r="Z261" s="56" t="s">
        <v>3546</v>
      </c>
      <c r="AA261" s="56" t="s">
        <v>6339</v>
      </c>
      <c r="AB261" s="56" t="s">
        <v>6338</v>
      </c>
      <c r="AC261" s="56" t="s">
        <v>3543</v>
      </c>
      <c r="AD261" s="56" t="s">
        <v>24</v>
      </c>
      <c r="AE261" s="56" t="s">
        <v>4145</v>
      </c>
      <c r="AF261" s="56" t="s">
        <v>6337</v>
      </c>
      <c r="AH261" s="56" t="s">
        <v>3542</v>
      </c>
      <c r="AI261" s="56" t="s">
        <v>3723</v>
      </c>
    </row>
    <row r="262" spans="1:35" ht="33" customHeight="1">
      <c r="A262" s="56" t="s">
        <v>6342</v>
      </c>
      <c r="B262" s="57">
        <v>44359.033101851855</v>
      </c>
      <c r="C262" s="56" t="s">
        <v>4512</v>
      </c>
      <c r="D262" s="56" t="s">
        <v>4511</v>
      </c>
      <c r="E262" s="56" t="s">
        <v>6341</v>
      </c>
      <c r="F262" s="56" t="s">
        <v>6340</v>
      </c>
      <c r="G262" s="58" t="s">
        <v>3551</v>
      </c>
      <c r="H262" s="56">
        <v>1</v>
      </c>
      <c r="I262" s="56" t="s">
        <v>3550</v>
      </c>
      <c r="J262" s="56">
        <v>0</v>
      </c>
      <c r="K262" s="56">
        <v>0</v>
      </c>
      <c r="P262" s="56">
        <v>0</v>
      </c>
      <c r="S262" s="56">
        <v>0</v>
      </c>
      <c r="T262" s="56" t="s">
        <v>3562</v>
      </c>
      <c r="V262" s="56" t="s">
        <v>3549</v>
      </c>
      <c r="W262" s="56" t="s">
        <v>3548</v>
      </c>
      <c r="X262" s="56" t="s">
        <v>3547</v>
      </c>
      <c r="Z262" s="56" t="s">
        <v>3546</v>
      </c>
      <c r="AA262" s="56" t="s">
        <v>6339</v>
      </c>
      <c r="AB262" s="56" t="s">
        <v>6338</v>
      </c>
      <c r="AC262" s="56" t="s">
        <v>3543</v>
      </c>
      <c r="AD262" s="56" t="s">
        <v>24</v>
      </c>
      <c r="AE262" s="56" t="s">
        <v>4145</v>
      </c>
      <c r="AF262" s="56" t="s">
        <v>6337</v>
      </c>
      <c r="AH262" s="56" t="s">
        <v>3542</v>
      </c>
      <c r="AI262" s="56" t="s">
        <v>3723</v>
      </c>
    </row>
    <row r="263" spans="1:35" ht="33" customHeight="1">
      <c r="A263" s="56" t="s">
        <v>6342</v>
      </c>
      <c r="B263" s="57">
        <v>44359.033101851855</v>
      </c>
      <c r="C263" s="56" t="s">
        <v>4512</v>
      </c>
      <c r="D263" s="56" t="s">
        <v>4511</v>
      </c>
      <c r="E263" s="56" t="s">
        <v>6341</v>
      </c>
      <c r="F263" s="56" t="s">
        <v>6340</v>
      </c>
      <c r="G263" s="58" t="s">
        <v>1500</v>
      </c>
      <c r="H263" s="56">
        <v>1</v>
      </c>
      <c r="I263" s="56" t="s">
        <v>6228</v>
      </c>
      <c r="J263" s="56">
        <v>0</v>
      </c>
      <c r="K263" s="56">
        <v>0</v>
      </c>
      <c r="P263" s="56">
        <v>0</v>
      </c>
      <c r="S263" s="56">
        <v>0</v>
      </c>
      <c r="T263" s="56" t="s">
        <v>3562</v>
      </c>
      <c r="V263" s="56" t="s">
        <v>3549</v>
      </c>
      <c r="W263" s="56" t="s">
        <v>3548</v>
      </c>
      <c r="X263" s="56" t="s">
        <v>3547</v>
      </c>
      <c r="Z263" s="56" t="s">
        <v>3546</v>
      </c>
      <c r="AA263" s="56" t="s">
        <v>6339</v>
      </c>
      <c r="AB263" s="56" t="s">
        <v>6338</v>
      </c>
      <c r="AC263" s="56" t="s">
        <v>3543</v>
      </c>
      <c r="AD263" s="56" t="s">
        <v>24</v>
      </c>
      <c r="AE263" s="56" t="s">
        <v>4145</v>
      </c>
      <c r="AF263" s="56" t="s">
        <v>6337</v>
      </c>
      <c r="AH263" s="56" t="s">
        <v>3542</v>
      </c>
      <c r="AI263" s="56" t="s">
        <v>3723</v>
      </c>
    </row>
    <row r="264" spans="1:35" ht="33" customHeight="1">
      <c r="A264" s="56" t="s">
        <v>6336</v>
      </c>
      <c r="B264" s="57">
        <v>44359.036516203705</v>
      </c>
      <c r="C264" s="56" t="s">
        <v>3803</v>
      </c>
      <c r="D264" s="56" t="s">
        <v>3802</v>
      </c>
      <c r="E264" s="56" t="s">
        <v>6335</v>
      </c>
      <c r="F264" s="56" t="s">
        <v>6334</v>
      </c>
      <c r="G264" s="58" t="s">
        <v>3955</v>
      </c>
      <c r="H264" s="56">
        <v>1</v>
      </c>
      <c r="I264" s="56" t="s">
        <v>3954</v>
      </c>
      <c r="J264" s="56">
        <v>499</v>
      </c>
      <c r="K264" s="56">
        <v>480</v>
      </c>
      <c r="L264" s="56">
        <v>1045</v>
      </c>
      <c r="M264" s="56">
        <v>60</v>
      </c>
      <c r="N264" s="56">
        <v>0</v>
      </c>
      <c r="O264" s="56">
        <v>105</v>
      </c>
      <c r="P264" s="56">
        <v>0</v>
      </c>
      <c r="Q264" s="56">
        <v>1000</v>
      </c>
      <c r="R264" s="56">
        <v>0</v>
      </c>
      <c r="S264" s="56">
        <v>0</v>
      </c>
      <c r="T264" s="56" t="s">
        <v>3562</v>
      </c>
      <c r="U264" s="56">
        <v>1000</v>
      </c>
      <c r="V264" s="56" t="s">
        <v>3561</v>
      </c>
      <c r="W264" s="56" t="s">
        <v>3548</v>
      </c>
      <c r="X264" s="56" t="s">
        <v>39</v>
      </c>
      <c r="Y264" s="56" t="s">
        <v>6333</v>
      </c>
      <c r="Z264" s="56" t="s">
        <v>6332</v>
      </c>
      <c r="AC264" s="56" t="s">
        <v>3543</v>
      </c>
      <c r="AD264" s="56" t="s">
        <v>24</v>
      </c>
      <c r="AE264" s="56" t="s">
        <v>6080</v>
      </c>
      <c r="AF264" s="56" t="s">
        <v>6331</v>
      </c>
      <c r="AH264" s="56" t="s">
        <v>3542</v>
      </c>
      <c r="AI264" s="56" t="s">
        <v>3723</v>
      </c>
    </row>
    <row r="265" spans="1:35" ht="33" customHeight="1">
      <c r="A265" s="56" t="s">
        <v>6336</v>
      </c>
      <c r="B265" s="57">
        <v>44359.036516203705</v>
      </c>
      <c r="C265" s="56" t="s">
        <v>3803</v>
      </c>
      <c r="D265" s="56" t="s">
        <v>3802</v>
      </c>
      <c r="E265" s="56" t="s">
        <v>6335</v>
      </c>
      <c r="F265" s="56" t="s">
        <v>6334</v>
      </c>
      <c r="G265" s="58" t="s">
        <v>3654</v>
      </c>
      <c r="H265" s="56">
        <v>1</v>
      </c>
      <c r="I265" s="56" t="s">
        <v>3653</v>
      </c>
      <c r="J265" s="56">
        <v>447</v>
      </c>
      <c r="K265" s="56">
        <v>430</v>
      </c>
      <c r="P265" s="56">
        <v>0</v>
      </c>
      <c r="S265" s="56">
        <v>0</v>
      </c>
      <c r="T265" s="56" t="s">
        <v>3562</v>
      </c>
      <c r="V265" s="56" t="s">
        <v>3561</v>
      </c>
      <c r="W265" s="56" t="s">
        <v>3548</v>
      </c>
      <c r="X265" s="56" t="s">
        <v>39</v>
      </c>
      <c r="Y265" s="56" t="s">
        <v>6333</v>
      </c>
      <c r="Z265" s="56" t="s">
        <v>6332</v>
      </c>
      <c r="AC265" s="56" t="s">
        <v>3543</v>
      </c>
      <c r="AD265" s="56" t="s">
        <v>24</v>
      </c>
      <c r="AE265" s="56" t="s">
        <v>6080</v>
      </c>
      <c r="AF265" s="56" t="s">
        <v>6331</v>
      </c>
      <c r="AH265" s="56" t="s">
        <v>3542</v>
      </c>
      <c r="AI265" s="56" t="s">
        <v>3723</v>
      </c>
    </row>
    <row r="266" spans="1:35" ht="33" customHeight="1">
      <c r="A266" s="56" t="s">
        <v>6336</v>
      </c>
      <c r="B266" s="57">
        <v>44359.036516203705</v>
      </c>
      <c r="C266" s="56" t="s">
        <v>3803</v>
      </c>
      <c r="D266" s="56" t="s">
        <v>3802</v>
      </c>
      <c r="E266" s="56" t="s">
        <v>6335</v>
      </c>
      <c r="F266" s="56" t="s">
        <v>6334</v>
      </c>
      <c r="G266" s="58" t="s">
        <v>1493</v>
      </c>
      <c r="H266" s="56">
        <v>1</v>
      </c>
      <c r="I266" s="56" t="s">
        <v>3601</v>
      </c>
      <c r="J266" s="56">
        <v>135</v>
      </c>
      <c r="K266" s="56">
        <v>135</v>
      </c>
      <c r="P266" s="56">
        <v>0</v>
      </c>
      <c r="S266" s="56">
        <v>0</v>
      </c>
      <c r="T266" s="56" t="s">
        <v>3562</v>
      </c>
      <c r="V266" s="56" t="s">
        <v>3561</v>
      </c>
      <c r="W266" s="56" t="s">
        <v>3548</v>
      </c>
      <c r="X266" s="56" t="s">
        <v>39</v>
      </c>
      <c r="Y266" s="56" t="s">
        <v>6333</v>
      </c>
      <c r="Z266" s="56" t="s">
        <v>6332</v>
      </c>
      <c r="AC266" s="56" t="s">
        <v>3543</v>
      </c>
      <c r="AD266" s="56" t="s">
        <v>24</v>
      </c>
      <c r="AE266" s="56" t="s">
        <v>6080</v>
      </c>
      <c r="AF266" s="56" t="s">
        <v>6331</v>
      </c>
      <c r="AH266" s="56" t="s">
        <v>3542</v>
      </c>
      <c r="AI266" s="56" t="s">
        <v>3723</v>
      </c>
    </row>
    <row r="267" spans="1:35" ht="33" customHeight="1">
      <c r="A267" s="56" t="s">
        <v>6330</v>
      </c>
      <c r="B267" s="57">
        <v>44359.044930555552</v>
      </c>
      <c r="C267" s="56" t="s">
        <v>3803</v>
      </c>
      <c r="D267" s="56" t="s">
        <v>4511</v>
      </c>
      <c r="E267" s="56" t="s">
        <v>4929</v>
      </c>
      <c r="F267" s="56" t="s">
        <v>4928</v>
      </c>
      <c r="G267" s="58" t="s">
        <v>3668</v>
      </c>
      <c r="H267" s="56">
        <v>1</v>
      </c>
      <c r="I267" s="56" t="s">
        <v>3577</v>
      </c>
      <c r="J267" s="56">
        <v>700</v>
      </c>
      <c r="K267" s="56">
        <v>599</v>
      </c>
      <c r="L267" s="56">
        <v>1198</v>
      </c>
      <c r="M267" s="56">
        <v>0</v>
      </c>
      <c r="N267" s="56">
        <v>0</v>
      </c>
      <c r="O267" s="56">
        <v>100</v>
      </c>
      <c r="P267" s="56">
        <v>0</v>
      </c>
      <c r="Q267" s="56">
        <v>1098</v>
      </c>
      <c r="R267" s="56">
        <v>0</v>
      </c>
      <c r="S267" s="56">
        <v>0</v>
      </c>
      <c r="T267" s="56" t="s">
        <v>3562</v>
      </c>
      <c r="U267" s="56">
        <v>1098</v>
      </c>
      <c r="V267" s="56" t="s">
        <v>59</v>
      </c>
      <c r="W267" s="56" t="s">
        <v>3548</v>
      </c>
      <c r="X267" s="56" t="s">
        <v>3716</v>
      </c>
      <c r="Z267" s="56" t="s">
        <v>3546</v>
      </c>
      <c r="AA267" s="56" t="s">
        <v>4927</v>
      </c>
      <c r="AB267" s="56" t="s">
        <v>4926</v>
      </c>
      <c r="AC267" s="56" t="s">
        <v>3842</v>
      </c>
      <c r="AD267" s="56" t="s">
        <v>24</v>
      </c>
      <c r="AE267" s="56" t="s">
        <v>6080</v>
      </c>
      <c r="AF267" s="56" t="s">
        <v>6329</v>
      </c>
      <c r="AH267" s="56" t="s">
        <v>3542</v>
      </c>
      <c r="AI267" s="56" t="s">
        <v>3723</v>
      </c>
    </row>
    <row r="268" spans="1:35" ht="33" customHeight="1">
      <c r="A268" s="56" t="s">
        <v>6330</v>
      </c>
      <c r="B268" s="57">
        <v>44359.044930555552</v>
      </c>
      <c r="C268" s="56" t="s">
        <v>3803</v>
      </c>
      <c r="D268" s="56" t="s">
        <v>4511</v>
      </c>
      <c r="E268" s="56" t="s">
        <v>4929</v>
      </c>
      <c r="F268" s="56" t="s">
        <v>4928</v>
      </c>
      <c r="G268" s="58" t="s">
        <v>3747</v>
      </c>
      <c r="H268" s="56">
        <v>1</v>
      </c>
      <c r="I268" s="56" t="s">
        <v>3746</v>
      </c>
      <c r="J268" s="56">
        <v>660</v>
      </c>
      <c r="K268" s="56">
        <v>450</v>
      </c>
      <c r="P268" s="56">
        <v>0</v>
      </c>
      <c r="S268" s="56">
        <v>0</v>
      </c>
      <c r="T268" s="56" t="s">
        <v>3562</v>
      </c>
      <c r="V268" s="56" t="s">
        <v>59</v>
      </c>
      <c r="W268" s="56" t="s">
        <v>3548</v>
      </c>
      <c r="X268" s="56" t="s">
        <v>3716</v>
      </c>
      <c r="Z268" s="56" t="s">
        <v>3546</v>
      </c>
      <c r="AA268" s="56" t="s">
        <v>4927</v>
      </c>
      <c r="AB268" s="56" t="s">
        <v>4926</v>
      </c>
      <c r="AC268" s="56" t="s">
        <v>3842</v>
      </c>
      <c r="AD268" s="56" t="s">
        <v>24</v>
      </c>
      <c r="AE268" s="56" t="s">
        <v>6080</v>
      </c>
      <c r="AF268" s="56" t="s">
        <v>6329</v>
      </c>
      <c r="AH268" s="56" t="s">
        <v>3542</v>
      </c>
      <c r="AI268" s="56" t="s">
        <v>3723</v>
      </c>
    </row>
    <row r="269" spans="1:35" ht="33" customHeight="1">
      <c r="A269" s="56" t="s">
        <v>6330</v>
      </c>
      <c r="B269" s="57">
        <v>44359.044930555552</v>
      </c>
      <c r="C269" s="56" t="s">
        <v>3803</v>
      </c>
      <c r="D269" s="56" t="s">
        <v>4511</v>
      </c>
      <c r="E269" s="56" t="s">
        <v>4929</v>
      </c>
      <c r="F269" s="56" t="s">
        <v>4928</v>
      </c>
      <c r="G269" s="58" t="s">
        <v>2156</v>
      </c>
      <c r="H269" s="56">
        <v>1</v>
      </c>
      <c r="I269" s="56" t="s">
        <v>1376</v>
      </c>
      <c r="J269" s="56">
        <v>149</v>
      </c>
      <c r="K269" s="56">
        <v>149</v>
      </c>
      <c r="P269" s="56">
        <v>0</v>
      </c>
      <c r="S269" s="56">
        <v>0</v>
      </c>
      <c r="T269" s="56" t="s">
        <v>3562</v>
      </c>
      <c r="V269" s="56" t="s">
        <v>59</v>
      </c>
      <c r="W269" s="56" t="s">
        <v>3548</v>
      </c>
      <c r="X269" s="56" t="s">
        <v>3716</v>
      </c>
      <c r="Z269" s="56" t="s">
        <v>3546</v>
      </c>
      <c r="AA269" s="56" t="s">
        <v>4927</v>
      </c>
      <c r="AB269" s="56" t="s">
        <v>4926</v>
      </c>
      <c r="AC269" s="56" t="s">
        <v>3842</v>
      </c>
      <c r="AD269" s="56" t="s">
        <v>24</v>
      </c>
      <c r="AE269" s="56" t="s">
        <v>6080</v>
      </c>
      <c r="AF269" s="56" t="s">
        <v>6329</v>
      </c>
      <c r="AH269" s="56" t="s">
        <v>3542</v>
      </c>
      <c r="AI269" s="56" t="s">
        <v>3723</v>
      </c>
    </row>
    <row r="270" spans="1:35" ht="33" customHeight="1">
      <c r="A270" s="56" t="s">
        <v>6330</v>
      </c>
      <c r="B270" s="57">
        <v>44359.044930555552</v>
      </c>
      <c r="C270" s="56" t="s">
        <v>3803</v>
      </c>
      <c r="D270" s="56" t="s">
        <v>4511</v>
      </c>
      <c r="E270" s="56" t="s">
        <v>4929</v>
      </c>
      <c r="F270" s="56" t="s">
        <v>4928</v>
      </c>
      <c r="G270" s="58" t="s">
        <v>3551</v>
      </c>
      <c r="H270" s="56">
        <v>1</v>
      </c>
      <c r="I270" s="56" t="s">
        <v>3550</v>
      </c>
      <c r="J270" s="56">
        <v>0</v>
      </c>
      <c r="K270" s="56">
        <v>0</v>
      </c>
      <c r="P270" s="56">
        <v>0</v>
      </c>
      <c r="S270" s="56">
        <v>0</v>
      </c>
      <c r="T270" s="56" t="s">
        <v>3562</v>
      </c>
      <c r="V270" s="56" t="s">
        <v>59</v>
      </c>
      <c r="W270" s="56" t="s">
        <v>3548</v>
      </c>
      <c r="X270" s="56" t="s">
        <v>3716</v>
      </c>
      <c r="Z270" s="56" t="s">
        <v>3546</v>
      </c>
      <c r="AA270" s="56" t="s">
        <v>4927</v>
      </c>
      <c r="AB270" s="56" t="s">
        <v>4926</v>
      </c>
      <c r="AC270" s="56" t="s">
        <v>3842</v>
      </c>
      <c r="AD270" s="56" t="s">
        <v>24</v>
      </c>
      <c r="AE270" s="56" t="s">
        <v>6080</v>
      </c>
      <c r="AF270" s="56" t="s">
        <v>6329</v>
      </c>
      <c r="AH270" s="56" t="s">
        <v>3542</v>
      </c>
      <c r="AI270" s="56" t="s">
        <v>3723</v>
      </c>
    </row>
    <row r="271" spans="1:35" ht="33" customHeight="1">
      <c r="A271" s="56" t="s">
        <v>6330</v>
      </c>
      <c r="B271" s="57">
        <v>44359.044930555552</v>
      </c>
      <c r="C271" s="56" t="s">
        <v>3803</v>
      </c>
      <c r="D271" s="56" t="s">
        <v>4511</v>
      </c>
      <c r="E271" s="56" t="s">
        <v>4929</v>
      </c>
      <c r="F271" s="56" t="s">
        <v>4928</v>
      </c>
      <c r="G271" s="58" t="s">
        <v>1500</v>
      </c>
      <c r="H271" s="56">
        <v>1</v>
      </c>
      <c r="I271" s="56" t="s">
        <v>6228</v>
      </c>
      <c r="J271" s="56">
        <v>0</v>
      </c>
      <c r="K271" s="56">
        <v>0</v>
      </c>
      <c r="P271" s="56">
        <v>0</v>
      </c>
      <c r="S271" s="56">
        <v>0</v>
      </c>
      <c r="T271" s="56" t="s">
        <v>3562</v>
      </c>
      <c r="V271" s="56" t="s">
        <v>59</v>
      </c>
      <c r="W271" s="56" t="s">
        <v>3548</v>
      </c>
      <c r="X271" s="56" t="s">
        <v>3716</v>
      </c>
      <c r="Z271" s="56" t="s">
        <v>3546</v>
      </c>
      <c r="AA271" s="56" t="s">
        <v>4927</v>
      </c>
      <c r="AB271" s="56" t="s">
        <v>4926</v>
      </c>
      <c r="AC271" s="56" t="s">
        <v>3842</v>
      </c>
      <c r="AD271" s="56" t="s">
        <v>24</v>
      </c>
      <c r="AE271" s="56" t="s">
        <v>6080</v>
      </c>
      <c r="AF271" s="56" t="s">
        <v>6329</v>
      </c>
      <c r="AH271" s="56" t="s">
        <v>3542</v>
      </c>
      <c r="AI271" s="56" t="s">
        <v>3723</v>
      </c>
    </row>
    <row r="272" spans="1:35" ht="33" customHeight="1">
      <c r="A272" s="56" t="s">
        <v>6328</v>
      </c>
      <c r="B272" s="57">
        <v>44359.066712962966</v>
      </c>
      <c r="C272" s="56" t="s">
        <v>4512</v>
      </c>
      <c r="D272" s="56" t="s">
        <v>4511</v>
      </c>
      <c r="E272" s="56" t="s">
        <v>6327</v>
      </c>
      <c r="F272" s="56" t="s">
        <v>6326</v>
      </c>
      <c r="G272" s="58" t="s">
        <v>3811</v>
      </c>
      <c r="H272" s="56">
        <v>2</v>
      </c>
      <c r="I272" s="56" t="s">
        <v>3669</v>
      </c>
      <c r="J272" s="56">
        <v>897</v>
      </c>
      <c r="K272" s="56">
        <v>888</v>
      </c>
      <c r="L272" s="56">
        <v>2075</v>
      </c>
      <c r="M272" s="56">
        <v>0</v>
      </c>
      <c r="N272" s="56">
        <v>0</v>
      </c>
      <c r="O272" s="56">
        <v>100</v>
      </c>
      <c r="P272" s="56">
        <v>0</v>
      </c>
      <c r="Q272" s="56">
        <v>1975</v>
      </c>
      <c r="R272" s="56">
        <v>0</v>
      </c>
      <c r="S272" s="56">
        <v>0</v>
      </c>
      <c r="T272" s="56" t="s">
        <v>3562</v>
      </c>
      <c r="U272" s="56">
        <v>1975</v>
      </c>
      <c r="V272" s="56" t="s">
        <v>3549</v>
      </c>
      <c r="W272" s="56" t="s">
        <v>3548</v>
      </c>
      <c r="X272" s="56" t="s">
        <v>3547</v>
      </c>
      <c r="Z272" s="56" t="s">
        <v>3546</v>
      </c>
      <c r="AA272" s="56" t="s">
        <v>6325</v>
      </c>
      <c r="AB272" s="56" t="s">
        <v>6324</v>
      </c>
      <c r="AC272" s="56" t="s">
        <v>3543</v>
      </c>
      <c r="AD272" s="56" t="s">
        <v>24</v>
      </c>
      <c r="AE272" s="56" t="s">
        <v>4145</v>
      </c>
      <c r="AF272" s="56" t="s">
        <v>6323</v>
      </c>
      <c r="AH272" s="56" t="s">
        <v>3542</v>
      </c>
      <c r="AI272" s="56" t="s">
        <v>3723</v>
      </c>
    </row>
    <row r="273" spans="1:35" ht="33" customHeight="1">
      <c r="A273" s="56" t="s">
        <v>6328</v>
      </c>
      <c r="B273" s="57">
        <v>44359.066712962966</v>
      </c>
      <c r="C273" s="56" t="s">
        <v>4512</v>
      </c>
      <c r="D273" s="56" t="s">
        <v>4511</v>
      </c>
      <c r="E273" s="56" t="s">
        <v>6327</v>
      </c>
      <c r="F273" s="56" t="s">
        <v>6326</v>
      </c>
      <c r="G273" s="58" t="s">
        <v>1508</v>
      </c>
      <c r="H273" s="56">
        <v>1</v>
      </c>
      <c r="I273" s="56" t="s">
        <v>3696</v>
      </c>
      <c r="J273" s="56">
        <v>299</v>
      </c>
      <c r="K273" s="56">
        <v>299</v>
      </c>
      <c r="P273" s="56">
        <v>0</v>
      </c>
      <c r="S273" s="56">
        <v>0</v>
      </c>
      <c r="T273" s="56" t="s">
        <v>3562</v>
      </c>
      <c r="V273" s="56" t="s">
        <v>3549</v>
      </c>
      <c r="W273" s="56" t="s">
        <v>3548</v>
      </c>
      <c r="X273" s="56" t="s">
        <v>3547</v>
      </c>
      <c r="Z273" s="56" t="s">
        <v>3546</v>
      </c>
      <c r="AA273" s="56" t="s">
        <v>6325</v>
      </c>
      <c r="AB273" s="56" t="s">
        <v>6324</v>
      </c>
      <c r="AC273" s="56" t="s">
        <v>3543</v>
      </c>
      <c r="AD273" s="56" t="s">
        <v>24</v>
      </c>
      <c r="AE273" s="56" t="s">
        <v>4145</v>
      </c>
      <c r="AF273" s="56" t="s">
        <v>6323</v>
      </c>
      <c r="AH273" s="56" t="s">
        <v>3542</v>
      </c>
      <c r="AI273" s="56" t="s">
        <v>3723</v>
      </c>
    </row>
    <row r="274" spans="1:35" ht="33" customHeight="1">
      <c r="A274" s="56" t="s">
        <v>6328</v>
      </c>
      <c r="B274" s="57">
        <v>44359.066712962966</v>
      </c>
      <c r="C274" s="56" t="s">
        <v>4512</v>
      </c>
      <c r="D274" s="56" t="s">
        <v>4511</v>
      </c>
      <c r="E274" s="56" t="s">
        <v>6327</v>
      </c>
      <c r="F274" s="56" t="s">
        <v>6326</v>
      </c>
      <c r="G274" s="58" t="s">
        <v>3551</v>
      </c>
      <c r="H274" s="56">
        <v>1</v>
      </c>
      <c r="I274" s="56" t="s">
        <v>3550</v>
      </c>
      <c r="J274" s="56">
        <v>0</v>
      </c>
      <c r="K274" s="56">
        <v>0</v>
      </c>
      <c r="P274" s="56">
        <v>0</v>
      </c>
      <c r="S274" s="56">
        <v>0</v>
      </c>
      <c r="T274" s="56" t="s">
        <v>3562</v>
      </c>
      <c r="V274" s="56" t="s">
        <v>3549</v>
      </c>
      <c r="W274" s="56" t="s">
        <v>3548</v>
      </c>
      <c r="X274" s="56" t="s">
        <v>3547</v>
      </c>
      <c r="Z274" s="56" t="s">
        <v>3546</v>
      </c>
      <c r="AA274" s="56" t="s">
        <v>6325</v>
      </c>
      <c r="AB274" s="56" t="s">
        <v>6324</v>
      </c>
      <c r="AC274" s="56" t="s">
        <v>3543</v>
      </c>
      <c r="AD274" s="56" t="s">
        <v>24</v>
      </c>
      <c r="AE274" s="56" t="s">
        <v>4145</v>
      </c>
      <c r="AF274" s="56" t="s">
        <v>6323</v>
      </c>
      <c r="AH274" s="56" t="s">
        <v>3542</v>
      </c>
      <c r="AI274" s="56" t="s">
        <v>3723</v>
      </c>
    </row>
    <row r="275" spans="1:35" ht="33" customHeight="1">
      <c r="A275" s="56" t="s">
        <v>6328</v>
      </c>
      <c r="B275" s="57">
        <v>44359.066712962966</v>
      </c>
      <c r="C275" s="56" t="s">
        <v>4512</v>
      </c>
      <c r="D275" s="56" t="s">
        <v>4511</v>
      </c>
      <c r="E275" s="56" t="s">
        <v>6327</v>
      </c>
      <c r="F275" s="56" t="s">
        <v>6326</v>
      </c>
      <c r="G275" s="58" t="s">
        <v>1713</v>
      </c>
      <c r="H275" s="56">
        <v>1</v>
      </c>
      <c r="I275" s="56" t="s">
        <v>3568</v>
      </c>
      <c r="J275" s="56">
        <v>0</v>
      </c>
      <c r="K275" s="56">
        <v>0</v>
      </c>
      <c r="P275" s="56">
        <v>0</v>
      </c>
      <c r="S275" s="56">
        <v>0</v>
      </c>
      <c r="T275" s="56" t="s">
        <v>3562</v>
      </c>
      <c r="V275" s="56" t="s">
        <v>3549</v>
      </c>
      <c r="W275" s="56" t="s">
        <v>3548</v>
      </c>
      <c r="X275" s="56" t="s">
        <v>3547</v>
      </c>
      <c r="Z275" s="56" t="s">
        <v>3546</v>
      </c>
      <c r="AA275" s="56" t="s">
        <v>6325</v>
      </c>
      <c r="AB275" s="56" t="s">
        <v>6324</v>
      </c>
      <c r="AC275" s="56" t="s">
        <v>3543</v>
      </c>
      <c r="AD275" s="56" t="s">
        <v>24</v>
      </c>
      <c r="AE275" s="56" t="s">
        <v>4145</v>
      </c>
      <c r="AF275" s="56" t="s">
        <v>6323</v>
      </c>
      <c r="AH275" s="56" t="s">
        <v>3542</v>
      </c>
      <c r="AI275" s="56" t="s">
        <v>3723</v>
      </c>
    </row>
    <row r="276" spans="1:35" ht="33" customHeight="1">
      <c r="A276" s="56" t="s">
        <v>6328</v>
      </c>
      <c r="B276" s="57">
        <v>44359.066712962966</v>
      </c>
      <c r="C276" s="56" t="s">
        <v>4512</v>
      </c>
      <c r="D276" s="56" t="s">
        <v>4511</v>
      </c>
      <c r="E276" s="56" t="s">
        <v>6327</v>
      </c>
      <c r="F276" s="56" t="s">
        <v>6326</v>
      </c>
      <c r="G276" s="58" t="s">
        <v>1500</v>
      </c>
      <c r="H276" s="56">
        <v>1</v>
      </c>
      <c r="I276" s="56" t="s">
        <v>6228</v>
      </c>
      <c r="J276" s="56">
        <v>0</v>
      </c>
      <c r="K276" s="56">
        <v>0</v>
      </c>
      <c r="P276" s="56">
        <v>0</v>
      </c>
      <c r="S276" s="56">
        <v>0</v>
      </c>
      <c r="T276" s="56" t="s">
        <v>3562</v>
      </c>
      <c r="V276" s="56" t="s">
        <v>3549</v>
      </c>
      <c r="W276" s="56" t="s">
        <v>3548</v>
      </c>
      <c r="X276" s="56" t="s">
        <v>3547</v>
      </c>
      <c r="Z276" s="56" t="s">
        <v>3546</v>
      </c>
      <c r="AA276" s="56" t="s">
        <v>6325</v>
      </c>
      <c r="AB276" s="56" t="s">
        <v>6324</v>
      </c>
      <c r="AC276" s="56" t="s">
        <v>3543</v>
      </c>
      <c r="AD276" s="56" t="s">
        <v>24</v>
      </c>
      <c r="AE276" s="56" t="s">
        <v>4145</v>
      </c>
      <c r="AF276" s="56" t="s">
        <v>6323</v>
      </c>
      <c r="AH276" s="56" t="s">
        <v>3542</v>
      </c>
      <c r="AI276" s="56" t="s">
        <v>3723</v>
      </c>
    </row>
    <row r="277" spans="1:35" ht="33" customHeight="1">
      <c r="A277" s="56" t="s">
        <v>6328</v>
      </c>
      <c r="B277" s="57">
        <v>44359.066712962966</v>
      </c>
      <c r="C277" s="56" t="s">
        <v>4512</v>
      </c>
      <c r="D277" s="56" t="s">
        <v>4511</v>
      </c>
      <c r="E277" s="56" t="s">
        <v>6327</v>
      </c>
      <c r="F277" s="56" t="s">
        <v>6326</v>
      </c>
      <c r="G277" s="58" t="s">
        <v>3564</v>
      </c>
      <c r="H277" s="56">
        <v>1</v>
      </c>
      <c r="I277" s="56" t="s">
        <v>3563</v>
      </c>
      <c r="J277" s="56">
        <v>0</v>
      </c>
      <c r="K277" s="56">
        <v>0</v>
      </c>
      <c r="P277" s="56">
        <v>0</v>
      </c>
      <c r="S277" s="56">
        <v>0</v>
      </c>
      <c r="T277" s="56" t="s">
        <v>3562</v>
      </c>
      <c r="V277" s="56" t="s">
        <v>3549</v>
      </c>
      <c r="W277" s="56" t="s">
        <v>3548</v>
      </c>
      <c r="X277" s="56" t="s">
        <v>3547</v>
      </c>
      <c r="Z277" s="56" t="s">
        <v>3546</v>
      </c>
      <c r="AA277" s="56" t="s">
        <v>6325</v>
      </c>
      <c r="AB277" s="56" t="s">
        <v>6324</v>
      </c>
      <c r="AC277" s="56" t="s">
        <v>3543</v>
      </c>
      <c r="AD277" s="56" t="s">
        <v>24</v>
      </c>
      <c r="AE277" s="56" t="s">
        <v>4145</v>
      </c>
      <c r="AF277" s="56" t="s">
        <v>6323</v>
      </c>
      <c r="AH277" s="56" t="s">
        <v>3542</v>
      </c>
      <c r="AI277" s="56" t="s">
        <v>3723</v>
      </c>
    </row>
    <row r="278" spans="1:35" ht="33" customHeight="1">
      <c r="A278" s="56" t="s">
        <v>6322</v>
      </c>
      <c r="B278" s="57">
        <v>44359.100949074076</v>
      </c>
      <c r="C278" s="56" t="s">
        <v>4512</v>
      </c>
      <c r="D278" s="56" t="s">
        <v>4511</v>
      </c>
      <c r="E278" s="56" t="s">
        <v>6321</v>
      </c>
      <c r="F278" s="56" t="s">
        <v>6320</v>
      </c>
      <c r="G278" s="58" t="s">
        <v>3593</v>
      </c>
      <c r="H278" s="56">
        <v>1</v>
      </c>
      <c r="I278" s="56" t="s">
        <v>3577</v>
      </c>
      <c r="J278" s="56">
        <v>700</v>
      </c>
      <c r="K278" s="56">
        <v>599</v>
      </c>
      <c r="L278" s="56">
        <v>1198</v>
      </c>
      <c r="M278" s="56">
        <v>0</v>
      </c>
      <c r="N278" s="56">
        <v>0</v>
      </c>
      <c r="O278" s="56">
        <v>100</v>
      </c>
      <c r="P278" s="56">
        <v>0</v>
      </c>
      <c r="Q278" s="56">
        <v>1098</v>
      </c>
      <c r="R278" s="56">
        <v>0</v>
      </c>
      <c r="S278" s="56">
        <v>0</v>
      </c>
      <c r="T278" s="56" t="s">
        <v>3562</v>
      </c>
      <c r="U278" s="56">
        <v>1098</v>
      </c>
      <c r="V278" s="56" t="s">
        <v>3549</v>
      </c>
      <c r="W278" s="56" t="s">
        <v>3548</v>
      </c>
      <c r="X278" s="56" t="s">
        <v>3547</v>
      </c>
      <c r="Z278" s="56" t="s">
        <v>3546</v>
      </c>
      <c r="AA278" s="56" t="s">
        <v>6319</v>
      </c>
      <c r="AB278" s="56" t="s">
        <v>6318</v>
      </c>
      <c r="AC278" s="56" t="s">
        <v>3543</v>
      </c>
      <c r="AD278" s="56" t="s">
        <v>24</v>
      </c>
      <c r="AE278" s="56" t="s">
        <v>3862</v>
      </c>
      <c r="AF278" s="56" t="s">
        <v>6317</v>
      </c>
      <c r="AH278" s="56" t="s">
        <v>3542</v>
      </c>
      <c r="AI278" s="56" t="s">
        <v>3723</v>
      </c>
    </row>
    <row r="279" spans="1:35" ht="33" customHeight="1">
      <c r="A279" s="56" t="s">
        <v>6322</v>
      </c>
      <c r="B279" s="57">
        <v>44359.100949074076</v>
      </c>
      <c r="C279" s="56" t="s">
        <v>4512</v>
      </c>
      <c r="D279" s="56" t="s">
        <v>4511</v>
      </c>
      <c r="E279" s="56" t="s">
        <v>6321</v>
      </c>
      <c r="F279" s="56" t="s">
        <v>6320</v>
      </c>
      <c r="G279" s="58" t="s">
        <v>3578</v>
      </c>
      <c r="H279" s="56">
        <v>1</v>
      </c>
      <c r="I279" s="56" t="s">
        <v>3577</v>
      </c>
      <c r="J279" s="56">
        <v>700</v>
      </c>
      <c r="K279" s="56">
        <v>599</v>
      </c>
      <c r="P279" s="56">
        <v>0</v>
      </c>
      <c r="S279" s="56">
        <v>0</v>
      </c>
      <c r="T279" s="56" t="s">
        <v>3562</v>
      </c>
      <c r="V279" s="56" t="s">
        <v>3549</v>
      </c>
      <c r="W279" s="56" t="s">
        <v>3548</v>
      </c>
      <c r="X279" s="56" t="s">
        <v>3547</v>
      </c>
      <c r="Z279" s="56" t="s">
        <v>3546</v>
      </c>
      <c r="AA279" s="56" t="s">
        <v>6319</v>
      </c>
      <c r="AB279" s="56" t="s">
        <v>6318</v>
      </c>
      <c r="AC279" s="56" t="s">
        <v>3543</v>
      </c>
      <c r="AD279" s="56" t="s">
        <v>24</v>
      </c>
      <c r="AE279" s="56" t="s">
        <v>3862</v>
      </c>
      <c r="AF279" s="56" t="s">
        <v>6317</v>
      </c>
      <c r="AH279" s="56" t="s">
        <v>3542</v>
      </c>
      <c r="AI279" s="56" t="s">
        <v>3723</v>
      </c>
    </row>
    <row r="280" spans="1:35" ht="33" customHeight="1">
      <c r="A280" s="56" t="s">
        <v>6322</v>
      </c>
      <c r="B280" s="57">
        <v>44359.100949074076</v>
      </c>
      <c r="C280" s="56" t="s">
        <v>4512</v>
      </c>
      <c r="D280" s="56" t="s">
        <v>4511</v>
      </c>
      <c r="E280" s="56" t="s">
        <v>6321</v>
      </c>
      <c r="F280" s="56" t="s">
        <v>6320</v>
      </c>
      <c r="G280" s="58" t="s">
        <v>3551</v>
      </c>
      <c r="H280" s="56">
        <v>1</v>
      </c>
      <c r="I280" s="56" t="s">
        <v>3550</v>
      </c>
      <c r="J280" s="56">
        <v>0</v>
      </c>
      <c r="K280" s="56">
        <v>0</v>
      </c>
      <c r="P280" s="56">
        <v>0</v>
      </c>
      <c r="S280" s="56">
        <v>0</v>
      </c>
      <c r="T280" s="56" t="s">
        <v>3562</v>
      </c>
      <c r="V280" s="56" t="s">
        <v>3549</v>
      </c>
      <c r="W280" s="56" t="s">
        <v>3548</v>
      </c>
      <c r="X280" s="56" t="s">
        <v>3547</v>
      </c>
      <c r="Z280" s="56" t="s">
        <v>3546</v>
      </c>
      <c r="AA280" s="56" t="s">
        <v>6319</v>
      </c>
      <c r="AB280" s="56" t="s">
        <v>6318</v>
      </c>
      <c r="AC280" s="56" t="s">
        <v>3543</v>
      </c>
      <c r="AD280" s="56" t="s">
        <v>24</v>
      </c>
      <c r="AE280" s="56" t="s">
        <v>3862</v>
      </c>
      <c r="AF280" s="56" t="s">
        <v>6317</v>
      </c>
      <c r="AH280" s="56" t="s">
        <v>3542</v>
      </c>
      <c r="AI280" s="56" t="s">
        <v>3723</v>
      </c>
    </row>
    <row r="281" spans="1:35" ht="33" customHeight="1">
      <c r="A281" s="56" t="s">
        <v>6322</v>
      </c>
      <c r="B281" s="57">
        <v>44359.100949074076</v>
      </c>
      <c r="C281" s="56" t="s">
        <v>4512</v>
      </c>
      <c r="D281" s="56" t="s">
        <v>4511</v>
      </c>
      <c r="E281" s="56" t="s">
        <v>6321</v>
      </c>
      <c r="F281" s="56" t="s">
        <v>6320</v>
      </c>
      <c r="G281" s="58" t="s">
        <v>1500</v>
      </c>
      <c r="H281" s="56">
        <v>1</v>
      </c>
      <c r="I281" s="56" t="s">
        <v>6228</v>
      </c>
      <c r="J281" s="56">
        <v>0</v>
      </c>
      <c r="K281" s="56">
        <v>0</v>
      </c>
      <c r="P281" s="56">
        <v>0</v>
      </c>
      <c r="S281" s="56">
        <v>0</v>
      </c>
      <c r="T281" s="56" t="s">
        <v>3562</v>
      </c>
      <c r="V281" s="56" t="s">
        <v>3549</v>
      </c>
      <c r="W281" s="56" t="s">
        <v>3548</v>
      </c>
      <c r="X281" s="56" t="s">
        <v>3547</v>
      </c>
      <c r="Z281" s="56" t="s">
        <v>3546</v>
      </c>
      <c r="AA281" s="56" t="s">
        <v>6319</v>
      </c>
      <c r="AB281" s="56" t="s">
        <v>6318</v>
      </c>
      <c r="AC281" s="56" t="s">
        <v>3543</v>
      </c>
      <c r="AD281" s="56" t="s">
        <v>24</v>
      </c>
      <c r="AE281" s="56" t="s">
        <v>3862</v>
      </c>
      <c r="AF281" s="56" t="s">
        <v>6317</v>
      </c>
      <c r="AH281" s="56" t="s">
        <v>3542</v>
      </c>
      <c r="AI281" s="56" t="s">
        <v>3723</v>
      </c>
    </row>
    <row r="282" spans="1:35" ht="33" customHeight="1">
      <c r="A282" s="56" t="s">
        <v>6316</v>
      </c>
      <c r="B282" s="57">
        <v>44359.172118055554</v>
      </c>
      <c r="C282" s="56" t="s">
        <v>3803</v>
      </c>
      <c r="D282" s="56" t="s">
        <v>3802</v>
      </c>
      <c r="E282" s="56" t="s">
        <v>6315</v>
      </c>
      <c r="F282" s="56" t="s">
        <v>6314</v>
      </c>
      <c r="G282" s="58" t="s">
        <v>3171</v>
      </c>
      <c r="H282" s="56">
        <v>4</v>
      </c>
      <c r="I282" s="56" t="s">
        <v>3695</v>
      </c>
      <c r="J282" s="56">
        <v>399</v>
      </c>
      <c r="K282" s="56">
        <v>399</v>
      </c>
      <c r="L282" s="56">
        <v>1596</v>
      </c>
      <c r="M282" s="56">
        <v>60</v>
      </c>
      <c r="N282" s="56">
        <v>0</v>
      </c>
      <c r="O282" s="56">
        <v>155</v>
      </c>
      <c r="P282" s="56">
        <v>0</v>
      </c>
      <c r="Q282" s="56">
        <v>1501</v>
      </c>
      <c r="R282" s="56">
        <v>0</v>
      </c>
      <c r="S282" s="56">
        <v>0</v>
      </c>
      <c r="T282" s="56" t="s">
        <v>3562</v>
      </c>
      <c r="U282" s="56">
        <v>1501</v>
      </c>
      <c r="V282" s="56" t="s">
        <v>3561</v>
      </c>
      <c r="W282" s="56" t="s">
        <v>3548</v>
      </c>
      <c r="X282" s="56" t="s">
        <v>39</v>
      </c>
      <c r="Y282" s="56" t="s">
        <v>3830</v>
      </c>
      <c r="Z282" s="56" t="s">
        <v>6313</v>
      </c>
      <c r="AC282" s="56" t="s">
        <v>3543</v>
      </c>
      <c r="AD282" s="56" t="s">
        <v>24</v>
      </c>
      <c r="AE282" s="56" t="s">
        <v>6080</v>
      </c>
      <c r="AF282" s="56" t="s">
        <v>6312</v>
      </c>
      <c r="AH282" s="56" t="s">
        <v>3542</v>
      </c>
      <c r="AI282" s="56" t="s">
        <v>3723</v>
      </c>
    </row>
    <row r="283" spans="1:35" ht="33" customHeight="1">
      <c r="A283" s="56" t="s">
        <v>6310</v>
      </c>
      <c r="B283" s="57">
        <v>44359.17560185185</v>
      </c>
      <c r="C283" s="56" t="s">
        <v>3803</v>
      </c>
      <c r="D283" s="56" t="s">
        <v>4511</v>
      </c>
      <c r="E283" s="56" t="s">
        <v>6309</v>
      </c>
      <c r="F283" s="56" t="s">
        <v>6308</v>
      </c>
      <c r="G283" s="58" t="s">
        <v>6311</v>
      </c>
      <c r="H283" s="56">
        <v>1</v>
      </c>
      <c r="I283" s="56" t="s">
        <v>3669</v>
      </c>
      <c r="J283" s="56">
        <v>897</v>
      </c>
      <c r="K283" s="56">
        <v>888</v>
      </c>
      <c r="L283" s="56">
        <v>1776</v>
      </c>
      <c r="M283" s="56">
        <v>0</v>
      </c>
      <c r="N283" s="56">
        <v>0</v>
      </c>
      <c r="O283" s="56">
        <v>160</v>
      </c>
      <c r="P283" s="56">
        <v>0</v>
      </c>
      <c r="Q283" s="56">
        <v>1616</v>
      </c>
      <c r="R283" s="56">
        <v>0</v>
      </c>
      <c r="S283" s="56">
        <v>0</v>
      </c>
      <c r="T283" s="56" t="s">
        <v>3562</v>
      </c>
      <c r="U283" s="56">
        <v>1616</v>
      </c>
      <c r="V283" s="56" t="s">
        <v>3865</v>
      </c>
      <c r="W283" s="56" t="s">
        <v>3548</v>
      </c>
      <c r="X283" s="56" t="s">
        <v>3716</v>
      </c>
      <c r="Z283" s="56" t="s">
        <v>3546</v>
      </c>
      <c r="AA283" s="56" t="s">
        <v>6307</v>
      </c>
      <c r="AB283" s="56" t="s">
        <v>6306</v>
      </c>
      <c r="AC283" s="56" t="s">
        <v>3543</v>
      </c>
      <c r="AD283" s="56" t="s">
        <v>24</v>
      </c>
      <c r="AE283" s="56" t="s">
        <v>6080</v>
      </c>
      <c r="AF283" s="56" t="s">
        <v>6305</v>
      </c>
      <c r="AH283" s="56" t="s">
        <v>3542</v>
      </c>
      <c r="AI283" s="56" t="s">
        <v>3723</v>
      </c>
    </row>
    <row r="284" spans="1:35" ht="33" customHeight="1">
      <c r="A284" s="56" t="s">
        <v>6310</v>
      </c>
      <c r="B284" s="57">
        <v>44359.17560185185</v>
      </c>
      <c r="C284" s="56" t="s">
        <v>3803</v>
      </c>
      <c r="D284" s="56" t="s">
        <v>4511</v>
      </c>
      <c r="E284" s="56" t="s">
        <v>6309</v>
      </c>
      <c r="F284" s="56" t="s">
        <v>6308</v>
      </c>
      <c r="G284" s="58" t="s">
        <v>4283</v>
      </c>
      <c r="H284" s="56">
        <v>1</v>
      </c>
      <c r="I284" s="56" t="s">
        <v>3669</v>
      </c>
      <c r="J284" s="56">
        <v>897</v>
      </c>
      <c r="K284" s="56">
        <v>888</v>
      </c>
      <c r="P284" s="56">
        <v>0</v>
      </c>
      <c r="S284" s="56">
        <v>0</v>
      </c>
      <c r="T284" s="56" t="s">
        <v>3562</v>
      </c>
      <c r="V284" s="56" t="s">
        <v>3865</v>
      </c>
      <c r="W284" s="56" t="s">
        <v>3548</v>
      </c>
      <c r="X284" s="56" t="s">
        <v>3716</v>
      </c>
      <c r="Z284" s="56" t="s">
        <v>3546</v>
      </c>
      <c r="AA284" s="56" t="s">
        <v>6307</v>
      </c>
      <c r="AB284" s="56" t="s">
        <v>6306</v>
      </c>
      <c r="AC284" s="56" t="s">
        <v>3543</v>
      </c>
      <c r="AD284" s="56" t="s">
        <v>24</v>
      </c>
      <c r="AE284" s="56" t="s">
        <v>6080</v>
      </c>
      <c r="AF284" s="56" t="s">
        <v>6305</v>
      </c>
      <c r="AH284" s="56" t="s">
        <v>3542</v>
      </c>
      <c r="AI284" s="56" t="s">
        <v>3723</v>
      </c>
    </row>
    <row r="285" spans="1:35" ht="33" customHeight="1">
      <c r="A285" s="56" t="s">
        <v>6310</v>
      </c>
      <c r="B285" s="57">
        <v>44359.17560185185</v>
      </c>
      <c r="C285" s="56" t="s">
        <v>3803</v>
      </c>
      <c r="D285" s="56" t="s">
        <v>4511</v>
      </c>
      <c r="E285" s="56" t="s">
        <v>6309</v>
      </c>
      <c r="F285" s="56" t="s">
        <v>6308</v>
      </c>
      <c r="G285" s="58" t="s">
        <v>3551</v>
      </c>
      <c r="H285" s="56">
        <v>1</v>
      </c>
      <c r="I285" s="56" t="s">
        <v>3550</v>
      </c>
      <c r="J285" s="56">
        <v>0</v>
      </c>
      <c r="K285" s="56">
        <v>0</v>
      </c>
      <c r="P285" s="56">
        <v>0</v>
      </c>
      <c r="S285" s="56">
        <v>0</v>
      </c>
      <c r="T285" s="56" t="s">
        <v>3562</v>
      </c>
      <c r="V285" s="56" t="s">
        <v>3865</v>
      </c>
      <c r="W285" s="56" t="s">
        <v>3548</v>
      </c>
      <c r="X285" s="56" t="s">
        <v>3716</v>
      </c>
      <c r="Z285" s="56" t="s">
        <v>3546</v>
      </c>
      <c r="AA285" s="56" t="s">
        <v>6307</v>
      </c>
      <c r="AB285" s="56" t="s">
        <v>6306</v>
      </c>
      <c r="AC285" s="56" t="s">
        <v>3543</v>
      </c>
      <c r="AD285" s="56" t="s">
        <v>24</v>
      </c>
      <c r="AE285" s="56" t="s">
        <v>6080</v>
      </c>
      <c r="AF285" s="56" t="s">
        <v>6305</v>
      </c>
      <c r="AH285" s="56" t="s">
        <v>3542</v>
      </c>
      <c r="AI285" s="56" t="s">
        <v>3723</v>
      </c>
    </row>
    <row r="286" spans="1:35" ht="33" customHeight="1">
      <c r="A286" s="56" t="s">
        <v>6310</v>
      </c>
      <c r="B286" s="57">
        <v>44359.17560185185</v>
      </c>
      <c r="C286" s="56" t="s">
        <v>3803</v>
      </c>
      <c r="D286" s="56" t="s">
        <v>4511</v>
      </c>
      <c r="E286" s="56" t="s">
        <v>6309</v>
      </c>
      <c r="F286" s="56" t="s">
        <v>6308</v>
      </c>
      <c r="G286" s="58" t="s">
        <v>1713</v>
      </c>
      <c r="H286" s="56">
        <v>1</v>
      </c>
      <c r="I286" s="56" t="s">
        <v>3568</v>
      </c>
      <c r="J286" s="56">
        <v>0</v>
      </c>
      <c r="K286" s="56">
        <v>0</v>
      </c>
      <c r="P286" s="56">
        <v>0</v>
      </c>
      <c r="S286" s="56">
        <v>0</v>
      </c>
      <c r="T286" s="56" t="s">
        <v>3562</v>
      </c>
      <c r="V286" s="56" t="s">
        <v>3865</v>
      </c>
      <c r="W286" s="56" t="s">
        <v>3548</v>
      </c>
      <c r="X286" s="56" t="s">
        <v>3716</v>
      </c>
      <c r="Z286" s="56" t="s">
        <v>3546</v>
      </c>
      <c r="AA286" s="56" t="s">
        <v>6307</v>
      </c>
      <c r="AB286" s="56" t="s">
        <v>6306</v>
      </c>
      <c r="AC286" s="56" t="s">
        <v>3543</v>
      </c>
      <c r="AD286" s="56" t="s">
        <v>24</v>
      </c>
      <c r="AE286" s="56" t="s">
        <v>6080</v>
      </c>
      <c r="AF286" s="56" t="s">
        <v>6305</v>
      </c>
      <c r="AH286" s="56" t="s">
        <v>3542</v>
      </c>
      <c r="AI286" s="56" t="s">
        <v>3723</v>
      </c>
    </row>
    <row r="287" spans="1:35" ht="33" customHeight="1">
      <c r="A287" s="56" t="s">
        <v>6310</v>
      </c>
      <c r="B287" s="57">
        <v>44359.17560185185</v>
      </c>
      <c r="C287" s="56" t="s">
        <v>3803</v>
      </c>
      <c r="D287" s="56" t="s">
        <v>4511</v>
      </c>
      <c r="E287" s="56" t="s">
        <v>6309</v>
      </c>
      <c r="F287" s="56" t="s">
        <v>6308</v>
      </c>
      <c r="G287" s="58" t="s">
        <v>1500</v>
      </c>
      <c r="H287" s="56">
        <v>1</v>
      </c>
      <c r="I287" s="56" t="s">
        <v>6228</v>
      </c>
      <c r="J287" s="56">
        <v>0</v>
      </c>
      <c r="K287" s="56">
        <v>0</v>
      </c>
      <c r="P287" s="56">
        <v>0</v>
      </c>
      <c r="S287" s="56">
        <v>0</v>
      </c>
      <c r="T287" s="56" t="s">
        <v>3562</v>
      </c>
      <c r="V287" s="56" t="s">
        <v>3865</v>
      </c>
      <c r="W287" s="56" t="s">
        <v>3548</v>
      </c>
      <c r="X287" s="56" t="s">
        <v>3716</v>
      </c>
      <c r="Z287" s="56" t="s">
        <v>3546</v>
      </c>
      <c r="AA287" s="56" t="s">
        <v>6307</v>
      </c>
      <c r="AB287" s="56" t="s">
        <v>6306</v>
      </c>
      <c r="AC287" s="56" t="s">
        <v>3543</v>
      </c>
      <c r="AD287" s="56" t="s">
        <v>24</v>
      </c>
      <c r="AE287" s="56" t="s">
        <v>6080</v>
      </c>
      <c r="AF287" s="56" t="s">
        <v>6305</v>
      </c>
      <c r="AH287" s="56" t="s">
        <v>3542</v>
      </c>
      <c r="AI287" s="56" t="s">
        <v>3723</v>
      </c>
    </row>
    <row r="288" spans="1:35" ht="33" customHeight="1">
      <c r="A288" s="56" t="s">
        <v>6304</v>
      </c>
      <c r="B288" s="57">
        <v>44359.315578703703</v>
      </c>
      <c r="C288" s="56" t="s">
        <v>3803</v>
      </c>
      <c r="D288" s="56" t="s">
        <v>3802</v>
      </c>
      <c r="E288" s="56" t="s">
        <v>6303</v>
      </c>
      <c r="F288" s="56" t="s">
        <v>6302</v>
      </c>
      <c r="G288" s="58" t="s">
        <v>2163</v>
      </c>
      <c r="H288" s="56">
        <v>1</v>
      </c>
      <c r="I288" s="56" t="s">
        <v>3694</v>
      </c>
      <c r="J288" s="56">
        <v>128</v>
      </c>
      <c r="K288" s="56">
        <v>128</v>
      </c>
      <c r="L288" s="56">
        <v>1101</v>
      </c>
      <c r="M288" s="56">
        <v>60</v>
      </c>
      <c r="N288" s="56">
        <v>0</v>
      </c>
      <c r="O288" s="56">
        <v>100</v>
      </c>
      <c r="P288" s="56">
        <v>0</v>
      </c>
      <c r="Q288" s="56">
        <v>1061</v>
      </c>
      <c r="R288" s="56">
        <v>0</v>
      </c>
      <c r="S288" s="56">
        <v>0</v>
      </c>
      <c r="T288" s="56" t="s">
        <v>3562</v>
      </c>
      <c r="U288" s="56">
        <v>1061</v>
      </c>
      <c r="V288" s="56" t="s">
        <v>3561</v>
      </c>
      <c r="W288" s="56" t="s">
        <v>3548</v>
      </c>
      <c r="X288" s="56" t="s">
        <v>39</v>
      </c>
      <c r="Y288" s="56" t="s">
        <v>6301</v>
      </c>
      <c r="Z288" s="56" t="s">
        <v>6300</v>
      </c>
      <c r="AC288" s="56" t="s">
        <v>3543</v>
      </c>
      <c r="AD288" s="56" t="s">
        <v>24</v>
      </c>
      <c r="AE288" s="56" t="s">
        <v>6080</v>
      </c>
      <c r="AF288" s="56" t="s">
        <v>6299</v>
      </c>
      <c r="AH288" s="56" t="s">
        <v>3542</v>
      </c>
      <c r="AI288" s="56" t="s">
        <v>3723</v>
      </c>
    </row>
    <row r="289" spans="1:35" ht="33" customHeight="1">
      <c r="A289" s="56" t="s">
        <v>6304</v>
      </c>
      <c r="B289" s="57">
        <v>44359.315578703703</v>
      </c>
      <c r="C289" s="56" t="s">
        <v>3803</v>
      </c>
      <c r="D289" s="56" t="s">
        <v>3802</v>
      </c>
      <c r="E289" s="56" t="s">
        <v>6303</v>
      </c>
      <c r="F289" s="56" t="s">
        <v>6302</v>
      </c>
      <c r="G289" s="58" t="s">
        <v>2161</v>
      </c>
      <c r="H289" s="56">
        <v>1</v>
      </c>
      <c r="I289" s="56" t="s">
        <v>3694</v>
      </c>
      <c r="J289" s="56">
        <v>128</v>
      </c>
      <c r="K289" s="56">
        <v>128</v>
      </c>
      <c r="P289" s="56">
        <v>0</v>
      </c>
      <c r="S289" s="56">
        <v>0</v>
      </c>
      <c r="T289" s="56" t="s">
        <v>3562</v>
      </c>
      <c r="V289" s="56" t="s">
        <v>3561</v>
      </c>
      <c r="W289" s="56" t="s">
        <v>3548</v>
      </c>
      <c r="X289" s="56" t="s">
        <v>39</v>
      </c>
      <c r="Y289" s="56" t="s">
        <v>6301</v>
      </c>
      <c r="Z289" s="56" t="s">
        <v>6300</v>
      </c>
      <c r="AC289" s="56" t="s">
        <v>3543</v>
      </c>
      <c r="AD289" s="56" t="s">
        <v>24</v>
      </c>
      <c r="AE289" s="56" t="s">
        <v>6080</v>
      </c>
      <c r="AF289" s="56" t="s">
        <v>6299</v>
      </c>
      <c r="AH289" s="56" t="s">
        <v>3542</v>
      </c>
      <c r="AI289" s="56" t="s">
        <v>3723</v>
      </c>
    </row>
    <row r="290" spans="1:35" ht="33" customHeight="1">
      <c r="A290" s="56" t="s">
        <v>6304</v>
      </c>
      <c r="B290" s="57">
        <v>44359.315578703703</v>
      </c>
      <c r="C290" s="56" t="s">
        <v>3803</v>
      </c>
      <c r="D290" s="56" t="s">
        <v>3802</v>
      </c>
      <c r="E290" s="56" t="s">
        <v>6303</v>
      </c>
      <c r="F290" s="56" t="s">
        <v>6302</v>
      </c>
      <c r="G290" s="58" t="s">
        <v>1510</v>
      </c>
      <c r="H290" s="56">
        <v>1</v>
      </c>
      <c r="I290" s="56" t="s">
        <v>359</v>
      </c>
      <c r="J290" s="56">
        <v>295</v>
      </c>
      <c r="K290" s="56">
        <v>295</v>
      </c>
      <c r="P290" s="56">
        <v>0</v>
      </c>
      <c r="S290" s="56">
        <v>0</v>
      </c>
      <c r="T290" s="56" t="s">
        <v>3562</v>
      </c>
      <c r="V290" s="56" t="s">
        <v>3561</v>
      </c>
      <c r="W290" s="56" t="s">
        <v>3548</v>
      </c>
      <c r="X290" s="56" t="s">
        <v>39</v>
      </c>
      <c r="Y290" s="56" t="s">
        <v>6301</v>
      </c>
      <c r="Z290" s="56" t="s">
        <v>6300</v>
      </c>
      <c r="AC290" s="56" t="s">
        <v>3543</v>
      </c>
      <c r="AD290" s="56" t="s">
        <v>24</v>
      </c>
      <c r="AE290" s="56" t="s">
        <v>6080</v>
      </c>
      <c r="AF290" s="56" t="s">
        <v>6299</v>
      </c>
      <c r="AH290" s="56" t="s">
        <v>3542</v>
      </c>
      <c r="AI290" s="56" t="s">
        <v>3723</v>
      </c>
    </row>
    <row r="291" spans="1:35" ht="33" customHeight="1">
      <c r="A291" s="56" t="s">
        <v>6304</v>
      </c>
      <c r="B291" s="57">
        <v>44359.315578703703</v>
      </c>
      <c r="C291" s="56" t="s">
        <v>3803</v>
      </c>
      <c r="D291" s="56" t="s">
        <v>3802</v>
      </c>
      <c r="E291" s="56" t="s">
        <v>6303</v>
      </c>
      <c r="F291" s="56" t="s">
        <v>6302</v>
      </c>
      <c r="G291" s="58" t="s">
        <v>3732</v>
      </c>
      <c r="H291" s="56">
        <v>1</v>
      </c>
      <c r="I291" s="56" t="s">
        <v>3731</v>
      </c>
      <c r="J291" s="56">
        <v>867</v>
      </c>
      <c r="K291" s="56">
        <v>550</v>
      </c>
      <c r="P291" s="56">
        <v>0</v>
      </c>
      <c r="S291" s="56">
        <v>0</v>
      </c>
      <c r="T291" s="56" t="s">
        <v>3562</v>
      </c>
      <c r="V291" s="56" t="s">
        <v>3561</v>
      </c>
      <c r="W291" s="56" t="s">
        <v>3548</v>
      </c>
      <c r="X291" s="56" t="s">
        <v>39</v>
      </c>
      <c r="Y291" s="56" t="s">
        <v>6301</v>
      </c>
      <c r="Z291" s="56" t="s">
        <v>6300</v>
      </c>
      <c r="AC291" s="56" t="s">
        <v>3543</v>
      </c>
      <c r="AD291" s="56" t="s">
        <v>24</v>
      </c>
      <c r="AE291" s="56" t="s">
        <v>6080</v>
      </c>
      <c r="AF291" s="56" t="s">
        <v>6299</v>
      </c>
      <c r="AH291" s="56" t="s">
        <v>3542</v>
      </c>
      <c r="AI291" s="56" t="s">
        <v>3723</v>
      </c>
    </row>
    <row r="292" spans="1:35" ht="33" customHeight="1">
      <c r="A292" s="56" t="s">
        <v>6298</v>
      </c>
      <c r="B292" s="57">
        <v>44359.332442129627</v>
      </c>
      <c r="C292" s="56" t="s">
        <v>3803</v>
      </c>
      <c r="D292" s="56" t="s">
        <v>3802</v>
      </c>
      <c r="E292" s="56" t="s">
        <v>6297</v>
      </c>
      <c r="F292" s="56" t="s">
        <v>6296</v>
      </c>
      <c r="G292" s="58" t="s">
        <v>3681</v>
      </c>
      <c r="H292" s="56">
        <v>1</v>
      </c>
      <c r="I292" s="56" t="s">
        <v>3569</v>
      </c>
      <c r="J292" s="56">
        <v>894</v>
      </c>
      <c r="K292" s="56">
        <v>750</v>
      </c>
      <c r="L292" s="56">
        <v>3118</v>
      </c>
      <c r="M292" s="56">
        <v>60</v>
      </c>
      <c r="N292" s="56">
        <v>0</v>
      </c>
      <c r="O292" s="56">
        <v>237</v>
      </c>
      <c r="P292" s="56">
        <v>0</v>
      </c>
      <c r="Q292" s="56">
        <v>2941</v>
      </c>
      <c r="R292" s="56">
        <v>0</v>
      </c>
      <c r="S292" s="56">
        <v>0</v>
      </c>
      <c r="T292" s="56" t="s">
        <v>3562</v>
      </c>
      <c r="U292" s="56">
        <v>2941</v>
      </c>
      <c r="V292" s="56" t="s">
        <v>3561</v>
      </c>
      <c r="W292" s="56" t="s">
        <v>3548</v>
      </c>
      <c r="X292" s="56" t="s">
        <v>39</v>
      </c>
      <c r="Y292" s="56" t="s">
        <v>6295</v>
      </c>
      <c r="Z292" s="56" t="s">
        <v>6294</v>
      </c>
      <c r="AC292" s="56" t="s">
        <v>3543</v>
      </c>
      <c r="AD292" s="56" t="s">
        <v>24</v>
      </c>
      <c r="AE292" s="56" t="s">
        <v>6080</v>
      </c>
      <c r="AF292" s="56" t="s">
        <v>6293</v>
      </c>
      <c r="AH292" s="56" t="s">
        <v>3542</v>
      </c>
      <c r="AI292" s="56" t="s">
        <v>3723</v>
      </c>
    </row>
    <row r="293" spans="1:35" ht="33" customHeight="1">
      <c r="A293" s="56" t="s">
        <v>6298</v>
      </c>
      <c r="B293" s="57">
        <v>44359.332442129627</v>
      </c>
      <c r="C293" s="56" t="s">
        <v>3803</v>
      </c>
      <c r="D293" s="56" t="s">
        <v>3802</v>
      </c>
      <c r="E293" s="56" t="s">
        <v>6297</v>
      </c>
      <c r="F293" s="56" t="s">
        <v>6296</v>
      </c>
      <c r="G293" s="58" t="s">
        <v>3570</v>
      </c>
      <c r="H293" s="56">
        <v>3</v>
      </c>
      <c r="I293" s="56" t="s">
        <v>3569</v>
      </c>
      <c r="J293" s="56">
        <v>894</v>
      </c>
      <c r="K293" s="56">
        <v>750</v>
      </c>
      <c r="P293" s="56">
        <v>0</v>
      </c>
      <c r="S293" s="56">
        <v>0</v>
      </c>
      <c r="T293" s="56" t="s">
        <v>3562</v>
      </c>
      <c r="V293" s="56" t="s">
        <v>3561</v>
      </c>
      <c r="W293" s="56" t="s">
        <v>3548</v>
      </c>
      <c r="X293" s="56" t="s">
        <v>39</v>
      </c>
      <c r="Y293" s="56" t="s">
        <v>6295</v>
      </c>
      <c r="Z293" s="56" t="s">
        <v>6294</v>
      </c>
      <c r="AC293" s="56" t="s">
        <v>3543</v>
      </c>
      <c r="AD293" s="56" t="s">
        <v>24</v>
      </c>
      <c r="AE293" s="56" t="s">
        <v>6080</v>
      </c>
      <c r="AF293" s="56" t="s">
        <v>6293</v>
      </c>
      <c r="AH293" s="56" t="s">
        <v>3542</v>
      </c>
      <c r="AI293" s="56" t="s">
        <v>3723</v>
      </c>
    </row>
    <row r="294" spans="1:35" ht="33" customHeight="1">
      <c r="A294" s="56" t="s">
        <v>6298</v>
      </c>
      <c r="B294" s="57">
        <v>44359.332442129627</v>
      </c>
      <c r="C294" s="56" t="s">
        <v>3803</v>
      </c>
      <c r="D294" s="56" t="s">
        <v>3802</v>
      </c>
      <c r="E294" s="56" t="s">
        <v>6297</v>
      </c>
      <c r="F294" s="56" t="s">
        <v>6296</v>
      </c>
      <c r="G294" s="58" t="s">
        <v>3217</v>
      </c>
      <c r="H294" s="56">
        <v>1</v>
      </c>
      <c r="I294" s="56" t="s">
        <v>3720</v>
      </c>
      <c r="J294" s="56">
        <v>59</v>
      </c>
      <c r="K294" s="56">
        <v>59</v>
      </c>
      <c r="P294" s="56">
        <v>0</v>
      </c>
      <c r="S294" s="56">
        <v>0</v>
      </c>
      <c r="T294" s="56" t="s">
        <v>3562</v>
      </c>
      <c r="V294" s="56" t="s">
        <v>3561</v>
      </c>
      <c r="W294" s="56" t="s">
        <v>3548</v>
      </c>
      <c r="X294" s="56" t="s">
        <v>39</v>
      </c>
      <c r="Y294" s="56" t="s">
        <v>6295</v>
      </c>
      <c r="Z294" s="56" t="s">
        <v>6294</v>
      </c>
      <c r="AC294" s="56" t="s">
        <v>3543</v>
      </c>
      <c r="AD294" s="56" t="s">
        <v>24</v>
      </c>
      <c r="AE294" s="56" t="s">
        <v>6080</v>
      </c>
      <c r="AF294" s="56" t="s">
        <v>6293</v>
      </c>
      <c r="AH294" s="56" t="s">
        <v>3542</v>
      </c>
      <c r="AI294" s="56" t="s">
        <v>3723</v>
      </c>
    </row>
    <row r="295" spans="1:35" ht="33" customHeight="1">
      <c r="A295" s="56" t="s">
        <v>6298</v>
      </c>
      <c r="B295" s="57">
        <v>44359.332442129627</v>
      </c>
      <c r="C295" s="56" t="s">
        <v>3803</v>
      </c>
      <c r="D295" s="56" t="s">
        <v>3802</v>
      </c>
      <c r="E295" s="56" t="s">
        <v>6297</v>
      </c>
      <c r="F295" s="56" t="s">
        <v>6296</v>
      </c>
      <c r="G295" s="58" t="s">
        <v>3222</v>
      </c>
      <c r="H295" s="56">
        <v>1</v>
      </c>
      <c r="I295" s="56" t="s">
        <v>3712</v>
      </c>
      <c r="J295" s="56">
        <v>59</v>
      </c>
      <c r="K295" s="56">
        <v>59</v>
      </c>
      <c r="P295" s="56">
        <v>0</v>
      </c>
      <c r="S295" s="56">
        <v>0</v>
      </c>
      <c r="T295" s="56" t="s">
        <v>3562</v>
      </c>
      <c r="V295" s="56" t="s">
        <v>3561</v>
      </c>
      <c r="W295" s="56" t="s">
        <v>3548</v>
      </c>
      <c r="X295" s="56" t="s">
        <v>39</v>
      </c>
      <c r="Y295" s="56" t="s">
        <v>6295</v>
      </c>
      <c r="Z295" s="56" t="s">
        <v>6294</v>
      </c>
      <c r="AC295" s="56" t="s">
        <v>3543</v>
      </c>
      <c r="AD295" s="56" t="s">
        <v>24</v>
      </c>
      <c r="AE295" s="56" t="s">
        <v>6080</v>
      </c>
      <c r="AF295" s="56" t="s">
        <v>6293</v>
      </c>
      <c r="AH295" s="56" t="s">
        <v>3542</v>
      </c>
      <c r="AI295" s="56" t="s">
        <v>3723</v>
      </c>
    </row>
    <row r="296" spans="1:35" ht="33" customHeight="1">
      <c r="A296" s="56" t="s">
        <v>6292</v>
      </c>
      <c r="B296" s="57">
        <v>44359.353333333333</v>
      </c>
      <c r="C296" s="56" t="s">
        <v>3803</v>
      </c>
      <c r="D296" s="56" t="s">
        <v>3802</v>
      </c>
      <c r="E296" s="56" t="s">
        <v>6291</v>
      </c>
      <c r="F296" s="56" t="s">
        <v>6290</v>
      </c>
      <c r="G296" s="58" t="s">
        <v>4283</v>
      </c>
      <c r="H296" s="56">
        <v>1</v>
      </c>
      <c r="I296" s="56" t="s">
        <v>3669</v>
      </c>
      <c r="J296" s="56">
        <v>897</v>
      </c>
      <c r="K296" s="56">
        <v>888</v>
      </c>
      <c r="L296" s="56">
        <v>1407</v>
      </c>
      <c r="M296" s="56">
        <v>0</v>
      </c>
      <c r="N296" s="56">
        <v>0</v>
      </c>
      <c r="O296" s="56">
        <v>141</v>
      </c>
      <c r="P296" s="56">
        <v>0</v>
      </c>
      <c r="Q296" s="56">
        <v>1266</v>
      </c>
      <c r="R296" s="56">
        <v>0</v>
      </c>
      <c r="S296" s="56">
        <v>0</v>
      </c>
      <c r="T296" s="56" t="s">
        <v>3562</v>
      </c>
      <c r="U296" s="56">
        <v>1266</v>
      </c>
      <c r="V296" s="56" t="s">
        <v>3865</v>
      </c>
      <c r="W296" s="56" t="s">
        <v>3548</v>
      </c>
      <c r="X296" s="56" t="s">
        <v>39</v>
      </c>
      <c r="Y296" s="56" t="s">
        <v>6289</v>
      </c>
      <c r="Z296" s="56" t="s">
        <v>6288</v>
      </c>
      <c r="AC296" s="56" t="s">
        <v>3543</v>
      </c>
      <c r="AD296" s="56" t="s">
        <v>24</v>
      </c>
      <c r="AE296" s="56" t="s">
        <v>6080</v>
      </c>
      <c r="AF296" s="56" t="s">
        <v>6287</v>
      </c>
      <c r="AH296" s="56" t="s">
        <v>3542</v>
      </c>
      <c r="AI296" s="56" t="s">
        <v>3723</v>
      </c>
    </row>
    <row r="297" spans="1:35" ht="33" customHeight="1">
      <c r="A297" s="56" t="s">
        <v>6292</v>
      </c>
      <c r="B297" s="57">
        <v>44359.353333333333</v>
      </c>
      <c r="C297" s="56" t="s">
        <v>3803</v>
      </c>
      <c r="D297" s="56" t="s">
        <v>3802</v>
      </c>
      <c r="E297" s="56" t="s">
        <v>6291</v>
      </c>
      <c r="F297" s="56" t="s">
        <v>6290</v>
      </c>
      <c r="G297" s="58" t="s">
        <v>3934</v>
      </c>
      <c r="H297" s="56">
        <v>1</v>
      </c>
      <c r="I297" s="56" t="s">
        <v>3602</v>
      </c>
      <c r="J297" s="56">
        <v>447</v>
      </c>
      <c r="K297" s="56">
        <v>399</v>
      </c>
      <c r="P297" s="56">
        <v>0</v>
      </c>
      <c r="S297" s="56">
        <v>0</v>
      </c>
      <c r="T297" s="56" t="s">
        <v>3562</v>
      </c>
      <c r="V297" s="56" t="s">
        <v>3865</v>
      </c>
      <c r="W297" s="56" t="s">
        <v>3548</v>
      </c>
      <c r="X297" s="56" t="s">
        <v>39</v>
      </c>
      <c r="Y297" s="56" t="s">
        <v>6289</v>
      </c>
      <c r="Z297" s="56" t="s">
        <v>6288</v>
      </c>
      <c r="AC297" s="56" t="s">
        <v>3543</v>
      </c>
      <c r="AD297" s="56" t="s">
        <v>24</v>
      </c>
      <c r="AE297" s="56" t="s">
        <v>6080</v>
      </c>
      <c r="AF297" s="56" t="s">
        <v>6287</v>
      </c>
      <c r="AH297" s="56" t="s">
        <v>3542</v>
      </c>
      <c r="AI297" s="56" t="s">
        <v>3723</v>
      </c>
    </row>
    <row r="298" spans="1:35" ht="33" customHeight="1">
      <c r="A298" s="56" t="s">
        <v>6292</v>
      </c>
      <c r="B298" s="57">
        <v>44359.353333333333</v>
      </c>
      <c r="C298" s="56" t="s">
        <v>3803</v>
      </c>
      <c r="D298" s="56" t="s">
        <v>3802</v>
      </c>
      <c r="E298" s="56" t="s">
        <v>6291</v>
      </c>
      <c r="F298" s="56" t="s">
        <v>6290</v>
      </c>
      <c r="G298" s="58" t="s">
        <v>3196</v>
      </c>
      <c r="H298" s="56">
        <v>1</v>
      </c>
      <c r="I298" s="56" t="s">
        <v>2550</v>
      </c>
      <c r="J298" s="56">
        <v>120</v>
      </c>
      <c r="K298" s="56">
        <v>120</v>
      </c>
      <c r="P298" s="56">
        <v>0</v>
      </c>
      <c r="S298" s="56">
        <v>0</v>
      </c>
      <c r="T298" s="56" t="s">
        <v>3562</v>
      </c>
      <c r="V298" s="56" t="s">
        <v>3865</v>
      </c>
      <c r="W298" s="56" t="s">
        <v>3548</v>
      </c>
      <c r="X298" s="56" t="s">
        <v>39</v>
      </c>
      <c r="Y298" s="56" t="s">
        <v>6289</v>
      </c>
      <c r="Z298" s="56" t="s">
        <v>6288</v>
      </c>
      <c r="AC298" s="56" t="s">
        <v>3543</v>
      </c>
      <c r="AD298" s="56" t="s">
        <v>24</v>
      </c>
      <c r="AE298" s="56" t="s">
        <v>6080</v>
      </c>
      <c r="AF298" s="56" t="s">
        <v>6287</v>
      </c>
      <c r="AH298" s="56" t="s">
        <v>3542</v>
      </c>
      <c r="AI298" s="56" t="s">
        <v>3723</v>
      </c>
    </row>
    <row r="299" spans="1:35" ht="33" customHeight="1">
      <c r="A299" s="56" t="s">
        <v>6292</v>
      </c>
      <c r="B299" s="57">
        <v>44359.353333333333</v>
      </c>
      <c r="C299" s="56" t="s">
        <v>3803</v>
      </c>
      <c r="D299" s="56" t="s">
        <v>3802</v>
      </c>
      <c r="E299" s="56" t="s">
        <v>6291</v>
      </c>
      <c r="F299" s="56" t="s">
        <v>6290</v>
      </c>
      <c r="G299" s="58" t="s">
        <v>3551</v>
      </c>
      <c r="H299" s="56">
        <v>1</v>
      </c>
      <c r="I299" s="56" t="s">
        <v>3550</v>
      </c>
      <c r="J299" s="56">
        <v>0</v>
      </c>
      <c r="K299" s="56">
        <v>0</v>
      </c>
      <c r="P299" s="56">
        <v>0</v>
      </c>
      <c r="S299" s="56">
        <v>0</v>
      </c>
      <c r="T299" s="56" t="s">
        <v>3562</v>
      </c>
      <c r="V299" s="56" t="s">
        <v>3865</v>
      </c>
      <c r="W299" s="56" t="s">
        <v>3548</v>
      </c>
      <c r="X299" s="56" t="s">
        <v>39</v>
      </c>
      <c r="Y299" s="56" t="s">
        <v>6289</v>
      </c>
      <c r="Z299" s="56" t="s">
        <v>6288</v>
      </c>
      <c r="AC299" s="56" t="s">
        <v>3543</v>
      </c>
      <c r="AD299" s="56" t="s">
        <v>24</v>
      </c>
      <c r="AE299" s="56" t="s">
        <v>6080</v>
      </c>
      <c r="AF299" s="56" t="s">
        <v>6287</v>
      </c>
      <c r="AH299" s="56" t="s">
        <v>3542</v>
      </c>
      <c r="AI299" s="56" t="s">
        <v>3723</v>
      </c>
    </row>
    <row r="300" spans="1:35" ht="33" customHeight="1">
      <c r="A300" s="56" t="s">
        <v>6292</v>
      </c>
      <c r="B300" s="57">
        <v>44359.353333333333</v>
      </c>
      <c r="C300" s="56" t="s">
        <v>3803</v>
      </c>
      <c r="D300" s="56" t="s">
        <v>3802</v>
      </c>
      <c r="E300" s="56" t="s">
        <v>6291</v>
      </c>
      <c r="F300" s="56" t="s">
        <v>6290</v>
      </c>
      <c r="G300" s="58" t="s">
        <v>1500</v>
      </c>
      <c r="H300" s="56">
        <v>1</v>
      </c>
      <c r="I300" s="56" t="s">
        <v>6228</v>
      </c>
      <c r="J300" s="56">
        <v>0</v>
      </c>
      <c r="K300" s="56">
        <v>0</v>
      </c>
      <c r="P300" s="56">
        <v>0</v>
      </c>
      <c r="S300" s="56">
        <v>0</v>
      </c>
      <c r="T300" s="56" t="s">
        <v>3562</v>
      </c>
      <c r="V300" s="56" t="s">
        <v>3865</v>
      </c>
      <c r="W300" s="56" t="s">
        <v>3548</v>
      </c>
      <c r="X300" s="56" t="s">
        <v>39</v>
      </c>
      <c r="Y300" s="56" t="s">
        <v>6289</v>
      </c>
      <c r="Z300" s="56" t="s">
        <v>6288</v>
      </c>
      <c r="AC300" s="56" t="s">
        <v>3543</v>
      </c>
      <c r="AD300" s="56" t="s">
        <v>24</v>
      </c>
      <c r="AE300" s="56" t="s">
        <v>6080</v>
      </c>
      <c r="AF300" s="56" t="s">
        <v>6287</v>
      </c>
      <c r="AH300" s="56" t="s">
        <v>3542</v>
      </c>
      <c r="AI300" s="56" t="s">
        <v>3723</v>
      </c>
    </row>
    <row r="301" spans="1:35" ht="33" customHeight="1">
      <c r="A301" s="56" t="s">
        <v>6286</v>
      </c>
      <c r="B301" s="57">
        <v>44359.40556712963</v>
      </c>
      <c r="C301" s="56" t="s">
        <v>4512</v>
      </c>
      <c r="D301" s="56" t="s">
        <v>4511</v>
      </c>
      <c r="E301" s="56" t="s">
        <v>6285</v>
      </c>
      <c r="F301" s="56" t="s">
        <v>6284</v>
      </c>
      <c r="G301" s="58" t="s">
        <v>3603</v>
      </c>
      <c r="H301" s="56">
        <v>1</v>
      </c>
      <c r="I301" s="56" t="s">
        <v>3602</v>
      </c>
      <c r="J301" s="56">
        <v>447</v>
      </c>
      <c r="K301" s="56">
        <v>399</v>
      </c>
      <c r="L301" s="56">
        <v>1149</v>
      </c>
      <c r="M301" s="56">
        <v>0</v>
      </c>
      <c r="N301" s="56">
        <v>0</v>
      </c>
      <c r="O301" s="56">
        <v>100</v>
      </c>
      <c r="P301" s="56">
        <v>0</v>
      </c>
      <c r="Q301" s="56">
        <v>1049</v>
      </c>
      <c r="R301" s="56">
        <v>0</v>
      </c>
      <c r="S301" s="56">
        <v>0</v>
      </c>
      <c r="T301" s="56" t="s">
        <v>3562</v>
      </c>
      <c r="U301" s="56">
        <v>1049</v>
      </c>
      <c r="V301" s="56" t="s">
        <v>3612</v>
      </c>
      <c r="W301" s="56" t="s">
        <v>3548</v>
      </c>
      <c r="X301" s="56" t="s">
        <v>3611</v>
      </c>
      <c r="Z301" s="56" t="s">
        <v>3546</v>
      </c>
      <c r="AA301" s="56" t="s">
        <v>6283</v>
      </c>
      <c r="AB301" s="56" t="s">
        <v>6282</v>
      </c>
      <c r="AC301" s="56" t="s">
        <v>3543</v>
      </c>
      <c r="AD301" s="56" t="s">
        <v>24</v>
      </c>
      <c r="AE301" s="56" t="s">
        <v>5127</v>
      </c>
      <c r="AF301" s="56" t="s">
        <v>6281</v>
      </c>
      <c r="AH301" s="56" t="s">
        <v>3542</v>
      </c>
      <c r="AI301" s="56" t="s">
        <v>3723</v>
      </c>
    </row>
    <row r="302" spans="1:35" ht="33" customHeight="1">
      <c r="A302" s="56" t="s">
        <v>6286</v>
      </c>
      <c r="B302" s="57">
        <v>44359.40556712963</v>
      </c>
      <c r="C302" s="56" t="s">
        <v>4512</v>
      </c>
      <c r="D302" s="56" t="s">
        <v>4511</v>
      </c>
      <c r="E302" s="56" t="s">
        <v>6285</v>
      </c>
      <c r="F302" s="56" t="s">
        <v>6284</v>
      </c>
      <c r="G302" s="58" t="s">
        <v>3570</v>
      </c>
      <c r="H302" s="56">
        <v>1</v>
      </c>
      <c r="I302" s="56" t="s">
        <v>3569</v>
      </c>
      <c r="J302" s="56">
        <v>894</v>
      </c>
      <c r="K302" s="56">
        <v>750</v>
      </c>
      <c r="P302" s="56">
        <v>0</v>
      </c>
      <c r="S302" s="56">
        <v>0</v>
      </c>
      <c r="T302" s="56" t="s">
        <v>3562</v>
      </c>
      <c r="V302" s="56" t="s">
        <v>3612</v>
      </c>
      <c r="W302" s="56" t="s">
        <v>3548</v>
      </c>
      <c r="X302" s="56" t="s">
        <v>3611</v>
      </c>
      <c r="Z302" s="56" t="s">
        <v>3546</v>
      </c>
      <c r="AA302" s="56" t="s">
        <v>6283</v>
      </c>
      <c r="AB302" s="56" t="s">
        <v>6282</v>
      </c>
      <c r="AC302" s="56" t="s">
        <v>3543</v>
      </c>
      <c r="AD302" s="56" t="s">
        <v>24</v>
      </c>
      <c r="AE302" s="56" t="s">
        <v>5127</v>
      </c>
      <c r="AF302" s="56" t="s">
        <v>6281</v>
      </c>
      <c r="AH302" s="56" t="s">
        <v>3542</v>
      </c>
      <c r="AI302" s="56" t="s">
        <v>3723</v>
      </c>
    </row>
    <row r="303" spans="1:35" ht="33" customHeight="1">
      <c r="A303" s="56" t="s">
        <v>6286</v>
      </c>
      <c r="B303" s="57">
        <v>44359.40556712963</v>
      </c>
      <c r="C303" s="56" t="s">
        <v>4512</v>
      </c>
      <c r="D303" s="56" t="s">
        <v>4511</v>
      </c>
      <c r="E303" s="56" t="s">
        <v>6285</v>
      </c>
      <c r="F303" s="56" t="s">
        <v>6284</v>
      </c>
      <c r="G303" s="58" t="s">
        <v>3551</v>
      </c>
      <c r="H303" s="56">
        <v>1</v>
      </c>
      <c r="I303" s="56" t="s">
        <v>3550</v>
      </c>
      <c r="J303" s="56">
        <v>0</v>
      </c>
      <c r="K303" s="56">
        <v>0</v>
      </c>
      <c r="P303" s="56">
        <v>0</v>
      </c>
      <c r="S303" s="56">
        <v>0</v>
      </c>
      <c r="T303" s="56" t="s">
        <v>3562</v>
      </c>
      <c r="V303" s="56" t="s">
        <v>3612</v>
      </c>
      <c r="W303" s="56" t="s">
        <v>3548</v>
      </c>
      <c r="X303" s="56" t="s">
        <v>3611</v>
      </c>
      <c r="Z303" s="56" t="s">
        <v>3546</v>
      </c>
      <c r="AA303" s="56" t="s">
        <v>6283</v>
      </c>
      <c r="AB303" s="56" t="s">
        <v>6282</v>
      </c>
      <c r="AC303" s="56" t="s">
        <v>3543</v>
      </c>
      <c r="AD303" s="56" t="s">
        <v>24</v>
      </c>
      <c r="AE303" s="56" t="s">
        <v>5127</v>
      </c>
      <c r="AF303" s="56" t="s">
        <v>6281</v>
      </c>
      <c r="AH303" s="56" t="s">
        <v>3542</v>
      </c>
      <c r="AI303" s="56" t="s">
        <v>3723</v>
      </c>
    </row>
    <row r="304" spans="1:35" ht="33" customHeight="1">
      <c r="A304" s="56" t="s">
        <v>6286</v>
      </c>
      <c r="B304" s="57">
        <v>44359.40556712963</v>
      </c>
      <c r="C304" s="56" t="s">
        <v>4512</v>
      </c>
      <c r="D304" s="56" t="s">
        <v>4511</v>
      </c>
      <c r="E304" s="56" t="s">
        <v>6285</v>
      </c>
      <c r="F304" s="56" t="s">
        <v>6284</v>
      </c>
      <c r="G304" s="58" t="s">
        <v>1500</v>
      </c>
      <c r="H304" s="56">
        <v>1</v>
      </c>
      <c r="I304" s="56" t="s">
        <v>6228</v>
      </c>
      <c r="J304" s="56">
        <v>0</v>
      </c>
      <c r="K304" s="56">
        <v>0</v>
      </c>
      <c r="P304" s="56">
        <v>0</v>
      </c>
      <c r="S304" s="56">
        <v>0</v>
      </c>
      <c r="T304" s="56" t="s">
        <v>3562</v>
      </c>
      <c r="V304" s="56" t="s">
        <v>3612</v>
      </c>
      <c r="W304" s="56" t="s">
        <v>3548</v>
      </c>
      <c r="X304" s="56" t="s">
        <v>3611</v>
      </c>
      <c r="Z304" s="56" t="s">
        <v>3546</v>
      </c>
      <c r="AA304" s="56" t="s">
        <v>6283</v>
      </c>
      <c r="AB304" s="56" t="s">
        <v>6282</v>
      </c>
      <c r="AC304" s="56" t="s">
        <v>3543</v>
      </c>
      <c r="AD304" s="56" t="s">
        <v>24</v>
      </c>
      <c r="AE304" s="56" t="s">
        <v>5127</v>
      </c>
      <c r="AF304" s="56" t="s">
        <v>6281</v>
      </c>
      <c r="AH304" s="56" t="s">
        <v>3542</v>
      </c>
      <c r="AI304" s="56" t="s">
        <v>3723</v>
      </c>
    </row>
    <row r="305" spans="1:35" ht="33" customHeight="1">
      <c r="A305" s="56" t="s">
        <v>6280</v>
      </c>
      <c r="B305" s="57">
        <v>44359.446261574078</v>
      </c>
      <c r="C305" s="56" t="s">
        <v>3803</v>
      </c>
      <c r="D305" s="56" t="s">
        <v>3802</v>
      </c>
      <c r="E305" s="56" t="s">
        <v>6279</v>
      </c>
      <c r="F305" s="56" t="s">
        <v>6278</v>
      </c>
      <c r="G305" s="58" t="s">
        <v>5336</v>
      </c>
      <c r="H305" s="56">
        <v>2</v>
      </c>
      <c r="I305" s="56" t="s">
        <v>5335</v>
      </c>
      <c r="J305" s="56">
        <v>505</v>
      </c>
      <c r="K305" s="56">
        <v>420</v>
      </c>
      <c r="L305" s="56">
        <v>1230</v>
      </c>
      <c r="M305" s="56">
        <v>0</v>
      </c>
      <c r="N305" s="56">
        <v>0</v>
      </c>
      <c r="O305" s="56">
        <v>100</v>
      </c>
      <c r="P305" s="56">
        <v>0</v>
      </c>
      <c r="Q305" s="56">
        <v>1130</v>
      </c>
      <c r="R305" s="56">
        <v>0</v>
      </c>
      <c r="S305" s="56">
        <v>0</v>
      </c>
      <c r="T305" s="56" t="s">
        <v>3562</v>
      </c>
      <c r="U305" s="56">
        <v>1130</v>
      </c>
      <c r="V305" s="56" t="s">
        <v>59</v>
      </c>
      <c r="W305" s="56" t="s">
        <v>3548</v>
      </c>
      <c r="X305" s="56" t="s">
        <v>39</v>
      </c>
      <c r="Y305" s="56" t="s">
        <v>4706</v>
      </c>
      <c r="Z305" s="56" t="s">
        <v>6277</v>
      </c>
      <c r="AC305" s="56" t="s">
        <v>3543</v>
      </c>
      <c r="AD305" s="56" t="s">
        <v>24</v>
      </c>
      <c r="AE305" s="56" t="s">
        <v>6080</v>
      </c>
      <c r="AF305" s="56" t="s">
        <v>6276</v>
      </c>
      <c r="AH305" s="56" t="s">
        <v>3542</v>
      </c>
      <c r="AI305" s="56" t="s">
        <v>3723</v>
      </c>
    </row>
    <row r="306" spans="1:35" ht="33" customHeight="1">
      <c r="A306" s="56" t="s">
        <v>6280</v>
      </c>
      <c r="B306" s="57">
        <v>44359.446261574078</v>
      </c>
      <c r="C306" s="56" t="s">
        <v>3803</v>
      </c>
      <c r="D306" s="56" t="s">
        <v>3802</v>
      </c>
      <c r="E306" s="56" t="s">
        <v>6279</v>
      </c>
      <c r="F306" s="56" t="s">
        <v>6278</v>
      </c>
      <c r="G306" s="58" t="s">
        <v>4445</v>
      </c>
      <c r="H306" s="56">
        <v>1</v>
      </c>
      <c r="I306" s="56" t="s">
        <v>3769</v>
      </c>
      <c r="J306" s="56">
        <v>405</v>
      </c>
      <c r="K306" s="56">
        <v>390</v>
      </c>
      <c r="P306" s="56">
        <v>0</v>
      </c>
      <c r="S306" s="56">
        <v>0</v>
      </c>
      <c r="T306" s="56" t="s">
        <v>3562</v>
      </c>
      <c r="V306" s="56" t="s">
        <v>59</v>
      </c>
      <c r="W306" s="56" t="s">
        <v>3548</v>
      </c>
      <c r="X306" s="56" t="s">
        <v>39</v>
      </c>
      <c r="Y306" s="56" t="s">
        <v>4706</v>
      </c>
      <c r="Z306" s="56" t="s">
        <v>6277</v>
      </c>
      <c r="AC306" s="56" t="s">
        <v>3543</v>
      </c>
      <c r="AD306" s="56" t="s">
        <v>24</v>
      </c>
      <c r="AE306" s="56" t="s">
        <v>6080</v>
      </c>
      <c r="AF306" s="56" t="s">
        <v>6276</v>
      </c>
      <c r="AH306" s="56" t="s">
        <v>3542</v>
      </c>
      <c r="AI306" s="56" t="s">
        <v>3723</v>
      </c>
    </row>
    <row r="307" spans="1:35" ht="33" customHeight="1">
      <c r="A307" s="56" t="s">
        <v>6280</v>
      </c>
      <c r="B307" s="57">
        <v>44359.446261574078</v>
      </c>
      <c r="C307" s="56" t="s">
        <v>3803</v>
      </c>
      <c r="D307" s="56" t="s">
        <v>3802</v>
      </c>
      <c r="E307" s="56" t="s">
        <v>6279</v>
      </c>
      <c r="F307" s="56" t="s">
        <v>6278</v>
      </c>
      <c r="G307" s="58" t="s">
        <v>3551</v>
      </c>
      <c r="H307" s="56">
        <v>1</v>
      </c>
      <c r="I307" s="56" t="s">
        <v>3550</v>
      </c>
      <c r="J307" s="56">
        <v>0</v>
      </c>
      <c r="K307" s="56">
        <v>0</v>
      </c>
      <c r="P307" s="56">
        <v>0</v>
      </c>
      <c r="S307" s="56">
        <v>0</v>
      </c>
      <c r="T307" s="56" t="s">
        <v>3562</v>
      </c>
      <c r="V307" s="56" t="s">
        <v>59</v>
      </c>
      <c r="W307" s="56" t="s">
        <v>3548</v>
      </c>
      <c r="X307" s="56" t="s">
        <v>39</v>
      </c>
      <c r="Y307" s="56" t="s">
        <v>4706</v>
      </c>
      <c r="Z307" s="56" t="s">
        <v>6277</v>
      </c>
      <c r="AC307" s="56" t="s">
        <v>3543</v>
      </c>
      <c r="AD307" s="56" t="s">
        <v>24</v>
      </c>
      <c r="AE307" s="56" t="s">
        <v>6080</v>
      </c>
      <c r="AF307" s="56" t="s">
        <v>6276</v>
      </c>
      <c r="AH307" s="56" t="s">
        <v>3542</v>
      </c>
      <c r="AI307" s="56" t="s">
        <v>3723</v>
      </c>
    </row>
    <row r="308" spans="1:35" ht="33" customHeight="1">
      <c r="A308" s="56" t="s">
        <v>6280</v>
      </c>
      <c r="B308" s="57">
        <v>44359.446261574078</v>
      </c>
      <c r="C308" s="56" t="s">
        <v>3803</v>
      </c>
      <c r="D308" s="56" t="s">
        <v>3802</v>
      </c>
      <c r="E308" s="56" t="s">
        <v>6279</v>
      </c>
      <c r="F308" s="56" t="s">
        <v>6278</v>
      </c>
      <c r="G308" s="58" t="s">
        <v>1500</v>
      </c>
      <c r="H308" s="56">
        <v>1</v>
      </c>
      <c r="I308" s="56" t="s">
        <v>6228</v>
      </c>
      <c r="J308" s="56">
        <v>0</v>
      </c>
      <c r="K308" s="56">
        <v>0</v>
      </c>
      <c r="P308" s="56">
        <v>0</v>
      </c>
      <c r="S308" s="56">
        <v>0</v>
      </c>
      <c r="T308" s="56" t="s">
        <v>3562</v>
      </c>
      <c r="V308" s="56" t="s">
        <v>59</v>
      </c>
      <c r="W308" s="56" t="s">
        <v>3548</v>
      </c>
      <c r="X308" s="56" t="s">
        <v>39</v>
      </c>
      <c r="Y308" s="56" t="s">
        <v>4706</v>
      </c>
      <c r="Z308" s="56" t="s">
        <v>6277</v>
      </c>
      <c r="AC308" s="56" t="s">
        <v>3543</v>
      </c>
      <c r="AD308" s="56" t="s">
        <v>24</v>
      </c>
      <c r="AE308" s="56" t="s">
        <v>6080</v>
      </c>
      <c r="AF308" s="56" t="s">
        <v>6276</v>
      </c>
      <c r="AH308" s="56" t="s">
        <v>3542</v>
      </c>
      <c r="AI308" s="56" t="s">
        <v>3723</v>
      </c>
    </row>
    <row r="309" spans="1:35" ht="33" customHeight="1">
      <c r="A309" s="56" t="s">
        <v>6274</v>
      </c>
      <c r="B309" s="57">
        <v>44359.4609375</v>
      </c>
      <c r="C309" s="56" t="s">
        <v>4512</v>
      </c>
      <c r="D309" s="56" t="s">
        <v>4511</v>
      </c>
      <c r="E309" s="56" t="s">
        <v>6273</v>
      </c>
      <c r="F309" s="56" t="s">
        <v>6272</v>
      </c>
      <c r="G309" s="58" t="s">
        <v>3174</v>
      </c>
      <c r="H309" s="56">
        <v>1</v>
      </c>
      <c r="I309" s="56" t="s">
        <v>3791</v>
      </c>
      <c r="J309" s="56">
        <v>299</v>
      </c>
      <c r="K309" s="56">
        <v>299</v>
      </c>
      <c r="L309" s="56">
        <v>1135</v>
      </c>
      <c r="M309" s="56">
        <v>0</v>
      </c>
      <c r="N309" s="56">
        <v>0</v>
      </c>
      <c r="O309" s="56">
        <v>100</v>
      </c>
      <c r="P309" s="56">
        <v>0</v>
      </c>
      <c r="Q309" s="56">
        <v>1035</v>
      </c>
      <c r="R309" s="56">
        <v>0</v>
      </c>
      <c r="S309" s="56">
        <v>0</v>
      </c>
      <c r="T309" s="56" t="s">
        <v>3562</v>
      </c>
      <c r="U309" s="56">
        <v>1035</v>
      </c>
      <c r="V309" s="56" t="s">
        <v>3612</v>
      </c>
      <c r="W309" s="56" t="s">
        <v>3548</v>
      </c>
      <c r="X309" s="56" t="s">
        <v>3611</v>
      </c>
      <c r="Z309" s="56" t="s">
        <v>3546</v>
      </c>
      <c r="AA309" s="56" t="s">
        <v>6271</v>
      </c>
      <c r="AB309" s="56" t="s">
        <v>6270</v>
      </c>
      <c r="AC309" s="56" t="s">
        <v>3543</v>
      </c>
      <c r="AD309" s="56" t="s">
        <v>24</v>
      </c>
      <c r="AE309" s="56" t="s">
        <v>5127</v>
      </c>
      <c r="AF309" s="56" t="s">
        <v>6269</v>
      </c>
      <c r="AH309" s="56" t="s">
        <v>3542</v>
      </c>
      <c r="AI309" s="56" t="s">
        <v>3723</v>
      </c>
    </row>
    <row r="310" spans="1:35" ht="33" customHeight="1">
      <c r="A310" s="56" t="s">
        <v>6274</v>
      </c>
      <c r="B310" s="57">
        <v>44359.4609375</v>
      </c>
      <c r="C310" s="56" t="s">
        <v>4512</v>
      </c>
      <c r="D310" s="56" t="s">
        <v>4511</v>
      </c>
      <c r="E310" s="56" t="s">
        <v>6273</v>
      </c>
      <c r="F310" s="56" t="s">
        <v>6272</v>
      </c>
      <c r="G310" s="58" t="s">
        <v>6275</v>
      </c>
      <c r="H310" s="56">
        <v>1</v>
      </c>
      <c r="I310" s="56" t="s">
        <v>3577</v>
      </c>
      <c r="J310" s="56">
        <v>700</v>
      </c>
      <c r="K310" s="56">
        <v>599</v>
      </c>
      <c r="P310" s="56">
        <v>0</v>
      </c>
      <c r="S310" s="56">
        <v>0</v>
      </c>
      <c r="T310" s="56" t="s">
        <v>3562</v>
      </c>
      <c r="V310" s="56" t="s">
        <v>3612</v>
      </c>
      <c r="W310" s="56" t="s">
        <v>3548</v>
      </c>
      <c r="X310" s="56" t="s">
        <v>3611</v>
      </c>
      <c r="Z310" s="56" t="s">
        <v>3546</v>
      </c>
      <c r="AA310" s="56" t="s">
        <v>6271</v>
      </c>
      <c r="AB310" s="56" t="s">
        <v>6270</v>
      </c>
      <c r="AC310" s="56" t="s">
        <v>3543</v>
      </c>
      <c r="AD310" s="56" t="s">
        <v>24</v>
      </c>
      <c r="AE310" s="56" t="s">
        <v>5127</v>
      </c>
      <c r="AF310" s="56" t="s">
        <v>6269</v>
      </c>
      <c r="AH310" s="56" t="s">
        <v>3542</v>
      </c>
      <c r="AI310" s="56" t="s">
        <v>3723</v>
      </c>
    </row>
    <row r="311" spans="1:35" ht="33" customHeight="1">
      <c r="A311" s="56" t="s">
        <v>6274</v>
      </c>
      <c r="B311" s="57">
        <v>44359.4609375</v>
      </c>
      <c r="C311" s="56" t="s">
        <v>4512</v>
      </c>
      <c r="D311" s="56" t="s">
        <v>4511</v>
      </c>
      <c r="E311" s="56" t="s">
        <v>6273</v>
      </c>
      <c r="F311" s="56" t="s">
        <v>6272</v>
      </c>
      <c r="G311" s="58" t="s">
        <v>2165</v>
      </c>
      <c r="H311" s="56">
        <v>1</v>
      </c>
      <c r="I311" s="56" t="s">
        <v>3721</v>
      </c>
      <c r="J311" s="56">
        <v>109</v>
      </c>
      <c r="K311" s="56">
        <v>109</v>
      </c>
      <c r="P311" s="56">
        <v>0</v>
      </c>
      <c r="S311" s="56">
        <v>0</v>
      </c>
      <c r="T311" s="56" t="s">
        <v>3562</v>
      </c>
      <c r="V311" s="56" t="s">
        <v>3612</v>
      </c>
      <c r="W311" s="56" t="s">
        <v>3548</v>
      </c>
      <c r="X311" s="56" t="s">
        <v>3611</v>
      </c>
      <c r="Z311" s="56" t="s">
        <v>3546</v>
      </c>
      <c r="AA311" s="56" t="s">
        <v>6271</v>
      </c>
      <c r="AB311" s="56" t="s">
        <v>6270</v>
      </c>
      <c r="AC311" s="56" t="s">
        <v>3543</v>
      </c>
      <c r="AD311" s="56" t="s">
        <v>24</v>
      </c>
      <c r="AE311" s="56" t="s">
        <v>5127</v>
      </c>
      <c r="AF311" s="56" t="s">
        <v>6269</v>
      </c>
      <c r="AH311" s="56" t="s">
        <v>3542</v>
      </c>
      <c r="AI311" s="56" t="s">
        <v>3723</v>
      </c>
    </row>
    <row r="312" spans="1:35" ht="33" customHeight="1">
      <c r="A312" s="56" t="s">
        <v>6274</v>
      </c>
      <c r="B312" s="57">
        <v>44359.4609375</v>
      </c>
      <c r="C312" s="56" t="s">
        <v>4512</v>
      </c>
      <c r="D312" s="56" t="s">
        <v>4511</v>
      </c>
      <c r="E312" s="56" t="s">
        <v>6273</v>
      </c>
      <c r="F312" s="56" t="s">
        <v>6272</v>
      </c>
      <c r="G312" s="58" t="s">
        <v>2163</v>
      </c>
      <c r="H312" s="56">
        <v>1</v>
      </c>
      <c r="I312" s="56" t="s">
        <v>3694</v>
      </c>
      <c r="J312" s="56">
        <v>128</v>
      </c>
      <c r="K312" s="56">
        <v>128</v>
      </c>
      <c r="P312" s="56">
        <v>0</v>
      </c>
      <c r="S312" s="56">
        <v>0</v>
      </c>
      <c r="T312" s="56" t="s">
        <v>3562</v>
      </c>
      <c r="V312" s="56" t="s">
        <v>3612</v>
      </c>
      <c r="W312" s="56" t="s">
        <v>3548</v>
      </c>
      <c r="X312" s="56" t="s">
        <v>3611</v>
      </c>
      <c r="Z312" s="56" t="s">
        <v>3546</v>
      </c>
      <c r="AA312" s="56" t="s">
        <v>6271</v>
      </c>
      <c r="AB312" s="56" t="s">
        <v>6270</v>
      </c>
      <c r="AC312" s="56" t="s">
        <v>3543</v>
      </c>
      <c r="AD312" s="56" t="s">
        <v>24</v>
      </c>
      <c r="AE312" s="56" t="s">
        <v>5127</v>
      </c>
      <c r="AF312" s="56" t="s">
        <v>6269</v>
      </c>
      <c r="AH312" s="56" t="s">
        <v>3542</v>
      </c>
      <c r="AI312" s="56" t="s">
        <v>3723</v>
      </c>
    </row>
    <row r="313" spans="1:35" ht="33" customHeight="1">
      <c r="A313" s="56" t="s">
        <v>6274</v>
      </c>
      <c r="B313" s="57">
        <v>44359.4609375</v>
      </c>
      <c r="C313" s="56" t="s">
        <v>4512</v>
      </c>
      <c r="D313" s="56" t="s">
        <v>4511</v>
      </c>
      <c r="E313" s="56" t="s">
        <v>6273</v>
      </c>
      <c r="F313" s="56" t="s">
        <v>6272</v>
      </c>
      <c r="G313" s="58" t="s">
        <v>3551</v>
      </c>
      <c r="H313" s="56">
        <v>1</v>
      </c>
      <c r="I313" s="56" t="s">
        <v>3550</v>
      </c>
      <c r="J313" s="56">
        <v>0</v>
      </c>
      <c r="K313" s="56">
        <v>0</v>
      </c>
      <c r="P313" s="56">
        <v>0</v>
      </c>
      <c r="S313" s="56">
        <v>0</v>
      </c>
      <c r="T313" s="56" t="s">
        <v>3562</v>
      </c>
      <c r="V313" s="56" t="s">
        <v>3612</v>
      </c>
      <c r="W313" s="56" t="s">
        <v>3548</v>
      </c>
      <c r="X313" s="56" t="s">
        <v>3611</v>
      </c>
      <c r="Z313" s="56" t="s">
        <v>3546</v>
      </c>
      <c r="AA313" s="56" t="s">
        <v>6271</v>
      </c>
      <c r="AB313" s="56" t="s">
        <v>6270</v>
      </c>
      <c r="AC313" s="56" t="s">
        <v>3543</v>
      </c>
      <c r="AD313" s="56" t="s">
        <v>24</v>
      </c>
      <c r="AE313" s="56" t="s">
        <v>5127</v>
      </c>
      <c r="AF313" s="56" t="s">
        <v>6269</v>
      </c>
      <c r="AH313" s="56" t="s">
        <v>3542</v>
      </c>
      <c r="AI313" s="56" t="s">
        <v>3723</v>
      </c>
    </row>
    <row r="314" spans="1:35" ht="33" customHeight="1">
      <c r="A314" s="56" t="s">
        <v>6274</v>
      </c>
      <c r="B314" s="57">
        <v>44359.4609375</v>
      </c>
      <c r="C314" s="56" t="s">
        <v>4512</v>
      </c>
      <c r="D314" s="56" t="s">
        <v>4511</v>
      </c>
      <c r="E314" s="56" t="s">
        <v>6273</v>
      </c>
      <c r="F314" s="56" t="s">
        <v>6272</v>
      </c>
      <c r="G314" s="58" t="s">
        <v>1500</v>
      </c>
      <c r="H314" s="56">
        <v>1</v>
      </c>
      <c r="I314" s="56" t="s">
        <v>6228</v>
      </c>
      <c r="J314" s="56">
        <v>0</v>
      </c>
      <c r="K314" s="56">
        <v>0</v>
      </c>
      <c r="P314" s="56">
        <v>0</v>
      </c>
      <c r="S314" s="56">
        <v>0</v>
      </c>
      <c r="T314" s="56" t="s">
        <v>3562</v>
      </c>
      <c r="V314" s="56" t="s">
        <v>3612</v>
      </c>
      <c r="W314" s="56" t="s">
        <v>3548</v>
      </c>
      <c r="X314" s="56" t="s">
        <v>3611</v>
      </c>
      <c r="Z314" s="56" t="s">
        <v>3546</v>
      </c>
      <c r="AA314" s="56" t="s">
        <v>6271</v>
      </c>
      <c r="AB314" s="56" t="s">
        <v>6270</v>
      </c>
      <c r="AC314" s="56" t="s">
        <v>3543</v>
      </c>
      <c r="AD314" s="56" t="s">
        <v>24</v>
      </c>
      <c r="AE314" s="56" t="s">
        <v>5127</v>
      </c>
      <c r="AF314" s="56" t="s">
        <v>6269</v>
      </c>
      <c r="AH314" s="56" t="s">
        <v>3542</v>
      </c>
      <c r="AI314" s="56" t="s">
        <v>3723</v>
      </c>
    </row>
    <row r="315" spans="1:35" ht="33" customHeight="1">
      <c r="A315" s="56" t="s">
        <v>6268</v>
      </c>
      <c r="B315" s="57">
        <v>44359.464513888888</v>
      </c>
      <c r="C315" s="56" t="s">
        <v>3803</v>
      </c>
      <c r="D315" s="56" t="s">
        <v>4426</v>
      </c>
      <c r="E315" s="56" t="s">
        <v>6267</v>
      </c>
      <c r="F315" s="56" t="s">
        <v>6266</v>
      </c>
      <c r="G315" s="58" t="s">
        <v>3593</v>
      </c>
      <c r="H315" s="56">
        <v>1</v>
      </c>
      <c r="I315" s="56" t="s">
        <v>3577</v>
      </c>
      <c r="J315" s="56">
        <v>700</v>
      </c>
      <c r="K315" s="56">
        <v>599</v>
      </c>
      <c r="L315" s="56">
        <v>1593</v>
      </c>
      <c r="M315" s="56">
        <v>0</v>
      </c>
      <c r="N315" s="56">
        <v>0</v>
      </c>
      <c r="O315" s="56">
        <v>100</v>
      </c>
      <c r="P315" s="56">
        <v>0</v>
      </c>
      <c r="Q315" s="56">
        <v>1493</v>
      </c>
      <c r="R315" s="56">
        <v>0</v>
      </c>
      <c r="S315" s="56">
        <v>0</v>
      </c>
      <c r="T315" s="56" t="s">
        <v>3562</v>
      </c>
      <c r="U315" s="56">
        <v>1493</v>
      </c>
      <c r="V315" s="56" t="s">
        <v>59</v>
      </c>
      <c r="W315" s="56" t="s">
        <v>3548</v>
      </c>
      <c r="X315" s="56" t="s">
        <v>3716</v>
      </c>
      <c r="Z315" s="56" t="s">
        <v>3546</v>
      </c>
      <c r="AA315" s="56" t="s">
        <v>6265</v>
      </c>
      <c r="AB315" s="56" t="s">
        <v>6264</v>
      </c>
      <c r="AC315" s="56" t="s">
        <v>3543</v>
      </c>
      <c r="AD315" s="56" t="s">
        <v>24</v>
      </c>
      <c r="AE315" s="56" t="s">
        <v>6080</v>
      </c>
      <c r="AF315" s="56" t="s">
        <v>6263</v>
      </c>
      <c r="AH315" s="56" t="s">
        <v>3542</v>
      </c>
      <c r="AI315" s="56" t="s">
        <v>3723</v>
      </c>
    </row>
    <row r="316" spans="1:35" ht="33" customHeight="1">
      <c r="A316" s="56" t="s">
        <v>6268</v>
      </c>
      <c r="B316" s="57">
        <v>44359.464513888888</v>
      </c>
      <c r="C316" s="56" t="s">
        <v>3803</v>
      </c>
      <c r="D316" s="56" t="s">
        <v>4426</v>
      </c>
      <c r="E316" s="56" t="s">
        <v>6267</v>
      </c>
      <c r="F316" s="56" t="s">
        <v>6266</v>
      </c>
      <c r="G316" s="58" t="s">
        <v>3681</v>
      </c>
      <c r="H316" s="56">
        <v>1</v>
      </c>
      <c r="I316" s="56" t="s">
        <v>3569</v>
      </c>
      <c r="J316" s="56">
        <v>894</v>
      </c>
      <c r="K316" s="56">
        <v>750</v>
      </c>
      <c r="P316" s="56">
        <v>0</v>
      </c>
      <c r="S316" s="56">
        <v>0</v>
      </c>
      <c r="T316" s="56" t="s">
        <v>3562</v>
      </c>
      <c r="V316" s="56" t="s">
        <v>59</v>
      </c>
      <c r="W316" s="56" t="s">
        <v>3548</v>
      </c>
      <c r="X316" s="56" t="s">
        <v>3716</v>
      </c>
      <c r="Z316" s="56" t="s">
        <v>3546</v>
      </c>
      <c r="AA316" s="56" t="s">
        <v>6265</v>
      </c>
      <c r="AB316" s="56" t="s">
        <v>6264</v>
      </c>
      <c r="AC316" s="56" t="s">
        <v>3543</v>
      </c>
      <c r="AD316" s="56" t="s">
        <v>24</v>
      </c>
      <c r="AE316" s="56" t="s">
        <v>6080</v>
      </c>
      <c r="AF316" s="56" t="s">
        <v>6263</v>
      </c>
      <c r="AH316" s="56" t="s">
        <v>3542</v>
      </c>
      <c r="AI316" s="56" t="s">
        <v>3723</v>
      </c>
    </row>
    <row r="317" spans="1:35" ht="33" customHeight="1">
      <c r="A317" s="56" t="s">
        <v>6268</v>
      </c>
      <c r="B317" s="57">
        <v>44359.464513888888</v>
      </c>
      <c r="C317" s="56" t="s">
        <v>3803</v>
      </c>
      <c r="D317" s="56" t="s">
        <v>4426</v>
      </c>
      <c r="E317" s="56" t="s">
        <v>6267</v>
      </c>
      <c r="F317" s="56" t="s">
        <v>6266</v>
      </c>
      <c r="G317" s="58" t="s">
        <v>1493</v>
      </c>
      <c r="H317" s="56">
        <v>1</v>
      </c>
      <c r="I317" s="56" t="s">
        <v>3601</v>
      </c>
      <c r="J317" s="56">
        <v>135</v>
      </c>
      <c r="K317" s="56">
        <v>135</v>
      </c>
      <c r="P317" s="56">
        <v>0</v>
      </c>
      <c r="S317" s="56">
        <v>0</v>
      </c>
      <c r="T317" s="56" t="s">
        <v>3562</v>
      </c>
      <c r="V317" s="56" t="s">
        <v>59</v>
      </c>
      <c r="W317" s="56" t="s">
        <v>3548</v>
      </c>
      <c r="X317" s="56" t="s">
        <v>3716</v>
      </c>
      <c r="Z317" s="56" t="s">
        <v>3546</v>
      </c>
      <c r="AA317" s="56" t="s">
        <v>6265</v>
      </c>
      <c r="AB317" s="56" t="s">
        <v>6264</v>
      </c>
      <c r="AC317" s="56" t="s">
        <v>3543</v>
      </c>
      <c r="AD317" s="56" t="s">
        <v>24</v>
      </c>
      <c r="AE317" s="56" t="s">
        <v>6080</v>
      </c>
      <c r="AF317" s="56" t="s">
        <v>6263</v>
      </c>
      <c r="AH317" s="56" t="s">
        <v>3542</v>
      </c>
      <c r="AI317" s="56" t="s">
        <v>3723</v>
      </c>
    </row>
    <row r="318" spans="1:35" ht="33" customHeight="1">
      <c r="A318" s="56" t="s">
        <v>6268</v>
      </c>
      <c r="B318" s="57">
        <v>44359.464513888888</v>
      </c>
      <c r="C318" s="56" t="s">
        <v>3803</v>
      </c>
      <c r="D318" s="56" t="s">
        <v>4426</v>
      </c>
      <c r="E318" s="56" t="s">
        <v>6267</v>
      </c>
      <c r="F318" s="56" t="s">
        <v>6266</v>
      </c>
      <c r="G318" s="58" t="s">
        <v>2165</v>
      </c>
      <c r="H318" s="56">
        <v>1</v>
      </c>
      <c r="I318" s="56" t="s">
        <v>3721</v>
      </c>
      <c r="J318" s="56">
        <v>109</v>
      </c>
      <c r="K318" s="56">
        <v>109</v>
      </c>
      <c r="P318" s="56">
        <v>0</v>
      </c>
      <c r="S318" s="56">
        <v>0</v>
      </c>
      <c r="T318" s="56" t="s">
        <v>3562</v>
      </c>
      <c r="V318" s="56" t="s">
        <v>59</v>
      </c>
      <c r="W318" s="56" t="s">
        <v>3548</v>
      </c>
      <c r="X318" s="56" t="s">
        <v>3716</v>
      </c>
      <c r="Z318" s="56" t="s">
        <v>3546</v>
      </c>
      <c r="AA318" s="56" t="s">
        <v>6265</v>
      </c>
      <c r="AB318" s="56" t="s">
        <v>6264</v>
      </c>
      <c r="AC318" s="56" t="s">
        <v>3543</v>
      </c>
      <c r="AD318" s="56" t="s">
        <v>24</v>
      </c>
      <c r="AE318" s="56" t="s">
        <v>6080</v>
      </c>
      <c r="AF318" s="56" t="s">
        <v>6263</v>
      </c>
      <c r="AH318" s="56" t="s">
        <v>3542</v>
      </c>
      <c r="AI318" s="56" t="s">
        <v>3723</v>
      </c>
    </row>
    <row r="319" spans="1:35" ht="33" customHeight="1">
      <c r="A319" s="56" t="s">
        <v>6268</v>
      </c>
      <c r="B319" s="57">
        <v>44359.464513888888</v>
      </c>
      <c r="C319" s="56" t="s">
        <v>3803</v>
      </c>
      <c r="D319" s="56" t="s">
        <v>4426</v>
      </c>
      <c r="E319" s="56" t="s">
        <v>6267</v>
      </c>
      <c r="F319" s="56" t="s">
        <v>6266</v>
      </c>
      <c r="G319" s="58" t="s">
        <v>3551</v>
      </c>
      <c r="H319" s="56">
        <v>1</v>
      </c>
      <c r="I319" s="56" t="s">
        <v>3550</v>
      </c>
      <c r="J319" s="56">
        <v>0</v>
      </c>
      <c r="K319" s="56">
        <v>0</v>
      </c>
      <c r="P319" s="56">
        <v>0</v>
      </c>
      <c r="S319" s="56">
        <v>0</v>
      </c>
      <c r="T319" s="56" t="s">
        <v>3562</v>
      </c>
      <c r="V319" s="56" t="s">
        <v>59</v>
      </c>
      <c r="W319" s="56" t="s">
        <v>3548</v>
      </c>
      <c r="X319" s="56" t="s">
        <v>3716</v>
      </c>
      <c r="Z319" s="56" t="s">
        <v>3546</v>
      </c>
      <c r="AA319" s="56" t="s">
        <v>6265</v>
      </c>
      <c r="AB319" s="56" t="s">
        <v>6264</v>
      </c>
      <c r="AC319" s="56" t="s">
        <v>3543</v>
      </c>
      <c r="AD319" s="56" t="s">
        <v>24</v>
      </c>
      <c r="AE319" s="56" t="s">
        <v>6080</v>
      </c>
      <c r="AF319" s="56" t="s">
        <v>6263</v>
      </c>
      <c r="AH319" s="56" t="s">
        <v>3542</v>
      </c>
      <c r="AI319" s="56" t="s">
        <v>3723</v>
      </c>
    </row>
    <row r="320" spans="1:35" ht="33" customHeight="1">
      <c r="A320" s="56" t="s">
        <v>6268</v>
      </c>
      <c r="B320" s="57">
        <v>44359.464513888888</v>
      </c>
      <c r="C320" s="56" t="s">
        <v>3803</v>
      </c>
      <c r="D320" s="56" t="s">
        <v>4426</v>
      </c>
      <c r="E320" s="56" t="s">
        <v>6267</v>
      </c>
      <c r="F320" s="56" t="s">
        <v>6266</v>
      </c>
      <c r="G320" s="58" t="s">
        <v>1713</v>
      </c>
      <c r="H320" s="56">
        <v>1</v>
      </c>
      <c r="I320" s="56" t="s">
        <v>3568</v>
      </c>
      <c r="J320" s="56">
        <v>0</v>
      </c>
      <c r="K320" s="56">
        <v>0</v>
      </c>
      <c r="P320" s="56">
        <v>0</v>
      </c>
      <c r="S320" s="56">
        <v>0</v>
      </c>
      <c r="T320" s="56" t="s">
        <v>3562</v>
      </c>
      <c r="V320" s="56" t="s">
        <v>59</v>
      </c>
      <c r="W320" s="56" t="s">
        <v>3548</v>
      </c>
      <c r="X320" s="56" t="s">
        <v>3716</v>
      </c>
      <c r="Z320" s="56" t="s">
        <v>3546</v>
      </c>
      <c r="AA320" s="56" t="s">
        <v>6265</v>
      </c>
      <c r="AB320" s="56" t="s">
        <v>6264</v>
      </c>
      <c r="AC320" s="56" t="s">
        <v>3543</v>
      </c>
      <c r="AD320" s="56" t="s">
        <v>24</v>
      </c>
      <c r="AE320" s="56" t="s">
        <v>6080</v>
      </c>
      <c r="AF320" s="56" t="s">
        <v>6263</v>
      </c>
      <c r="AH320" s="56" t="s">
        <v>3542</v>
      </c>
      <c r="AI320" s="56" t="s">
        <v>3723</v>
      </c>
    </row>
    <row r="321" spans="1:35" ht="33" customHeight="1">
      <c r="A321" s="56" t="s">
        <v>6268</v>
      </c>
      <c r="B321" s="57">
        <v>44359.464513888888</v>
      </c>
      <c r="C321" s="56" t="s">
        <v>3803</v>
      </c>
      <c r="D321" s="56" t="s">
        <v>4426</v>
      </c>
      <c r="E321" s="56" t="s">
        <v>6267</v>
      </c>
      <c r="F321" s="56" t="s">
        <v>6266</v>
      </c>
      <c r="G321" s="58" t="s">
        <v>1500</v>
      </c>
      <c r="H321" s="56">
        <v>1</v>
      </c>
      <c r="I321" s="56" t="s">
        <v>6228</v>
      </c>
      <c r="J321" s="56">
        <v>0</v>
      </c>
      <c r="K321" s="56">
        <v>0</v>
      </c>
      <c r="P321" s="56">
        <v>0</v>
      </c>
      <c r="S321" s="56">
        <v>0</v>
      </c>
      <c r="T321" s="56" t="s">
        <v>3562</v>
      </c>
      <c r="V321" s="56" t="s">
        <v>59</v>
      </c>
      <c r="W321" s="56" t="s">
        <v>3548</v>
      </c>
      <c r="X321" s="56" t="s">
        <v>3716</v>
      </c>
      <c r="Z321" s="56" t="s">
        <v>3546</v>
      </c>
      <c r="AA321" s="56" t="s">
        <v>6265</v>
      </c>
      <c r="AB321" s="56" t="s">
        <v>6264</v>
      </c>
      <c r="AC321" s="56" t="s">
        <v>3543</v>
      </c>
      <c r="AD321" s="56" t="s">
        <v>24</v>
      </c>
      <c r="AE321" s="56" t="s">
        <v>6080</v>
      </c>
      <c r="AF321" s="56" t="s">
        <v>6263</v>
      </c>
      <c r="AH321" s="56" t="s">
        <v>3542</v>
      </c>
      <c r="AI321" s="56" t="s">
        <v>3723</v>
      </c>
    </row>
    <row r="322" spans="1:35" ht="33" customHeight="1">
      <c r="A322" s="56" t="s">
        <v>6262</v>
      </c>
      <c r="B322" s="57">
        <v>44359.466504629629</v>
      </c>
      <c r="C322" s="56" t="s">
        <v>3803</v>
      </c>
      <c r="D322" s="56" t="s">
        <v>3802</v>
      </c>
      <c r="E322" s="56" t="s">
        <v>6261</v>
      </c>
      <c r="F322" s="56" t="s">
        <v>6260</v>
      </c>
      <c r="G322" s="58" t="s">
        <v>3747</v>
      </c>
      <c r="H322" s="56">
        <v>2</v>
      </c>
      <c r="I322" s="56" t="s">
        <v>3746</v>
      </c>
      <c r="J322" s="56">
        <v>660</v>
      </c>
      <c r="K322" s="56">
        <v>450</v>
      </c>
      <c r="L322" s="56">
        <v>900</v>
      </c>
      <c r="M322" s="56">
        <v>0</v>
      </c>
      <c r="N322" s="56">
        <v>0</v>
      </c>
      <c r="O322" s="56">
        <v>0</v>
      </c>
      <c r="P322" s="56">
        <v>0</v>
      </c>
      <c r="Q322" s="56">
        <v>900</v>
      </c>
      <c r="R322" s="56">
        <v>0</v>
      </c>
      <c r="S322" s="56">
        <v>0</v>
      </c>
      <c r="T322" s="56" t="s">
        <v>27</v>
      </c>
      <c r="U322" s="56">
        <v>900</v>
      </c>
      <c r="V322" s="56" t="s">
        <v>3736</v>
      </c>
      <c r="W322" s="56" t="s">
        <v>3548</v>
      </c>
      <c r="X322" s="56" t="s">
        <v>3735</v>
      </c>
      <c r="Y322" s="56" t="s">
        <v>3781</v>
      </c>
      <c r="Z322" s="56" t="s">
        <v>6259</v>
      </c>
      <c r="AC322" s="56" t="s">
        <v>3543</v>
      </c>
      <c r="AH322" s="56" t="s">
        <v>3542</v>
      </c>
      <c r="AI322" s="56" t="s">
        <v>3541</v>
      </c>
    </row>
    <row r="323" spans="1:35" ht="33" customHeight="1">
      <c r="A323" s="56" t="s">
        <v>6262</v>
      </c>
      <c r="B323" s="57">
        <v>44359.466504629629</v>
      </c>
      <c r="C323" s="56" t="s">
        <v>3803</v>
      </c>
      <c r="D323" s="56" t="s">
        <v>3802</v>
      </c>
      <c r="E323" s="56" t="s">
        <v>6261</v>
      </c>
      <c r="F323" s="56" t="s">
        <v>6260</v>
      </c>
      <c r="G323" s="58" t="s">
        <v>3551</v>
      </c>
      <c r="H323" s="56">
        <v>1</v>
      </c>
      <c r="I323" s="56" t="s">
        <v>3550</v>
      </c>
      <c r="J323" s="56">
        <v>0</v>
      </c>
      <c r="K323" s="56">
        <v>0</v>
      </c>
      <c r="P323" s="56">
        <v>0</v>
      </c>
      <c r="S323" s="56">
        <v>0</v>
      </c>
      <c r="T323" s="56" t="s">
        <v>27</v>
      </c>
      <c r="V323" s="56" t="s">
        <v>3736</v>
      </c>
      <c r="W323" s="56" t="s">
        <v>3548</v>
      </c>
      <c r="X323" s="56" t="s">
        <v>3735</v>
      </c>
      <c r="Y323" s="56" t="s">
        <v>3781</v>
      </c>
      <c r="Z323" s="56" t="s">
        <v>6259</v>
      </c>
      <c r="AC323" s="56" t="s">
        <v>3543</v>
      </c>
      <c r="AH323" s="56" t="s">
        <v>3542</v>
      </c>
      <c r="AI323" s="56" t="s">
        <v>3541</v>
      </c>
    </row>
    <row r="324" spans="1:35" ht="33" customHeight="1">
      <c r="A324" s="56" t="s">
        <v>6262</v>
      </c>
      <c r="B324" s="57">
        <v>44359.466504629629</v>
      </c>
      <c r="C324" s="56" t="s">
        <v>3803</v>
      </c>
      <c r="D324" s="56" t="s">
        <v>3802</v>
      </c>
      <c r="E324" s="56" t="s">
        <v>6261</v>
      </c>
      <c r="F324" s="56" t="s">
        <v>6260</v>
      </c>
      <c r="G324" s="58" t="s">
        <v>1500</v>
      </c>
      <c r="H324" s="56">
        <v>1</v>
      </c>
      <c r="I324" s="56" t="s">
        <v>6228</v>
      </c>
      <c r="J324" s="56">
        <v>0</v>
      </c>
      <c r="K324" s="56">
        <v>0</v>
      </c>
      <c r="P324" s="56">
        <v>0</v>
      </c>
      <c r="S324" s="56">
        <v>0</v>
      </c>
      <c r="T324" s="56" t="s">
        <v>27</v>
      </c>
      <c r="V324" s="56" t="s">
        <v>3736</v>
      </c>
      <c r="W324" s="56" t="s">
        <v>3548</v>
      </c>
      <c r="X324" s="56" t="s">
        <v>3735</v>
      </c>
      <c r="Y324" s="56" t="s">
        <v>3781</v>
      </c>
      <c r="Z324" s="56" t="s">
        <v>6259</v>
      </c>
      <c r="AC324" s="56" t="s">
        <v>3543</v>
      </c>
      <c r="AH324" s="56" t="s">
        <v>3542</v>
      </c>
      <c r="AI324" s="56" t="s">
        <v>3541</v>
      </c>
    </row>
    <row r="325" spans="1:35" ht="33" customHeight="1">
      <c r="A325" s="56" t="s">
        <v>6258</v>
      </c>
      <c r="B325" s="57">
        <v>44359.514780092592</v>
      </c>
      <c r="C325" s="56" t="s">
        <v>3803</v>
      </c>
      <c r="D325" s="56" t="s">
        <v>4511</v>
      </c>
      <c r="E325" s="56" t="s">
        <v>6257</v>
      </c>
      <c r="F325" s="56" t="s">
        <v>6256</v>
      </c>
      <c r="G325" s="58" t="s">
        <v>3934</v>
      </c>
      <c r="H325" s="56">
        <v>3</v>
      </c>
      <c r="I325" s="56" t="s">
        <v>3602</v>
      </c>
      <c r="J325" s="56">
        <v>447</v>
      </c>
      <c r="K325" s="56">
        <v>399</v>
      </c>
      <c r="L325" s="56">
        <v>1197</v>
      </c>
      <c r="M325" s="56">
        <v>0</v>
      </c>
      <c r="N325" s="56">
        <v>0</v>
      </c>
      <c r="O325" s="56">
        <v>120</v>
      </c>
      <c r="P325" s="56">
        <v>0</v>
      </c>
      <c r="Q325" s="56">
        <v>1077</v>
      </c>
      <c r="R325" s="56">
        <v>0</v>
      </c>
      <c r="S325" s="56">
        <v>0</v>
      </c>
      <c r="T325" s="56" t="s">
        <v>3562</v>
      </c>
      <c r="U325" s="56">
        <v>1077</v>
      </c>
      <c r="V325" s="56" t="s">
        <v>59</v>
      </c>
      <c r="W325" s="56" t="s">
        <v>3548</v>
      </c>
      <c r="X325" s="56" t="s">
        <v>3765</v>
      </c>
      <c r="Z325" s="56" t="s">
        <v>3546</v>
      </c>
      <c r="AA325" s="56" t="s">
        <v>6255</v>
      </c>
      <c r="AB325" s="56" t="s">
        <v>6254</v>
      </c>
      <c r="AC325" s="56" t="s">
        <v>3543</v>
      </c>
      <c r="AD325" s="56" t="s">
        <v>24</v>
      </c>
      <c r="AE325" s="56" t="s">
        <v>6080</v>
      </c>
      <c r="AF325" s="56" t="s">
        <v>6253</v>
      </c>
      <c r="AH325" s="56" t="s">
        <v>3542</v>
      </c>
      <c r="AI325" s="56" t="s">
        <v>3723</v>
      </c>
    </row>
    <row r="326" spans="1:35" ht="33" customHeight="1">
      <c r="A326" s="56" t="s">
        <v>6258</v>
      </c>
      <c r="B326" s="57">
        <v>44359.514780092592</v>
      </c>
      <c r="C326" s="56" t="s">
        <v>3803</v>
      </c>
      <c r="D326" s="56" t="s">
        <v>4511</v>
      </c>
      <c r="E326" s="56" t="s">
        <v>6257</v>
      </c>
      <c r="F326" s="56" t="s">
        <v>6256</v>
      </c>
      <c r="G326" s="58" t="s">
        <v>3551</v>
      </c>
      <c r="H326" s="56">
        <v>1</v>
      </c>
      <c r="I326" s="56" t="s">
        <v>3550</v>
      </c>
      <c r="J326" s="56">
        <v>0</v>
      </c>
      <c r="K326" s="56">
        <v>0</v>
      </c>
      <c r="P326" s="56">
        <v>0</v>
      </c>
      <c r="S326" s="56">
        <v>0</v>
      </c>
      <c r="T326" s="56" t="s">
        <v>3562</v>
      </c>
      <c r="V326" s="56" t="s">
        <v>59</v>
      </c>
      <c r="W326" s="56" t="s">
        <v>3548</v>
      </c>
      <c r="X326" s="56" t="s">
        <v>3765</v>
      </c>
      <c r="Z326" s="56" t="s">
        <v>3546</v>
      </c>
      <c r="AA326" s="56" t="s">
        <v>6255</v>
      </c>
      <c r="AB326" s="56" t="s">
        <v>6254</v>
      </c>
      <c r="AC326" s="56" t="s">
        <v>3543</v>
      </c>
      <c r="AD326" s="56" t="s">
        <v>24</v>
      </c>
      <c r="AE326" s="56" t="s">
        <v>6080</v>
      </c>
      <c r="AF326" s="56" t="s">
        <v>6253</v>
      </c>
      <c r="AH326" s="56" t="s">
        <v>3542</v>
      </c>
      <c r="AI326" s="56" t="s">
        <v>3723</v>
      </c>
    </row>
    <row r="327" spans="1:35" ht="33" customHeight="1">
      <c r="A327" s="56" t="s">
        <v>6258</v>
      </c>
      <c r="B327" s="57">
        <v>44359.514780092592</v>
      </c>
      <c r="C327" s="56" t="s">
        <v>3803</v>
      </c>
      <c r="D327" s="56" t="s">
        <v>4511</v>
      </c>
      <c r="E327" s="56" t="s">
        <v>6257</v>
      </c>
      <c r="F327" s="56" t="s">
        <v>6256</v>
      </c>
      <c r="G327" s="58" t="s">
        <v>1500</v>
      </c>
      <c r="H327" s="56">
        <v>1</v>
      </c>
      <c r="I327" s="56" t="s">
        <v>6228</v>
      </c>
      <c r="J327" s="56">
        <v>0</v>
      </c>
      <c r="K327" s="56">
        <v>0</v>
      </c>
      <c r="P327" s="56">
        <v>0</v>
      </c>
      <c r="S327" s="56">
        <v>0</v>
      </c>
      <c r="T327" s="56" t="s">
        <v>3562</v>
      </c>
      <c r="V327" s="56" t="s">
        <v>59</v>
      </c>
      <c r="W327" s="56" t="s">
        <v>3548</v>
      </c>
      <c r="X327" s="56" t="s">
        <v>3765</v>
      </c>
      <c r="Z327" s="56" t="s">
        <v>3546</v>
      </c>
      <c r="AA327" s="56" t="s">
        <v>6255</v>
      </c>
      <c r="AB327" s="56" t="s">
        <v>6254</v>
      </c>
      <c r="AC327" s="56" t="s">
        <v>3543</v>
      </c>
      <c r="AD327" s="56" t="s">
        <v>24</v>
      </c>
      <c r="AE327" s="56" t="s">
        <v>6080</v>
      </c>
      <c r="AF327" s="56" t="s">
        <v>6253</v>
      </c>
      <c r="AH327" s="56" t="s">
        <v>3542</v>
      </c>
      <c r="AI327" s="56" t="s">
        <v>3723</v>
      </c>
    </row>
    <row r="328" spans="1:35" ht="33" customHeight="1">
      <c r="A328" s="56" t="s">
        <v>6252</v>
      </c>
      <c r="B328" s="57">
        <v>44359.534097222226</v>
      </c>
      <c r="C328" s="56" t="s">
        <v>4512</v>
      </c>
      <c r="D328" s="56" t="s">
        <v>4511</v>
      </c>
      <c r="E328" s="56" t="s">
        <v>6251</v>
      </c>
      <c r="F328" s="56" t="s">
        <v>6250</v>
      </c>
      <c r="G328" s="58" t="s">
        <v>3681</v>
      </c>
      <c r="H328" s="56">
        <v>1</v>
      </c>
      <c r="I328" s="56" t="s">
        <v>3569</v>
      </c>
      <c r="J328" s="56">
        <v>894</v>
      </c>
      <c r="K328" s="56">
        <v>750</v>
      </c>
      <c r="L328" s="56">
        <v>1112</v>
      </c>
      <c r="M328" s="56">
        <v>0</v>
      </c>
      <c r="N328" s="56">
        <v>0</v>
      </c>
      <c r="O328" s="56">
        <v>100</v>
      </c>
      <c r="P328" s="56">
        <v>0</v>
      </c>
      <c r="Q328" s="56">
        <v>1012</v>
      </c>
      <c r="R328" s="56">
        <v>0</v>
      </c>
      <c r="S328" s="56">
        <v>0</v>
      </c>
      <c r="T328" s="56" t="s">
        <v>3562</v>
      </c>
      <c r="U328" s="56">
        <v>1012</v>
      </c>
      <c r="V328" s="56" t="s">
        <v>3549</v>
      </c>
      <c r="W328" s="56" t="s">
        <v>3548</v>
      </c>
      <c r="X328" s="56" t="s">
        <v>3547</v>
      </c>
      <c r="Z328" s="56" t="s">
        <v>3546</v>
      </c>
      <c r="AA328" s="56" t="s">
        <v>6249</v>
      </c>
      <c r="AB328" s="56" t="s">
        <v>6248</v>
      </c>
      <c r="AC328" s="56" t="s">
        <v>3543</v>
      </c>
      <c r="AD328" s="56" t="s">
        <v>24</v>
      </c>
      <c r="AE328" s="56" t="s">
        <v>4145</v>
      </c>
      <c r="AF328" s="56" t="s">
        <v>6247</v>
      </c>
      <c r="AH328" s="56" t="s">
        <v>3542</v>
      </c>
      <c r="AI328" s="56" t="s">
        <v>3723</v>
      </c>
    </row>
    <row r="329" spans="1:35" ht="33" customHeight="1">
      <c r="A329" s="56" t="s">
        <v>6252</v>
      </c>
      <c r="B329" s="57">
        <v>44359.534097222226</v>
      </c>
      <c r="C329" s="56" t="s">
        <v>4512</v>
      </c>
      <c r="D329" s="56" t="s">
        <v>4511</v>
      </c>
      <c r="E329" s="56" t="s">
        <v>6251</v>
      </c>
      <c r="F329" s="56" t="s">
        <v>6250</v>
      </c>
      <c r="G329" s="58" t="s">
        <v>1493</v>
      </c>
      <c r="H329" s="56">
        <v>1</v>
      </c>
      <c r="I329" s="56" t="s">
        <v>3601</v>
      </c>
      <c r="J329" s="56">
        <v>135</v>
      </c>
      <c r="K329" s="56">
        <v>135</v>
      </c>
      <c r="P329" s="56">
        <v>0</v>
      </c>
      <c r="S329" s="56">
        <v>0</v>
      </c>
      <c r="T329" s="56" t="s">
        <v>3562</v>
      </c>
      <c r="V329" s="56" t="s">
        <v>3549</v>
      </c>
      <c r="W329" s="56" t="s">
        <v>3548</v>
      </c>
      <c r="X329" s="56" t="s">
        <v>3547</v>
      </c>
      <c r="Z329" s="56" t="s">
        <v>3546</v>
      </c>
      <c r="AA329" s="56" t="s">
        <v>6249</v>
      </c>
      <c r="AB329" s="56" t="s">
        <v>6248</v>
      </c>
      <c r="AC329" s="56" t="s">
        <v>3543</v>
      </c>
      <c r="AD329" s="56" t="s">
        <v>24</v>
      </c>
      <c r="AE329" s="56" t="s">
        <v>4145</v>
      </c>
      <c r="AF329" s="56" t="s">
        <v>6247</v>
      </c>
      <c r="AH329" s="56" t="s">
        <v>3542</v>
      </c>
      <c r="AI329" s="56" t="s">
        <v>3723</v>
      </c>
    </row>
    <row r="330" spans="1:35" ht="33" customHeight="1">
      <c r="A330" s="56" t="s">
        <v>6252</v>
      </c>
      <c r="B330" s="57">
        <v>44359.534097222226</v>
      </c>
      <c r="C330" s="56" t="s">
        <v>4512</v>
      </c>
      <c r="D330" s="56" t="s">
        <v>4511</v>
      </c>
      <c r="E330" s="56" t="s">
        <v>6251</v>
      </c>
      <c r="F330" s="56" t="s">
        <v>6250</v>
      </c>
      <c r="G330" s="58" t="s">
        <v>2163</v>
      </c>
      <c r="H330" s="56">
        <v>1</v>
      </c>
      <c r="I330" s="56" t="s">
        <v>3694</v>
      </c>
      <c r="J330" s="56">
        <v>128</v>
      </c>
      <c r="K330" s="56">
        <v>128</v>
      </c>
      <c r="P330" s="56">
        <v>0</v>
      </c>
      <c r="S330" s="56">
        <v>0</v>
      </c>
      <c r="T330" s="56" t="s">
        <v>3562</v>
      </c>
      <c r="V330" s="56" t="s">
        <v>3549</v>
      </c>
      <c r="W330" s="56" t="s">
        <v>3548</v>
      </c>
      <c r="X330" s="56" t="s">
        <v>3547</v>
      </c>
      <c r="Z330" s="56" t="s">
        <v>3546</v>
      </c>
      <c r="AA330" s="56" t="s">
        <v>6249</v>
      </c>
      <c r="AB330" s="56" t="s">
        <v>6248</v>
      </c>
      <c r="AC330" s="56" t="s">
        <v>3543</v>
      </c>
      <c r="AD330" s="56" t="s">
        <v>24</v>
      </c>
      <c r="AE330" s="56" t="s">
        <v>4145</v>
      </c>
      <c r="AF330" s="56" t="s">
        <v>6247</v>
      </c>
      <c r="AH330" s="56" t="s">
        <v>3542</v>
      </c>
      <c r="AI330" s="56" t="s">
        <v>3723</v>
      </c>
    </row>
    <row r="331" spans="1:35" ht="33" customHeight="1">
      <c r="A331" s="56" t="s">
        <v>6252</v>
      </c>
      <c r="B331" s="57">
        <v>44359.534097222226</v>
      </c>
      <c r="C331" s="56" t="s">
        <v>4512</v>
      </c>
      <c r="D331" s="56" t="s">
        <v>4511</v>
      </c>
      <c r="E331" s="56" t="s">
        <v>6251</v>
      </c>
      <c r="F331" s="56" t="s">
        <v>6250</v>
      </c>
      <c r="G331" s="58" t="s">
        <v>1498</v>
      </c>
      <c r="H331" s="56">
        <v>1</v>
      </c>
      <c r="I331" s="56" t="s">
        <v>5272</v>
      </c>
      <c r="J331" s="56">
        <v>200</v>
      </c>
      <c r="K331" s="56">
        <v>99</v>
      </c>
      <c r="P331" s="56">
        <v>0</v>
      </c>
      <c r="S331" s="56">
        <v>0</v>
      </c>
      <c r="T331" s="56" t="s">
        <v>3562</v>
      </c>
      <c r="V331" s="56" t="s">
        <v>3549</v>
      </c>
      <c r="W331" s="56" t="s">
        <v>3548</v>
      </c>
      <c r="X331" s="56" t="s">
        <v>3547</v>
      </c>
      <c r="Z331" s="56" t="s">
        <v>3546</v>
      </c>
      <c r="AA331" s="56" t="s">
        <v>6249</v>
      </c>
      <c r="AB331" s="56" t="s">
        <v>6248</v>
      </c>
      <c r="AC331" s="56" t="s">
        <v>3543</v>
      </c>
      <c r="AD331" s="56" t="s">
        <v>24</v>
      </c>
      <c r="AE331" s="56" t="s">
        <v>4145</v>
      </c>
      <c r="AF331" s="56" t="s">
        <v>6247</v>
      </c>
      <c r="AH331" s="56" t="s">
        <v>3542</v>
      </c>
      <c r="AI331" s="56" t="s">
        <v>3723</v>
      </c>
    </row>
    <row r="332" spans="1:35" ht="33" customHeight="1">
      <c r="A332" s="56" t="s">
        <v>6252</v>
      </c>
      <c r="B332" s="57">
        <v>44359.534097222226</v>
      </c>
      <c r="C332" s="56" t="s">
        <v>4512</v>
      </c>
      <c r="D332" s="56" t="s">
        <v>4511</v>
      </c>
      <c r="E332" s="56" t="s">
        <v>6251</v>
      </c>
      <c r="F332" s="56" t="s">
        <v>6250</v>
      </c>
      <c r="G332" s="58" t="s">
        <v>3551</v>
      </c>
      <c r="H332" s="56">
        <v>1</v>
      </c>
      <c r="I332" s="56" t="s">
        <v>3550</v>
      </c>
      <c r="J332" s="56">
        <v>0</v>
      </c>
      <c r="K332" s="56">
        <v>0</v>
      </c>
      <c r="P332" s="56">
        <v>0</v>
      </c>
      <c r="S332" s="56">
        <v>0</v>
      </c>
      <c r="T332" s="56" t="s">
        <v>3562</v>
      </c>
      <c r="V332" s="56" t="s">
        <v>3549</v>
      </c>
      <c r="W332" s="56" t="s">
        <v>3548</v>
      </c>
      <c r="X332" s="56" t="s">
        <v>3547</v>
      </c>
      <c r="Z332" s="56" t="s">
        <v>3546</v>
      </c>
      <c r="AA332" s="56" t="s">
        <v>6249</v>
      </c>
      <c r="AB332" s="56" t="s">
        <v>6248</v>
      </c>
      <c r="AC332" s="56" t="s">
        <v>3543</v>
      </c>
      <c r="AD332" s="56" t="s">
        <v>24</v>
      </c>
      <c r="AE332" s="56" t="s">
        <v>4145</v>
      </c>
      <c r="AF332" s="56" t="s">
        <v>6247</v>
      </c>
      <c r="AH332" s="56" t="s">
        <v>3542</v>
      </c>
      <c r="AI332" s="56" t="s">
        <v>3723</v>
      </c>
    </row>
    <row r="333" spans="1:35" ht="33" customHeight="1">
      <c r="A333" s="56" t="s">
        <v>6252</v>
      </c>
      <c r="B333" s="57">
        <v>44359.534097222226</v>
      </c>
      <c r="C333" s="56" t="s">
        <v>4512</v>
      </c>
      <c r="D333" s="56" t="s">
        <v>4511</v>
      </c>
      <c r="E333" s="56" t="s">
        <v>6251</v>
      </c>
      <c r="F333" s="56" t="s">
        <v>6250</v>
      </c>
      <c r="G333" s="58" t="s">
        <v>1500</v>
      </c>
      <c r="H333" s="56">
        <v>1</v>
      </c>
      <c r="I333" s="56" t="s">
        <v>6228</v>
      </c>
      <c r="J333" s="56">
        <v>0</v>
      </c>
      <c r="K333" s="56">
        <v>0</v>
      </c>
      <c r="P333" s="56">
        <v>0</v>
      </c>
      <c r="S333" s="56">
        <v>0</v>
      </c>
      <c r="T333" s="56" t="s">
        <v>3562</v>
      </c>
      <c r="V333" s="56" t="s">
        <v>3549</v>
      </c>
      <c r="W333" s="56" t="s">
        <v>3548</v>
      </c>
      <c r="X333" s="56" t="s">
        <v>3547</v>
      </c>
      <c r="Z333" s="56" t="s">
        <v>3546</v>
      </c>
      <c r="AA333" s="56" t="s">
        <v>6249</v>
      </c>
      <c r="AB333" s="56" t="s">
        <v>6248</v>
      </c>
      <c r="AC333" s="56" t="s">
        <v>3543</v>
      </c>
      <c r="AD333" s="56" t="s">
        <v>24</v>
      </c>
      <c r="AE333" s="56" t="s">
        <v>4145</v>
      </c>
      <c r="AF333" s="56" t="s">
        <v>6247</v>
      </c>
      <c r="AH333" s="56" t="s">
        <v>3542</v>
      </c>
      <c r="AI333" s="56" t="s">
        <v>3723</v>
      </c>
    </row>
    <row r="334" spans="1:35" ht="33" customHeight="1">
      <c r="A334" s="56" t="s">
        <v>6246</v>
      </c>
      <c r="B334" s="57">
        <v>44359.545983796299</v>
      </c>
      <c r="C334" s="56" t="s">
        <v>4512</v>
      </c>
      <c r="D334" s="56" t="s">
        <v>4511</v>
      </c>
      <c r="E334" s="56" t="s">
        <v>6245</v>
      </c>
      <c r="F334" s="56" t="s">
        <v>6244</v>
      </c>
      <c r="G334" s="58" t="s">
        <v>3732</v>
      </c>
      <c r="H334" s="56">
        <v>1</v>
      </c>
      <c r="I334" s="56" t="s">
        <v>3731</v>
      </c>
      <c r="J334" s="56">
        <v>867</v>
      </c>
      <c r="K334" s="56">
        <v>550</v>
      </c>
      <c r="L334" s="56">
        <v>1548</v>
      </c>
      <c r="M334" s="56">
        <v>0</v>
      </c>
      <c r="N334" s="56">
        <v>0</v>
      </c>
      <c r="O334" s="56">
        <v>100</v>
      </c>
      <c r="P334" s="56">
        <v>0</v>
      </c>
      <c r="Q334" s="56">
        <v>1448</v>
      </c>
      <c r="R334" s="56">
        <v>0</v>
      </c>
      <c r="S334" s="56">
        <v>0</v>
      </c>
      <c r="T334" s="56" t="s">
        <v>3562</v>
      </c>
      <c r="U334" s="56">
        <v>1448</v>
      </c>
      <c r="V334" s="56" t="s">
        <v>3549</v>
      </c>
      <c r="W334" s="56" t="s">
        <v>3548</v>
      </c>
      <c r="X334" s="56" t="s">
        <v>3547</v>
      </c>
      <c r="Z334" s="56" t="s">
        <v>3546</v>
      </c>
      <c r="AA334" s="56" t="s">
        <v>6243</v>
      </c>
      <c r="AB334" s="56" t="s">
        <v>6242</v>
      </c>
      <c r="AC334" s="56" t="s">
        <v>3543</v>
      </c>
      <c r="AD334" s="56" t="s">
        <v>24</v>
      </c>
      <c r="AE334" s="56" t="s">
        <v>4145</v>
      </c>
      <c r="AF334" s="56" t="s">
        <v>6241</v>
      </c>
      <c r="AH334" s="56" t="s">
        <v>3542</v>
      </c>
      <c r="AI334" s="56" t="s">
        <v>3723</v>
      </c>
    </row>
    <row r="335" spans="1:35" ht="33" customHeight="1">
      <c r="A335" s="56" t="s">
        <v>6246</v>
      </c>
      <c r="B335" s="57">
        <v>44359.545983796299</v>
      </c>
      <c r="C335" s="56" t="s">
        <v>4512</v>
      </c>
      <c r="D335" s="56" t="s">
        <v>4511</v>
      </c>
      <c r="E335" s="56" t="s">
        <v>6245</v>
      </c>
      <c r="F335" s="56" t="s">
        <v>6244</v>
      </c>
      <c r="G335" s="58" t="s">
        <v>3603</v>
      </c>
      <c r="H335" s="56">
        <v>1</v>
      </c>
      <c r="I335" s="56" t="s">
        <v>3602</v>
      </c>
      <c r="J335" s="56">
        <v>447</v>
      </c>
      <c r="K335" s="56">
        <v>399</v>
      </c>
      <c r="P335" s="56">
        <v>0</v>
      </c>
      <c r="S335" s="56">
        <v>0</v>
      </c>
      <c r="T335" s="56" t="s">
        <v>3562</v>
      </c>
      <c r="V335" s="56" t="s">
        <v>3549</v>
      </c>
      <c r="W335" s="56" t="s">
        <v>3548</v>
      </c>
      <c r="X335" s="56" t="s">
        <v>3547</v>
      </c>
      <c r="Z335" s="56" t="s">
        <v>3546</v>
      </c>
      <c r="AA335" s="56" t="s">
        <v>6243</v>
      </c>
      <c r="AB335" s="56" t="s">
        <v>6242</v>
      </c>
      <c r="AC335" s="56" t="s">
        <v>3543</v>
      </c>
      <c r="AD335" s="56" t="s">
        <v>24</v>
      </c>
      <c r="AE335" s="56" t="s">
        <v>4145</v>
      </c>
      <c r="AF335" s="56" t="s">
        <v>6241</v>
      </c>
      <c r="AH335" s="56" t="s">
        <v>3542</v>
      </c>
      <c r="AI335" s="56" t="s">
        <v>3723</v>
      </c>
    </row>
    <row r="336" spans="1:35" ht="33" customHeight="1">
      <c r="A336" s="56" t="s">
        <v>6246</v>
      </c>
      <c r="B336" s="57">
        <v>44359.545983796299</v>
      </c>
      <c r="C336" s="56" t="s">
        <v>4512</v>
      </c>
      <c r="D336" s="56" t="s">
        <v>4511</v>
      </c>
      <c r="E336" s="56" t="s">
        <v>6245</v>
      </c>
      <c r="F336" s="56" t="s">
        <v>6244</v>
      </c>
      <c r="G336" s="58" t="s">
        <v>3593</v>
      </c>
      <c r="H336" s="56">
        <v>1</v>
      </c>
      <c r="I336" s="56" t="s">
        <v>3577</v>
      </c>
      <c r="J336" s="56">
        <v>700</v>
      </c>
      <c r="K336" s="56">
        <v>599</v>
      </c>
      <c r="P336" s="56">
        <v>0</v>
      </c>
      <c r="S336" s="56">
        <v>0</v>
      </c>
      <c r="T336" s="56" t="s">
        <v>3562</v>
      </c>
      <c r="V336" s="56" t="s">
        <v>3549</v>
      </c>
      <c r="W336" s="56" t="s">
        <v>3548</v>
      </c>
      <c r="X336" s="56" t="s">
        <v>3547</v>
      </c>
      <c r="Z336" s="56" t="s">
        <v>3546</v>
      </c>
      <c r="AA336" s="56" t="s">
        <v>6243</v>
      </c>
      <c r="AB336" s="56" t="s">
        <v>6242</v>
      </c>
      <c r="AC336" s="56" t="s">
        <v>3543</v>
      </c>
      <c r="AD336" s="56" t="s">
        <v>24</v>
      </c>
      <c r="AE336" s="56" t="s">
        <v>4145</v>
      </c>
      <c r="AF336" s="56" t="s">
        <v>6241</v>
      </c>
      <c r="AH336" s="56" t="s">
        <v>3542</v>
      </c>
      <c r="AI336" s="56" t="s">
        <v>3723</v>
      </c>
    </row>
    <row r="337" spans="1:35" ht="33" customHeight="1">
      <c r="A337" s="56" t="s">
        <v>6246</v>
      </c>
      <c r="B337" s="57">
        <v>44359.545983796299</v>
      </c>
      <c r="C337" s="56" t="s">
        <v>4512</v>
      </c>
      <c r="D337" s="56" t="s">
        <v>4511</v>
      </c>
      <c r="E337" s="56" t="s">
        <v>6245</v>
      </c>
      <c r="F337" s="56" t="s">
        <v>6244</v>
      </c>
      <c r="G337" s="58" t="s">
        <v>3551</v>
      </c>
      <c r="H337" s="56">
        <v>1</v>
      </c>
      <c r="I337" s="56" t="s">
        <v>3550</v>
      </c>
      <c r="J337" s="56">
        <v>0</v>
      </c>
      <c r="K337" s="56">
        <v>0</v>
      </c>
      <c r="P337" s="56">
        <v>0</v>
      </c>
      <c r="S337" s="56">
        <v>0</v>
      </c>
      <c r="T337" s="56" t="s">
        <v>3562</v>
      </c>
      <c r="V337" s="56" t="s">
        <v>3549</v>
      </c>
      <c r="W337" s="56" t="s">
        <v>3548</v>
      </c>
      <c r="X337" s="56" t="s">
        <v>3547</v>
      </c>
      <c r="Z337" s="56" t="s">
        <v>3546</v>
      </c>
      <c r="AA337" s="56" t="s">
        <v>6243</v>
      </c>
      <c r="AB337" s="56" t="s">
        <v>6242</v>
      </c>
      <c r="AC337" s="56" t="s">
        <v>3543</v>
      </c>
      <c r="AD337" s="56" t="s">
        <v>24</v>
      </c>
      <c r="AE337" s="56" t="s">
        <v>4145</v>
      </c>
      <c r="AF337" s="56" t="s">
        <v>6241</v>
      </c>
      <c r="AH337" s="56" t="s">
        <v>3542</v>
      </c>
      <c r="AI337" s="56" t="s">
        <v>3723</v>
      </c>
    </row>
    <row r="338" spans="1:35" ht="33" customHeight="1">
      <c r="A338" s="56" t="s">
        <v>6246</v>
      </c>
      <c r="B338" s="57">
        <v>44359.545983796299</v>
      </c>
      <c r="C338" s="56" t="s">
        <v>4512</v>
      </c>
      <c r="D338" s="56" t="s">
        <v>4511</v>
      </c>
      <c r="E338" s="56" t="s">
        <v>6245</v>
      </c>
      <c r="F338" s="56" t="s">
        <v>6244</v>
      </c>
      <c r="G338" s="58" t="s">
        <v>1713</v>
      </c>
      <c r="H338" s="56">
        <v>1</v>
      </c>
      <c r="I338" s="56" t="s">
        <v>3568</v>
      </c>
      <c r="J338" s="56">
        <v>0</v>
      </c>
      <c r="K338" s="56">
        <v>0</v>
      </c>
      <c r="P338" s="56">
        <v>0</v>
      </c>
      <c r="S338" s="56">
        <v>0</v>
      </c>
      <c r="T338" s="56" t="s">
        <v>3562</v>
      </c>
      <c r="V338" s="56" t="s">
        <v>3549</v>
      </c>
      <c r="W338" s="56" t="s">
        <v>3548</v>
      </c>
      <c r="X338" s="56" t="s">
        <v>3547</v>
      </c>
      <c r="Z338" s="56" t="s">
        <v>3546</v>
      </c>
      <c r="AA338" s="56" t="s">
        <v>6243</v>
      </c>
      <c r="AB338" s="56" t="s">
        <v>6242</v>
      </c>
      <c r="AC338" s="56" t="s">
        <v>3543</v>
      </c>
      <c r="AD338" s="56" t="s">
        <v>24</v>
      </c>
      <c r="AE338" s="56" t="s">
        <v>4145</v>
      </c>
      <c r="AF338" s="56" t="s">
        <v>6241</v>
      </c>
      <c r="AH338" s="56" t="s">
        <v>3542</v>
      </c>
      <c r="AI338" s="56" t="s">
        <v>3723</v>
      </c>
    </row>
    <row r="339" spans="1:35" ht="33" customHeight="1">
      <c r="A339" s="56" t="s">
        <v>6246</v>
      </c>
      <c r="B339" s="57">
        <v>44359.545983796299</v>
      </c>
      <c r="C339" s="56" t="s">
        <v>4512</v>
      </c>
      <c r="D339" s="56" t="s">
        <v>4511</v>
      </c>
      <c r="E339" s="56" t="s">
        <v>6245</v>
      </c>
      <c r="F339" s="56" t="s">
        <v>6244</v>
      </c>
      <c r="G339" s="58" t="s">
        <v>1500</v>
      </c>
      <c r="H339" s="56">
        <v>1</v>
      </c>
      <c r="I339" s="56" t="s">
        <v>6228</v>
      </c>
      <c r="J339" s="56">
        <v>0</v>
      </c>
      <c r="K339" s="56">
        <v>0</v>
      </c>
      <c r="P339" s="56">
        <v>0</v>
      </c>
      <c r="S339" s="56">
        <v>0</v>
      </c>
      <c r="T339" s="56" t="s">
        <v>3562</v>
      </c>
      <c r="V339" s="56" t="s">
        <v>3549</v>
      </c>
      <c r="W339" s="56" t="s">
        <v>3548</v>
      </c>
      <c r="X339" s="56" t="s">
        <v>3547</v>
      </c>
      <c r="Z339" s="56" t="s">
        <v>3546</v>
      </c>
      <c r="AA339" s="56" t="s">
        <v>6243</v>
      </c>
      <c r="AB339" s="56" t="s">
        <v>6242</v>
      </c>
      <c r="AC339" s="56" t="s">
        <v>3543</v>
      </c>
      <c r="AD339" s="56" t="s">
        <v>24</v>
      </c>
      <c r="AE339" s="56" t="s">
        <v>4145</v>
      </c>
      <c r="AF339" s="56" t="s">
        <v>6241</v>
      </c>
      <c r="AH339" s="56" t="s">
        <v>3542</v>
      </c>
      <c r="AI339" s="56" t="s">
        <v>3723</v>
      </c>
    </row>
    <row r="340" spans="1:35" ht="33" customHeight="1">
      <c r="A340" s="56" t="s">
        <v>6240</v>
      </c>
      <c r="B340" s="57">
        <v>44359.573067129626</v>
      </c>
      <c r="C340" s="56" t="s">
        <v>3803</v>
      </c>
      <c r="D340" s="56" t="s">
        <v>4426</v>
      </c>
      <c r="E340" s="56" t="s">
        <v>6239</v>
      </c>
      <c r="F340" s="56" t="s">
        <v>6238</v>
      </c>
      <c r="G340" s="58" t="s">
        <v>3570</v>
      </c>
      <c r="H340" s="56">
        <v>2</v>
      </c>
      <c r="I340" s="56" t="s">
        <v>3569</v>
      </c>
      <c r="J340" s="56">
        <v>894</v>
      </c>
      <c r="K340" s="56">
        <v>750</v>
      </c>
      <c r="L340" s="56">
        <v>1500</v>
      </c>
      <c r="M340" s="56">
        <v>0</v>
      </c>
      <c r="N340" s="56">
        <v>0</v>
      </c>
      <c r="O340" s="56">
        <v>100</v>
      </c>
      <c r="P340" s="56">
        <v>0</v>
      </c>
      <c r="Q340" s="56">
        <v>1400</v>
      </c>
      <c r="R340" s="56">
        <v>0</v>
      </c>
      <c r="S340" s="56">
        <v>0</v>
      </c>
      <c r="T340" s="56" t="s">
        <v>27</v>
      </c>
      <c r="U340" s="56">
        <v>1400</v>
      </c>
      <c r="V340" s="56" t="s">
        <v>3549</v>
      </c>
      <c r="W340" s="56" t="s">
        <v>3548</v>
      </c>
      <c r="X340" s="56" t="s">
        <v>3547</v>
      </c>
      <c r="Z340" s="56" t="s">
        <v>3546</v>
      </c>
      <c r="AA340" s="56" t="s">
        <v>991</v>
      </c>
      <c r="AB340" s="56" t="s">
        <v>6237</v>
      </c>
      <c r="AC340" s="56" t="s">
        <v>3543</v>
      </c>
      <c r="AH340" s="56" t="s">
        <v>3542</v>
      </c>
      <c r="AI340" s="56" t="s">
        <v>3541</v>
      </c>
    </row>
    <row r="341" spans="1:35" ht="33" customHeight="1">
      <c r="A341" s="56" t="s">
        <v>6240</v>
      </c>
      <c r="B341" s="57">
        <v>44359.573067129626</v>
      </c>
      <c r="C341" s="56" t="s">
        <v>3803</v>
      </c>
      <c r="D341" s="56" t="s">
        <v>4426</v>
      </c>
      <c r="E341" s="56" t="s">
        <v>6239</v>
      </c>
      <c r="F341" s="56" t="s">
        <v>6238</v>
      </c>
      <c r="G341" s="58" t="s">
        <v>3551</v>
      </c>
      <c r="H341" s="56">
        <v>1</v>
      </c>
      <c r="I341" s="56" t="s">
        <v>3550</v>
      </c>
      <c r="J341" s="56">
        <v>0</v>
      </c>
      <c r="K341" s="56">
        <v>0</v>
      </c>
      <c r="P341" s="56">
        <v>0</v>
      </c>
      <c r="S341" s="56">
        <v>0</v>
      </c>
      <c r="T341" s="56" t="s">
        <v>27</v>
      </c>
      <c r="V341" s="56" t="s">
        <v>3549</v>
      </c>
      <c r="W341" s="56" t="s">
        <v>3548</v>
      </c>
      <c r="X341" s="56" t="s">
        <v>3547</v>
      </c>
      <c r="Z341" s="56" t="s">
        <v>3546</v>
      </c>
      <c r="AA341" s="56" t="s">
        <v>991</v>
      </c>
      <c r="AB341" s="56" t="s">
        <v>6237</v>
      </c>
      <c r="AC341" s="56" t="s">
        <v>3543</v>
      </c>
      <c r="AH341" s="56" t="s">
        <v>3542</v>
      </c>
      <c r="AI341" s="56" t="s">
        <v>3541</v>
      </c>
    </row>
    <row r="342" spans="1:35" ht="33" customHeight="1">
      <c r="A342" s="56" t="s">
        <v>6240</v>
      </c>
      <c r="B342" s="57">
        <v>44359.573067129626</v>
      </c>
      <c r="C342" s="56" t="s">
        <v>3803</v>
      </c>
      <c r="D342" s="56" t="s">
        <v>4426</v>
      </c>
      <c r="E342" s="56" t="s">
        <v>6239</v>
      </c>
      <c r="F342" s="56" t="s">
        <v>6238</v>
      </c>
      <c r="G342" s="58" t="s">
        <v>1713</v>
      </c>
      <c r="H342" s="56">
        <v>1</v>
      </c>
      <c r="I342" s="56" t="s">
        <v>3568</v>
      </c>
      <c r="J342" s="56">
        <v>0</v>
      </c>
      <c r="K342" s="56">
        <v>0</v>
      </c>
      <c r="P342" s="56">
        <v>0</v>
      </c>
      <c r="S342" s="56">
        <v>0</v>
      </c>
      <c r="T342" s="56" t="s">
        <v>27</v>
      </c>
      <c r="V342" s="56" t="s">
        <v>3549</v>
      </c>
      <c r="W342" s="56" t="s">
        <v>3548</v>
      </c>
      <c r="X342" s="56" t="s">
        <v>3547</v>
      </c>
      <c r="Z342" s="56" t="s">
        <v>3546</v>
      </c>
      <c r="AA342" s="56" t="s">
        <v>991</v>
      </c>
      <c r="AB342" s="56" t="s">
        <v>6237</v>
      </c>
      <c r="AC342" s="56" t="s">
        <v>3543</v>
      </c>
      <c r="AH342" s="56" t="s">
        <v>3542</v>
      </c>
      <c r="AI342" s="56" t="s">
        <v>3541</v>
      </c>
    </row>
    <row r="343" spans="1:35" ht="33" customHeight="1">
      <c r="A343" s="56" t="s">
        <v>6240</v>
      </c>
      <c r="B343" s="57">
        <v>44359.573067129626</v>
      </c>
      <c r="C343" s="56" t="s">
        <v>3803</v>
      </c>
      <c r="D343" s="56" t="s">
        <v>4426</v>
      </c>
      <c r="E343" s="56" t="s">
        <v>6239</v>
      </c>
      <c r="F343" s="56" t="s">
        <v>6238</v>
      </c>
      <c r="G343" s="58" t="s">
        <v>1500</v>
      </c>
      <c r="H343" s="56">
        <v>1</v>
      </c>
      <c r="I343" s="56" t="s">
        <v>6228</v>
      </c>
      <c r="J343" s="56">
        <v>0</v>
      </c>
      <c r="K343" s="56">
        <v>0</v>
      </c>
      <c r="P343" s="56">
        <v>0</v>
      </c>
      <c r="S343" s="56">
        <v>0</v>
      </c>
      <c r="T343" s="56" t="s">
        <v>27</v>
      </c>
      <c r="V343" s="56" t="s">
        <v>3549</v>
      </c>
      <c r="W343" s="56" t="s">
        <v>3548</v>
      </c>
      <c r="X343" s="56" t="s">
        <v>3547</v>
      </c>
      <c r="Z343" s="56" t="s">
        <v>3546</v>
      </c>
      <c r="AA343" s="56" t="s">
        <v>991</v>
      </c>
      <c r="AB343" s="56" t="s">
        <v>6237</v>
      </c>
      <c r="AC343" s="56" t="s">
        <v>3543</v>
      </c>
      <c r="AH343" s="56" t="s">
        <v>3542</v>
      </c>
      <c r="AI343" s="56" t="s">
        <v>3541</v>
      </c>
    </row>
    <row r="344" spans="1:35" ht="33" customHeight="1">
      <c r="A344" s="56" t="s">
        <v>6236</v>
      </c>
      <c r="B344" s="57">
        <v>44359.579791666663</v>
      </c>
      <c r="C344" s="56" t="s">
        <v>3803</v>
      </c>
      <c r="D344" s="56" t="s">
        <v>3802</v>
      </c>
      <c r="E344" s="56" t="s">
        <v>6235</v>
      </c>
      <c r="F344" s="56" t="s">
        <v>6234</v>
      </c>
      <c r="G344" s="58" t="s">
        <v>3811</v>
      </c>
      <c r="H344" s="56">
        <v>1</v>
      </c>
      <c r="I344" s="56" t="s">
        <v>3669</v>
      </c>
      <c r="J344" s="56">
        <v>897</v>
      </c>
      <c r="K344" s="56">
        <v>888</v>
      </c>
      <c r="L344" s="56">
        <v>2208</v>
      </c>
      <c r="M344" s="56">
        <v>60</v>
      </c>
      <c r="N344" s="56">
        <v>0</v>
      </c>
      <c r="O344" s="56">
        <v>155</v>
      </c>
      <c r="P344" s="56">
        <v>0</v>
      </c>
      <c r="Q344" s="56">
        <v>2113</v>
      </c>
      <c r="R344" s="56">
        <v>0</v>
      </c>
      <c r="S344" s="56">
        <v>0</v>
      </c>
      <c r="T344" s="56" t="s">
        <v>3562</v>
      </c>
      <c r="U344" s="56">
        <v>2113</v>
      </c>
      <c r="V344" s="56" t="s">
        <v>3561</v>
      </c>
      <c r="W344" s="56" t="s">
        <v>3548</v>
      </c>
      <c r="X344" s="56" t="s">
        <v>39</v>
      </c>
      <c r="Y344" s="56" t="s">
        <v>4413</v>
      </c>
      <c r="Z344" s="56" t="s">
        <v>6233</v>
      </c>
      <c r="AC344" s="56" t="s">
        <v>3543</v>
      </c>
      <c r="AD344" s="56" t="s">
        <v>24</v>
      </c>
      <c r="AE344" s="56" t="s">
        <v>6080</v>
      </c>
      <c r="AF344" s="56" t="s">
        <v>6232</v>
      </c>
      <c r="AH344" s="56" t="s">
        <v>3542</v>
      </c>
      <c r="AI344" s="56" t="s">
        <v>3723</v>
      </c>
    </row>
    <row r="345" spans="1:35" ht="33" customHeight="1">
      <c r="A345" s="56" t="s">
        <v>6236</v>
      </c>
      <c r="B345" s="57">
        <v>44359.579791666663</v>
      </c>
      <c r="C345" s="56" t="s">
        <v>3803</v>
      </c>
      <c r="D345" s="56" t="s">
        <v>3802</v>
      </c>
      <c r="E345" s="56" t="s">
        <v>6235</v>
      </c>
      <c r="F345" s="56" t="s">
        <v>6234</v>
      </c>
      <c r="G345" s="58" t="s">
        <v>3849</v>
      </c>
      <c r="H345" s="56">
        <v>1</v>
      </c>
      <c r="I345" s="56" t="s">
        <v>3848</v>
      </c>
      <c r="J345" s="56">
        <v>1396</v>
      </c>
      <c r="K345" s="56">
        <v>1320</v>
      </c>
      <c r="P345" s="56">
        <v>0</v>
      </c>
      <c r="S345" s="56">
        <v>0</v>
      </c>
      <c r="T345" s="56" t="s">
        <v>3562</v>
      </c>
      <c r="V345" s="56" t="s">
        <v>3561</v>
      </c>
      <c r="W345" s="56" t="s">
        <v>3548</v>
      </c>
      <c r="X345" s="56" t="s">
        <v>39</v>
      </c>
      <c r="Y345" s="56" t="s">
        <v>4413</v>
      </c>
      <c r="Z345" s="56" t="s">
        <v>6233</v>
      </c>
      <c r="AC345" s="56" t="s">
        <v>3543</v>
      </c>
      <c r="AD345" s="56" t="s">
        <v>24</v>
      </c>
      <c r="AE345" s="56" t="s">
        <v>6080</v>
      </c>
      <c r="AF345" s="56" t="s">
        <v>6232</v>
      </c>
      <c r="AH345" s="56" t="s">
        <v>3542</v>
      </c>
      <c r="AI345" s="56" t="s">
        <v>3723</v>
      </c>
    </row>
    <row r="346" spans="1:35" ht="33" customHeight="1">
      <c r="A346" s="56" t="s">
        <v>6236</v>
      </c>
      <c r="B346" s="57">
        <v>44359.579791666663</v>
      </c>
      <c r="C346" s="56" t="s">
        <v>3803</v>
      </c>
      <c r="D346" s="56" t="s">
        <v>3802</v>
      </c>
      <c r="E346" s="56" t="s">
        <v>6235</v>
      </c>
      <c r="F346" s="56" t="s">
        <v>6234</v>
      </c>
      <c r="G346" s="58" t="s">
        <v>3551</v>
      </c>
      <c r="H346" s="56">
        <v>1</v>
      </c>
      <c r="I346" s="56" t="s">
        <v>3550</v>
      </c>
      <c r="J346" s="56">
        <v>0</v>
      </c>
      <c r="K346" s="56">
        <v>0</v>
      </c>
      <c r="P346" s="56">
        <v>0</v>
      </c>
      <c r="S346" s="56">
        <v>0</v>
      </c>
      <c r="T346" s="56" t="s">
        <v>3562</v>
      </c>
      <c r="V346" s="56" t="s">
        <v>3561</v>
      </c>
      <c r="W346" s="56" t="s">
        <v>3548</v>
      </c>
      <c r="X346" s="56" t="s">
        <v>39</v>
      </c>
      <c r="Y346" s="56" t="s">
        <v>4413</v>
      </c>
      <c r="Z346" s="56" t="s">
        <v>6233</v>
      </c>
      <c r="AC346" s="56" t="s">
        <v>3543</v>
      </c>
      <c r="AD346" s="56" t="s">
        <v>24</v>
      </c>
      <c r="AE346" s="56" t="s">
        <v>6080</v>
      </c>
      <c r="AF346" s="56" t="s">
        <v>6232</v>
      </c>
      <c r="AH346" s="56" t="s">
        <v>3542</v>
      </c>
      <c r="AI346" s="56" t="s">
        <v>3723</v>
      </c>
    </row>
    <row r="347" spans="1:35" ht="33" customHeight="1">
      <c r="A347" s="56" t="s">
        <v>6236</v>
      </c>
      <c r="B347" s="57">
        <v>44359.579791666663</v>
      </c>
      <c r="C347" s="56" t="s">
        <v>3803</v>
      </c>
      <c r="D347" s="56" t="s">
        <v>3802</v>
      </c>
      <c r="E347" s="56" t="s">
        <v>6235</v>
      </c>
      <c r="F347" s="56" t="s">
        <v>6234</v>
      </c>
      <c r="G347" s="58" t="s">
        <v>1713</v>
      </c>
      <c r="H347" s="56">
        <v>1</v>
      </c>
      <c r="I347" s="56" t="s">
        <v>3568</v>
      </c>
      <c r="J347" s="56">
        <v>0</v>
      </c>
      <c r="K347" s="56">
        <v>0</v>
      </c>
      <c r="P347" s="56">
        <v>0</v>
      </c>
      <c r="S347" s="56">
        <v>0</v>
      </c>
      <c r="T347" s="56" t="s">
        <v>3562</v>
      </c>
      <c r="V347" s="56" t="s">
        <v>3561</v>
      </c>
      <c r="W347" s="56" t="s">
        <v>3548</v>
      </c>
      <c r="X347" s="56" t="s">
        <v>39</v>
      </c>
      <c r="Y347" s="56" t="s">
        <v>4413</v>
      </c>
      <c r="Z347" s="56" t="s">
        <v>6233</v>
      </c>
      <c r="AC347" s="56" t="s">
        <v>3543</v>
      </c>
      <c r="AD347" s="56" t="s">
        <v>24</v>
      </c>
      <c r="AE347" s="56" t="s">
        <v>6080</v>
      </c>
      <c r="AF347" s="56" t="s">
        <v>6232</v>
      </c>
      <c r="AH347" s="56" t="s">
        <v>3542</v>
      </c>
      <c r="AI347" s="56" t="s">
        <v>3723</v>
      </c>
    </row>
    <row r="348" spans="1:35" ht="33" customHeight="1">
      <c r="A348" s="56" t="s">
        <v>6236</v>
      </c>
      <c r="B348" s="57">
        <v>44359.579791666663</v>
      </c>
      <c r="C348" s="56" t="s">
        <v>3803</v>
      </c>
      <c r="D348" s="56" t="s">
        <v>3802</v>
      </c>
      <c r="E348" s="56" t="s">
        <v>6235</v>
      </c>
      <c r="F348" s="56" t="s">
        <v>6234</v>
      </c>
      <c r="G348" s="58" t="s">
        <v>1500</v>
      </c>
      <c r="H348" s="56">
        <v>1</v>
      </c>
      <c r="I348" s="56" t="s">
        <v>6228</v>
      </c>
      <c r="J348" s="56">
        <v>0</v>
      </c>
      <c r="K348" s="56">
        <v>0</v>
      </c>
      <c r="P348" s="56">
        <v>0</v>
      </c>
      <c r="S348" s="56">
        <v>0</v>
      </c>
      <c r="T348" s="56" t="s">
        <v>3562</v>
      </c>
      <c r="V348" s="56" t="s">
        <v>3561</v>
      </c>
      <c r="W348" s="56" t="s">
        <v>3548</v>
      </c>
      <c r="X348" s="56" t="s">
        <v>39</v>
      </c>
      <c r="Y348" s="56" t="s">
        <v>4413</v>
      </c>
      <c r="Z348" s="56" t="s">
        <v>6233</v>
      </c>
      <c r="AC348" s="56" t="s">
        <v>3543</v>
      </c>
      <c r="AD348" s="56" t="s">
        <v>24</v>
      </c>
      <c r="AE348" s="56" t="s">
        <v>6080</v>
      </c>
      <c r="AF348" s="56" t="s">
        <v>6232</v>
      </c>
      <c r="AH348" s="56" t="s">
        <v>3542</v>
      </c>
      <c r="AI348" s="56" t="s">
        <v>3723</v>
      </c>
    </row>
    <row r="349" spans="1:35" ht="33" customHeight="1">
      <c r="A349" s="56" t="s">
        <v>6236</v>
      </c>
      <c r="B349" s="57">
        <v>44359.579791666663</v>
      </c>
      <c r="C349" s="56" t="s">
        <v>3803</v>
      </c>
      <c r="D349" s="56" t="s">
        <v>3802</v>
      </c>
      <c r="E349" s="56" t="s">
        <v>6235</v>
      </c>
      <c r="F349" s="56" t="s">
        <v>6234</v>
      </c>
      <c r="G349" s="58" t="s">
        <v>3564</v>
      </c>
      <c r="H349" s="56">
        <v>1</v>
      </c>
      <c r="I349" s="56" t="s">
        <v>3563</v>
      </c>
      <c r="J349" s="56">
        <v>0</v>
      </c>
      <c r="K349" s="56">
        <v>0</v>
      </c>
      <c r="P349" s="56">
        <v>0</v>
      </c>
      <c r="S349" s="56">
        <v>0</v>
      </c>
      <c r="T349" s="56" t="s">
        <v>3562</v>
      </c>
      <c r="V349" s="56" t="s">
        <v>3561</v>
      </c>
      <c r="W349" s="56" t="s">
        <v>3548</v>
      </c>
      <c r="X349" s="56" t="s">
        <v>39</v>
      </c>
      <c r="Y349" s="56" t="s">
        <v>4413</v>
      </c>
      <c r="Z349" s="56" t="s">
        <v>6233</v>
      </c>
      <c r="AC349" s="56" t="s">
        <v>3543</v>
      </c>
      <c r="AD349" s="56" t="s">
        <v>24</v>
      </c>
      <c r="AE349" s="56" t="s">
        <v>6080</v>
      </c>
      <c r="AF349" s="56" t="s">
        <v>6232</v>
      </c>
      <c r="AH349" s="56" t="s">
        <v>3542</v>
      </c>
      <c r="AI349" s="56" t="s">
        <v>3723</v>
      </c>
    </row>
    <row r="350" spans="1:35" ht="33" customHeight="1">
      <c r="A350" s="56" t="s">
        <v>6231</v>
      </c>
      <c r="B350" s="57">
        <v>44359.580347222225</v>
      </c>
      <c r="C350" s="56" t="s">
        <v>4512</v>
      </c>
      <c r="D350" s="56" t="s">
        <v>4511</v>
      </c>
      <c r="E350" s="56" t="s">
        <v>6230</v>
      </c>
      <c r="F350" s="56" t="s">
        <v>6229</v>
      </c>
      <c r="G350" s="58" t="s">
        <v>3654</v>
      </c>
      <c r="H350" s="56">
        <v>1</v>
      </c>
      <c r="I350" s="56" t="s">
        <v>3653</v>
      </c>
      <c r="J350" s="56">
        <v>447</v>
      </c>
      <c r="K350" s="56">
        <v>430</v>
      </c>
      <c r="L350" s="56">
        <v>1289</v>
      </c>
      <c r="M350" s="56">
        <v>0</v>
      </c>
      <c r="N350" s="56">
        <v>0</v>
      </c>
      <c r="O350" s="56">
        <v>100</v>
      </c>
      <c r="P350" s="56">
        <v>0</v>
      </c>
      <c r="Q350" s="56">
        <v>1189</v>
      </c>
      <c r="R350" s="56">
        <v>0</v>
      </c>
      <c r="S350" s="56">
        <v>0</v>
      </c>
      <c r="T350" s="56" t="s">
        <v>3562</v>
      </c>
      <c r="U350" s="56">
        <v>1189</v>
      </c>
      <c r="V350" s="56" t="s">
        <v>3612</v>
      </c>
      <c r="W350" s="56" t="s">
        <v>3548</v>
      </c>
      <c r="X350" s="56" t="s">
        <v>3611</v>
      </c>
      <c r="Z350" s="56" t="s">
        <v>3546</v>
      </c>
      <c r="AA350" s="56" t="s">
        <v>6227</v>
      </c>
      <c r="AB350" s="56" t="s">
        <v>6226</v>
      </c>
      <c r="AC350" s="56" t="s">
        <v>3543</v>
      </c>
      <c r="AD350" s="56" t="s">
        <v>24</v>
      </c>
      <c r="AE350" s="56" t="s">
        <v>5127</v>
      </c>
      <c r="AF350" s="56" t="s">
        <v>6225</v>
      </c>
      <c r="AH350" s="56" t="s">
        <v>3542</v>
      </c>
      <c r="AI350" s="56" t="s">
        <v>3723</v>
      </c>
    </row>
    <row r="351" spans="1:35" ht="33" customHeight="1">
      <c r="A351" s="56" t="s">
        <v>6231</v>
      </c>
      <c r="B351" s="57">
        <v>44359.580347222225</v>
      </c>
      <c r="C351" s="56" t="s">
        <v>4512</v>
      </c>
      <c r="D351" s="56" t="s">
        <v>4511</v>
      </c>
      <c r="E351" s="56" t="s">
        <v>6230</v>
      </c>
      <c r="F351" s="56" t="s">
        <v>6229</v>
      </c>
      <c r="G351" s="58" t="s">
        <v>3299</v>
      </c>
      <c r="H351" s="56">
        <v>1</v>
      </c>
      <c r="I351" s="56" t="s">
        <v>3576</v>
      </c>
      <c r="J351" s="56">
        <v>260</v>
      </c>
      <c r="K351" s="56">
        <v>260</v>
      </c>
      <c r="P351" s="56">
        <v>0</v>
      </c>
      <c r="S351" s="56">
        <v>0</v>
      </c>
      <c r="T351" s="56" t="s">
        <v>3562</v>
      </c>
      <c r="V351" s="56" t="s">
        <v>3612</v>
      </c>
      <c r="W351" s="56" t="s">
        <v>3548</v>
      </c>
      <c r="X351" s="56" t="s">
        <v>3611</v>
      </c>
      <c r="Z351" s="56" t="s">
        <v>3546</v>
      </c>
      <c r="AA351" s="56" t="s">
        <v>6227</v>
      </c>
      <c r="AB351" s="56" t="s">
        <v>6226</v>
      </c>
      <c r="AC351" s="56" t="s">
        <v>3543</v>
      </c>
      <c r="AD351" s="56" t="s">
        <v>24</v>
      </c>
      <c r="AE351" s="56" t="s">
        <v>5127</v>
      </c>
      <c r="AF351" s="56" t="s">
        <v>6225</v>
      </c>
      <c r="AH351" s="56" t="s">
        <v>3542</v>
      </c>
      <c r="AI351" s="56" t="s">
        <v>3723</v>
      </c>
    </row>
    <row r="352" spans="1:35" ht="33" customHeight="1">
      <c r="A352" s="56" t="s">
        <v>6231</v>
      </c>
      <c r="B352" s="57">
        <v>44359.580347222225</v>
      </c>
      <c r="C352" s="56" t="s">
        <v>4512</v>
      </c>
      <c r="D352" s="56" t="s">
        <v>4511</v>
      </c>
      <c r="E352" s="56" t="s">
        <v>6230</v>
      </c>
      <c r="F352" s="56" t="s">
        <v>6229</v>
      </c>
      <c r="G352" s="58" t="s">
        <v>4137</v>
      </c>
      <c r="H352" s="56">
        <v>1</v>
      </c>
      <c r="I352" s="56" t="s">
        <v>3577</v>
      </c>
      <c r="J352" s="56">
        <v>700</v>
      </c>
      <c r="K352" s="56">
        <v>599</v>
      </c>
      <c r="P352" s="56">
        <v>0</v>
      </c>
      <c r="S352" s="56">
        <v>0</v>
      </c>
      <c r="T352" s="56" t="s">
        <v>3562</v>
      </c>
      <c r="V352" s="56" t="s">
        <v>3612</v>
      </c>
      <c r="W352" s="56" t="s">
        <v>3548</v>
      </c>
      <c r="X352" s="56" t="s">
        <v>3611</v>
      </c>
      <c r="Z352" s="56" t="s">
        <v>3546</v>
      </c>
      <c r="AA352" s="56" t="s">
        <v>6227</v>
      </c>
      <c r="AB352" s="56" t="s">
        <v>6226</v>
      </c>
      <c r="AC352" s="56" t="s">
        <v>3543</v>
      </c>
      <c r="AD352" s="56" t="s">
        <v>24</v>
      </c>
      <c r="AE352" s="56" t="s">
        <v>5127</v>
      </c>
      <c r="AF352" s="56" t="s">
        <v>6225</v>
      </c>
      <c r="AH352" s="56" t="s">
        <v>3542</v>
      </c>
      <c r="AI352" s="56" t="s">
        <v>3723</v>
      </c>
    </row>
    <row r="353" spans="1:35" ht="33" customHeight="1">
      <c r="A353" s="56" t="s">
        <v>6231</v>
      </c>
      <c r="B353" s="57">
        <v>44359.580347222225</v>
      </c>
      <c r="C353" s="56" t="s">
        <v>4512</v>
      </c>
      <c r="D353" s="56" t="s">
        <v>4511</v>
      </c>
      <c r="E353" s="56" t="s">
        <v>6230</v>
      </c>
      <c r="F353" s="56" t="s">
        <v>6229</v>
      </c>
      <c r="G353" s="58" t="s">
        <v>3551</v>
      </c>
      <c r="H353" s="56">
        <v>1</v>
      </c>
      <c r="I353" s="56" t="s">
        <v>3550</v>
      </c>
      <c r="J353" s="56">
        <v>0</v>
      </c>
      <c r="K353" s="56">
        <v>0</v>
      </c>
      <c r="P353" s="56">
        <v>0</v>
      </c>
      <c r="S353" s="56">
        <v>0</v>
      </c>
      <c r="T353" s="56" t="s">
        <v>3562</v>
      </c>
      <c r="V353" s="56" t="s">
        <v>3612</v>
      </c>
      <c r="W353" s="56" t="s">
        <v>3548</v>
      </c>
      <c r="X353" s="56" t="s">
        <v>3611</v>
      </c>
      <c r="Z353" s="56" t="s">
        <v>3546</v>
      </c>
      <c r="AA353" s="56" t="s">
        <v>6227</v>
      </c>
      <c r="AB353" s="56" t="s">
        <v>6226</v>
      </c>
      <c r="AC353" s="56" t="s">
        <v>3543</v>
      </c>
      <c r="AD353" s="56" t="s">
        <v>24</v>
      </c>
      <c r="AE353" s="56" t="s">
        <v>5127</v>
      </c>
      <c r="AF353" s="56" t="s">
        <v>6225</v>
      </c>
      <c r="AH353" s="56" t="s">
        <v>3542</v>
      </c>
      <c r="AI353" s="56" t="s">
        <v>3723</v>
      </c>
    </row>
    <row r="354" spans="1:35" ht="33" customHeight="1">
      <c r="A354" s="56" t="s">
        <v>6231</v>
      </c>
      <c r="B354" s="57">
        <v>44359.580347222225</v>
      </c>
      <c r="C354" s="56" t="s">
        <v>4512</v>
      </c>
      <c r="D354" s="56" t="s">
        <v>4511</v>
      </c>
      <c r="E354" s="56" t="s">
        <v>6230</v>
      </c>
      <c r="F354" s="56" t="s">
        <v>6229</v>
      </c>
      <c r="G354" s="58" t="s">
        <v>1500</v>
      </c>
      <c r="H354" s="56">
        <v>1</v>
      </c>
      <c r="I354" s="56" t="s">
        <v>6228</v>
      </c>
      <c r="J354" s="56">
        <v>0</v>
      </c>
      <c r="K354" s="56">
        <v>0</v>
      </c>
      <c r="P354" s="56">
        <v>0</v>
      </c>
      <c r="S354" s="56">
        <v>0</v>
      </c>
      <c r="T354" s="56" t="s">
        <v>3562</v>
      </c>
      <c r="V354" s="56" t="s">
        <v>3612</v>
      </c>
      <c r="W354" s="56" t="s">
        <v>3548</v>
      </c>
      <c r="X354" s="56" t="s">
        <v>3611</v>
      </c>
      <c r="Z354" s="56" t="s">
        <v>3546</v>
      </c>
      <c r="AA354" s="56" t="s">
        <v>6227</v>
      </c>
      <c r="AB354" s="56" t="s">
        <v>6226</v>
      </c>
      <c r="AC354" s="56" t="s">
        <v>3543</v>
      </c>
      <c r="AD354" s="56" t="s">
        <v>24</v>
      </c>
      <c r="AE354" s="56" t="s">
        <v>5127</v>
      </c>
      <c r="AF354" s="56" t="s">
        <v>6225</v>
      </c>
      <c r="AH354" s="56" t="s">
        <v>3542</v>
      </c>
      <c r="AI354" s="56" t="s">
        <v>3723</v>
      </c>
    </row>
    <row r="355" spans="1:35" ht="33" customHeight="1">
      <c r="A355" s="56" t="s">
        <v>6224</v>
      </c>
      <c r="B355" s="57">
        <v>44359.59946759259</v>
      </c>
      <c r="C355" s="56" t="s">
        <v>4512</v>
      </c>
      <c r="D355" s="56" t="s">
        <v>4511</v>
      </c>
      <c r="E355" s="56" t="s">
        <v>6223</v>
      </c>
      <c r="F355" s="56" t="s">
        <v>6222</v>
      </c>
      <c r="G355" s="58" t="s">
        <v>1506</v>
      </c>
      <c r="H355" s="56">
        <v>3</v>
      </c>
      <c r="I355" s="56" t="s">
        <v>3696</v>
      </c>
      <c r="J355" s="56">
        <v>299</v>
      </c>
      <c r="K355" s="56">
        <v>299</v>
      </c>
      <c r="L355" s="56">
        <v>1196</v>
      </c>
      <c r="M355" s="56">
        <v>0</v>
      </c>
      <c r="N355" s="56">
        <v>0</v>
      </c>
      <c r="O355" s="56">
        <v>0</v>
      </c>
      <c r="P355" s="56">
        <v>0</v>
      </c>
      <c r="Q355" s="56">
        <v>1196</v>
      </c>
      <c r="R355" s="56">
        <v>0</v>
      </c>
      <c r="S355" s="56">
        <v>0</v>
      </c>
      <c r="T355" s="56" t="s">
        <v>3562</v>
      </c>
      <c r="U355" s="56">
        <v>1196</v>
      </c>
      <c r="V355" s="56" t="s">
        <v>3612</v>
      </c>
      <c r="W355" s="56" t="s">
        <v>3548</v>
      </c>
      <c r="X355" s="56" t="s">
        <v>3611</v>
      </c>
      <c r="Z355" s="56" t="s">
        <v>3546</v>
      </c>
      <c r="AA355" s="56" t="s">
        <v>6221</v>
      </c>
      <c r="AB355" s="56" t="s">
        <v>6220</v>
      </c>
      <c r="AC355" s="56" t="s">
        <v>3543</v>
      </c>
      <c r="AD355" s="56" t="s">
        <v>24</v>
      </c>
      <c r="AE355" s="56" t="s">
        <v>5127</v>
      </c>
      <c r="AF355" s="56" t="s">
        <v>6219</v>
      </c>
      <c r="AH355" s="56" t="s">
        <v>3542</v>
      </c>
      <c r="AI355" s="56" t="s">
        <v>3723</v>
      </c>
    </row>
    <row r="356" spans="1:35" ht="33" customHeight="1">
      <c r="A356" s="56" t="s">
        <v>6224</v>
      </c>
      <c r="B356" s="57">
        <v>44359.59946759259</v>
      </c>
      <c r="C356" s="56" t="s">
        <v>4512</v>
      </c>
      <c r="D356" s="56" t="s">
        <v>4511</v>
      </c>
      <c r="E356" s="56" t="s">
        <v>6223</v>
      </c>
      <c r="F356" s="56" t="s">
        <v>6222</v>
      </c>
      <c r="G356" s="58" t="s">
        <v>1508</v>
      </c>
      <c r="H356" s="56">
        <v>1</v>
      </c>
      <c r="I356" s="56" t="s">
        <v>3696</v>
      </c>
      <c r="J356" s="56">
        <v>299</v>
      </c>
      <c r="K356" s="56">
        <v>299</v>
      </c>
      <c r="P356" s="56">
        <v>0</v>
      </c>
      <c r="S356" s="56">
        <v>0</v>
      </c>
      <c r="T356" s="56" t="s">
        <v>3562</v>
      </c>
      <c r="V356" s="56" t="s">
        <v>3612</v>
      </c>
      <c r="W356" s="56" t="s">
        <v>3548</v>
      </c>
      <c r="X356" s="56" t="s">
        <v>3611</v>
      </c>
      <c r="Z356" s="56" t="s">
        <v>3546</v>
      </c>
      <c r="AA356" s="56" t="s">
        <v>6221</v>
      </c>
      <c r="AB356" s="56" t="s">
        <v>6220</v>
      </c>
      <c r="AC356" s="56" t="s">
        <v>3543</v>
      </c>
      <c r="AD356" s="56" t="s">
        <v>24</v>
      </c>
      <c r="AE356" s="56" t="s">
        <v>5127</v>
      </c>
      <c r="AF356" s="56" t="s">
        <v>6219</v>
      </c>
      <c r="AH356" s="56" t="s">
        <v>3542</v>
      </c>
      <c r="AI356" s="56" t="s">
        <v>3723</v>
      </c>
    </row>
    <row r="357" spans="1:35" ht="33" customHeight="1">
      <c r="A357" s="56" t="s">
        <v>6224</v>
      </c>
      <c r="B357" s="57">
        <v>44359.59946759259</v>
      </c>
      <c r="C357" s="56" t="s">
        <v>4512</v>
      </c>
      <c r="D357" s="56" t="s">
        <v>4511</v>
      </c>
      <c r="E357" s="56" t="s">
        <v>6223</v>
      </c>
      <c r="F357" s="56" t="s">
        <v>6222</v>
      </c>
      <c r="G357" s="58" t="s">
        <v>3551</v>
      </c>
      <c r="H357" s="56">
        <v>1</v>
      </c>
      <c r="I357" s="56" t="s">
        <v>3550</v>
      </c>
      <c r="J357" s="56">
        <v>0</v>
      </c>
      <c r="K357" s="56">
        <v>0</v>
      </c>
      <c r="P357" s="56">
        <v>0</v>
      </c>
      <c r="S357" s="56">
        <v>0</v>
      </c>
      <c r="T357" s="56" t="s">
        <v>3562</v>
      </c>
      <c r="V357" s="56" t="s">
        <v>3612</v>
      </c>
      <c r="W357" s="56" t="s">
        <v>3548</v>
      </c>
      <c r="X357" s="56" t="s">
        <v>3611</v>
      </c>
      <c r="Z357" s="56" t="s">
        <v>3546</v>
      </c>
      <c r="AA357" s="56" t="s">
        <v>6221</v>
      </c>
      <c r="AB357" s="56" t="s">
        <v>6220</v>
      </c>
      <c r="AC357" s="56" t="s">
        <v>3543</v>
      </c>
      <c r="AD357" s="56" t="s">
        <v>24</v>
      </c>
      <c r="AE357" s="56" t="s">
        <v>5127</v>
      </c>
      <c r="AF357" s="56" t="s">
        <v>6219</v>
      </c>
      <c r="AH357" s="56" t="s">
        <v>3542</v>
      </c>
      <c r="AI357" s="56" t="s">
        <v>3723</v>
      </c>
    </row>
    <row r="358" spans="1:35" ht="33" customHeight="1">
      <c r="A358" s="56" t="s">
        <v>6224</v>
      </c>
      <c r="B358" s="57">
        <v>44359.59946759259</v>
      </c>
      <c r="C358" s="56" t="s">
        <v>4512</v>
      </c>
      <c r="D358" s="56" t="s">
        <v>4511</v>
      </c>
      <c r="E358" s="56" t="s">
        <v>6223</v>
      </c>
      <c r="F358" s="56" t="s">
        <v>6222</v>
      </c>
      <c r="G358" s="58" t="s">
        <v>1498</v>
      </c>
      <c r="H358" s="56">
        <v>1</v>
      </c>
      <c r="I358" s="56" t="s">
        <v>4016</v>
      </c>
      <c r="J358" s="56">
        <v>0</v>
      </c>
      <c r="K358" s="56">
        <v>0</v>
      </c>
      <c r="P358" s="56">
        <v>0</v>
      </c>
      <c r="S358" s="56">
        <v>0</v>
      </c>
      <c r="T358" s="56" t="s">
        <v>3562</v>
      </c>
      <c r="V358" s="56" t="s">
        <v>3612</v>
      </c>
      <c r="W358" s="56" t="s">
        <v>3548</v>
      </c>
      <c r="X358" s="56" t="s">
        <v>3611</v>
      </c>
      <c r="Z358" s="56" t="s">
        <v>3546</v>
      </c>
      <c r="AA358" s="56" t="s">
        <v>6221</v>
      </c>
      <c r="AB358" s="56" t="s">
        <v>6220</v>
      </c>
      <c r="AC358" s="56" t="s">
        <v>3543</v>
      </c>
      <c r="AD358" s="56" t="s">
        <v>24</v>
      </c>
      <c r="AE358" s="56" t="s">
        <v>5127</v>
      </c>
      <c r="AF358" s="56" t="s">
        <v>6219</v>
      </c>
      <c r="AH358" s="56" t="s">
        <v>3542</v>
      </c>
      <c r="AI358" s="56" t="s">
        <v>3723</v>
      </c>
    </row>
    <row r="359" spans="1:35" ht="33" customHeight="1">
      <c r="A359" s="56" t="s">
        <v>6218</v>
      </c>
      <c r="B359" s="57">
        <v>44359.625601851854</v>
      </c>
      <c r="C359" s="56" t="s">
        <v>3803</v>
      </c>
      <c r="D359" s="56" t="s">
        <v>3802</v>
      </c>
      <c r="E359" s="56" t="s">
        <v>6217</v>
      </c>
      <c r="F359" s="56" t="s">
        <v>6216</v>
      </c>
      <c r="G359" s="58" t="s">
        <v>3593</v>
      </c>
      <c r="H359" s="56">
        <v>1</v>
      </c>
      <c r="I359" s="56" t="s">
        <v>3577</v>
      </c>
      <c r="J359" s="56">
        <v>700</v>
      </c>
      <c r="K359" s="56">
        <v>599</v>
      </c>
      <c r="L359" s="56">
        <v>3065</v>
      </c>
      <c r="M359" s="56">
        <v>60</v>
      </c>
      <c r="N359" s="56">
        <v>0</v>
      </c>
      <c r="O359" s="56">
        <v>100</v>
      </c>
      <c r="P359" s="56">
        <v>0</v>
      </c>
      <c r="Q359" s="56">
        <v>3025</v>
      </c>
      <c r="R359" s="56">
        <v>0</v>
      </c>
      <c r="S359" s="56">
        <v>0</v>
      </c>
      <c r="T359" s="56" t="s">
        <v>3562</v>
      </c>
      <c r="U359" s="56">
        <v>3025</v>
      </c>
      <c r="V359" s="56" t="s">
        <v>3561</v>
      </c>
      <c r="W359" s="56" t="s">
        <v>3548</v>
      </c>
      <c r="X359" s="56" t="s">
        <v>39</v>
      </c>
      <c r="Y359" s="56" t="s">
        <v>3597</v>
      </c>
      <c r="Z359" s="56" t="s">
        <v>6215</v>
      </c>
      <c r="AC359" s="56" t="s">
        <v>3543</v>
      </c>
      <c r="AD359" s="56" t="s">
        <v>24</v>
      </c>
      <c r="AE359" s="56" t="s">
        <v>6080</v>
      </c>
      <c r="AF359" s="56" t="s">
        <v>6214</v>
      </c>
      <c r="AH359" s="56" t="s">
        <v>3542</v>
      </c>
      <c r="AI359" s="56" t="s">
        <v>3723</v>
      </c>
    </row>
    <row r="360" spans="1:35" ht="33" customHeight="1">
      <c r="A360" s="56" t="s">
        <v>6218</v>
      </c>
      <c r="B360" s="57">
        <v>44359.625601851854</v>
      </c>
      <c r="C360" s="56" t="s">
        <v>3803</v>
      </c>
      <c r="D360" s="56" t="s">
        <v>3802</v>
      </c>
      <c r="E360" s="56" t="s">
        <v>6217</v>
      </c>
      <c r="F360" s="56" t="s">
        <v>6216</v>
      </c>
      <c r="G360" s="58" t="s">
        <v>3654</v>
      </c>
      <c r="H360" s="56">
        <v>1</v>
      </c>
      <c r="I360" s="56" t="s">
        <v>3653</v>
      </c>
      <c r="J360" s="56">
        <v>447</v>
      </c>
      <c r="K360" s="56">
        <v>430</v>
      </c>
      <c r="P360" s="56">
        <v>0</v>
      </c>
      <c r="S360" s="56">
        <v>0</v>
      </c>
      <c r="T360" s="56" t="s">
        <v>3562</v>
      </c>
      <c r="V360" s="56" t="s">
        <v>3561</v>
      </c>
      <c r="W360" s="56" t="s">
        <v>3548</v>
      </c>
      <c r="X360" s="56" t="s">
        <v>39</v>
      </c>
      <c r="Y360" s="56" t="s">
        <v>3597</v>
      </c>
      <c r="Z360" s="56" t="s">
        <v>6215</v>
      </c>
      <c r="AC360" s="56" t="s">
        <v>3543</v>
      </c>
      <c r="AD360" s="56" t="s">
        <v>24</v>
      </c>
      <c r="AE360" s="56" t="s">
        <v>6080</v>
      </c>
      <c r="AF360" s="56" t="s">
        <v>6214</v>
      </c>
      <c r="AH360" s="56" t="s">
        <v>3542</v>
      </c>
      <c r="AI360" s="56" t="s">
        <v>3723</v>
      </c>
    </row>
    <row r="361" spans="1:35" ht="33" customHeight="1">
      <c r="A361" s="56" t="s">
        <v>6218</v>
      </c>
      <c r="B361" s="57">
        <v>44359.625601851854</v>
      </c>
      <c r="C361" s="56" t="s">
        <v>3803</v>
      </c>
      <c r="D361" s="56" t="s">
        <v>3802</v>
      </c>
      <c r="E361" s="56" t="s">
        <v>6217</v>
      </c>
      <c r="F361" s="56" t="s">
        <v>6216</v>
      </c>
      <c r="G361" s="58" t="s">
        <v>3299</v>
      </c>
      <c r="H361" s="56">
        <v>1</v>
      </c>
      <c r="I361" s="56" t="s">
        <v>3576</v>
      </c>
      <c r="J361" s="56">
        <v>260</v>
      </c>
      <c r="K361" s="56">
        <v>260</v>
      </c>
      <c r="P361" s="56">
        <v>0</v>
      </c>
      <c r="S361" s="56">
        <v>0</v>
      </c>
      <c r="T361" s="56" t="s">
        <v>3562</v>
      </c>
      <c r="V361" s="56" t="s">
        <v>3561</v>
      </c>
      <c r="W361" s="56" t="s">
        <v>3548</v>
      </c>
      <c r="X361" s="56" t="s">
        <v>39</v>
      </c>
      <c r="Y361" s="56" t="s">
        <v>3597</v>
      </c>
      <c r="Z361" s="56" t="s">
        <v>6215</v>
      </c>
      <c r="AC361" s="56" t="s">
        <v>3543</v>
      </c>
      <c r="AD361" s="56" t="s">
        <v>24</v>
      </c>
      <c r="AE361" s="56" t="s">
        <v>6080</v>
      </c>
      <c r="AF361" s="56" t="s">
        <v>6214</v>
      </c>
      <c r="AH361" s="56" t="s">
        <v>3542</v>
      </c>
      <c r="AI361" s="56" t="s">
        <v>3723</v>
      </c>
    </row>
    <row r="362" spans="1:35" ht="33" customHeight="1">
      <c r="A362" s="56" t="s">
        <v>6218</v>
      </c>
      <c r="B362" s="57">
        <v>44359.625601851854</v>
      </c>
      <c r="C362" s="56" t="s">
        <v>3803</v>
      </c>
      <c r="D362" s="56" t="s">
        <v>3802</v>
      </c>
      <c r="E362" s="56" t="s">
        <v>6217</v>
      </c>
      <c r="F362" s="56" t="s">
        <v>6216</v>
      </c>
      <c r="G362" s="58" t="s">
        <v>3811</v>
      </c>
      <c r="H362" s="56">
        <v>2</v>
      </c>
      <c r="I362" s="56" t="s">
        <v>3669</v>
      </c>
      <c r="J362" s="56">
        <v>897</v>
      </c>
      <c r="K362" s="56">
        <v>888</v>
      </c>
      <c r="P362" s="56">
        <v>0</v>
      </c>
      <c r="S362" s="56">
        <v>0</v>
      </c>
      <c r="T362" s="56" t="s">
        <v>3562</v>
      </c>
      <c r="V362" s="56" t="s">
        <v>3561</v>
      </c>
      <c r="W362" s="56" t="s">
        <v>3548</v>
      </c>
      <c r="X362" s="56" t="s">
        <v>39</v>
      </c>
      <c r="Y362" s="56" t="s">
        <v>3597</v>
      </c>
      <c r="Z362" s="56" t="s">
        <v>6215</v>
      </c>
      <c r="AC362" s="56" t="s">
        <v>3543</v>
      </c>
      <c r="AD362" s="56" t="s">
        <v>24</v>
      </c>
      <c r="AE362" s="56" t="s">
        <v>6080</v>
      </c>
      <c r="AF362" s="56" t="s">
        <v>6214</v>
      </c>
      <c r="AH362" s="56" t="s">
        <v>3542</v>
      </c>
      <c r="AI362" s="56" t="s">
        <v>3723</v>
      </c>
    </row>
    <row r="363" spans="1:35" ht="33" customHeight="1">
      <c r="A363" s="56" t="s">
        <v>6218</v>
      </c>
      <c r="B363" s="57">
        <v>44359.625601851854</v>
      </c>
      <c r="C363" s="56" t="s">
        <v>3803</v>
      </c>
      <c r="D363" s="56" t="s">
        <v>3802</v>
      </c>
      <c r="E363" s="56" t="s">
        <v>6217</v>
      </c>
      <c r="F363" s="56" t="s">
        <v>6216</v>
      </c>
      <c r="G363" s="58" t="s">
        <v>3551</v>
      </c>
      <c r="H363" s="56">
        <v>1</v>
      </c>
      <c r="I363" s="56" t="s">
        <v>3550</v>
      </c>
      <c r="J363" s="56">
        <v>0</v>
      </c>
      <c r="K363" s="56">
        <v>0</v>
      </c>
      <c r="P363" s="56">
        <v>0</v>
      </c>
      <c r="S363" s="56">
        <v>0</v>
      </c>
      <c r="T363" s="56" t="s">
        <v>3562</v>
      </c>
      <c r="V363" s="56" t="s">
        <v>3561</v>
      </c>
      <c r="W363" s="56" t="s">
        <v>3548</v>
      </c>
      <c r="X363" s="56" t="s">
        <v>39</v>
      </c>
      <c r="Y363" s="56" t="s">
        <v>3597</v>
      </c>
      <c r="Z363" s="56" t="s">
        <v>6215</v>
      </c>
      <c r="AC363" s="56" t="s">
        <v>3543</v>
      </c>
      <c r="AD363" s="56" t="s">
        <v>24</v>
      </c>
      <c r="AE363" s="56" t="s">
        <v>6080</v>
      </c>
      <c r="AF363" s="56" t="s">
        <v>6214</v>
      </c>
      <c r="AH363" s="56" t="s">
        <v>3542</v>
      </c>
      <c r="AI363" s="56" t="s">
        <v>3723</v>
      </c>
    </row>
    <row r="364" spans="1:35" ht="33" customHeight="1">
      <c r="A364" s="56" t="s">
        <v>6218</v>
      </c>
      <c r="B364" s="57">
        <v>44359.625601851854</v>
      </c>
      <c r="C364" s="56" t="s">
        <v>3803</v>
      </c>
      <c r="D364" s="56" t="s">
        <v>3802</v>
      </c>
      <c r="E364" s="56" t="s">
        <v>6217</v>
      </c>
      <c r="F364" s="56" t="s">
        <v>6216</v>
      </c>
      <c r="G364" s="58" t="s">
        <v>1713</v>
      </c>
      <c r="H364" s="56">
        <v>1</v>
      </c>
      <c r="I364" s="56" t="s">
        <v>3568</v>
      </c>
      <c r="J364" s="56">
        <v>0</v>
      </c>
      <c r="K364" s="56">
        <v>0</v>
      </c>
      <c r="P364" s="56">
        <v>0</v>
      </c>
      <c r="S364" s="56">
        <v>0</v>
      </c>
      <c r="T364" s="56" t="s">
        <v>3562</v>
      </c>
      <c r="V364" s="56" t="s">
        <v>3561</v>
      </c>
      <c r="W364" s="56" t="s">
        <v>3548</v>
      </c>
      <c r="X364" s="56" t="s">
        <v>39</v>
      </c>
      <c r="Y364" s="56" t="s">
        <v>3597</v>
      </c>
      <c r="Z364" s="56" t="s">
        <v>6215</v>
      </c>
      <c r="AC364" s="56" t="s">
        <v>3543</v>
      </c>
      <c r="AD364" s="56" t="s">
        <v>24</v>
      </c>
      <c r="AE364" s="56" t="s">
        <v>6080</v>
      </c>
      <c r="AF364" s="56" t="s">
        <v>6214</v>
      </c>
      <c r="AH364" s="56" t="s">
        <v>3542</v>
      </c>
      <c r="AI364" s="56" t="s">
        <v>3723</v>
      </c>
    </row>
    <row r="365" spans="1:35" ht="33" customHeight="1">
      <c r="A365" s="56" t="s">
        <v>6218</v>
      </c>
      <c r="B365" s="57">
        <v>44359.625601851854</v>
      </c>
      <c r="C365" s="56" t="s">
        <v>3803</v>
      </c>
      <c r="D365" s="56" t="s">
        <v>3802</v>
      </c>
      <c r="E365" s="56" t="s">
        <v>6217</v>
      </c>
      <c r="F365" s="56" t="s">
        <v>6216</v>
      </c>
      <c r="G365" s="58" t="s">
        <v>1498</v>
      </c>
      <c r="H365" s="56">
        <v>1</v>
      </c>
      <c r="I365" s="56" t="s">
        <v>4016</v>
      </c>
      <c r="J365" s="56">
        <v>0</v>
      </c>
      <c r="K365" s="56">
        <v>0</v>
      </c>
      <c r="P365" s="56">
        <v>0</v>
      </c>
      <c r="S365" s="56">
        <v>0</v>
      </c>
      <c r="T365" s="56" t="s">
        <v>3562</v>
      </c>
      <c r="V365" s="56" t="s">
        <v>3561</v>
      </c>
      <c r="W365" s="56" t="s">
        <v>3548</v>
      </c>
      <c r="X365" s="56" t="s">
        <v>39</v>
      </c>
      <c r="Y365" s="56" t="s">
        <v>3597</v>
      </c>
      <c r="Z365" s="56" t="s">
        <v>6215</v>
      </c>
      <c r="AC365" s="56" t="s">
        <v>3543</v>
      </c>
      <c r="AD365" s="56" t="s">
        <v>24</v>
      </c>
      <c r="AE365" s="56" t="s">
        <v>6080</v>
      </c>
      <c r="AF365" s="56" t="s">
        <v>6214</v>
      </c>
      <c r="AH365" s="56" t="s">
        <v>3542</v>
      </c>
      <c r="AI365" s="56" t="s">
        <v>3723</v>
      </c>
    </row>
    <row r="366" spans="1:35" ht="33" customHeight="1">
      <c r="A366" s="56" t="s">
        <v>6218</v>
      </c>
      <c r="B366" s="57">
        <v>44359.625601851854</v>
      </c>
      <c r="C366" s="56" t="s">
        <v>3803</v>
      </c>
      <c r="D366" s="56" t="s">
        <v>3802</v>
      </c>
      <c r="E366" s="56" t="s">
        <v>6217</v>
      </c>
      <c r="F366" s="56" t="s">
        <v>6216</v>
      </c>
      <c r="G366" s="58" t="s">
        <v>3564</v>
      </c>
      <c r="H366" s="56">
        <v>1</v>
      </c>
      <c r="I366" s="56" t="s">
        <v>3563</v>
      </c>
      <c r="J366" s="56">
        <v>0</v>
      </c>
      <c r="K366" s="56">
        <v>0</v>
      </c>
      <c r="P366" s="56">
        <v>0</v>
      </c>
      <c r="S366" s="56">
        <v>0</v>
      </c>
      <c r="T366" s="56" t="s">
        <v>3562</v>
      </c>
      <c r="V366" s="56" t="s">
        <v>3561</v>
      </c>
      <c r="W366" s="56" t="s">
        <v>3548</v>
      </c>
      <c r="X366" s="56" t="s">
        <v>39</v>
      </c>
      <c r="Y366" s="56" t="s">
        <v>3597</v>
      </c>
      <c r="Z366" s="56" t="s">
        <v>6215</v>
      </c>
      <c r="AC366" s="56" t="s">
        <v>3543</v>
      </c>
      <c r="AD366" s="56" t="s">
        <v>24</v>
      </c>
      <c r="AE366" s="56" t="s">
        <v>6080</v>
      </c>
      <c r="AF366" s="56" t="s">
        <v>6214</v>
      </c>
      <c r="AH366" s="56" t="s">
        <v>3542</v>
      </c>
      <c r="AI366" s="56" t="s">
        <v>3723</v>
      </c>
    </row>
    <row r="367" spans="1:35" ht="33" customHeight="1">
      <c r="A367" s="56" t="s">
        <v>6212</v>
      </c>
      <c r="B367" s="57">
        <v>44359.632581018515</v>
      </c>
      <c r="C367" s="56" t="s">
        <v>4512</v>
      </c>
      <c r="D367" s="56" t="s">
        <v>4511</v>
      </c>
      <c r="E367" s="56" t="s">
        <v>6211</v>
      </c>
      <c r="F367" s="56" t="s">
        <v>6210</v>
      </c>
      <c r="G367" s="58" t="s">
        <v>6213</v>
      </c>
      <c r="H367" s="56">
        <v>1</v>
      </c>
      <c r="I367" s="56" t="s">
        <v>3731</v>
      </c>
      <c r="J367" s="56">
        <v>867</v>
      </c>
      <c r="K367" s="56">
        <v>550</v>
      </c>
      <c r="L367" s="56">
        <v>2876</v>
      </c>
      <c r="M367" s="56">
        <v>0</v>
      </c>
      <c r="N367" s="56">
        <v>0</v>
      </c>
      <c r="O367" s="56">
        <v>219</v>
      </c>
      <c r="P367" s="56">
        <v>0</v>
      </c>
      <c r="Q367" s="56">
        <v>2657</v>
      </c>
      <c r="R367" s="56">
        <v>0</v>
      </c>
      <c r="S367" s="56">
        <v>0</v>
      </c>
      <c r="T367" s="56" t="s">
        <v>3562</v>
      </c>
      <c r="U367" s="56">
        <v>2657</v>
      </c>
      <c r="V367" s="56" t="s">
        <v>3549</v>
      </c>
      <c r="W367" s="56" t="s">
        <v>3548</v>
      </c>
      <c r="X367" s="56" t="s">
        <v>3547</v>
      </c>
      <c r="Z367" s="56" t="s">
        <v>3546</v>
      </c>
      <c r="AA367" s="56" t="s">
        <v>6209</v>
      </c>
      <c r="AB367" s="56" t="s">
        <v>6208</v>
      </c>
      <c r="AC367" s="56" t="s">
        <v>3543</v>
      </c>
      <c r="AD367" s="56" t="s">
        <v>24</v>
      </c>
      <c r="AE367" s="56" t="s">
        <v>4145</v>
      </c>
      <c r="AF367" s="56" t="s">
        <v>6207</v>
      </c>
      <c r="AH367" s="56" t="s">
        <v>3542</v>
      </c>
      <c r="AI367" s="56" t="s">
        <v>3723</v>
      </c>
    </row>
    <row r="368" spans="1:35" ht="33" customHeight="1">
      <c r="A368" s="56" t="s">
        <v>6212</v>
      </c>
      <c r="B368" s="57">
        <v>44359.632581018515</v>
      </c>
      <c r="C368" s="56" t="s">
        <v>4512</v>
      </c>
      <c r="D368" s="56" t="s">
        <v>4511</v>
      </c>
      <c r="E368" s="56" t="s">
        <v>6211</v>
      </c>
      <c r="F368" s="56" t="s">
        <v>6210</v>
      </c>
      <c r="G368" s="58" t="s">
        <v>4283</v>
      </c>
      <c r="H368" s="56">
        <v>2</v>
      </c>
      <c r="I368" s="56" t="s">
        <v>3669</v>
      </c>
      <c r="J368" s="56">
        <v>897</v>
      </c>
      <c r="K368" s="56">
        <v>888</v>
      </c>
      <c r="P368" s="56">
        <v>0</v>
      </c>
      <c r="S368" s="56">
        <v>0</v>
      </c>
      <c r="T368" s="56" t="s">
        <v>3562</v>
      </c>
      <c r="V368" s="56" t="s">
        <v>3549</v>
      </c>
      <c r="W368" s="56" t="s">
        <v>3548</v>
      </c>
      <c r="X368" s="56" t="s">
        <v>3547</v>
      </c>
      <c r="Z368" s="56" t="s">
        <v>3546</v>
      </c>
      <c r="AA368" s="56" t="s">
        <v>6209</v>
      </c>
      <c r="AB368" s="56" t="s">
        <v>6208</v>
      </c>
      <c r="AC368" s="56" t="s">
        <v>3543</v>
      </c>
      <c r="AD368" s="56" t="s">
        <v>24</v>
      </c>
      <c r="AE368" s="56" t="s">
        <v>4145</v>
      </c>
      <c r="AF368" s="56" t="s">
        <v>6207</v>
      </c>
      <c r="AH368" s="56" t="s">
        <v>3542</v>
      </c>
      <c r="AI368" s="56" t="s">
        <v>3723</v>
      </c>
    </row>
    <row r="369" spans="1:35" ht="33" customHeight="1">
      <c r="A369" s="56" t="s">
        <v>6212</v>
      </c>
      <c r="B369" s="57">
        <v>44359.632581018515</v>
      </c>
      <c r="C369" s="56" t="s">
        <v>4512</v>
      </c>
      <c r="D369" s="56" t="s">
        <v>4511</v>
      </c>
      <c r="E369" s="56" t="s">
        <v>6211</v>
      </c>
      <c r="F369" s="56" t="s">
        <v>6210</v>
      </c>
      <c r="G369" s="58" t="s">
        <v>4403</v>
      </c>
      <c r="H369" s="56">
        <v>1</v>
      </c>
      <c r="I369" s="56" t="s">
        <v>3731</v>
      </c>
      <c r="J369" s="56">
        <v>867</v>
      </c>
      <c r="K369" s="56">
        <v>550</v>
      </c>
      <c r="P369" s="56">
        <v>0</v>
      </c>
      <c r="S369" s="56">
        <v>0</v>
      </c>
      <c r="T369" s="56" t="s">
        <v>3562</v>
      </c>
      <c r="V369" s="56" t="s">
        <v>3549</v>
      </c>
      <c r="W369" s="56" t="s">
        <v>3548</v>
      </c>
      <c r="X369" s="56" t="s">
        <v>3547</v>
      </c>
      <c r="Z369" s="56" t="s">
        <v>3546</v>
      </c>
      <c r="AA369" s="56" t="s">
        <v>6209</v>
      </c>
      <c r="AB369" s="56" t="s">
        <v>6208</v>
      </c>
      <c r="AC369" s="56" t="s">
        <v>3543</v>
      </c>
      <c r="AD369" s="56" t="s">
        <v>24</v>
      </c>
      <c r="AE369" s="56" t="s">
        <v>4145</v>
      </c>
      <c r="AF369" s="56" t="s">
        <v>6207</v>
      </c>
      <c r="AH369" s="56" t="s">
        <v>3542</v>
      </c>
      <c r="AI369" s="56" t="s">
        <v>3723</v>
      </c>
    </row>
    <row r="370" spans="1:35" ht="33" customHeight="1">
      <c r="A370" s="56" t="s">
        <v>6212</v>
      </c>
      <c r="B370" s="57">
        <v>44359.632581018515</v>
      </c>
      <c r="C370" s="56" t="s">
        <v>4512</v>
      </c>
      <c r="D370" s="56" t="s">
        <v>4511</v>
      </c>
      <c r="E370" s="56" t="s">
        <v>6211</v>
      </c>
      <c r="F370" s="56" t="s">
        <v>6210</v>
      </c>
      <c r="G370" s="58" t="s">
        <v>3551</v>
      </c>
      <c r="H370" s="56">
        <v>1</v>
      </c>
      <c r="I370" s="56" t="s">
        <v>3550</v>
      </c>
      <c r="J370" s="56">
        <v>0</v>
      </c>
      <c r="K370" s="56">
        <v>0</v>
      </c>
      <c r="P370" s="56">
        <v>0</v>
      </c>
      <c r="S370" s="56">
        <v>0</v>
      </c>
      <c r="T370" s="56" t="s">
        <v>3562</v>
      </c>
      <c r="V370" s="56" t="s">
        <v>3549</v>
      </c>
      <c r="W370" s="56" t="s">
        <v>3548</v>
      </c>
      <c r="X370" s="56" t="s">
        <v>3547</v>
      </c>
      <c r="Z370" s="56" t="s">
        <v>3546</v>
      </c>
      <c r="AA370" s="56" t="s">
        <v>6209</v>
      </c>
      <c r="AB370" s="56" t="s">
        <v>6208</v>
      </c>
      <c r="AC370" s="56" t="s">
        <v>3543</v>
      </c>
      <c r="AD370" s="56" t="s">
        <v>24</v>
      </c>
      <c r="AE370" s="56" t="s">
        <v>4145</v>
      </c>
      <c r="AF370" s="56" t="s">
        <v>6207</v>
      </c>
      <c r="AH370" s="56" t="s">
        <v>3542</v>
      </c>
      <c r="AI370" s="56" t="s">
        <v>3723</v>
      </c>
    </row>
    <row r="371" spans="1:35" ht="33" customHeight="1">
      <c r="A371" s="56" t="s">
        <v>6212</v>
      </c>
      <c r="B371" s="57">
        <v>44359.632581018515</v>
      </c>
      <c r="C371" s="56" t="s">
        <v>4512</v>
      </c>
      <c r="D371" s="56" t="s">
        <v>4511</v>
      </c>
      <c r="E371" s="56" t="s">
        <v>6211</v>
      </c>
      <c r="F371" s="56" t="s">
        <v>6210</v>
      </c>
      <c r="G371" s="58" t="s">
        <v>1713</v>
      </c>
      <c r="H371" s="56">
        <v>1</v>
      </c>
      <c r="I371" s="56" t="s">
        <v>3568</v>
      </c>
      <c r="J371" s="56">
        <v>0</v>
      </c>
      <c r="K371" s="56">
        <v>0</v>
      </c>
      <c r="P371" s="56">
        <v>0</v>
      </c>
      <c r="S371" s="56">
        <v>0</v>
      </c>
      <c r="T371" s="56" t="s">
        <v>3562</v>
      </c>
      <c r="V371" s="56" t="s">
        <v>3549</v>
      </c>
      <c r="W371" s="56" t="s">
        <v>3548</v>
      </c>
      <c r="X371" s="56" t="s">
        <v>3547</v>
      </c>
      <c r="Z371" s="56" t="s">
        <v>3546</v>
      </c>
      <c r="AA371" s="56" t="s">
        <v>6209</v>
      </c>
      <c r="AB371" s="56" t="s">
        <v>6208</v>
      </c>
      <c r="AC371" s="56" t="s">
        <v>3543</v>
      </c>
      <c r="AD371" s="56" t="s">
        <v>24</v>
      </c>
      <c r="AE371" s="56" t="s">
        <v>4145</v>
      </c>
      <c r="AF371" s="56" t="s">
        <v>6207</v>
      </c>
      <c r="AH371" s="56" t="s">
        <v>3542</v>
      </c>
      <c r="AI371" s="56" t="s">
        <v>3723</v>
      </c>
    </row>
    <row r="372" spans="1:35" ht="33" customHeight="1">
      <c r="A372" s="56" t="s">
        <v>6212</v>
      </c>
      <c r="B372" s="57">
        <v>44359.632581018515</v>
      </c>
      <c r="C372" s="56" t="s">
        <v>4512</v>
      </c>
      <c r="D372" s="56" t="s">
        <v>4511</v>
      </c>
      <c r="E372" s="56" t="s">
        <v>6211</v>
      </c>
      <c r="F372" s="56" t="s">
        <v>6210</v>
      </c>
      <c r="G372" s="58" t="s">
        <v>1498</v>
      </c>
      <c r="H372" s="56">
        <v>1</v>
      </c>
      <c r="I372" s="56" t="s">
        <v>4016</v>
      </c>
      <c r="J372" s="56">
        <v>0</v>
      </c>
      <c r="K372" s="56">
        <v>0</v>
      </c>
      <c r="P372" s="56">
        <v>0</v>
      </c>
      <c r="S372" s="56">
        <v>0</v>
      </c>
      <c r="T372" s="56" t="s">
        <v>3562</v>
      </c>
      <c r="V372" s="56" t="s">
        <v>3549</v>
      </c>
      <c r="W372" s="56" t="s">
        <v>3548</v>
      </c>
      <c r="X372" s="56" t="s">
        <v>3547</v>
      </c>
      <c r="Z372" s="56" t="s">
        <v>3546</v>
      </c>
      <c r="AA372" s="56" t="s">
        <v>6209</v>
      </c>
      <c r="AB372" s="56" t="s">
        <v>6208</v>
      </c>
      <c r="AC372" s="56" t="s">
        <v>3543</v>
      </c>
      <c r="AD372" s="56" t="s">
        <v>24</v>
      </c>
      <c r="AE372" s="56" t="s">
        <v>4145</v>
      </c>
      <c r="AF372" s="56" t="s">
        <v>6207</v>
      </c>
      <c r="AH372" s="56" t="s">
        <v>3542</v>
      </c>
      <c r="AI372" s="56" t="s">
        <v>3723</v>
      </c>
    </row>
    <row r="373" spans="1:35" ht="33" customHeight="1">
      <c r="A373" s="56" t="s">
        <v>6212</v>
      </c>
      <c r="B373" s="57">
        <v>44359.632581018515</v>
      </c>
      <c r="C373" s="56" t="s">
        <v>4512</v>
      </c>
      <c r="D373" s="56" t="s">
        <v>4511</v>
      </c>
      <c r="E373" s="56" t="s">
        <v>6211</v>
      </c>
      <c r="F373" s="56" t="s">
        <v>6210</v>
      </c>
      <c r="G373" s="58" t="s">
        <v>3564</v>
      </c>
      <c r="H373" s="56">
        <v>1</v>
      </c>
      <c r="I373" s="56" t="s">
        <v>3563</v>
      </c>
      <c r="J373" s="56">
        <v>0</v>
      </c>
      <c r="K373" s="56">
        <v>0</v>
      </c>
      <c r="P373" s="56">
        <v>0</v>
      </c>
      <c r="S373" s="56">
        <v>0</v>
      </c>
      <c r="T373" s="56" t="s">
        <v>3562</v>
      </c>
      <c r="V373" s="56" t="s">
        <v>3549</v>
      </c>
      <c r="W373" s="56" t="s">
        <v>3548</v>
      </c>
      <c r="X373" s="56" t="s">
        <v>3547</v>
      </c>
      <c r="Z373" s="56" t="s">
        <v>3546</v>
      </c>
      <c r="AA373" s="56" t="s">
        <v>6209</v>
      </c>
      <c r="AB373" s="56" t="s">
        <v>6208</v>
      </c>
      <c r="AC373" s="56" t="s">
        <v>3543</v>
      </c>
      <c r="AD373" s="56" t="s">
        <v>24</v>
      </c>
      <c r="AE373" s="56" t="s">
        <v>4145</v>
      </c>
      <c r="AF373" s="56" t="s">
        <v>6207</v>
      </c>
      <c r="AH373" s="56" t="s">
        <v>3542</v>
      </c>
      <c r="AI373" s="56" t="s">
        <v>3723</v>
      </c>
    </row>
    <row r="374" spans="1:35" ht="33" customHeight="1">
      <c r="A374" s="56" t="s">
        <v>6206</v>
      </c>
      <c r="B374" s="57">
        <v>44359.689849537041</v>
      </c>
      <c r="C374" s="56" t="s">
        <v>3803</v>
      </c>
      <c r="D374" s="56" t="s">
        <v>3802</v>
      </c>
      <c r="E374" s="56" t="s">
        <v>6205</v>
      </c>
      <c r="F374" s="56" t="s">
        <v>6204</v>
      </c>
      <c r="G374" s="58" t="s">
        <v>3656</v>
      </c>
      <c r="H374" s="56">
        <v>1</v>
      </c>
      <c r="I374" s="56" t="s">
        <v>3655</v>
      </c>
      <c r="J374" s="56">
        <v>1107</v>
      </c>
      <c r="K374" s="56">
        <v>799</v>
      </c>
      <c r="L374" s="56">
        <v>1243</v>
      </c>
      <c r="M374" s="56">
        <v>0</v>
      </c>
      <c r="N374" s="56">
        <v>0</v>
      </c>
      <c r="O374" s="56">
        <v>100</v>
      </c>
      <c r="P374" s="56">
        <v>0</v>
      </c>
      <c r="Q374" s="56">
        <v>1143</v>
      </c>
      <c r="R374" s="56">
        <v>0</v>
      </c>
      <c r="S374" s="56">
        <v>0</v>
      </c>
      <c r="T374" s="56" t="s">
        <v>3562</v>
      </c>
      <c r="U374" s="56">
        <v>1143</v>
      </c>
      <c r="V374" s="56" t="s">
        <v>59</v>
      </c>
      <c r="W374" s="56" t="s">
        <v>3548</v>
      </c>
      <c r="X374" s="56" t="s">
        <v>39</v>
      </c>
      <c r="Y374" s="56" t="s">
        <v>3787</v>
      </c>
      <c r="Z374" s="56" t="s">
        <v>6203</v>
      </c>
      <c r="AC374" s="56" t="s">
        <v>3543</v>
      </c>
      <c r="AD374" s="56" t="s">
        <v>24</v>
      </c>
      <c r="AE374" s="56" t="s">
        <v>6080</v>
      </c>
      <c r="AF374" s="56" t="s">
        <v>6202</v>
      </c>
      <c r="AH374" s="56" t="s">
        <v>3542</v>
      </c>
      <c r="AI374" s="56" t="s">
        <v>3723</v>
      </c>
    </row>
    <row r="375" spans="1:35" ht="33" customHeight="1">
      <c r="A375" s="56" t="s">
        <v>6206</v>
      </c>
      <c r="B375" s="57">
        <v>44359.689849537041</v>
      </c>
      <c r="C375" s="56" t="s">
        <v>3803</v>
      </c>
      <c r="D375" s="56" t="s">
        <v>3802</v>
      </c>
      <c r="E375" s="56" t="s">
        <v>6205</v>
      </c>
      <c r="F375" s="56" t="s">
        <v>6204</v>
      </c>
      <c r="G375" s="58" t="s">
        <v>1510</v>
      </c>
      <c r="H375" s="56">
        <v>1</v>
      </c>
      <c r="I375" s="56" t="s">
        <v>359</v>
      </c>
      <c r="J375" s="56">
        <v>295</v>
      </c>
      <c r="K375" s="56">
        <v>295</v>
      </c>
      <c r="P375" s="56">
        <v>0</v>
      </c>
      <c r="S375" s="56">
        <v>0</v>
      </c>
      <c r="T375" s="56" t="s">
        <v>3562</v>
      </c>
      <c r="V375" s="56" t="s">
        <v>59</v>
      </c>
      <c r="W375" s="56" t="s">
        <v>3548</v>
      </c>
      <c r="X375" s="56" t="s">
        <v>39</v>
      </c>
      <c r="Y375" s="56" t="s">
        <v>3787</v>
      </c>
      <c r="Z375" s="56" t="s">
        <v>6203</v>
      </c>
      <c r="AC375" s="56" t="s">
        <v>3543</v>
      </c>
      <c r="AD375" s="56" t="s">
        <v>24</v>
      </c>
      <c r="AE375" s="56" t="s">
        <v>6080</v>
      </c>
      <c r="AF375" s="56" t="s">
        <v>6202</v>
      </c>
      <c r="AH375" s="56" t="s">
        <v>3542</v>
      </c>
      <c r="AI375" s="56" t="s">
        <v>3723</v>
      </c>
    </row>
    <row r="376" spans="1:35" ht="33" customHeight="1">
      <c r="A376" s="56" t="s">
        <v>6206</v>
      </c>
      <c r="B376" s="57">
        <v>44359.689849537041</v>
      </c>
      <c r="C376" s="56" t="s">
        <v>3803</v>
      </c>
      <c r="D376" s="56" t="s">
        <v>3802</v>
      </c>
      <c r="E376" s="56" t="s">
        <v>6205</v>
      </c>
      <c r="F376" s="56" t="s">
        <v>6204</v>
      </c>
      <c r="G376" s="58" t="s">
        <v>1493</v>
      </c>
      <c r="H376" s="56">
        <v>1</v>
      </c>
      <c r="I376" s="56" t="s">
        <v>3586</v>
      </c>
      <c r="J376" s="56">
        <v>149</v>
      </c>
      <c r="K376" s="56">
        <v>149</v>
      </c>
      <c r="P376" s="56">
        <v>0</v>
      </c>
      <c r="S376" s="56">
        <v>0</v>
      </c>
      <c r="T376" s="56" t="s">
        <v>3562</v>
      </c>
      <c r="V376" s="56" t="s">
        <v>59</v>
      </c>
      <c r="W376" s="56" t="s">
        <v>3548</v>
      </c>
      <c r="X376" s="56" t="s">
        <v>39</v>
      </c>
      <c r="Y376" s="56" t="s">
        <v>3787</v>
      </c>
      <c r="Z376" s="56" t="s">
        <v>6203</v>
      </c>
      <c r="AC376" s="56" t="s">
        <v>3543</v>
      </c>
      <c r="AD376" s="56" t="s">
        <v>24</v>
      </c>
      <c r="AE376" s="56" t="s">
        <v>6080</v>
      </c>
      <c r="AF376" s="56" t="s">
        <v>6202</v>
      </c>
      <c r="AH376" s="56" t="s">
        <v>3542</v>
      </c>
      <c r="AI376" s="56" t="s">
        <v>3723</v>
      </c>
    </row>
    <row r="377" spans="1:35" ht="33" customHeight="1">
      <c r="A377" s="56" t="s">
        <v>6206</v>
      </c>
      <c r="B377" s="57">
        <v>44359.689849537041</v>
      </c>
      <c r="C377" s="56" t="s">
        <v>3803</v>
      </c>
      <c r="D377" s="56" t="s">
        <v>3802</v>
      </c>
      <c r="E377" s="56" t="s">
        <v>6205</v>
      </c>
      <c r="F377" s="56" t="s">
        <v>6204</v>
      </c>
      <c r="G377" s="58" t="s">
        <v>3551</v>
      </c>
      <c r="H377" s="56">
        <v>1</v>
      </c>
      <c r="I377" s="56" t="s">
        <v>3550</v>
      </c>
      <c r="J377" s="56">
        <v>0</v>
      </c>
      <c r="K377" s="56">
        <v>0</v>
      </c>
      <c r="P377" s="56">
        <v>0</v>
      </c>
      <c r="S377" s="56">
        <v>0</v>
      </c>
      <c r="T377" s="56" t="s">
        <v>3562</v>
      </c>
      <c r="V377" s="56" t="s">
        <v>59</v>
      </c>
      <c r="W377" s="56" t="s">
        <v>3548</v>
      </c>
      <c r="X377" s="56" t="s">
        <v>39</v>
      </c>
      <c r="Y377" s="56" t="s">
        <v>3787</v>
      </c>
      <c r="Z377" s="56" t="s">
        <v>6203</v>
      </c>
      <c r="AC377" s="56" t="s">
        <v>3543</v>
      </c>
      <c r="AD377" s="56" t="s">
        <v>24</v>
      </c>
      <c r="AE377" s="56" t="s">
        <v>6080</v>
      </c>
      <c r="AF377" s="56" t="s">
        <v>6202</v>
      </c>
      <c r="AH377" s="56" t="s">
        <v>3542</v>
      </c>
      <c r="AI377" s="56" t="s">
        <v>3723</v>
      </c>
    </row>
    <row r="378" spans="1:35" ht="33" customHeight="1">
      <c r="A378" s="56" t="s">
        <v>6206</v>
      </c>
      <c r="B378" s="57">
        <v>44359.689849537041</v>
      </c>
      <c r="C378" s="56" t="s">
        <v>3803</v>
      </c>
      <c r="D378" s="56" t="s">
        <v>3802</v>
      </c>
      <c r="E378" s="56" t="s">
        <v>6205</v>
      </c>
      <c r="F378" s="56" t="s">
        <v>6204</v>
      </c>
      <c r="G378" s="58" t="s">
        <v>1498</v>
      </c>
      <c r="H378" s="56">
        <v>1</v>
      </c>
      <c r="I378" s="56" t="s">
        <v>4016</v>
      </c>
      <c r="J378" s="56">
        <v>0</v>
      </c>
      <c r="K378" s="56">
        <v>0</v>
      </c>
      <c r="P378" s="56">
        <v>0</v>
      </c>
      <c r="S378" s="56">
        <v>0</v>
      </c>
      <c r="T378" s="56" t="s">
        <v>3562</v>
      </c>
      <c r="V378" s="56" t="s">
        <v>59</v>
      </c>
      <c r="W378" s="56" t="s">
        <v>3548</v>
      </c>
      <c r="X378" s="56" t="s">
        <v>39</v>
      </c>
      <c r="Y378" s="56" t="s">
        <v>3787</v>
      </c>
      <c r="Z378" s="56" t="s">
        <v>6203</v>
      </c>
      <c r="AC378" s="56" t="s">
        <v>3543</v>
      </c>
      <c r="AD378" s="56" t="s">
        <v>24</v>
      </c>
      <c r="AE378" s="56" t="s">
        <v>6080</v>
      </c>
      <c r="AF378" s="56" t="s">
        <v>6202</v>
      </c>
      <c r="AH378" s="56" t="s">
        <v>3542</v>
      </c>
      <c r="AI378" s="56" t="s">
        <v>3723</v>
      </c>
    </row>
    <row r="379" spans="1:35" ht="33" customHeight="1">
      <c r="A379" s="56" t="s">
        <v>6201</v>
      </c>
      <c r="B379" s="57">
        <v>44359.717523148145</v>
      </c>
      <c r="C379" s="56" t="s">
        <v>3803</v>
      </c>
      <c r="D379" s="56" t="s">
        <v>3802</v>
      </c>
      <c r="E379" s="56" t="s">
        <v>6200</v>
      </c>
      <c r="F379" s="56" t="s">
        <v>6199</v>
      </c>
      <c r="G379" s="58" t="s">
        <v>4162</v>
      </c>
      <c r="H379" s="56">
        <v>1</v>
      </c>
      <c r="I379" s="56" t="s">
        <v>3669</v>
      </c>
      <c r="J379" s="56">
        <v>897</v>
      </c>
      <c r="K379" s="56">
        <v>888</v>
      </c>
      <c r="L379" s="56">
        <v>997</v>
      </c>
      <c r="M379" s="56">
        <v>0</v>
      </c>
      <c r="N379" s="56">
        <v>0</v>
      </c>
      <c r="O379" s="56">
        <v>0</v>
      </c>
      <c r="P379" s="56">
        <v>0</v>
      </c>
      <c r="Q379" s="56">
        <v>997</v>
      </c>
      <c r="R379" s="56">
        <v>0</v>
      </c>
      <c r="S379" s="56">
        <v>0</v>
      </c>
      <c r="T379" s="56" t="s">
        <v>3562</v>
      </c>
      <c r="U379" s="56">
        <v>997</v>
      </c>
      <c r="V379" s="56" t="s">
        <v>59</v>
      </c>
      <c r="W379" s="56" t="s">
        <v>3548</v>
      </c>
      <c r="X379" s="56" t="s">
        <v>39</v>
      </c>
      <c r="Y379" s="56" t="s">
        <v>6198</v>
      </c>
      <c r="Z379" s="56" t="s">
        <v>6197</v>
      </c>
      <c r="AC379" s="56" t="s">
        <v>3543</v>
      </c>
      <c r="AD379" s="56" t="s">
        <v>24</v>
      </c>
      <c r="AE379" s="56" t="s">
        <v>6080</v>
      </c>
      <c r="AF379" s="56" t="s">
        <v>6196</v>
      </c>
      <c r="AH379" s="56" t="s">
        <v>3542</v>
      </c>
      <c r="AI379" s="56" t="s">
        <v>3723</v>
      </c>
    </row>
    <row r="380" spans="1:35" ht="33" customHeight="1">
      <c r="A380" s="56" t="s">
        <v>6201</v>
      </c>
      <c r="B380" s="57">
        <v>44359.717523148145</v>
      </c>
      <c r="C380" s="56" t="s">
        <v>3803</v>
      </c>
      <c r="D380" s="56" t="s">
        <v>3802</v>
      </c>
      <c r="E380" s="56" t="s">
        <v>6200</v>
      </c>
      <c r="F380" s="56" t="s">
        <v>6199</v>
      </c>
      <c r="G380" s="58" t="s">
        <v>2165</v>
      </c>
      <c r="H380" s="56">
        <v>1</v>
      </c>
      <c r="I380" s="56" t="s">
        <v>3721</v>
      </c>
      <c r="J380" s="56">
        <v>109</v>
      </c>
      <c r="K380" s="56">
        <v>109</v>
      </c>
      <c r="P380" s="56">
        <v>0</v>
      </c>
      <c r="S380" s="56">
        <v>0</v>
      </c>
      <c r="T380" s="56" t="s">
        <v>3562</v>
      </c>
      <c r="V380" s="56" t="s">
        <v>59</v>
      </c>
      <c r="W380" s="56" t="s">
        <v>3548</v>
      </c>
      <c r="X380" s="56" t="s">
        <v>39</v>
      </c>
      <c r="Y380" s="56" t="s">
        <v>6198</v>
      </c>
      <c r="Z380" s="56" t="s">
        <v>6197</v>
      </c>
      <c r="AC380" s="56" t="s">
        <v>3543</v>
      </c>
      <c r="AD380" s="56" t="s">
        <v>24</v>
      </c>
      <c r="AE380" s="56" t="s">
        <v>6080</v>
      </c>
      <c r="AF380" s="56" t="s">
        <v>6196</v>
      </c>
      <c r="AH380" s="56" t="s">
        <v>3542</v>
      </c>
      <c r="AI380" s="56" t="s">
        <v>3723</v>
      </c>
    </row>
    <row r="381" spans="1:35" ht="33" customHeight="1">
      <c r="A381" s="56" t="s">
        <v>6201</v>
      </c>
      <c r="B381" s="57">
        <v>44359.717523148145</v>
      </c>
      <c r="C381" s="56" t="s">
        <v>3803</v>
      </c>
      <c r="D381" s="56" t="s">
        <v>3802</v>
      </c>
      <c r="E381" s="56" t="s">
        <v>6200</v>
      </c>
      <c r="F381" s="56" t="s">
        <v>6199</v>
      </c>
      <c r="G381" s="58" t="s">
        <v>3551</v>
      </c>
      <c r="H381" s="56">
        <v>1</v>
      </c>
      <c r="I381" s="56" t="s">
        <v>3550</v>
      </c>
      <c r="J381" s="56">
        <v>0</v>
      </c>
      <c r="K381" s="56">
        <v>0</v>
      </c>
      <c r="P381" s="56">
        <v>0</v>
      </c>
      <c r="S381" s="56">
        <v>0</v>
      </c>
      <c r="T381" s="56" t="s">
        <v>3562</v>
      </c>
      <c r="V381" s="56" t="s">
        <v>59</v>
      </c>
      <c r="W381" s="56" t="s">
        <v>3548</v>
      </c>
      <c r="X381" s="56" t="s">
        <v>39</v>
      </c>
      <c r="Y381" s="56" t="s">
        <v>6198</v>
      </c>
      <c r="Z381" s="56" t="s">
        <v>6197</v>
      </c>
      <c r="AC381" s="56" t="s">
        <v>3543</v>
      </c>
      <c r="AD381" s="56" t="s">
        <v>24</v>
      </c>
      <c r="AE381" s="56" t="s">
        <v>6080</v>
      </c>
      <c r="AF381" s="56" t="s">
        <v>6196</v>
      </c>
      <c r="AH381" s="56" t="s">
        <v>3542</v>
      </c>
      <c r="AI381" s="56" t="s">
        <v>3723</v>
      </c>
    </row>
    <row r="382" spans="1:35" ht="33" customHeight="1">
      <c r="A382" s="56" t="s">
        <v>6201</v>
      </c>
      <c r="B382" s="57">
        <v>44359.717523148145</v>
      </c>
      <c r="C382" s="56" t="s">
        <v>3803</v>
      </c>
      <c r="D382" s="56" t="s">
        <v>3802</v>
      </c>
      <c r="E382" s="56" t="s">
        <v>6200</v>
      </c>
      <c r="F382" s="56" t="s">
        <v>6199</v>
      </c>
      <c r="G382" s="58" t="s">
        <v>1498</v>
      </c>
      <c r="H382" s="56">
        <v>1</v>
      </c>
      <c r="I382" s="56" t="s">
        <v>4016</v>
      </c>
      <c r="J382" s="56">
        <v>0</v>
      </c>
      <c r="K382" s="56">
        <v>0</v>
      </c>
      <c r="P382" s="56">
        <v>0</v>
      </c>
      <c r="S382" s="56">
        <v>0</v>
      </c>
      <c r="T382" s="56" t="s">
        <v>3562</v>
      </c>
      <c r="V382" s="56" t="s">
        <v>59</v>
      </c>
      <c r="W382" s="56" t="s">
        <v>3548</v>
      </c>
      <c r="X382" s="56" t="s">
        <v>39</v>
      </c>
      <c r="Y382" s="56" t="s">
        <v>6198</v>
      </c>
      <c r="Z382" s="56" t="s">
        <v>6197</v>
      </c>
      <c r="AC382" s="56" t="s">
        <v>3543</v>
      </c>
      <c r="AD382" s="56" t="s">
        <v>24</v>
      </c>
      <c r="AE382" s="56" t="s">
        <v>6080</v>
      </c>
      <c r="AF382" s="56" t="s">
        <v>6196</v>
      </c>
      <c r="AH382" s="56" t="s">
        <v>3542</v>
      </c>
      <c r="AI382" s="56" t="s">
        <v>3723</v>
      </c>
    </row>
    <row r="383" spans="1:35" ht="33" customHeight="1">
      <c r="A383" s="56" t="s">
        <v>6194</v>
      </c>
      <c r="B383" s="57">
        <v>44359.718784722223</v>
      </c>
      <c r="C383" s="56" t="s">
        <v>3803</v>
      </c>
      <c r="D383" s="56" t="s">
        <v>3802</v>
      </c>
      <c r="E383" s="56" t="s">
        <v>6193</v>
      </c>
      <c r="F383" s="56" t="s">
        <v>6192</v>
      </c>
      <c r="G383" s="58" t="s">
        <v>3811</v>
      </c>
      <c r="H383" s="56">
        <v>1</v>
      </c>
      <c r="I383" s="56" t="s">
        <v>3669</v>
      </c>
      <c r="J383" s="56">
        <v>897</v>
      </c>
      <c r="K383" s="56">
        <v>888</v>
      </c>
      <c r="L383" s="56">
        <v>1308</v>
      </c>
      <c r="M383" s="56">
        <v>0</v>
      </c>
      <c r="N383" s="56">
        <v>0</v>
      </c>
      <c r="O383" s="56">
        <v>129</v>
      </c>
      <c r="P383" s="56">
        <v>0</v>
      </c>
      <c r="Q383" s="56">
        <v>1179</v>
      </c>
      <c r="R383" s="56">
        <v>0</v>
      </c>
      <c r="S383" s="56">
        <v>0</v>
      </c>
      <c r="T383" s="56" t="s">
        <v>3562</v>
      </c>
      <c r="U383" s="56">
        <v>1179</v>
      </c>
      <c r="V383" s="56" t="s">
        <v>59</v>
      </c>
      <c r="W383" s="56" t="s">
        <v>3548</v>
      </c>
      <c r="X383" s="56" t="s">
        <v>39</v>
      </c>
      <c r="Y383" s="56" t="s">
        <v>4585</v>
      </c>
      <c r="Z383" s="56" t="s">
        <v>6191</v>
      </c>
      <c r="AC383" s="56" t="s">
        <v>3543</v>
      </c>
      <c r="AD383" s="56" t="s">
        <v>24</v>
      </c>
      <c r="AE383" s="56" t="s">
        <v>6080</v>
      </c>
      <c r="AF383" s="56" t="s">
        <v>6190</v>
      </c>
      <c r="AH383" s="56" t="s">
        <v>3542</v>
      </c>
      <c r="AI383" s="56" t="s">
        <v>3723</v>
      </c>
    </row>
    <row r="384" spans="1:35" ht="33" customHeight="1">
      <c r="A384" s="56" t="s">
        <v>6194</v>
      </c>
      <c r="B384" s="57">
        <v>44359.718784722223</v>
      </c>
      <c r="C384" s="56" t="s">
        <v>3803</v>
      </c>
      <c r="D384" s="56" t="s">
        <v>3802</v>
      </c>
      <c r="E384" s="56" t="s">
        <v>6193</v>
      </c>
      <c r="F384" s="56" t="s">
        <v>6192</v>
      </c>
      <c r="G384" s="58" t="s">
        <v>6195</v>
      </c>
      <c r="H384" s="56">
        <v>1</v>
      </c>
      <c r="I384" s="56" t="s">
        <v>5335</v>
      </c>
      <c r="J384" s="56">
        <v>505</v>
      </c>
      <c r="K384" s="56">
        <v>420</v>
      </c>
      <c r="P384" s="56">
        <v>0</v>
      </c>
      <c r="S384" s="56">
        <v>0</v>
      </c>
      <c r="T384" s="56" t="s">
        <v>3562</v>
      </c>
      <c r="V384" s="56" t="s">
        <v>59</v>
      </c>
      <c r="W384" s="56" t="s">
        <v>3548</v>
      </c>
      <c r="X384" s="56" t="s">
        <v>39</v>
      </c>
      <c r="Y384" s="56" t="s">
        <v>4585</v>
      </c>
      <c r="Z384" s="56" t="s">
        <v>6191</v>
      </c>
      <c r="AC384" s="56" t="s">
        <v>3543</v>
      </c>
      <c r="AD384" s="56" t="s">
        <v>24</v>
      </c>
      <c r="AE384" s="56" t="s">
        <v>6080</v>
      </c>
      <c r="AF384" s="56" t="s">
        <v>6190</v>
      </c>
      <c r="AH384" s="56" t="s">
        <v>3542</v>
      </c>
      <c r="AI384" s="56" t="s">
        <v>3723</v>
      </c>
    </row>
    <row r="385" spans="1:35" ht="33" customHeight="1">
      <c r="A385" s="56" t="s">
        <v>6194</v>
      </c>
      <c r="B385" s="57">
        <v>44359.718784722223</v>
      </c>
      <c r="C385" s="56" t="s">
        <v>3803</v>
      </c>
      <c r="D385" s="56" t="s">
        <v>3802</v>
      </c>
      <c r="E385" s="56" t="s">
        <v>6193</v>
      </c>
      <c r="F385" s="56" t="s">
        <v>6192</v>
      </c>
      <c r="G385" s="58" t="s">
        <v>3551</v>
      </c>
      <c r="H385" s="56">
        <v>1</v>
      </c>
      <c r="I385" s="56" t="s">
        <v>3550</v>
      </c>
      <c r="J385" s="56">
        <v>0</v>
      </c>
      <c r="K385" s="56">
        <v>0</v>
      </c>
      <c r="P385" s="56">
        <v>0</v>
      </c>
      <c r="S385" s="56">
        <v>0</v>
      </c>
      <c r="T385" s="56" t="s">
        <v>3562</v>
      </c>
      <c r="V385" s="56" t="s">
        <v>59</v>
      </c>
      <c r="W385" s="56" t="s">
        <v>3548</v>
      </c>
      <c r="X385" s="56" t="s">
        <v>39</v>
      </c>
      <c r="Y385" s="56" t="s">
        <v>4585</v>
      </c>
      <c r="Z385" s="56" t="s">
        <v>6191</v>
      </c>
      <c r="AC385" s="56" t="s">
        <v>3543</v>
      </c>
      <c r="AD385" s="56" t="s">
        <v>24</v>
      </c>
      <c r="AE385" s="56" t="s">
        <v>6080</v>
      </c>
      <c r="AF385" s="56" t="s">
        <v>6190</v>
      </c>
      <c r="AH385" s="56" t="s">
        <v>3542</v>
      </c>
      <c r="AI385" s="56" t="s">
        <v>3723</v>
      </c>
    </row>
    <row r="386" spans="1:35" ht="33" customHeight="1">
      <c r="A386" s="56" t="s">
        <v>6194</v>
      </c>
      <c r="B386" s="57">
        <v>44359.718784722223</v>
      </c>
      <c r="C386" s="56" t="s">
        <v>3803</v>
      </c>
      <c r="D386" s="56" t="s">
        <v>3802</v>
      </c>
      <c r="E386" s="56" t="s">
        <v>6193</v>
      </c>
      <c r="F386" s="56" t="s">
        <v>6192</v>
      </c>
      <c r="G386" s="58" t="s">
        <v>1498</v>
      </c>
      <c r="H386" s="56">
        <v>1</v>
      </c>
      <c r="I386" s="56" t="s">
        <v>4016</v>
      </c>
      <c r="J386" s="56">
        <v>0</v>
      </c>
      <c r="K386" s="56">
        <v>0</v>
      </c>
      <c r="P386" s="56">
        <v>0</v>
      </c>
      <c r="S386" s="56">
        <v>0</v>
      </c>
      <c r="T386" s="56" t="s">
        <v>3562</v>
      </c>
      <c r="V386" s="56" t="s">
        <v>59</v>
      </c>
      <c r="W386" s="56" t="s">
        <v>3548</v>
      </c>
      <c r="X386" s="56" t="s">
        <v>39</v>
      </c>
      <c r="Y386" s="56" t="s">
        <v>4585</v>
      </c>
      <c r="Z386" s="56" t="s">
        <v>6191</v>
      </c>
      <c r="AC386" s="56" t="s">
        <v>3543</v>
      </c>
      <c r="AD386" s="56" t="s">
        <v>24</v>
      </c>
      <c r="AE386" s="56" t="s">
        <v>6080</v>
      </c>
      <c r="AF386" s="56" t="s">
        <v>6190</v>
      </c>
      <c r="AH386" s="56" t="s">
        <v>3542</v>
      </c>
      <c r="AI386" s="56" t="s">
        <v>3723</v>
      </c>
    </row>
    <row r="387" spans="1:35" ht="33" customHeight="1">
      <c r="A387" s="56" t="s">
        <v>6189</v>
      </c>
      <c r="B387" s="57">
        <v>44359.729560185187</v>
      </c>
      <c r="C387" s="56" t="s">
        <v>3803</v>
      </c>
      <c r="D387" s="56" t="s">
        <v>4426</v>
      </c>
      <c r="E387" s="56" t="s">
        <v>6188</v>
      </c>
      <c r="F387" s="56" t="s">
        <v>6187</v>
      </c>
      <c r="G387" s="58" t="s">
        <v>4861</v>
      </c>
      <c r="H387" s="56">
        <v>1</v>
      </c>
      <c r="I387" s="56" t="s">
        <v>3655</v>
      </c>
      <c r="J387" s="56">
        <v>1107</v>
      </c>
      <c r="K387" s="56">
        <v>799</v>
      </c>
      <c r="L387" s="56">
        <v>1457</v>
      </c>
      <c r="M387" s="56">
        <v>0</v>
      </c>
      <c r="N387" s="56">
        <v>0</v>
      </c>
      <c r="O387" s="56">
        <v>100</v>
      </c>
      <c r="P387" s="56">
        <v>0</v>
      </c>
      <c r="Q387" s="56">
        <v>1357</v>
      </c>
      <c r="R387" s="56">
        <v>0</v>
      </c>
      <c r="S387" s="56">
        <v>0</v>
      </c>
      <c r="T387" s="56" t="s">
        <v>27</v>
      </c>
      <c r="U387" s="56">
        <v>1357</v>
      </c>
      <c r="V387" s="56" t="s">
        <v>3549</v>
      </c>
      <c r="W387" s="56" t="s">
        <v>3548</v>
      </c>
      <c r="X387" s="56" t="s">
        <v>3547</v>
      </c>
      <c r="Z387" s="56" t="s">
        <v>3546</v>
      </c>
      <c r="AA387" s="56" t="s">
        <v>6186</v>
      </c>
      <c r="AB387" s="56" t="s">
        <v>6185</v>
      </c>
      <c r="AC387" s="56" t="s">
        <v>3543</v>
      </c>
      <c r="AH387" s="56" t="s">
        <v>3542</v>
      </c>
      <c r="AI387" s="56" t="s">
        <v>3541</v>
      </c>
    </row>
    <row r="388" spans="1:35" ht="33" customHeight="1">
      <c r="A388" s="56" t="s">
        <v>6189</v>
      </c>
      <c r="B388" s="57">
        <v>44359.729560185187</v>
      </c>
      <c r="C388" s="56" t="s">
        <v>3803</v>
      </c>
      <c r="D388" s="56" t="s">
        <v>4426</v>
      </c>
      <c r="E388" s="56" t="s">
        <v>6188</v>
      </c>
      <c r="F388" s="56" t="s">
        <v>6187</v>
      </c>
      <c r="G388" s="58" t="s">
        <v>4137</v>
      </c>
      <c r="H388" s="56">
        <v>1</v>
      </c>
      <c r="I388" s="56" t="s">
        <v>3577</v>
      </c>
      <c r="J388" s="56">
        <v>700</v>
      </c>
      <c r="K388" s="56">
        <v>599</v>
      </c>
      <c r="P388" s="56">
        <v>0</v>
      </c>
      <c r="S388" s="56">
        <v>0</v>
      </c>
      <c r="T388" s="56" t="s">
        <v>27</v>
      </c>
      <c r="V388" s="56" t="s">
        <v>3549</v>
      </c>
      <c r="W388" s="56" t="s">
        <v>3548</v>
      </c>
      <c r="X388" s="56" t="s">
        <v>3547</v>
      </c>
      <c r="Z388" s="56" t="s">
        <v>3546</v>
      </c>
      <c r="AA388" s="56" t="s">
        <v>6186</v>
      </c>
      <c r="AB388" s="56" t="s">
        <v>6185</v>
      </c>
      <c r="AC388" s="56" t="s">
        <v>3543</v>
      </c>
      <c r="AH388" s="56" t="s">
        <v>3542</v>
      </c>
      <c r="AI388" s="56" t="s">
        <v>3541</v>
      </c>
    </row>
    <row r="389" spans="1:35" ht="33" customHeight="1">
      <c r="A389" s="56" t="s">
        <v>6189</v>
      </c>
      <c r="B389" s="57">
        <v>44359.729560185187</v>
      </c>
      <c r="C389" s="56" t="s">
        <v>3803</v>
      </c>
      <c r="D389" s="56" t="s">
        <v>4426</v>
      </c>
      <c r="E389" s="56" t="s">
        <v>6188</v>
      </c>
      <c r="F389" s="56" t="s">
        <v>6187</v>
      </c>
      <c r="G389" s="58" t="s">
        <v>3222</v>
      </c>
      <c r="H389" s="56">
        <v>1</v>
      </c>
      <c r="I389" s="56" t="s">
        <v>3712</v>
      </c>
      <c r="J389" s="56">
        <v>59</v>
      </c>
      <c r="K389" s="56">
        <v>59</v>
      </c>
      <c r="P389" s="56">
        <v>0</v>
      </c>
      <c r="S389" s="56">
        <v>0</v>
      </c>
      <c r="T389" s="56" t="s">
        <v>27</v>
      </c>
      <c r="V389" s="56" t="s">
        <v>3549</v>
      </c>
      <c r="W389" s="56" t="s">
        <v>3548</v>
      </c>
      <c r="X389" s="56" t="s">
        <v>3547</v>
      </c>
      <c r="Z389" s="56" t="s">
        <v>3546</v>
      </c>
      <c r="AA389" s="56" t="s">
        <v>6186</v>
      </c>
      <c r="AB389" s="56" t="s">
        <v>6185</v>
      </c>
      <c r="AC389" s="56" t="s">
        <v>3543</v>
      </c>
      <c r="AH389" s="56" t="s">
        <v>3542</v>
      </c>
      <c r="AI389" s="56" t="s">
        <v>3541</v>
      </c>
    </row>
    <row r="390" spans="1:35" ht="33" customHeight="1">
      <c r="A390" s="56" t="s">
        <v>6189</v>
      </c>
      <c r="B390" s="57">
        <v>44359.729560185187</v>
      </c>
      <c r="C390" s="56" t="s">
        <v>3803</v>
      </c>
      <c r="D390" s="56" t="s">
        <v>4426</v>
      </c>
      <c r="E390" s="56" t="s">
        <v>6188</v>
      </c>
      <c r="F390" s="56" t="s">
        <v>6187</v>
      </c>
      <c r="G390" s="58" t="s">
        <v>3551</v>
      </c>
      <c r="H390" s="56">
        <v>1</v>
      </c>
      <c r="I390" s="56" t="s">
        <v>3550</v>
      </c>
      <c r="J390" s="56">
        <v>0</v>
      </c>
      <c r="K390" s="56">
        <v>0</v>
      </c>
      <c r="P390" s="56">
        <v>0</v>
      </c>
      <c r="S390" s="56">
        <v>0</v>
      </c>
      <c r="T390" s="56" t="s">
        <v>27</v>
      </c>
      <c r="V390" s="56" t="s">
        <v>3549</v>
      </c>
      <c r="W390" s="56" t="s">
        <v>3548</v>
      </c>
      <c r="X390" s="56" t="s">
        <v>3547</v>
      </c>
      <c r="Z390" s="56" t="s">
        <v>3546</v>
      </c>
      <c r="AA390" s="56" t="s">
        <v>6186</v>
      </c>
      <c r="AB390" s="56" t="s">
        <v>6185</v>
      </c>
      <c r="AC390" s="56" t="s">
        <v>3543</v>
      </c>
      <c r="AH390" s="56" t="s">
        <v>3542</v>
      </c>
      <c r="AI390" s="56" t="s">
        <v>3541</v>
      </c>
    </row>
    <row r="391" spans="1:35" ht="33" customHeight="1">
      <c r="A391" s="56" t="s">
        <v>6189</v>
      </c>
      <c r="B391" s="57">
        <v>44359.729560185187</v>
      </c>
      <c r="C391" s="56" t="s">
        <v>3803</v>
      </c>
      <c r="D391" s="56" t="s">
        <v>4426</v>
      </c>
      <c r="E391" s="56" t="s">
        <v>6188</v>
      </c>
      <c r="F391" s="56" t="s">
        <v>6187</v>
      </c>
      <c r="G391" s="58" t="s">
        <v>1498</v>
      </c>
      <c r="H391" s="56">
        <v>1</v>
      </c>
      <c r="I391" s="56" t="s">
        <v>4016</v>
      </c>
      <c r="J391" s="56">
        <v>0</v>
      </c>
      <c r="K391" s="56">
        <v>0</v>
      </c>
      <c r="P391" s="56">
        <v>0</v>
      </c>
      <c r="S391" s="56">
        <v>0</v>
      </c>
      <c r="T391" s="56" t="s">
        <v>27</v>
      </c>
      <c r="V391" s="56" t="s">
        <v>3549</v>
      </c>
      <c r="W391" s="56" t="s">
        <v>3548</v>
      </c>
      <c r="X391" s="56" t="s">
        <v>3547</v>
      </c>
      <c r="Z391" s="56" t="s">
        <v>3546</v>
      </c>
      <c r="AA391" s="56" t="s">
        <v>6186</v>
      </c>
      <c r="AB391" s="56" t="s">
        <v>6185</v>
      </c>
      <c r="AC391" s="56" t="s">
        <v>3543</v>
      </c>
      <c r="AH391" s="56" t="s">
        <v>3542</v>
      </c>
      <c r="AI391" s="56" t="s">
        <v>3541</v>
      </c>
    </row>
    <row r="392" spans="1:35" ht="33" customHeight="1">
      <c r="A392" s="56" t="s">
        <v>6184</v>
      </c>
      <c r="B392" s="57">
        <v>44359.751539351855</v>
      </c>
      <c r="C392" s="56" t="s">
        <v>3803</v>
      </c>
      <c r="D392" s="56" t="s">
        <v>3802</v>
      </c>
      <c r="E392" s="56" t="s">
        <v>6183</v>
      </c>
      <c r="F392" s="56" t="s">
        <v>6182</v>
      </c>
      <c r="G392" s="58" t="s">
        <v>3811</v>
      </c>
      <c r="H392" s="56">
        <v>1</v>
      </c>
      <c r="I392" s="56" t="s">
        <v>3669</v>
      </c>
      <c r="J392" s="56">
        <v>897</v>
      </c>
      <c r="K392" s="56">
        <v>888</v>
      </c>
      <c r="L392" s="56">
        <v>2572</v>
      </c>
      <c r="M392" s="56">
        <v>0</v>
      </c>
      <c r="N392" s="56">
        <v>0</v>
      </c>
      <c r="O392" s="56">
        <v>157</v>
      </c>
      <c r="P392" s="56">
        <v>0</v>
      </c>
      <c r="Q392" s="56">
        <v>2415</v>
      </c>
      <c r="R392" s="56">
        <v>0</v>
      </c>
      <c r="S392" s="56">
        <v>0</v>
      </c>
      <c r="T392" s="56" t="s">
        <v>3562</v>
      </c>
      <c r="U392" s="56">
        <v>2415</v>
      </c>
      <c r="V392" s="56" t="s">
        <v>59</v>
      </c>
      <c r="W392" s="56" t="s">
        <v>3548</v>
      </c>
      <c r="X392" s="56" t="s">
        <v>39</v>
      </c>
      <c r="Y392" s="56" t="s">
        <v>3998</v>
      </c>
      <c r="Z392" s="56" t="s">
        <v>6181</v>
      </c>
      <c r="AC392" s="56" t="s">
        <v>3543</v>
      </c>
      <c r="AD392" s="56" t="s">
        <v>24</v>
      </c>
      <c r="AE392" s="56" t="s">
        <v>6080</v>
      </c>
      <c r="AF392" s="56" t="s">
        <v>6180</v>
      </c>
      <c r="AH392" s="56" t="s">
        <v>3542</v>
      </c>
      <c r="AI392" s="56" t="s">
        <v>3723</v>
      </c>
    </row>
    <row r="393" spans="1:35" ht="33" customHeight="1">
      <c r="A393" s="56" t="s">
        <v>6184</v>
      </c>
      <c r="B393" s="57">
        <v>44359.751539351855</v>
      </c>
      <c r="C393" s="56" t="s">
        <v>3803</v>
      </c>
      <c r="D393" s="56" t="s">
        <v>3802</v>
      </c>
      <c r="E393" s="56" t="s">
        <v>6183</v>
      </c>
      <c r="F393" s="56" t="s">
        <v>6182</v>
      </c>
      <c r="G393" s="58" t="s">
        <v>3656</v>
      </c>
      <c r="H393" s="56">
        <v>1</v>
      </c>
      <c r="I393" s="56" t="s">
        <v>3655</v>
      </c>
      <c r="J393" s="56">
        <v>1107</v>
      </c>
      <c r="K393" s="56">
        <v>799</v>
      </c>
      <c r="P393" s="56">
        <v>0</v>
      </c>
      <c r="S393" s="56">
        <v>0</v>
      </c>
      <c r="T393" s="56" t="s">
        <v>3562</v>
      </c>
      <c r="V393" s="56" t="s">
        <v>59</v>
      </c>
      <c r="W393" s="56" t="s">
        <v>3548</v>
      </c>
      <c r="X393" s="56" t="s">
        <v>39</v>
      </c>
      <c r="Y393" s="56" t="s">
        <v>3998</v>
      </c>
      <c r="Z393" s="56" t="s">
        <v>6181</v>
      </c>
      <c r="AC393" s="56" t="s">
        <v>3543</v>
      </c>
      <c r="AD393" s="56" t="s">
        <v>24</v>
      </c>
      <c r="AE393" s="56" t="s">
        <v>6080</v>
      </c>
      <c r="AF393" s="56" t="s">
        <v>6180</v>
      </c>
      <c r="AH393" s="56" t="s">
        <v>3542</v>
      </c>
      <c r="AI393" s="56" t="s">
        <v>3723</v>
      </c>
    </row>
    <row r="394" spans="1:35" ht="33" customHeight="1">
      <c r="A394" s="56" t="s">
        <v>6184</v>
      </c>
      <c r="B394" s="57">
        <v>44359.751539351855</v>
      </c>
      <c r="C394" s="56" t="s">
        <v>3803</v>
      </c>
      <c r="D394" s="56" t="s">
        <v>3802</v>
      </c>
      <c r="E394" s="56" t="s">
        <v>6183</v>
      </c>
      <c r="F394" s="56" t="s">
        <v>6182</v>
      </c>
      <c r="G394" s="58" t="s">
        <v>1493</v>
      </c>
      <c r="H394" s="56">
        <v>1</v>
      </c>
      <c r="I394" s="56" t="s">
        <v>3601</v>
      </c>
      <c r="J394" s="56">
        <v>135</v>
      </c>
      <c r="K394" s="56">
        <v>135</v>
      </c>
      <c r="P394" s="56">
        <v>0</v>
      </c>
      <c r="S394" s="56">
        <v>0</v>
      </c>
      <c r="T394" s="56" t="s">
        <v>3562</v>
      </c>
      <c r="V394" s="56" t="s">
        <v>59</v>
      </c>
      <c r="W394" s="56" t="s">
        <v>3548</v>
      </c>
      <c r="X394" s="56" t="s">
        <v>39</v>
      </c>
      <c r="Y394" s="56" t="s">
        <v>3998</v>
      </c>
      <c r="Z394" s="56" t="s">
        <v>6181</v>
      </c>
      <c r="AC394" s="56" t="s">
        <v>3543</v>
      </c>
      <c r="AD394" s="56" t="s">
        <v>24</v>
      </c>
      <c r="AE394" s="56" t="s">
        <v>6080</v>
      </c>
      <c r="AF394" s="56" t="s">
        <v>6180</v>
      </c>
      <c r="AH394" s="56" t="s">
        <v>3542</v>
      </c>
      <c r="AI394" s="56" t="s">
        <v>3723</v>
      </c>
    </row>
    <row r="395" spans="1:35" ht="33" customHeight="1">
      <c r="A395" s="56" t="s">
        <v>6184</v>
      </c>
      <c r="B395" s="57">
        <v>44359.751539351855</v>
      </c>
      <c r="C395" s="56" t="s">
        <v>3803</v>
      </c>
      <c r="D395" s="56" t="s">
        <v>3802</v>
      </c>
      <c r="E395" s="56" t="s">
        <v>6183</v>
      </c>
      <c r="F395" s="56" t="s">
        <v>6182</v>
      </c>
      <c r="G395" s="58" t="s">
        <v>4918</v>
      </c>
      <c r="H395" s="56">
        <v>1</v>
      </c>
      <c r="I395" s="56" t="s">
        <v>3569</v>
      </c>
      <c r="J395" s="56">
        <v>894</v>
      </c>
      <c r="K395" s="56">
        <v>750</v>
      </c>
      <c r="P395" s="56">
        <v>0</v>
      </c>
      <c r="S395" s="56">
        <v>0</v>
      </c>
      <c r="T395" s="56" t="s">
        <v>3562</v>
      </c>
      <c r="V395" s="56" t="s">
        <v>59</v>
      </c>
      <c r="W395" s="56" t="s">
        <v>3548</v>
      </c>
      <c r="X395" s="56" t="s">
        <v>39</v>
      </c>
      <c r="Y395" s="56" t="s">
        <v>3998</v>
      </c>
      <c r="Z395" s="56" t="s">
        <v>6181</v>
      </c>
      <c r="AC395" s="56" t="s">
        <v>3543</v>
      </c>
      <c r="AD395" s="56" t="s">
        <v>24</v>
      </c>
      <c r="AE395" s="56" t="s">
        <v>6080</v>
      </c>
      <c r="AF395" s="56" t="s">
        <v>6180</v>
      </c>
      <c r="AH395" s="56" t="s">
        <v>3542</v>
      </c>
      <c r="AI395" s="56" t="s">
        <v>3723</v>
      </c>
    </row>
    <row r="396" spans="1:35" ht="33" customHeight="1">
      <c r="A396" s="56" t="s">
        <v>6184</v>
      </c>
      <c r="B396" s="57">
        <v>44359.751539351855</v>
      </c>
      <c r="C396" s="56" t="s">
        <v>3803</v>
      </c>
      <c r="D396" s="56" t="s">
        <v>3802</v>
      </c>
      <c r="E396" s="56" t="s">
        <v>6183</v>
      </c>
      <c r="F396" s="56" t="s">
        <v>6182</v>
      </c>
      <c r="G396" s="58" t="s">
        <v>3551</v>
      </c>
      <c r="H396" s="56">
        <v>1</v>
      </c>
      <c r="I396" s="56" t="s">
        <v>3550</v>
      </c>
      <c r="J396" s="56">
        <v>0</v>
      </c>
      <c r="K396" s="56">
        <v>0</v>
      </c>
      <c r="P396" s="56">
        <v>0</v>
      </c>
      <c r="S396" s="56">
        <v>0</v>
      </c>
      <c r="T396" s="56" t="s">
        <v>3562</v>
      </c>
      <c r="V396" s="56" t="s">
        <v>59</v>
      </c>
      <c r="W396" s="56" t="s">
        <v>3548</v>
      </c>
      <c r="X396" s="56" t="s">
        <v>39</v>
      </c>
      <c r="Y396" s="56" t="s">
        <v>3998</v>
      </c>
      <c r="Z396" s="56" t="s">
        <v>6181</v>
      </c>
      <c r="AC396" s="56" t="s">
        <v>3543</v>
      </c>
      <c r="AD396" s="56" t="s">
        <v>24</v>
      </c>
      <c r="AE396" s="56" t="s">
        <v>6080</v>
      </c>
      <c r="AF396" s="56" t="s">
        <v>6180</v>
      </c>
      <c r="AH396" s="56" t="s">
        <v>3542</v>
      </c>
      <c r="AI396" s="56" t="s">
        <v>3723</v>
      </c>
    </row>
    <row r="397" spans="1:35" ht="33" customHeight="1">
      <c r="A397" s="56" t="s">
        <v>6184</v>
      </c>
      <c r="B397" s="57">
        <v>44359.751539351855</v>
      </c>
      <c r="C397" s="56" t="s">
        <v>3803</v>
      </c>
      <c r="D397" s="56" t="s">
        <v>3802</v>
      </c>
      <c r="E397" s="56" t="s">
        <v>6183</v>
      </c>
      <c r="F397" s="56" t="s">
        <v>6182</v>
      </c>
      <c r="G397" s="58" t="s">
        <v>1713</v>
      </c>
      <c r="H397" s="56">
        <v>1</v>
      </c>
      <c r="I397" s="56" t="s">
        <v>3568</v>
      </c>
      <c r="J397" s="56">
        <v>0</v>
      </c>
      <c r="K397" s="56">
        <v>0</v>
      </c>
      <c r="P397" s="56">
        <v>0</v>
      </c>
      <c r="S397" s="56">
        <v>0</v>
      </c>
      <c r="T397" s="56" t="s">
        <v>3562</v>
      </c>
      <c r="V397" s="56" t="s">
        <v>59</v>
      </c>
      <c r="W397" s="56" t="s">
        <v>3548</v>
      </c>
      <c r="X397" s="56" t="s">
        <v>39</v>
      </c>
      <c r="Y397" s="56" t="s">
        <v>3998</v>
      </c>
      <c r="Z397" s="56" t="s">
        <v>6181</v>
      </c>
      <c r="AC397" s="56" t="s">
        <v>3543</v>
      </c>
      <c r="AD397" s="56" t="s">
        <v>24</v>
      </c>
      <c r="AE397" s="56" t="s">
        <v>6080</v>
      </c>
      <c r="AF397" s="56" t="s">
        <v>6180</v>
      </c>
      <c r="AH397" s="56" t="s">
        <v>3542</v>
      </c>
      <c r="AI397" s="56" t="s">
        <v>3723</v>
      </c>
    </row>
    <row r="398" spans="1:35" ht="33" customHeight="1">
      <c r="A398" s="56" t="s">
        <v>6184</v>
      </c>
      <c r="B398" s="57">
        <v>44359.751539351855</v>
      </c>
      <c r="C398" s="56" t="s">
        <v>3803</v>
      </c>
      <c r="D398" s="56" t="s">
        <v>3802</v>
      </c>
      <c r="E398" s="56" t="s">
        <v>6183</v>
      </c>
      <c r="F398" s="56" t="s">
        <v>6182</v>
      </c>
      <c r="G398" s="58" t="s">
        <v>1498</v>
      </c>
      <c r="H398" s="56">
        <v>1</v>
      </c>
      <c r="I398" s="56" t="s">
        <v>4016</v>
      </c>
      <c r="J398" s="56">
        <v>0</v>
      </c>
      <c r="K398" s="56">
        <v>0</v>
      </c>
      <c r="P398" s="56">
        <v>0</v>
      </c>
      <c r="S398" s="56">
        <v>0</v>
      </c>
      <c r="T398" s="56" t="s">
        <v>3562</v>
      </c>
      <c r="V398" s="56" t="s">
        <v>59</v>
      </c>
      <c r="W398" s="56" t="s">
        <v>3548</v>
      </c>
      <c r="X398" s="56" t="s">
        <v>39</v>
      </c>
      <c r="Y398" s="56" t="s">
        <v>3998</v>
      </c>
      <c r="Z398" s="56" t="s">
        <v>6181</v>
      </c>
      <c r="AC398" s="56" t="s">
        <v>3543</v>
      </c>
      <c r="AD398" s="56" t="s">
        <v>24</v>
      </c>
      <c r="AE398" s="56" t="s">
        <v>6080</v>
      </c>
      <c r="AF398" s="56" t="s">
        <v>6180</v>
      </c>
      <c r="AH398" s="56" t="s">
        <v>3542</v>
      </c>
      <c r="AI398" s="56" t="s">
        <v>3723</v>
      </c>
    </row>
    <row r="399" spans="1:35" ht="33" customHeight="1">
      <c r="A399" s="56" t="s">
        <v>6184</v>
      </c>
      <c r="B399" s="57">
        <v>44359.751539351855</v>
      </c>
      <c r="C399" s="56" t="s">
        <v>3803</v>
      </c>
      <c r="D399" s="56" t="s">
        <v>3802</v>
      </c>
      <c r="E399" s="56" t="s">
        <v>6183</v>
      </c>
      <c r="F399" s="56" t="s">
        <v>6182</v>
      </c>
      <c r="G399" s="58" t="s">
        <v>3564</v>
      </c>
      <c r="H399" s="56">
        <v>1</v>
      </c>
      <c r="I399" s="56" t="s">
        <v>3563</v>
      </c>
      <c r="J399" s="56">
        <v>0</v>
      </c>
      <c r="K399" s="56">
        <v>0</v>
      </c>
      <c r="P399" s="56">
        <v>0</v>
      </c>
      <c r="S399" s="56">
        <v>0</v>
      </c>
      <c r="T399" s="56" t="s">
        <v>3562</v>
      </c>
      <c r="V399" s="56" t="s">
        <v>59</v>
      </c>
      <c r="W399" s="56" t="s">
        <v>3548</v>
      </c>
      <c r="X399" s="56" t="s">
        <v>39</v>
      </c>
      <c r="Y399" s="56" t="s">
        <v>3998</v>
      </c>
      <c r="Z399" s="56" t="s">
        <v>6181</v>
      </c>
      <c r="AC399" s="56" t="s">
        <v>3543</v>
      </c>
      <c r="AD399" s="56" t="s">
        <v>24</v>
      </c>
      <c r="AE399" s="56" t="s">
        <v>6080</v>
      </c>
      <c r="AF399" s="56" t="s">
        <v>6180</v>
      </c>
      <c r="AH399" s="56" t="s">
        <v>3542</v>
      </c>
      <c r="AI399" s="56" t="s">
        <v>3723</v>
      </c>
    </row>
    <row r="400" spans="1:35" ht="33" customHeight="1">
      <c r="A400" s="56" t="s">
        <v>6179</v>
      </c>
      <c r="B400" s="57">
        <v>44359.786157407405</v>
      </c>
      <c r="C400" s="56" t="s">
        <v>3803</v>
      </c>
      <c r="D400" s="56" t="s">
        <v>3802</v>
      </c>
      <c r="E400" s="56" t="s">
        <v>6178</v>
      </c>
      <c r="F400" s="56" t="s">
        <v>6177</v>
      </c>
      <c r="G400" s="58" t="s">
        <v>3681</v>
      </c>
      <c r="H400" s="56">
        <v>1</v>
      </c>
      <c r="I400" s="56" t="s">
        <v>3569</v>
      </c>
      <c r="J400" s="56">
        <v>894</v>
      </c>
      <c r="K400" s="56">
        <v>750</v>
      </c>
      <c r="L400" s="56">
        <v>1086</v>
      </c>
      <c r="M400" s="56">
        <v>0</v>
      </c>
      <c r="N400" s="56">
        <v>0</v>
      </c>
      <c r="O400" s="56">
        <v>100</v>
      </c>
      <c r="P400" s="56">
        <v>0</v>
      </c>
      <c r="Q400" s="56">
        <v>986</v>
      </c>
      <c r="R400" s="56">
        <v>0</v>
      </c>
      <c r="S400" s="56">
        <v>0</v>
      </c>
      <c r="T400" s="56" t="s">
        <v>3562</v>
      </c>
      <c r="U400" s="56">
        <v>986</v>
      </c>
      <c r="V400" s="56" t="s">
        <v>3561</v>
      </c>
      <c r="W400" s="56" t="s">
        <v>3548</v>
      </c>
      <c r="X400" s="56" t="s">
        <v>39</v>
      </c>
      <c r="Y400" s="56" t="s">
        <v>4842</v>
      </c>
      <c r="Z400" s="56" t="s">
        <v>6176</v>
      </c>
      <c r="AC400" s="56" t="s">
        <v>3543</v>
      </c>
      <c r="AD400" s="56" t="s">
        <v>24</v>
      </c>
      <c r="AE400" s="56" t="s">
        <v>6080</v>
      </c>
      <c r="AF400" s="56" t="s">
        <v>6175</v>
      </c>
      <c r="AH400" s="56" t="s">
        <v>3542</v>
      </c>
      <c r="AI400" s="56" t="s">
        <v>3723</v>
      </c>
    </row>
    <row r="401" spans="1:35" ht="33" customHeight="1">
      <c r="A401" s="56" t="s">
        <v>6179</v>
      </c>
      <c r="B401" s="57">
        <v>44359.786157407405</v>
      </c>
      <c r="C401" s="56" t="s">
        <v>3803</v>
      </c>
      <c r="D401" s="56" t="s">
        <v>3802</v>
      </c>
      <c r="E401" s="56" t="s">
        <v>6178</v>
      </c>
      <c r="F401" s="56" t="s">
        <v>6177</v>
      </c>
      <c r="G401" s="58" t="s">
        <v>3219</v>
      </c>
      <c r="H401" s="56">
        <v>1</v>
      </c>
      <c r="I401" s="56" t="s">
        <v>3595</v>
      </c>
      <c r="J401" s="56">
        <v>59</v>
      </c>
      <c r="K401" s="56">
        <v>59</v>
      </c>
      <c r="P401" s="56">
        <v>0</v>
      </c>
      <c r="S401" s="56">
        <v>0</v>
      </c>
      <c r="T401" s="56" t="s">
        <v>3562</v>
      </c>
      <c r="V401" s="56" t="s">
        <v>3561</v>
      </c>
      <c r="W401" s="56" t="s">
        <v>3548</v>
      </c>
      <c r="X401" s="56" t="s">
        <v>39</v>
      </c>
      <c r="Y401" s="56" t="s">
        <v>4842</v>
      </c>
      <c r="Z401" s="56" t="s">
        <v>6176</v>
      </c>
      <c r="AC401" s="56" t="s">
        <v>3543</v>
      </c>
      <c r="AD401" s="56" t="s">
        <v>24</v>
      </c>
      <c r="AE401" s="56" t="s">
        <v>6080</v>
      </c>
      <c r="AF401" s="56" t="s">
        <v>6175</v>
      </c>
      <c r="AH401" s="56" t="s">
        <v>3542</v>
      </c>
      <c r="AI401" s="56" t="s">
        <v>3723</v>
      </c>
    </row>
    <row r="402" spans="1:35" ht="33" customHeight="1">
      <c r="A402" s="56" t="s">
        <v>6179</v>
      </c>
      <c r="B402" s="57">
        <v>44359.786157407405</v>
      </c>
      <c r="C402" s="56" t="s">
        <v>3803</v>
      </c>
      <c r="D402" s="56" t="s">
        <v>3802</v>
      </c>
      <c r="E402" s="56" t="s">
        <v>6178</v>
      </c>
      <c r="F402" s="56" t="s">
        <v>6177</v>
      </c>
      <c r="G402" s="58" t="s">
        <v>2165</v>
      </c>
      <c r="H402" s="56">
        <v>1</v>
      </c>
      <c r="I402" s="56" t="s">
        <v>3721</v>
      </c>
      <c r="J402" s="56">
        <v>109</v>
      </c>
      <c r="K402" s="56">
        <v>109</v>
      </c>
      <c r="P402" s="56">
        <v>0</v>
      </c>
      <c r="S402" s="56">
        <v>0</v>
      </c>
      <c r="T402" s="56" t="s">
        <v>3562</v>
      </c>
      <c r="V402" s="56" t="s">
        <v>3561</v>
      </c>
      <c r="W402" s="56" t="s">
        <v>3548</v>
      </c>
      <c r="X402" s="56" t="s">
        <v>39</v>
      </c>
      <c r="Y402" s="56" t="s">
        <v>4842</v>
      </c>
      <c r="Z402" s="56" t="s">
        <v>6176</v>
      </c>
      <c r="AC402" s="56" t="s">
        <v>3543</v>
      </c>
      <c r="AD402" s="56" t="s">
        <v>24</v>
      </c>
      <c r="AE402" s="56" t="s">
        <v>6080</v>
      </c>
      <c r="AF402" s="56" t="s">
        <v>6175</v>
      </c>
      <c r="AH402" s="56" t="s">
        <v>3542</v>
      </c>
      <c r="AI402" s="56" t="s">
        <v>3723</v>
      </c>
    </row>
    <row r="403" spans="1:35" ht="33" customHeight="1">
      <c r="A403" s="56" t="s">
        <v>6179</v>
      </c>
      <c r="B403" s="57">
        <v>44359.786157407405</v>
      </c>
      <c r="C403" s="56" t="s">
        <v>3803</v>
      </c>
      <c r="D403" s="56" t="s">
        <v>3802</v>
      </c>
      <c r="E403" s="56" t="s">
        <v>6178</v>
      </c>
      <c r="F403" s="56" t="s">
        <v>6177</v>
      </c>
      <c r="G403" s="58" t="s">
        <v>1514</v>
      </c>
      <c r="H403" s="56">
        <v>1</v>
      </c>
      <c r="I403" s="56" t="s">
        <v>3740</v>
      </c>
      <c r="J403" s="56">
        <v>220</v>
      </c>
      <c r="K403" s="56">
        <v>168</v>
      </c>
      <c r="P403" s="56">
        <v>0</v>
      </c>
      <c r="S403" s="56">
        <v>0</v>
      </c>
      <c r="T403" s="56" t="s">
        <v>3562</v>
      </c>
      <c r="V403" s="56" t="s">
        <v>3561</v>
      </c>
      <c r="W403" s="56" t="s">
        <v>3548</v>
      </c>
      <c r="X403" s="56" t="s">
        <v>39</v>
      </c>
      <c r="Y403" s="56" t="s">
        <v>4842</v>
      </c>
      <c r="Z403" s="56" t="s">
        <v>6176</v>
      </c>
      <c r="AC403" s="56" t="s">
        <v>3543</v>
      </c>
      <c r="AD403" s="56" t="s">
        <v>24</v>
      </c>
      <c r="AE403" s="56" t="s">
        <v>6080</v>
      </c>
      <c r="AF403" s="56" t="s">
        <v>6175</v>
      </c>
      <c r="AH403" s="56" t="s">
        <v>3542</v>
      </c>
      <c r="AI403" s="56" t="s">
        <v>3723</v>
      </c>
    </row>
    <row r="404" spans="1:35" ht="33" customHeight="1">
      <c r="A404" s="56" t="s">
        <v>6179</v>
      </c>
      <c r="B404" s="57">
        <v>44359.786157407405</v>
      </c>
      <c r="C404" s="56" t="s">
        <v>3803</v>
      </c>
      <c r="D404" s="56" t="s">
        <v>3802</v>
      </c>
      <c r="E404" s="56" t="s">
        <v>6178</v>
      </c>
      <c r="F404" s="56" t="s">
        <v>6177</v>
      </c>
      <c r="G404" s="58" t="s">
        <v>3551</v>
      </c>
      <c r="H404" s="56">
        <v>1</v>
      </c>
      <c r="I404" s="56" t="s">
        <v>3550</v>
      </c>
      <c r="J404" s="56">
        <v>0</v>
      </c>
      <c r="K404" s="56">
        <v>0</v>
      </c>
      <c r="P404" s="56">
        <v>0</v>
      </c>
      <c r="S404" s="56">
        <v>0</v>
      </c>
      <c r="T404" s="56" t="s">
        <v>3562</v>
      </c>
      <c r="V404" s="56" t="s">
        <v>3561</v>
      </c>
      <c r="W404" s="56" t="s">
        <v>3548</v>
      </c>
      <c r="X404" s="56" t="s">
        <v>39</v>
      </c>
      <c r="Y404" s="56" t="s">
        <v>4842</v>
      </c>
      <c r="Z404" s="56" t="s">
        <v>6176</v>
      </c>
      <c r="AC404" s="56" t="s">
        <v>3543</v>
      </c>
      <c r="AD404" s="56" t="s">
        <v>24</v>
      </c>
      <c r="AE404" s="56" t="s">
        <v>6080</v>
      </c>
      <c r="AF404" s="56" t="s">
        <v>6175</v>
      </c>
      <c r="AH404" s="56" t="s">
        <v>3542</v>
      </c>
      <c r="AI404" s="56" t="s">
        <v>3723</v>
      </c>
    </row>
    <row r="405" spans="1:35" ht="33" customHeight="1">
      <c r="A405" s="56" t="s">
        <v>6179</v>
      </c>
      <c r="B405" s="57">
        <v>44359.786157407405</v>
      </c>
      <c r="C405" s="56" t="s">
        <v>3803</v>
      </c>
      <c r="D405" s="56" t="s">
        <v>3802</v>
      </c>
      <c r="E405" s="56" t="s">
        <v>6178</v>
      </c>
      <c r="F405" s="56" t="s">
        <v>6177</v>
      </c>
      <c r="G405" s="58" t="s">
        <v>1498</v>
      </c>
      <c r="H405" s="56">
        <v>1</v>
      </c>
      <c r="I405" s="56" t="s">
        <v>4016</v>
      </c>
      <c r="J405" s="56">
        <v>0</v>
      </c>
      <c r="K405" s="56">
        <v>0</v>
      </c>
      <c r="P405" s="56">
        <v>0</v>
      </c>
      <c r="S405" s="56">
        <v>0</v>
      </c>
      <c r="T405" s="56" t="s">
        <v>3562</v>
      </c>
      <c r="V405" s="56" t="s">
        <v>3561</v>
      </c>
      <c r="W405" s="56" t="s">
        <v>3548</v>
      </c>
      <c r="X405" s="56" t="s">
        <v>39</v>
      </c>
      <c r="Y405" s="56" t="s">
        <v>4842</v>
      </c>
      <c r="Z405" s="56" t="s">
        <v>6176</v>
      </c>
      <c r="AC405" s="56" t="s">
        <v>3543</v>
      </c>
      <c r="AD405" s="56" t="s">
        <v>24</v>
      </c>
      <c r="AE405" s="56" t="s">
        <v>6080</v>
      </c>
      <c r="AF405" s="56" t="s">
        <v>6175</v>
      </c>
      <c r="AH405" s="56" t="s">
        <v>3542</v>
      </c>
      <c r="AI405" s="56" t="s">
        <v>3723</v>
      </c>
    </row>
    <row r="406" spans="1:35" ht="33" customHeight="1">
      <c r="A406" s="56" t="s">
        <v>6173</v>
      </c>
      <c r="B406" s="57">
        <v>44359.806203703702</v>
      </c>
      <c r="C406" s="56" t="s">
        <v>3803</v>
      </c>
      <c r="D406" s="56" t="s">
        <v>3802</v>
      </c>
      <c r="E406" s="56" t="s">
        <v>6172</v>
      </c>
      <c r="F406" s="56" t="s">
        <v>6171</v>
      </c>
      <c r="G406" s="58" t="s">
        <v>3681</v>
      </c>
      <c r="H406" s="56">
        <v>1</v>
      </c>
      <c r="I406" s="56" t="s">
        <v>3569</v>
      </c>
      <c r="J406" s="56">
        <v>894</v>
      </c>
      <c r="K406" s="56">
        <v>750</v>
      </c>
      <c r="L406" s="56">
        <v>1008</v>
      </c>
      <c r="M406" s="56">
        <v>0</v>
      </c>
      <c r="N406" s="56">
        <v>0</v>
      </c>
      <c r="O406" s="56">
        <v>100</v>
      </c>
      <c r="P406" s="56">
        <v>0</v>
      </c>
      <c r="Q406" s="56">
        <v>908</v>
      </c>
      <c r="R406" s="56">
        <v>0</v>
      </c>
      <c r="S406" s="56">
        <v>0</v>
      </c>
      <c r="T406" s="56" t="s">
        <v>3562</v>
      </c>
      <c r="U406" s="56">
        <v>908</v>
      </c>
      <c r="V406" s="56" t="s">
        <v>3561</v>
      </c>
      <c r="W406" s="56" t="s">
        <v>3548</v>
      </c>
      <c r="X406" s="56" t="s">
        <v>39</v>
      </c>
      <c r="Y406" s="56" t="s">
        <v>4569</v>
      </c>
      <c r="Z406" s="56" t="s">
        <v>6170</v>
      </c>
      <c r="AC406" s="56" t="s">
        <v>3543</v>
      </c>
      <c r="AD406" s="56" t="s">
        <v>24</v>
      </c>
      <c r="AE406" s="56" t="s">
        <v>6080</v>
      </c>
      <c r="AF406" s="56" t="s">
        <v>6169</v>
      </c>
      <c r="AH406" s="56" t="s">
        <v>3542</v>
      </c>
      <c r="AI406" s="56" t="s">
        <v>3723</v>
      </c>
    </row>
    <row r="407" spans="1:35" ht="33" customHeight="1">
      <c r="A407" s="56" t="s">
        <v>6173</v>
      </c>
      <c r="B407" s="57">
        <v>44359.806203703702</v>
      </c>
      <c r="C407" s="56" t="s">
        <v>3803</v>
      </c>
      <c r="D407" s="56" t="s">
        <v>3802</v>
      </c>
      <c r="E407" s="56" t="s">
        <v>6172</v>
      </c>
      <c r="F407" s="56" t="s">
        <v>6171</v>
      </c>
      <c r="G407" s="58" t="s">
        <v>6174</v>
      </c>
      <c r="H407" s="56">
        <v>1</v>
      </c>
      <c r="I407" s="56" t="s">
        <v>3692</v>
      </c>
      <c r="J407" s="56">
        <v>207</v>
      </c>
      <c r="K407" s="56">
        <v>199</v>
      </c>
      <c r="P407" s="56">
        <v>0</v>
      </c>
      <c r="S407" s="56">
        <v>0</v>
      </c>
      <c r="T407" s="56" t="s">
        <v>3562</v>
      </c>
      <c r="V407" s="56" t="s">
        <v>3561</v>
      </c>
      <c r="W407" s="56" t="s">
        <v>3548</v>
      </c>
      <c r="X407" s="56" t="s">
        <v>39</v>
      </c>
      <c r="Y407" s="56" t="s">
        <v>4569</v>
      </c>
      <c r="Z407" s="56" t="s">
        <v>6170</v>
      </c>
      <c r="AC407" s="56" t="s">
        <v>3543</v>
      </c>
      <c r="AD407" s="56" t="s">
        <v>24</v>
      </c>
      <c r="AE407" s="56" t="s">
        <v>6080</v>
      </c>
      <c r="AF407" s="56" t="s">
        <v>6169</v>
      </c>
      <c r="AH407" s="56" t="s">
        <v>3542</v>
      </c>
      <c r="AI407" s="56" t="s">
        <v>3723</v>
      </c>
    </row>
    <row r="408" spans="1:35" ht="33" customHeight="1">
      <c r="A408" s="56" t="s">
        <v>6173</v>
      </c>
      <c r="B408" s="57">
        <v>44359.806203703702</v>
      </c>
      <c r="C408" s="56" t="s">
        <v>3803</v>
      </c>
      <c r="D408" s="56" t="s">
        <v>3802</v>
      </c>
      <c r="E408" s="56" t="s">
        <v>6172</v>
      </c>
      <c r="F408" s="56" t="s">
        <v>6171</v>
      </c>
      <c r="G408" s="58" t="s">
        <v>3219</v>
      </c>
      <c r="H408" s="56">
        <v>1</v>
      </c>
      <c r="I408" s="56" t="s">
        <v>3595</v>
      </c>
      <c r="J408" s="56">
        <v>59</v>
      </c>
      <c r="K408" s="56">
        <v>59</v>
      </c>
      <c r="P408" s="56">
        <v>0</v>
      </c>
      <c r="S408" s="56">
        <v>0</v>
      </c>
      <c r="T408" s="56" t="s">
        <v>3562</v>
      </c>
      <c r="V408" s="56" t="s">
        <v>3561</v>
      </c>
      <c r="W408" s="56" t="s">
        <v>3548</v>
      </c>
      <c r="X408" s="56" t="s">
        <v>39</v>
      </c>
      <c r="Y408" s="56" t="s">
        <v>4569</v>
      </c>
      <c r="Z408" s="56" t="s">
        <v>6170</v>
      </c>
      <c r="AC408" s="56" t="s">
        <v>3543</v>
      </c>
      <c r="AD408" s="56" t="s">
        <v>24</v>
      </c>
      <c r="AE408" s="56" t="s">
        <v>6080</v>
      </c>
      <c r="AF408" s="56" t="s">
        <v>6169</v>
      </c>
      <c r="AH408" s="56" t="s">
        <v>3542</v>
      </c>
      <c r="AI408" s="56" t="s">
        <v>3723</v>
      </c>
    </row>
    <row r="409" spans="1:35" ht="33" customHeight="1">
      <c r="A409" s="56" t="s">
        <v>6173</v>
      </c>
      <c r="B409" s="57">
        <v>44359.806203703702</v>
      </c>
      <c r="C409" s="56" t="s">
        <v>3803</v>
      </c>
      <c r="D409" s="56" t="s">
        <v>3802</v>
      </c>
      <c r="E409" s="56" t="s">
        <v>6172</v>
      </c>
      <c r="F409" s="56" t="s">
        <v>6171</v>
      </c>
      <c r="G409" s="58" t="s">
        <v>3551</v>
      </c>
      <c r="H409" s="56">
        <v>1</v>
      </c>
      <c r="I409" s="56" t="s">
        <v>3550</v>
      </c>
      <c r="J409" s="56">
        <v>0</v>
      </c>
      <c r="K409" s="56">
        <v>0</v>
      </c>
      <c r="P409" s="56">
        <v>0</v>
      </c>
      <c r="S409" s="56">
        <v>0</v>
      </c>
      <c r="T409" s="56" t="s">
        <v>3562</v>
      </c>
      <c r="V409" s="56" t="s">
        <v>3561</v>
      </c>
      <c r="W409" s="56" t="s">
        <v>3548</v>
      </c>
      <c r="X409" s="56" t="s">
        <v>39</v>
      </c>
      <c r="Y409" s="56" t="s">
        <v>4569</v>
      </c>
      <c r="Z409" s="56" t="s">
        <v>6170</v>
      </c>
      <c r="AC409" s="56" t="s">
        <v>3543</v>
      </c>
      <c r="AD409" s="56" t="s">
        <v>24</v>
      </c>
      <c r="AE409" s="56" t="s">
        <v>6080</v>
      </c>
      <c r="AF409" s="56" t="s">
        <v>6169</v>
      </c>
      <c r="AH409" s="56" t="s">
        <v>3542</v>
      </c>
      <c r="AI409" s="56" t="s">
        <v>3723</v>
      </c>
    </row>
    <row r="410" spans="1:35" ht="33" customHeight="1">
      <c r="A410" s="56" t="s">
        <v>6173</v>
      </c>
      <c r="B410" s="57">
        <v>44359.806203703702</v>
      </c>
      <c r="C410" s="56" t="s">
        <v>3803</v>
      </c>
      <c r="D410" s="56" t="s">
        <v>3802</v>
      </c>
      <c r="E410" s="56" t="s">
        <v>6172</v>
      </c>
      <c r="F410" s="56" t="s">
        <v>6171</v>
      </c>
      <c r="G410" s="58" t="s">
        <v>1498</v>
      </c>
      <c r="H410" s="56">
        <v>1</v>
      </c>
      <c r="I410" s="56" t="s">
        <v>4016</v>
      </c>
      <c r="J410" s="56">
        <v>0</v>
      </c>
      <c r="K410" s="56">
        <v>0</v>
      </c>
      <c r="P410" s="56">
        <v>0</v>
      </c>
      <c r="S410" s="56">
        <v>0</v>
      </c>
      <c r="T410" s="56" t="s">
        <v>3562</v>
      </c>
      <c r="V410" s="56" t="s">
        <v>3561</v>
      </c>
      <c r="W410" s="56" t="s">
        <v>3548</v>
      </c>
      <c r="X410" s="56" t="s">
        <v>39</v>
      </c>
      <c r="Y410" s="56" t="s">
        <v>4569</v>
      </c>
      <c r="Z410" s="56" t="s">
        <v>6170</v>
      </c>
      <c r="AC410" s="56" t="s">
        <v>3543</v>
      </c>
      <c r="AD410" s="56" t="s">
        <v>24</v>
      </c>
      <c r="AE410" s="56" t="s">
        <v>6080</v>
      </c>
      <c r="AF410" s="56" t="s">
        <v>6169</v>
      </c>
      <c r="AH410" s="56" t="s">
        <v>3542</v>
      </c>
      <c r="AI410" s="56" t="s">
        <v>3723</v>
      </c>
    </row>
    <row r="411" spans="1:35" ht="33" customHeight="1">
      <c r="A411" s="56" t="s">
        <v>6168</v>
      </c>
      <c r="B411" s="57">
        <v>44359.817754629628</v>
      </c>
      <c r="C411" s="56" t="s">
        <v>3803</v>
      </c>
      <c r="D411" s="56" t="s">
        <v>3802</v>
      </c>
      <c r="E411" s="56" t="s">
        <v>6167</v>
      </c>
      <c r="F411" s="56" t="s">
        <v>6166</v>
      </c>
      <c r="G411" s="58" t="s">
        <v>3196</v>
      </c>
      <c r="H411" s="56">
        <v>1</v>
      </c>
      <c r="I411" s="56" t="s">
        <v>2550</v>
      </c>
      <c r="J411" s="56">
        <v>120</v>
      </c>
      <c r="K411" s="56">
        <v>120</v>
      </c>
      <c r="L411" s="56">
        <v>1033</v>
      </c>
      <c r="M411" s="56">
        <v>0</v>
      </c>
      <c r="N411" s="56">
        <v>0</v>
      </c>
      <c r="O411" s="56">
        <v>100</v>
      </c>
      <c r="P411" s="56">
        <v>0</v>
      </c>
      <c r="Q411" s="56">
        <v>933</v>
      </c>
      <c r="R411" s="56">
        <v>0</v>
      </c>
      <c r="S411" s="56">
        <v>0</v>
      </c>
      <c r="T411" s="56" t="s">
        <v>3562</v>
      </c>
      <c r="U411" s="56">
        <v>933</v>
      </c>
      <c r="V411" s="56" t="s">
        <v>59</v>
      </c>
      <c r="W411" s="56" t="s">
        <v>3548</v>
      </c>
      <c r="X411" s="56" t="s">
        <v>39</v>
      </c>
      <c r="Y411" s="56" t="s">
        <v>6165</v>
      </c>
      <c r="Z411" s="56" t="s">
        <v>6164</v>
      </c>
      <c r="AC411" s="56" t="s">
        <v>3543</v>
      </c>
      <c r="AD411" s="56" t="s">
        <v>24</v>
      </c>
      <c r="AE411" s="56" t="s">
        <v>6080</v>
      </c>
      <c r="AF411" s="56" t="s">
        <v>6163</v>
      </c>
      <c r="AH411" s="56" t="s">
        <v>3542</v>
      </c>
      <c r="AI411" s="56" t="s">
        <v>3723</v>
      </c>
    </row>
    <row r="412" spans="1:35" ht="33" customHeight="1">
      <c r="A412" s="56" t="s">
        <v>6168</v>
      </c>
      <c r="B412" s="57">
        <v>44359.817754629628</v>
      </c>
      <c r="C412" s="56" t="s">
        <v>3803</v>
      </c>
      <c r="D412" s="56" t="s">
        <v>3802</v>
      </c>
      <c r="E412" s="56" t="s">
        <v>6167</v>
      </c>
      <c r="F412" s="56" t="s">
        <v>6166</v>
      </c>
      <c r="G412" s="58" t="s">
        <v>3299</v>
      </c>
      <c r="H412" s="56">
        <v>1</v>
      </c>
      <c r="I412" s="56" t="s">
        <v>3576</v>
      </c>
      <c r="J412" s="56">
        <v>260</v>
      </c>
      <c r="K412" s="56">
        <v>260</v>
      </c>
      <c r="P412" s="56">
        <v>0</v>
      </c>
      <c r="S412" s="56">
        <v>0</v>
      </c>
      <c r="T412" s="56" t="s">
        <v>3562</v>
      </c>
      <c r="V412" s="56" t="s">
        <v>59</v>
      </c>
      <c r="W412" s="56" t="s">
        <v>3548</v>
      </c>
      <c r="X412" s="56" t="s">
        <v>39</v>
      </c>
      <c r="Y412" s="56" t="s">
        <v>6165</v>
      </c>
      <c r="Z412" s="56" t="s">
        <v>6164</v>
      </c>
      <c r="AC412" s="56" t="s">
        <v>3543</v>
      </c>
      <c r="AD412" s="56" t="s">
        <v>24</v>
      </c>
      <c r="AE412" s="56" t="s">
        <v>6080</v>
      </c>
      <c r="AF412" s="56" t="s">
        <v>6163</v>
      </c>
      <c r="AH412" s="56" t="s">
        <v>3542</v>
      </c>
      <c r="AI412" s="56" t="s">
        <v>3723</v>
      </c>
    </row>
    <row r="413" spans="1:35" ht="33" customHeight="1">
      <c r="A413" s="56" t="s">
        <v>6168</v>
      </c>
      <c r="B413" s="57">
        <v>44359.817754629628</v>
      </c>
      <c r="C413" s="56" t="s">
        <v>3803</v>
      </c>
      <c r="D413" s="56" t="s">
        <v>3802</v>
      </c>
      <c r="E413" s="56" t="s">
        <v>6167</v>
      </c>
      <c r="F413" s="56" t="s">
        <v>6166</v>
      </c>
      <c r="G413" s="58" t="s">
        <v>3603</v>
      </c>
      <c r="H413" s="56">
        <v>1</v>
      </c>
      <c r="I413" s="56" t="s">
        <v>3602</v>
      </c>
      <c r="J413" s="56">
        <v>447</v>
      </c>
      <c r="K413" s="56">
        <v>399</v>
      </c>
      <c r="P413" s="56">
        <v>0</v>
      </c>
      <c r="S413" s="56">
        <v>0</v>
      </c>
      <c r="T413" s="56" t="s">
        <v>3562</v>
      </c>
      <c r="V413" s="56" t="s">
        <v>59</v>
      </c>
      <c r="W413" s="56" t="s">
        <v>3548</v>
      </c>
      <c r="X413" s="56" t="s">
        <v>39</v>
      </c>
      <c r="Y413" s="56" t="s">
        <v>6165</v>
      </c>
      <c r="Z413" s="56" t="s">
        <v>6164</v>
      </c>
      <c r="AC413" s="56" t="s">
        <v>3543</v>
      </c>
      <c r="AD413" s="56" t="s">
        <v>24</v>
      </c>
      <c r="AE413" s="56" t="s">
        <v>6080</v>
      </c>
      <c r="AF413" s="56" t="s">
        <v>6163</v>
      </c>
      <c r="AH413" s="56" t="s">
        <v>3542</v>
      </c>
      <c r="AI413" s="56" t="s">
        <v>3723</v>
      </c>
    </row>
    <row r="414" spans="1:35" ht="33" customHeight="1">
      <c r="A414" s="56" t="s">
        <v>6168</v>
      </c>
      <c r="B414" s="57">
        <v>44359.817754629628</v>
      </c>
      <c r="C414" s="56" t="s">
        <v>3803</v>
      </c>
      <c r="D414" s="56" t="s">
        <v>3802</v>
      </c>
      <c r="E414" s="56" t="s">
        <v>6167</v>
      </c>
      <c r="F414" s="56" t="s">
        <v>6166</v>
      </c>
      <c r="G414" s="58" t="s">
        <v>2156</v>
      </c>
      <c r="H414" s="56">
        <v>1</v>
      </c>
      <c r="I414" s="56" t="s">
        <v>1376</v>
      </c>
      <c r="J414" s="56">
        <v>145</v>
      </c>
      <c r="K414" s="56">
        <v>145</v>
      </c>
      <c r="P414" s="56">
        <v>0</v>
      </c>
      <c r="S414" s="56">
        <v>0</v>
      </c>
      <c r="T414" s="56" t="s">
        <v>3562</v>
      </c>
      <c r="V414" s="56" t="s">
        <v>59</v>
      </c>
      <c r="W414" s="56" t="s">
        <v>3548</v>
      </c>
      <c r="X414" s="56" t="s">
        <v>39</v>
      </c>
      <c r="Y414" s="56" t="s">
        <v>6165</v>
      </c>
      <c r="Z414" s="56" t="s">
        <v>6164</v>
      </c>
      <c r="AC414" s="56" t="s">
        <v>3543</v>
      </c>
      <c r="AD414" s="56" t="s">
        <v>24</v>
      </c>
      <c r="AE414" s="56" t="s">
        <v>6080</v>
      </c>
      <c r="AF414" s="56" t="s">
        <v>6163</v>
      </c>
      <c r="AH414" s="56" t="s">
        <v>3542</v>
      </c>
      <c r="AI414" s="56" t="s">
        <v>3723</v>
      </c>
    </row>
    <row r="415" spans="1:35" ht="33" customHeight="1">
      <c r="A415" s="56" t="s">
        <v>6168</v>
      </c>
      <c r="B415" s="57">
        <v>44359.817754629628</v>
      </c>
      <c r="C415" s="56" t="s">
        <v>3803</v>
      </c>
      <c r="D415" s="56" t="s">
        <v>3802</v>
      </c>
      <c r="E415" s="56" t="s">
        <v>6167</v>
      </c>
      <c r="F415" s="56" t="s">
        <v>6166</v>
      </c>
      <c r="G415" s="58" t="s">
        <v>2165</v>
      </c>
      <c r="H415" s="56">
        <v>1</v>
      </c>
      <c r="I415" s="56" t="s">
        <v>3721</v>
      </c>
      <c r="J415" s="56">
        <v>109</v>
      </c>
      <c r="K415" s="56">
        <v>109</v>
      </c>
      <c r="P415" s="56">
        <v>0</v>
      </c>
      <c r="S415" s="56">
        <v>0</v>
      </c>
      <c r="T415" s="56" t="s">
        <v>3562</v>
      </c>
      <c r="V415" s="56" t="s">
        <v>59</v>
      </c>
      <c r="W415" s="56" t="s">
        <v>3548</v>
      </c>
      <c r="X415" s="56" t="s">
        <v>39</v>
      </c>
      <c r="Y415" s="56" t="s">
        <v>6165</v>
      </c>
      <c r="Z415" s="56" t="s">
        <v>6164</v>
      </c>
      <c r="AC415" s="56" t="s">
        <v>3543</v>
      </c>
      <c r="AD415" s="56" t="s">
        <v>24</v>
      </c>
      <c r="AE415" s="56" t="s">
        <v>6080</v>
      </c>
      <c r="AF415" s="56" t="s">
        <v>6163</v>
      </c>
      <c r="AH415" s="56" t="s">
        <v>3542</v>
      </c>
      <c r="AI415" s="56" t="s">
        <v>3723</v>
      </c>
    </row>
    <row r="416" spans="1:35" ht="33" customHeight="1">
      <c r="A416" s="56" t="s">
        <v>6168</v>
      </c>
      <c r="B416" s="57">
        <v>44359.817754629628</v>
      </c>
      <c r="C416" s="56" t="s">
        <v>3803</v>
      </c>
      <c r="D416" s="56" t="s">
        <v>3802</v>
      </c>
      <c r="E416" s="56" t="s">
        <v>6167</v>
      </c>
      <c r="F416" s="56" t="s">
        <v>6166</v>
      </c>
      <c r="G416" s="58" t="s">
        <v>3551</v>
      </c>
      <c r="H416" s="56">
        <v>1</v>
      </c>
      <c r="I416" s="56" t="s">
        <v>3550</v>
      </c>
      <c r="J416" s="56">
        <v>0</v>
      </c>
      <c r="K416" s="56">
        <v>0</v>
      </c>
      <c r="P416" s="56">
        <v>0</v>
      </c>
      <c r="S416" s="56">
        <v>0</v>
      </c>
      <c r="T416" s="56" t="s">
        <v>3562</v>
      </c>
      <c r="V416" s="56" t="s">
        <v>59</v>
      </c>
      <c r="W416" s="56" t="s">
        <v>3548</v>
      </c>
      <c r="X416" s="56" t="s">
        <v>39</v>
      </c>
      <c r="Y416" s="56" t="s">
        <v>6165</v>
      </c>
      <c r="Z416" s="56" t="s">
        <v>6164</v>
      </c>
      <c r="AC416" s="56" t="s">
        <v>3543</v>
      </c>
      <c r="AD416" s="56" t="s">
        <v>24</v>
      </c>
      <c r="AE416" s="56" t="s">
        <v>6080</v>
      </c>
      <c r="AF416" s="56" t="s">
        <v>6163</v>
      </c>
      <c r="AH416" s="56" t="s">
        <v>3542</v>
      </c>
      <c r="AI416" s="56" t="s">
        <v>3723</v>
      </c>
    </row>
    <row r="417" spans="1:35" ht="33" customHeight="1">
      <c r="A417" s="56" t="s">
        <v>6168</v>
      </c>
      <c r="B417" s="57">
        <v>44359.817754629628</v>
      </c>
      <c r="C417" s="56" t="s">
        <v>3803</v>
      </c>
      <c r="D417" s="56" t="s">
        <v>3802</v>
      </c>
      <c r="E417" s="56" t="s">
        <v>6167</v>
      </c>
      <c r="F417" s="56" t="s">
        <v>6166</v>
      </c>
      <c r="G417" s="58" t="s">
        <v>1498</v>
      </c>
      <c r="H417" s="56">
        <v>1</v>
      </c>
      <c r="I417" s="56" t="s">
        <v>4016</v>
      </c>
      <c r="J417" s="56">
        <v>0</v>
      </c>
      <c r="K417" s="56">
        <v>0</v>
      </c>
      <c r="P417" s="56">
        <v>0</v>
      </c>
      <c r="S417" s="56">
        <v>0</v>
      </c>
      <c r="T417" s="56" t="s">
        <v>3562</v>
      </c>
      <c r="V417" s="56" t="s">
        <v>59</v>
      </c>
      <c r="W417" s="56" t="s">
        <v>3548</v>
      </c>
      <c r="X417" s="56" t="s">
        <v>39</v>
      </c>
      <c r="Y417" s="56" t="s">
        <v>6165</v>
      </c>
      <c r="Z417" s="56" t="s">
        <v>6164</v>
      </c>
      <c r="AC417" s="56" t="s">
        <v>3543</v>
      </c>
      <c r="AD417" s="56" t="s">
        <v>24</v>
      </c>
      <c r="AE417" s="56" t="s">
        <v>6080</v>
      </c>
      <c r="AF417" s="56" t="s">
        <v>6163</v>
      </c>
      <c r="AH417" s="56" t="s">
        <v>3542</v>
      </c>
      <c r="AI417" s="56" t="s">
        <v>3723</v>
      </c>
    </row>
    <row r="418" spans="1:35" ht="33" customHeight="1">
      <c r="A418" s="56" t="s">
        <v>6162</v>
      </c>
      <c r="B418" s="57">
        <v>44359.822696759256</v>
      </c>
      <c r="C418" s="56" t="s">
        <v>4512</v>
      </c>
      <c r="D418" s="56" t="s">
        <v>4511</v>
      </c>
      <c r="E418" s="56" t="s">
        <v>6161</v>
      </c>
      <c r="F418" s="56" t="s">
        <v>6160</v>
      </c>
      <c r="G418" s="58" t="s">
        <v>3681</v>
      </c>
      <c r="H418" s="56">
        <v>1</v>
      </c>
      <c r="I418" s="56" t="s">
        <v>3569</v>
      </c>
      <c r="J418" s="56">
        <v>894</v>
      </c>
      <c r="K418" s="56">
        <v>750</v>
      </c>
      <c r="L418" s="56">
        <v>1028</v>
      </c>
      <c r="M418" s="56">
        <v>0</v>
      </c>
      <c r="N418" s="56">
        <v>0</v>
      </c>
      <c r="O418" s="56">
        <v>100</v>
      </c>
      <c r="P418" s="56">
        <v>0</v>
      </c>
      <c r="Q418" s="56">
        <v>928</v>
      </c>
      <c r="R418" s="56">
        <v>0</v>
      </c>
      <c r="S418" s="56">
        <v>0</v>
      </c>
      <c r="T418" s="56" t="s">
        <v>3562</v>
      </c>
      <c r="U418" s="56">
        <v>928</v>
      </c>
      <c r="V418" s="56" t="s">
        <v>3549</v>
      </c>
      <c r="W418" s="56" t="s">
        <v>3548</v>
      </c>
      <c r="X418" s="56" t="s">
        <v>3547</v>
      </c>
      <c r="Z418" s="56" t="s">
        <v>3546</v>
      </c>
      <c r="AA418" s="56" t="s">
        <v>6159</v>
      </c>
      <c r="AB418" s="56" t="s">
        <v>6158</v>
      </c>
      <c r="AC418" s="56" t="s">
        <v>3543</v>
      </c>
      <c r="AD418" s="56" t="s">
        <v>24</v>
      </c>
      <c r="AE418" s="56" t="s">
        <v>4145</v>
      </c>
      <c r="AF418" s="56" t="s">
        <v>6157</v>
      </c>
      <c r="AH418" s="56" t="s">
        <v>3542</v>
      </c>
      <c r="AI418" s="56" t="s">
        <v>3723</v>
      </c>
    </row>
    <row r="419" spans="1:35" ht="33" customHeight="1">
      <c r="A419" s="56" t="s">
        <v>6162</v>
      </c>
      <c r="B419" s="57">
        <v>44359.822696759256</v>
      </c>
      <c r="C419" s="56" t="s">
        <v>4512</v>
      </c>
      <c r="D419" s="56" t="s">
        <v>4511</v>
      </c>
      <c r="E419" s="56" t="s">
        <v>6161</v>
      </c>
      <c r="F419" s="56" t="s">
        <v>6160</v>
      </c>
      <c r="G419" s="58" t="s">
        <v>1500</v>
      </c>
      <c r="H419" s="56">
        <v>1</v>
      </c>
      <c r="I419" s="56" t="s">
        <v>3231</v>
      </c>
      <c r="J419" s="56">
        <v>250</v>
      </c>
      <c r="K419" s="56">
        <v>150</v>
      </c>
      <c r="P419" s="56">
        <v>0</v>
      </c>
      <c r="S419" s="56">
        <v>0</v>
      </c>
      <c r="T419" s="56" t="s">
        <v>3562</v>
      </c>
      <c r="V419" s="56" t="s">
        <v>3549</v>
      </c>
      <c r="W419" s="56" t="s">
        <v>3548</v>
      </c>
      <c r="X419" s="56" t="s">
        <v>3547</v>
      </c>
      <c r="Z419" s="56" t="s">
        <v>3546</v>
      </c>
      <c r="AA419" s="56" t="s">
        <v>6159</v>
      </c>
      <c r="AB419" s="56" t="s">
        <v>6158</v>
      </c>
      <c r="AC419" s="56" t="s">
        <v>3543</v>
      </c>
      <c r="AD419" s="56" t="s">
        <v>24</v>
      </c>
      <c r="AE419" s="56" t="s">
        <v>4145</v>
      </c>
      <c r="AF419" s="56" t="s">
        <v>6157</v>
      </c>
      <c r="AH419" s="56" t="s">
        <v>3542</v>
      </c>
      <c r="AI419" s="56" t="s">
        <v>3723</v>
      </c>
    </row>
    <row r="420" spans="1:35" ht="33" customHeight="1">
      <c r="A420" s="56" t="s">
        <v>6162</v>
      </c>
      <c r="B420" s="57">
        <v>44359.822696759256</v>
      </c>
      <c r="C420" s="56" t="s">
        <v>4512</v>
      </c>
      <c r="D420" s="56" t="s">
        <v>4511</v>
      </c>
      <c r="E420" s="56" t="s">
        <v>6161</v>
      </c>
      <c r="F420" s="56" t="s">
        <v>6160</v>
      </c>
      <c r="G420" s="58" t="s">
        <v>3217</v>
      </c>
      <c r="H420" s="56">
        <v>1</v>
      </c>
      <c r="I420" s="56" t="s">
        <v>3594</v>
      </c>
      <c r="J420" s="56">
        <v>69</v>
      </c>
      <c r="K420" s="56">
        <v>69</v>
      </c>
      <c r="P420" s="56">
        <v>0</v>
      </c>
      <c r="S420" s="56">
        <v>0</v>
      </c>
      <c r="T420" s="56" t="s">
        <v>3562</v>
      </c>
      <c r="V420" s="56" t="s">
        <v>3549</v>
      </c>
      <c r="W420" s="56" t="s">
        <v>3548</v>
      </c>
      <c r="X420" s="56" t="s">
        <v>3547</v>
      </c>
      <c r="Z420" s="56" t="s">
        <v>3546</v>
      </c>
      <c r="AA420" s="56" t="s">
        <v>6159</v>
      </c>
      <c r="AB420" s="56" t="s">
        <v>6158</v>
      </c>
      <c r="AC420" s="56" t="s">
        <v>3543</v>
      </c>
      <c r="AD420" s="56" t="s">
        <v>24</v>
      </c>
      <c r="AE420" s="56" t="s">
        <v>4145</v>
      </c>
      <c r="AF420" s="56" t="s">
        <v>6157</v>
      </c>
      <c r="AH420" s="56" t="s">
        <v>3542</v>
      </c>
      <c r="AI420" s="56" t="s">
        <v>3723</v>
      </c>
    </row>
    <row r="421" spans="1:35" ht="33" customHeight="1">
      <c r="A421" s="56" t="s">
        <v>6162</v>
      </c>
      <c r="B421" s="57">
        <v>44359.822696759256</v>
      </c>
      <c r="C421" s="56" t="s">
        <v>4512</v>
      </c>
      <c r="D421" s="56" t="s">
        <v>4511</v>
      </c>
      <c r="E421" s="56" t="s">
        <v>6161</v>
      </c>
      <c r="F421" s="56" t="s">
        <v>6160</v>
      </c>
      <c r="G421" s="58" t="s">
        <v>3219</v>
      </c>
      <c r="H421" s="56">
        <v>1</v>
      </c>
      <c r="I421" s="56" t="s">
        <v>3595</v>
      </c>
      <c r="J421" s="56">
        <v>59</v>
      </c>
      <c r="K421" s="56">
        <v>59</v>
      </c>
      <c r="P421" s="56">
        <v>0</v>
      </c>
      <c r="S421" s="56">
        <v>0</v>
      </c>
      <c r="T421" s="56" t="s">
        <v>3562</v>
      </c>
      <c r="V421" s="56" t="s">
        <v>3549</v>
      </c>
      <c r="W421" s="56" t="s">
        <v>3548</v>
      </c>
      <c r="X421" s="56" t="s">
        <v>3547</v>
      </c>
      <c r="Z421" s="56" t="s">
        <v>3546</v>
      </c>
      <c r="AA421" s="56" t="s">
        <v>6159</v>
      </c>
      <c r="AB421" s="56" t="s">
        <v>6158</v>
      </c>
      <c r="AC421" s="56" t="s">
        <v>3543</v>
      </c>
      <c r="AD421" s="56" t="s">
        <v>24</v>
      </c>
      <c r="AE421" s="56" t="s">
        <v>4145</v>
      </c>
      <c r="AF421" s="56" t="s">
        <v>6157</v>
      </c>
      <c r="AH421" s="56" t="s">
        <v>3542</v>
      </c>
      <c r="AI421" s="56" t="s">
        <v>3723</v>
      </c>
    </row>
    <row r="422" spans="1:35" ht="33" customHeight="1">
      <c r="A422" s="56" t="s">
        <v>6162</v>
      </c>
      <c r="B422" s="57">
        <v>44359.822696759256</v>
      </c>
      <c r="C422" s="56" t="s">
        <v>4512</v>
      </c>
      <c r="D422" s="56" t="s">
        <v>4511</v>
      </c>
      <c r="E422" s="56" t="s">
        <v>6161</v>
      </c>
      <c r="F422" s="56" t="s">
        <v>6160</v>
      </c>
      <c r="G422" s="58" t="s">
        <v>3551</v>
      </c>
      <c r="H422" s="56">
        <v>1</v>
      </c>
      <c r="I422" s="56" t="s">
        <v>3550</v>
      </c>
      <c r="J422" s="56">
        <v>0</v>
      </c>
      <c r="K422" s="56">
        <v>0</v>
      </c>
      <c r="P422" s="56">
        <v>0</v>
      </c>
      <c r="S422" s="56">
        <v>0</v>
      </c>
      <c r="T422" s="56" t="s">
        <v>3562</v>
      </c>
      <c r="V422" s="56" t="s">
        <v>3549</v>
      </c>
      <c r="W422" s="56" t="s">
        <v>3548</v>
      </c>
      <c r="X422" s="56" t="s">
        <v>3547</v>
      </c>
      <c r="Z422" s="56" t="s">
        <v>3546</v>
      </c>
      <c r="AA422" s="56" t="s">
        <v>6159</v>
      </c>
      <c r="AB422" s="56" t="s">
        <v>6158</v>
      </c>
      <c r="AC422" s="56" t="s">
        <v>3543</v>
      </c>
      <c r="AD422" s="56" t="s">
        <v>24</v>
      </c>
      <c r="AE422" s="56" t="s">
        <v>4145</v>
      </c>
      <c r="AF422" s="56" t="s">
        <v>6157</v>
      </c>
      <c r="AH422" s="56" t="s">
        <v>3542</v>
      </c>
      <c r="AI422" s="56" t="s">
        <v>3723</v>
      </c>
    </row>
    <row r="423" spans="1:35" ht="33" customHeight="1">
      <c r="A423" s="56" t="s">
        <v>6162</v>
      </c>
      <c r="B423" s="57">
        <v>44359.822696759256</v>
      </c>
      <c r="C423" s="56" t="s">
        <v>4512</v>
      </c>
      <c r="D423" s="56" t="s">
        <v>4511</v>
      </c>
      <c r="E423" s="56" t="s">
        <v>6161</v>
      </c>
      <c r="F423" s="56" t="s">
        <v>6160</v>
      </c>
      <c r="G423" s="58" t="s">
        <v>1498</v>
      </c>
      <c r="H423" s="56">
        <v>1</v>
      </c>
      <c r="I423" s="56" t="s">
        <v>4016</v>
      </c>
      <c r="J423" s="56">
        <v>0</v>
      </c>
      <c r="K423" s="56">
        <v>0</v>
      </c>
      <c r="P423" s="56">
        <v>0</v>
      </c>
      <c r="S423" s="56">
        <v>0</v>
      </c>
      <c r="T423" s="56" t="s">
        <v>3562</v>
      </c>
      <c r="V423" s="56" t="s">
        <v>3549</v>
      </c>
      <c r="W423" s="56" t="s">
        <v>3548</v>
      </c>
      <c r="X423" s="56" t="s">
        <v>3547</v>
      </c>
      <c r="Z423" s="56" t="s">
        <v>3546</v>
      </c>
      <c r="AA423" s="56" t="s">
        <v>6159</v>
      </c>
      <c r="AB423" s="56" t="s">
        <v>6158</v>
      </c>
      <c r="AC423" s="56" t="s">
        <v>3543</v>
      </c>
      <c r="AD423" s="56" t="s">
        <v>24</v>
      </c>
      <c r="AE423" s="56" t="s">
        <v>4145</v>
      </c>
      <c r="AF423" s="56" t="s">
        <v>6157</v>
      </c>
      <c r="AH423" s="56" t="s">
        <v>3542</v>
      </c>
      <c r="AI423" s="56" t="s">
        <v>3723</v>
      </c>
    </row>
    <row r="424" spans="1:35" ht="33" customHeight="1">
      <c r="A424" s="56" t="s">
        <v>6156</v>
      </c>
      <c r="B424" s="57">
        <v>44359.822835648149</v>
      </c>
      <c r="C424" s="56" t="s">
        <v>3803</v>
      </c>
      <c r="D424" s="56" t="s">
        <v>3802</v>
      </c>
      <c r="E424" s="56" t="s">
        <v>6155</v>
      </c>
      <c r="F424" s="56" t="s">
        <v>6154</v>
      </c>
      <c r="G424" s="58" t="s">
        <v>3299</v>
      </c>
      <c r="H424" s="56">
        <v>3</v>
      </c>
      <c r="I424" s="56" t="s">
        <v>3576</v>
      </c>
      <c r="J424" s="56">
        <v>299</v>
      </c>
      <c r="K424" s="56">
        <v>299</v>
      </c>
      <c r="L424" s="56">
        <v>1920</v>
      </c>
      <c r="M424" s="56">
        <v>0</v>
      </c>
      <c r="N424" s="56">
        <v>0</v>
      </c>
      <c r="O424" s="56">
        <v>100</v>
      </c>
      <c r="P424" s="56">
        <v>0</v>
      </c>
      <c r="Q424" s="56">
        <v>1820</v>
      </c>
      <c r="R424" s="56">
        <v>0</v>
      </c>
      <c r="S424" s="56">
        <v>0</v>
      </c>
      <c r="T424" s="56" t="s">
        <v>3562</v>
      </c>
      <c r="U424" s="56">
        <v>1820</v>
      </c>
      <c r="V424" s="56" t="s">
        <v>3561</v>
      </c>
      <c r="W424" s="56" t="s">
        <v>3548</v>
      </c>
      <c r="X424" s="56" t="s">
        <v>39</v>
      </c>
      <c r="Y424" s="56" t="s">
        <v>3597</v>
      </c>
      <c r="Z424" s="56" t="s">
        <v>6153</v>
      </c>
      <c r="AC424" s="56" t="s">
        <v>3543</v>
      </c>
      <c r="AD424" s="56" t="s">
        <v>24</v>
      </c>
      <c r="AE424" s="56" t="s">
        <v>6080</v>
      </c>
      <c r="AF424" s="56" t="s">
        <v>6152</v>
      </c>
      <c r="AH424" s="56" t="s">
        <v>3542</v>
      </c>
      <c r="AI424" s="56" t="s">
        <v>3723</v>
      </c>
    </row>
    <row r="425" spans="1:35" ht="33" customHeight="1">
      <c r="A425" s="56" t="s">
        <v>6156</v>
      </c>
      <c r="B425" s="57">
        <v>44359.822835648149</v>
      </c>
      <c r="C425" s="56" t="s">
        <v>3803</v>
      </c>
      <c r="D425" s="56" t="s">
        <v>3802</v>
      </c>
      <c r="E425" s="56" t="s">
        <v>6155</v>
      </c>
      <c r="F425" s="56" t="s">
        <v>6154</v>
      </c>
      <c r="G425" s="58" t="s">
        <v>1493</v>
      </c>
      <c r="H425" s="56">
        <v>1</v>
      </c>
      <c r="I425" s="56" t="s">
        <v>3601</v>
      </c>
      <c r="J425" s="56">
        <v>135</v>
      </c>
      <c r="K425" s="56">
        <v>135</v>
      </c>
      <c r="P425" s="56">
        <v>0</v>
      </c>
      <c r="S425" s="56">
        <v>0</v>
      </c>
      <c r="T425" s="56" t="s">
        <v>3562</v>
      </c>
      <c r="V425" s="56" t="s">
        <v>3561</v>
      </c>
      <c r="W425" s="56" t="s">
        <v>3548</v>
      </c>
      <c r="X425" s="56" t="s">
        <v>39</v>
      </c>
      <c r="Y425" s="56" t="s">
        <v>3597</v>
      </c>
      <c r="Z425" s="56" t="s">
        <v>6153</v>
      </c>
      <c r="AC425" s="56" t="s">
        <v>3543</v>
      </c>
      <c r="AD425" s="56" t="s">
        <v>24</v>
      </c>
      <c r="AE425" s="56" t="s">
        <v>6080</v>
      </c>
      <c r="AF425" s="56" t="s">
        <v>6152</v>
      </c>
      <c r="AH425" s="56" t="s">
        <v>3542</v>
      </c>
      <c r="AI425" s="56" t="s">
        <v>3723</v>
      </c>
    </row>
    <row r="426" spans="1:35" ht="33" customHeight="1">
      <c r="A426" s="56" t="s">
        <v>6156</v>
      </c>
      <c r="B426" s="57">
        <v>44359.822835648149</v>
      </c>
      <c r="C426" s="56" t="s">
        <v>3803</v>
      </c>
      <c r="D426" s="56" t="s">
        <v>3802</v>
      </c>
      <c r="E426" s="56" t="s">
        <v>6155</v>
      </c>
      <c r="F426" s="56" t="s">
        <v>6154</v>
      </c>
      <c r="G426" s="58" t="s">
        <v>4162</v>
      </c>
      <c r="H426" s="56">
        <v>1</v>
      </c>
      <c r="I426" s="56" t="s">
        <v>3669</v>
      </c>
      <c r="J426" s="56">
        <v>897</v>
      </c>
      <c r="K426" s="56">
        <v>888</v>
      </c>
      <c r="P426" s="56">
        <v>0</v>
      </c>
      <c r="S426" s="56">
        <v>0</v>
      </c>
      <c r="T426" s="56" t="s">
        <v>3562</v>
      </c>
      <c r="V426" s="56" t="s">
        <v>3561</v>
      </c>
      <c r="W426" s="56" t="s">
        <v>3548</v>
      </c>
      <c r="X426" s="56" t="s">
        <v>39</v>
      </c>
      <c r="Y426" s="56" t="s">
        <v>3597</v>
      </c>
      <c r="Z426" s="56" t="s">
        <v>6153</v>
      </c>
      <c r="AC426" s="56" t="s">
        <v>3543</v>
      </c>
      <c r="AD426" s="56" t="s">
        <v>24</v>
      </c>
      <c r="AE426" s="56" t="s">
        <v>6080</v>
      </c>
      <c r="AF426" s="56" t="s">
        <v>6152</v>
      </c>
      <c r="AH426" s="56" t="s">
        <v>3542</v>
      </c>
      <c r="AI426" s="56" t="s">
        <v>3723</v>
      </c>
    </row>
    <row r="427" spans="1:35" ht="33" customHeight="1">
      <c r="A427" s="56" t="s">
        <v>6156</v>
      </c>
      <c r="B427" s="57">
        <v>44359.822835648149</v>
      </c>
      <c r="C427" s="56" t="s">
        <v>3803</v>
      </c>
      <c r="D427" s="56" t="s">
        <v>3802</v>
      </c>
      <c r="E427" s="56" t="s">
        <v>6155</v>
      </c>
      <c r="F427" s="56" t="s">
        <v>6154</v>
      </c>
      <c r="G427" s="58" t="s">
        <v>3551</v>
      </c>
      <c r="H427" s="56">
        <v>1</v>
      </c>
      <c r="I427" s="56" t="s">
        <v>3550</v>
      </c>
      <c r="J427" s="56">
        <v>0</v>
      </c>
      <c r="K427" s="56">
        <v>0</v>
      </c>
      <c r="P427" s="56">
        <v>0</v>
      </c>
      <c r="S427" s="56">
        <v>0</v>
      </c>
      <c r="T427" s="56" t="s">
        <v>3562</v>
      </c>
      <c r="V427" s="56" t="s">
        <v>3561</v>
      </c>
      <c r="W427" s="56" t="s">
        <v>3548</v>
      </c>
      <c r="X427" s="56" t="s">
        <v>39</v>
      </c>
      <c r="Y427" s="56" t="s">
        <v>3597</v>
      </c>
      <c r="Z427" s="56" t="s">
        <v>6153</v>
      </c>
      <c r="AC427" s="56" t="s">
        <v>3543</v>
      </c>
      <c r="AD427" s="56" t="s">
        <v>24</v>
      </c>
      <c r="AE427" s="56" t="s">
        <v>6080</v>
      </c>
      <c r="AF427" s="56" t="s">
        <v>6152</v>
      </c>
      <c r="AH427" s="56" t="s">
        <v>3542</v>
      </c>
      <c r="AI427" s="56" t="s">
        <v>3723</v>
      </c>
    </row>
    <row r="428" spans="1:35" ht="33" customHeight="1">
      <c r="A428" s="56" t="s">
        <v>6156</v>
      </c>
      <c r="B428" s="57">
        <v>44359.822835648149</v>
      </c>
      <c r="C428" s="56" t="s">
        <v>3803</v>
      </c>
      <c r="D428" s="56" t="s">
        <v>3802</v>
      </c>
      <c r="E428" s="56" t="s">
        <v>6155</v>
      </c>
      <c r="F428" s="56" t="s">
        <v>6154</v>
      </c>
      <c r="G428" s="58" t="s">
        <v>1713</v>
      </c>
      <c r="H428" s="56">
        <v>1</v>
      </c>
      <c r="I428" s="56" t="s">
        <v>3568</v>
      </c>
      <c r="J428" s="56">
        <v>0</v>
      </c>
      <c r="K428" s="56">
        <v>0</v>
      </c>
      <c r="P428" s="56">
        <v>0</v>
      </c>
      <c r="S428" s="56">
        <v>0</v>
      </c>
      <c r="T428" s="56" t="s">
        <v>3562</v>
      </c>
      <c r="V428" s="56" t="s">
        <v>3561</v>
      </c>
      <c r="W428" s="56" t="s">
        <v>3548</v>
      </c>
      <c r="X428" s="56" t="s">
        <v>39</v>
      </c>
      <c r="Y428" s="56" t="s">
        <v>3597</v>
      </c>
      <c r="Z428" s="56" t="s">
        <v>6153</v>
      </c>
      <c r="AC428" s="56" t="s">
        <v>3543</v>
      </c>
      <c r="AD428" s="56" t="s">
        <v>24</v>
      </c>
      <c r="AE428" s="56" t="s">
        <v>6080</v>
      </c>
      <c r="AF428" s="56" t="s">
        <v>6152</v>
      </c>
      <c r="AH428" s="56" t="s">
        <v>3542</v>
      </c>
      <c r="AI428" s="56" t="s">
        <v>3723</v>
      </c>
    </row>
    <row r="429" spans="1:35" ht="33" customHeight="1">
      <c r="A429" s="56" t="s">
        <v>6156</v>
      </c>
      <c r="B429" s="57">
        <v>44359.822835648149</v>
      </c>
      <c r="C429" s="56" t="s">
        <v>3803</v>
      </c>
      <c r="D429" s="56" t="s">
        <v>3802</v>
      </c>
      <c r="E429" s="56" t="s">
        <v>6155</v>
      </c>
      <c r="F429" s="56" t="s">
        <v>6154</v>
      </c>
      <c r="G429" s="58" t="s">
        <v>1498</v>
      </c>
      <c r="H429" s="56">
        <v>1</v>
      </c>
      <c r="I429" s="56" t="s">
        <v>4016</v>
      </c>
      <c r="J429" s="56">
        <v>0</v>
      </c>
      <c r="K429" s="56">
        <v>0</v>
      </c>
      <c r="P429" s="56">
        <v>0</v>
      </c>
      <c r="S429" s="56">
        <v>0</v>
      </c>
      <c r="T429" s="56" t="s">
        <v>3562</v>
      </c>
      <c r="V429" s="56" t="s">
        <v>3561</v>
      </c>
      <c r="W429" s="56" t="s">
        <v>3548</v>
      </c>
      <c r="X429" s="56" t="s">
        <v>39</v>
      </c>
      <c r="Y429" s="56" t="s">
        <v>3597</v>
      </c>
      <c r="Z429" s="56" t="s">
        <v>6153</v>
      </c>
      <c r="AC429" s="56" t="s">
        <v>3543</v>
      </c>
      <c r="AD429" s="56" t="s">
        <v>24</v>
      </c>
      <c r="AE429" s="56" t="s">
        <v>6080</v>
      </c>
      <c r="AF429" s="56" t="s">
        <v>6152</v>
      </c>
      <c r="AH429" s="56" t="s">
        <v>3542</v>
      </c>
      <c r="AI429" s="56" t="s">
        <v>3723</v>
      </c>
    </row>
    <row r="430" spans="1:35" ht="33" customHeight="1">
      <c r="A430" s="56" t="s">
        <v>6150</v>
      </c>
      <c r="B430" s="57">
        <v>44359.844895833332</v>
      </c>
      <c r="C430" s="56" t="s">
        <v>4512</v>
      </c>
      <c r="D430" s="56" t="s">
        <v>4511</v>
      </c>
      <c r="E430" s="56" t="s">
        <v>6149</v>
      </c>
      <c r="F430" s="56" t="s">
        <v>6148</v>
      </c>
      <c r="G430" s="58" t="s">
        <v>3570</v>
      </c>
      <c r="H430" s="56">
        <v>1</v>
      </c>
      <c r="I430" s="56" t="s">
        <v>3569</v>
      </c>
      <c r="J430" s="56">
        <v>894</v>
      </c>
      <c r="K430" s="56">
        <v>750</v>
      </c>
      <c r="L430" s="56">
        <v>1067</v>
      </c>
      <c r="M430" s="56">
        <v>0</v>
      </c>
      <c r="N430" s="56">
        <v>0</v>
      </c>
      <c r="O430" s="56">
        <v>107</v>
      </c>
      <c r="P430" s="56">
        <v>0</v>
      </c>
      <c r="Q430" s="56">
        <v>960</v>
      </c>
      <c r="R430" s="56">
        <v>0</v>
      </c>
      <c r="S430" s="56">
        <v>0</v>
      </c>
      <c r="T430" s="56" t="s">
        <v>3562</v>
      </c>
      <c r="U430" s="56">
        <v>960</v>
      </c>
      <c r="V430" s="56" t="s">
        <v>3612</v>
      </c>
      <c r="W430" s="56" t="s">
        <v>3548</v>
      </c>
      <c r="X430" s="56" t="s">
        <v>3611</v>
      </c>
      <c r="Z430" s="56" t="s">
        <v>3546</v>
      </c>
      <c r="AA430" s="56" t="s">
        <v>6147</v>
      </c>
      <c r="AB430" s="56" t="s">
        <v>6146</v>
      </c>
      <c r="AC430" s="56" t="s">
        <v>3543</v>
      </c>
      <c r="AD430" s="56" t="s">
        <v>24</v>
      </c>
      <c r="AE430" s="56" t="s">
        <v>4530</v>
      </c>
      <c r="AF430" s="56" t="s">
        <v>6145</v>
      </c>
      <c r="AH430" s="56" t="s">
        <v>3542</v>
      </c>
      <c r="AI430" s="56" t="s">
        <v>3723</v>
      </c>
    </row>
    <row r="431" spans="1:35" ht="33" customHeight="1">
      <c r="A431" s="56" t="s">
        <v>6150</v>
      </c>
      <c r="B431" s="57">
        <v>44359.844895833332</v>
      </c>
      <c r="C431" s="56" t="s">
        <v>4512</v>
      </c>
      <c r="D431" s="56" t="s">
        <v>4511</v>
      </c>
      <c r="E431" s="56" t="s">
        <v>6149</v>
      </c>
      <c r="F431" s="56" t="s">
        <v>6148</v>
      </c>
      <c r="G431" s="58" t="s">
        <v>3219</v>
      </c>
      <c r="H431" s="56">
        <v>1</v>
      </c>
      <c r="I431" s="56" t="s">
        <v>3595</v>
      </c>
      <c r="J431" s="56">
        <v>59</v>
      </c>
      <c r="K431" s="56">
        <v>59</v>
      </c>
      <c r="P431" s="56">
        <v>0</v>
      </c>
      <c r="S431" s="56">
        <v>0</v>
      </c>
      <c r="T431" s="56" t="s">
        <v>3562</v>
      </c>
      <c r="V431" s="56" t="s">
        <v>3612</v>
      </c>
      <c r="W431" s="56" t="s">
        <v>3548</v>
      </c>
      <c r="X431" s="56" t="s">
        <v>3611</v>
      </c>
      <c r="Z431" s="56" t="s">
        <v>3546</v>
      </c>
      <c r="AA431" s="56" t="s">
        <v>6147</v>
      </c>
      <c r="AB431" s="56" t="s">
        <v>6146</v>
      </c>
      <c r="AC431" s="56" t="s">
        <v>3543</v>
      </c>
      <c r="AD431" s="56" t="s">
        <v>24</v>
      </c>
      <c r="AE431" s="56" t="s">
        <v>4530</v>
      </c>
      <c r="AF431" s="56" t="s">
        <v>6145</v>
      </c>
      <c r="AH431" s="56" t="s">
        <v>3542</v>
      </c>
      <c r="AI431" s="56" t="s">
        <v>3723</v>
      </c>
    </row>
    <row r="432" spans="1:35" ht="33" customHeight="1">
      <c r="A432" s="56" t="s">
        <v>6150</v>
      </c>
      <c r="B432" s="57">
        <v>44359.844895833332</v>
      </c>
      <c r="C432" s="56" t="s">
        <v>4512</v>
      </c>
      <c r="D432" s="56" t="s">
        <v>4511</v>
      </c>
      <c r="E432" s="56" t="s">
        <v>6149</v>
      </c>
      <c r="F432" s="56" t="s">
        <v>6148</v>
      </c>
      <c r="G432" s="58" t="s">
        <v>6151</v>
      </c>
      <c r="H432" s="56">
        <v>1</v>
      </c>
      <c r="I432" s="56" t="s">
        <v>3692</v>
      </c>
      <c r="J432" s="56">
        <v>207</v>
      </c>
      <c r="K432" s="56">
        <v>199</v>
      </c>
      <c r="P432" s="56">
        <v>0</v>
      </c>
      <c r="S432" s="56">
        <v>0</v>
      </c>
      <c r="T432" s="56" t="s">
        <v>3562</v>
      </c>
      <c r="V432" s="56" t="s">
        <v>3612</v>
      </c>
      <c r="W432" s="56" t="s">
        <v>3548</v>
      </c>
      <c r="X432" s="56" t="s">
        <v>3611</v>
      </c>
      <c r="Z432" s="56" t="s">
        <v>3546</v>
      </c>
      <c r="AA432" s="56" t="s">
        <v>6147</v>
      </c>
      <c r="AB432" s="56" t="s">
        <v>6146</v>
      </c>
      <c r="AC432" s="56" t="s">
        <v>3543</v>
      </c>
      <c r="AD432" s="56" t="s">
        <v>24</v>
      </c>
      <c r="AE432" s="56" t="s">
        <v>4530</v>
      </c>
      <c r="AF432" s="56" t="s">
        <v>6145</v>
      </c>
      <c r="AH432" s="56" t="s">
        <v>3542</v>
      </c>
      <c r="AI432" s="56" t="s">
        <v>3723</v>
      </c>
    </row>
    <row r="433" spans="1:35" ht="33" customHeight="1">
      <c r="A433" s="56" t="s">
        <v>6150</v>
      </c>
      <c r="B433" s="57">
        <v>44359.844895833332</v>
      </c>
      <c r="C433" s="56" t="s">
        <v>4512</v>
      </c>
      <c r="D433" s="56" t="s">
        <v>4511</v>
      </c>
      <c r="E433" s="56" t="s">
        <v>6149</v>
      </c>
      <c r="F433" s="56" t="s">
        <v>6148</v>
      </c>
      <c r="G433" s="58" t="s">
        <v>3219</v>
      </c>
      <c r="H433" s="56">
        <v>1</v>
      </c>
      <c r="I433" s="56" t="s">
        <v>3595</v>
      </c>
      <c r="J433" s="56">
        <v>59</v>
      </c>
      <c r="K433" s="56">
        <v>59</v>
      </c>
      <c r="P433" s="56">
        <v>0</v>
      </c>
      <c r="S433" s="56">
        <v>0</v>
      </c>
      <c r="T433" s="56" t="s">
        <v>3562</v>
      </c>
      <c r="V433" s="56" t="s">
        <v>3612</v>
      </c>
      <c r="W433" s="56" t="s">
        <v>3548</v>
      </c>
      <c r="X433" s="56" t="s">
        <v>3611</v>
      </c>
      <c r="Z433" s="56" t="s">
        <v>3546</v>
      </c>
      <c r="AA433" s="56" t="s">
        <v>6147</v>
      </c>
      <c r="AB433" s="56" t="s">
        <v>6146</v>
      </c>
      <c r="AC433" s="56" t="s">
        <v>3543</v>
      </c>
      <c r="AD433" s="56" t="s">
        <v>24</v>
      </c>
      <c r="AE433" s="56" t="s">
        <v>4530</v>
      </c>
      <c r="AF433" s="56" t="s">
        <v>6145</v>
      </c>
      <c r="AH433" s="56" t="s">
        <v>3542</v>
      </c>
      <c r="AI433" s="56" t="s">
        <v>3723</v>
      </c>
    </row>
    <row r="434" spans="1:35" ht="33" customHeight="1">
      <c r="A434" s="56" t="s">
        <v>6150</v>
      </c>
      <c r="B434" s="57">
        <v>44359.844895833332</v>
      </c>
      <c r="C434" s="56" t="s">
        <v>4512</v>
      </c>
      <c r="D434" s="56" t="s">
        <v>4511</v>
      </c>
      <c r="E434" s="56" t="s">
        <v>6149</v>
      </c>
      <c r="F434" s="56" t="s">
        <v>6148</v>
      </c>
      <c r="G434" s="58" t="s">
        <v>3551</v>
      </c>
      <c r="H434" s="56">
        <v>1</v>
      </c>
      <c r="I434" s="56" t="s">
        <v>3550</v>
      </c>
      <c r="J434" s="56">
        <v>0</v>
      </c>
      <c r="K434" s="56">
        <v>0</v>
      </c>
      <c r="P434" s="56">
        <v>0</v>
      </c>
      <c r="S434" s="56">
        <v>0</v>
      </c>
      <c r="T434" s="56" t="s">
        <v>3562</v>
      </c>
      <c r="V434" s="56" t="s">
        <v>3612</v>
      </c>
      <c r="W434" s="56" t="s">
        <v>3548</v>
      </c>
      <c r="X434" s="56" t="s">
        <v>3611</v>
      </c>
      <c r="Z434" s="56" t="s">
        <v>3546</v>
      </c>
      <c r="AA434" s="56" t="s">
        <v>6147</v>
      </c>
      <c r="AB434" s="56" t="s">
        <v>6146</v>
      </c>
      <c r="AC434" s="56" t="s">
        <v>3543</v>
      </c>
      <c r="AD434" s="56" t="s">
        <v>24</v>
      </c>
      <c r="AE434" s="56" t="s">
        <v>4530</v>
      </c>
      <c r="AF434" s="56" t="s">
        <v>6145</v>
      </c>
      <c r="AH434" s="56" t="s">
        <v>3542</v>
      </c>
      <c r="AI434" s="56" t="s">
        <v>3723</v>
      </c>
    </row>
    <row r="435" spans="1:35" ht="33" customHeight="1">
      <c r="A435" s="56" t="s">
        <v>6150</v>
      </c>
      <c r="B435" s="57">
        <v>44359.844895833332</v>
      </c>
      <c r="C435" s="56" t="s">
        <v>4512</v>
      </c>
      <c r="D435" s="56" t="s">
        <v>4511</v>
      </c>
      <c r="E435" s="56" t="s">
        <v>6149</v>
      </c>
      <c r="F435" s="56" t="s">
        <v>6148</v>
      </c>
      <c r="G435" s="58" t="s">
        <v>1498</v>
      </c>
      <c r="H435" s="56">
        <v>1</v>
      </c>
      <c r="I435" s="56" t="s">
        <v>4016</v>
      </c>
      <c r="J435" s="56">
        <v>0</v>
      </c>
      <c r="K435" s="56">
        <v>0</v>
      </c>
      <c r="P435" s="56">
        <v>0</v>
      </c>
      <c r="S435" s="56">
        <v>0</v>
      </c>
      <c r="T435" s="56" t="s">
        <v>3562</v>
      </c>
      <c r="V435" s="56" t="s">
        <v>3612</v>
      </c>
      <c r="W435" s="56" t="s">
        <v>3548</v>
      </c>
      <c r="X435" s="56" t="s">
        <v>3611</v>
      </c>
      <c r="Z435" s="56" t="s">
        <v>3546</v>
      </c>
      <c r="AA435" s="56" t="s">
        <v>6147</v>
      </c>
      <c r="AB435" s="56" t="s">
        <v>6146</v>
      </c>
      <c r="AC435" s="56" t="s">
        <v>3543</v>
      </c>
      <c r="AD435" s="56" t="s">
        <v>24</v>
      </c>
      <c r="AE435" s="56" t="s">
        <v>4530</v>
      </c>
      <c r="AF435" s="56" t="s">
        <v>6145</v>
      </c>
      <c r="AH435" s="56" t="s">
        <v>3542</v>
      </c>
      <c r="AI435" s="56" t="s">
        <v>3723</v>
      </c>
    </row>
    <row r="436" spans="1:35" ht="33" customHeight="1">
      <c r="A436" s="56" t="s">
        <v>6144</v>
      </c>
      <c r="B436" s="57">
        <v>44359.851574074077</v>
      </c>
      <c r="C436" s="56" t="s">
        <v>3803</v>
      </c>
      <c r="D436" s="56" t="s">
        <v>3802</v>
      </c>
      <c r="E436" s="56" t="s">
        <v>6143</v>
      </c>
      <c r="F436" s="56" t="s">
        <v>6142</v>
      </c>
      <c r="G436" s="58" t="s">
        <v>3656</v>
      </c>
      <c r="H436" s="56">
        <v>1</v>
      </c>
      <c r="I436" s="56" t="s">
        <v>3655</v>
      </c>
      <c r="J436" s="56">
        <v>1107</v>
      </c>
      <c r="K436" s="56">
        <v>799</v>
      </c>
      <c r="L436" s="56">
        <v>799</v>
      </c>
      <c r="M436" s="56">
        <v>60</v>
      </c>
      <c r="N436" s="56">
        <v>0</v>
      </c>
      <c r="O436" s="56">
        <v>0</v>
      </c>
      <c r="P436" s="56">
        <v>0</v>
      </c>
      <c r="Q436" s="56">
        <v>859</v>
      </c>
      <c r="R436" s="56">
        <v>0</v>
      </c>
      <c r="S436" s="56">
        <v>0</v>
      </c>
      <c r="T436" s="56" t="s">
        <v>3562</v>
      </c>
      <c r="U436" s="56">
        <v>859</v>
      </c>
      <c r="V436" s="56" t="s">
        <v>59</v>
      </c>
      <c r="W436" s="56" t="s">
        <v>3548</v>
      </c>
      <c r="X436" s="56" t="s">
        <v>39</v>
      </c>
      <c r="Y436" s="56" t="s">
        <v>3629</v>
      </c>
      <c r="Z436" s="56" t="s">
        <v>6141</v>
      </c>
      <c r="AC436" s="56" t="s">
        <v>3543</v>
      </c>
      <c r="AD436" s="56" t="s">
        <v>24</v>
      </c>
      <c r="AE436" s="56" t="s">
        <v>6080</v>
      </c>
      <c r="AF436" s="56" t="s">
        <v>6140</v>
      </c>
      <c r="AH436" s="56" t="s">
        <v>3542</v>
      </c>
      <c r="AI436" s="56" t="s">
        <v>3723</v>
      </c>
    </row>
    <row r="437" spans="1:35" ht="33" customHeight="1">
      <c r="A437" s="56" t="s">
        <v>6144</v>
      </c>
      <c r="B437" s="57">
        <v>44359.851574074077</v>
      </c>
      <c r="C437" s="56" t="s">
        <v>3803</v>
      </c>
      <c r="D437" s="56" t="s">
        <v>3802</v>
      </c>
      <c r="E437" s="56" t="s">
        <v>6143</v>
      </c>
      <c r="F437" s="56" t="s">
        <v>6142</v>
      </c>
      <c r="G437" s="58" t="s">
        <v>3551</v>
      </c>
      <c r="H437" s="56">
        <v>1</v>
      </c>
      <c r="I437" s="56" t="s">
        <v>3550</v>
      </c>
      <c r="J437" s="56">
        <v>0</v>
      </c>
      <c r="K437" s="56">
        <v>0</v>
      </c>
      <c r="P437" s="56">
        <v>0</v>
      </c>
      <c r="S437" s="56">
        <v>0</v>
      </c>
      <c r="T437" s="56" t="s">
        <v>3562</v>
      </c>
      <c r="V437" s="56" t="s">
        <v>59</v>
      </c>
      <c r="W437" s="56" t="s">
        <v>3548</v>
      </c>
      <c r="X437" s="56" t="s">
        <v>39</v>
      </c>
      <c r="Y437" s="56" t="s">
        <v>3629</v>
      </c>
      <c r="Z437" s="56" t="s">
        <v>6141</v>
      </c>
      <c r="AC437" s="56" t="s">
        <v>3543</v>
      </c>
      <c r="AD437" s="56" t="s">
        <v>24</v>
      </c>
      <c r="AE437" s="56" t="s">
        <v>6080</v>
      </c>
      <c r="AF437" s="56" t="s">
        <v>6140</v>
      </c>
      <c r="AH437" s="56" t="s">
        <v>3542</v>
      </c>
      <c r="AI437" s="56" t="s">
        <v>3723</v>
      </c>
    </row>
    <row r="438" spans="1:35" ht="33" customHeight="1">
      <c r="A438" s="56" t="s">
        <v>6139</v>
      </c>
      <c r="B438" s="57">
        <v>44359.862523148149</v>
      </c>
      <c r="C438" s="56" t="s">
        <v>3803</v>
      </c>
      <c r="D438" s="56" t="s">
        <v>3802</v>
      </c>
      <c r="E438" s="56" t="s">
        <v>6138</v>
      </c>
      <c r="F438" s="56" t="s">
        <v>6137</v>
      </c>
      <c r="G438" s="58" t="s">
        <v>3681</v>
      </c>
      <c r="H438" s="56">
        <v>2</v>
      </c>
      <c r="I438" s="56" t="s">
        <v>3569</v>
      </c>
      <c r="J438" s="56">
        <v>894</v>
      </c>
      <c r="K438" s="56">
        <v>750</v>
      </c>
      <c r="L438" s="56">
        <v>1500</v>
      </c>
      <c r="M438" s="56">
        <v>0</v>
      </c>
      <c r="N438" s="56">
        <v>0</v>
      </c>
      <c r="O438" s="56">
        <v>100</v>
      </c>
      <c r="P438" s="56">
        <v>0</v>
      </c>
      <c r="Q438" s="56">
        <v>1400</v>
      </c>
      <c r="R438" s="56">
        <v>0</v>
      </c>
      <c r="S438" s="56">
        <v>0</v>
      </c>
      <c r="T438" s="56" t="s">
        <v>27</v>
      </c>
      <c r="U438" s="56">
        <v>1400</v>
      </c>
      <c r="V438" s="56" t="s">
        <v>3736</v>
      </c>
      <c r="W438" s="56" t="s">
        <v>3548</v>
      </c>
      <c r="X438" s="56" t="s">
        <v>3735</v>
      </c>
      <c r="Y438" s="56" t="s">
        <v>5561</v>
      </c>
      <c r="Z438" s="56" t="s">
        <v>6136</v>
      </c>
      <c r="AC438" s="56" t="s">
        <v>3623</v>
      </c>
      <c r="AG438" s="56" t="s">
        <v>6135</v>
      </c>
      <c r="AH438" s="56" t="s">
        <v>3621</v>
      </c>
      <c r="AI438" s="56" t="s">
        <v>3541</v>
      </c>
    </row>
    <row r="439" spans="1:35" ht="33" customHeight="1">
      <c r="A439" s="56" t="s">
        <v>6139</v>
      </c>
      <c r="B439" s="57">
        <v>44359.862523148149</v>
      </c>
      <c r="C439" s="56" t="s">
        <v>3803</v>
      </c>
      <c r="D439" s="56" t="s">
        <v>3802</v>
      </c>
      <c r="E439" s="56" t="s">
        <v>6138</v>
      </c>
      <c r="F439" s="56" t="s">
        <v>6137</v>
      </c>
      <c r="G439" s="58" t="s">
        <v>3551</v>
      </c>
      <c r="H439" s="56">
        <v>1</v>
      </c>
      <c r="I439" s="56" t="s">
        <v>3550</v>
      </c>
      <c r="J439" s="56">
        <v>0</v>
      </c>
      <c r="K439" s="56">
        <v>0</v>
      </c>
      <c r="P439" s="56">
        <v>0</v>
      </c>
      <c r="S439" s="56">
        <v>0</v>
      </c>
      <c r="T439" s="56" t="s">
        <v>27</v>
      </c>
      <c r="V439" s="56" t="s">
        <v>3736</v>
      </c>
      <c r="W439" s="56" t="s">
        <v>3548</v>
      </c>
      <c r="X439" s="56" t="s">
        <v>3735</v>
      </c>
      <c r="Y439" s="56" t="s">
        <v>5561</v>
      </c>
      <c r="Z439" s="56" t="s">
        <v>6136</v>
      </c>
      <c r="AC439" s="56" t="s">
        <v>3623</v>
      </c>
      <c r="AG439" s="56" t="s">
        <v>6135</v>
      </c>
      <c r="AH439" s="56" t="s">
        <v>3621</v>
      </c>
      <c r="AI439" s="56" t="s">
        <v>3541</v>
      </c>
    </row>
    <row r="440" spans="1:35" ht="33" customHeight="1">
      <c r="A440" s="56" t="s">
        <v>6139</v>
      </c>
      <c r="B440" s="57">
        <v>44359.862523148149</v>
      </c>
      <c r="C440" s="56" t="s">
        <v>3803</v>
      </c>
      <c r="D440" s="56" t="s">
        <v>3802</v>
      </c>
      <c r="E440" s="56" t="s">
        <v>6138</v>
      </c>
      <c r="F440" s="56" t="s">
        <v>6137</v>
      </c>
      <c r="G440" s="58" t="s">
        <v>1713</v>
      </c>
      <c r="H440" s="56">
        <v>1</v>
      </c>
      <c r="I440" s="56" t="s">
        <v>3568</v>
      </c>
      <c r="J440" s="56">
        <v>0</v>
      </c>
      <c r="K440" s="56">
        <v>0</v>
      </c>
      <c r="P440" s="56">
        <v>0</v>
      </c>
      <c r="S440" s="56">
        <v>0</v>
      </c>
      <c r="T440" s="56" t="s">
        <v>27</v>
      </c>
      <c r="V440" s="56" t="s">
        <v>3736</v>
      </c>
      <c r="W440" s="56" t="s">
        <v>3548</v>
      </c>
      <c r="X440" s="56" t="s">
        <v>3735</v>
      </c>
      <c r="Y440" s="56" t="s">
        <v>5561</v>
      </c>
      <c r="Z440" s="56" t="s">
        <v>6136</v>
      </c>
      <c r="AC440" s="56" t="s">
        <v>3623</v>
      </c>
      <c r="AG440" s="56" t="s">
        <v>6135</v>
      </c>
      <c r="AH440" s="56" t="s">
        <v>3621</v>
      </c>
      <c r="AI440" s="56" t="s">
        <v>3541</v>
      </c>
    </row>
    <row r="441" spans="1:35" ht="33" customHeight="1">
      <c r="A441" s="56" t="s">
        <v>6139</v>
      </c>
      <c r="B441" s="57">
        <v>44359.862523148149</v>
      </c>
      <c r="C441" s="56" t="s">
        <v>3803</v>
      </c>
      <c r="D441" s="56" t="s">
        <v>3802</v>
      </c>
      <c r="E441" s="56" t="s">
        <v>6138</v>
      </c>
      <c r="F441" s="56" t="s">
        <v>6137</v>
      </c>
      <c r="G441" s="58" t="s">
        <v>1498</v>
      </c>
      <c r="H441" s="56">
        <v>1</v>
      </c>
      <c r="I441" s="56" t="s">
        <v>4016</v>
      </c>
      <c r="J441" s="56">
        <v>0</v>
      </c>
      <c r="K441" s="56">
        <v>0</v>
      </c>
      <c r="P441" s="56">
        <v>0</v>
      </c>
      <c r="S441" s="56">
        <v>0</v>
      </c>
      <c r="T441" s="56" t="s">
        <v>27</v>
      </c>
      <c r="V441" s="56" t="s">
        <v>3736</v>
      </c>
      <c r="W441" s="56" t="s">
        <v>3548</v>
      </c>
      <c r="X441" s="56" t="s">
        <v>3735</v>
      </c>
      <c r="Y441" s="56" t="s">
        <v>5561</v>
      </c>
      <c r="Z441" s="56" t="s">
        <v>6136</v>
      </c>
      <c r="AC441" s="56" t="s">
        <v>3623</v>
      </c>
      <c r="AG441" s="56" t="s">
        <v>6135</v>
      </c>
      <c r="AH441" s="56" t="s">
        <v>3621</v>
      </c>
      <c r="AI441" s="56" t="s">
        <v>3541</v>
      </c>
    </row>
    <row r="442" spans="1:35" ht="33" customHeight="1">
      <c r="A442" s="56" t="s">
        <v>6134</v>
      </c>
      <c r="B442" s="57">
        <v>44359.873773148145</v>
      </c>
      <c r="C442" s="56" t="s">
        <v>3803</v>
      </c>
      <c r="D442" s="56" t="s">
        <v>3802</v>
      </c>
      <c r="E442" s="56" t="s">
        <v>6133</v>
      </c>
      <c r="F442" s="56" t="s">
        <v>6132</v>
      </c>
      <c r="G442" s="58" t="s">
        <v>3811</v>
      </c>
      <c r="H442" s="56">
        <v>1</v>
      </c>
      <c r="I442" s="56" t="s">
        <v>3669</v>
      </c>
      <c r="J442" s="56">
        <v>897</v>
      </c>
      <c r="K442" s="56">
        <v>888</v>
      </c>
      <c r="L442" s="56">
        <v>1776</v>
      </c>
      <c r="M442" s="56">
        <v>0</v>
      </c>
      <c r="N442" s="56">
        <v>0</v>
      </c>
      <c r="O442" s="56">
        <v>158</v>
      </c>
      <c r="P442" s="56">
        <v>0</v>
      </c>
      <c r="Q442" s="56">
        <v>1618</v>
      </c>
      <c r="R442" s="56">
        <v>0</v>
      </c>
      <c r="S442" s="56">
        <v>0</v>
      </c>
      <c r="T442" s="56" t="s">
        <v>3562</v>
      </c>
      <c r="U442" s="56">
        <v>1618</v>
      </c>
      <c r="V442" s="56" t="s">
        <v>3561</v>
      </c>
      <c r="W442" s="56" t="s">
        <v>3548</v>
      </c>
      <c r="X442" s="56" t="s">
        <v>39</v>
      </c>
      <c r="Y442" s="56" t="s">
        <v>4538</v>
      </c>
      <c r="Z442" s="56" t="s">
        <v>6131</v>
      </c>
      <c r="AC442" s="56" t="s">
        <v>3543</v>
      </c>
      <c r="AD442" s="56" t="s">
        <v>24</v>
      </c>
      <c r="AE442" s="56" t="s">
        <v>6080</v>
      </c>
      <c r="AF442" s="56" t="s">
        <v>6130</v>
      </c>
      <c r="AH442" s="56" t="s">
        <v>3542</v>
      </c>
      <c r="AI442" s="56" t="s">
        <v>3723</v>
      </c>
    </row>
    <row r="443" spans="1:35" ht="33" customHeight="1">
      <c r="A443" s="56" t="s">
        <v>6134</v>
      </c>
      <c r="B443" s="57">
        <v>44359.873773148145</v>
      </c>
      <c r="C443" s="56" t="s">
        <v>3803</v>
      </c>
      <c r="D443" s="56" t="s">
        <v>3802</v>
      </c>
      <c r="E443" s="56" t="s">
        <v>6133</v>
      </c>
      <c r="F443" s="56" t="s">
        <v>6132</v>
      </c>
      <c r="G443" s="58" t="s">
        <v>3968</v>
      </c>
      <c r="H443" s="56">
        <v>1</v>
      </c>
      <c r="I443" s="56" t="s">
        <v>3669</v>
      </c>
      <c r="J443" s="56">
        <v>897</v>
      </c>
      <c r="K443" s="56">
        <v>888</v>
      </c>
      <c r="P443" s="56">
        <v>0</v>
      </c>
      <c r="S443" s="56">
        <v>0</v>
      </c>
      <c r="T443" s="56" t="s">
        <v>3562</v>
      </c>
      <c r="V443" s="56" t="s">
        <v>3561</v>
      </c>
      <c r="W443" s="56" t="s">
        <v>3548</v>
      </c>
      <c r="X443" s="56" t="s">
        <v>39</v>
      </c>
      <c r="Y443" s="56" t="s">
        <v>4538</v>
      </c>
      <c r="Z443" s="56" t="s">
        <v>6131</v>
      </c>
      <c r="AC443" s="56" t="s">
        <v>3543</v>
      </c>
      <c r="AD443" s="56" t="s">
        <v>24</v>
      </c>
      <c r="AE443" s="56" t="s">
        <v>6080</v>
      </c>
      <c r="AF443" s="56" t="s">
        <v>6130</v>
      </c>
      <c r="AH443" s="56" t="s">
        <v>3542</v>
      </c>
      <c r="AI443" s="56" t="s">
        <v>3723</v>
      </c>
    </row>
    <row r="444" spans="1:35" ht="33" customHeight="1">
      <c r="A444" s="56" t="s">
        <v>6134</v>
      </c>
      <c r="B444" s="57">
        <v>44359.873773148145</v>
      </c>
      <c r="C444" s="56" t="s">
        <v>3803</v>
      </c>
      <c r="D444" s="56" t="s">
        <v>3802</v>
      </c>
      <c r="E444" s="56" t="s">
        <v>6133</v>
      </c>
      <c r="F444" s="56" t="s">
        <v>6132</v>
      </c>
      <c r="G444" s="58" t="s">
        <v>3551</v>
      </c>
      <c r="H444" s="56">
        <v>1</v>
      </c>
      <c r="I444" s="56" t="s">
        <v>3550</v>
      </c>
      <c r="J444" s="56">
        <v>0</v>
      </c>
      <c r="K444" s="56">
        <v>0</v>
      </c>
      <c r="P444" s="56">
        <v>0</v>
      </c>
      <c r="S444" s="56">
        <v>0</v>
      </c>
      <c r="T444" s="56" t="s">
        <v>3562</v>
      </c>
      <c r="V444" s="56" t="s">
        <v>3561</v>
      </c>
      <c r="W444" s="56" t="s">
        <v>3548</v>
      </c>
      <c r="X444" s="56" t="s">
        <v>39</v>
      </c>
      <c r="Y444" s="56" t="s">
        <v>4538</v>
      </c>
      <c r="Z444" s="56" t="s">
        <v>6131</v>
      </c>
      <c r="AC444" s="56" t="s">
        <v>3543</v>
      </c>
      <c r="AD444" s="56" t="s">
        <v>24</v>
      </c>
      <c r="AE444" s="56" t="s">
        <v>6080</v>
      </c>
      <c r="AF444" s="56" t="s">
        <v>6130</v>
      </c>
      <c r="AH444" s="56" t="s">
        <v>3542</v>
      </c>
      <c r="AI444" s="56" t="s">
        <v>3723</v>
      </c>
    </row>
    <row r="445" spans="1:35" ht="33" customHeight="1">
      <c r="A445" s="56" t="s">
        <v>6134</v>
      </c>
      <c r="B445" s="57">
        <v>44359.873773148145</v>
      </c>
      <c r="C445" s="56" t="s">
        <v>3803</v>
      </c>
      <c r="D445" s="56" t="s">
        <v>3802</v>
      </c>
      <c r="E445" s="56" t="s">
        <v>6133</v>
      </c>
      <c r="F445" s="56" t="s">
        <v>6132</v>
      </c>
      <c r="G445" s="58" t="s">
        <v>1713</v>
      </c>
      <c r="H445" s="56">
        <v>1</v>
      </c>
      <c r="I445" s="56" t="s">
        <v>3568</v>
      </c>
      <c r="J445" s="56">
        <v>0</v>
      </c>
      <c r="K445" s="56">
        <v>0</v>
      </c>
      <c r="P445" s="56">
        <v>0</v>
      </c>
      <c r="S445" s="56">
        <v>0</v>
      </c>
      <c r="T445" s="56" t="s">
        <v>3562</v>
      </c>
      <c r="V445" s="56" t="s">
        <v>3561</v>
      </c>
      <c r="W445" s="56" t="s">
        <v>3548</v>
      </c>
      <c r="X445" s="56" t="s">
        <v>39</v>
      </c>
      <c r="Y445" s="56" t="s">
        <v>4538</v>
      </c>
      <c r="Z445" s="56" t="s">
        <v>6131</v>
      </c>
      <c r="AC445" s="56" t="s">
        <v>3543</v>
      </c>
      <c r="AD445" s="56" t="s">
        <v>24</v>
      </c>
      <c r="AE445" s="56" t="s">
        <v>6080</v>
      </c>
      <c r="AF445" s="56" t="s">
        <v>6130</v>
      </c>
      <c r="AH445" s="56" t="s">
        <v>3542</v>
      </c>
      <c r="AI445" s="56" t="s">
        <v>3723</v>
      </c>
    </row>
    <row r="446" spans="1:35" ht="33" customHeight="1">
      <c r="A446" s="56" t="s">
        <v>6134</v>
      </c>
      <c r="B446" s="57">
        <v>44359.873773148145</v>
      </c>
      <c r="C446" s="56" t="s">
        <v>3803</v>
      </c>
      <c r="D446" s="56" t="s">
        <v>3802</v>
      </c>
      <c r="E446" s="56" t="s">
        <v>6133</v>
      </c>
      <c r="F446" s="56" t="s">
        <v>6132</v>
      </c>
      <c r="G446" s="58" t="s">
        <v>1498</v>
      </c>
      <c r="H446" s="56">
        <v>1</v>
      </c>
      <c r="I446" s="56" t="s">
        <v>4016</v>
      </c>
      <c r="J446" s="56">
        <v>0</v>
      </c>
      <c r="K446" s="56">
        <v>0</v>
      </c>
      <c r="P446" s="56">
        <v>0</v>
      </c>
      <c r="S446" s="56">
        <v>0</v>
      </c>
      <c r="T446" s="56" t="s">
        <v>3562</v>
      </c>
      <c r="V446" s="56" t="s">
        <v>3561</v>
      </c>
      <c r="W446" s="56" t="s">
        <v>3548</v>
      </c>
      <c r="X446" s="56" t="s">
        <v>39</v>
      </c>
      <c r="Y446" s="56" t="s">
        <v>4538</v>
      </c>
      <c r="Z446" s="56" t="s">
        <v>6131</v>
      </c>
      <c r="AC446" s="56" t="s">
        <v>3543</v>
      </c>
      <c r="AD446" s="56" t="s">
        <v>24</v>
      </c>
      <c r="AE446" s="56" t="s">
        <v>6080</v>
      </c>
      <c r="AF446" s="56" t="s">
        <v>6130</v>
      </c>
      <c r="AH446" s="56" t="s">
        <v>3542</v>
      </c>
      <c r="AI446" s="56" t="s">
        <v>3723</v>
      </c>
    </row>
    <row r="447" spans="1:35" ht="33" customHeight="1">
      <c r="A447" s="56" t="s">
        <v>6129</v>
      </c>
      <c r="B447" s="57">
        <v>44359.885706018518</v>
      </c>
      <c r="C447" s="56" t="s">
        <v>4512</v>
      </c>
      <c r="D447" s="56" t="s">
        <v>4511</v>
      </c>
      <c r="E447" s="56" t="s">
        <v>6128</v>
      </c>
      <c r="F447" s="56" t="s">
        <v>6127</v>
      </c>
      <c r="G447" s="58" t="s">
        <v>3747</v>
      </c>
      <c r="H447" s="56">
        <v>1</v>
      </c>
      <c r="I447" s="56" t="s">
        <v>3746</v>
      </c>
      <c r="J447" s="56">
        <v>660</v>
      </c>
      <c r="K447" s="56">
        <v>450</v>
      </c>
      <c r="L447" s="56">
        <v>450</v>
      </c>
      <c r="M447" s="56">
        <v>65</v>
      </c>
      <c r="N447" s="56">
        <v>0</v>
      </c>
      <c r="O447" s="56">
        <v>0</v>
      </c>
      <c r="P447" s="56">
        <v>0</v>
      </c>
      <c r="Q447" s="56">
        <v>515</v>
      </c>
      <c r="R447" s="56">
        <v>0</v>
      </c>
      <c r="S447" s="56">
        <v>0</v>
      </c>
      <c r="T447" s="56" t="s">
        <v>3562</v>
      </c>
      <c r="U447" s="56">
        <v>515</v>
      </c>
      <c r="V447" s="56" t="s">
        <v>3612</v>
      </c>
      <c r="W447" s="56" t="s">
        <v>3548</v>
      </c>
      <c r="X447" s="56" t="s">
        <v>3611</v>
      </c>
      <c r="Z447" s="56" t="s">
        <v>3546</v>
      </c>
      <c r="AA447" s="56" t="s">
        <v>6126</v>
      </c>
      <c r="AB447" s="56" t="s">
        <v>6125</v>
      </c>
      <c r="AC447" s="56" t="s">
        <v>3543</v>
      </c>
      <c r="AD447" s="56" t="s">
        <v>24</v>
      </c>
      <c r="AE447" s="56" t="s">
        <v>5127</v>
      </c>
      <c r="AF447" s="56" t="s">
        <v>6124</v>
      </c>
      <c r="AH447" s="56" t="s">
        <v>3542</v>
      </c>
      <c r="AI447" s="56" t="s">
        <v>3723</v>
      </c>
    </row>
    <row r="448" spans="1:35" ht="33" customHeight="1">
      <c r="A448" s="56" t="s">
        <v>6129</v>
      </c>
      <c r="B448" s="57">
        <v>44359.885706018518</v>
      </c>
      <c r="C448" s="56" t="s">
        <v>4512</v>
      </c>
      <c r="D448" s="56" t="s">
        <v>4511</v>
      </c>
      <c r="E448" s="56" t="s">
        <v>6128</v>
      </c>
      <c r="F448" s="56" t="s">
        <v>6127</v>
      </c>
      <c r="G448" s="58" t="s">
        <v>3551</v>
      </c>
      <c r="H448" s="56">
        <v>1</v>
      </c>
      <c r="I448" s="56" t="s">
        <v>3550</v>
      </c>
      <c r="J448" s="56">
        <v>0</v>
      </c>
      <c r="K448" s="56">
        <v>0</v>
      </c>
      <c r="P448" s="56">
        <v>0</v>
      </c>
      <c r="S448" s="56">
        <v>0</v>
      </c>
      <c r="T448" s="56" t="s">
        <v>3562</v>
      </c>
      <c r="V448" s="56" t="s">
        <v>3612</v>
      </c>
      <c r="W448" s="56" t="s">
        <v>3548</v>
      </c>
      <c r="X448" s="56" t="s">
        <v>3611</v>
      </c>
      <c r="Z448" s="56" t="s">
        <v>3546</v>
      </c>
      <c r="AA448" s="56" t="s">
        <v>6126</v>
      </c>
      <c r="AB448" s="56" t="s">
        <v>6125</v>
      </c>
      <c r="AC448" s="56" t="s">
        <v>3543</v>
      </c>
      <c r="AD448" s="56" t="s">
        <v>24</v>
      </c>
      <c r="AE448" s="56" t="s">
        <v>5127</v>
      </c>
      <c r="AF448" s="56" t="s">
        <v>6124</v>
      </c>
      <c r="AH448" s="56" t="s">
        <v>3542</v>
      </c>
      <c r="AI448" s="56" t="s">
        <v>3723</v>
      </c>
    </row>
    <row r="449" spans="1:35" ht="33" customHeight="1">
      <c r="A449" s="56" t="s">
        <v>6123</v>
      </c>
      <c r="B449" s="57">
        <v>44359.901620370372</v>
      </c>
      <c r="C449" s="56" t="s">
        <v>3803</v>
      </c>
      <c r="D449" s="56" t="s">
        <v>4511</v>
      </c>
      <c r="E449" s="56" t="s">
        <v>6122</v>
      </c>
      <c r="F449" s="56" t="s">
        <v>6121</v>
      </c>
      <c r="G449" s="58" t="s">
        <v>3681</v>
      </c>
      <c r="H449" s="56">
        <v>1</v>
      </c>
      <c r="I449" s="56" t="s">
        <v>3569</v>
      </c>
      <c r="J449" s="56">
        <v>894</v>
      </c>
      <c r="K449" s="56">
        <v>750</v>
      </c>
      <c r="L449" s="56">
        <v>1149</v>
      </c>
      <c r="M449" s="56">
        <v>0</v>
      </c>
      <c r="N449" s="56">
        <v>0</v>
      </c>
      <c r="O449" s="56">
        <v>100</v>
      </c>
      <c r="P449" s="56">
        <v>0</v>
      </c>
      <c r="Q449" s="56">
        <v>1049</v>
      </c>
      <c r="R449" s="56">
        <v>0</v>
      </c>
      <c r="S449" s="56">
        <v>0</v>
      </c>
      <c r="T449" s="56" t="s">
        <v>3562</v>
      </c>
      <c r="U449" s="56">
        <v>1049</v>
      </c>
      <c r="V449" s="56" t="s">
        <v>3561</v>
      </c>
      <c r="W449" s="56" t="s">
        <v>3548</v>
      </c>
      <c r="X449" s="56" t="s">
        <v>3716</v>
      </c>
      <c r="Z449" s="56" t="s">
        <v>3546</v>
      </c>
      <c r="AA449" s="56" t="s">
        <v>6120</v>
      </c>
      <c r="AB449" s="56" t="s">
        <v>6119</v>
      </c>
      <c r="AC449" s="56" t="s">
        <v>3543</v>
      </c>
      <c r="AD449" s="56" t="s">
        <v>24</v>
      </c>
      <c r="AE449" s="56" t="s">
        <v>6080</v>
      </c>
      <c r="AF449" s="56" t="s">
        <v>6118</v>
      </c>
      <c r="AH449" s="56" t="s">
        <v>3542</v>
      </c>
      <c r="AI449" s="56" t="s">
        <v>3723</v>
      </c>
    </row>
    <row r="450" spans="1:35" ht="33" customHeight="1">
      <c r="A450" s="56" t="s">
        <v>6123</v>
      </c>
      <c r="B450" s="57">
        <v>44359.901620370372</v>
      </c>
      <c r="C450" s="56" t="s">
        <v>3803</v>
      </c>
      <c r="D450" s="56" t="s">
        <v>4511</v>
      </c>
      <c r="E450" s="56" t="s">
        <v>6122</v>
      </c>
      <c r="F450" s="56" t="s">
        <v>6121</v>
      </c>
      <c r="G450" s="58" t="s">
        <v>4070</v>
      </c>
      <c r="H450" s="56">
        <v>1</v>
      </c>
      <c r="I450" s="56" t="s">
        <v>3602</v>
      </c>
      <c r="J450" s="56">
        <v>447</v>
      </c>
      <c r="K450" s="56">
        <v>399</v>
      </c>
      <c r="P450" s="56">
        <v>0</v>
      </c>
      <c r="S450" s="56">
        <v>0</v>
      </c>
      <c r="T450" s="56" t="s">
        <v>3562</v>
      </c>
      <c r="V450" s="56" t="s">
        <v>3561</v>
      </c>
      <c r="W450" s="56" t="s">
        <v>3548</v>
      </c>
      <c r="X450" s="56" t="s">
        <v>3716</v>
      </c>
      <c r="Z450" s="56" t="s">
        <v>3546</v>
      </c>
      <c r="AA450" s="56" t="s">
        <v>6120</v>
      </c>
      <c r="AB450" s="56" t="s">
        <v>6119</v>
      </c>
      <c r="AC450" s="56" t="s">
        <v>3543</v>
      </c>
      <c r="AD450" s="56" t="s">
        <v>24</v>
      </c>
      <c r="AE450" s="56" t="s">
        <v>6080</v>
      </c>
      <c r="AF450" s="56" t="s">
        <v>6118</v>
      </c>
      <c r="AH450" s="56" t="s">
        <v>3542</v>
      </c>
      <c r="AI450" s="56" t="s">
        <v>3723</v>
      </c>
    </row>
    <row r="451" spans="1:35" ht="33" customHeight="1">
      <c r="A451" s="56" t="s">
        <v>6123</v>
      </c>
      <c r="B451" s="57">
        <v>44359.901620370372</v>
      </c>
      <c r="C451" s="56" t="s">
        <v>3803</v>
      </c>
      <c r="D451" s="56" t="s">
        <v>4511</v>
      </c>
      <c r="E451" s="56" t="s">
        <v>6122</v>
      </c>
      <c r="F451" s="56" t="s">
        <v>6121</v>
      </c>
      <c r="G451" s="58" t="s">
        <v>3551</v>
      </c>
      <c r="H451" s="56">
        <v>1</v>
      </c>
      <c r="I451" s="56" t="s">
        <v>3550</v>
      </c>
      <c r="J451" s="56">
        <v>0</v>
      </c>
      <c r="K451" s="56">
        <v>0</v>
      </c>
      <c r="P451" s="56">
        <v>0</v>
      </c>
      <c r="S451" s="56">
        <v>0</v>
      </c>
      <c r="T451" s="56" t="s">
        <v>3562</v>
      </c>
      <c r="V451" s="56" t="s">
        <v>3561</v>
      </c>
      <c r="W451" s="56" t="s">
        <v>3548</v>
      </c>
      <c r="X451" s="56" t="s">
        <v>3716</v>
      </c>
      <c r="Z451" s="56" t="s">
        <v>3546</v>
      </c>
      <c r="AA451" s="56" t="s">
        <v>6120</v>
      </c>
      <c r="AB451" s="56" t="s">
        <v>6119</v>
      </c>
      <c r="AC451" s="56" t="s">
        <v>3543</v>
      </c>
      <c r="AD451" s="56" t="s">
        <v>24</v>
      </c>
      <c r="AE451" s="56" t="s">
        <v>6080</v>
      </c>
      <c r="AF451" s="56" t="s">
        <v>6118</v>
      </c>
      <c r="AH451" s="56" t="s">
        <v>3542</v>
      </c>
      <c r="AI451" s="56" t="s">
        <v>3723</v>
      </c>
    </row>
    <row r="452" spans="1:35" ht="33" customHeight="1">
      <c r="A452" s="56" t="s">
        <v>6123</v>
      </c>
      <c r="B452" s="57">
        <v>44359.901620370372</v>
      </c>
      <c r="C452" s="56" t="s">
        <v>3803</v>
      </c>
      <c r="D452" s="56" t="s">
        <v>4511</v>
      </c>
      <c r="E452" s="56" t="s">
        <v>6122</v>
      </c>
      <c r="F452" s="56" t="s">
        <v>6121</v>
      </c>
      <c r="G452" s="58" t="s">
        <v>1498</v>
      </c>
      <c r="H452" s="56">
        <v>1</v>
      </c>
      <c r="I452" s="56" t="s">
        <v>4016</v>
      </c>
      <c r="J452" s="56">
        <v>0</v>
      </c>
      <c r="K452" s="56">
        <v>0</v>
      </c>
      <c r="P452" s="56">
        <v>0</v>
      </c>
      <c r="S452" s="56">
        <v>0</v>
      </c>
      <c r="T452" s="56" t="s">
        <v>3562</v>
      </c>
      <c r="V452" s="56" t="s">
        <v>3561</v>
      </c>
      <c r="W452" s="56" t="s">
        <v>3548</v>
      </c>
      <c r="X452" s="56" t="s">
        <v>3716</v>
      </c>
      <c r="Z452" s="56" t="s">
        <v>3546</v>
      </c>
      <c r="AA452" s="56" t="s">
        <v>6120</v>
      </c>
      <c r="AB452" s="56" t="s">
        <v>6119</v>
      </c>
      <c r="AC452" s="56" t="s">
        <v>3543</v>
      </c>
      <c r="AD452" s="56" t="s">
        <v>24</v>
      </c>
      <c r="AE452" s="56" t="s">
        <v>6080</v>
      </c>
      <c r="AF452" s="56" t="s">
        <v>6118</v>
      </c>
      <c r="AH452" s="56" t="s">
        <v>3542</v>
      </c>
      <c r="AI452" s="56" t="s">
        <v>3723</v>
      </c>
    </row>
    <row r="453" spans="1:35" ht="33" customHeight="1">
      <c r="A453" s="56" t="s">
        <v>6117</v>
      </c>
      <c r="B453" s="57">
        <v>44359.906446759262</v>
      </c>
      <c r="C453" s="56" t="s">
        <v>3803</v>
      </c>
      <c r="D453" s="56" t="s">
        <v>4511</v>
      </c>
      <c r="E453" s="56" t="s">
        <v>6116</v>
      </c>
      <c r="F453" s="56" t="s">
        <v>6115</v>
      </c>
      <c r="G453" s="58" t="s">
        <v>3681</v>
      </c>
      <c r="H453" s="56">
        <v>1</v>
      </c>
      <c r="I453" s="56" t="s">
        <v>3569</v>
      </c>
      <c r="J453" s="56">
        <v>894</v>
      </c>
      <c r="K453" s="56">
        <v>750</v>
      </c>
      <c r="L453" s="56">
        <v>1049</v>
      </c>
      <c r="M453" s="56">
        <v>0</v>
      </c>
      <c r="N453" s="56">
        <v>0</v>
      </c>
      <c r="O453" s="56">
        <v>100</v>
      </c>
      <c r="P453" s="56">
        <v>0</v>
      </c>
      <c r="Q453" s="56">
        <v>949</v>
      </c>
      <c r="R453" s="56">
        <v>0</v>
      </c>
      <c r="S453" s="56">
        <v>0</v>
      </c>
      <c r="T453" s="56" t="s">
        <v>3562</v>
      </c>
      <c r="U453" s="56">
        <v>949</v>
      </c>
      <c r="V453" s="56" t="s">
        <v>59</v>
      </c>
      <c r="W453" s="56" t="s">
        <v>3548</v>
      </c>
      <c r="X453" s="56" t="s">
        <v>3765</v>
      </c>
      <c r="Z453" s="56" t="s">
        <v>3546</v>
      </c>
      <c r="AA453" s="56" t="s">
        <v>6114</v>
      </c>
      <c r="AB453" s="56" t="s">
        <v>6113</v>
      </c>
      <c r="AC453" s="56" t="s">
        <v>3543</v>
      </c>
      <c r="AD453" s="56" t="s">
        <v>24</v>
      </c>
      <c r="AE453" s="56" t="s">
        <v>6080</v>
      </c>
      <c r="AF453" s="56" t="s">
        <v>6112</v>
      </c>
      <c r="AH453" s="56" t="s">
        <v>3542</v>
      </c>
      <c r="AI453" s="56" t="s">
        <v>3723</v>
      </c>
    </row>
    <row r="454" spans="1:35" ht="33" customHeight="1">
      <c r="A454" s="56" t="s">
        <v>6117</v>
      </c>
      <c r="B454" s="57">
        <v>44359.906446759262</v>
      </c>
      <c r="C454" s="56" t="s">
        <v>3803</v>
      </c>
      <c r="D454" s="56" t="s">
        <v>4511</v>
      </c>
      <c r="E454" s="56" t="s">
        <v>6116</v>
      </c>
      <c r="F454" s="56" t="s">
        <v>6115</v>
      </c>
      <c r="G454" s="58" t="s">
        <v>1508</v>
      </c>
      <c r="H454" s="56">
        <v>1</v>
      </c>
      <c r="I454" s="56" t="s">
        <v>3696</v>
      </c>
      <c r="J454" s="56">
        <v>299</v>
      </c>
      <c r="K454" s="56">
        <v>299</v>
      </c>
      <c r="P454" s="56">
        <v>0</v>
      </c>
      <c r="S454" s="56">
        <v>0</v>
      </c>
      <c r="T454" s="56" t="s">
        <v>3562</v>
      </c>
      <c r="V454" s="56" t="s">
        <v>59</v>
      </c>
      <c r="W454" s="56" t="s">
        <v>3548</v>
      </c>
      <c r="X454" s="56" t="s">
        <v>3765</v>
      </c>
      <c r="Z454" s="56" t="s">
        <v>3546</v>
      </c>
      <c r="AA454" s="56" t="s">
        <v>6114</v>
      </c>
      <c r="AB454" s="56" t="s">
        <v>6113</v>
      </c>
      <c r="AC454" s="56" t="s">
        <v>3543</v>
      </c>
      <c r="AD454" s="56" t="s">
        <v>24</v>
      </c>
      <c r="AE454" s="56" t="s">
        <v>6080</v>
      </c>
      <c r="AF454" s="56" t="s">
        <v>6112</v>
      </c>
      <c r="AH454" s="56" t="s">
        <v>3542</v>
      </c>
      <c r="AI454" s="56" t="s">
        <v>3723</v>
      </c>
    </row>
    <row r="455" spans="1:35" ht="33" customHeight="1">
      <c r="A455" s="56" t="s">
        <v>6117</v>
      </c>
      <c r="B455" s="57">
        <v>44359.906446759262</v>
      </c>
      <c r="C455" s="56" t="s">
        <v>3803</v>
      </c>
      <c r="D455" s="56" t="s">
        <v>4511</v>
      </c>
      <c r="E455" s="56" t="s">
        <v>6116</v>
      </c>
      <c r="F455" s="56" t="s">
        <v>6115</v>
      </c>
      <c r="G455" s="58" t="s">
        <v>3551</v>
      </c>
      <c r="H455" s="56">
        <v>1</v>
      </c>
      <c r="I455" s="56" t="s">
        <v>3550</v>
      </c>
      <c r="J455" s="56">
        <v>0</v>
      </c>
      <c r="K455" s="56">
        <v>0</v>
      </c>
      <c r="P455" s="56">
        <v>0</v>
      </c>
      <c r="S455" s="56">
        <v>0</v>
      </c>
      <c r="T455" s="56" t="s">
        <v>3562</v>
      </c>
      <c r="V455" s="56" t="s">
        <v>59</v>
      </c>
      <c r="W455" s="56" t="s">
        <v>3548</v>
      </c>
      <c r="X455" s="56" t="s">
        <v>3765</v>
      </c>
      <c r="Z455" s="56" t="s">
        <v>3546</v>
      </c>
      <c r="AA455" s="56" t="s">
        <v>6114</v>
      </c>
      <c r="AB455" s="56" t="s">
        <v>6113</v>
      </c>
      <c r="AC455" s="56" t="s">
        <v>3543</v>
      </c>
      <c r="AD455" s="56" t="s">
        <v>24</v>
      </c>
      <c r="AE455" s="56" t="s">
        <v>6080</v>
      </c>
      <c r="AF455" s="56" t="s">
        <v>6112</v>
      </c>
      <c r="AH455" s="56" t="s">
        <v>3542</v>
      </c>
      <c r="AI455" s="56" t="s">
        <v>3723</v>
      </c>
    </row>
    <row r="456" spans="1:35" ht="33" customHeight="1">
      <c r="A456" s="56" t="s">
        <v>6117</v>
      </c>
      <c r="B456" s="57">
        <v>44359.906446759262</v>
      </c>
      <c r="C456" s="56" t="s">
        <v>3803</v>
      </c>
      <c r="D456" s="56" t="s">
        <v>4511</v>
      </c>
      <c r="E456" s="56" t="s">
        <v>6116</v>
      </c>
      <c r="F456" s="56" t="s">
        <v>6115</v>
      </c>
      <c r="G456" s="58" t="s">
        <v>1498</v>
      </c>
      <c r="H456" s="56">
        <v>1</v>
      </c>
      <c r="I456" s="56" t="s">
        <v>4016</v>
      </c>
      <c r="J456" s="56">
        <v>0</v>
      </c>
      <c r="K456" s="56">
        <v>0</v>
      </c>
      <c r="P456" s="56">
        <v>0</v>
      </c>
      <c r="S456" s="56">
        <v>0</v>
      </c>
      <c r="T456" s="56" t="s">
        <v>3562</v>
      </c>
      <c r="V456" s="56" t="s">
        <v>59</v>
      </c>
      <c r="W456" s="56" t="s">
        <v>3548</v>
      </c>
      <c r="X456" s="56" t="s">
        <v>3765</v>
      </c>
      <c r="Z456" s="56" t="s">
        <v>3546</v>
      </c>
      <c r="AA456" s="56" t="s">
        <v>6114</v>
      </c>
      <c r="AB456" s="56" t="s">
        <v>6113</v>
      </c>
      <c r="AC456" s="56" t="s">
        <v>3543</v>
      </c>
      <c r="AD456" s="56" t="s">
        <v>24</v>
      </c>
      <c r="AE456" s="56" t="s">
        <v>6080</v>
      </c>
      <c r="AF456" s="56" t="s">
        <v>6112</v>
      </c>
      <c r="AH456" s="56" t="s">
        <v>3542</v>
      </c>
      <c r="AI456" s="56" t="s">
        <v>3723</v>
      </c>
    </row>
    <row r="457" spans="1:35" ht="33" customHeight="1">
      <c r="A457" s="56" t="s">
        <v>6111</v>
      </c>
      <c r="B457" s="57">
        <v>44359.93068287037</v>
      </c>
      <c r="C457" s="56" t="s">
        <v>3803</v>
      </c>
      <c r="D457" s="56" t="s">
        <v>3802</v>
      </c>
      <c r="E457" s="56" t="s">
        <v>6110</v>
      </c>
      <c r="F457" s="56" t="s">
        <v>6109</v>
      </c>
      <c r="G457" s="58" t="s">
        <v>4232</v>
      </c>
      <c r="H457" s="56">
        <v>1</v>
      </c>
      <c r="I457" s="56" t="s">
        <v>3848</v>
      </c>
      <c r="J457" s="56">
        <v>1396</v>
      </c>
      <c r="K457" s="56">
        <v>1320</v>
      </c>
      <c r="L457" s="56">
        <v>2703</v>
      </c>
      <c r="M457" s="56">
        <v>0</v>
      </c>
      <c r="N457" s="56">
        <v>0</v>
      </c>
      <c r="O457" s="56">
        <v>100</v>
      </c>
      <c r="P457" s="56">
        <v>0</v>
      </c>
      <c r="Q457" s="56">
        <v>2603</v>
      </c>
      <c r="R457" s="56">
        <v>0</v>
      </c>
      <c r="S457" s="56">
        <v>0</v>
      </c>
      <c r="T457" s="56" t="s">
        <v>3562</v>
      </c>
      <c r="U457" s="56">
        <v>2603</v>
      </c>
      <c r="V457" s="56" t="s">
        <v>3561</v>
      </c>
      <c r="W457" s="56" t="s">
        <v>3548</v>
      </c>
      <c r="X457" s="56" t="s">
        <v>39</v>
      </c>
      <c r="Y457" s="56" t="s">
        <v>6108</v>
      </c>
      <c r="Z457" s="56" t="s">
        <v>6107</v>
      </c>
      <c r="AC457" s="56" t="s">
        <v>3543</v>
      </c>
      <c r="AD457" s="56" t="s">
        <v>24</v>
      </c>
      <c r="AE457" s="56" t="s">
        <v>6080</v>
      </c>
      <c r="AF457" s="56" t="s">
        <v>6106</v>
      </c>
      <c r="AH457" s="56" t="s">
        <v>3542</v>
      </c>
      <c r="AI457" s="56" t="s">
        <v>3723</v>
      </c>
    </row>
    <row r="458" spans="1:35" ht="33" customHeight="1">
      <c r="A458" s="56" t="s">
        <v>6111</v>
      </c>
      <c r="B458" s="57">
        <v>44359.93068287037</v>
      </c>
      <c r="C458" s="56" t="s">
        <v>3803</v>
      </c>
      <c r="D458" s="56" t="s">
        <v>3802</v>
      </c>
      <c r="E458" s="56" t="s">
        <v>6110</v>
      </c>
      <c r="F458" s="56" t="s">
        <v>6109</v>
      </c>
      <c r="G458" s="58" t="s">
        <v>4162</v>
      </c>
      <c r="H458" s="56">
        <v>1</v>
      </c>
      <c r="I458" s="56" t="s">
        <v>3669</v>
      </c>
      <c r="J458" s="56">
        <v>897</v>
      </c>
      <c r="K458" s="56">
        <v>888</v>
      </c>
      <c r="P458" s="56">
        <v>0</v>
      </c>
      <c r="S458" s="56">
        <v>0</v>
      </c>
      <c r="T458" s="56" t="s">
        <v>3562</v>
      </c>
      <c r="V458" s="56" t="s">
        <v>3561</v>
      </c>
      <c r="W458" s="56" t="s">
        <v>3548</v>
      </c>
      <c r="X458" s="56" t="s">
        <v>39</v>
      </c>
      <c r="Y458" s="56" t="s">
        <v>6108</v>
      </c>
      <c r="Z458" s="56" t="s">
        <v>6107</v>
      </c>
      <c r="AC458" s="56" t="s">
        <v>3543</v>
      </c>
      <c r="AD458" s="56" t="s">
        <v>24</v>
      </c>
      <c r="AE458" s="56" t="s">
        <v>6080</v>
      </c>
      <c r="AF458" s="56" t="s">
        <v>6106</v>
      </c>
      <c r="AH458" s="56" t="s">
        <v>3542</v>
      </c>
      <c r="AI458" s="56" t="s">
        <v>3723</v>
      </c>
    </row>
    <row r="459" spans="1:35" ht="33" customHeight="1">
      <c r="A459" s="56" t="s">
        <v>6111</v>
      </c>
      <c r="B459" s="57">
        <v>44359.93068287037</v>
      </c>
      <c r="C459" s="56" t="s">
        <v>3803</v>
      </c>
      <c r="D459" s="56" t="s">
        <v>3802</v>
      </c>
      <c r="E459" s="56" t="s">
        <v>6110</v>
      </c>
      <c r="F459" s="56" t="s">
        <v>6109</v>
      </c>
      <c r="G459" s="58" t="s">
        <v>1484</v>
      </c>
      <c r="H459" s="56">
        <v>1</v>
      </c>
      <c r="I459" s="56" t="s">
        <v>4174</v>
      </c>
      <c r="J459" s="56">
        <v>350</v>
      </c>
      <c r="K459" s="56">
        <v>350</v>
      </c>
      <c r="P459" s="56">
        <v>0</v>
      </c>
      <c r="S459" s="56">
        <v>0</v>
      </c>
      <c r="T459" s="56" t="s">
        <v>3562</v>
      </c>
      <c r="V459" s="56" t="s">
        <v>3561</v>
      </c>
      <c r="W459" s="56" t="s">
        <v>3548</v>
      </c>
      <c r="X459" s="56" t="s">
        <v>39</v>
      </c>
      <c r="Y459" s="56" t="s">
        <v>6108</v>
      </c>
      <c r="Z459" s="56" t="s">
        <v>6107</v>
      </c>
      <c r="AC459" s="56" t="s">
        <v>3543</v>
      </c>
      <c r="AD459" s="56" t="s">
        <v>24</v>
      </c>
      <c r="AE459" s="56" t="s">
        <v>6080</v>
      </c>
      <c r="AF459" s="56" t="s">
        <v>6106</v>
      </c>
      <c r="AH459" s="56" t="s">
        <v>3542</v>
      </c>
      <c r="AI459" s="56" t="s">
        <v>3723</v>
      </c>
    </row>
    <row r="460" spans="1:35" ht="33" customHeight="1">
      <c r="A460" s="56" t="s">
        <v>6111</v>
      </c>
      <c r="B460" s="57">
        <v>44359.93068287037</v>
      </c>
      <c r="C460" s="56" t="s">
        <v>3803</v>
      </c>
      <c r="D460" s="56" t="s">
        <v>3802</v>
      </c>
      <c r="E460" s="56" t="s">
        <v>6110</v>
      </c>
      <c r="F460" s="56" t="s">
        <v>6109</v>
      </c>
      <c r="G460" s="58" t="s">
        <v>2156</v>
      </c>
      <c r="H460" s="56">
        <v>1</v>
      </c>
      <c r="I460" s="56" t="s">
        <v>1376</v>
      </c>
      <c r="J460" s="56">
        <v>145</v>
      </c>
      <c r="K460" s="56">
        <v>145</v>
      </c>
      <c r="P460" s="56">
        <v>0</v>
      </c>
      <c r="S460" s="56">
        <v>0</v>
      </c>
      <c r="T460" s="56" t="s">
        <v>3562</v>
      </c>
      <c r="V460" s="56" t="s">
        <v>3561</v>
      </c>
      <c r="W460" s="56" t="s">
        <v>3548</v>
      </c>
      <c r="X460" s="56" t="s">
        <v>39</v>
      </c>
      <c r="Y460" s="56" t="s">
        <v>6108</v>
      </c>
      <c r="Z460" s="56" t="s">
        <v>6107</v>
      </c>
      <c r="AC460" s="56" t="s">
        <v>3543</v>
      </c>
      <c r="AD460" s="56" t="s">
        <v>24</v>
      </c>
      <c r="AE460" s="56" t="s">
        <v>6080</v>
      </c>
      <c r="AF460" s="56" t="s">
        <v>6106</v>
      </c>
      <c r="AH460" s="56" t="s">
        <v>3542</v>
      </c>
      <c r="AI460" s="56" t="s">
        <v>3723</v>
      </c>
    </row>
    <row r="461" spans="1:35" ht="33" customHeight="1">
      <c r="A461" s="56" t="s">
        <v>6111</v>
      </c>
      <c r="B461" s="57">
        <v>44359.93068287037</v>
      </c>
      <c r="C461" s="56" t="s">
        <v>3803</v>
      </c>
      <c r="D461" s="56" t="s">
        <v>3802</v>
      </c>
      <c r="E461" s="56" t="s">
        <v>6110</v>
      </c>
      <c r="F461" s="56" t="s">
        <v>6109</v>
      </c>
      <c r="G461" s="58" t="s">
        <v>3551</v>
      </c>
      <c r="H461" s="56">
        <v>1</v>
      </c>
      <c r="I461" s="56" t="s">
        <v>3550</v>
      </c>
      <c r="J461" s="56">
        <v>0</v>
      </c>
      <c r="K461" s="56">
        <v>0</v>
      </c>
      <c r="P461" s="56">
        <v>0</v>
      </c>
      <c r="S461" s="56">
        <v>0</v>
      </c>
      <c r="T461" s="56" t="s">
        <v>3562</v>
      </c>
      <c r="V461" s="56" t="s">
        <v>3561</v>
      </c>
      <c r="W461" s="56" t="s">
        <v>3548</v>
      </c>
      <c r="X461" s="56" t="s">
        <v>39</v>
      </c>
      <c r="Y461" s="56" t="s">
        <v>6108</v>
      </c>
      <c r="Z461" s="56" t="s">
        <v>6107</v>
      </c>
      <c r="AC461" s="56" t="s">
        <v>3543</v>
      </c>
      <c r="AD461" s="56" t="s">
        <v>24</v>
      </c>
      <c r="AE461" s="56" t="s">
        <v>6080</v>
      </c>
      <c r="AF461" s="56" t="s">
        <v>6106</v>
      </c>
      <c r="AH461" s="56" t="s">
        <v>3542</v>
      </c>
      <c r="AI461" s="56" t="s">
        <v>3723</v>
      </c>
    </row>
    <row r="462" spans="1:35" ht="33" customHeight="1">
      <c r="A462" s="56" t="s">
        <v>6111</v>
      </c>
      <c r="B462" s="57">
        <v>44359.93068287037</v>
      </c>
      <c r="C462" s="56" t="s">
        <v>3803</v>
      </c>
      <c r="D462" s="56" t="s">
        <v>3802</v>
      </c>
      <c r="E462" s="56" t="s">
        <v>6110</v>
      </c>
      <c r="F462" s="56" t="s">
        <v>6109</v>
      </c>
      <c r="G462" s="58" t="s">
        <v>1713</v>
      </c>
      <c r="H462" s="56">
        <v>1</v>
      </c>
      <c r="I462" s="56" t="s">
        <v>3568</v>
      </c>
      <c r="J462" s="56">
        <v>0</v>
      </c>
      <c r="K462" s="56">
        <v>0</v>
      </c>
      <c r="P462" s="56">
        <v>0</v>
      </c>
      <c r="S462" s="56">
        <v>0</v>
      </c>
      <c r="T462" s="56" t="s">
        <v>3562</v>
      </c>
      <c r="V462" s="56" t="s">
        <v>3561</v>
      </c>
      <c r="W462" s="56" t="s">
        <v>3548</v>
      </c>
      <c r="X462" s="56" t="s">
        <v>39</v>
      </c>
      <c r="Y462" s="56" t="s">
        <v>6108</v>
      </c>
      <c r="Z462" s="56" t="s">
        <v>6107</v>
      </c>
      <c r="AC462" s="56" t="s">
        <v>3543</v>
      </c>
      <c r="AD462" s="56" t="s">
        <v>24</v>
      </c>
      <c r="AE462" s="56" t="s">
        <v>6080</v>
      </c>
      <c r="AF462" s="56" t="s">
        <v>6106</v>
      </c>
      <c r="AH462" s="56" t="s">
        <v>3542</v>
      </c>
      <c r="AI462" s="56" t="s">
        <v>3723</v>
      </c>
    </row>
    <row r="463" spans="1:35" ht="33" customHeight="1">
      <c r="A463" s="56" t="s">
        <v>6111</v>
      </c>
      <c r="B463" s="57">
        <v>44359.93068287037</v>
      </c>
      <c r="C463" s="56" t="s">
        <v>3803</v>
      </c>
      <c r="D463" s="56" t="s">
        <v>3802</v>
      </c>
      <c r="E463" s="56" t="s">
        <v>6110</v>
      </c>
      <c r="F463" s="56" t="s">
        <v>6109</v>
      </c>
      <c r="G463" s="58" t="s">
        <v>1498</v>
      </c>
      <c r="H463" s="56">
        <v>1</v>
      </c>
      <c r="I463" s="56" t="s">
        <v>4016</v>
      </c>
      <c r="J463" s="56">
        <v>0</v>
      </c>
      <c r="K463" s="56">
        <v>0</v>
      </c>
      <c r="P463" s="56">
        <v>0</v>
      </c>
      <c r="S463" s="56">
        <v>0</v>
      </c>
      <c r="T463" s="56" t="s">
        <v>3562</v>
      </c>
      <c r="V463" s="56" t="s">
        <v>3561</v>
      </c>
      <c r="W463" s="56" t="s">
        <v>3548</v>
      </c>
      <c r="X463" s="56" t="s">
        <v>39</v>
      </c>
      <c r="Y463" s="56" t="s">
        <v>6108</v>
      </c>
      <c r="Z463" s="56" t="s">
        <v>6107</v>
      </c>
      <c r="AC463" s="56" t="s">
        <v>3543</v>
      </c>
      <c r="AD463" s="56" t="s">
        <v>24</v>
      </c>
      <c r="AE463" s="56" t="s">
        <v>6080</v>
      </c>
      <c r="AF463" s="56" t="s">
        <v>6106</v>
      </c>
      <c r="AH463" s="56" t="s">
        <v>3542</v>
      </c>
      <c r="AI463" s="56" t="s">
        <v>3723</v>
      </c>
    </row>
    <row r="464" spans="1:35" ht="33" customHeight="1">
      <c r="A464" s="56" t="s">
        <v>6111</v>
      </c>
      <c r="B464" s="57">
        <v>44359.93068287037</v>
      </c>
      <c r="C464" s="56" t="s">
        <v>3803</v>
      </c>
      <c r="D464" s="56" t="s">
        <v>3802</v>
      </c>
      <c r="E464" s="56" t="s">
        <v>6110</v>
      </c>
      <c r="F464" s="56" t="s">
        <v>6109</v>
      </c>
      <c r="G464" s="58" t="s">
        <v>3564</v>
      </c>
      <c r="H464" s="56">
        <v>1</v>
      </c>
      <c r="I464" s="56" t="s">
        <v>3563</v>
      </c>
      <c r="J464" s="56">
        <v>0</v>
      </c>
      <c r="K464" s="56">
        <v>0</v>
      </c>
      <c r="P464" s="56">
        <v>0</v>
      </c>
      <c r="S464" s="56">
        <v>0</v>
      </c>
      <c r="T464" s="56" t="s">
        <v>3562</v>
      </c>
      <c r="V464" s="56" t="s">
        <v>3561</v>
      </c>
      <c r="W464" s="56" t="s">
        <v>3548</v>
      </c>
      <c r="X464" s="56" t="s">
        <v>39</v>
      </c>
      <c r="Y464" s="56" t="s">
        <v>6108</v>
      </c>
      <c r="Z464" s="56" t="s">
        <v>6107</v>
      </c>
      <c r="AC464" s="56" t="s">
        <v>3543</v>
      </c>
      <c r="AD464" s="56" t="s">
        <v>24</v>
      </c>
      <c r="AE464" s="56" t="s">
        <v>6080</v>
      </c>
      <c r="AF464" s="56" t="s">
        <v>6106</v>
      </c>
      <c r="AH464" s="56" t="s">
        <v>3542</v>
      </c>
      <c r="AI464" s="56" t="s">
        <v>3723</v>
      </c>
    </row>
    <row r="465" spans="1:35" ht="33" customHeight="1">
      <c r="A465" s="56" t="s">
        <v>6105</v>
      </c>
      <c r="B465" s="57">
        <v>44359.935393518521</v>
      </c>
      <c r="C465" s="56" t="s">
        <v>3803</v>
      </c>
      <c r="D465" s="56" t="s">
        <v>3802</v>
      </c>
      <c r="E465" s="56" t="s">
        <v>6104</v>
      </c>
      <c r="F465" s="56" t="s">
        <v>6103</v>
      </c>
      <c r="G465" s="58" t="s">
        <v>3654</v>
      </c>
      <c r="H465" s="56">
        <v>1</v>
      </c>
      <c r="I465" s="56" t="s">
        <v>3653</v>
      </c>
      <c r="J465" s="56">
        <v>447</v>
      </c>
      <c r="K465" s="56">
        <v>430</v>
      </c>
      <c r="L465" s="56">
        <v>430</v>
      </c>
      <c r="M465" s="56">
        <v>60</v>
      </c>
      <c r="N465" s="56">
        <v>0</v>
      </c>
      <c r="O465" s="56">
        <v>0</v>
      </c>
      <c r="P465" s="56">
        <v>0</v>
      </c>
      <c r="Q465" s="56">
        <v>490</v>
      </c>
      <c r="R465" s="56">
        <v>0</v>
      </c>
      <c r="S465" s="56">
        <v>0</v>
      </c>
      <c r="T465" s="56" t="s">
        <v>3562</v>
      </c>
      <c r="U465" s="56">
        <v>490</v>
      </c>
      <c r="V465" s="56" t="s">
        <v>3865</v>
      </c>
      <c r="W465" s="56" t="s">
        <v>3548</v>
      </c>
      <c r="X465" s="56" t="s">
        <v>39</v>
      </c>
      <c r="Y465" s="56" t="s">
        <v>4413</v>
      </c>
      <c r="Z465" s="56" t="s">
        <v>6102</v>
      </c>
      <c r="AC465" s="56" t="s">
        <v>3543</v>
      </c>
      <c r="AD465" s="56" t="s">
        <v>24</v>
      </c>
      <c r="AE465" s="56" t="s">
        <v>6080</v>
      </c>
      <c r="AF465" s="56" t="s">
        <v>6101</v>
      </c>
      <c r="AH465" s="56" t="s">
        <v>3542</v>
      </c>
      <c r="AI465" s="56" t="s">
        <v>3723</v>
      </c>
    </row>
    <row r="466" spans="1:35" ht="33" customHeight="1">
      <c r="A466" s="56" t="s">
        <v>6105</v>
      </c>
      <c r="B466" s="57">
        <v>44359.935393518521</v>
      </c>
      <c r="C466" s="56" t="s">
        <v>3803</v>
      </c>
      <c r="D466" s="56" t="s">
        <v>3802</v>
      </c>
      <c r="E466" s="56" t="s">
        <v>6104</v>
      </c>
      <c r="F466" s="56" t="s">
        <v>6103</v>
      </c>
      <c r="G466" s="58" t="s">
        <v>3551</v>
      </c>
      <c r="H466" s="56">
        <v>1</v>
      </c>
      <c r="I466" s="56" t="s">
        <v>3550</v>
      </c>
      <c r="J466" s="56">
        <v>0</v>
      </c>
      <c r="K466" s="56">
        <v>0</v>
      </c>
      <c r="P466" s="56">
        <v>0</v>
      </c>
      <c r="S466" s="56">
        <v>0</v>
      </c>
      <c r="T466" s="56" t="s">
        <v>3562</v>
      </c>
      <c r="V466" s="56" t="s">
        <v>3865</v>
      </c>
      <c r="W466" s="56" t="s">
        <v>3548</v>
      </c>
      <c r="X466" s="56" t="s">
        <v>39</v>
      </c>
      <c r="Y466" s="56" t="s">
        <v>4413</v>
      </c>
      <c r="Z466" s="56" t="s">
        <v>6102</v>
      </c>
      <c r="AC466" s="56" t="s">
        <v>3543</v>
      </c>
      <c r="AD466" s="56" t="s">
        <v>24</v>
      </c>
      <c r="AE466" s="56" t="s">
        <v>6080</v>
      </c>
      <c r="AF466" s="56" t="s">
        <v>6101</v>
      </c>
      <c r="AH466" s="56" t="s">
        <v>3542</v>
      </c>
      <c r="AI466" s="56" t="s">
        <v>3723</v>
      </c>
    </row>
    <row r="467" spans="1:35" ht="33" customHeight="1">
      <c r="A467" s="56" t="s">
        <v>6100</v>
      </c>
      <c r="B467" s="57">
        <v>44359.946689814817</v>
      </c>
      <c r="C467" s="56" t="s">
        <v>3803</v>
      </c>
      <c r="D467" s="56" t="s">
        <v>4426</v>
      </c>
      <c r="E467" s="56" t="s">
        <v>6099</v>
      </c>
      <c r="F467" s="56" t="s">
        <v>6098</v>
      </c>
      <c r="G467" s="58" t="s">
        <v>3656</v>
      </c>
      <c r="H467" s="56">
        <v>2</v>
      </c>
      <c r="I467" s="56" t="s">
        <v>3655</v>
      </c>
      <c r="J467" s="56">
        <v>1107</v>
      </c>
      <c r="K467" s="56">
        <v>799</v>
      </c>
      <c r="L467" s="56">
        <v>3098</v>
      </c>
      <c r="M467" s="56">
        <v>0</v>
      </c>
      <c r="N467" s="56">
        <v>0</v>
      </c>
      <c r="O467" s="56">
        <v>100</v>
      </c>
      <c r="P467" s="56">
        <v>0</v>
      </c>
      <c r="Q467" s="56">
        <v>2998</v>
      </c>
      <c r="R467" s="56">
        <v>0</v>
      </c>
      <c r="S467" s="56">
        <v>0</v>
      </c>
      <c r="T467" s="56" t="s">
        <v>27</v>
      </c>
      <c r="U467" s="56">
        <v>2998</v>
      </c>
      <c r="V467" s="56" t="s">
        <v>3549</v>
      </c>
      <c r="W467" s="56" t="s">
        <v>3548</v>
      </c>
      <c r="X467" s="56" t="s">
        <v>3547</v>
      </c>
      <c r="Z467" s="56" t="s">
        <v>3546</v>
      </c>
      <c r="AA467" s="56" t="s">
        <v>6097</v>
      </c>
      <c r="AB467" s="56" t="s">
        <v>6096</v>
      </c>
      <c r="AC467" s="56" t="s">
        <v>3842</v>
      </c>
      <c r="AH467" s="56" t="s">
        <v>3542</v>
      </c>
      <c r="AI467" s="56" t="s">
        <v>3541</v>
      </c>
    </row>
    <row r="468" spans="1:35" ht="33" customHeight="1">
      <c r="A468" s="56" t="s">
        <v>6100</v>
      </c>
      <c r="B468" s="57">
        <v>44359.946689814817</v>
      </c>
      <c r="C468" s="56" t="s">
        <v>3803</v>
      </c>
      <c r="D468" s="56" t="s">
        <v>4426</v>
      </c>
      <c r="E468" s="56" t="s">
        <v>6099</v>
      </c>
      <c r="F468" s="56" t="s">
        <v>6098</v>
      </c>
      <c r="G468" s="58" t="s">
        <v>3681</v>
      </c>
      <c r="H468" s="56">
        <v>2</v>
      </c>
      <c r="I468" s="56" t="s">
        <v>3569</v>
      </c>
      <c r="J468" s="56">
        <v>894</v>
      </c>
      <c r="K468" s="56">
        <v>750</v>
      </c>
      <c r="P468" s="56">
        <v>0</v>
      </c>
      <c r="S468" s="56">
        <v>0</v>
      </c>
      <c r="T468" s="56" t="s">
        <v>27</v>
      </c>
      <c r="V468" s="56" t="s">
        <v>3549</v>
      </c>
      <c r="W468" s="56" t="s">
        <v>3548</v>
      </c>
      <c r="X468" s="56" t="s">
        <v>3547</v>
      </c>
      <c r="Z468" s="56" t="s">
        <v>3546</v>
      </c>
      <c r="AA468" s="56" t="s">
        <v>6097</v>
      </c>
      <c r="AB468" s="56" t="s">
        <v>6096</v>
      </c>
      <c r="AC468" s="56" t="s">
        <v>3842</v>
      </c>
      <c r="AH468" s="56" t="s">
        <v>3542</v>
      </c>
      <c r="AI468" s="56" t="s">
        <v>3541</v>
      </c>
    </row>
    <row r="469" spans="1:35" ht="33" customHeight="1">
      <c r="A469" s="56" t="s">
        <v>6100</v>
      </c>
      <c r="B469" s="57">
        <v>44359.946689814817</v>
      </c>
      <c r="C469" s="56" t="s">
        <v>3803</v>
      </c>
      <c r="D469" s="56" t="s">
        <v>4426</v>
      </c>
      <c r="E469" s="56" t="s">
        <v>6099</v>
      </c>
      <c r="F469" s="56" t="s">
        <v>6098</v>
      </c>
      <c r="G469" s="58" t="s">
        <v>3551</v>
      </c>
      <c r="H469" s="56">
        <v>1</v>
      </c>
      <c r="I469" s="56" t="s">
        <v>3550</v>
      </c>
      <c r="J469" s="56">
        <v>0</v>
      </c>
      <c r="K469" s="56">
        <v>0</v>
      </c>
      <c r="P469" s="56">
        <v>0</v>
      </c>
      <c r="S469" s="56">
        <v>0</v>
      </c>
      <c r="T469" s="56" t="s">
        <v>27</v>
      </c>
      <c r="V469" s="56" t="s">
        <v>3549</v>
      </c>
      <c r="W469" s="56" t="s">
        <v>3548</v>
      </c>
      <c r="X469" s="56" t="s">
        <v>3547</v>
      </c>
      <c r="Z469" s="56" t="s">
        <v>3546</v>
      </c>
      <c r="AA469" s="56" t="s">
        <v>6097</v>
      </c>
      <c r="AB469" s="56" t="s">
        <v>6096</v>
      </c>
      <c r="AC469" s="56" t="s">
        <v>3842</v>
      </c>
      <c r="AH469" s="56" t="s">
        <v>3542</v>
      </c>
      <c r="AI469" s="56" t="s">
        <v>3541</v>
      </c>
    </row>
    <row r="470" spans="1:35" ht="33" customHeight="1">
      <c r="A470" s="56" t="s">
        <v>6100</v>
      </c>
      <c r="B470" s="57">
        <v>44359.946689814817</v>
      </c>
      <c r="C470" s="56" t="s">
        <v>3803</v>
      </c>
      <c r="D470" s="56" t="s">
        <v>4426</v>
      </c>
      <c r="E470" s="56" t="s">
        <v>6099</v>
      </c>
      <c r="F470" s="56" t="s">
        <v>6098</v>
      </c>
      <c r="G470" s="58" t="s">
        <v>1713</v>
      </c>
      <c r="H470" s="56">
        <v>1</v>
      </c>
      <c r="I470" s="56" t="s">
        <v>3568</v>
      </c>
      <c r="J470" s="56">
        <v>0</v>
      </c>
      <c r="K470" s="56">
        <v>0</v>
      </c>
      <c r="P470" s="56">
        <v>0</v>
      </c>
      <c r="S470" s="56">
        <v>0</v>
      </c>
      <c r="T470" s="56" t="s">
        <v>27</v>
      </c>
      <c r="V470" s="56" t="s">
        <v>3549</v>
      </c>
      <c r="W470" s="56" t="s">
        <v>3548</v>
      </c>
      <c r="X470" s="56" t="s">
        <v>3547</v>
      </c>
      <c r="Z470" s="56" t="s">
        <v>3546</v>
      </c>
      <c r="AA470" s="56" t="s">
        <v>6097</v>
      </c>
      <c r="AB470" s="56" t="s">
        <v>6096</v>
      </c>
      <c r="AC470" s="56" t="s">
        <v>3842</v>
      </c>
      <c r="AH470" s="56" t="s">
        <v>3542</v>
      </c>
      <c r="AI470" s="56" t="s">
        <v>3541</v>
      </c>
    </row>
    <row r="471" spans="1:35" ht="33" customHeight="1">
      <c r="A471" s="56" t="s">
        <v>6100</v>
      </c>
      <c r="B471" s="57">
        <v>44359.946689814817</v>
      </c>
      <c r="C471" s="56" t="s">
        <v>3803</v>
      </c>
      <c r="D471" s="56" t="s">
        <v>4426</v>
      </c>
      <c r="E471" s="56" t="s">
        <v>6099</v>
      </c>
      <c r="F471" s="56" t="s">
        <v>6098</v>
      </c>
      <c r="G471" s="58" t="s">
        <v>1498</v>
      </c>
      <c r="H471" s="56">
        <v>1</v>
      </c>
      <c r="I471" s="56" t="s">
        <v>4016</v>
      </c>
      <c r="J471" s="56">
        <v>0</v>
      </c>
      <c r="K471" s="56">
        <v>0</v>
      </c>
      <c r="P471" s="56">
        <v>0</v>
      </c>
      <c r="S471" s="56">
        <v>0</v>
      </c>
      <c r="T471" s="56" t="s">
        <v>27</v>
      </c>
      <c r="V471" s="56" t="s">
        <v>3549</v>
      </c>
      <c r="W471" s="56" t="s">
        <v>3548</v>
      </c>
      <c r="X471" s="56" t="s">
        <v>3547</v>
      </c>
      <c r="Z471" s="56" t="s">
        <v>3546</v>
      </c>
      <c r="AA471" s="56" t="s">
        <v>6097</v>
      </c>
      <c r="AB471" s="56" t="s">
        <v>6096</v>
      </c>
      <c r="AC471" s="56" t="s">
        <v>3842</v>
      </c>
      <c r="AH471" s="56" t="s">
        <v>3542</v>
      </c>
      <c r="AI471" s="56" t="s">
        <v>3541</v>
      </c>
    </row>
    <row r="472" spans="1:35" ht="33" customHeight="1">
      <c r="A472" s="56" t="s">
        <v>6100</v>
      </c>
      <c r="B472" s="57">
        <v>44359.946689814817</v>
      </c>
      <c r="C472" s="56" t="s">
        <v>3803</v>
      </c>
      <c r="D472" s="56" t="s">
        <v>4426</v>
      </c>
      <c r="E472" s="56" t="s">
        <v>6099</v>
      </c>
      <c r="F472" s="56" t="s">
        <v>6098</v>
      </c>
      <c r="G472" s="58" t="s">
        <v>3564</v>
      </c>
      <c r="H472" s="56">
        <v>1</v>
      </c>
      <c r="I472" s="56" t="s">
        <v>3563</v>
      </c>
      <c r="J472" s="56">
        <v>0</v>
      </c>
      <c r="K472" s="56">
        <v>0</v>
      </c>
      <c r="P472" s="56">
        <v>0</v>
      </c>
      <c r="S472" s="56">
        <v>0</v>
      </c>
      <c r="T472" s="56" t="s">
        <v>27</v>
      </c>
      <c r="V472" s="56" t="s">
        <v>3549</v>
      </c>
      <c r="W472" s="56" t="s">
        <v>3548</v>
      </c>
      <c r="X472" s="56" t="s">
        <v>3547</v>
      </c>
      <c r="Z472" s="56" t="s">
        <v>3546</v>
      </c>
      <c r="AA472" s="56" t="s">
        <v>6097</v>
      </c>
      <c r="AB472" s="56" t="s">
        <v>6096</v>
      </c>
      <c r="AC472" s="56" t="s">
        <v>3842</v>
      </c>
      <c r="AH472" s="56" t="s">
        <v>3542</v>
      </c>
      <c r="AI472" s="56" t="s">
        <v>3541</v>
      </c>
    </row>
    <row r="473" spans="1:35" ht="33" customHeight="1">
      <c r="A473" s="56" t="s">
        <v>6095</v>
      </c>
      <c r="B473" s="57">
        <v>44359.950138888889</v>
      </c>
      <c r="C473" s="56" t="s">
        <v>3803</v>
      </c>
      <c r="D473" s="56" t="s">
        <v>4511</v>
      </c>
      <c r="E473" s="56" t="s">
        <v>6001</v>
      </c>
      <c r="F473" s="56" t="s">
        <v>6000</v>
      </c>
      <c r="G473" s="58" t="s">
        <v>3732</v>
      </c>
      <c r="H473" s="56">
        <v>1</v>
      </c>
      <c r="I473" s="56" t="s">
        <v>3731</v>
      </c>
      <c r="J473" s="56">
        <v>867</v>
      </c>
      <c r="K473" s="56">
        <v>550</v>
      </c>
      <c r="L473" s="56">
        <v>2200</v>
      </c>
      <c r="M473" s="56">
        <v>0</v>
      </c>
      <c r="N473" s="56">
        <v>0</v>
      </c>
      <c r="O473" s="56">
        <v>0</v>
      </c>
      <c r="P473" s="56">
        <v>0</v>
      </c>
      <c r="Q473" s="56">
        <v>2200</v>
      </c>
      <c r="R473" s="56">
        <v>0</v>
      </c>
      <c r="S473" s="56">
        <v>0</v>
      </c>
      <c r="T473" s="56" t="s">
        <v>3562</v>
      </c>
      <c r="U473" s="56">
        <v>2200</v>
      </c>
      <c r="V473" s="56" t="s">
        <v>59</v>
      </c>
      <c r="W473" s="56" t="s">
        <v>3548</v>
      </c>
      <c r="X473" s="56" t="s">
        <v>3765</v>
      </c>
      <c r="Z473" s="56" t="s">
        <v>3546</v>
      </c>
      <c r="AA473" s="56" t="s">
        <v>6094</v>
      </c>
      <c r="AB473" s="56" t="s">
        <v>6093</v>
      </c>
      <c r="AC473" s="56" t="s">
        <v>3543</v>
      </c>
      <c r="AD473" s="56" t="s">
        <v>24</v>
      </c>
      <c r="AE473" s="56" t="s">
        <v>6080</v>
      </c>
      <c r="AF473" s="56" t="s">
        <v>6092</v>
      </c>
      <c r="AH473" s="56" t="s">
        <v>3542</v>
      </c>
      <c r="AI473" s="56" t="s">
        <v>3723</v>
      </c>
    </row>
    <row r="474" spans="1:35" ht="33" customHeight="1">
      <c r="A474" s="56" t="s">
        <v>6095</v>
      </c>
      <c r="B474" s="57">
        <v>44359.950138888889</v>
      </c>
      <c r="C474" s="56" t="s">
        <v>3803</v>
      </c>
      <c r="D474" s="56" t="s">
        <v>4511</v>
      </c>
      <c r="E474" s="56" t="s">
        <v>6001</v>
      </c>
      <c r="F474" s="56" t="s">
        <v>6000</v>
      </c>
      <c r="G474" s="58" t="s">
        <v>3681</v>
      </c>
      <c r="H474" s="56">
        <v>2</v>
      </c>
      <c r="I474" s="56" t="s">
        <v>3569</v>
      </c>
      <c r="J474" s="56">
        <v>894</v>
      </c>
      <c r="K474" s="56">
        <v>750</v>
      </c>
      <c r="P474" s="56">
        <v>0</v>
      </c>
      <c r="S474" s="56">
        <v>0</v>
      </c>
      <c r="T474" s="56" t="s">
        <v>3562</v>
      </c>
      <c r="V474" s="56" t="s">
        <v>59</v>
      </c>
      <c r="W474" s="56" t="s">
        <v>3548</v>
      </c>
      <c r="X474" s="56" t="s">
        <v>3765</v>
      </c>
      <c r="Z474" s="56" t="s">
        <v>3546</v>
      </c>
      <c r="AA474" s="56" t="s">
        <v>6094</v>
      </c>
      <c r="AB474" s="56" t="s">
        <v>6093</v>
      </c>
      <c r="AC474" s="56" t="s">
        <v>3543</v>
      </c>
      <c r="AD474" s="56" t="s">
        <v>24</v>
      </c>
      <c r="AE474" s="56" t="s">
        <v>6080</v>
      </c>
      <c r="AF474" s="56" t="s">
        <v>6092</v>
      </c>
      <c r="AH474" s="56" t="s">
        <v>3542</v>
      </c>
      <c r="AI474" s="56" t="s">
        <v>3723</v>
      </c>
    </row>
    <row r="475" spans="1:35" ht="33" customHeight="1">
      <c r="A475" s="56" t="s">
        <v>6095</v>
      </c>
      <c r="B475" s="57">
        <v>44359.950138888889</v>
      </c>
      <c r="C475" s="56" t="s">
        <v>3803</v>
      </c>
      <c r="D475" s="56" t="s">
        <v>4511</v>
      </c>
      <c r="E475" s="56" t="s">
        <v>6001</v>
      </c>
      <c r="F475" s="56" t="s">
        <v>6000</v>
      </c>
      <c r="G475" s="58" t="s">
        <v>1500</v>
      </c>
      <c r="H475" s="56">
        <v>1</v>
      </c>
      <c r="I475" s="56" t="s">
        <v>3231</v>
      </c>
      <c r="J475" s="56">
        <v>250</v>
      </c>
      <c r="K475" s="56">
        <v>150</v>
      </c>
      <c r="P475" s="56">
        <v>0</v>
      </c>
      <c r="S475" s="56">
        <v>0</v>
      </c>
      <c r="T475" s="56" t="s">
        <v>3562</v>
      </c>
      <c r="V475" s="56" t="s">
        <v>59</v>
      </c>
      <c r="W475" s="56" t="s">
        <v>3548</v>
      </c>
      <c r="X475" s="56" t="s">
        <v>3765</v>
      </c>
      <c r="Z475" s="56" t="s">
        <v>3546</v>
      </c>
      <c r="AA475" s="56" t="s">
        <v>6094</v>
      </c>
      <c r="AB475" s="56" t="s">
        <v>6093</v>
      </c>
      <c r="AC475" s="56" t="s">
        <v>3543</v>
      </c>
      <c r="AD475" s="56" t="s">
        <v>24</v>
      </c>
      <c r="AE475" s="56" t="s">
        <v>6080</v>
      </c>
      <c r="AF475" s="56" t="s">
        <v>6092</v>
      </c>
      <c r="AH475" s="56" t="s">
        <v>3542</v>
      </c>
      <c r="AI475" s="56" t="s">
        <v>3723</v>
      </c>
    </row>
    <row r="476" spans="1:35" ht="33" customHeight="1">
      <c r="A476" s="56" t="s">
        <v>6095</v>
      </c>
      <c r="B476" s="57">
        <v>44359.950138888889</v>
      </c>
      <c r="C476" s="56" t="s">
        <v>3803</v>
      </c>
      <c r="D476" s="56" t="s">
        <v>4511</v>
      </c>
      <c r="E476" s="56" t="s">
        <v>6001</v>
      </c>
      <c r="F476" s="56" t="s">
        <v>6000</v>
      </c>
      <c r="G476" s="58" t="s">
        <v>3551</v>
      </c>
      <c r="H476" s="56">
        <v>1</v>
      </c>
      <c r="I476" s="56" t="s">
        <v>3550</v>
      </c>
      <c r="J476" s="56">
        <v>0</v>
      </c>
      <c r="K476" s="56">
        <v>0</v>
      </c>
      <c r="P476" s="56">
        <v>0</v>
      </c>
      <c r="S476" s="56">
        <v>0</v>
      </c>
      <c r="T476" s="56" t="s">
        <v>3562</v>
      </c>
      <c r="V476" s="56" t="s">
        <v>59</v>
      </c>
      <c r="W476" s="56" t="s">
        <v>3548</v>
      </c>
      <c r="X476" s="56" t="s">
        <v>3765</v>
      </c>
      <c r="Z476" s="56" t="s">
        <v>3546</v>
      </c>
      <c r="AA476" s="56" t="s">
        <v>6094</v>
      </c>
      <c r="AB476" s="56" t="s">
        <v>6093</v>
      </c>
      <c r="AC476" s="56" t="s">
        <v>3543</v>
      </c>
      <c r="AD476" s="56" t="s">
        <v>24</v>
      </c>
      <c r="AE476" s="56" t="s">
        <v>6080</v>
      </c>
      <c r="AF476" s="56" t="s">
        <v>6092</v>
      </c>
      <c r="AH476" s="56" t="s">
        <v>3542</v>
      </c>
      <c r="AI476" s="56" t="s">
        <v>3723</v>
      </c>
    </row>
    <row r="477" spans="1:35" ht="33" customHeight="1">
      <c r="A477" s="56" t="s">
        <v>6095</v>
      </c>
      <c r="B477" s="57">
        <v>44359.950138888889</v>
      </c>
      <c r="C477" s="56" t="s">
        <v>3803</v>
      </c>
      <c r="D477" s="56" t="s">
        <v>4511</v>
      </c>
      <c r="E477" s="56" t="s">
        <v>6001</v>
      </c>
      <c r="F477" s="56" t="s">
        <v>6000</v>
      </c>
      <c r="G477" s="58" t="s">
        <v>1713</v>
      </c>
      <c r="H477" s="56">
        <v>1</v>
      </c>
      <c r="I477" s="56" t="s">
        <v>3568</v>
      </c>
      <c r="J477" s="56">
        <v>0</v>
      </c>
      <c r="K477" s="56">
        <v>0</v>
      </c>
      <c r="P477" s="56">
        <v>0</v>
      </c>
      <c r="S477" s="56">
        <v>0</v>
      </c>
      <c r="T477" s="56" t="s">
        <v>3562</v>
      </c>
      <c r="V477" s="56" t="s">
        <v>59</v>
      </c>
      <c r="W477" s="56" t="s">
        <v>3548</v>
      </c>
      <c r="X477" s="56" t="s">
        <v>3765</v>
      </c>
      <c r="Z477" s="56" t="s">
        <v>3546</v>
      </c>
      <c r="AA477" s="56" t="s">
        <v>6094</v>
      </c>
      <c r="AB477" s="56" t="s">
        <v>6093</v>
      </c>
      <c r="AC477" s="56" t="s">
        <v>3543</v>
      </c>
      <c r="AD477" s="56" t="s">
        <v>24</v>
      </c>
      <c r="AE477" s="56" t="s">
        <v>6080</v>
      </c>
      <c r="AF477" s="56" t="s">
        <v>6092</v>
      </c>
      <c r="AH477" s="56" t="s">
        <v>3542</v>
      </c>
      <c r="AI477" s="56" t="s">
        <v>3723</v>
      </c>
    </row>
    <row r="478" spans="1:35" ht="33" customHeight="1">
      <c r="A478" s="56" t="s">
        <v>6095</v>
      </c>
      <c r="B478" s="57">
        <v>44359.950138888889</v>
      </c>
      <c r="C478" s="56" t="s">
        <v>3803</v>
      </c>
      <c r="D478" s="56" t="s">
        <v>4511</v>
      </c>
      <c r="E478" s="56" t="s">
        <v>6001</v>
      </c>
      <c r="F478" s="56" t="s">
        <v>6000</v>
      </c>
      <c r="G478" s="58" t="s">
        <v>1498</v>
      </c>
      <c r="H478" s="56">
        <v>1</v>
      </c>
      <c r="I478" s="56" t="s">
        <v>4016</v>
      </c>
      <c r="J478" s="56">
        <v>0</v>
      </c>
      <c r="K478" s="56">
        <v>0</v>
      </c>
      <c r="P478" s="56">
        <v>0</v>
      </c>
      <c r="S478" s="56">
        <v>0</v>
      </c>
      <c r="T478" s="56" t="s">
        <v>3562</v>
      </c>
      <c r="V478" s="56" t="s">
        <v>59</v>
      </c>
      <c r="W478" s="56" t="s">
        <v>3548</v>
      </c>
      <c r="X478" s="56" t="s">
        <v>3765</v>
      </c>
      <c r="Z478" s="56" t="s">
        <v>3546</v>
      </c>
      <c r="AA478" s="56" t="s">
        <v>6094</v>
      </c>
      <c r="AB478" s="56" t="s">
        <v>6093</v>
      </c>
      <c r="AC478" s="56" t="s">
        <v>3543</v>
      </c>
      <c r="AD478" s="56" t="s">
        <v>24</v>
      </c>
      <c r="AE478" s="56" t="s">
        <v>6080</v>
      </c>
      <c r="AF478" s="56" t="s">
        <v>6092</v>
      </c>
      <c r="AH478" s="56" t="s">
        <v>3542</v>
      </c>
      <c r="AI478" s="56" t="s">
        <v>3723</v>
      </c>
    </row>
    <row r="479" spans="1:35" ht="33" customHeight="1">
      <c r="A479" s="56" t="s">
        <v>6095</v>
      </c>
      <c r="B479" s="57">
        <v>44359.950138888889</v>
      </c>
      <c r="C479" s="56" t="s">
        <v>3803</v>
      </c>
      <c r="D479" s="56" t="s">
        <v>4511</v>
      </c>
      <c r="E479" s="56" t="s">
        <v>6001</v>
      </c>
      <c r="F479" s="56" t="s">
        <v>6000</v>
      </c>
      <c r="G479" s="58" t="s">
        <v>3564</v>
      </c>
      <c r="H479" s="56">
        <v>1</v>
      </c>
      <c r="I479" s="56" t="s">
        <v>3563</v>
      </c>
      <c r="J479" s="56">
        <v>0</v>
      </c>
      <c r="K479" s="56">
        <v>0</v>
      </c>
      <c r="P479" s="56">
        <v>0</v>
      </c>
      <c r="S479" s="56">
        <v>0</v>
      </c>
      <c r="T479" s="56" t="s">
        <v>3562</v>
      </c>
      <c r="V479" s="56" t="s">
        <v>59</v>
      </c>
      <c r="W479" s="56" t="s">
        <v>3548</v>
      </c>
      <c r="X479" s="56" t="s">
        <v>3765</v>
      </c>
      <c r="Z479" s="56" t="s">
        <v>3546</v>
      </c>
      <c r="AA479" s="56" t="s">
        <v>6094</v>
      </c>
      <c r="AB479" s="56" t="s">
        <v>6093</v>
      </c>
      <c r="AC479" s="56" t="s">
        <v>3543</v>
      </c>
      <c r="AD479" s="56" t="s">
        <v>24</v>
      </c>
      <c r="AE479" s="56" t="s">
        <v>6080</v>
      </c>
      <c r="AF479" s="56" t="s">
        <v>6092</v>
      </c>
      <c r="AH479" s="56" t="s">
        <v>3542</v>
      </c>
      <c r="AI479" s="56" t="s">
        <v>3723</v>
      </c>
    </row>
    <row r="480" spans="1:35" ht="33" customHeight="1">
      <c r="A480" s="56" t="s">
        <v>6091</v>
      </c>
      <c r="B480" s="57">
        <v>44359.978460648148</v>
      </c>
      <c r="C480" s="56" t="s">
        <v>4512</v>
      </c>
      <c r="D480" s="56" t="s">
        <v>4511</v>
      </c>
      <c r="E480" s="56" t="s">
        <v>6090</v>
      </c>
      <c r="F480" s="56" t="s">
        <v>6089</v>
      </c>
      <c r="G480" s="58" t="s">
        <v>1531</v>
      </c>
      <c r="H480" s="56">
        <v>1</v>
      </c>
      <c r="I480" s="56" t="s">
        <v>3696</v>
      </c>
      <c r="J480" s="56">
        <v>299</v>
      </c>
      <c r="K480" s="56">
        <v>299</v>
      </c>
      <c r="L480" s="56">
        <v>1178</v>
      </c>
      <c r="M480" s="56">
        <v>0</v>
      </c>
      <c r="N480" s="56">
        <v>0</v>
      </c>
      <c r="O480" s="56">
        <v>100</v>
      </c>
      <c r="P480" s="56">
        <v>0</v>
      </c>
      <c r="Q480" s="56">
        <v>1078</v>
      </c>
      <c r="R480" s="56">
        <v>0</v>
      </c>
      <c r="S480" s="56">
        <v>0</v>
      </c>
      <c r="T480" s="56" t="s">
        <v>3562</v>
      </c>
      <c r="U480" s="56">
        <v>1078</v>
      </c>
      <c r="V480" s="56" t="s">
        <v>3549</v>
      </c>
      <c r="W480" s="56" t="s">
        <v>3548</v>
      </c>
      <c r="X480" s="56" t="s">
        <v>3547</v>
      </c>
      <c r="Z480" s="56" t="s">
        <v>3546</v>
      </c>
      <c r="AA480" s="56" t="s">
        <v>6088</v>
      </c>
      <c r="AB480" s="56" t="s">
        <v>6087</v>
      </c>
      <c r="AC480" s="56" t="s">
        <v>3543</v>
      </c>
      <c r="AD480" s="56" t="s">
        <v>24</v>
      </c>
      <c r="AE480" s="56" t="s">
        <v>4145</v>
      </c>
      <c r="AF480" s="56" t="s">
        <v>6086</v>
      </c>
      <c r="AH480" s="56" t="s">
        <v>3542</v>
      </c>
      <c r="AI480" s="56" t="s">
        <v>3723</v>
      </c>
    </row>
    <row r="481" spans="1:35" ht="33" customHeight="1">
      <c r="A481" s="56" t="s">
        <v>6091</v>
      </c>
      <c r="B481" s="57">
        <v>44359.978460648148</v>
      </c>
      <c r="C481" s="56" t="s">
        <v>4512</v>
      </c>
      <c r="D481" s="56" t="s">
        <v>4511</v>
      </c>
      <c r="E481" s="56" t="s">
        <v>6090</v>
      </c>
      <c r="F481" s="56" t="s">
        <v>6089</v>
      </c>
      <c r="G481" s="58" t="s">
        <v>2169</v>
      </c>
      <c r="H481" s="56">
        <v>1</v>
      </c>
      <c r="I481" s="56" t="s">
        <v>3762</v>
      </c>
      <c r="J481" s="56">
        <v>350</v>
      </c>
      <c r="K481" s="56">
        <v>350</v>
      </c>
      <c r="P481" s="56">
        <v>0</v>
      </c>
      <c r="S481" s="56">
        <v>0</v>
      </c>
      <c r="T481" s="56" t="s">
        <v>3562</v>
      </c>
      <c r="V481" s="56" t="s">
        <v>3549</v>
      </c>
      <c r="W481" s="56" t="s">
        <v>3548</v>
      </c>
      <c r="X481" s="56" t="s">
        <v>3547</v>
      </c>
      <c r="Z481" s="56" t="s">
        <v>3546</v>
      </c>
      <c r="AA481" s="56" t="s">
        <v>6088</v>
      </c>
      <c r="AB481" s="56" t="s">
        <v>6087</v>
      </c>
      <c r="AC481" s="56" t="s">
        <v>3543</v>
      </c>
      <c r="AD481" s="56" t="s">
        <v>24</v>
      </c>
      <c r="AE481" s="56" t="s">
        <v>4145</v>
      </c>
      <c r="AF481" s="56" t="s">
        <v>6086</v>
      </c>
      <c r="AH481" s="56" t="s">
        <v>3542</v>
      </c>
      <c r="AI481" s="56" t="s">
        <v>3723</v>
      </c>
    </row>
    <row r="482" spans="1:35" ht="33" customHeight="1">
      <c r="A482" s="56" t="s">
        <v>6091</v>
      </c>
      <c r="B482" s="57">
        <v>44359.978460648148</v>
      </c>
      <c r="C482" s="56" t="s">
        <v>4512</v>
      </c>
      <c r="D482" s="56" t="s">
        <v>4511</v>
      </c>
      <c r="E482" s="56" t="s">
        <v>6090</v>
      </c>
      <c r="F482" s="56" t="s">
        <v>6089</v>
      </c>
      <c r="G482" s="58" t="s">
        <v>1713</v>
      </c>
      <c r="H482" s="56">
        <v>1</v>
      </c>
      <c r="I482" s="56" t="s">
        <v>3587</v>
      </c>
      <c r="J482" s="56">
        <v>149</v>
      </c>
      <c r="K482" s="56">
        <v>149</v>
      </c>
      <c r="P482" s="56">
        <v>0</v>
      </c>
      <c r="S482" s="56">
        <v>0</v>
      </c>
      <c r="T482" s="56" t="s">
        <v>3562</v>
      </c>
      <c r="V482" s="56" t="s">
        <v>3549</v>
      </c>
      <c r="W482" s="56" t="s">
        <v>3548</v>
      </c>
      <c r="X482" s="56" t="s">
        <v>3547</v>
      </c>
      <c r="Z482" s="56" t="s">
        <v>3546</v>
      </c>
      <c r="AA482" s="56" t="s">
        <v>6088</v>
      </c>
      <c r="AB482" s="56" t="s">
        <v>6087</v>
      </c>
      <c r="AC482" s="56" t="s">
        <v>3543</v>
      </c>
      <c r="AD482" s="56" t="s">
        <v>24</v>
      </c>
      <c r="AE482" s="56" t="s">
        <v>4145</v>
      </c>
      <c r="AF482" s="56" t="s">
        <v>6086</v>
      </c>
      <c r="AH482" s="56" t="s">
        <v>3542</v>
      </c>
      <c r="AI482" s="56" t="s">
        <v>3723</v>
      </c>
    </row>
    <row r="483" spans="1:35" ht="33" customHeight="1">
      <c r="A483" s="56" t="s">
        <v>6091</v>
      </c>
      <c r="B483" s="57">
        <v>44359.978460648148</v>
      </c>
      <c r="C483" s="56" t="s">
        <v>4512</v>
      </c>
      <c r="D483" s="56" t="s">
        <v>4511</v>
      </c>
      <c r="E483" s="56" t="s">
        <v>6090</v>
      </c>
      <c r="F483" s="56" t="s">
        <v>6089</v>
      </c>
      <c r="G483" s="58" t="s">
        <v>3196</v>
      </c>
      <c r="H483" s="56">
        <v>1</v>
      </c>
      <c r="I483" s="56" t="s">
        <v>2550</v>
      </c>
      <c r="J483" s="56">
        <v>120</v>
      </c>
      <c r="K483" s="56">
        <v>120</v>
      </c>
      <c r="P483" s="56">
        <v>0</v>
      </c>
      <c r="S483" s="56">
        <v>0</v>
      </c>
      <c r="T483" s="56" t="s">
        <v>3562</v>
      </c>
      <c r="V483" s="56" t="s">
        <v>3549</v>
      </c>
      <c r="W483" s="56" t="s">
        <v>3548</v>
      </c>
      <c r="X483" s="56" t="s">
        <v>3547</v>
      </c>
      <c r="Z483" s="56" t="s">
        <v>3546</v>
      </c>
      <c r="AA483" s="56" t="s">
        <v>6088</v>
      </c>
      <c r="AB483" s="56" t="s">
        <v>6087</v>
      </c>
      <c r="AC483" s="56" t="s">
        <v>3543</v>
      </c>
      <c r="AD483" s="56" t="s">
        <v>24</v>
      </c>
      <c r="AE483" s="56" t="s">
        <v>4145</v>
      </c>
      <c r="AF483" s="56" t="s">
        <v>6086</v>
      </c>
      <c r="AH483" s="56" t="s">
        <v>3542</v>
      </c>
      <c r="AI483" s="56" t="s">
        <v>3723</v>
      </c>
    </row>
    <row r="484" spans="1:35" ht="33" customHeight="1">
      <c r="A484" s="56" t="s">
        <v>6091</v>
      </c>
      <c r="B484" s="57">
        <v>44359.978460648148</v>
      </c>
      <c r="C484" s="56" t="s">
        <v>4512</v>
      </c>
      <c r="D484" s="56" t="s">
        <v>4511</v>
      </c>
      <c r="E484" s="56" t="s">
        <v>6090</v>
      </c>
      <c r="F484" s="56" t="s">
        <v>6089</v>
      </c>
      <c r="G484" s="58" t="s">
        <v>3299</v>
      </c>
      <c r="H484" s="56">
        <v>1</v>
      </c>
      <c r="I484" s="56" t="s">
        <v>3576</v>
      </c>
      <c r="J484" s="56">
        <v>260</v>
      </c>
      <c r="K484" s="56">
        <v>260</v>
      </c>
      <c r="P484" s="56">
        <v>0</v>
      </c>
      <c r="S484" s="56">
        <v>0</v>
      </c>
      <c r="T484" s="56" t="s">
        <v>3562</v>
      </c>
      <c r="V484" s="56" t="s">
        <v>3549</v>
      </c>
      <c r="W484" s="56" t="s">
        <v>3548</v>
      </c>
      <c r="X484" s="56" t="s">
        <v>3547</v>
      </c>
      <c r="Z484" s="56" t="s">
        <v>3546</v>
      </c>
      <c r="AA484" s="56" t="s">
        <v>6088</v>
      </c>
      <c r="AB484" s="56" t="s">
        <v>6087</v>
      </c>
      <c r="AC484" s="56" t="s">
        <v>3543</v>
      </c>
      <c r="AD484" s="56" t="s">
        <v>24</v>
      </c>
      <c r="AE484" s="56" t="s">
        <v>4145</v>
      </c>
      <c r="AF484" s="56" t="s">
        <v>6086</v>
      </c>
      <c r="AH484" s="56" t="s">
        <v>3542</v>
      </c>
      <c r="AI484" s="56" t="s">
        <v>3723</v>
      </c>
    </row>
    <row r="485" spans="1:35" ht="33" customHeight="1">
      <c r="A485" s="56" t="s">
        <v>6091</v>
      </c>
      <c r="B485" s="57">
        <v>44359.978460648148</v>
      </c>
      <c r="C485" s="56" t="s">
        <v>4512</v>
      </c>
      <c r="D485" s="56" t="s">
        <v>4511</v>
      </c>
      <c r="E485" s="56" t="s">
        <v>6090</v>
      </c>
      <c r="F485" s="56" t="s">
        <v>6089</v>
      </c>
      <c r="G485" s="58" t="s">
        <v>3551</v>
      </c>
      <c r="H485" s="56">
        <v>1</v>
      </c>
      <c r="I485" s="56" t="s">
        <v>3550</v>
      </c>
      <c r="J485" s="56">
        <v>0</v>
      </c>
      <c r="K485" s="56">
        <v>0</v>
      </c>
      <c r="P485" s="56">
        <v>0</v>
      </c>
      <c r="S485" s="56">
        <v>0</v>
      </c>
      <c r="T485" s="56" t="s">
        <v>3562</v>
      </c>
      <c r="V485" s="56" t="s">
        <v>3549</v>
      </c>
      <c r="W485" s="56" t="s">
        <v>3548</v>
      </c>
      <c r="X485" s="56" t="s">
        <v>3547</v>
      </c>
      <c r="Z485" s="56" t="s">
        <v>3546</v>
      </c>
      <c r="AA485" s="56" t="s">
        <v>6088</v>
      </c>
      <c r="AB485" s="56" t="s">
        <v>6087</v>
      </c>
      <c r="AC485" s="56" t="s">
        <v>3543</v>
      </c>
      <c r="AD485" s="56" t="s">
        <v>24</v>
      </c>
      <c r="AE485" s="56" t="s">
        <v>4145</v>
      </c>
      <c r="AF485" s="56" t="s">
        <v>6086</v>
      </c>
      <c r="AH485" s="56" t="s">
        <v>3542</v>
      </c>
      <c r="AI485" s="56" t="s">
        <v>3723</v>
      </c>
    </row>
    <row r="486" spans="1:35" ht="33" customHeight="1">
      <c r="A486" s="56" t="s">
        <v>6091</v>
      </c>
      <c r="B486" s="57">
        <v>44359.978460648148</v>
      </c>
      <c r="C486" s="56" t="s">
        <v>4512</v>
      </c>
      <c r="D486" s="56" t="s">
        <v>4511</v>
      </c>
      <c r="E486" s="56" t="s">
        <v>6090</v>
      </c>
      <c r="F486" s="56" t="s">
        <v>6089</v>
      </c>
      <c r="G486" s="58" t="s">
        <v>1498</v>
      </c>
      <c r="H486" s="56">
        <v>1</v>
      </c>
      <c r="I486" s="56" t="s">
        <v>4016</v>
      </c>
      <c r="J486" s="56">
        <v>0</v>
      </c>
      <c r="K486" s="56">
        <v>0</v>
      </c>
      <c r="P486" s="56">
        <v>0</v>
      </c>
      <c r="S486" s="56">
        <v>0</v>
      </c>
      <c r="T486" s="56" t="s">
        <v>3562</v>
      </c>
      <c r="V486" s="56" t="s">
        <v>3549</v>
      </c>
      <c r="W486" s="56" t="s">
        <v>3548</v>
      </c>
      <c r="X486" s="56" t="s">
        <v>3547</v>
      </c>
      <c r="Z486" s="56" t="s">
        <v>3546</v>
      </c>
      <c r="AA486" s="56" t="s">
        <v>6088</v>
      </c>
      <c r="AB486" s="56" t="s">
        <v>6087</v>
      </c>
      <c r="AC486" s="56" t="s">
        <v>3543</v>
      </c>
      <c r="AD486" s="56" t="s">
        <v>24</v>
      </c>
      <c r="AE486" s="56" t="s">
        <v>4145</v>
      </c>
      <c r="AF486" s="56" t="s">
        <v>6086</v>
      </c>
      <c r="AH486" s="56" t="s">
        <v>3542</v>
      </c>
      <c r="AI486" s="56" t="s">
        <v>3723</v>
      </c>
    </row>
    <row r="487" spans="1:35" ht="33" customHeight="1">
      <c r="A487" s="56" t="s">
        <v>6085</v>
      </c>
      <c r="B487" s="57">
        <v>44359.987800925926</v>
      </c>
      <c r="C487" s="56" t="s">
        <v>3803</v>
      </c>
      <c r="D487" s="56" t="s">
        <v>4511</v>
      </c>
      <c r="E487" s="56" t="s">
        <v>6084</v>
      </c>
      <c r="F487" s="56" t="s">
        <v>6083</v>
      </c>
      <c r="G487" s="58" t="s">
        <v>3681</v>
      </c>
      <c r="H487" s="56">
        <v>1</v>
      </c>
      <c r="I487" s="56" t="s">
        <v>3569</v>
      </c>
      <c r="J487" s="56">
        <v>894</v>
      </c>
      <c r="K487" s="56">
        <v>750</v>
      </c>
      <c r="L487" s="56">
        <v>1848</v>
      </c>
      <c r="M487" s="56">
        <v>0</v>
      </c>
      <c r="N487" s="56">
        <v>0</v>
      </c>
      <c r="O487" s="56">
        <v>157</v>
      </c>
      <c r="P487" s="56">
        <v>0</v>
      </c>
      <c r="Q487" s="56">
        <v>1691</v>
      </c>
      <c r="R487" s="56">
        <v>0</v>
      </c>
      <c r="S487" s="56">
        <v>0</v>
      </c>
      <c r="T487" s="56" t="s">
        <v>3562</v>
      </c>
      <c r="U487" s="56">
        <v>1691</v>
      </c>
      <c r="V487" s="56" t="s">
        <v>3561</v>
      </c>
      <c r="W487" s="56" t="s">
        <v>3548</v>
      </c>
      <c r="X487" s="56" t="s">
        <v>3716</v>
      </c>
      <c r="Z487" s="56" t="s">
        <v>3546</v>
      </c>
      <c r="AA487" s="56" t="s">
        <v>6082</v>
      </c>
      <c r="AB487" s="56" t="s">
        <v>6081</v>
      </c>
      <c r="AC487" s="56" t="s">
        <v>3543</v>
      </c>
      <c r="AD487" s="56" t="s">
        <v>24</v>
      </c>
      <c r="AE487" s="56" t="s">
        <v>6080</v>
      </c>
      <c r="AF487" s="56" t="s">
        <v>6079</v>
      </c>
      <c r="AH487" s="56" t="s">
        <v>3542</v>
      </c>
      <c r="AI487" s="56" t="s">
        <v>3723</v>
      </c>
    </row>
    <row r="488" spans="1:35" ht="33" customHeight="1">
      <c r="A488" s="56" t="s">
        <v>6085</v>
      </c>
      <c r="B488" s="57">
        <v>44359.987800925926</v>
      </c>
      <c r="C488" s="56" t="s">
        <v>3803</v>
      </c>
      <c r="D488" s="56" t="s">
        <v>4511</v>
      </c>
      <c r="E488" s="56" t="s">
        <v>6084</v>
      </c>
      <c r="F488" s="56" t="s">
        <v>6083</v>
      </c>
      <c r="G488" s="58" t="s">
        <v>1508</v>
      </c>
      <c r="H488" s="56">
        <v>1</v>
      </c>
      <c r="I488" s="56" t="s">
        <v>3696</v>
      </c>
      <c r="J488" s="56">
        <v>299</v>
      </c>
      <c r="K488" s="56">
        <v>299</v>
      </c>
      <c r="P488" s="56">
        <v>0</v>
      </c>
      <c r="S488" s="56">
        <v>0</v>
      </c>
      <c r="T488" s="56" t="s">
        <v>3562</v>
      </c>
      <c r="V488" s="56" t="s">
        <v>3561</v>
      </c>
      <c r="W488" s="56" t="s">
        <v>3548</v>
      </c>
      <c r="X488" s="56" t="s">
        <v>3716</v>
      </c>
      <c r="Z488" s="56" t="s">
        <v>3546</v>
      </c>
      <c r="AA488" s="56" t="s">
        <v>6082</v>
      </c>
      <c r="AB488" s="56" t="s">
        <v>6081</v>
      </c>
      <c r="AC488" s="56" t="s">
        <v>3543</v>
      </c>
      <c r="AD488" s="56" t="s">
        <v>24</v>
      </c>
      <c r="AE488" s="56" t="s">
        <v>6080</v>
      </c>
      <c r="AF488" s="56" t="s">
        <v>6079</v>
      </c>
      <c r="AH488" s="56" t="s">
        <v>3542</v>
      </c>
      <c r="AI488" s="56" t="s">
        <v>3723</v>
      </c>
    </row>
    <row r="489" spans="1:35" ht="33" customHeight="1">
      <c r="A489" s="56" t="s">
        <v>6085</v>
      </c>
      <c r="B489" s="57">
        <v>44359.987800925926</v>
      </c>
      <c r="C489" s="56" t="s">
        <v>3803</v>
      </c>
      <c r="D489" s="56" t="s">
        <v>4511</v>
      </c>
      <c r="E489" s="56" t="s">
        <v>6084</v>
      </c>
      <c r="F489" s="56" t="s">
        <v>6083</v>
      </c>
      <c r="G489" s="58" t="s">
        <v>3656</v>
      </c>
      <c r="H489" s="56">
        <v>1</v>
      </c>
      <c r="I489" s="56" t="s">
        <v>3655</v>
      </c>
      <c r="J489" s="56">
        <v>1107</v>
      </c>
      <c r="K489" s="56">
        <v>799</v>
      </c>
      <c r="P489" s="56">
        <v>0</v>
      </c>
      <c r="S489" s="56">
        <v>0</v>
      </c>
      <c r="T489" s="56" t="s">
        <v>3562</v>
      </c>
      <c r="V489" s="56" t="s">
        <v>3561</v>
      </c>
      <c r="W489" s="56" t="s">
        <v>3548</v>
      </c>
      <c r="X489" s="56" t="s">
        <v>3716</v>
      </c>
      <c r="Z489" s="56" t="s">
        <v>3546</v>
      </c>
      <c r="AA489" s="56" t="s">
        <v>6082</v>
      </c>
      <c r="AB489" s="56" t="s">
        <v>6081</v>
      </c>
      <c r="AC489" s="56" t="s">
        <v>3543</v>
      </c>
      <c r="AD489" s="56" t="s">
        <v>24</v>
      </c>
      <c r="AE489" s="56" t="s">
        <v>6080</v>
      </c>
      <c r="AF489" s="56" t="s">
        <v>6079</v>
      </c>
      <c r="AH489" s="56" t="s">
        <v>3542</v>
      </c>
      <c r="AI489" s="56" t="s">
        <v>3723</v>
      </c>
    </row>
    <row r="490" spans="1:35" ht="33" customHeight="1">
      <c r="A490" s="56" t="s">
        <v>6085</v>
      </c>
      <c r="B490" s="57">
        <v>44359.987800925926</v>
      </c>
      <c r="C490" s="56" t="s">
        <v>3803</v>
      </c>
      <c r="D490" s="56" t="s">
        <v>4511</v>
      </c>
      <c r="E490" s="56" t="s">
        <v>6084</v>
      </c>
      <c r="F490" s="56" t="s">
        <v>6083</v>
      </c>
      <c r="G490" s="58" t="s">
        <v>3551</v>
      </c>
      <c r="H490" s="56">
        <v>1</v>
      </c>
      <c r="I490" s="56" t="s">
        <v>3550</v>
      </c>
      <c r="J490" s="56">
        <v>0</v>
      </c>
      <c r="K490" s="56">
        <v>0</v>
      </c>
      <c r="P490" s="56">
        <v>0</v>
      </c>
      <c r="S490" s="56">
        <v>0</v>
      </c>
      <c r="T490" s="56" t="s">
        <v>3562</v>
      </c>
      <c r="V490" s="56" t="s">
        <v>3561</v>
      </c>
      <c r="W490" s="56" t="s">
        <v>3548</v>
      </c>
      <c r="X490" s="56" t="s">
        <v>3716</v>
      </c>
      <c r="Z490" s="56" t="s">
        <v>3546</v>
      </c>
      <c r="AA490" s="56" t="s">
        <v>6082</v>
      </c>
      <c r="AB490" s="56" t="s">
        <v>6081</v>
      </c>
      <c r="AC490" s="56" t="s">
        <v>3543</v>
      </c>
      <c r="AD490" s="56" t="s">
        <v>24</v>
      </c>
      <c r="AE490" s="56" t="s">
        <v>6080</v>
      </c>
      <c r="AF490" s="56" t="s">
        <v>6079</v>
      </c>
      <c r="AH490" s="56" t="s">
        <v>3542</v>
      </c>
      <c r="AI490" s="56" t="s">
        <v>3723</v>
      </c>
    </row>
    <row r="491" spans="1:35" ht="33" customHeight="1">
      <c r="A491" s="56" t="s">
        <v>6085</v>
      </c>
      <c r="B491" s="57">
        <v>44359.987800925926</v>
      </c>
      <c r="C491" s="56" t="s">
        <v>3803</v>
      </c>
      <c r="D491" s="56" t="s">
        <v>4511</v>
      </c>
      <c r="E491" s="56" t="s">
        <v>6084</v>
      </c>
      <c r="F491" s="56" t="s">
        <v>6083</v>
      </c>
      <c r="G491" s="58" t="s">
        <v>1713</v>
      </c>
      <c r="H491" s="56">
        <v>1</v>
      </c>
      <c r="I491" s="56" t="s">
        <v>3568</v>
      </c>
      <c r="J491" s="56">
        <v>0</v>
      </c>
      <c r="K491" s="56">
        <v>0</v>
      </c>
      <c r="P491" s="56">
        <v>0</v>
      </c>
      <c r="S491" s="56">
        <v>0</v>
      </c>
      <c r="T491" s="56" t="s">
        <v>3562</v>
      </c>
      <c r="V491" s="56" t="s">
        <v>3561</v>
      </c>
      <c r="W491" s="56" t="s">
        <v>3548</v>
      </c>
      <c r="X491" s="56" t="s">
        <v>3716</v>
      </c>
      <c r="Z491" s="56" t="s">
        <v>3546</v>
      </c>
      <c r="AA491" s="56" t="s">
        <v>6082</v>
      </c>
      <c r="AB491" s="56" t="s">
        <v>6081</v>
      </c>
      <c r="AC491" s="56" t="s">
        <v>3543</v>
      </c>
      <c r="AD491" s="56" t="s">
        <v>24</v>
      </c>
      <c r="AE491" s="56" t="s">
        <v>6080</v>
      </c>
      <c r="AF491" s="56" t="s">
        <v>6079</v>
      </c>
      <c r="AH491" s="56" t="s">
        <v>3542</v>
      </c>
      <c r="AI491" s="56" t="s">
        <v>3723</v>
      </c>
    </row>
    <row r="492" spans="1:35" ht="33" customHeight="1">
      <c r="A492" s="56" t="s">
        <v>6085</v>
      </c>
      <c r="B492" s="57">
        <v>44359.987800925926</v>
      </c>
      <c r="C492" s="56" t="s">
        <v>3803</v>
      </c>
      <c r="D492" s="56" t="s">
        <v>4511</v>
      </c>
      <c r="E492" s="56" t="s">
        <v>6084</v>
      </c>
      <c r="F492" s="56" t="s">
        <v>6083</v>
      </c>
      <c r="G492" s="58" t="s">
        <v>1498</v>
      </c>
      <c r="H492" s="56">
        <v>1</v>
      </c>
      <c r="I492" s="56" t="s">
        <v>4016</v>
      </c>
      <c r="J492" s="56">
        <v>0</v>
      </c>
      <c r="K492" s="56">
        <v>0</v>
      </c>
      <c r="P492" s="56">
        <v>0</v>
      </c>
      <c r="S492" s="56">
        <v>0</v>
      </c>
      <c r="T492" s="56" t="s">
        <v>3562</v>
      </c>
      <c r="V492" s="56" t="s">
        <v>3561</v>
      </c>
      <c r="W492" s="56" t="s">
        <v>3548</v>
      </c>
      <c r="X492" s="56" t="s">
        <v>3716</v>
      </c>
      <c r="Z492" s="56" t="s">
        <v>3546</v>
      </c>
      <c r="AA492" s="56" t="s">
        <v>6082</v>
      </c>
      <c r="AB492" s="56" t="s">
        <v>6081</v>
      </c>
      <c r="AC492" s="56" t="s">
        <v>3543</v>
      </c>
      <c r="AD492" s="56" t="s">
        <v>24</v>
      </c>
      <c r="AE492" s="56" t="s">
        <v>6080</v>
      </c>
      <c r="AF492" s="56" t="s">
        <v>6079</v>
      </c>
      <c r="AH492" s="56" t="s">
        <v>3542</v>
      </c>
      <c r="AI492" s="56" t="s">
        <v>3723</v>
      </c>
    </row>
    <row r="493" spans="1:35" ht="33" customHeight="1">
      <c r="A493" s="56" t="s">
        <v>6078</v>
      </c>
      <c r="B493" s="57">
        <v>44359.992002314815</v>
      </c>
      <c r="C493" s="56" t="s">
        <v>3803</v>
      </c>
      <c r="D493" s="56" t="s">
        <v>3802</v>
      </c>
      <c r="E493" s="56" t="s">
        <v>6077</v>
      </c>
      <c r="F493" s="56" t="s">
        <v>6076</v>
      </c>
      <c r="G493" s="58" t="s">
        <v>3811</v>
      </c>
      <c r="H493" s="56">
        <v>1</v>
      </c>
      <c r="I493" s="56" t="s">
        <v>3669</v>
      </c>
      <c r="J493" s="56">
        <v>897</v>
      </c>
      <c r="K493" s="56">
        <v>888</v>
      </c>
      <c r="L493" s="56">
        <v>1776</v>
      </c>
      <c r="M493" s="56">
        <v>0</v>
      </c>
      <c r="N493" s="56">
        <v>36</v>
      </c>
      <c r="O493" s="56">
        <v>174</v>
      </c>
      <c r="P493" s="56">
        <v>0</v>
      </c>
      <c r="Q493" s="56">
        <v>1566</v>
      </c>
      <c r="R493" s="56">
        <v>0</v>
      </c>
      <c r="S493" s="56">
        <v>0</v>
      </c>
      <c r="T493" s="56" t="s">
        <v>27</v>
      </c>
      <c r="U493" s="56">
        <v>1566</v>
      </c>
      <c r="V493" s="56" t="s">
        <v>3736</v>
      </c>
      <c r="W493" s="56" t="s">
        <v>3548</v>
      </c>
      <c r="X493" s="56" t="s">
        <v>3735</v>
      </c>
      <c r="Y493" s="56" t="s">
        <v>5685</v>
      </c>
      <c r="Z493" s="56" t="s">
        <v>6075</v>
      </c>
      <c r="AC493" s="56" t="s">
        <v>3543</v>
      </c>
      <c r="AH493" s="56" t="s">
        <v>3542</v>
      </c>
      <c r="AI493" s="56" t="s">
        <v>3541</v>
      </c>
    </row>
    <row r="494" spans="1:35" ht="33" customHeight="1">
      <c r="A494" s="56" t="s">
        <v>6078</v>
      </c>
      <c r="B494" s="57">
        <v>44359.992002314815</v>
      </c>
      <c r="C494" s="56" t="s">
        <v>3803</v>
      </c>
      <c r="D494" s="56" t="s">
        <v>3802</v>
      </c>
      <c r="E494" s="56" t="s">
        <v>6077</v>
      </c>
      <c r="F494" s="56" t="s">
        <v>6076</v>
      </c>
      <c r="G494" s="58" t="s">
        <v>4608</v>
      </c>
      <c r="H494" s="56">
        <v>1</v>
      </c>
      <c r="I494" s="56" t="s">
        <v>3669</v>
      </c>
      <c r="J494" s="56">
        <v>897</v>
      </c>
      <c r="K494" s="56">
        <v>888</v>
      </c>
      <c r="P494" s="56">
        <v>0</v>
      </c>
      <c r="S494" s="56">
        <v>0</v>
      </c>
      <c r="T494" s="56" t="s">
        <v>27</v>
      </c>
      <c r="V494" s="56" t="s">
        <v>3736</v>
      </c>
      <c r="W494" s="56" t="s">
        <v>3548</v>
      </c>
      <c r="X494" s="56" t="s">
        <v>3735</v>
      </c>
      <c r="Y494" s="56" t="s">
        <v>5685</v>
      </c>
      <c r="Z494" s="56" t="s">
        <v>6075</v>
      </c>
      <c r="AC494" s="56" t="s">
        <v>3543</v>
      </c>
      <c r="AH494" s="56" t="s">
        <v>3542</v>
      </c>
      <c r="AI494" s="56" t="s">
        <v>3541</v>
      </c>
    </row>
    <row r="495" spans="1:35" ht="33" customHeight="1">
      <c r="A495" s="56" t="s">
        <v>6078</v>
      </c>
      <c r="B495" s="57">
        <v>44359.992002314815</v>
      </c>
      <c r="C495" s="56" t="s">
        <v>3803</v>
      </c>
      <c r="D495" s="56" t="s">
        <v>3802</v>
      </c>
      <c r="E495" s="56" t="s">
        <v>6077</v>
      </c>
      <c r="F495" s="56" t="s">
        <v>6076</v>
      </c>
      <c r="G495" s="58" t="s">
        <v>3551</v>
      </c>
      <c r="H495" s="56">
        <v>1</v>
      </c>
      <c r="I495" s="56" t="s">
        <v>3550</v>
      </c>
      <c r="J495" s="56">
        <v>0</v>
      </c>
      <c r="K495" s="56">
        <v>0</v>
      </c>
      <c r="P495" s="56">
        <v>0</v>
      </c>
      <c r="S495" s="56">
        <v>0</v>
      </c>
      <c r="T495" s="56" t="s">
        <v>27</v>
      </c>
      <c r="V495" s="56" t="s">
        <v>3736</v>
      </c>
      <c r="W495" s="56" t="s">
        <v>3548</v>
      </c>
      <c r="X495" s="56" t="s">
        <v>3735</v>
      </c>
      <c r="Y495" s="56" t="s">
        <v>5685</v>
      </c>
      <c r="Z495" s="56" t="s">
        <v>6075</v>
      </c>
      <c r="AC495" s="56" t="s">
        <v>3543</v>
      </c>
      <c r="AH495" s="56" t="s">
        <v>3542</v>
      </c>
      <c r="AI495" s="56" t="s">
        <v>3541</v>
      </c>
    </row>
    <row r="496" spans="1:35" ht="33" customHeight="1">
      <c r="A496" s="56" t="s">
        <v>6078</v>
      </c>
      <c r="B496" s="57">
        <v>44359.992002314815</v>
      </c>
      <c r="C496" s="56" t="s">
        <v>3803</v>
      </c>
      <c r="D496" s="56" t="s">
        <v>3802</v>
      </c>
      <c r="E496" s="56" t="s">
        <v>6077</v>
      </c>
      <c r="F496" s="56" t="s">
        <v>6076</v>
      </c>
      <c r="G496" s="58" t="s">
        <v>1713</v>
      </c>
      <c r="H496" s="56">
        <v>1</v>
      </c>
      <c r="I496" s="56" t="s">
        <v>3568</v>
      </c>
      <c r="J496" s="56">
        <v>0</v>
      </c>
      <c r="K496" s="56">
        <v>0</v>
      </c>
      <c r="P496" s="56">
        <v>0</v>
      </c>
      <c r="S496" s="56">
        <v>0</v>
      </c>
      <c r="T496" s="56" t="s">
        <v>27</v>
      </c>
      <c r="V496" s="56" t="s">
        <v>3736</v>
      </c>
      <c r="W496" s="56" t="s">
        <v>3548</v>
      </c>
      <c r="X496" s="56" t="s">
        <v>3735</v>
      </c>
      <c r="Y496" s="56" t="s">
        <v>5685</v>
      </c>
      <c r="Z496" s="56" t="s">
        <v>6075</v>
      </c>
      <c r="AC496" s="56" t="s">
        <v>3543</v>
      </c>
      <c r="AH496" s="56" t="s">
        <v>3542</v>
      </c>
      <c r="AI496" s="56" t="s">
        <v>3541</v>
      </c>
    </row>
    <row r="497" spans="1:35" ht="33" customHeight="1">
      <c r="A497" s="56" t="s">
        <v>6078</v>
      </c>
      <c r="B497" s="57">
        <v>44359.992002314815</v>
      </c>
      <c r="C497" s="56" t="s">
        <v>3803</v>
      </c>
      <c r="D497" s="56" t="s">
        <v>3802</v>
      </c>
      <c r="E497" s="56" t="s">
        <v>6077</v>
      </c>
      <c r="F497" s="56" t="s">
        <v>6076</v>
      </c>
      <c r="G497" s="58" t="s">
        <v>1498</v>
      </c>
      <c r="H497" s="56">
        <v>1</v>
      </c>
      <c r="I497" s="56" t="s">
        <v>4016</v>
      </c>
      <c r="J497" s="56">
        <v>0</v>
      </c>
      <c r="K497" s="56">
        <v>0</v>
      </c>
      <c r="P497" s="56">
        <v>0</v>
      </c>
      <c r="S497" s="56">
        <v>0</v>
      </c>
      <c r="T497" s="56" t="s">
        <v>27</v>
      </c>
      <c r="V497" s="56" t="s">
        <v>3736</v>
      </c>
      <c r="W497" s="56" t="s">
        <v>3548</v>
      </c>
      <c r="X497" s="56" t="s">
        <v>3735</v>
      </c>
      <c r="Y497" s="56" t="s">
        <v>5685</v>
      </c>
      <c r="Z497" s="56" t="s">
        <v>6075</v>
      </c>
      <c r="AC497" s="56" t="s">
        <v>3543</v>
      </c>
      <c r="AH497" s="56" t="s">
        <v>3542</v>
      </c>
      <c r="AI497" s="56" t="s">
        <v>3541</v>
      </c>
    </row>
    <row r="498" spans="1:35" ht="33" customHeight="1">
      <c r="A498" s="56" t="s">
        <v>6074</v>
      </c>
      <c r="B498" s="57">
        <v>44360.008645833332</v>
      </c>
      <c r="C498" s="56" t="s">
        <v>3803</v>
      </c>
      <c r="D498" s="56" t="s">
        <v>3802</v>
      </c>
      <c r="E498" s="56" t="s">
        <v>6073</v>
      </c>
      <c r="F498" s="56" t="s">
        <v>6072</v>
      </c>
      <c r="G498" s="58" t="s">
        <v>3199</v>
      </c>
      <c r="H498" s="56">
        <v>1</v>
      </c>
      <c r="I498" s="56" t="s">
        <v>3834</v>
      </c>
      <c r="J498" s="56">
        <v>119</v>
      </c>
      <c r="K498" s="56">
        <v>99</v>
      </c>
      <c r="L498" s="56">
        <v>1196</v>
      </c>
      <c r="M498" s="56">
        <v>0</v>
      </c>
      <c r="N498" s="56">
        <v>0</v>
      </c>
      <c r="O498" s="56">
        <v>100</v>
      </c>
      <c r="P498" s="56">
        <v>0</v>
      </c>
      <c r="Q498" s="56">
        <v>1096</v>
      </c>
      <c r="R498" s="56">
        <v>0</v>
      </c>
      <c r="S498" s="56">
        <v>0</v>
      </c>
      <c r="T498" s="56" t="s">
        <v>3562</v>
      </c>
      <c r="U498" s="56">
        <v>1096</v>
      </c>
      <c r="V498" s="56" t="s">
        <v>3865</v>
      </c>
      <c r="W498" s="56" t="s">
        <v>3548</v>
      </c>
      <c r="X498" s="56" t="s">
        <v>39</v>
      </c>
      <c r="Y498" s="56" t="s">
        <v>4836</v>
      </c>
      <c r="Z498" s="56" t="s">
        <v>6071</v>
      </c>
      <c r="AC498" s="56" t="s">
        <v>3543</v>
      </c>
      <c r="AD498" s="56" t="s">
        <v>24</v>
      </c>
      <c r="AE498" s="56" t="s">
        <v>5833</v>
      </c>
      <c r="AF498" s="56" t="s">
        <v>6070</v>
      </c>
      <c r="AH498" s="56" t="s">
        <v>3542</v>
      </c>
      <c r="AI498" s="56" t="s">
        <v>3723</v>
      </c>
    </row>
    <row r="499" spans="1:35" ht="33" customHeight="1">
      <c r="A499" s="56" t="s">
        <v>6074</v>
      </c>
      <c r="B499" s="57">
        <v>44360.008645833332</v>
      </c>
      <c r="C499" s="56" t="s">
        <v>3803</v>
      </c>
      <c r="D499" s="56" t="s">
        <v>3802</v>
      </c>
      <c r="E499" s="56" t="s">
        <v>6073</v>
      </c>
      <c r="F499" s="56" t="s">
        <v>6072</v>
      </c>
      <c r="G499" s="58" t="s">
        <v>3174</v>
      </c>
      <c r="H499" s="56">
        <v>1</v>
      </c>
      <c r="I499" s="56" t="s">
        <v>3791</v>
      </c>
      <c r="J499" s="56">
        <v>299</v>
      </c>
      <c r="K499" s="56">
        <v>299</v>
      </c>
      <c r="P499" s="56">
        <v>0</v>
      </c>
      <c r="S499" s="56">
        <v>0</v>
      </c>
      <c r="T499" s="56" t="s">
        <v>3562</v>
      </c>
      <c r="V499" s="56" t="s">
        <v>3865</v>
      </c>
      <c r="W499" s="56" t="s">
        <v>3548</v>
      </c>
      <c r="X499" s="56" t="s">
        <v>39</v>
      </c>
      <c r="Y499" s="56" t="s">
        <v>4836</v>
      </c>
      <c r="Z499" s="56" t="s">
        <v>6071</v>
      </c>
      <c r="AC499" s="56" t="s">
        <v>3543</v>
      </c>
      <c r="AD499" s="56" t="s">
        <v>24</v>
      </c>
      <c r="AE499" s="56" t="s">
        <v>5833</v>
      </c>
      <c r="AF499" s="56" t="s">
        <v>6070</v>
      </c>
      <c r="AH499" s="56" t="s">
        <v>3542</v>
      </c>
      <c r="AI499" s="56" t="s">
        <v>3723</v>
      </c>
    </row>
    <row r="500" spans="1:35" ht="33" customHeight="1">
      <c r="A500" s="56" t="s">
        <v>6074</v>
      </c>
      <c r="B500" s="57">
        <v>44360.008645833332</v>
      </c>
      <c r="C500" s="56" t="s">
        <v>3803</v>
      </c>
      <c r="D500" s="56" t="s">
        <v>3802</v>
      </c>
      <c r="E500" s="56" t="s">
        <v>6073</v>
      </c>
      <c r="F500" s="56" t="s">
        <v>6072</v>
      </c>
      <c r="G500" s="58" t="s">
        <v>3171</v>
      </c>
      <c r="H500" s="56">
        <v>2</v>
      </c>
      <c r="I500" s="56" t="s">
        <v>3695</v>
      </c>
      <c r="J500" s="56">
        <v>399</v>
      </c>
      <c r="K500" s="56">
        <v>399</v>
      </c>
      <c r="P500" s="56">
        <v>0</v>
      </c>
      <c r="S500" s="56">
        <v>0</v>
      </c>
      <c r="T500" s="56" t="s">
        <v>3562</v>
      </c>
      <c r="V500" s="56" t="s">
        <v>3865</v>
      </c>
      <c r="W500" s="56" t="s">
        <v>3548</v>
      </c>
      <c r="X500" s="56" t="s">
        <v>39</v>
      </c>
      <c r="Y500" s="56" t="s">
        <v>4836</v>
      </c>
      <c r="Z500" s="56" t="s">
        <v>6071</v>
      </c>
      <c r="AC500" s="56" t="s">
        <v>3543</v>
      </c>
      <c r="AD500" s="56" t="s">
        <v>24</v>
      </c>
      <c r="AE500" s="56" t="s">
        <v>5833</v>
      </c>
      <c r="AF500" s="56" t="s">
        <v>6070</v>
      </c>
      <c r="AH500" s="56" t="s">
        <v>3542</v>
      </c>
      <c r="AI500" s="56" t="s">
        <v>3723</v>
      </c>
    </row>
    <row r="501" spans="1:35" ht="33" customHeight="1">
      <c r="A501" s="56" t="s">
        <v>6074</v>
      </c>
      <c r="B501" s="57">
        <v>44360.008645833332</v>
      </c>
      <c r="C501" s="56" t="s">
        <v>3803</v>
      </c>
      <c r="D501" s="56" t="s">
        <v>3802</v>
      </c>
      <c r="E501" s="56" t="s">
        <v>6073</v>
      </c>
      <c r="F501" s="56" t="s">
        <v>6072</v>
      </c>
      <c r="G501" s="58" t="s">
        <v>3551</v>
      </c>
      <c r="H501" s="56">
        <v>1</v>
      </c>
      <c r="I501" s="56" t="s">
        <v>3550</v>
      </c>
      <c r="J501" s="56">
        <v>0</v>
      </c>
      <c r="K501" s="56">
        <v>0</v>
      </c>
      <c r="P501" s="56">
        <v>0</v>
      </c>
      <c r="S501" s="56">
        <v>0</v>
      </c>
      <c r="T501" s="56" t="s">
        <v>3562</v>
      </c>
      <c r="V501" s="56" t="s">
        <v>3865</v>
      </c>
      <c r="W501" s="56" t="s">
        <v>3548</v>
      </c>
      <c r="X501" s="56" t="s">
        <v>39</v>
      </c>
      <c r="Y501" s="56" t="s">
        <v>4836</v>
      </c>
      <c r="Z501" s="56" t="s">
        <v>6071</v>
      </c>
      <c r="AC501" s="56" t="s">
        <v>3543</v>
      </c>
      <c r="AD501" s="56" t="s">
        <v>24</v>
      </c>
      <c r="AE501" s="56" t="s">
        <v>5833</v>
      </c>
      <c r="AF501" s="56" t="s">
        <v>6070</v>
      </c>
      <c r="AH501" s="56" t="s">
        <v>3542</v>
      </c>
      <c r="AI501" s="56" t="s">
        <v>3723</v>
      </c>
    </row>
    <row r="502" spans="1:35" ht="33" customHeight="1">
      <c r="A502" s="56" t="s">
        <v>6074</v>
      </c>
      <c r="B502" s="57">
        <v>44360.008645833332</v>
      </c>
      <c r="C502" s="56" t="s">
        <v>3803</v>
      </c>
      <c r="D502" s="56" t="s">
        <v>3802</v>
      </c>
      <c r="E502" s="56" t="s">
        <v>6073</v>
      </c>
      <c r="F502" s="56" t="s">
        <v>6072</v>
      </c>
      <c r="G502" s="58" t="s">
        <v>1498</v>
      </c>
      <c r="H502" s="56">
        <v>1</v>
      </c>
      <c r="I502" s="56" t="s">
        <v>4016</v>
      </c>
      <c r="J502" s="56">
        <v>0</v>
      </c>
      <c r="K502" s="56">
        <v>0</v>
      </c>
      <c r="P502" s="56">
        <v>0</v>
      </c>
      <c r="S502" s="56">
        <v>0</v>
      </c>
      <c r="T502" s="56" t="s">
        <v>3562</v>
      </c>
      <c r="V502" s="56" t="s">
        <v>3865</v>
      </c>
      <c r="W502" s="56" t="s">
        <v>3548</v>
      </c>
      <c r="X502" s="56" t="s">
        <v>39</v>
      </c>
      <c r="Y502" s="56" t="s">
        <v>4836</v>
      </c>
      <c r="Z502" s="56" t="s">
        <v>6071</v>
      </c>
      <c r="AC502" s="56" t="s">
        <v>3543</v>
      </c>
      <c r="AD502" s="56" t="s">
        <v>24</v>
      </c>
      <c r="AE502" s="56" t="s">
        <v>5833</v>
      </c>
      <c r="AF502" s="56" t="s">
        <v>6070</v>
      </c>
      <c r="AH502" s="56" t="s">
        <v>3542</v>
      </c>
      <c r="AI502" s="56" t="s">
        <v>3723</v>
      </c>
    </row>
    <row r="503" spans="1:35" ht="33" customHeight="1">
      <c r="A503" s="56" t="s">
        <v>6069</v>
      </c>
      <c r="B503" s="57">
        <v>44360.017511574071</v>
      </c>
      <c r="C503" s="56" t="s">
        <v>3803</v>
      </c>
      <c r="D503" s="56" t="s">
        <v>3802</v>
      </c>
      <c r="E503" s="56" t="s">
        <v>6068</v>
      </c>
      <c r="F503" s="56" t="s">
        <v>6067</v>
      </c>
      <c r="G503" s="58" t="s">
        <v>1508</v>
      </c>
      <c r="H503" s="56">
        <v>1</v>
      </c>
      <c r="I503" s="56" t="s">
        <v>3696</v>
      </c>
      <c r="J503" s="56">
        <v>299</v>
      </c>
      <c r="K503" s="56">
        <v>299</v>
      </c>
      <c r="L503" s="56">
        <v>1047</v>
      </c>
      <c r="M503" s="56">
        <v>0</v>
      </c>
      <c r="N503" s="56">
        <v>0</v>
      </c>
      <c r="O503" s="56">
        <v>105</v>
      </c>
      <c r="P503" s="56">
        <v>0</v>
      </c>
      <c r="Q503" s="56">
        <v>942</v>
      </c>
      <c r="R503" s="56">
        <v>0</v>
      </c>
      <c r="S503" s="56">
        <v>0</v>
      </c>
      <c r="T503" s="56" t="s">
        <v>3562</v>
      </c>
      <c r="U503" s="56">
        <v>942</v>
      </c>
      <c r="V503" s="56" t="s">
        <v>3561</v>
      </c>
      <c r="W503" s="56" t="s">
        <v>3548</v>
      </c>
      <c r="X503" s="56" t="s">
        <v>39</v>
      </c>
      <c r="Y503" s="56" t="s">
        <v>6066</v>
      </c>
      <c r="Z503" s="56" t="s">
        <v>6065</v>
      </c>
      <c r="AC503" s="56" t="s">
        <v>3543</v>
      </c>
      <c r="AD503" s="56" t="s">
        <v>24</v>
      </c>
      <c r="AE503" s="56" t="s">
        <v>5833</v>
      </c>
      <c r="AF503" s="56" t="s">
        <v>6064</v>
      </c>
      <c r="AH503" s="56" t="s">
        <v>3542</v>
      </c>
      <c r="AI503" s="56" t="s">
        <v>3723</v>
      </c>
    </row>
    <row r="504" spans="1:35" ht="33" customHeight="1">
      <c r="A504" s="56" t="s">
        <v>6069</v>
      </c>
      <c r="B504" s="57">
        <v>44360.017511574071</v>
      </c>
      <c r="C504" s="56" t="s">
        <v>3803</v>
      </c>
      <c r="D504" s="56" t="s">
        <v>3802</v>
      </c>
      <c r="E504" s="56" t="s">
        <v>6068</v>
      </c>
      <c r="F504" s="56" t="s">
        <v>6067</v>
      </c>
      <c r="G504" s="58" t="s">
        <v>3593</v>
      </c>
      <c r="H504" s="56">
        <v>1</v>
      </c>
      <c r="I504" s="56" t="s">
        <v>3577</v>
      </c>
      <c r="J504" s="56">
        <v>700</v>
      </c>
      <c r="K504" s="56">
        <v>599</v>
      </c>
      <c r="P504" s="56">
        <v>0</v>
      </c>
      <c r="S504" s="56">
        <v>0</v>
      </c>
      <c r="T504" s="56" t="s">
        <v>3562</v>
      </c>
      <c r="V504" s="56" t="s">
        <v>3561</v>
      </c>
      <c r="W504" s="56" t="s">
        <v>3548</v>
      </c>
      <c r="X504" s="56" t="s">
        <v>39</v>
      </c>
      <c r="Y504" s="56" t="s">
        <v>6066</v>
      </c>
      <c r="Z504" s="56" t="s">
        <v>6065</v>
      </c>
      <c r="AC504" s="56" t="s">
        <v>3543</v>
      </c>
      <c r="AD504" s="56" t="s">
        <v>24</v>
      </c>
      <c r="AE504" s="56" t="s">
        <v>5833</v>
      </c>
      <c r="AF504" s="56" t="s">
        <v>6064</v>
      </c>
      <c r="AH504" s="56" t="s">
        <v>3542</v>
      </c>
      <c r="AI504" s="56" t="s">
        <v>3723</v>
      </c>
    </row>
    <row r="505" spans="1:35" ht="33" customHeight="1">
      <c r="A505" s="56" t="s">
        <v>6069</v>
      </c>
      <c r="B505" s="57">
        <v>44360.017511574071</v>
      </c>
      <c r="C505" s="56" t="s">
        <v>3803</v>
      </c>
      <c r="D505" s="56" t="s">
        <v>3802</v>
      </c>
      <c r="E505" s="56" t="s">
        <v>6068</v>
      </c>
      <c r="F505" s="56" t="s">
        <v>6067</v>
      </c>
      <c r="G505" s="58" t="s">
        <v>1491</v>
      </c>
      <c r="H505" s="56">
        <v>1</v>
      </c>
      <c r="I505" s="56" t="s">
        <v>3586</v>
      </c>
      <c r="J505" s="56">
        <v>149</v>
      </c>
      <c r="K505" s="56">
        <v>149</v>
      </c>
      <c r="P505" s="56">
        <v>0</v>
      </c>
      <c r="S505" s="56">
        <v>0</v>
      </c>
      <c r="T505" s="56" t="s">
        <v>3562</v>
      </c>
      <c r="V505" s="56" t="s">
        <v>3561</v>
      </c>
      <c r="W505" s="56" t="s">
        <v>3548</v>
      </c>
      <c r="X505" s="56" t="s">
        <v>39</v>
      </c>
      <c r="Y505" s="56" t="s">
        <v>6066</v>
      </c>
      <c r="Z505" s="56" t="s">
        <v>6065</v>
      </c>
      <c r="AC505" s="56" t="s">
        <v>3543</v>
      </c>
      <c r="AD505" s="56" t="s">
        <v>24</v>
      </c>
      <c r="AE505" s="56" t="s">
        <v>5833</v>
      </c>
      <c r="AF505" s="56" t="s">
        <v>6064</v>
      </c>
      <c r="AH505" s="56" t="s">
        <v>3542</v>
      </c>
      <c r="AI505" s="56" t="s">
        <v>3723</v>
      </c>
    </row>
    <row r="506" spans="1:35" ht="33" customHeight="1">
      <c r="A506" s="56" t="s">
        <v>6069</v>
      </c>
      <c r="B506" s="57">
        <v>44360.017511574071</v>
      </c>
      <c r="C506" s="56" t="s">
        <v>3803</v>
      </c>
      <c r="D506" s="56" t="s">
        <v>3802</v>
      </c>
      <c r="E506" s="56" t="s">
        <v>6068</v>
      </c>
      <c r="F506" s="56" t="s">
        <v>6067</v>
      </c>
      <c r="G506" s="58" t="s">
        <v>3551</v>
      </c>
      <c r="H506" s="56">
        <v>1</v>
      </c>
      <c r="I506" s="56" t="s">
        <v>3550</v>
      </c>
      <c r="J506" s="56">
        <v>0</v>
      </c>
      <c r="K506" s="56">
        <v>0</v>
      </c>
      <c r="P506" s="56">
        <v>0</v>
      </c>
      <c r="S506" s="56">
        <v>0</v>
      </c>
      <c r="T506" s="56" t="s">
        <v>3562</v>
      </c>
      <c r="V506" s="56" t="s">
        <v>3561</v>
      </c>
      <c r="W506" s="56" t="s">
        <v>3548</v>
      </c>
      <c r="X506" s="56" t="s">
        <v>39</v>
      </c>
      <c r="Y506" s="56" t="s">
        <v>6066</v>
      </c>
      <c r="Z506" s="56" t="s">
        <v>6065</v>
      </c>
      <c r="AC506" s="56" t="s">
        <v>3543</v>
      </c>
      <c r="AD506" s="56" t="s">
        <v>24</v>
      </c>
      <c r="AE506" s="56" t="s">
        <v>5833</v>
      </c>
      <c r="AF506" s="56" t="s">
        <v>6064</v>
      </c>
      <c r="AH506" s="56" t="s">
        <v>3542</v>
      </c>
      <c r="AI506" s="56" t="s">
        <v>3723</v>
      </c>
    </row>
    <row r="507" spans="1:35" ht="33" customHeight="1">
      <c r="A507" s="56" t="s">
        <v>6069</v>
      </c>
      <c r="B507" s="57">
        <v>44360.017511574071</v>
      </c>
      <c r="C507" s="56" t="s">
        <v>3803</v>
      </c>
      <c r="D507" s="56" t="s">
        <v>3802</v>
      </c>
      <c r="E507" s="56" t="s">
        <v>6068</v>
      </c>
      <c r="F507" s="56" t="s">
        <v>6067</v>
      </c>
      <c r="G507" s="58" t="s">
        <v>1498</v>
      </c>
      <c r="H507" s="56">
        <v>1</v>
      </c>
      <c r="I507" s="56" t="s">
        <v>4016</v>
      </c>
      <c r="J507" s="56">
        <v>0</v>
      </c>
      <c r="K507" s="56">
        <v>0</v>
      </c>
      <c r="P507" s="56">
        <v>0</v>
      </c>
      <c r="S507" s="56">
        <v>0</v>
      </c>
      <c r="T507" s="56" t="s">
        <v>3562</v>
      </c>
      <c r="V507" s="56" t="s">
        <v>3561</v>
      </c>
      <c r="W507" s="56" t="s">
        <v>3548</v>
      </c>
      <c r="X507" s="56" t="s">
        <v>39</v>
      </c>
      <c r="Y507" s="56" t="s">
        <v>6066</v>
      </c>
      <c r="Z507" s="56" t="s">
        <v>6065</v>
      </c>
      <c r="AC507" s="56" t="s">
        <v>3543</v>
      </c>
      <c r="AD507" s="56" t="s">
        <v>24</v>
      </c>
      <c r="AE507" s="56" t="s">
        <v>5833</v>
      </c>
      <c r="AF507" s="56" t="s">
        <v>6064</v>
      </c>
      <c r="AH507" s="56" t="s">
        <v>3542</v>
      </c>
      <c r="AI507" s="56" t="s">
        <v>3723</v>
      </c>
    </row>
    <row r="508" spans="1:35" ht="33" customHeight="1">
      <c r="A508" s="56" t="s">
        <v>6063</v>
      </c>
      <c r="B508" s="57">
        <v>44360.024097222224</v>
      </c>
      <c r="C508" s="56" t="s">
        <v>4512</v>
      </c>
      <c r="D508" s="56" t="s">
        <v>4511</v>
      </c>
      <c r="E508" s="56" t="s">
        <v>6062</v>
      </c>
      <c r="F508" s="56" t="s">
        <v>6061</v>
      </c>
      <c r="G508" s="58" t="s">
        <v>3732</v>
      </c>
      <c r="H508" s="56">
        <v>1</v>
      </c>
      <c r="I508" s="56" t="s">
        <v>3731</v>
      </c>
      <c r="J508" s="56">
        <v>867</v>
      </c>
      <c r="K508" s="56">
        <v>550</v>
      </c>
      <c r="L508" s="56">
        <v>3309</v>
      </c>
      <c r="M508" s="56">
        <v>0</v>
      </c>
      <c r="N508" s="56">
        <v>0</v>
      </c>
      <c r="O508" s="56">
        <v>331</v>
      </c>
      <c r="P508" s="56">
        <v>0</v>
      </c>
      <c r="Q508" s="56">
        <v>2978</v>
      </c>
      <c r="R508" s="56">
        <v>0</v>
      </c>
      <c r="S508" s="56">
        <v>0</v>
      </c>
      <c r="T508" s="56" t="s">
        <v>3562</v>
      </c>
      <c r="U508" s="56">
        <v>2978</v>
      </c>
      <c r="V508" s="56" t="s">
        <v>3549</v>
      </c>
      <c r="W508" s="56" t="s">
        <v>3548</v>
      </c>
      <c r="X508" s="56" t="s">
        <v>3547</v>
      </c>
      <c r="Z508" s="56" t="s">
        <v>3546</v>
      </c>
      <c r="AA508" s="56" t="s">
        <v>6060</v>
      </c>
      <c r="AB508" s="56" t="s">
        <v>6059</v>
      </c>
      <c r="AC508" s="56" t="s">
        <v>3543</v>
      </c>
      <c r="AD508" s="56" t="s">
        <v>24</v>
      </c>
      <c r="AE508" s="56" t="s">
        <v>3862</v>
      </c>
      <c r="AF508" s="56" t="s">
        <v>6058</v>
      </c>
      <c r="AH508" s="56" t="s">
        <v>3542</v>
      </c>
      <c r="AI508" s="56" t="s">
        <v>3723</v>
      </c>
    </row>
    <row r="509" spans="1:35" ht="33" customHeight="1">
      <c r="A509" s="56" t="s">
        <v>6063</v>
      </c>
      <c r="B509" s="57">
        <v>44360.024097222224</v>
      </c>
      <c r="C509" s="56" t="s">
        <v>4512</v>
      </c>
      <c r="D509" s="56" t="s">
        <v>4511</v>
      </c>
      <c r="E509" s="56" t="s">
        <v>6062</v>
      </c>
      <c r="F509" s="56" t="s">
        <v>6061</v>
      </c>
      <c r="G509" s="58" t="s">
        <v>3656</v>
      </c>
      <c r="H509" s="56">
        <v>1</v>
      </c>
      <c r="I509" s="56" t="s">
        <v>3655</v>
      </c>
      <c r="J509" s="56">
        <v>1107</v>
      </c>
      <c r="K509" s="56">
        <v>799</v>
      </c>
      <c r="P509" s="56">
        <v>0</v>
      </c>
      <c r="S509" s="56">
        <v>0</v>
      </c>
      <c r="T509" s="56" t="s">
        <v>3562</v>
      </c>
      <c r="V509" s="56" t="s">
        <v>3549</v>
      </c>
      <c r="W509" s="56" t="s">
        <v>3548</v>
      </c>
      <c r="X509" s="56" t="s">
        <v>3547</v>
      </c>
      <c r="Z509" s="56" t="s">
        <v>3546</v>
      </c>
      <c r="AA509" s="56" t="s">
        <v>6060</v>
      </c>
      <c r="AB509" s="56" t="s">
        <v>6059</v>
      </c>
      <c r="AC509" s="56" t="s">
        <v>3543</v>
      </c>
      <c r="AD509" s="56" t="s">
        <v>24</v>
      </c>
      <c r="AE509" s="56" t="s">
        <v>3862</v>
      </c>
      <c r="AF509" s="56" t="s">
        <v>6058</v>
      </c>
      <c r="AH509" s="56" t="s">
        <v>3542</v>
      </c>
      <c r="AI509" s="56" t="s">
        <v>3723</v>
      </c>
    </row>
    <row r="510" spans="1:35" ht="33" customHeight="1">
      <c r="A510" s="56" t="s">
        <v>6063</v>
      </c>
      <c r="B510" s="57">
        <v>44360.024097222224</v>
      </c>
      <c r="C510" s="56" t="s">
        <v>4512</v>
      </c>
      <c r="D510" s="56" t="s">
        <v>4511</v>
      </c>
      <c r="E510" s="56" t="s">
        <v>6062</v>
      </c>
      <c r="F510" s="56" t="s">
        <v>6061</v>
      </c>
      <c r="G510" s="58" t="s">
        <v>3681</v>
      </c>
      <c r="H510" s="56">
        <v>2</v>
      </c>
      <c r="I510" s="56" t="s">
        <v>3569</v>
      </c>
      <c r="J510" s="56">
        <v>894</v>
      </c>
      <c r="K510" s="56">
        <v>750</v>
      </c>
      <c r="P510" s="56">
        <v>0</v>
      </c>
      <c r="S510" s="56">
        <v>0</v>
      </c>
      <c r="T510" s="56" t="s">
        <v>3562</v>
      </c>
      <c r="V510" s="56" t="s">
        <v>3549</v>
      </c>
      <c r="W510" s="56" t="s">
        <v>3548</v>
      </c>
      <c r="X510" s="56" t="s">
        <v>3547</v>
      </c>
      <c r="Z510" s="56" t="s">
        <v>3546</v>
      </c>
      <c r="AA510" s="56" t="s">
        <v>6060</v>
      </c>
      <c r="AB510" s="56" t="s">
        <v>6059</v>
      </c>
      <c r="AC510" s="56" t="s">
        <v>3543</v>
      </c>
      <c r="AD510" s="56" t="s">
        <v>24</v>
      </c>
      <c r="AE510" s="56" t="s">
        <v>3862</v>
      </c>
      <c r="AF510" s="56" t="s">
        <v>6058</v>
      </c>
      <c r="AH510" s="56" t="s">
        <v>3542</v>
      </c>
      <c r="AI510" s="56" t="s">
        <v>3723</v>
      </c>
    </row>
    <row r="511" spans="1:35" ht="33" customHeight="1">
      <c r="A511" s="56" t="s">
        <v>6063</v>
      </c>
      <c r="B511" s="57">
        <v>44360.024097222224</v>
      </c>
      <c r="C511" s="56" t="s">
        <v>4512</v>
      </c>
      <c r="D511" s="56" t="s">
        <v>4511</v>
      </c>
      <c r="E511" s="56" t="s">
        <v>6062</v>
      </c>
      <c r="F511" s="56" t="s">
        <v>6061</v>
      </c>
      <c r="G511" s="58" t="s">
        <v>5850</v>
      </c>
      <c r="H511" s="56">
        <v>1</v>
      </c>
      <c r="I511" s="56" t="s">
        <v>5335</v>
      </c>
      <c r="J511" s="56">
        <v>547</v>
      </c>
      <c r="K511" s="56">
        <v>460</v>
      </c>
      <c r="P511" s="56">
        <v>0</v>
      </c>
      <c r="S511" s="56">
        <v>0</v>
      </c>
      <c r="T511" s="56" t="s">
        <v>3562</v>
      </c>
      <c r="V511" s="56" t="s">
        <v>3549</v>
      </c>
      <c r="W511" s="56" t="s">
        <v>3548</v>
      </c>
      <c r="X511" s="56" t="s">
        <v>3547</v>
      </c>
      <c r="Z511" s="56" t="s">
        <v>3546</v>
      </c>
      <c r="AA511" s="56" t="s">
        <v>6060</v>
      </c>
      <c r="AB511" s="56" t="s">
        <v>6059</v>
      </c>
      <c r="AC511" s="56" t="s">
        <v>3543</v>
      </c>
      <c r="AD511" s="56" t="s">
        <v>24</v>
      </c>
      <c r="AE511" s="56" t="s">
        <v>3862</v>
      </c>
      <c r="AF511" s="56" t="s">
        <v>6058</v>
      </c>
      <c r="AH511" s="56" t="s">
        <v>3542</v>
      </c>
      <c r="AI511" s="56" t="s">
        <v>3723</v>
      </c>
    </row>
    <row r="512" spans="1:35" ht="33" customHeight="1">
      <c r="A512" s="56" t="s">
        <v>6063</v>
      </c>
      <c r="B512" s="57">
        <v>44360.024097222224</v>
      </c>
      <c r="C512" s="56" t="s">
        <v>4512</v>
      </c>
      <c r="D512" s="56" t="s">
        <v>4511</v>
      </c>
      <c r="E512" s="56" t="s">
        <v>6062</v>
      </c>
      <c r="F512" s="56" t="s">
        <v>6061</v>
      </c>
      <c r="G512" s="58" t="s">
        <v>3551</v>
      </c>
      <c r="H512" s="56">
        <v>1</v>
      </c>
      <c r="I512" s="56" t="s">
        <v>3550</v>
      </c>
      <c r="J512" s="56">
        <v>0</v>
      </c>
      <c r="K512" s="56">
        <v>0</v>
      </c>
      <c r="P512" s="56">
        <v>0</v>
      </c>
      <c r="S512" s="56">
        <v>0</v>
      </c>
      <c r="T512" s="56" t="s">
        <v>3562</v>
      </c>
      <c r="V512" s="56" t="s">
        <v>3549</v>
      </c>
      <c r="W512" s="56" t="s">
        <v>3548</v>
      </c>
      <c r="X512" s="56" t="s">
        <v>3547</v>
      </c>
      <c r="Z512" s="56" t="s">
        <v>3546</v>
      </c>
      <c r="AA512" s="56" t="s">
        <v>6060</v>
      </c>
      <c r="AB512" s="56" t="s">
        <v>6059</v>
      </c>
      <c r="AC512" s="56" t="s">
        <v>3543</v>
      </c>
      <c r="AD512" s="56" t="s">
        <v>24</v>
      </c>
      <c r="AE512" s="56" t="s">
        <v>3862</v>
      </c>
      <c r="AF512" s="56" t="s">
        <v>6058</v>
      </c>
      <c r="AH512" s="56" t="s">
        <v>3542</v>
      </c>
      <c r="AI512" s="56" t="s">
        <v>3723</v>
      </c>
    </row>
    <row r="513" spans="1:35" ht="33" customHeight="1">
      <c r="A513" s="56" t="s">
        <v>6063</v>
      </c>
      <c r="B513" s="57">
        <v>44360.024097222224</v>
      </c>
      <c r="C513" s="56" t="s">
        <v>4512</v>
      </c>
      <c r="D513" s="56" t="s">
        <v>4511</v>
      </c>
      <c r="E513" s="56" t="s">
        <v>6062</v>
      </c>
      <c r="F513" s="56" t="s">
        <v>6061</v>
      </c>
      <c r="G513" s="58" t="s">
        <v>1713</v>
      </c>
      <c r="H513" s="56">
        <v>1</v>
      </c>
      <c r="I513" s="56" t="s">
        <v>3568</v>
      </c>
      <c r="J513" s="56">
        <v>0</v>
      </c>
      <c r="K513" s="56">
        <v>0</v>
      </c>
      <c r="P513" s="56">
        <v>0</v>
      </c>
      <c r="S513" s="56">
        <v>0</v>
      </c>
      <c r="T513" s="56" t="s">
        <v>3562</v>
      </c>
      <c r="V513" s="56" t="s">
        <v>3549</v>
      </c>
      <c r="W513" s="56" t="s">
        <v>3548</v>
      </c>
      <c r="X513" s="56" t="s">
        <v>3547</v>
      </c>
      <c r="Z513" s="56" t="s">
        <v>3546</v>
      </c>
      <c r="AA513" s="56" t="s">
        <v>6060</v>
      </c>
      <c r="AB513" s="56" t="s">
        <v>6059</v>
      </c>
      <c r="AC513" s="56" t="s">
        <v>3543</v>
      </c>
      <c r="AD513" s="56" t="s">
        <v>24</v>
      </c>
      <c r="AE513" s="56" t="s">
        <v>3862</v>
      </c>
      <c r="AF513" s="56" t="s">
        <v>6058</v>
      </c>
      <c r="AH513" s="56" t="s">
        <v>3542</v>
      </c>
      <c r="AI513" s="56" t="s">
        <v>3723</v>
      </c>
    </row>
    <row r="514" spans="1:35" ht="33" customHeight="1">
      <c r="A514" s="56" t="s">
        <v>6063</v>
      </c>
      <c r="B514" s="57">
        <v>44360.024097222224</v>
      </c>
      <c r="C514" s="56" t="s">
        <v>4512</v>
      </c>
      <c r="D514" s="56" t="s">
        <v>4511</v>
      </c>
      <c r="E514" s="56" t="s">
        <v>6062</v>
      </c>
      <c r="F514" s="56" t="s">
        <v>6061</v>
      </c>
      <c r="G514" s="58" t="s">
        <v>1498</v>
      </c>
      <c r="H514" s="56">
        <v>1</v>
      </c>
      <c r="I514" s="56" t="s">
        <v>4016</v>
      </c>
      <c r="J514" s="56">
        <v>0</v>
      </c>
      <c r="K514" s="56">
        <v>0</v>
      </c>
      <c r="P514" s="56">
        <v>0</v>
      </c>
      <c r="S514" s="56">
        <v>0</v>
      </c>
      <c r="T514" s="56" t="s">
        <v>3562</v>
      </c>
      <c r="V514" s="56" t="s">
        <v>3549</v>
      </c>
      <c r="W514" s="56" t="s">
        <v>3548</v>
      </c>
      <c r="X514" s="56" t="s">
        <v>3547</v>
      </c>
      <c r="Z514" s="56" t="s">
        <v>3546</v>
      </c>
      <c r="AA514" s="56" t="s">
        <v>6060</v>
      </c>
      <c r="AB514" s="56" t="s">
        <v>6059</v>
      </c>
      <c r="AC514" s="56" t="s">
        <v>3543</v>
      </c>
      <c r="AD514" s="56" t="s">
        <v>24</v>
      </c>
      <c r="AE514" s="56" t="s">
        <v>3862</v>
      </c>
      <c r="AF514" s="56" t="s">
        <v>6058</v>
      </c>
      <c r="AH514" s="56" t="s">
        <v>3542</v>
      </c>
      <c r="AI514" s="56" t="s">
        <v>3723</v>
      </c>
    </row>
    <row r="515" spans="1:35" ht="33" customHeight="1">
      <c r="A515" s="56" t="s">
        <v>6063</v>
      </c>
      <c r="B515" s="57">
        <v>44360.024097222224</v>
      </c>
      <c r="C515" s="56" t="s">
        <v>4512</v>
      </c>
      <c r="D515" s="56" t="s">
        <v>4511</v>
      </c>
      <c r="E515" s="56" t="s">
        <v>6062</v>
      </c>
      <c r="F515" s="56" t="s">
        <v>6061</v>
      </c>
      <c r="G515" s="58" t="s">
        <v>3564</v>
      </c>
      <c r="H515" s="56">
        <v>1</v>
      </c>
      <c r="I515" s="56" t="s">
        <v>3563</v>
      </c>
      <c r="J515" s="56">
        <v>0</v>
      </c>
      <c r="K515" s="56">
        <v>0</v>
      </c>
      <c r="P515" s="56">
        <v>0</v>
      </c>
      <c r="S515" s="56">
        <v>0</v>
      </c>
      <c r="T515" s="56" t="s">
        <v>3562</v>
      </c>
      <c r="V515" s="56" t="s">
        <v>3549</v>
      </c>
      <c r="W515" s="56" t="s">
        <v>3548</v>
      </c>
      <c r="X515" s="56" t="s">
        <v>3547</v>
      </c>
      <c r="Z515" s="56" t="s">
        <v>3546</v>
      </c>
      <c r="AA515" s="56" t="s">
        <v>6060</v>
      </c>
      <c r="AB515" s="56" t="s">
        <v>6059</v>
      </c>
      <c r="AC515" s="56" t="s">
        <v>3543</v>
      </c>
      <c r="AD515" s="56" t="s">
        <v>24</v>
      </c>
      <c r="AE515" s="56" t="s">
        <v>3862</v>
      </c>
      <c r="AF515" s="56" t="s">
        <v>6058</v>
      </c>
      <c r="AH515" s="56" t="s">
        <v>3542</v>
      </c>
      <c r="AI515" s="56" t="s">
        <v>3723</v>
      </c>
    </row>
    <row r="516" spans="1:35" ht="33" customHeight="1">
      <c r="A516" s="56" t="s">
        <v>6057</v>
      </c>
      <c r="B516" s="57">
        <v>44360.062048611115</v>
      </c>
      <c r="C516" s="56" t="s">
        <v>3803</v>
      </c>
      <c r="D516" s="56" t="s">
        <v>4511</v>
      </c>
      <c r="E516" s="56" t="s">
        <v>6056</v>
      </c>
      <c r="F516" s="56" t="s">
        <v>6055</v>
      </c>
      <c r="G516" s="58" t="s">
        <v>3811</v>
      </c>
      <c r="H516" s="56">
        <v>1</v>
      </c>
      <c r="I516" s="56" t="s">
        <v>3669</v>
      </c>
      <c r="J516" s="56">
        <v>897</v>
      </c>
      <c r="K516" s="56">
        <v>888</v>
      </c>
      <c r="L516" s="56">
        <v>1776</v>
      </c>
      <c r="M516" s="56">
        <v>0</v>
      </c>
      <c r="N516" s="56">
        <v>0</v>
      </c>
      <c r="O516" s="56">
        <v>178</v>
      </c>
      <c r="P516" s="56">
        <v>0</v>
      </c>
      <c r="Q516" s="56">
        <v>1598</v>
      </c>
      <c r="R516" s="56">
        <v>0</v>
      </c>
      <c r="S516" s="56">
        <v>0</v>
      </c>
      <c r="T516" s="56" t="s">
        <v>3562</v>
      </c>
      <c r="U516" s="56">
        <v>1598</v>
      </c>
      <c r="V516" s="56" t="s">
        <v>3561</v>
      </c>
      <c r="W516" s="56" t="s">
        <v>3548</v>
      </c>
      <c r="X516" s="56" t="s">
        <v>3716</v>
      </c>
      <c r="Z516" s="56" t="s">
        <v>3546</v>
      </c>
      <c r="AA516" s="56" t="s">
        <v>4285</v>
      </c>
      <c r="AB516" s="56" t="s">
        <v>4284</v>
      </c>
      <c r="AC516" s="56" t="s">
        <v>3543</v>
      </c>
      <c r="AD516" s="56" t="s">
        <v>24</v>
      </c>
      <c r="AE516" s="56" t="s">
        <v>5833</v>
      </c>
      <c r="AF516" s="56" t="s">
        <v>6054</v>
      </c>
      <c r="AH516" s="56" t="s">
        <v>3542</v>
      </c>
      <c r="AI516" s="56" t="s">
        <v>3723</v>
      </c>
    </row>
    <row r="517" spans="1:35" ht="33" customHeight="1">
      <c r="A517" s="56" t="s">
        <v>6057</v>
      </c>
      <c r="B517" s="57">
        <v>44360.062048611115</v>
      </c>
      <c r="C517" s="56" t="s">
        <v>3803</v>
      </c>
      <c r="D517" s="56" t="s">
        <v>4511</v>
      </c>
      <c r="E517" s="56" t="s">
        <v>6056</v>
      </c>
      <c r="F517" s="56" t="s">
        <v>6055</v>
      </c>
      <c r="G517" s="58" t="s">
        <v>3670</v>
      </c>
      <c r="H517" s="56">
        <v>1</v>
      </c>
      <c r="I517" s="56" t="s">
        <v>3669</v>
      </c>
      <c r="J517" s="56">
        <v>897</v>
      </c>
      <c r="K517" s="56">
        <v>888</v>
      </c>
      <c r="P517" s="56">
        <v>0</v>
      </c>
      <c r="S517" s="56">
        <v>0</v>
      </c>
      <c r="T517" s="56" t="s">
        <v>3562</v>
      </c>
      <c r="V517" s="56" t="s">
        <v>3561</v>
      </c>
      <c r="W517" s="56" t="s">
        <v>3548</v>
      </c>
      <c r="X517" s="56" t="s">
        <v>3716</v>
      </c>
      <c r="Z517" s="56" t="s">
        <v>3546</v>
      </c>
      <c r="AA517" s="56" t="s">
        <v>4285</v>
      </c>
      <c r="AB517" s="56" t="s">
        <v>4284</v>
      </c>
      <c r="AC517" s="56" t="s">
        <v>3543</v>
      </c>
      <c r="AD517" s="56" t="s">
        <v>24</v>
      </c>
      <c r="AE517" s="56" t="s">
        <v>5833</v>
      </c>
      <c r="AF517" s="56" t="s">
        <v>6054</v>
      </c>
      <c r="AH517" s="56" t="s">
        <v>3542</v>
      </c>
      <c r="AI517" s="56" t="s">
        <v>3723</v>
      </c>
    </row>
    <row r="518" spans="1:35" ht="33" customHeight="1">
      <c r="A518" s="56" t="s">
        <v>6057</v>
      </c>
      <c r="B518" s="57">
        <v>44360.062048611115</v>
      </c>
      <c r="C518" s="56" t="s">
        <v>3803</v>
      </c>
      <c r="D518" s="56" t="s">
        <v>4511</v>
      </c>
      <c r="E518" s="56" t="s">
        <v>6056</v>
      </c>
      <c r="F518" s="56" t="s">
        <v>6055</v>
      </c>
      <c r="G518" s="58" t="s">
        <v>3551</v>
      </c>
      <c r="H518" s="56">
        <v>1</v>
      </c>
      <c r="I518" s="56" t="s">
        <v>3550</v>
      </c>
      <c r="J518" s="56">
        <v>0</v>
      </c>
      <c r="K518" s="56">
        <v>0</v>
      </c>
      <c r="P518" s="56">
        <v>0</v>
      </c>
      <c r="S518" s="56">
        <v>0</v>
      </c>
      <c r="T518" s="56" t="s">
        <v>3562</v>
      </c>
      <c r="V518" s="56" t="s">
        <v>3561</v>
      </c>
      <c r="W518" s="56" t="s">
        <v>3548</v>
      </c>
      <c r="X518" s="56" t="s">
        <v>3716</v>
      </c>
      <c r="Z518" s="56" t="s">
        <v>3546</v>
      </c>
      <c r="AA518" s="56" t="s">
        <v>4285</v>
      </c>
      <c r="AB518" s="56" t="s">
        <v>4284</v>
      </c>
      <c r="AC518" s="56" t="s">
        <v>3543</v>
      </c>
      <c r="AD518" s="56" t="s">
        <v>24</v>
      </c>
      <c r="AE518" s="56" t="s">
        <v>5833</v>
      </c>
      <c r="AF518" s="56" t="s">
        <v>6054</v>
      </c>
      <c r="AH518" s="56" t="s">
        <v>3542</v>
      </c>
      <c r="AI518" s="56" t="s">
        <v>3723</v>
      </c>
    </row>
    <row r="519" spans="1:35" ht="33" customHeight="1">
      <c r="A519" s="56" t="s">
        <v>6057</v>
      </c>
      <c r="B519" s="57">
        <v>44360.062048611115</v>
      </c>
      <c r="C519" s="56" t="s">
        <v>3803</v>
      </c>
      <c r="D519" s="56" t="s">
        <v>4511</v>
      </c>
      <c r="E519" s="56" t="s">
        <v>6056</v>
      </c>
      <c r="F519" s="56" t="s">
        <v>6055</v>
      </c>
      <c r="G519" s="58" t="s">
        <v>1713</v>
      </c>
      <c r="H519" s="56">
        <v>1</v>
      </c>
      <c r="I519" s="56" t="s">
        <v>3568</v>
      </c>
      <c r="J519" s="56">
        <v>0</v>
      </c>
      <c r="K519" s="56">
        <v>0</v>
      </c>
      <c r="P519" s="56">
        <v>0</v>
      </c>
      <c r="S519" s="56">
        <v>0</v>
      </c>
      <c r="T519" s="56" t="s">
        <v>3562</v>
      </c>
      <c r="V519" s="56" t="s">
        <v>3561</v>
      </c>
      <c r="W519" s="56" t="s">
        <v>3548</v>
      </c>
      <c r="X519" s="56" t="s">
        <v>3716</v>
      </c>
      <c r="Z519" s="56" t="s">
        <v>3546</v>
      </c>
      <c r="AA519" s="56" t="s">
        <v>4285</v>
      </c>
      <c r="AB519" s="56" t="s">
        <v>4284</v>
      </c>
      <c r="AC519" s="56" t="s">
        <v>3543</v>
      </c>
      <c r="AD519" s="56" t="s">
        <v>24</v>
      </c>
      <c r="AE519" s="56" t="s">
        <v>5833</v>
      </c>
      <c r="AF519" s="56" t="s">
        <v>6054</v>
      </c>
      <c r="AH519" s="56" t="s">
        <v>3542</v>
      </c>
      <c r="AI519" s="56" t="s">
        <v>3723</v>
      </c>
    </row>
    <row r="520" spans="1:35" ht="33" customHeight="1">
      <c r="A520" s="56" t="s">
        <v>6057</v>
      </c>
      <c r="B520" s="57">
        <v>44360.062048611115</v>
      </c>
      <c r="C520" s="56" t="s">
        <v>3803</v>
      </c>
      <c r="D520" s="56" t="s">
        <v>4511</v>
      </c>
      <c r="E520" s="56" t="s">
        <v>6056</v>
      </c>
      <c r="F520" s="56" t="s">
        <v>6055</v>
      </c>
      <c r="G520" s="58" t="s">
        <v>1498</v>
      </c>
      <c r="H520" s="56">
        <v>1</v>
      </c>
      <c r="I520" s="56" t="s">
        <v>4016</v>
      </c>
      <c r="J520" s="56">
        <v>0</v>
      </c>
      <c r="K520" s="56">
        <v>0</v>
      </c>
      <c r="P520" s="56">
        <v>0</v>
      </c>
      <c r="S520" s="56">
        <v>0</v>
      </c>
      <c r="T520" s="56" t="s">
        <v>3562</v>
      </c>
      <c r="V520" s="56" t="s">
        <v>3561</v>
      </c>
      <c r="W520" s="56" t="s">
        <v>3548</v>
      </c>
      <c r="X520" s="56" t="s">
        <v>3716</v>
      </c>
      <c r="Z520" s="56" t="s">
        <v>3546</v>
      </c>
      <c r="AA520" s="56" t="s">
        <v>4285</v>
      </c>
      <c r="AB520" s="56" t="s">
        <v>4284</v>
      </c>
      <c r="AC520" s="56" t="s">
        <v>3543</v>
      </c>
      <c r="AD520" s="56" t="s">
        <v>24</v>
      </c>
      <c r="AE520" s="56" t="s">
        <v>5833</v>
      </c>
      <c r="AF520" s="56" t="s">
        <v>6054</v>
      </c>
      <c r="AH520" s="56" t="s">
        <v>3542</v>
      </c>
      <c r="AI520" s="56" t="s">
        <v>3723</v>
      </c>
    </row>
    <row r="521" spans="1:35" ht="33" customHeight="1">
      <c r="A521" s="56" t="s">
        <v>6053</v>
      </c>
      <c r="B521" s="57">
        <v>44360.340312499997</v>
      </c>
      <c r="C521" s="56" t="s">
        <v>3803</v>
      </c>
      <c r="D521" s="56" t="s">
        <v>3802</v>
      </c>
      <c r="E521" s="56" t="s">
        <v>6052</v>
      </c>
      <c r="F521" s="56" t="s">
        <v>6051</v>
      </c>
      <c r="G521" s="58" t="s">
        <v>3196</v>
      </c>
      <c r="H521" s="56">
        <v>2</v>
      </c>
      <c r="I521" s="56" t="s">
        <v>2550</v>
      </c>
      <c r="J521" s="56">
        <v>120</v>
      </c>
      <c r="K521" s="56">
        <v>120</v>
      </c>
      <c r="L521" s="56">
        <v>1119</v>
      </c>
      <c r="M521" s="56">
        <v>0</v>
      </c>
      <c r="N521" s="56">
        <v>0</v>
      </c>
      <c r="O521" s="56">
        <v>100</v>
      </c>
      <c r="P521" s="56">
        <v>0</v>
      </c>
      <c r="Q521" s="56">
        <v>1019</v>
      </c>
      <c r="R521" s="56">
        <v>0</v>
      </c>
      <c r="S521" s="56">
        <v>0</v>
      </c>
      <c r="T521" s="56" t="s">
        <v>3562</v>
      </c>
      <c r="U521" s="56">
        <v>1019</v>
      </c>
      <c r="V521" s="56" t="s">
        <v>3561</v>
      </c>
      <c r="W521" s="56" t="s">
        <v>3548</v>
      </c>
      <c r="X521" s="56" t="s">
        <v>39</v>
      </c>
      <c r="Y521" s="56" t="s">
        <v>3844</v>
      </c>
      <c r="Z521" s="56" t="s">
        <v>6050</v>
      </c>
      <c r="AC521" s="56" t="s">
        <v>3543</v>
      </c>
      <c r="AD521" s="56" t="s">
        <v>24</v>
      </c>
      <c r="AE521" s="56" t="s">
        <v>5833</v>
      </c>
      <c r="AF521" s="56" t="s">
        <v>6049</v>
      </c>
      <c r="AH521" s="56" t="s">
        <v>3542</v>
      </c>
      <c r="AI521" s="56" t="s">
        <v>3723</v>
      </c>
    </row>
    <row r="522" spans="1:35" ht="33" customHeight="1">
      <c r="A522" s="56" t="s">
        <v>6053</v>
      </c>
      <c r="B522" s="57">
        <v>44360.340312499997</v>
      </c>
      <c r="C522" s="56" t="s">
        <v>3803</v>
      </c>
      <c r="D522" s="56" t="s">
        <v>3802</v>
      </c>
      <c r="E522" s="56" t="s">
        <v>6052</v>
      </c>
      <c r="F522" s="56" t="s">
        <v>6051</v>
      </c>
      <c r="G522" s="58" t="s">
        <v>1493</v>
      </c>
      <c r="H522" s="56">
        <v>1</v>
      </c>
      <c r="I522" s="56" t="s">
        <v>3601</v>
      </c>
      <c r="J522" s="56">
        <v>135</v>
      </c>
      <c r="K522" s="56">
        <v>135</v>
      </c>
      <c r="P522" s="56">
        <v>0</v>
      </c>
      <c r="S522" s="56">
        <v>0</v>
      </c>
      <c r="T522" s="56" t="s">
        <v>3562</v>
      </c>
      <c r="V522" s="56" t="s">
        <v>3561</v>
      </c>
      <c r="W522" s="56" t="s">
        <v>3548</v>
      </c>
      <c r="X522" s="56" t="s">
        <v>39</v>
      </c>
      <c r="Y522" s="56" t="s">
        <v>3844</v>
      </c>
      <c r="Z522" s="56" t="s">
        <v>6050</v>
      </c>
      <c r="AC522" s="56" t="s">
        <v>3543</v>
      </c>
      <c r="AD522" s="56" t="s">
        <v>24</v>
      </c>
      <c r="AE522" s="56" t="s">
        <v>5833</v>
      </c>
      <c r="AF522" s="56" t="s">
        <v>6049</v>
      </c>
      <c r="AH522" s="56" t="s">
        <v>3542</v>
      </c>
      <c r="AI522" s="56" t="s">
        <v>3723</v>
      </c>
    </row>
    <row r="523" spans="1:35" ht="33" customHeight="1">
      <c r="A523" s="56" t="s">
        <v>6053</v>
      </c>
      <c r="B523" s="57">
        <v>44360.340312499997</v>
      </c>
      <c r="C523" s="56" t="s">
        <v>3803</v>
      </c>
      <c r="D523" s="56" t="s">
        <v>3802</v>
      </c>
      <c r="E523" s="56" t="s">
        <v>6052</v>
      </c>
      <c r="F523" s="56" t="s">
        <v>6051</v>
      </c>
      <c r="G523" s="58" t="s">
        <v>5850</v>
      </c>
      <c r="H523" s="56">
        <v>1</v>
      </c>
      <c r="I523" s="56" t="s">
        <v>5335</v>
      </c>
      <c r="J523" s="56">
        <v>547</v>
      </c>
      <c r="K523" s="56">
        <v>460</v>
      </c>
      <c r="P523" s="56">
        <v>0</v>
      </c>
      <c r="S523" s="56">
        <v>0</v>
      </c>
      <c r="T523" s="56" t="s">
        <v>3562</v>
      </c>
      <c r="V523" s="56" t="s">
        <v>3561</v>
      </c>
      <c r="W523" s="56" t="s">
        <v>3548</v>
      </c>
      <c r="X523" s="56" t="s">
        <v>39</v>
      </c>
      <c r="Y523" s="56" t="s">
        <v>3844</v>
      </c>
      <c r="Z523" s="56" t="s">
        <v>6050</v>
      </c>
      <c r="AC523" s="56" t="s">
        <v>3543</v>
      </c>
      <c r="AD523" s="56" t="s">
        <v>24</v>
      </c>
      <c r="AE523" s="56" t="s">
        <v>5833</v>
      </c>
      <c r="AF523" s="56" t="s">
        <v>6049</v>
      </c>
      <c r="AH523" s="56" t="s">
        <v>3542</v>
      </c>
      <c r="AI523" s="56" t="s">
        <v>3723</v>
      </c>
    </row>
    <row r="524" spans="1:35" ht="33" customHeight="1">
      <c r="A524" s="56" t="s">
        <v>6053</v>
      </c>
      <c r="B524" s="57">
        <v>44360.340312499997</v>
      </c>
      <c r="C524" s="56" t="s">
        <v>3803</v>
      </c>
      <c r="D524" s="56" t="s">
        <v>3802</v>
      </c>
      <c r="E524" s="56" t="s">
        <v>6052</v>
      </c>
      <c r="F524" s="56" t="s">
        <v>6051</v>
      </c>
      <c r="G524" s="58" t="s">
        <v>3187</v>
      </c>
      <c r="H524" s="56">
        <v>1</v>
      </c>
      <c r="I524" s="56" t="s">
        <v>3761</v>
      </c>
      <c r="J524" s="56">
        <v>149</v>
      </c>
      <c r="K524" s="56">
        <v>149</v>
      </c>
      <c r="P524" s="56">
        <v>0</v>
      </c>
      <c r="S524" s="56">
        <v>0</v>
      </c>
      <c r="T524" s="56" t="s">
        <v>3562</v>
      </c>
      <c r="V524" s="56" t="s">
        <v>3561</v>
      </c>
      <c r="W524" s="56" t="s">
        <v>3548</v>
      </c>
      <c r="X524" s="56" t="s">
        <v>39</v>
      </c>
      <c r="Y524" s="56" t="s">
        <v>3844</v>
      </c>
      <c r="Z524" s="56" t="s">
        <v>6050</v>
      </c>
      <c r="AC524" s="56" t="s">
        <v>3543</v>
      </c>
      <c r="AD524" s="56" t="s">
        <v>24</v>
      </c>
      <c r="AE524" s="56" t="s">
        <v>5833</v>
      </c>
      <c r="AF524" s="56" t="s">
        <v>6049</v>
      </c>
      <c r="AH524" s="56" t="s">
        <v>3542</v>
      </c>
      <c r="AI524" s="56" t="s">
        <v>3723</v>
      </c>
    </row>
    <row r="525" spans="1:35" ht="33" customHeight="1">
      <c r="A525" s="56" t="s">
        <v>6053</v>
      </c>
      <c r="B525" s="57">
        <v>44360.340312499997</v>
      </c>
      <c r="C525" s="56" t="s">
        <v>3803</v>
      </c>
      <c r="D525" s="56" t="s">
        <v>3802</v>
      </c>
      <c r="E525" s="56" t="s">
        <v>6052</v>
      </c>
      <c r="F525" s="56" t="s">
        <v>6051</v>
      </c>
      <c r="G525" s="58" t="s">
        <v>1493</v>
      </c>
      <c r="H525" s="56">
        <v>1</v>
      </c>
      <c r="I525" s="56" t="s">
        <v>3601</v>
      </c>
      <c r="J525" s="56">
        <v>135</v>
      </c>
      <c r="K525" s="56">
        <v>135</v>
      </c>
      <c r="P525" s="56">
        <v>0</v>
      </c>
      <c r="S525" s="56">
        <v>0</v>
      </c>
      <c r="T525" s="56" t="s">
        <v>3562</v>
      </c>
      <c r="V525" s="56" t="s">
        <v>3561</v>
      </c>
      <c r="W525" s="56" t="s">
        <v>3548</v>
      </c>
      <c r="X525" s="56" t="s">
        <v>39</v>
      </c>
      <c r="Y525" s="56" t="s">
        <v>3844</v>
      </c>
      <c r="Z525" s="56" t="s">
        <v>6050</v>
      </c>
      <c r="AC525" s="56" t="s">
        <v>3543</v>
      </c>
      <c r="AD525" s="56" t="s">
        <v>24</v>
      </c>
      <c r="AE525" s="56" t="s">
        <v>5833</v>
      </c>
      <c r="AF525" s="56" t="s">
        <v>6049</v>
      </c>
      <c r="AH525" s="56" t="s">
        <v>3542</v>
      </c>
      <c r="AI525" s="56" t="s">
        <v>3723</v>
      </c>
    </row>
    <row r="526" spans="1:35" ht="33" customHeight="1">
      <c r="A526" s="56" t="s">
        <v>6053</v>
      </c>
      <c r="B526" s="57">
        <v>44360.340312499997</v>
      </c>
      <c r="C526" s="56" t="s">
        <v>3803</v>
      </c>
      <c r="D526" s="56" t="s">
        <v>3802</v>
      </c>
      <c r="E526" s="56" t="s">
        <v>6052</v>
      </c>
      <c r="F526" s="56" t="s">
        <v>6051</v>
      </c>
      <c r="G526" s="58" t="s">
        <v>3551</v>
      </c>
      <c r="H526" s="56">
        <v>1</v>
      </c>
      <c r="I526" s="56" t="s">
        <v>3550</v>
      </c>
      <c r="J526" s="56">
        <v>0</v>
      </c>
      <c r="K526" s="56">
        <v>0</v>
      </c>
      <c r="P526" s="56">
        <v>0</v>
      </c>
      <c r="S526" s="56">
        <v>0</v>
      </c>
      <c r="T526" s="56" t="s">
        <v>3562</v>
      </c>
      <c r="V526" s="56" t="s">
        <v>3561</v>
      </c>
      <c r="W526" s="56" t="s">
        <v>3548</v>
      </c>
      <c r="X526" s="56" t="s">
        <v>39</v>
      </c>
      <c r="Y526" s="56" t="s">
        <v>3844</v>
      </c>
      <c r="Z526" s="56" t="s">
        <v>6050</v>
      </c>
      <c r="AC526" s="56" t="s">
        <v>3543</v>
      </c>
      <c r="AD526" s="56" t="s">
        <v>24</v>
      </c>
      <c r="AE526" s="56" t="s">
        <v>5833</v>
      </c>
      <c r="AF526" s="56" t="s">
        <v>6049</v>
      </c>
      <c r="AH526" s="56" t="s">
        <v>3542</v>
      </c>
      <c r="AI526" s="56" t="s">
        <v>3723</v>
      </c>
    </row>
    <row r="527" spans="1:35" ht="33" customHeight="1">
      <c r="A527" s="56" t="s">
        <v>6053</v>
      </c>
      <c r="B527" s="57">
        <v>44360.340312499997</v>
      </c>
      <c r="C527" s="56" t="s">
        <v>3803</v>
      </c>
      <c r="D527" s="56" t="s">
        <v>3802</v>
      </c>
      <c r="E527" s="56" t="s">
        <v>6052</v>
      </c>
      <c r="F527" s="56" t="s">
        <v>6051</v>
      </c>
      <c r="G527" s="58" t="s">
        <v>1498</v>
      </c>
      <c r="H527" s="56">
        <v>1</v>
      </c>
      <c r="I527" s="56" t="s">
        <v>4016</v>
      </c>
      <c r="J527" s="56">
        <v>0</v>
      </c>
      <c r="K527" s="56">
        <v>0</v>
      </c>
      <c r="P527" s="56">
        <v>0</v>
      </c>
      <c r="S527" s="56">
        <v>0</v>
      </c>
      <c r="T527" s="56" t="s">
        <v>3562</v>
      </c>
      <c r="V527" s="56" t="s">
        <v>3561</v>
      </c>
      <c r="W527" s="56" t="s">
        <v>3548</v>
      </c>
      <c r="X527" s="56" t="s">
        <v>39</v>
      </c>
      <c r="Y527" s="56" t="s">
        <v>3844</v>
      </c>
      <c r="Z527" s="56" t="s">
        <v>6050</v>
      </c>
      <c r="AC527" s="56" t="s">
        <v>3543</v>
      </c>
      <c r="AD527" s="56" t="s">
        <v>24</v>
      </c>
      <c r="AE527" s="56" t="s">
        <v>5833</v>
      </c>
      <c r="AF527" s="56" t="s">
        <v>6049</v>
      </c>
      <c r="AH527" s="56" t="s">
        <v>3542</v>
      </c>
      <c r="AI527" s="56" t="s">
        <v>3723</v>
      </c>
    </row>
    <row r="528" spans="1:35" ht="33" customHeight="1">
      <c r="A528" s="56" t="s">
        <v>6047</v>
      </c>
      <c r="B528" s="57">
        <v>44360.340740740743</v>
      </c>
      <c r="C528" s="56" t="s">
        <v>3803</v>
      </c>
      <c r="D528" s="56" t="s">
        <v>3802</v>
      </c>
      <c r="E528" s="56" t="s">
        <v>6046</v>
      </c>
      <c r="F528" s="56" t="s">
        <v>6045</v>
      </c>
      <c r="G528" s="58" t="s">
        <v>6048</v>
      </c>
      <c r="H528" s="56">
        <v>2</v>
      </c>
      <c r="I528" s="56" t="s">
        <v>3848</v>
      </c>
      <c r="J528" s="56">
        <v>1396</v>
      </c>
      <c r="K528" s="56">
        <v>1320</v>
      </c>
      <c r="L528" s="56">
        <v>2640</v>
      </c>
      <c r="M528" s="56">
        <v>0</v>
      </c>
      <c r="N528" s="56">
        <v>0</v>
      </c>
      <c r="O528" s="56">
        <v>100</v>
      </c>
      <c r="P528" s="56">
        <v>0</v>
      </c>
      <c r="Q528" s="56">
        <v>2540</v>
      </c>
      <c r="R528" s="56">
        <v>0</v>
      </c>
      <c r="S528" s="56">
        <v>0</v>
      </c>
      <c r="T528" s="56" t="s">
        <v>3562</v>
      </c>
      <c r="U528" s="56">
        <v>2540</v>
      </c>
      <c r="V528" s="56" t="s">
        <v>3561</v>
      </c>
      <c r="W528" s="56" t="s">
        <v>3548</v>
      </c>
      <c r="X528" s="56" t="s">
        <v>39</v>
      </c>
      <c r="Y528" s="56" t="s">
        <v>6044</v>
      </c>
      <c r="Z528" s="56" t="s">
        <v>6043</v>
      </c>
      <c r="AC528" s="56" t="s">
        <v>3543</v>
      </c>
      <c r="AD528" s="56" t="s">
        <v>24</v>
      </c>
      <c r="AE528" s="56" t="s">
        <v>5833</v>
      </c>
      <c r="AF528" s="56" t="s">
        <v>6042</v>
      </c>
      <c r="AH528" s="56" t="s">
        <v>3542</v>
      </c>
      <c r="AI528" s="56" t="s">
        <v>3723</v>
      </c>
    </row>
    <row r="529" spans="1:35" ht="33" customHeight="1">
      <c r="A529" s="56" t="s">
        <v>6047</v>
      </c>
      <c r="B529" s="57">
        <v>44360.340740740743</v>
      </c>
      <c r="C529" s="56" t="s">
        <v>3803</v>
      </c>
      <c r="D529" s="56" t="s">
        <v>3802</v>
      </c>
      <c r="E529" s="56" t="s">
        <v>6046</v>
      </c>
      <c r="F529" s="56" t="s">
        <v>6045</v>
      </c>
      <c r="G529" s="58" t="s">
        <v>3551</v>
      </c>
      <c r="H529" s="56">
        <v>1</v>
      </c>
      <c r="I529" s="56" t="s">
        <v>3550</v>
      </c>
      <c r="J529" s="56">
        <v>0</v>
      </c>
      <c r="K529" s="56">
        <v>0</v>
      </c>
      <c r="P529" s="56">
        <v>0</v>
      </c>
      <c r="S529" s="56">
        <v>0</v>
      </c>
      <c r="T529" s="56" t="s">
        <v>3562</v>
      </c>
      <c r="V529" s="56" t="s">
        <v>3561</v>
      </c>
      <c r="W529" s="56" t="s">
        <v>3548</v>
      </c>
      <c r="X529" s="56" t="s">
        <v>39</v>
      </c>
      <c r="Y529" s="56" t="s">
        <v>6044</v>
      </c>
      <c r="Z529" s="56" t="s">
        <v>6043</v>
      </c>
      <c r="AC529" s="56" t="s">
        <v>3543</v>
      </c>
      <c r="AD529" s="56" t="s">
        <v>24</v>
      </c>
      <c r="AE529" s="56" t="s">
        <v>5833</v>
      </c>
      <c r="AF529" s="56" t="s">
        <v>6042</v>
      </c>
      <c r="AH529" s="56" t="s">
        <v>3542</v>
      </c>
      <c r="AI529" s="56" t="s">
        <v>3723</v>
      </c>
    </row>
    <row r="530" spans="1:35" ht="33" customHeight="1">
      <c r="A530" s="56" t="s">
        <v>6047</v>
      </c>
      <c r="B530" s="57">
        <v>44360.340740740743</v>
      </c>
      <c r="C530" s="56" t="s">
        <v>3803</v>
      </c>
      <c r="D530" s="56" t="s">
        <v>3802</v>
      </c>
      <c r="E530" s="56" t="s">
        <v>6046</v>
      </c>
      <c r="F530" s="56" t="s">
        <v>6045</v>
      </c>
      <c r="G530" s="58" t="s">
        <v>1713</v>
      </c>
      <c r="H530" s="56">
        <v>1</v>
      </c>
      <c r="I530" s="56" t="s">
        <v>3568</v>
      </c>
      <c r="J530" s="56">
        <v>0</v>
      </c>
      <c r="K530" s="56">
        <v>0</v>
      </c>
      <c r="P530" s="56">
        <v>0</v>
      </c>
      <c r="S530" s="56">
        <v>0</v>
      </c>
      <c r="T530" s="56" t="s">
        <v>3562</v>
      </c>
      <c r="V530" s="56" t="s">
        <v>3561</v>
      </c>
      <c r="W530" s="56" t="s">
        <v>3548</v>
      </c>
      <c r="X530" s="56" t="s">
        <v>39</v>
      </c>
      <c r="Y530" s="56" t="s">
        <v>6044</v>
      </c>
      <c r="Z530" s="56" t="s">
        <v>6043</v>
      </c>
      <c r="AC530" s="56" t="s">
        <v>3543</v>
      </c>
      <c r="AD530" s="56" t="s">
        <v>24</v>
      </c>
      <c r="AE530" s="56" t="s">
        <v>5833</v>
      </c>
      <c r="AF530" s="56" t="s">
        <v>6042</v>
      </c>
      <c r="AH530" s="56" t="s">
        <v>3542</v>
      </c>
      <c r="AI530" s="56" t="s">
        <v>3723</v>
      </c>
    </row>
    <row r="531" spans="1:35" ht="33" customHeight="1">
      <c r="A531" s="56" t="s">
        <v>6047</v>
      </c>
      <c r="B531" s="57">
        <v>44360.340740740743</v>
      </c>
      <c r="C531" s="56" t="s">
        <v>3803</v>
      </c>
      <c r="D531" s="56" t="s">
        <v>3802</v>
      </c>
      <c r="E531" s="56" t="s">
        <v>6046</v>
      </c>
      <c r="F531" s="56" t="s">
        <v>6045</v>
      </c>
      <c r="G531" s="58" t="s">
        <v>1498</v>
      </c>
      <c r="H531" s="56">
        <v>1</v>
      </c>
      <c r="I531" s="56" t="s">
        <v>4016</v>
      </c>
      <c r="J531" s="56">
        <v>0</v>
      </c>
      <c r="K531" s="56">
        <v>0</v>
      </c>
      <c r="P531" s="56">
        <v>0</v>
      </c>
      <c r="S531" s="56">
        <v>0</v>
      </c>
      <c r="T531" s="56" t="s">
        <v>3562</v>
      </c>
      <c r="V531" s="56" t="s">
        <v>3561</v>
      </c>
      <c r="W531" s="56" t="s">
        <v>3548</v>
      </c>
      <c r="X531" s="56" t="s">
        <v>39</v>
      </c>
      <c r="Y531" s="56" t="s">
        <v>6044</v>
      </c>
      <c r="Z531" s="56" t="s">
        <v>6043</v>
      </c>
      <c r="AC531" s="56" t="s">
        <v>3543</v>
      </c>
      <c r="AD531" s="56" t="s">
        <v>24</v>
      </c>
      <c r="AE531" s="56" t="s">
        <v>5833</v>
      </c>
      <c r="AF531" s="56" t="s">
        <v>6042</v>
      </c>
      <c r="AH531" s="56" t="s">
        <v>3542</v>
      </c>
      <c r="AI531" s="56" t="s">
        <v>3723</v>
      </c>
    </row>
    <row r="532" spans="1:35" ht="33" customHeight="1">
      <c r="A532" s="56" t="s">
        <v>6047</v>
      </c>
      <c r="B532" s="57">
        <v>44360.340740740743</v>
      </c>
      <c r="C532" s="56" t="s">
        <v>3803</v>
      </c>
      <c r="D532" s="56" t="s">
        <v>3802</v>
      </c>
      <c r="E532" s="56" t="s">
        <v>6046</v>
      </c>
      <c r="F532" s="56" t="s">
        <v>6045</v>
      </c>
      <c r="G532" s="58" t="s">
        <v>3564</v>
      </c>
      <c r="H532" s="56">
        <v>1</v>
      </c>
      <c r="I532" s="56" t="s">
        <v>3563</v>
      </c>
      <c r="J532" s="56">
        <v>0</v>
      </c>
      <c r="K532" s="56">
        <v>0</v>
      </c>
      <c r="P532" s="56">
        <v>0</v>
      </c>
      <c r="S532" s="56">
        <v>0</v>
      </c>
      <c r="T532" s="56" t="s">
        <v>3562</v>
      </c>
      <c r="V532" s="56" t="s">
        <v>3561</v>
      </c>
      <c r="W532" s="56" t="s">
        <v>3548</v>
      </c>
      <c r="X532" s="56" t="s">
        <v>39</v>
      </c>
      <c r="Y532" s="56" t="s">
        <v>6044</v>
      </c>
      <c r="Z532" s="56" t="s">
        <v>6043</v>
      </c>
      <c r="AC532" s="56" t="s">
        <v>3543</v>
      </c>
      <c r="AD532" s="56" t="s">
        <v>24</v>
      </c>
      <c r="AE532" s="56" t="s">
        <v>5833</v>
      </c>
      <c r="AF532" s="56" t="s">
        <v>6042</v>
      </c>
      <c r="AH532" s="56" t="s">
        <v>3542</v>
      </c>
      <c r="AI532" s="56" t="s">
        <v>3723</v>
      </c>
    </row>
    <row r="533" spans="1:35" ht="33" customHeight="1">
      <c r="A533" s="56" t="s">
        <v>6041</v>
      </c>
      <c r="B533" s="57">
        <v>44360.36309027778</v>
      </c>
      <c r="C533" s="56" t="s">
        <v>4512</v>
      </c>
      <c r="D533" s="56" t="s">
        <v>4511</v>
      </c>
      <c r="E533" s="56" t="s">
        <v>6040</v>
      </c>
      <c r="F533" s="56" t="s">
        <v>6039</v>
      </c>
      <c r="G533" s="58" t="s">
        <v>3681</v>
      </c>
      <c r="H533" s="56">
        <v>1</v>
      </c>
      <c r="I533" s="56" t="s">
        <v>3569</v>
      </c>
      <c r="J533" s="56">
        <v>894</v>
      </c>
      <c r="K533" s="56">
        <v>750</v>
      </c>
      <c r="L533" s="56">
        <v>1337</v>
      </c>
      <c r="M533" s="56">
        <v>0</v>
      </c>
      <c r="N533" s="56">
        <v>0</v>
      </c>
      <c r="O533" s="56">
        <v>100</v>
      </c>
      <c r="P533" s="56">
        <v>0</v>
      </c>
      <c r="Q533" s="56">
        <v>1237</v>
      </c>
      <c r="R533" s="56">
        <v>0</v>
      </c>
      <c r="S533" s="56">
        <v>0</v>
      </c>
      <c r="T533" s="56" t="s">
        <v>3562</v>
      </c>
      <c r="U533" s="56">
        <v>1237</v>
      </c>
      <c r="V533" s="56" t="s">
        <v>3612</v>
      </c>
      <c r="W533" s="56" t="s">
        <v>3548</v>
      </c>
      <c r="X533" s="56" t="s">
        <v>3611</v>
      </c>
      <c r="Z533" s="56" t="s">
        <v>3546</v>
      </c>
      <c r="AA533" s="56" t="s">
        <v>6038</v>
      </c>
      <c r="AB533" s="56" t="s">
        <v>6037</v>
      </c>
      <c r="AC533" s="56" t="s">
        <v>3543</v>
      </c>
      <c r="AD533" s="56" t="s">
        <v>24</v>
      </c>
      <c r="AE533" s="56" t="s">
        <v>5127</v>
      </c>
      <c r="AF533" s="56" t="s">
        <v>6036</v>
      </c>
      <c r="AH533" s="56" t="s">
        <v>3542</v>
      </c>
      <c r="AI533" s="56" t="s">
        <v>3723</v>
      </c>
    </row>
    <row r="534" spans="1:35" ht="33" customHeight="1">
      <c r="A534" s="56" t="s">
        <v>6041</v>
      </c>
      <c r="B534" s="57">
        <v>44360.36309027778</v>
      </c>
      <c r="C534" s="56" t="s">
        <v>4512</v>
      </c>
      <c r="D534" s="56" t="s">
        <v>4511</v>
      </c>
      <c r="E534" s="56" t="s">
        <v>6040</v>
      </c>
      <c r="F534" s="56" t="s">
        <v>6039</v>
      </c>
      <c r="G534" s="58" t="s">
        <v>1493</v>
      </c>
      <c r="H534" s="56">
        <v>1</v>
      </c>
      <c r="I534" s="56" t="s">
        <v>3601</v>
      </c>
      <c r="J534" s="56">
        <v>135</v>
      </c>
      <c r="K534" s="56">
        <v>135</v>
      </c>
      <c r="P534" s="56">
        <v>0</v>
      </c>
      <c r="S534" s="56">
        <v>0</v>
      </c>
      <c r="T534" s="56" t="s">
        <v>3562</v>
      </c>
      <c r="V534" s="56" t="s">
        <v>3612</v>
      </c>
      <c r="W534" s="56" t="s">
        <v>3548</v>
      </c>
      <c r="X534" s="56" t="s">
        <v>3611</v>
      </c>
      <c r="Z534" s="56" t="s">
        <v>3546</v>
      </c>
      <c r="AA534" s="56" t="s">
        <v>6038</v>
      </c>
      <c r="AB534" s="56" t="s">
        <v>6037</v>
      </c>
      <c r="AC534" s="56" t="s">
        <v>3543</v>
      </c>
      <c r="AD534" s="56" t="s">
        <v>24</v>
      </c>
      <c r="AE534" s="56" t="s">
        <v>5127</v>
      </c>
      <c r="AF534" s="56" t="s">
        <v>6036</v>
      </c>
      <c r="AH534" s="56" t="s">
        <v>3542</v>
      </c>
      <c r="AI534" s="56" t="s">
        <v>3723</v>
      </c>
    </row>
    <row r="535" spans="1:35" ht="33" customHeight="1">
      <c r="A535" s="56" t="s">
        <v>6041</v>
      </c>
      <c r="B535" s="57">
        <v>44360.36309027778</v>
      </c>
      <c r="C535" s="56" t="s">
        <v>4512</v>
      </c>
      <c r="D535" s="56" t="s">
        <v>4511</v>
      </c>
      <c r="E535" s="56" t="s">
        <v>6040</v>
      </c>
      <c r="F535" s="56" t="s">
        <v>6039</v>
      </c>
      <c r="G535" s="58" t="s">
        <v>2156</v>
      </c>
      <c r="H535" s="56">
        <v>1</v>
      </c>
      <c r="I535" s="56" t="s">
        <v>1376</v>
      </c>
      <c r="J535" s="56">
        <v>149</v>
      </c>
      <c r="K535" s="56">
        <v>149</v>
      </c>
      <c r="P535" s="56">
        <v>0</v>
      </c>
      <c r="S535" s="56">
        <v>0</v>
      </c>
      <c r="T535" s="56" t="s">
        <v>3562</v>
      </c>
      <c r="V535" s="56" t="s">
        <v>3612</v>
      </c>
      <c r="W535" s="56" t="s">
        <v>3548</v>
      </c>
      <c r="X535" s="56" t="s">
        <v>3611</v>
      </c>
      <c r="Z535" s="56" t="s">
        <v>3546</v>
      </c>
      <c r="AA535" s="56" t="s">
        <v>6038</v>
      </c>
      <c r="AB535" s="56" t="s">
        <v>6037</v>
      </c>
      <c r="AC535" s="56" t="s">
        <v>3543</v>
      </c>
      <c r="AD535" s="56" t="s">
        <v>24</v>
      </c>
      <c r="AE535" s="56" t="s">
        <v>5127</v>
      </c>
      <c r="AF535" s="56" t="s">
        <v>6036</v>
      </c>
      <c r="AH535" s="56" t="s">
        <v>3542</v>
      </c>
      <c r="AI535" s="56" t="s">
        <v>3723</v>
      </c>
    </row>
    <row r="536" spans="1:35" ht="33" customHeight="1">
      <c r="A536" s="56" t="s">
        <v>6041</v>
      </c>
      <c r="B536" s="57">
        <v>44360.36309027778</v>
      </c>
      <c r="C536" s="56" t="s">
        <v>4512</v>
      </c>
      <c r="D536" s="56" t="s">
        <v>4511</v>
      </c>
      <c r="E536" s="56" t="s">
        <v>6040</v>
      </c>
      <c r="F536" s="56" t="s">
        <v>6039</v>
      </c>
      <c r="G536" s="58" t="s">
        <v>1517</v>
      </c>
      <c r="H536" s="56">
        <v>1</v>
      </c>
      <c r="I536" s="56" t="s">
        <v>3740</v>
      </c>
      <c r="J536" s="56">
        <v>220</v>
      </c>
      <c r="K536" s="56">
        <v>168</v>
      </c>
      <c r="P536" s="56">
        <v>0</v>
      </c>
      <c r="S536" s="56">
        <v>0</v>
      </c>
      <c r="T536" s="56" t="s">
        <v>3562</v>
      </c>
      <c r="V536" s="56" t="s">
        <v>3612</v>
      </c>
      <c r="W536" s="56" t="s">
        <v>3548</v>
      </c>
      <c r="X536" s="56" t="s">
        <v>3611</v>
      </c>
      <c r="Z536" s="56" t="s">
        <v>3546</v>
      </c>
      <c r="AA536" s="56" t="s">
        <v>6038</v>
      </c>
      <c r="AB536" s="56" t="s">
        <v>6037</v>
      </c>
      <c r="AC536" s="56" t="s">
        <v>3543</v>
      </c>
      <c r="AD536" s="56" t="s">
        <v>24</v>
      </c>
      <c r="AE536" s="56" t="s">
        <v>5127</v>
      </c>
      <c r="AF536" s="56" t="s">
        <v>6036</v>
      </c>
      <c r="AH536" s="56" t="s">
        <v>3542</v>
      </c>
      <c r="AI536" s="56" t="s">
        <v>3723</v>
      </c>
    </row>
    <row r="537" spans="1:35" ht="33" customHeight="1">
      <c r="A537" s="56" t="s">
        <v>6041</v>
      </c>
      <c r="B537" s="57">
        <v>44360.36309027778</v>
      </c>
      <c r="C537" s="56" t="s">
        <v>4512</v>
      </c>
      <c r="D537" s="56" t="s">
        <v>4511</v>
      </c>
      <c r="E537" s="56" t="s">
        <v>6040</v>
      </c>
      <c r="F537" s="56" t="s">
        <v>6039</v>
      </c>
      <c r="G537" s="58" t="s">
        <v>1491</v>
      </c>
      <c r="H537" s="56">
        <v>1</v>
      </c>
      <c r="I537" s="56" t="s">
        <v>3771</v>
      </c>
      <c r="J537" s="56">
        <v>135</v>
      </c>
      <c r="K537" s="56">
        <v>135</v>
      </c>
      <c r="P537" s="56">
        <v>0</v>
      </c>
      <c r="S537" s="56">
        <v>0</v>
      </c>
      <c r="T537" s="56" t="s">
        <v>3562</v>
      </c>
      <c r="V537" s="56" t="s">
        <v>3612</v>
      </c>
      <c r="W537" s="56" t="s">
        <v>3548</v>
      </c>
      <c r="X537" s="56" t="s">
        <v>3611</v>
      </c>
      <c r="Z537" s="56" t="s">
        <v>3546</v>
      </c>
      <c r="AA537" s="56" t="s">
        <v>6038</v>
      </c>
      <c r="AB537" s="56" t="s">
        <v>6037</v>
      </c>
      <c r="AC537" s="56" t="s">
        <v>3543</v>
      </c>
      <c r="AD537" s="56" t="s">
        <v>24</v>
      </c>
      <c r="AE537" s="56" t="s">
        <v>5127</v>
      </c>
      <c r="AF537" s="56" t="s">
        <v>6036</v>
      </c>
      <c r="AH537" s="56" t="s">
        <v>3542</v>
      </c>
      <c r="AI537" s="56" t="s">
        <v>3723</v>
      </c>
    </row>
    <row r="538" spans="1:35" ht="33" customHeight="1">
      <c r="A538" s="56" t="s">
        <v>6041</v>
      </c>
      <c r="B538" s="57">
        <v>44360.36309027778</v>
      </c>
      <c r="C538" s="56" t="s">
        <v>4512</v>
      </c>
      <c r="D538" s="56" t="s">
        <v>4511</v>
      </c>
      <c r="E538" s="56" t="s">
        <v>6040</v>
      </c>
      <c r="F538" s="56" t="s">
        <v>6039</v>
      </c>
      <c r="G538" s="58" t="s">
        <v>3551</v>
      </c>
      <c r="H538" s="56">
        <v>1</v>
      </c>
      <c r="I538" s="56" t="s">
        <v>3550</v>
      </c>
      <c r="J538" s="56">
        <v>0</v>
      </c>
      <c r="K538" s="56">
        <v>0</v>
      </c>
      <c r="P538" s="56">
        <v>0</v>
      </c>
      <c r="S538" s="56">
        <v>0</v>
      </c>
      <c r="T538" s="56" t="s">
        <v>3562</v>
      </c>
      <c r="V538" s="56" t="s">
        <v>3612</v>
      </c>
      <c r="W538" s="56" t="s">
        <v>3548</v>
      </c>
      <c r="X538" s="56" t="s">
        <v>3611</v>
      </c>
      <c r="Z538" s="56" t="s">
        <v>3546</v>
      </c>
      <c r="AA538" s="56" t="s">
        <v>6038</v>
      </c>
      <c r="AB538" s="56" t="s">
        <v>6037</v>
      </c>
      <c r="AC538" s="56" t="s">
        <v>3543</v>
      </c>
      <c r="AD538" s="56" t="s">
        <v>24</v>
      </c>
      <c r="AE538" s="56" t="s">
        <v>5127</v>
      </c>
      <c r="AF538" s="56" t="s">
        <v>6036</v>
      </c>
      <c r="AH538" s="56" t="s">
        <v>3542</v>
      </c>
      <c r="AI538" s="56" t="s">
        <v>3723</v>
      </c>
    </row>
    <row r="539" spans="1:35" ht="33" customHeight="1">
      <c r="A539" s="56" t="s">
        <v>6041</v>
      </c>
      <c r="B539" s="57">
        <v>44360.36309027778</v>
      </c>
      <c r="C539" s="56" t="s">
        <v>4512</v>
      </c>
      <c r="D539" s="56" t="s">
        <v>4511</v>
      </c>
      <c r="E539" s="56" t="s">
        <v>6040</v>
      </c>
      <c r="F539" s="56" t="s">
        <v>6039</v>
      </c>
      <c r="G539" s="58" t="s">
        <v>1498</v>
      </c>
      <c r="H539" s="56">
        <v>1</v>
      </c>
      <c r="I539" s="56" t="s">
        <v>4016</v>
      </c>
      <c r="J539" s="56">
        <v>0</v>
      </c>
      <c r="K539" s="56">
        <v>0</v>
      </c>
      <c r="P539" s="56">
        <v>0</v>
      </c>
      <c r="S539" s="56">
        <v>0</v>
      </c>
      <c r="T539" s="56" t="s">
        <v>3562</v>
      </c>
      <c r="V539" s="56" t="s">
        <v>3612</v>
      </c>
      <c r="W539" s="56" t="s">
        <v>3548</v>
      </c>
      <c r="X539" s="56" t="s">
        <v>3611</v>
      </c>
      <c r="Z539" s="56" t="s">
        <v>3546</v>
      </c>
      <c r="AA539" s="56" t="s">
        <v>6038</v>
      </c>
      <c r="AB539" s="56" t="s">
        <v>6037</v>
      </c>
      <c r="AC539" s="56" t="s">
        <v>3543</v>
      </c>
      <c r="AD539" s="56" t="s">
        <v>24</v>
      </c>
      <c r="AE539" s="56" t="s">
        <v>5127</v>
      </c>
      <c r="AF539" s="56" t="s">
        <v>6036</v>
      </c>
      <c r="AH539" s="56" t="s">
        <v>3542</v>
      </c>
      <c r="AI539" s="56" t="s">
        <v>3723</v>
      </c>
    </row>
    <row r="540" spans="1:35" ht="33" customHeight="1">
      <c r="A540" s="56" t="s">
        <v>6035</v>
      </c>
      <c r="B540" s="57">
        <v>44360.364583333336</v>
      </c>
      <c r="C540" s="56" t="s">
        <v>3803</v>
      </c>
      <c r="D540" s="56" t="s">
        <v>3802</v>
      </c>
      <c r="E540" s="56" t="s">
        <v>6034</v>
      </c>
      <c r="F540" s="56" t="s">
        <v>6033</v>
      </c>
      <c r="G540" s="58" t="s">
        <v>3656</v>
      </c>
      <c r="H540" s="56">
        <v>1</v>
      </c>
      <c r="I540" s="56" t="s">
        <v>3655</v>
      </c>
      <c r="J540" s="56">
        <v>1107</v>
      </c>
      <c r="K540" s="56">
        <v>799</v>
      </c>
      <c r="L540" s="56">
        <v>1828</v>
      </c>
      <c r="M540" s="56">
        <v>0</v>
      </c>
      <c r="N540" s="56">
        <v>0</v>
      </c>
      <c r="O540" s="56">
        <v>183</v>
      </c>
      <c r="P540" s="56">
        <v>0</v>
      </c>
      <c r="Q540" s="56">
        <v>1645</v>
      </c>
      <c r="R540" s="56">
        <v>0</v>
      </c>
      <c r="S540" s="56">
        <v>0</v>
      </c>
      <c r="T540" s="56" t="s">
        <v>3562</v>
      </c>
      <c r="U540" s="56">
        <v>1645</v>
      </c>
      <c r="V540" s="56" t="s">
        <v>3561</v>
      </c>
      <c r="W540" s="56" t="s">
        <v>3548</v>
      </c>
      <c r="X540" s="56" t="s">
        <v>39</v>
      </c>
      <c r="Y540" s="56" t="s">
        <v>3597</v>
      </c>
      <c r="Z540" s="56" t="s">
        <v>6032</v>
      </c>
      <c r="AC540" s="56" t="s">
        <v>3543</v>
      </c>
      <c r="AD540" s="56" t="s">
        <v>24</v>
      </c>
      <c r="AE540" s="56" t="s">
        <v>5833</v>
      </c>
      <c r="AF540" s="56" t="s">
        <v>6031</v>
      </c>
      <c r="AH540" s="56" t="s">
        <v>3542</v>
      </c>
      <c r="AI540" s="56" t="s">
        <v>3723</v>
      </c>
    </row>
    <row r="541" spans="1:35" ht="33" customHeight="1">
      <c r="A541" s="56" t="s">
        <v>6035</v>
      </c>
      <c r="B541" s="57">
        <v>44360.364583333336</v>
      </c>
      <c r="C541" s="56" t="s">
        <v>3803</v>
      </c>
      <c r="D541" s="56" t="s">
        <v>3802</v>
      </c>
      <c r="E541" s="56" t="s">
        <v>6034</v>
      </c>
      <c r="F541" s="56" t="s">
        <v>6033</v>
      </c>
      <c r="G541" s="58" t="s">
        <v>3593</v>
      </c>
      <c r="H541" s="56">
        <v>1</v>
      </c>
      <c r="I541" s="56" t="s">
        <v>3577</v>
      </c>
      <c r="J541" s="56">
        <v>700</v>
      </c>
      <c r="K541" s="56">
        <v>599</v>
      </c>
      <c r="P541" s="56">
        <v>0</v>
      </c>
      <c r="S541" s="56">
        <v>0</v>
      </c>
      <c r="T541" s="56" t="s">
        <v>3562</v>
      </c>
      <c r="V541" s="56" t="s">
        <v>3561</v>
      </c>
      <c r="W541" s="56" t="s">
        <v>3548</v>
      </c>
      <c r="X541" s="56" t="s">
        <v>39</v>
      </c>
      <c r="Y541" s="56" t="s">
        <v>3597</v>
      </c>
      <c r="Z541" s="56" t="s">
        <v>6032</v>
      </c>
      <c r="AC541" s="56" t="s">
        <v>3543</v>
      </c>
      <c r="AD541" s="56" t="s">
        <v>24</v>
      </c>
      <c r="AE541" s="56" t="s">
        <v>5833</v>
      </c>
      <c r="AF541" s="56" t="s">
        <v>6031</v>
      </c>
      <c r="AH541" s="56" t="s">
        <v>3542</v>
      </c>
      <c r="AI541" s="56" t="s">
        <v>3723</v>
      </c>
    </row>
    <row r="542" spans="1:35" ht="33" customHeight="1">
      <c r="A542" s="56" t="s">
        <v>6035</v>
      </c>
      <c r="B542" s="57">
        <v>44360.364583333336</v>
      </c>
      <c r="C542" s="56" t="s">
        <v>3803</v>
      </c>
      <c r="D542" s="56" t="s">
        <v>3802</v>
      </c>
      <c r="E542" s="56" t="s">
        <v>6034</v>
      </c>
      <c r="F542" s="56" t="s">
        <v>6033</v>
      </c>
      <c r="G542" s="58" t="s">
        <v>3654</v>
      </c>
      <c r="H542" s="56">
        <v>1</v>
      </c>
      <c r="I542" s="56" t="s">
        <v>3653</v>
      </c>
      <c r="J542" s="56">
        <v>447</v>
      </c>
      <c r="K542" s="56">
        <v>430</v>
      </c>
      <c r="P542" s="56">
        <v>0</v>
      </c>
      <c r="S542" s="56">
        <v>0</v>
      </c>
      <c r="T542" s="56" t="s">
        <v>3562</v>
      </c>
      <c r="V542" s="56" t="s">
        <v>3561</v>
      </c>
      <c r="W542" s="56" t="s">
        <v>3548</v>
      </c>
      <c r="X542" s="56" t="s">
        <v>39</v>
      </c>
      <c r="Y542" s="56" t="s">
        <v>3597</v>
      </c>
      <c r="Z542" s="56" t="s">
        <v>6032</v>
      </c>
      <c r="AC542" s="56" t="s">
        <v>3543</v>
      </c>
      <c r="AD542" s="56" t="s">
        <v>24</v>
      </c>
      <c r="AE542" s="56" t="s">
        <v>5833</v>
      </c>
      <c r="AF542" s="56" t="s">
        <v>6031</v>
      </c>
      <c r="AH542" s="56" t="s">
        <v>3542</v>
      </c>
      <c r="AI542" s="56" t="s">
        <v>3723</v>
      </c>
    </row>
    <row r="543" spans="1:35" ht="33" customHeight="1">
      <c r="A543" s="56" t="s">
        <v>6035</v>
      </c>
      <c r="B543" s="57">
        <v>44360.364583333336</v>
      </c>
      <c r="C543" s="56" t="s">
        <v>3803</v>
      </c>
      <c r="D543" s="56" t="s">
        <v>3802</v>
      </c>
      <c r="E543" s="56" t="s">
        <v>6034</v>
      </c>
      <c r="F543" s="56" t="s">
        <v>6033</v>
      </c>
      <c r="G543" s="58" t="s">
        <v>3551</v>
      </c>
      <c r="H543" s="56">
        <v>1</v>
      </c>
      <c r="I543" s="56" t="s">
        <v>3550</v>
      </c>
      <c r="J543" s="56">
        <v>0</v>
      </c>
      <c r="K543" s="56">
        <v>0</v>
      </c>
      <c r="P543" s="56">
        <v>0</v>
      </c>
      <c r="S543" s="56">
        <v>0</v>
      </c>
      <c r="T543" s="56" t="s">
        <v>3562</v>
      </c>
      <c r="V543" s="56" t="s">
        <v>3561</v>
      </c>
      <c r="W543" s="56" t="s">
        <v>3548</v>
      </c>
      <c r="X543" s="56" t="s">
        <v>39</v>
      </c>
      <c r="Y543" s="56" t="s">
        <v>3597</v>
      </c>
      <c r="Z543" s="56" t="s">
        <v>6032</v>
      </c>
      <c r="AC543" s="56" t="s">
        <v>3543</v>
      </c>
      <c r="AD543" s="56" t="s">
        <v>24</v>
      </c>
      <c r="AE543" s="56" t="s">
        <v>5833</v>
      </c>
      <c r="AF543" s="56" t="s">
        <v>6031</v>
      </c>
      <c r="AH543" s="56" t="s">
        <v>3542</v>
      </c>
      <c r="AI543" s="56" t="s">
        <v>3723</v>
      </c>
    </row>
    <row r="544" spans="1:35" ht="33" customHeight="1">
      <c r="A544" s="56" t="s">
        <v>6035</v>
      </c>
      <c r="B544" s="57">
        <v>44360.364583333336</v>
      </c>
      <c r="C544" s="56" t="s">
        <v>3803</v>
      </c>
      <c r="D544" s="56" t="s">
        <v>3802</v>
      </c>
      <c r="E544" s="56" t="s">
        <v>6034</v>
      </c>
      <c r="F544" s="56" t="s">
        <v>6033</v>
      </c>
      <c r="G544" s="58" t="s">
        <v>1713</v>
      </c>
      <c r="H544" s="56">
        <v>1</v>
      </c>
      <c r="I544" s="56" t="s">
        <v>3568</v>
      </c>
      <c r="J544" s="56">
        <v>0</v>
      </c>
      <c r="K544" s="56">
        <v>0</v>
      </c>
      <c r="P544" s="56">
        <v>0</v>
      </c>
      <c r="S544" s="56">
        <v>0</v>
      </c>
      <c r="T544" s="56" t="s">
        <v>3562</v>
      </c>
      <c r="V544" s="56" t="s">
        <v>3561</v>
      </c>
      <c r="W544" s="56" t="s">
        <v>3548</v>
      </c>
      <c r="X544" s="56" t="s">
        <v>39</v>
      </c>
      <c r="Y544" s="56" t="s">
        <v>3597</v>
      </c>
      <c r="Z544" s="56" t="s">
        <v>6032</v>
      </c>
      <c r="AC544" s="56" t="s">
        <v>3543</v>
      </c>
      <c r="AD544" s="56" t="s">
        <v>24</v>
      </c>
      <c r="AE544" s="56" t="s">
        <v>5833</v>
      </c>
      <c r="AF544" s="56" t="s">
        <v>6031</v>
      </c>
      <c r="AH544" s="56" t="s">
        <v>3542</v>
      </c>
      <c r="AI544" s="56" t="s">
        <v>3723</v>
      </c>
    </row>
    <row r="545" spans="1:35" ht="33" customHeight="1">
      <c r="A545" s="56" t="s">
        <v>6035</v>
      </c>
      <c r="B545" s="57">
        <v>44360.364583333336</v>
      </c>
      <c r="C545" s="56" t="s">
        <v>3803</v>
      </c>
      <c r="D545" s="56" t="s">
        <v>3802</v>
      </c>
      <c r="E545" s="56" t="s">
        <v>6034</v>
      </c>
      <c r="F545" s="56" t="s">
        <v>6033</v>
      </c>
      <c r="G545" s="58" t="s">
        <v>1498</v>
      </c>
      <c r="H545" s="56">
        <v>1</v>
      </c>
      <c r="I545" s="56" t="s">
        <v>4016</v>
      </c>
      <c r="J545" s="56">
        <v>0</v>
      </c>
      <c r="K545" s="56">
        <v>0</v>
      </c>
      <c r="P545" s="56">
        <v>0</v>
      </c>
      <c r="S545" s="56">
        <v>0</v>
      </c>
      <c r="T545" s="56" t="s">
        <v>3562</v>
      </c>
      <c r="V545" s="56" t="s">
        <v>3561</v>
      </c>
      <c r="W545" s="56" t="s">
        <v>3548</v>
      </c>
      <c r="X545" s="56" t="s">
        <v>39</v>
      </c>
      <c r="Y545" s="56" t="s">
        <v>3597</v>
      </c>
      <c r="Z545" s="56" t="s">
        <v>6032</v>
      </c>
      <c r="AC545" s="56" t="s">
        <v>3543</v>
      </c>
      <c r="AD545" s="56" t="s">
        <v>24</v>
      </c>
      <c r="AE545" s="56" t="s">
        <v>5833</v>
      </c>
      <c r="AF545" s="56" t="s">
        <v>6031</v>
      </c>
      <c r="AH545" s="56" t="s">
        <v>3542</v>
      </c>
      <c r="AI545" s="56" t="s">
        <v>3723</v>
      </c>
    </row>
    <row r="546" spans="1:35" ht="33" customHeight="1">
      <c r="A546" s="56" t="s">
        <v>6030</v>
      </c>
      <c r="B546" s="57">
        <v>44360.437071759261</v>
      </c>
      <c r="C546" s="56" t="s">
        <v>3803</v>
      </c>
      <c r="D546" s="56" t="s">
        <v>3802</v>
      </c>
      <c r="E546" s="56" t="s">
        <v>6029</v>
      </c>
      <c r="F546" s="56" t="s">
        <v>6028</v>
      </c>
      <c r="G546" s="58" t="s">
        <v>3171</v>
      </c>
      <c r="H546" s="56">
        <v>4</v>
      </c>
      <c r="I546" s="56" t="s">
        <v>3695</v>
      </c>
      <c r="J546" s="56">
        <v>399</v>
      </c>
      <c r="K546" s="56">
        <v>399</v>
      </c>
      <c r="L546" s="56">
        <v>1596</v>
      </c>
      <c r="M546" s="56">
        <v>0</v>
      </c>
      <c r="N546" s="56">
        <v>0</v>
      </c>
      <c r="O546" s="56">
        <v>100</v>
      </c>
      <c r="P546" s="56">
        <v>0</v>
      </c>
      <c r="Q546" s="56">
        <v>1496</v>
      </c>
      <c r="R546" s="56">
        <v>0</v>
      </c>
      <c r="S546" s="56">
        <v>0</v>
      </c>
      <c r="T546" s="56" t="s">
        <v>3562</v>
      </c>
      <c r="U546" s="56">
        <v>1496</v>
      </c>
      <c r="V546" s="56" t="s">
        <v>59</v>
      </c>
      <c r="W546" s="56" t="s">
        <v>3548</v>
      </c>
      <c r="X546" s="56" t="s">
        <v>39</v>
      </c>
      <c r="Y546" s="56" t="s">
        <v>3629</v>
      </c>
      <c r="Z546" s="56" t="s">
        <v>6027</v>
      </c>
      <c r="AC546" s="56" t="s">
        <v>3543</v>
      </c>
      <c r="AD546" s="56" t="s">
        <v>24</v>
      </c>
      <c r="AE546" s="56" t="s">
        <v>5833</v>
      </c>
      <c r="AF546" s="56" t="s">
        <v>6026</v>
      </c>
      <c r="AH546" s="56" t="s">
        <v>3542</v>
      </c>
      <c r="AI546" s="56" t="s">
        <v>3723</v>
      </c>
    </row>
    <row r="547" spans="1:35" ht="33" customHeight="1">
      <c r="A547" s="56" t="s">
        <v>6030</v>
      </c>
      <c r="B547" s="57">
        <v>44360.437071759261</v>
      </c>
      <c r="C547" s="56" t="s">
        <v>3803</v>
      </c>
      <c r="D547" s="56" t="s">
        <v>3802</v>
      </c>
      <c r="E547" s="56" t="s">
        <v>6029</v>
      </c>
      <c r="F547" s="56" t="s">
        <v>6028</v>
      </c>
      <c r="G547" s="58" t="s">
        <v>3551</v>
      </c>
      <c r="H547" s="56">
        <v>1</v>
      </c>
      <c r="I547" s="56" t="s">
        <v>3550</v>
      </c>
      <c r="J547" s="56">
        <v>0</v>
      </c>
      <c r="K547" s="56">
        <v>0</v>
      </c>
      <c r="P547" s="56">
        <v>0</v>
      </c>
      <c r="S547" s="56">
        <v>0</v>
      </c>
      <c r="T547" s="56" t="s">
        <v>3562</v>
      </c>
      <c r="V547" s="56" t="s">
        <v>59</v>
      </c>
      <c r="W547" s="56" t="s">
        <v>3548</v>
      </c>
      <c r="X547" s="56" t="s">
        <v>39</v>
      </c>
      <c r="Y547" s="56" t="s">
        <v>3629</v>
      </c>
      <c r="Z547" s="56" t="s">
        <v>6027</v>
      </c>
      <c r="AC547" s="56" t="s">
        <v>3543</v>
      </c>
      <c r="AD547" s="56" t="s">
        <v>24</v>
      </c>
      <c r="AE547" s="56" t="s">
        <v>5833</v>
      </c>
      <c r="AF547" s="56" t="s">
        <v>6026</v>
      </c>
      <c r="AH547" s="56" t="s">
        <v>3542</v>
      </c>
      <c r="AI547" s="56" t="s">
        <v>3723</v>
      </c>
    </row>
    <row r="548" spans="1:35" ht="33" customHeight="1">
      <c r="A548" s="56" t="s">
        <v>6030</v>
      </c>
      <c r="B548" s="57">
        <v>44360.437071759261</v>
      </c>
      <c r="C548" s="56" t="s">
        <v>3803</v>
      </c>
      <c r="D548" s="56" t="s">
        <v>3802</v>
      </c>
      <c r="E548" s="56" t="s">
        <v>6029</v>
      </c>
      <c r="F548" s="56" t="s">
        <v>6028</v>
      </c>
      <c r="G548" s="58" t="s">
        <v>1713</v>
      </c>
      <c r="H548" s="56">
        <v>1</v>
      </c>
      <c r="I548" s="56" t="s">
        <v>3568</v>
      </c>
      <c r="J548" s="56">
        <v>0</v>
      </c>
      <c r="K548" s="56">
        <v>0</v>
      </c>
      <c r="P548" s="56">
        <v>0</v>
      </c>
      <c r="S548" s="56">
        <v>0</v>
      </c>
      <c r="T548" s="56" t="s">
        <v>3562</v>
      </c>
      <c r="V548" s="56" t="s">
        <v>59</v>
      </c>
      <c r="W548" s="56" t="s">
        <v>3548</v>
      </c>
      <c r="X548" s="56" t="s">
        <v>39</v>
      </c>
      <c r="Y548" s="56" t="s">
        <v>3629</v>
      </c>
      <c r="Z548" s="56" t="s">
        <v>6027</v>
      </c>
      <c r="AC548" s="56" t="s">
        <v>3543</v>
      </c>
      <c r="AD548" s="56" t="s">
        <v>24</v>
      </c>
      <c r="AE548" s="56" t="s">
        <v>5833</v>
      </c>
      <c r="AF548" s="56" t="s">
        <v>6026</v>
      </c>
      <c r="AH548" s="56" t="s">
        <v>3542</v>
      </c>
      <c r="AI548" s="56" t="s">
        <v>3723</v>
      </c>
    </row>
    <row r="549" spans="1:35" ht="33" customHeight="1">
      <c r="A549" s="56" t="s">
        <v>6030</v>
      </c>
      <c r="B549" s="57">
        <v>44360.437071759261</v>
      </c>
      <c r="C549" s="56" t="s">
        <v>3803</v>
      </c>
      <c r="D549" s="56" t="s">
        <v>3802</v>
      </c>
      <c r="E549" s="56" t="s">
        <v>6029</v>
      </c>
      <c r="F549" s="56" t="s">
        <v>6028</v>
      </c>
      <c r="G549" s="58" t="s">
        <v>1498</v>
      </c>
      <c r="H549" s="56">
        <v>1</v>
      </c>
      <c r="I549" s="56" t="s">
        <v>4016</v>
      </c>
      <c r="J549" s="56">
        <v>0</v>
      </c>
      <c r="K549" s="56">
        <v>0</v>
      </c>
      <c r="P549" s="56">
        <v>0</v>
      </c>
      <c r="S549" s="56">
        <v>0</v>
      </c>
      <c r="T549" s="56" t="s">
        <v>3562</v>
      </c>
      <c r="V549" s="56" t="s">
        <v>59</v>
      </c>
      <c r="W549" s="56" t="s">
        <v>3548</v>
      </c>
      <c r="X549" s="56" t="s">
        <v>39</v>
      </c>
      <c r="Y549" s="56" t="s">
        <v>3629</v>
      </c>
      <c r="Z549" s="56" t="s">
        <v>6027</v>
      </c>
      <c r="AC549" s="56" t="s">
        <v>3543</v>
      </c>
      <c r="AD549" s="56" t="s">
        <v>24</v>
      </c>
      <c r="AE549" s="56" t="s">
        <v>5833</v>
      </c>
      <c r="AF549" s="56" t="s">
        <v>6026</v>
      </c>
      <c r="AH549" s="56" t="s">
        <v>3542</v>
      </c>
      <c r="AI549" s="56" t="s">
        <v>3723</v>
      </c>
    </row>
    <row r="550" spans="1:35" ht="33" customHeight="1">
      <c r="A550" s="56" t="s">
        <v>6025</v>
      </c>
      <c r="B550" s="57">
        <v>44360.456099537034</v>
      </c>
      <c r="C550" s="56" t="s">
        <v>4512</v>
      </c>
      <c r="D550" s="56" t="s">
        <v>4511</v>
      </c>
      <c r="E550" s="56" t="s">
        <v>6024</v>
      </c>
      <c r="F550" s="56" t="s">
        <v>6023</v>
      </c>
      <c r="G550" s="58" t="s">
        <v>3732</v>
      </c>
      <c r="H550" s="56">
        <v>1</v>
      </c>
      <c r="I550" s="56" t="s">
        <v>3731</v>
      </c>
      <c r="J550" s="56">
        <v>867</v>
      </c>
      <c r="K550" s="56">
        <v>550</v>
      </c>
      <c r="L550" s="56">
        <v>550</v>
      </c>
      <c r="M550" s="56">
        <v>65</v>
      </c>
      <c r="N550" s="56">
        <v>0</v>
      </c>
      <c r="O550" s="56">
        <v>0</v>
      </c>
      <c r="P550" s="56">
        <v>0</v>
      </c>
      <c r="Q550" s="56">
        <v>615</v>
      </c>
      <c r="R550" s="56">
        <v>0</v>
      </c>
      <c r="S550" s="56">
        <v>0</v>
      </c>
      <c r="T550" s="56" t="s">
        <v>3562</v>
      </c>
      <c r="U550" s="56">
        <v>615</v>
      </c>
      <c r="V550" s="56" t="s">
        <v>3612</v>
      </c>
      <c r="W550" s="56" t="s">
        <v>3548</v>
      </c>
      <c r="X550" s="56" t="s">
        <v>3611</v>
      </c>
      <c r="Z550" s="56" t="s">
        <v>3546</v>
      </c>
      <c r="AA550" s="56" t="s">
        <v>6022</v>
      </c>
      <c r="AB550" s="56" t="s">
        <v>6021</v>
      </c>
      <c r="AC550" s="56" t="s">
        <v>3543</v>
      </c>
      <c r="AD550" s="56" t="s">
        <v>24</v>
      </c>
      <c r="AE550" s="56" t="s">
        <v>4530</v>
      </c>
      <c r="AF550" s="56" t="s">
        <v>6020</v>
      </c>
      <c r="AH550" s="56" t="s">
        <v>3542</v>
      </c>
      <c r="AI550" s="56" t="s">
        <v>3723</v>
      </c>
    </row>
    <row r="551" spans="1:35" ht="33" customHeight="1">
      <c r="A551" s="56" t="s">
        <v>6025</v>
      </c>
      <c r="B551" s="57">
        <v>44360.456099537034</v>
      </c>
      <c r="C551" s="56" t="s">
        <v>4512</v>
      </c>
      <c r="D551" s="56" t="s">
        <v>4511</v>
      </c>
      <c r="E551" s="56" t="s">
        <v>6024</v>
      </c>
      <c r="F551" s="56" t="s">
        <v>6023</v>
      </c>
      <c r="G551" s="58" t="s">
        <v>3551</v>
      </c>
      <c r="H551" s="56">
        <v>1</v>
      </c>
      <c r="I551" s="56" t="s">
        <v>3550</v>
      </c>
      <c r="J551" s="56">
        <v>0</v>
      </c>
      <c r="K551" s="56">
        <v>0</v>
      </c>
      <c r="P551" s="56">
        <v>0</v>
      </c>
      <c r="S551" s="56">
        <v>0</v>
      </c>
      <c r="T551" s="56" t="s">
        <v>3562</v>
      </c>
      <c r="V551" s="56" t="s">
        <v>3612</v>
      </c>
      <c r="W551" s="56" t="s">
        <v>3548</v>
      </c>
      <c r="X551" s="56" t="s">
        <v>3611</v>
      </c>
      <c r="Z551" s="56" t="s">
        <v>3546</v>
      </c>
      <c r="AA551" s="56" t="s">
        <v>6022</v>
      </c>
      <c r="AB551" s="56" t="s">
        <v>6021</v>
      </c>
      <c r="AC551" s="56" t="s">
        <v>3543</v>
      </c>
      <c r="AD551" s="56" t="s">
        <v>24</v>
      </c>
      <c r="AE551" s="56" t="s">
        <v>4530</v>
      </c>
      <c r="AF551" s="56" t="s">
        <v>6020</v>
      </c>
      <c r="AH551" s="56" t="s">
        <v>3542</v>
      </c>
      <c r="AI551" s="56" t="s">
        <v>3723</v>
      </c>
    </row>
    <row r="552" spans="1:35" ht="33" customHeight="1">
      <c r="A552" s="56" t="s">
        <v>6019</v>
      </c>
      <c r="B552" s="57">
        <v>44360.456377314818</v>
      </c>
      <c r="C552" s="56" t="s">
        <v>3803</v>
      </c>
      <c r="D552" s="56" t="s">
        <v>3802</v>
      </c>
      <c r="E552" s="56" t="s">
        <v>6018</v>
      </c>
      <c r="F552" s="56" t="s">
        <v>6017</v>
      </c>
      <c r="G552" s="58" t="s">
        <v>3593</v>
      </c>
      <c r="H552" s="56">
        <v>1</v>
      </c>
      <c r="I552" s="56" t="s">
        <v>3577</v>
      </c>
      <c r="J552" s="56">
        <v>700</v>
      </c>
      <c r="K552" s="56">
        <v>599</v>
      </c>
      <c r="L552" s="56">
        <v>2421</v>
      </c>
      <c r="M552" s="56">
        <v>0</v>
      </c>
      <c r="N552" s="56">
        <v>0</v>
      </c>
      <c r="O552" s="56">
        <v>100</v>
      </c>
      <c r="P552" s="56">
        <v>0</v>
      </c>
      <c r="Q552" s="56">
        <v>2321</v>
      </c>
      <c r="R552" s="56">
        <v>0</v>
      </c>
      <c r="S552" s="56">
        <v>0</v>
      </c>
      <c r="T552" s="56" t="s">
        <v>3562</v>
      </c>
      <c r="U552" s="56">
        <v>2321</v>
      </c>
      <c r="V552" s="56" t="s">
        <v>3865</v>
      </c>
      <c r="W552" s="56" t="s">
        <v>3548</v>
      </c>
      <c r="X552" s="56" t="s">
        <v>39</v>
      </c>
      <c r="Y552" s="56" t="s">
        <v>4133</v>
      </c>
      <c r="Z552" s="56" t="s">
        <v>6016</v>
      </c>
      <c r="AC552" s="56" t="s">
        <v>3543</v>
      </c>
      <c r="AD552" s="56" t="s">
        <v>24</v>
      </c>
      <c r="AE552" s="56" t="s">
        <v>5833</v>
      </c>
      <c r="AF552" s="56" t="s">
        <v>6015</v>
      </c>
      <c r="AH552" s="56" t="s">
        <v>3542</v>
      </c>
      <c r="AI552" s="56" t="s">
        <v>3723</v>
      </c>
    </row>
    <row r="553" spans="1:35" ht="33" customHeight="1">
      <c r="A553" s="56" t="s">
        <v>6019</v>
      </c>
      <c r="B553" s="57">
        <v>44360.456377314818</v>
      </c>
      <c r="C553" s="56" t="s">
        <v>3803</v>
      </c>
      <c r="D553" s="56" t="s">
        <v>3802</v>
      </c>
      <c r="E553" s="56" t="s">
        <v>6018</v>
      </c>
      <c r="F553" s="56" t="s">
        <v>6017</v>
      </c>
      <c r="G553" s="58" t="s">
        <v>3811</v>
      </c>
      <c r="H553" s="56">
        <v>1</v>
      </c>
      <c r="I553" s="56" t="s">
        <v>3669</v>
      </c>
      <c r="J553" s="56">
        <v>897</v>
      </c>
      <c r="K553" s="56">
        <v>888</v>
      </c>
      <c r="P553" s="56">
        <v>0</v>
      </c>
      <c r="S553" s="56">
        <v>0</v>
      </c>
      <c r="T553" s="56" t="s">
        <v>3562</v>
      </c>
      <c r="V553" s="56" t="s">
        <v>3865</v>
      </c>
      <c r="W553" s="56" t="s">
        <v>3548</v>
      </c>
      <c r="X553" s="56" t="s">
        <v>39</v>
      </c>
      <c r="Y553" s="56" t="s">
        <v>4133</v>
      </c>
      <c r="Z553" s="56" t="s">
        <v>6016</v>
      </c>
      <c r="AC553" s="56" t="s">
        <v>3543</v>
      </c>
      <c r="AD553" s="56" t="s">
        <v>24</v>
      </c>
      <c r="AE553" s="56" t="s">
        <v>5833</v>
      </c>
      <c r="AF553" s="56" t="s">
        <v>6015</v>
      </c>
      <c r="AH553" s="56" t="s">
        <v>3542</v>
      </c>
      <c r="AI553" s="56" t="s">
        <v>3723</v>
      </c>
    </row>
    <row r="554" spans="1:35" ht="33" customHeight="1">
      <c r="A554" s="56" t="s">
        <v>6019</v>
      </c>
      <c r="B554" s="57">
        <v>44360.456377314818</v>
      </c>
      <c r="C554" s="56" t="s">
        <v>3803</v>
      </c>
      <c r="D554" s="56" t="s">
        <v>3802</v>
      </c>
      <c r="E554" s="56" t="s">
        <v>6018</v>
      </c>
      <c r="F554" s="56" t="s">
        <v>6017</v>
      </c>
      <c r="G554" s="58" t="s">
        <v>1491</v>
      </c>
      <c r="H554" s="56">
        <v>1</v>
      </c>
      <c r="I554" s="56" t="s">
        <v>3771</v>
      </c>
      <c r="J554" s="56">
        <v>135</v>
      </c>
      <c r="K554" s="56">
        <v>135</v>
      </c>
      <c r="P554" s="56">
        <v>0</v>
      </c>
      <c r="S554" s="56">
        <v>0</v>
      </c>
      <c r="T554" s="56" t="s">
        <v>3562</v>
      </c>
      <c r="V554" s="56" t="s">
        <v>3865</v>
      </c>
      <c r="W554" s="56" t="s">
        <v>3548</v>
      </c>
      <c r="X554" s="56" t="s">
        <v>39</v>
      </c>
      <c r="Y554" s="56" t="s">
        <v>4133</v>
      </c>
      <c r="Z554" s="56" t="s">
        <v>6016</v>
      </c>
      <c r="AC554" s="56" t="s">
        <v>3543</v>
      </c>
      <c r="AD554" s="56" t="s">
        <v>24</v>
      </c>
      <c r="AE554" s="56" t="s">
        <v>5833</v>
      </c>
      <c r="AF554" s="56" t="s">
        <v>6015</v>
      </c>
      <c r="AH554" s="56" t="s">
        <v>3542</v>
      </c>
      <c r="AI554" s="56" t="s">
        <v>3723</v>
      </c>
    </row>
    <row r="555" spans="1:35" ht="33" customHeight="1">
      <c r="A555" s="56" t="s">
        <v>6019</v>
      </c>
      <c r="B555" s="57">
        <v>44360.456377314818</v>
      </c>
      <c r="C555" s="56" t="s">
        <v>3803</v>
      </c>
      <c r="D555" s="56" t="s">
        <v>3802</v>
      </c>
      <c r="E555" s="56" t="s">
        <v>6018</v>
      </c>
      <c r="F555" s="56" t="s">
        <v>6017</v>
      </c>
      <c r="G555" s="58" t="s">
        <v>3656</v>
      </c>
      <c r="H555" s="56">
        <v>1</v>
      </c>
      <c r="I555" s="56" t="s">
        <v>3655</v>
      </c>
      <c r="J555" s="56">
        <v>1107</v>
      </c>
      <c r="K555" s="56">
        <v>799</v>
      </c>
      <c r="P555" s="56">
        <v>0</v>
      </c>
      <c r="S555" s="56">
        <v>0</v>
      </c>
      <c r="T555" s="56" t="s">
        <v>3562</v>
      </c>
      <c r="V555" s="56" t="s">
        <v>3865</v>
      </c>
      <c r="W555" s="56" t="s">
        <v>3548</v>
      </c>
      <c r="X555" s="56" t="s">
        <v>39</v>
      </c>
      <c r="Y555" s="56" t="s">
        <v>4133</v>
      </c>
      <c r="Z555" s="56" t="s">
        <v>6016</v>
      </c>
      <c r="AC555" s="56" t="s">
        <v>3543</v>
      </c>
      <c r="AD555" s="56" t="s">
        <v>24</v>
      </c>
      <c r="AE555" s="56" t="s">
        <v>5833</v>
      </c>
      <c r="AF555" s="56" t="s">
        <v>6015</v>
      </c>
      <c r="AH555" s="56" t="s">
        <v>3542</v>
      </c>
      <c r="AI555" s="56" t="s">
        <v>3723</v>
      </c>
    </row>
    <row r="556" spans="1:35" ht="33" customHeight="1">
      <c r="A556" s="56" t="s">
        <v>6019</v>
      </c>
      <c r="B556" s="57">
        <v>44360.456377314818</v>
      </c>
      <c r="C556" s="56" t="s">
        <v>3803</v>
      </c>
      <c r="D556" s="56" t="s">
        <v>3802</v>
      </c>
      <c r="E556" s="56" t="s">
        <v>6018</v>
      </c>
      <c r="F556" s="56" t="s">
        <v>6017</v>
      </c>
      <c r="G556" s="58" t="s">
        <v>3551</v>
      </c>
      <c r="H556" s="56">
        <v>1</v>
      </c>
      <c r="I556" s="56" t="s">
        <v>3550</v>
      </c>
      <c r="J556" s="56">
        <v>0</v>
      </c>
      <c r="K556" s="56">
        <v>0</v>
      </c>
      <c r="P556" s="56">
        <v>0</v>
      </c>
      <c r="S556" s="56">
        <v>0</v>
      </c>
      <c r="T556" s="56" t="s">
        <v>3562</v>
      </c>
      <c r="V556" s="56" t="s">
        <v>3865</v>
      </c>
      <c r="W556" s="56" t="s">
        <v>3548</v>
      </c>
      <c r="X556" s="56" t="s">
        <v>39</v>
      </c>
      <c r="Y556" s="56" t="s">
        <v>4133</v>
      </c>
      <c r="Z556" s="56" t="s">
        <v>6016</v>
      </c>
      <c r="AC556" s="56" t="s">
        <v>3543</v>
      </c>
      <c r="AD556" s="56" t="s">
        <v>24</v>
      </c>
      <c r="AE556" s="56" t="s">
        <v>5833</v>
      </c>
      <c r="AF556" s="56" t="s">
        <v>6015</v>
      </c>
      <c r="AH556" s="56" t="s">
        <v>3542</v>
      </c>
      <c r="AI556" s="56" t="s">
        <v>3723</v>
      </c>
    </row>
    <row r="557" spans="1:35" ht="33" customHeight="1">
      <c r="A557" s="56" t="s">
        <v>6019</v>
      </c>
      <c r="B557" s="57">
        <v>44360.456377314818</v>
      </c>
      <c r="C557" s="56" t="s">
        <v>3803</v>
      </c>
      <c r="D557" s="56" t="s">
        <v>3802</v>
      </c>
      <c r="E557" s="56" t="s">
        <v>6018</v>
      </c>
      <c r="F557" s="56" t="s">
        <v>6017</v>
      </c>
      <c r="G557" s="58" t="s">
        <v>1713</v>
      </c>
      <c r="H557" s="56">
        <v>1</v>
      </c>
      <c r="I557" s="56" t="s">
        <v>3568</v>
      </c>
      <c r="J557" s="56">
        <v>0</v>
      </c>
      <c r="K557" s="56">
        <v>0</v>
      </c>
      <c r="P557" s="56">
        <v>0</v>
      </c>
      <c r="S557" s="56">
        <v>0</v>
      </c>
      <c r="T557" s="56" t="s">
        <v>3562</v>
      </c>
      <c r="V557" s="56" t="s">
        <v>3865</v>
      </c>
      <c r="W557" s="56" t="s">
        <v>3548</v>
      </c>
      <c r="X557" s="56" t="s">
        <v>39</v>
      </c>
      <c r="Y557" s="56" t="s">
        <v>4133</v>
      </c>
      <c r="Z557" s="56" t="s">
        <v>6016</v>
      </c>
      <c r="AC557" s="56" t="s">
        <v>3543</v>
      </c>
      <c r="AD557" s="56" t="s">
        <v>24</v>
      </c>
      <c r="AE557" s="56" t="s">
        <v>5833</v>
      </c>
      <c r="AF557" s="56" t="s">
        <v>6015</v>
      </c>
      <c r="AH557" s="56" t="s">
        <v>3542</v>
      </c>
      <c r="AI557" s="56" t="s">
        <v>3723</v>
      </c>
    </row>
    <row r="558" spans="1:35" ht="33" customHeight="1">
      <c r="A558" s="56" t="s">
        <v>6019</v>
      </c>
      <c r="B558" s="57">
        <v>44360.456377314818</v>
      </c>
      <c r="C558" s="56" t="s">
        <v>3803</v>
      </c>
      <c r="D558" s="56" t="s">
        <v>3802</v>
      </c>
      <c r="E558" s="56" t="s">
        <v>6018</v>
      </c>
      <c r="F558" s="56" t="s">
        <v>6017</v>
      </c>
      <c r="G558" s="58" t="s">
        <v>1498</v>
      </c>
      <c r="H558" s="56">
        <v>1</v>
      </c>
      <c r="I558" s="56" t="s">
        <v>4016</v>
      </c>
      <c r="J558" s="56">
        <v>0</v>
      </c>
      <c r="K558" s="56">
        <v>0</v>
      </c>
      <c r="P558" s="56">
        <v>0</v>
      </c>
      <c r="S558" s="56">
        <v>0</v>
      </c>
      <c r="T558" s="56" t="s">
        <v>3562</v>
      </c>
      <c r="V558" s="56" t="s">
        <v>3865</v>
      </c>
      <c r="W558" s="56" t="s">
        <v>3548</v>
      </c>
      <c r="X558" s="56" t="s">
        <v>39</v>
      </c>
      <c r="Y558" s="56" t="s">
        <v>4133</v>
      </c>
      <c r="Z558" s="56" t="s">
        <v>6016</v>
      </c>
      <c r="AC558" s="56" t="s">
        <v>3543</v>
      </c>
      <c r="AD558" s="56" t="s">
        <v>24</v>
      </c>
      <c r="AE558" s="56" t="s">
        <v>5833</v>
      </c>
      <c r="AF558" s="56" t="s">
        <v>6015</v>
      </c>
      <c r="AH558" s="56" t="s">
        <v>3542</v>
      </c>
      <c r="AI558" s="56" t="s">
        <v>3723</v>
      </c>
    </row>
    <row r="559" spans="1:35" ht="33" customHeight="1">
      <c r="A559" s="56" t="s">
        <v>6019</v>
      </c>
      <c r="B559" s="57">
        <v>44360.456377314818</v>
      </c>
      <c r="C559" s="56" t="s">
        <v>3803</v>
      </c>
      <c r="D559" s="56" t="s">
        <v>3802</v>
      </c>
      <c r="E559" s="56" t="s">
        <v>6018</v>
      </c>
      <c r="F559" s="56" t="s">
        <v>6017</v>
      </c>
      <c r="G559" s="58" t="s">
        <v>3564</v>
      </c>
      <c r="H559" s="56">
        <v>1</v>
      </c>
      <c r="I559" s="56" t="s">
        <v>3563</v>
      </c>
      <c r="J559" s="56">
        <v>0</v>
      </c>
      <c r="K559" s="56">
        <v>0</v>
      </c>
      <c r="P559" s="56">
        <v>0</v>
      </c>
      <c r="S559" s="56">
        <v>0</v>
      </c>
      <c r="T559" s="56" t="s">
        <v>3562</v>
      </c>
      <c r="V559" s="56" t="s">
        <v>3865</v>
      </c>
      <c r="W559" s="56" t="s">
        <v>3548</v>
      </c>
      <c r="X559" s="56" t="s">
        <v>39</v>
      </c>
      <c r="Y559" s="56" t="s">
        <v>4133</v>
      </c>
      <c r="Z559" s="56" t="s">
        <v>6016</v>
      </c>
      <c r="AC559" s="56" t="s">
        <v>3543</v>
      </c>
      <c r="AD559" s="56" t="s">
        <v>24</v>
      </c>
      <c r="AE559" s="56" t="s">
        <v>5833</v>
      </c>
      <c r="AF559" s="56" t="s">
        <v>6015</v>
      </c>
      <c r="AH559" s="56" t="s">
        <v>3542</v>
      </c>
      <c r="AI559" s="56" t="s">
        <v>3723</v>
      </c>
    </row>
    <row r="560" spans="1:35" ht="33" customHeight="1">
      <c r="A560" s="56" t="s">
        <v>6014</v>
      </c>
      <c r="B560" s="57">
        <v>44360.480520833335</v>
      </c>
      <c r="C560" s="56" t="s">
        <v>3803</v>
      </c>
      <c r="D560" s="56" t="s">
        <v>3802</v>
      </c>
      <c r="E560" s="56" t="s">
        <v>6013</v>
      </c>
      <c r="F560" s="56" t="s">
        <v>6012</v>
      </c>
      <c r="G560" s="58" t="s">
        <v>3681</v>
      </c>
      <c r="H560" s="56">
        <v>1</v>
      </c>
      <c r="I560" s="56" t="s">
        <v>3569</v>
      </c>
      <c r="J560" s="56">
        <v>894</v>
      </c>
      <c r="K560" s="56">
        <v>750</v>
      </c>
      <c r="L560" s="56">
        <v>1063</v>
      </c>
      <c r="M560" s="56">
        <v>0</v>
      </c>
      <c r="N560" s="56">
        <v>0</v>
      </c>
      <c r="O560" s="56">
        <v>100</v>
      </c>
      <c r="P560" s="56">
        <v>0</v>
      </c>
      <c r="Q560" s="56">
        <v>963</v>
      </c>
      <c r="R560" s="56">
        <v>0</v>
      </c>
      <c r="S560" s="56">
        <v>0</v>
      </c>
      <c r="T560" s="56" t="s">
        <v>3562</v>
      </c>
      <c r="U560" s="56">
        <v>963</v>
      </c>
      <c r="V560" s="56" t="s">
        <v>59</v>
      </c>
      <c r="W560" s="56" t="s">
        <v>3548</v>
      </c>
      <c r="X560" s="56" t="s">
        <v>39</v>
      </c>
      <c r="Y560" s="56" t="s">
        <v>6011</v>
      </c>
      <c r="Z560" s="56" t="s">
        <v>6010</v>
      </c>
      <c r="AC560" s="56" t="s">
        <v>3543</v>
      </c>
      <c r="AD560" s="56" t="s">
        <v>24</v>
      </c>
      <c r="AE560" s="56" t="s">
        <v>5833</v>
      </c>
      <c r="AF560" s="56" t="s">
        <v>6009</v>
      </c>
      <c r="AH560" s="56" t="s">
        <v>3542</v>
      </c>
      <c r="AI560" s="56" t="s">
        <v>3723</v>
      </c>
    </row>
    <row r="561" spans="1:35" ht="33" customHeight="1">
      <c r="A561" s="56" t="s">
        <v>6014</v>
      </c>
      <c r="B561" s="57">
        <v>44360.480520833335</v>
      </c>
      <c r="C561" s="56" t="s">
        <v>3803</v>
      </c>
      <c r="D561" s="56" t="s">
        <v>3802</v>
      </c>
      <c r="E561" s="56" t="s">
        <v>6013</v>
      </c>
      <c r="F561" s="56" t="s">
        <v>6012</v>
      </c>
      <c r="G561" s="58" t="s">
        <v>1512</v>
      </c>
      <c r="H561" s="56">
        <v>1</v>
      </c>
      <c r="I561" s="56" t="s">
        <v>3740</v>
      </c>
      <c r="J561" s="56">
        <v>220</v>
      </c>
      <c r="K561" s="56">
        <v>168</v>
      </c>
      <c r="P561" s="56">
        <v>0</v>
      </c>
      <c r="S561" s="56">
        <v>0</v>
      </c>
      <c r="T561" s="56" t="s">
        <v>3562</v>
      </c>
      <c r="V561" s="56" t="s">
        <v>59</v>
      </c>
      <c r="W561" s="56" t="s">
        <v>3548</v>
      </c>
      <c r="X561" s="56" t="s">
        <v>39</v>
      </c>
      <c r="Y561" s="56" t="s">
        <v>6011</v>
      </c>
      <c r="Z561" s="56" t="s">
        <v>6010</v>
      </c>
      <c r="AC561" s="56" t="s">
        <v>3543</v>
      </c>
      <c r="AD561" s="56" t="s">
        <v>24</v>
      </c>
      <c r="AE561" s="56" t="s">
        <v>5833</v>
      </c>
      <c r="AF561" s="56" t="s">
        <v>6009</v>
      </c>
      <c r="AH561" s="56" t="s">
        <v>3542</v>
      </c>
      <c r="AI561" s="56" t="s">
        <v>3723</v>
      </c>
    </row>
    <row r="562" spans="1:35" ht="33" customHeight="1">
      <c r="A562" s="56" t="s">
        <v>6014</v>
      </c>
      <c r="B562" s="57">
        <v>44360.480520833335</v>
      </c>
      <c r="C562" s="56" t="s">
        <v>3803</v>
      </c>
      <c r="D562" s="56" t="s">
        <v>3802</v>
      </c>
      <c r="E562" s="56" t="s">
        <v>6013</v>
      </c>
      <c r="F562" s="56" t="s">
        <v>6012</v>
      </c>
      <c r="G562" s="58" t="s">
        <v>2156</v>
      </c>
      <c r="H562" s="56">
        <v>1</v>
      </c>
      <c r="I562" s="56" t="s">
        <v>1376</v>
      </c>
      <c r="J562" s="56">
        <v>145</v>
      </c>
      <c r="K562" s="56">
        <v>145</v>
      </c>
      <c r="P562" s="56">
        <v>0</v>
      </c>
      <c r="S562" s="56">
        <v>0</v>
      </c>
      <c r="T562" s="56" t="s">
        <v>3562</v>
      </c>
      <c r="V562" s="56" t="s">
        <v>59</v>
      </c>
      <c r="W562" s="56" t="s">
        <v>3548</v>
      </c>
      <c r="X562" s="56" t="s">
        <v>39</v>
      </c>
      <c r="Y562" s="56" t="s">
        <v>6011</v>
      </c>
      <c r="Z562" s="56" t="s">
        <v>6010</v>
      </c>
      <c r="AC562" s="56" t="s">
        <v>3543</v>
      </c>
      <c r="AD562" s="56" t="s">
        <v>24</v>
      </c>
      <c r="AE562" s="56" t="s">
        <v>5833</v>
      </c>
      <c r="AF562" s="56" t="s">
        <v>6009</v>
      </c>
      <c r="AH562" s="56" t="s">
        <v>3542</v>
      </c>
      <c r="AI562" s="56" t="s">
        <v>3723</v>
      </c>
    </row>
    <row r="563" spans="1:35" ht="33" customHeight="1">
      <c r="A563" s="56" t="s">
        <v>6014</v>
      </c>
      <c r="B563" s="57">
        <v>44360.480520833335</v>
      </c>
      <c r="C563" s="56" t="s">
        <v>3803</v>
      </c>
      <c r="D563" s="56" t="s">
        <v>3802</v>
      </c>
      <c r="E563" s="56" t="s">
        <v>6013</v>
      </c>
      <c r="F563" s="56" t="s">
        <v>6012</v>
      </c>
      <c r="G563" s="58" t="s">
        <v>3551</v>
      </c>
      <c r="H563" s="56">
        <v>1</v>
      </c>
      <c r="I563" s="56" t="s">
        <v>3550</v>
      </c>
      <c r="J563" s="56">
        <v>0</v>
      </c>
      <c r="K563" s="56">
        <v>0</v>
      </c>
      <c r="P563" s="56">
        <v>0</v>
      </c>
      <c r="S563" s="56">
        <v>0</v>
      </c>
      <c r="T563" s="56" t="s">
        <v>3562</v>
      </c>
      <c r="V563" s="56" t="s">
        <v>59</v>
      </c>
      <c r="W563" s="56" t="s">
        <v>3548</v>
      </c>
      <c r="X563" s="56" t="s">
        <v>39</v>
      </c>
      <c r="Y563" s="56" t="s">
        <v>6011</v>
      </c>
      <c r="Z563" s="56" t="s">
        <v>6010</v>
      </c>
      <c r="AC563" s="56" t="s">
        <v>3543</v>
      </c>
      <c r="AD563" s="56" t="s">
        <v>24</v>
      </c>
      <c r="AE563" s="56" t="s">
        <v>5833</v>
      </c>
      <c r="AF563" s="56" t="s">
        <v>6009</v>
      </c>
      <c r="AH563" s="56" t="s">
        <v>3542</v>
      </c>
      <c r="AI563" s="56" t="s">
        <v>3723</v>
      </c>
    </row>
    <row r="564" spans="1:35" ht="33" customHeight="1">
      <c r="A564" s="56" t="s">
        <v>6014</v>
      </c>
      <c r="B564" s="57">
        <v>44360.480520833335</v>
      </c>
      <c r="C564" s="56" t="s">
        <v>3803</v>
      </c>
      <c r="D564" s="56" t="s">
        <v>3802</v>
      </c>
      <c r="E564" s="56" t="s">
        <v>6013</v>
      </c>
      <c r="F564" s="56" t="s">
        <v>6012</v>
      </c>
      <c r="G564" s="58" t="s">
        <v>1498</v>
      </c>
      <c r="H564" s="56">
        <v>1</v>
      </c>
      <c r="I564" s="56" t="s">
        <v>4016</v>
      </c>
      <c r="J564" s="56">
        <v>0</v>
      </c>
      <c r="K564" s="56">
        <v>0</v>
      </c>
      <c r="P564" s="56">
        <v>0</v>
      </c>
      <c r="S564" s="56">
        <v>0</v>
      </c>
      <c r="T564" s="56" t="s">
        <v>3562</v>
      </c>
      <c r="V564" s="56" t="s">
        <v>59</v>
      </c>
      <c r="W564" s="56" t="s">
        <v>3548</v>
      </c>
      <c r="X564" s="56" t="s">
        <v>39</v>
      </c>
      <c r="Y564" s="56" t="s">
        <v>6011</v>
      </c>
      <c r="Z564" s="56" t="s">
        <v>6010</v>
      </c>
      <c r="AC564" s="56" t="s">
        <v>3543</v>
      </c>
      <c r="AD564" s="56" t="s">
        <v>24</v>
      </c>
      <c r="AE564" s="56" t="s">
        <v>5833</v>
      </c>
      <c r="AF564" s="56" t="s">
        <v>6009</v>
      </c>
      <c r="AH564" s="56" t="s">
        <v>3542</v>
      </c>
      <c r="AI564" s="56" t="s">
        <v>3723</v>
      </c>
    </row>
    <row r="565" spans="1:35" ht="33" customHeight="1">
      <c r="A565" s="56" t="s">
        <v>6008</v>
      </c>
      <c r="B565" s="57">
        <v>44360.486180555556</v>
      </c>
      <c r="C565" s="56" t="s">
        <v>3803</v>
      </c>
      <c r="D565" s="56" t="s">
        <v>3802</v>
      </c>
      <c r="E565" s="56" t="s">
        <v>6007</v>
      </c>
      <c r="F565" s="56" t="s">
        <v>6006</v>
      </c>
      <c r="G565" s="58" t="s">
        <v>3656</v>
      </c>
      <c r="H565" s="56">
        <v>1</v>
      </c>
      <c r="I565" s="56" t="s">
        <v>3655</v>
      </c>
      <c r="J565" s="56">
        <v>1107</v>
      </c>
      <c r="K565" s="56">
        <v>799</v>
      </c>
      <c r="L565" s="56">
        <v>1098</v>
      </c>
      <c r="M565" s="56">
        <v>0</v>
      </c>
      <c r="N565" s="56">
        <v>0</v>
      </c>
      <c r="O565" s="56">
        <v>110</v>
      </c>
      <c r="P565" s="56">
        <v>0</v>
      </c>
      <c r="Q565" s="56">
        <v>988</v>
      </c>
      <c r="R565" s="56">
        <v>0</v>
      </c>
      <c r="S565" s="56">
        <v>0</v>
      </c>
      <c r="T565" s="56" t="s">
        <v>3562</v>
      </c>
      <c r="U565" s="56">
        <v>988</v>
      </c>
      <c r="V565" s="56" t="s">
        <v>3561</v>
      </c>
      <c r="W565" s="56" t="s">
        <v>3548</v>
      </c>
      <c r="X565" s="56" t="s">
        <v>39</v>
      </c>
      <c r="Y565" s="56" t="s">
        <v>6005</v>
      </c>
      <c r="Z565" s="56" t="s">
        <v>6004</v>
      </c>
      <c r="AC565" s="56" t="s">
        <v>3543</v>
      </c>
      <c r="AD565" s="56" t="s">
        <v>24</v>
      </c>
      <c r="AE565" s="56" t="s">
        <v>5833</v>
      </c>
      <c r="AF565" s="56" t="s">
        <v>6003</v>
      </c>
      <c r="AH565" s="56" t="s">
        <v>3542</v>
      </c>
      <c r="AI565" s="56" t="s">
        <v>3723</v>
      </c>
    </row>
    <row r="566" spans="1:35" ht="33" customHeight="1">
      <c r="A566" s="56" t="s">
        <v>6008</v>
      </c>
      <c r="B566" s="57">
        <v>44360.486180555556</v>
      </c>
      <c r="C566" s="56" t="s">
        <v>3803</v>
      </c>
      <c r="D566" s="56" t="s">
        <v>3802</v>
      </c>
      <c r="E566" s="56" t="s">
        <v>6007</v>
      </c>
      <c r="F566" s="56" t="s">
        <v>6006</v>
      </c>
      <c r="G566" s="58" t="s">
        <v>1508</v>
      </c>
      <c r="H566" s="56">
        <v>1</v>
      </c>
      <c r="I566" s="56" t="s">
        <v>3696</v>
      </c>
      <c r="J566" s="56">
        <v>299</v>
      </c>
      <c r="K566" s="56">
        <v>299</v>
      </c>
      <c r="P566" s="56">
        <v>0</v>
      </c>
      <c r="S566" s="56">
        <v>0</v>
      </c>
      <c r="T566" s="56" t="s">
        <v>3562</v>
      </c>
      <c r="V566" s="56" t="s">
        <v>3561</v>
      </c>
      <c r="W566" s="56" t="s">
        <v>3548</v>
      </c>
      <c r="X566" s="56" t="s">
        <v>39</v>
      </c>
      <c r="Y566" s="56" t="s">
        <v>6005</v>
      </c>
      <c r="Z566" s="56" t="s">
        <v>6004</v>
      </c>
      <c r="AC566" s="56" t="s">
        <v>3543</v>
      </c>
      <c r="AD566" s="56" t="s">
        <v>24</v>
      </c>
      <c r="AE566" s="56" t="s">
        <v>5833</v>
      </c>
      <c r="AF566" s="56" t="s">
        <v>6003</v>
      </c>
      <c r="AH566" s="56" t="s">
        <v>3542</v>
      </c>
      <c r="AI566" s="56" t="s">
        <v>3723</v>
      </c>
    </row>
    <row r="567" spans="1:35" ht="33" customHeight="1">
      <c r="A567" s="56" t="s">
        <v>6008</v>
      </c>
      <c r="B567" s="57">
        <v>44360.486180555556</v>
      </c>
      <c r="C567" s="56" t="s">
        <v>3803</v>
      </c>
      <c r="D567" s="56" t="s">
        <v>3802</v>
      </c>
      <c r="E567" s="56" t="s">
        <v>6007</v>
      </c>
      <c r="F567" s="56" t="s">
        <v>6006</v>
      </c>
      <c r="G567" s="58" t="s">
        <v>3551</v>
      </c>
      <c r="H567" s="56">
        <v>1</v>
      </c>
      <c r="I567" s="56" t="s">
        <v>3550</v>
      </c>
      <c r="J567" s="56">
        <v>0</v>
      </c>
      <c r="K567" s="56">
        <v>0</v>
      </c>
      <c r="P567" s="56">
        <v>0</v>
      </c>
      <c r="S567" s="56">
        <v>0</v>
      </c>
      <c r="T567" s="56" t="s">
        <v>3562</v>
      </c>
      <c r="V567" s="56" t="s">
        <v>3561</v>
      </c>
      <c r="W567" s="56" t="s">
        <v>3548</v>
      </c>
      <c r="X567" s="56" t="s">
        <v>39</v>
      </c>
      <c r="Y567" s="56" t="s">
        <v>6005</v>
      </c>
      <c r="Z567" s="56" t="s">
        <v>6004</v>
      </c>
      <c r="AC567" s="56" t="s">
        <v>3543</v>
      </c>
      <c r="AD567" s="56" t="s">
        <v>24</v>
      </c>
      <c r="AE567" s="56" t="s">
        <v>5833</v>
      </c>
      <c r="AF567" s="56" t="s">
        <v>6003</v>
      </c>
      <c r="AH567" s="56" t="s">
        <v>3542</v>
      </c>
      <c r="AI567" s="56" t="s">
        <v>3723</v>
      </c>
    </row>
    <row r="568" spans="1:35" ht="33" customHeight="1">
      <c r="A568" s="56" t="s">
        <v>6008</v>
      </c>
      <c r="B568" s="57">
        <v>44360.486180555556</v>
      </c>
      <c r="C568" s="56" t="s">
        <v>3803</v>
      </c>
      <c r="D568" s="56" t="s">
        <v>3802</v>
      </c>
      <c r="E568" s="56" t="s">
        <v>6007</v>
      </c>
      <c r="F568" s="56" t="s">
        <v>6006</v>
      </c>
      <c r="G568" s="58" t="s">
        <v>1498</v>
      </c>
      <c r="H568" s="56">
        <v>1</v>
      </c>
      <c r="I568" s="56" t="s">
        <v>4016</v>
      </c>
      <c r="J568" s="56">
        <v>0</v>
      </c>
      <c r="K568" s="56">
        <v>0</v>
      </c>
      <c r="P568" s="56">
        <v>0</v>
      </c>
      <c r="S568" s="56">
        <v>0</v>
      </c>
      <c r="T568" s="56" t="s">
        <v>3562</v>
      </c>
      <c r="V568" s="56" t="s">
        <v>3561</v>
      </c>
      <c r="W568" s="56" t="s">
        <v>3548</v>
      </c>
      <c r="X568" s="56" t="s">
        <v>39</v>
      </c>
      <c r="Y568" s="56" t="s">
        <v>6005</v>
      </c>
      <c r="Z568" s="56" t="s">
        <v>6004</v>
      </c>
      <c r="AC568" s="56" t="s">
        <v>3543</v>
      </c>
      <c r="AD568" s="56" t="s">
        <v>24</v>
      </c>
      <c r="AE568" s="56" t="s">
        <v>5833</v>
      </c>
      <c r="AF568" s="56" t="s">
        <v>6003</v>
      </c>
      <c r="AH568" s="56" t="s">
        <v>3542</v>
      </c>
      <c r="AI568" s="56" t="s">
        <v>3723</v>
      </c>
    </row>
    <row r="569" spans="1:35" ht="33" customHeight="1">
      <c r="A569" s="56" t="s">
        <v>6002</v>
      </c>
      <c r="B569" s="57">
        <v>44360.517245370371</v>
      </c>
      <c r="C569" s="56" t="s">
        <v>3803</v>
      </c>
      <c r="D569" s="56" t="s">
        <v>4511</v>
      </c>
      <c r="E569" s="56" t="s">
        <v>6001</v>
      </c>
      <c r="F569" s="56" t="s">
        <v>6000</v>
      </c>
      <c r="G569" s="58" t="s">
        <v>3681</v>
      </c>
      <c r="H569" s="56">
        <v>1</v>
      </c>
      <c r="I569" s="56" t="s">
        <v>3569</v>
      </c>
      <c r="J569" s="56">
        <v>894</v>
      </c>
      <c r="K569" s="56">
        <v>750</v>
      </c>
      <c r="L569" s="56">
        <v>2250</v>
      </c>
      <c r="M569" s="56">
        <v>0</v>
      </c>
      <c r="N569" s="56">
        <v>0</v>
      </c>
      <c r="O569" s="56">
        <v>144</v>
      </c>
      <c r="P569" s="56">
        <v>0</v>
      </c>
      <c r="Q569" s="56">
        <v>2106</v>
      </c>
      <c r="R569" s="56">
        <v>0</v>
      </c>
      <c r="S569" s="56">
        <v>0</v>
      </c>
      <c r="T569" s="56" t="s">
        <v>3562</v>
      </c>
      <c r="U569" s="56">
        <v>2106</v>
      </c>
      <c r="V569" s="56" t="s">
        <v>59</v>
      </c>
      <c r="W569" s="56" t="s">
        <v>3548</v>
      </c>
      <c r="X569" s="56" t="s">
        <v>3716</v>
      </c>
      <c r="Z569" s="56" t="s">
        <v>3546</v>
      </c>
      <c r="AA569" s="56" t="s">
        <v>5999</v>
      </c>
      <c r="AB569" s="56" t="s">
        <v>5998</v>
      </c>
      <c r="AC569" s="56" t="s">
        <v>3543</v>
      </c>
      <c r="AD569" s="56" t="s">
        <v>24</v>
      </c>
      <c r="AE569" s="56" t="s">
        <v>5833</v>
      </c>
      <c r="AF569" s="56" t="s">
        <v>5997</v>
      </c>
      <c r="AH569" s="56" t="s">
        <v>3542</v>
      </c>
      <c r="AI569" s="56" t="s">
        <v>3723</v>
      </c>
    </row>
    <row r="570" spans="1:35" ht="33" customHeight="1">
      <c r="A570" s="56" t="s">
        <v>6002</v>
      </c>
      <c r="B570" s="57">
        <v>44360.517245370371</v>
      </c>
      <c r="C570" s="56" t="s">
        <v>3803</v>
      </c>
      <c r="D570" s="56" t="s">
        <v>4511</v>
      </c>
      <c r="E570" s="56" t="s">
        <v>6001</v>
      </c>
      <c r="F570" s="56" t="s">
        <v>6000</v>
      </c>
      <c r="G570" s="58" t="s">
        <v>3570</v>
      </c>
      <c r="H570" s="56">
        <v>1</v>
      </c>
      <c r="I570" s="56" t="s">
        <v>3569</v>
      </c>
      <c r="J570" s="56">
        <v>894</v>
      </c>
      <c r="K570" s="56">
        <v>750</v>
      </c>
      <c r="P570" s="56">
        <v>0</v>
      </c>
      <c r="S570" s="56">
        <v>0</v>
      </c>
      <c r="T570" s="56" t="s">
        <v>3562</v>
      </c>
      <c r="V570" s="56" t="s">
        <v>59</v>
      </c>
      <c r="W570" s="56" t="s">
        <v>3548</v>
      </c>
      <c r="X570" s="56" t="s">
        <v>3716</v>
      </c>
      <c r="Z570" s="56" t="s">
        <v>3546</v>
      </c>
      <c r="AA570" s="56" t="s">
        <v>5999</v>
      </c>
      <c r="AB570" s="56" t="s">
        <v>5998</v>
      </c>
      <c r="AC570" s="56" t="s">
        <v>3543</v>
      </c>
      <c r="AD570" s="56" t="s">
        <v>24</v>
      </c>
      <c r="AE570" s="56" t="s">
        <v>5833</v>
      </c>
      <c r="AF570" s="56" t="s">
        <v>5997</v>
      </c>
      <c r="AH570" s="56" t="s">
        <v>3542</v>
      </c>
      <c r="AI570" s="56" t="s">
        <v>3723</v>
      </c>
    </row>
    <row r="571" spans="1:35" ht="33" customHeight="1">
      <c r="A571" s="56" t="s">
        <v>6002</v>
      </c>
      <c r="B571" s="57">
        <v>44360.517245370371</v>
      </c>
      <c r="C571" s="56" t="s">
        <v>3803</v>
      </c>
      <c r="D571" s="56" t="s">
        <v>4511</v>
      </c>
      <c r="E571" s="56" t="s">
        <v>6001</v>
      </c>
      <c r="F571" s="56" t="s">
        <v>6000</v>
      </c>
      <c r="G571" s="58" t="s">
        <v>3922</v>
      </c>
      <c r="H571" s="56">
        <v>1</v>
      </c>
      <c r="I571" s="56" t="s">
        <v>3569</v>
      </c>
      <c r="J571" s="56">
        <v>894</v>
      </c>
      <c r="K571" s="56">
        <v>750</v>
      </c>
      <c r="P571" s="56">
        <v>0</v>
      </c>
      <c r="S571" s="56">
        <v>0</v>
      </c>
      <c r="T571" s="56" t="s">
        <v>3562</v>
      </c>
      <c r="V571" s="56" t="s">
        <v>59</v>
      </c>
      <c r="W571" s="56" t="s">
        <v>3548</v>
      </c>
      <c r="X571" s="56" t="s">
        <v>3716</v>
      </c>
      <c r="Z571" s="56" t="s">
        <v>3546</v>
      </c>
      <c r="AA571" s="56" t="s">
        <v>5999</v>
      </c>
      <c r="AB571" s="56" t="s">
        <v>5998</v>
      </c>
      <c r="AC571" s="56" t="s">
        <v>3543</v>
      </c>
      <c r="AD571" s="56" t="s">
        <v>24</v>
      </c>
      <c r="AE571" s="56" t="s">
        <v>5833</v>
      </c>
      <c r="AF571" s="56" t="s">
        <v>5997</v>
      </c>
      <c r="AH571" s="56" t="s">
        <v>3542</v>
      </c>
      <c r="AI571" s="56" t="s">
        <v>3723</v>
      </c>
    </row>
    <row r="572" spans="1:35" ht="33" customHeight="1">
      <c r="A572" s="56" t="s">
        <v>6002</v>
      </c>
      <c r="B572" s="57">
        <v>44360.517245370371</v>
      </c>
      <c r="C572" s="56" t="s">
        <v>3803</v>
      </c>
      <c r="D572" s="56" t="s">
        <v>4511</v>
      </c>
      <c r="E572" s="56" t="s">
        <v>6001</v>
      </c>
      <c r="F572" s="56" t="s">
        <v>6000</v>
      </c>
      <c r="G572" s="58" t="s">
        <v>3551</v>
      </c>
      <c r="H572" s="56">
        <v>1</v>
      </c>
      <c r="I572" s="56" t="s">
        <v>3550</v>
      </c>
      <c r="J572" s="56">
        <v>0</v>
      </c>
      <c r="K572" s="56">
        <v>0</v>
      </c>
      <c r="P572" s="56">
        <v>0</v>
      </c>
      <c r="S572" s="56">
        <v>0</v>
      </c>
      <c r="T572" s="56" t="s">
        <v>3562</v>
      </c>
      <c r="V572" s="56" t="s">
        <v>59</v>
      </c>
      <c r="W572" s="56" t="s">
        <v>3548</v>
      </c>
      <c r="X572" s="56" t="s">
        <v>3716</v>
      </c>
      <c r="Z572" s="56" t="s">
        <v>3546</v>
      </c>
      <c r="AA572" s="56" t="s">
        <v>5999</v>
      </c>
      <c r="AB572" s="56" t="s">
        <v>5998</v>
      </c>
      <c r="AC572" s="56" t="s">
        <v>3543</v>
      </c>
      <c r="AD572" s="56" t="s">
        <v>24</v>
      </c>
      <c r="AE572" s="56" t="s">
        <v>5833</v>
      </c>
      <c r="AF572" s="56" t="s">
        <v>5997</v>
      </c>
      <c r="AH572" s="56" t="s">
        <v>3542</v>
      </c>
      <c r="AI572" s="56" t="s">
        <v>3723</v>
      </c>
    </row>
    <row r="573" spans="1:35" ht="33" customHeight="1">
      <c r="A573" s="56" t="s">
        <v>6002</v>
      </c>
      <c r="B573" s="57">
        <v>44360.517245370371</v>
      </c>
      <c r="C573" s="56" t="s">
        <v>3803</v>
      </c>
      <c r="D573" s="56" t="s">
        <v>4511</v>
      </c>
      <c r="E573" s="56" t="s">
        <v>6001</v>
      </c>
      <c r="F573" s="56" t="s">
        <v>6000</v>
      </c>
      <c r="G573" s="58" t="s">
        <v>1713</v>
      </c>
      <c r="H573" s="56">
        <v>1</v>
      </c>
      <c r="I573" s="56" t="s">
        <v>3568</v>
      </c>
      <c r="J573" s="56">
        <v>0</v>
      </c>
      <c r="K573" s="56">
        <v>0</v>
      </c>
      <c r="P573" s="56">
        <v>0</v>
      </c>
      <c r="S573" s="56">
        <v>0</v>
      </c>
      <c r="T573" s="56" t="s">
        <v>3562</v>
      </c>
      <c r="V573" s="56" t="s">
        <v>59</v>
      </c>
      <c r="W573" s="56" t="s">
        <v>3548</v>
      </c>
      <c r="X573" s="56" t="s">
        <v>3716</v>
      </c>
      <c r="Z573" s="56" t="s">
        <v>3546</v>
      </c>
      <c r="AA573" s="56" t="s">
        <v>5999</v>
      </c>
      <c r="AB573" s="56" t="s">
        <v>5998</v>
      </c>
      <c r="AC573" s="56" t="s">
        <v>3543</v>
      </c>
      <c r="AD573" s="56" t="s">
        <v>24</v>
      </c>
      <c r="AE573" s="56" t="s">
        <v>5833</v>
      </c>
      <c r="AF573" s="56" t="s">
        <v>5997</v>
      </c>
      <c r="AH573" s="56" t="s">
        <v>3542</v>
      </c>
      <c r="AI573" s="56" t="s">
        <v>3723</v>
      </c>
    </row>
    <row r="574" spans="1:35" ht="33" customHeight="1">
      <c r="A574" s="56" t="s">
        <v>6002</v>
      </c>
      <c r="B574" s="57">
        <v>44360.517245370371</v>
      </c>
      <c r="C574" s="56" t="s">
        <v>3803</v>
      </c>
      <c r="D574" s="56" t="s">
        <v>4511</v>
      </c>
      <c r="E574" s="56" t="s">
        <v>6001</v>
      </c>
      <c r="F574" s="56" t="s">
        <v>6000</v>
      </c>
      <c r="G574" s="58" t="s">
        <v>1498</v>
      </c>
      <c r="H574" s="56">
        <v>1</v>
      </c>
      <c r="I574" s="56" t="s">
        <v>4016</v>
      </c>
      <c r="J574" s="56">
        <v>0</v>
      </c>
      <c r="K574" s="56">
        <v>0</v>
      </c>
      <c r="P574" s="56">
        <v>0</v>
      </c>
      <c r="S574" s="56">
        <v>0</v>
      </c>
      <c r="T574" s="56" t="s">
        <v>3562</v>
      </c>
      <c r="V574" s="56" t="s">
        <v>59</v>
      </c>
      <c r="W574" s="56" t="s">
        <v>3548</v>
      </c>
      <c r="X574" s="56" t="s">
        <v>3716</v>
      </c>
      <c r="Z574" s="56" t="s">
        <v>3546</v>
      </c>
      <c r="AA574" s="56" t="s">
        <v>5999</v>
      </c>
      <c r="AB574" s="56" t="s">
        <v>5998</v>
      </c>
      <c r="AC574" s="56" t="s">
        <v>3543</v>
      </c>
      <c r="AD574" s="56" t="s">
        <v>24</v>
      </c>
      <c r="AE574" s="56" t="s">
        <v>5833</v>
      </c>
      <c r="AF574" s="56" t="s">
        <v>5997</v>
      </c>
      <c r="AH574" s="56" t="s">
        <v>3542</v>
      </c>
      <c r="AI574" s="56" t="s">
        <v>3723</v>
      </c>
    </row>
    <row r="575" spans="1:35" ht="33" customHeight="1">
      <c r="A575" s="56" t="s">
        <v>6002</v>
      </c>
      <c r="B575" s="57">
        <v>44360.517245370371</v>
      </c>
      <c r="C575" s="56" t="s">
        <v>3803</v>
      </c>
      <c r="D575" s="56" t="s">
        <v>4511</v>
      </c>
      <c r="E575" s="56" t="s">
        <v>6001</v>
      </c>
      <c r="F575" s="56" t="s">
        <v>6000</v>
      </c>
      <c r="G575" s="58" t="s">
        <v>3564</v>
      </c>
      <c r="H575" s="56">
        <v>1</v>
      </c>
      <c r="I575" s="56" t="s">
        <v>3563</v>
      </c>
      <c r="J575" s="56">
        <v>0</v>
      </c>
      <c r="K575" s="56">
        <v>0</v>
      </c>
      <c r="P575" s="56">
        <v>0</v>
      </c>
      <c r="S575" s="56">
        <v>0</v>
      </c>
      <c r="T575" s="56" t="s">
        <v>3562</v>
      </c>
      <c r="V575" s="56" t="s">
        <v>59</v>
      </c>
      <c r="W575" s="56" t="s">
        <v>3548</v>
      </c>
      <c r="X575" s="56" t="s">
        <v>3716</v>
      </c>
      <c r="Z575" s="56" t="s">
        <v>3546</v>
      </c>
      <c r="AA575" s="56" t="s">
        <v>5999</v>
      </c>
      <c r="AB575" s="56" t="s">
        <v>5998</v>
      </c>
      <c r="AC575" s="56" t="s">
        <v>3543</v>
      </c>
      <c r="AD575" s="56" t="s">
        <v>24</v>
      </c>
      <c r="AE575" s="56" t="s">
        <v>5833</v>
      </c>
      <c r="AF575" s="56" t="s">
        <v>5997</v>
      </c>
      <c r="AH575" s="56" t="s">
        <v>3542</v>
      </c>
      <c r="AI575" s="56" t="s">
        <v>3723</v>
      </c>
    </row>
    <row r="576" spans="1:35" ht="33" customHeight="1">
      <c r="A576" s="56" t="s">
        <v>5996</v>
      </c>
      <c r="B576" s="57">
        <v>44360.517291666663</v>
      </c>
      <c r="C576" s="56" t="s">
        <v>3803</v>
      </c>
      <c r="D576" s="56" t="s">
        <v>3802</v>
      </c>
      <c r="E576" s="56" t="s">
        <v>5748</v>
      </c>
      <c r="F576" s="56" t="s">
        <v>5747</v>
      </c>
      <c r="G576" s="58" t="s">
        <v>3840</v>
      </c>
      <c r="H576" s="56">
        <v>1</v>
      </c>
      <c r="I576" s="56" t="s">
        <v>3602</v>
      </c>
      <c r="J576" s="56">
        <v>447</v>
      </c>
      <c r="K576" s="56">
        <v>399</v>
      </c>
      <c r="L576" s="56">
        <v>1437</v>
      </c>
      <c r="M576" s="56">
        <v>0</v>
      </c>
      <c r="N576" s="56">
        <v>0</v>
      </c>
      <c r="O576" s="56">
        <v>100</v>
      </c>
      <c r="P576" s="56">
        <v>0</v>
      </c>
      <c r="Q576" s="56">
        <v>1337</v>
      </c>
      <c r="R576" s="56">
        <v>0</v>
      </c>
      <c r="S576" s="56">
        <v>0</v>
      </c>
      <c r="T576" s="56" t="s">
        <v>3562</v>
      </c>
      <c r="U576" s="56">
        <v>1337</v>
      </c>
      <c r="V576" s="56" t="s">
        <v>59</v>
      </c>
      <c r="W576" s="56" t="s">
        <v>3548</v>
      </c>
      <c r="X576" s="56" t="s">
        <v>39</v>
      </c>
      <c r="Y576" s="56" t="s">
        <v>4205</v>
      </c>
      <c r="Z576" s="56" t="s">
        <v>5746</v>
      </c>
      <c r="AC576" s="56" t="s">
        <v>3543</v>
      </c>
      <c r="AD576" s="56" t="s">
        <v>24</v>
      </c>
      <c r="AE576" s="56" t="s">
        <v>5833</v>
      </c>
      <c r="AF576" s="56" t="s">
        <v>5995</v>
      </c>
      <c r="AH576" s="56" t="s">
        <v>3542</v>
      </c>
      <c r="AI576" s="56" t="s">
        <v>3723</v>
      </c>
    </row>
    <row r="577" spans="1:35" ht="33" customHeight="1">
      <c r="A577" s="56" t="s">
        <v>5996</v>
      </c>
      <c r="B577" s="57">
        <v>44360.517291666663</v>
      </c>
      <c r="C577" s="56" t="s">
        <v>3803</v>
      </c>
      <c r="D577" s="56" t="s">
        <v>3802</v>
      </c>
      <c r="E577" s="56" t="s">
        <v>5748</v>
      </c>
      <c r="F577" s="56" t="s">
        <v>5747</v>
      </c>
      <c r="G577" s="58" t="s">
        <v>2156</v>
      </c>
      <c r="H577" s="56">
        <v>1</v>
      </c>
      <c r="I577" s="56" t="s">
        <v>1376</v>
      </c>
      <c r="J577" s="56">
        <v>145</v>
      </c>
      <c r="K577" s="56">
        <v>145</v>
      </c>
      <c r="P577" s="56">
        <v>0</v>
      </c>
      <c r="S577" s="56">
        <v>0</v>
      </c>
      <c r="T577" s="56" t="s">
        <v>3562</v>
      </c>
      <c r="V577" s="56" t="s">
        <v>59</v>
      </c>
      <c r="W577" s="56" t="s">
        <v>3548</v>
      </c>
      <c r="X577" s="56" t="s">
        <v>39</v>
      </c>
      <c r="Y577" s="56" t="s">
        <v>4205</v>
      </c>
      <c r="Z577" s="56" t="s">
        <v>5746</v>
      </c>
      <c r="AC577" s="56" t="s">
        <v>3543</v>
      </c>
      <c r="AD577" s="56" t="s">
        <v>24</v>
      </c>
      <c r="AE577" s="56" t="s">
        <v>5833</v>
      </c>
      <c r="AF577" s="56" t="s">
        <v>5995</v>
      </c>
      <c r="AH577" s="56" t="s">
        <v>3542</v>
      </c>
      <c r="AI577" s="56" t="s">
        <v>3723</v>
      </c>
    </row>
    <row r="578" spans="1:35" ht="33" customHeight="1">
      <c r="A578" s="56" t="s">
        <v>5996</v>
      </c>
      <c r="B578" s="57">
        <v>44360.517291666663</v>
      </c>
      <c r="C578" s="56" t="s">
        <v>3803</v>
      </c>
      <c r="D578" s="56" t="s">
        <v>3802</v>
      </c>
      <c r="E578" s="56" t="s">
        <v>5748</v>
      </c>
      <c r="F578" s="56" t="s">
        <v>5747</v>
      </c>
      <c r="G578" s="58" t="s">
        <v>3593</v>
      </c>
      <c r="H578" s="56">
        <v>1</v>
      </c>
      <c r="I578" s="56" t="s">
        <v>3577</v>
      </c>
      <c r="J578" s="56">
        <v>700</v>
      </c>
      <c r="K578" s="56">
        <v>599</v>
      </c>
      <c r="P578" s="56">
        <v>0</v>
      </c>
      <c r="S578" s="56">
        <v>0</v>
      </c>
      <c r="T578" s="56" t="s">
        <v>3562</v>
      </c>
      <c r="V578" s="56" t="s">
        <v>59</v>
      </c>
      <c r="W578" s="56" t="s">
        <v>3548</v>
      </c>
      <c r="X578" s="56" t="s">
        <v>39</v>
      </c>
      <c r="Y578" s="56" t="s">
        <v>4205</v>
      </c>
      <c r="Z578" s="56" t="s">
        <v>5746</v>
      </c>
      <c r="AC578" s="56" t="s">
        <v>3543</v>
      </c>
      <c r="AD578" s="56" t="s">
        <v>24</v>
      </c>
      <c r="AE578" s="56" t="s">
        <v>5833</v>
      </c>
      <c r="AF578" s="56" t="s">
        <v>5995</v>
      </c>
      <c r="AH578" s="56" t="s">
        <v>3542</v>
      </c>
      <c r="AI578" s="56" t="s">
        <v>3723</v>
      </c>
    </row>
    <row r="579" spans="1:35" ht="33" customHeight="1">
      <c r="A579" s="56" t="s">
        <v>5996</v>
      </c>
      <c r="B579" s="57">
        <v>44360.517291666663</v>
      </c>
      <c r="C579" s="56" t="s">
        <v>3803</v>
      </c>
      <c r="D579" s="56" t="s">
        <v>3802</v>
      </c>
      <c r="E579" s="56" t="s">
        <v>5748</v>
      </c>
      <c r="F579" s="56" t="s">
        <v>5747</v>
      </c>
      <c r="G579" s="58" t="s">
        <v>1493</v>
      </c>
      <c r="H579" s="56">
        <v>1</v>
      </c>
      <c r="I579" s="56" t="s">
        <v>3586</v>
      </c>
      <c r="J579" s="56">
        <v>149</v>
      </c>
      <c r="K579" s="56">
        <v>149</v>
      </c>
      <c r="P579" s="56">
        <v>0</v>
      </c>
      <c r="S579" s="56">
        <v>0</v>
      </c>
      <c r="T579" s="56" t="s">
        <v>3562</v>
      </c>
      <c r="V579" s="56" t="s">
        <v>59</v>
      </c>
      <c r="W579" s="56" t="s">
        <v>3548</v>
      </c>
      <c r="X579" s="56" t="s">
        <v>39</v>
      </c>
      <c r="Y579" s="56" t="s">
        <v>4205</v>
      </c>
      <c r="Z579" s="56" t="s">
        <v>5746</v>
      </c>
      <c r="AC579" s="56" t="s">
        <v>3543</v>
      </c>
      <c r="AD579" s="56" t="s">
        <v>24</v>
      </c>
      <c r="AE579" s="56" t="s">
        <v>5833</v>
      </c>
      <c r="AF579" s="56" t="s">
        <v>5995</v>
      </c>
      <c r="AH579" s="56" t="s">
        <v>3542</v>
      </c>
      <c r="AI579" s="56" t="s">
        <v>3723</v>
      </c>
    </row>
    <row r="580" spans="1:35" ht="33" customHeight="1">
      <c r="A580" s="56" t="s">
        <v>5996</v>
      </c>
      <c r="B580" s="57">
        <v>44360.517291666663</v>
      </c>
      <c r="C580" s="56" t="s">
        <v>3803</v>
      </c>
      <c r="D580" s="56" t="s">
        <v>3802</v>
      </c>
      <c r="E580" s="56" t="s">
        <v>5748</v>
      </c>
      <c r="F580" s="56" t="s">
        <v>5747</v>
      </c>
      <c r="G580" s="58" t="s">
        <v>2156</v>
      </c>
      <c r="H580" s="56">
        <v>1</v>
      </c>
      <c r="I580" s="56" t="s">
        <v>1376</v>
      </c>
      <c r="J580" s="56">
        <v>145</v>
      </c>
      <c r="K580" s="56">
        <v>145</v>
      </c>
      <c r="P580" s="56">
        <v>0</v>
      </c>
      <c r="S580" s="56">
        <v>0</v>
      </c>
      <c r="T580" s="56" t="s">
        <v>3562</v>
      </c>
      <c r="V580" s="56" t="s">
        <v>59</v>
      </c>
      <c r="W580" s="56" t="s">
        <v>3548</v>
      </c>
      <c r="X580" s="56" t="s">
        <v>39</v>
      </c>
      <c r="Y580" s="56" t="s">
        <v>4205</v>
      </c>
      <c r="Z580" s="56" t="s">
        <v>5746</v>
      </c>
      <c r="AC580" s="56" t="s">
        <v>3543</v>
      </c>
      <c r="AD580" s="56" t="s">
        <v>24</v>
      </c>
      <c r="AE580" s="56" t="s">
        <v>5833</v>
      </c>
      <c r="AF580" s="56" t="s">
        <v>5995</v>
      </c>
      <c r="AH580" s="56" t="s">
        <v>3542</v>
      </c>
      <c r="AI580" s="56" t="s">
        <v>3723</v>
      </c>
    </row>
    <row r="581" spans="1:35" ht="33" customHeight="1">
      <c r="A581" s="56" t="s">
        <v>5996</v>
      </c>
      <c r="B581" s="57">
        <v>44360.517291666663</v>
      </c>
      <c r="C581" s="56" t="s">
        <v>3803</v>
      </c>
      <c r="D581" s="56" t="s">
        <v>3802</v>
      </c>
      <c r="E581" s="56" t="s">
        <v>5748</v>
      </c>
      <c r="F581" s="56" t="s">
        <v>5747</v>
      </c>
      <c r="G581" s="58" t="s">
        <v>3551</v>
      </c>
      <c r="H581" s="56">
        <v>1</v>
      </c>
      <c r="I581" s="56" t="s">
        <v>3550</v>
      </c>
      <c r="J581" s="56">
        <v>0</v>
      </c>
      <c r="K581" s="56">
        <v>0</v>
      </c>
      <c r="P581" s="56">
        <v>0</v>
      </c>
      <c r="S581" s="56">
        <v>0</v>
      </c>
      <c r="T581" s="56" t="s">
        <v>3562</v>
      </c>
      <c r="V581" s="56" t="s">
        <v>59</v>
      </c>
      <c r="W581" s="56" t="s">
        <v>3548</v>
      </c>
      <c r="X581" s="56" t="s">
        <v>39</v>
      </c>
      <c r="Y581" s="56" t="s">
        <v>4205</v>
      </c>
      <c r="Z581" s="56" t="s">
        <v>5746</v>
      </c>
      <c r="AC581" s="56" t="s">
        <v>3543</v>
      </c>
      <c r="AD581" s="56" t="s">
        <v>24</v>
      </c>
      <c r="AE581" s="56" t="s">
        <v>5833</v>
      </c>
      <c r="AF581" s="56" t="s">
        <v>5995</v>
      </c>
      <c r="AH581" s="56" t="s">
        <v>3542</v>
      </c>
      <c r="AI581" s="56" t="s">
        <v>3723</v>
      </c>
    </row>
    <row r="582" spans="1:35" ht="33" customHeight="1">
      <c r="A582" s="56" t="s">
        <v>5996</v>
      </c>
      <c r="B582" s="57">
        <v>44360.517291666663</v>
      </c>
      <c r="C582" s="56" t="s">
        <v>3803</v>
      </c>
      <c r="D582" s="56" t="s">
        <v>3802</v>
      </c>
      <c r="E582" s="56" t="s">
        <v>5748</v>
      </c>
      <c r="F582" s="56" t="s">
        <v>5747</v>
      </c>
      <c r="G582" s="58" t="s">
        <v>1498</v>
      </c>
      <c r="H582" s="56">
        <v>1</v>
      </c>
      <c r="I582" s="56" t="s">
        <v>4016</v>
      </c>
      <c r="J582" s="56">
        <v>0</v>
      </c>
      <c r="K582" s="56">
        <v>0</v>
      </c>
      <c r="P582" s="56">
        <v>0</v>
      </c>
      <c r="S582" s="56">
        <v>0</v>
      </c>
      <c r="T582" s="56" t="s">
        <v>3562</v>
      </c>
      <c r="V582" s="56" t="s">
        <v>59</v>
      </c>
      <c r="W582" s="56" t="s">
        <v>3548</v>
      </c>
      <c r="X582" s="56" t="s">
        <v>39</v>
      </c>
      <c r="Y582" s="56" t="s">
        <v>4205</v>
      </c>
      <c r="Z582" s="56" t="s">
        <v>5746</v>
      </c>
      <c r="AC582" s="56" t="s">
        <v>3543</v>
      </c>
      <c r="AD582" s="56" t="s">
        <v>24</v>
      </c>
      <c r="AE582" s="56" t="s">
        <v>5833</v>
      </c>
      <c r="AF582" s="56" t="s">
        <v>5995</v>
      </c>
      <c r="AH582" s="56" t="s">
        <v>3542</v>
      </c>
      <c r="AI582" s="56" t="s">
        <v>3723</v>
      </c>
    </row>
    <row r="583" spans="1:35" ht="33" customHeight="1">
      <c r="A583" s="56" t="s">
        <v>5994</v>
      </c>
      <c r="B583" s="57">
        <v>44360.529490740744</v>
      </c>
      <c r="C583" s="56" t="s">
        <v>3803</v>
      </c>
      <c r="D583" s="56" t="s">
        <v>3802</v>
      </c>
      <c r="E583" s="56" t="s">
        <v>5993</v>
      </c>
      <c r="F583" s="56" t="s">
        <v>5992</v>
      </c>
      <c r="G583" s="58" t="s">
        <v>3681</v>
      </c>
      <c r="H583" s="56">
        <v>1</v>
      </c>
      <c r="I583" s="56" t="s">
        <v>3569</v>
      </c>
      <c r="J583" s="56">
        <v>894</v>
      </c>
      <c r="K583" s="56">
        <v>750</v>
      </c>
      <c r="L583" s="56">
        <v>1017</v>
      </c>
      <c r="M583" s="56">
        <v>0</v>
      </c>
      <c r="N583" s="56">
        <v>0</v>
      </c>
      <c r="O583" s="56">
        <v>100</v>
      </c>
      <c r="P583" s="56">
        <v>0</v>
      </c>
      <c r="Q583" s="56">
        <v>917</v>
      </c>
      <c r="R583" s="56">
        <v>0</v>
      </c>
      <c r="S583" s="56">
        <v>0</v>
      </c>
      <c r="T583" s="56" t="s">
        <v>3562</v>
      </c>
      <c r="U583" s="56">
        <v>917</v>
      </c>
      <c r="V583" s="56" t="s">
        <v>3561</v>
      </c>
      <c r="W583" s="56" t="s">
        <v>3548</v>
      </c>
      <c r="X583" s="56" t="s">
        <v>39</v>
      </c>
      <c r="Y583" s="56" t="s">
        <v>4722</v>
      </c>
      <c r="Z583" s="56" t="s">
        <v>5991</v>
      </c>
      <c r="AC583" s="56" t="s">
        <v>3543</v>
      </c>
      <c r="AD583" s="56" t="s">
        <v>24</v>
      </c>
      <c r="AE583" s="56" t="s">
        <v>5833</v>
      </c>
      <c r="AF583" s="56" t="s">
        <v>5990</v>
      </c>
      <c r="AH583" s="56" t="s">
        <v>3542</v>
      </c>
      <c r="AI583" s="56" t="s">
        <v>3723</v>
      </c>
    </row>
    <row r="584" spans="1:35" ht="33" customHeight="1">
      <c r="A584" s="56" t="s">
        <v>5994</v>
      </c>
      <c r="B584" s="57">
        <v>44360.529490740744</v>
      </c>
      <c r="C584" s="56" t="s">
        <v>3803</v>
      </c>
      <c r="D584" s="56" t="s">
        <v>3802</v>
      </c>
      <c r="E584" s="56" t="s">
        <v>5993</v>
      </c>
      <c r="F584" s="56" t="s">
        <v>5992</v>
      </c>
      <c r="G584" s="58" t="s">
        <v>1512</v>
      </c>
      <c r="H584" s="56">
        <v>1</v>
      </c>
      <c r="I584" s="56" t="s">
        <v>3740</v>
      </c>
      <c r="J584" s="56">
        <v>220</v>
      </c>
      <c r="K584" s="56">
        <v>168</v>
      </c>
      <c r="P584" s="56">
        <v>0</v>
      </c>
      <c r="S584" s="56">
        <v>0</v>
      </c>
      <c r="T584" s="56" t="s">
        <v>3562</v>
      </c>
      <c r="V584" s="56" t="s">
        <v>3561</v>
      </c>
      <c r="W584" s="56" t="s">
        <v>3548</v>
      </c>
      <c r="X584" s="56" t="s">
        <v>39</v>
      </c>
      <c r="Y584" s="56" t="s">
        <v>4722</v>
      </c>
      <c r="Z584" s="56" t="s">
        <v>5991</v>
      </c>
      <c r="AC584" s="56" t="s">
        <v>3543</v>
      </c>
      <c r="AD584" s="56" t="s">
        <v>24</v>
      </c>
      <c r="AE584" s="56" t="s">
        <v>5833</v>
      </c>
      <c r="AF584" s="56" t="s">
        <v>5990</v>
      </c>
      <c r="AH584" s="56" t="s">
        <v>3542</v>
      </c>
      <c r="AI584" s="56" t="s">
        <v>3723</v>
      </c>
    </row>
    <row r="585" spans="1:35" ht="33" customHeight="1">
      <c r="A585" s="56" t="s">
        <v>5994</v>
      </c>
      <c r="B585" s="57">
        <v>44360.529490740744</v>
      </c>
      <c r="C585" s="56" t="s">
        <v>3803</v>
      </c>
      <c r="D585" s="56" t="s">
        <v>3802</v>
      </c>
      <c r="E585" s="56" t="s">
        <v>5993</v>
      </c>
      <c r="F585" s="56" t="s">
        <v>5992</v>
      </c>
      <c r="G585" s="58" t="s">
        <v>1498</v>
      </c>
      <c r="H585" s="56">
        <v>1</v>
      </c>
      <c r="I585" s="56" t="s">
        <v>5272</v>
      </c>
      <c r="J585" s="56">
        <v>200</v>
      </c>
      <c r="K585" s="56">
        <v>99</v>
      </c>
      <c r="P585" s="56">
        <v>0</v>
      </c>
      <c r="S585" s="56">
        <v>0</v>
      </c>
      <c r="T585" s="56" t="s">
        <v>3562</v>
      </c>
      <c r="V585" s="56" t="s">
        <v>3561</v>
      </c>
      <c r="W585" s="56" t="s">
        <v>3548</v>
      </c>
      <c r="X585" s="56" t="s">
        <v>39</v>
      </c>
      <c r="Y585" s="56" t="s">
        <v>4722</v>
      </c>
      <c r="Z585" s="56" t="s">
        <v>5991</v>
      </c>
      <c r="AC585" s="56" t="s">
        <v>3543</v>
      </c>
      <c r="AD585" s="56" t="s">
        <v>24</v>
      </c>
      <c r="AE585" s="56" t="s">
        <v>5833</v>
      </c>
      <c r="AF585" s="56" t="s">
        <v>5990</v>
      </c>
      <c r="AH585" s="56" t="s">
        <v>3542</v>
      </c>
      <c r="AI585" s="56" t="s">
        <v>3723</v>
      </c>
    </row>
    <row r="586" spans="1:35" ht="33" customHeight="1">
      <c r="A586" s="56" t="s">
        <v>5994</v>
      </c>
      <c r="B586" s="57">
        <v>44360.529490740744</v>
      </c>
      <c r="C586" s="56" t="s">
        <v>3803</v>
      </c>
      <c r="D586" s="56" t="s">
        <v>3802</v>
      </c>
      <c r="E586" s="56" t="s">
        <v>5993</v>
      </c>
      <c r="F586" s="56" t="s">
        <v>5992</v>
      </c>
      <c r="G586" s="58" t="s">
        <v>3551</v>
      </c>
      <c r="H586" s="56">
        <v>1</v>
      </c>
      <c r="I586" s="56" t="s">
        <v>3550</v>
      </c>
      <c r="J586" s="56">
        <v>0</v>
      </c>
      <c r="K586" s="56">
        <v>0</v>
      </c>
      <c r="P586" s="56">
        <v>0</v>
      </c>
      <c r="S586" s="56">
        <v>0</v>
      </c>
      <c r="T586" s="56" t="s">
        <v>3562</v>
      </c>
      <c r="V586" s="56" t="s">
        <v>3561</v>
      </c>
      <c r="W586" s="56" t="s">
        <v>3548</v>
      </c>
      <c r="X586" s="56" t="s">
        <v>39</v>
      </c>
      <c r="Y586" s="56" t="s">
        <v>4722</v>
      </c>
      <c r="Z586" s="56" t="s">
        <v>5991</v>
      </c>
      <c r="AC586" s="56" t="s">
        <v>3543</v>
      </c>
      <c r="AD586" s="56" t="s">
        <v>24</v>
      </c>
      <c r="AE586" s="56" t="s">
        <v>5833</v>
      </c>
      <c r="AF586" s="56" t="s">
        <v>5990</v>
      </c>
      <c r="AH586" s="56" t="s">
        <v>3542</v>
      </c>
      <c r="AI586" s="56" t="s">
        <v>3723</v>
      </c>
    </row>
    <row r="587" spans="1:35" ht="33" customHeight="1">
      <c r="A587" s="56" t="s">
        <v>5994</v>
      </c>
      <c r="B587" s="57">
        <v>44360.529490740744</v>
      </c>
      <c r="C587" s="56" t="s">
        <v>3803</v>
      </c>
      <c r="D587" s="56" t="s">
        <v>3802</v>
      </c>
      <c r="E587" s="56" t="s">
        <v>5993</v>
      </c>
      <c r="F587" s="56" t="s">
        <v>5992</v>
      </c>
      <c r="G587" s="58" t="s">
        <v>1498</v>
      </c>
      <c r="H587" s="56">
        <v>1</v>
      </c>
      <c r="I587" s="56" t="s">
        <v>4016</v>
      </c>
      <c r="J587" s="56">
        <v>0</v>
      </c>
      <c r="K587" s="56">
        <v>0</v>
      </c>
      <c r="P587" s="56">
        <v>0</v>
      </c>
      <c r="S587" s="56">
        <v>0</v>
      </c>
      <c r="T587" s="56" t="s">
        <v>3562</v>
      </c>
      <c r="V587" s="56" t="s">
        <v>3561</v>
      </c>
      <c r="W587" s="56" t="s">
        <v>3548</v>
      </c>
      <c r="X587" s="56" t="s">
        <v>39</v>
      </c>
      <c r="Y587" s="56" t="s">
        <v>4722</v>
      </c>
      <c r="Z587" s="56" t="s">
        <v>5991</v>
      </c>
      <c r="AC587" s="56" t="s">
        <v>3543</v>
      </c>
      <c r="AD587" s="56" t="s">
        <v>24</v>
      </c>
      <c r="AE587" s="56" t="s">
        <v>5833</v>
      </c>
      <c r="AF587" s="56" t="s">
        <v>5990</v>
      </c>
      <c r="AH587" s="56" t="s">
        <v>3542</v>
      </c>
      <c r="AI587" s="56" t="s">
        <v>3723</v>
      </c>
    </row>
    <row r="588" spans="1:35" ht="33" customHeight="1">
      <c r="A588" s="56" t="s">
        <v>5989</v>
      </c>
      <c r="B588" s="57">
        <v>44360.53565972222</v>
      </c>
      <c r="C588" s="56" t="s">
        <v>4512</v>
      </c>
      <c r="D588" s="56" t="s">
        <v>4511</v>
      </c>
      <c r="E588" s="56" t="s">
        <v>5988</v>
      </c>
      <c r="F588" s="56" t="s">
        <v>5987</v>
      </c>
      <c r="G588" s="58" t="s">
        <v>3656</v>
      </c>
      <c r="H588" s="56">
        <v>1</v>
      </c>
      <c r="I588" s="56" t="s">
        <v>3655</v>
      </c>
      <c r="J588" s="56">
        <v>1107</v>
      </c>
      <c r="K588" s="56">
        <v>799</v>
      </c>
      <c r="L588" s="56">
        <v>799</v>
      </c>
      <c r="M588" s="56">
        <v>65</v>
      </c>
      <c r="N588" s="56">
        <v>0</v>
      </c>
      <c r="O588" s="56">
        <v>0</v>
      </c>
      <c r="P588" s="56">
        <v>0</v>
      </c>
      <c r="Q588" s="56">
        <v>864</v>
      </c>
      <c r="R588" s="56">
        <v>0</v>
      </c>
      <c r="S588" s="56">
        <v>0</v>
      </c>
      <c r="T588" s="56" t="s">
        <v>3562</v>
      </c>
      <c r="U588" s="56">
        <v>864</v>
      </c>
      <c r="V588" s="56" t="s">
        <v>3612</v>
      </c>
      <c r="W588" s="56" t="s">
        <v>3548</v>
      </c>
      <c r="X588" s="56" t="s">
        <v>3611</v>
      </c>
      <c r="Z588" s="56" t="s">
        <v>3546</v>
      </c>
      <c r="AA588" s="56" t="s">
        <v>5986</v>
      </c>
      <c r="AB588" s="56" t="s">
        <v>5985</v>
      </c>
      <c r="AC588" s="56" t="s">
        <v>3543</v>
      </c>
      <c r="AD588" s="56" t="s">
        <v>24</v>
      </c>
      <c r="AE588" s="56" t="s">
        <v>4530</v>
      </c>
      <c r="AF588" s="56" t="s">
        <v>5984</v>
      </c>
      <c r="AH588" s="56" t="s">
        <v>3542</v>
      </c>
      <c r="AI588" s="56" t="s">
        <v>3723</v>
      </c>
    </row>
    <row r="589" spans="1:35" ht="33" customHeight="1">
      <c r="A589" s="56" t="s">
        <v>5989</v>
      </c>
      <c r="B589" s="57">
        <v>44360.53565972222</v>
      </c>
      <c r="C589" s="56" t="s">
        <v>4512</v>
      </c>
      <c r="D589" s="56" t="s">
        <v>4511</v>
      </c>
      <c r="E589" s="56" t="s">
        <v>5988</v>
      </c>
      <c r="F589" s="56" t="s">
        <v>5987</v>
      </c>
      <c r="G589" s="58" t="s">
        <v>3551</v>
      </c>
      <c r="H589" s="56">
        <v>1</v>
      </c>
      <c r="I589" s="56" t="s">
        <v>3550</v>
      </c>
      <c r="J589" s="56">
        <v>0</v>
      </c>
      <c r="K589" s="56">
        <v>0</v>
      </c>
      <c r="P589" s="56">
        <v>0</v>
      </c>
      <c r="S589" s="56">
        <v>0</v>
      </c>
      <c r="T589" s="56" t="s">
        <v>3562</v>
      </c>
      <c r="V589" s="56" t="s">
        <v>3612</v>
      </c>
      <c r="W589" s="56" t="s">
        <v>3548</v>
      </c>
      <c r="X589" s="56" t="s">
        <v>3611</v>
      </c>
      <c r="Z589" s="56" t="s">
        <v>3546</v>
      </c>
      <c r="AA589" s="56" t="s">
        <v>5986</v>
      </c>
      <c r="AB589" s="56" t="s">
        <v>5985</v>
      </c>
      <c r="AC589" s="56" t="s">
        <v>3543</v>
      </c>
      <c r="AD589" s="56" t="s">
        <v>24</v>
      </c>
      <c r="AE589" s="56" t="s">
        <v>4530</v>
      </c>
      <c r="AF589" s="56" t="s">
        <v>5984</v>
      </c>
      <c r="AH589" s="56" t="s">
        <v>3542</v>
      </c>
      <c r="AI589" s="56" t="s">
        <v>3723</v>
      </c>
    </row>
    <row r="590" spans="1:35" ht="33" customHeight="1">
      <c r="A590" s="56" t="s">
        <v>5983</v>
      </c>
      <c r="B590" s="57">
        <v>44360.538969907408</v>
      </c>
      <c r="C590" s="56" t="s">
        <v>4512</v>
      </c>
      <c r="D590" s="56" t="s">
        <v>4511</v>
      </c>
      <c r="E590" s="56" t="s">
        <v>5982</v>
      </c>
      <c r="F590" s="56" t="s">
        <v>5981</v>
      </c>
      <c r="G590" s="58" t="s">
        <v>3681</v>
      </c>
      <c r="H590" s="56">
        <v>1</v>
      </c>
      <c r="I590" s="56" t="s">
        <v>3569</v>
      </c>
      <c r="J590" s="56">
        <v>894</v>
      </c>
      <c r="K590" s="56">
        <v>750</v>
      </c>
      <c r="L590" s="56">
        <v>1067</v>
      </c>
      <c r="M590" s="56">
        <v>0</v>
      </c>
      <c r="N590" s="56">
        <v>0</v>
      </c>
      <c r="O590" s="56">
        <v>100</v>
      </c>
      <c r="P590" s="56">
        <v>0</v>
      </c>
      <c r="Q590" s="56">
        <v>967</v>
      </c>
      <c r="R590" s="56">
        <v>0</v>
      </c>
      <c r="S590" s="56">
        <v>0</v>
      </c>
      <c r="T590" s="56" t="s">
        <v>3562</v>
      </c>
      <c r="U590" s="56">
        <v>967</v>
      </c>
      <c r="V590" s="56" t="s">
        <v>3612</v>
      </c>
      <c r="W590" s="56" t="s">
        <v>3548</v>
      </c>
      <c r="X590" s="56" t="s">
        <v>3611</v>
      </c>
      <c r="Z590" s="56" t="s">
        <v>3546</v>
      </c>
      <c r="AA590" s="56" t="s">
        <v>5980</v>
      </c>
      <c r="AB590" s="56" t="s">
        <v>5979</v>
      </c>
      <c r="AC590" s="56" t="s">
        <v>3543</v>
      </c>
      <c r="AD590" s="56" t="s">
        <v>24</v>
      </c>
      <c r="AE590" s="56" t="s">
        <v>4834</v>
      </c>
      <c r="AF590" s="56" t="s">
        <v>5978</v>
      </c>
      <c r="AH590" s="56" t="s">
        <v>3542</v>
      </c>
      <c r="AI590" s="56" t="s">
        <v>3723</v>
      </c>
    </row>
    <row r="591" spans="1:35" ht="33" customHeight="1">
      <c r="A591" s="56" t="s">
        <v>5983</v>
      </c>
      <c r="B591" s="57">
        <v>44360.538969907408</v>
      </c>
      <c r="C591" s="56" t="s">
        <v>4512</v>
      </c>
      <c r="D591" s="56" t="s">
        <v>4511</v>
      </c>
      <c r="E591" s="56" t="s">
        <v>5982</v>
      </c>
      <c r="F591" s="56" t="s">
        <v>5981</v>
      </c>
      <c r="G591" s="58" t="s">
        <v>1514</v>
      </c>
      <c r="H591" s="56">
        <v>1</v>
      </c>
      <c r="I591" s="56" t="s">
        <v>3740</v>
      </c>
      <c r="J591" s="56">
        <v>220</v>
      </c>
      <c r="K591" s="56">
        <v>168</v>
      </c>
      <c r="P591" s="56">
        <v>0</v>
      </c>
      <c r="S591" s="56">
        <v>0</v>
      </c>
      <c r="T591" s="56" t="s">
        <v>3562</v>
      </c>
      <c r="V591" s="56" t="s">
        <v>3612</v>
      </c>
      <c r="W591" s="56" t="s">
        <v>3548</v>
      </c>
      <c r="X591" s="56" t="s">
        <v>3611</v>
      </c>
      <c r="Z591" s="56" t="s">
        <v>3546</v>
      </c>
      <c r="AA591" s="56" t="s">
        <v>5980</v>
      </c>
      <c r="AB591" s="56" t="s">
        <v>5979</v>
      </c>
      <c r="AC591" s="56" t="s">
        <v>3543</v>
      </c>
      <c r="AD591" s="56" t="s">
        <v>24</v>
      </c>
      <c r="AE591" s="56" t="s">
        <v>4834</v>
      </c>
      <c r="AF591" s="56" t="s">
        <v>5978</v>
      </c>
      <c r="AH591" s="56" t="s">
        <v>3542</v>
      </c>
      <c r="AI591" s="56" t="s">
        <v>3723</v>
      </c>
    </row>
    <row r="592" spans="1:35" ht="33" customHeight="1">
      <c r="A592" s="56" t="s">
        <v>5983</v>
      </c>
      <c r="B592" s="57">
        <v>44360.538969907408</v>
      </c>
      <c r="C592" s="56" t="s">
        <v>4512</v>
      </c>
      <c r="D592" s="56" t="s">
        <v>4511</v>
      </c>
      <c r="E592" s="56" t="s">
        <v>5982</v>
      </c>
      <c r="F592" s="56" t="s">
        <v>5981</v>
      </c>
      <c r="G592" s="58" t="s">
        <v>3187</v>
      </c>
      <c r="H592" s="56">
        <v>1</v>
      </c>
      <c r="I592" s="56" t="s">
        <v>3761</v>
      </c>
      <c r="J592" s="56">
        <v>149</v>
      </c>
      <c r="K592" s="56">
        <v>149</v>
      </c>
      <c r="P592" s="56">
        <v>0</v>
      </c>
      <c r="S592" s="56">
        <v>0</v>
      </c>
      <c r="T592" s="56" t="s">
        <v>3562</v>
      </c>
      <c r="V592" s="56" t="s">
        <v>3612</v>
      </c>
      <c r="W592" s="56" t="s">
        <v>3548</v>
      </c>
      <c r="X592" s="56" t="s">
        <v>3611</v>
      </c>
      <c r="Z592" s="56" t="s">
        <v>3546</v>
      </c>
      <c r="AA592" s="56" t="s">
        <v>5980</v>
      </c>
      <c r="AB592" s="56" t="s">
        <v>5979</v>
      </c>
      <c r="AC592" s="56" t="s">
        <v>3543</v>
      </c>
      <c r="AD592" s="56" t="s">
        <v>24</v>
      </c>
      <c r="AE592" s="56" t="s">
        <v>4834</v>
      </c>
      <c r="AF592" s="56" t="s">
        <v>5978</v>
      </c>
      <c r="AH592" s="56" t="s">
        <v>3542</v>
      </c>
      <c r="AI592" s="56" t="s">
        <v>3723</v>
      </c>
    </row>
    <row r="593" spans="1:35" ht="33" customHeight="1">
      <c r="A593" s="56" t="s">
        <v>5983</v>
      </c>
      <c r="B593" s="57">
        <v>44360.538969907408</v>
      </c>
      <c r="C593" s="56" t="s">
        <v>4512</v>
      </c>
      <c r="D593" s="56" t="s">
        <v>4511</v>
      </c>
      <c r="E593" s="56" t="s">
        <v>5982</v>
      </c>
      <c r="F593" s="56" t="s">
        <v>5981</v>
      </c>
      <c r="G593" s="58" t="s">
        <v>3551</v>
      </c>
      <c r="H593" s="56">
        <v>1</v>
      </c>
      <c r="I593" s="56" t="s">
        <v>3550</v>
      </c>
      <c r="J593" s="56">
        <v>0</v>
      </c>
      <c r="K593" s="56">
        <v>0</v>
      </c>
      <c r="P593" s="56">
        <v>0</v>
      </c>
      <c r="S593" s="56">
        <v>0</v>
      </c>
      <c r="T593" s="56" t="s">
        <v>3562</v>
      </c>
      <c r="V593" s="56" t="s">
        <v>3612</v>
      </c>
      <c r="W593" s="56" t="s">
        <v>3548</v>
      </c>
      <c r="X593" s="56" t="s">
        <v>3611</v>
      </c>
      <c r="Z593" s="56" t="s">
        <v>3546</v>
      </c>
      <c r="AA593" s="56" t="s">
        <v>5980</v>
      </c>
      <c r="AB593" s="56" t="s">
        <v>5979</v>
      </c>
      <c r="AC593" s="56" t="s">
        <v>3543</v>
      </c>
      <c r="AD593" s="56" t="s">
        <v>24</v>
      </c>
      <c r="AE593" s="56" t="s">
        <v>4834</v>
      </c>
      <c r="AF593" s="56" t="s">
        <v>5978</v>
      </c>
      <c r="AH593" s="56" t="s">
        <v>3542</v>
      </c>
      <c r="AI593" s="56" t="s">
        <v>3723</v>
      </c>
    </row>
    <row r="594" spans="1:35" ht="33" customHeight="1">
      <c r="A594" s="56" t="s">
        <v>5983</v>
      </c>
      <c r="B594" s="57">
        <v>44360.538969907408</v>
      </c>
      <c r="C594" s="56" t="s">
        <v>4512</v>
      </c>
      <c r="D594" s="56" t="s">
        <v>4511</v>
      </c>
      <c r="E594" s="56" t="s">
        <v>5982</v>
      </c>
      <c r="F594" s="56" t="s">
        <v>5981</v>
      </c>
      <c r="G594" s="58" t="s">
        <v>1498</v>
      </c>
      <c r="H594" s="56">
        <v>1</v>
      </c>
      <c r="I594" s="56" t="s">
        <v>4016</v>
      </c>
      <c r="J594" s="56">
        <v>0</v>
      </c>
      <c r="K594" s="56">
        <v>0</v>
      </c>
      <c r="P594" s="56">
        <v>0</v>
      </c>
      <c r="S594" s="56">
        <v>0</v>
      </c>
      <c r="T594" s="56" t="s">
        <v>3562</v>
      </c>
      <c r="V594" s="56" t="s">
        <v>3612</v>
      </c>
      <c r="W594" s="56" t="s">
        <v>3548</v>
      </c>
      <c r="X594" s="56" t="s">
        <v>3611</v>
      </c>
      <c r="Z594" s="56" t="s">
        <v>3546</v>
      </c>
      <c r="AA594" s="56" t="s">
        <v>5980</v>
      </c>
      <c r="AB594" s="56" t="s">
        <v>5979</v>
      </c>
      <c r="AC594" s="56" t="s">
        <v>3543</v>
      </c>
      <c r="AD594" s="56" t="s">
        <v>24</v>
      </c>
      <c r="AE594" s="56" t="s">
        <v>4834</v>
      </c>
      <c r="AF594" s="56" t="s">
        <v>5978</v>
      </c>
      <c r="AH594" s="56" t="s">
        <v>3542</v>
      </c>
      <c r="AI594" s="56" t="s">
        <v>3723</v>
      </c>
    </row>
    <row r="595" spans="1:35" ht="33" customHeight="1">
      <c r="A595" s="56" t="s">
        <v>5977</v>
      </c>
      <c r="B595" s="57">
        <v>44360.540416666663</v>
      </c>
      <c r="C595" s="56" t="s">
        <v>3803</v>
      </c>
      <c r="D595" s="56" t="s">
        <v>25</v>
      </c>
      <c r="E595" s="56" t="s">
        <v>5976</v>
      </c>
      <c r="F595" s="56" t="s">
        <v>5975</v>
      </c>
      <c r="G595" s="58" t="s">
        <v>3570</v>
      </c>
      <c r="H595" s="56">
        <v>2</v>
      </c>
      <c r="I595" s="56" t="s">
        <v>3569</v>
      </c>
      <c r="J595" s="56">
        <v>894</v>
      </c>
      <c r="K595" s="56">
        <v>750</v>
      </c>
      <c r="L595" s="56">
        <v>1500</v>
      </c>
      <c r="M595" s="56">
        <v>0</v>
      </c>
      <c r="N595" s="56">
        <v>0</v>
      </c>
      <c r="O595" s="56">
        <v>150</v>
      </c>
      <c r="P595" s="56">
        <v>0</v>
      </c>
      <c r="Q595" s="56">
        <v>1350</v>
      </c>
      <c r="R595" s="56">
        <v>0</v>
      </c>
      <c r="S595" s="56">
        <v>0</v>
      </c>
      <c r="T595" s="56" t="s">
        <v>27</v>
      </c>
      <c r="U595" s="56">
        <v>1350</v>
      </c>
      <c r="V595" s="56" t="s">
        <v>3612</v>
      </c>
      <c r="W595" s="56" t="s">
        <v>3548</v>
      </c>
      <c r="X595" s="56" t="s">
        <v>3611</v>
      </c>
      <c r="Z595" s="56" t="s">
        <v>3546</v>
      </c>
      <c r="AA595" s="56" t="s">
        <v>5974</v>
      </c>
      <c r="AB595" s="56" t="s">
        <v>5973</v>
      </c>
      <c r="AC595" s="56" t="s">
        <v>3842</v>
      </c>
      <c r="AH595" s="56" t="s">
        <v>3542</v>
      </c>
      <c r="AI595" s="56" t="s">
        <v>3541</v>
      </c>
    </row>
    <row r="596" spans="1:35" ht="33" customHeight="1">
      <c r="A596" s="56" t="s">
        <v>5977</v>
      </c>
      <c r="B596" s="57">
        <v>44360.540416666663</v>
      </c>
      <c r="C596" s="56" t="s">
        <v>3803</v>
      </c>
      <c r="D596" s="56" t="s">
        <v>25</v>
      </c>
      <c r="E596" s="56" t="s">
        <v>5976</v>
      </c>
      <c r="F596" s="56" t="s">
        <v>5975</v>
      </c>
      <c r="G596" s="58" t="s">
        <v>3551</v>
      </c>
      <c r="H596" s="56">
        <v>1</v>
      </c>
      <c r="I596" s="56" t="s">
        <v>3550</v>
      </c>
      <c r="J596" s="56">
        <v>0</v>
      </c>
      <c r="K596" s="56">
        <v>0</v>
      </c>
      <c r="P596" s="56">
        <v>0</v>
      </c>
      <c r="S596" s="56">
        <v>0</v>
      </c>
      <c r="T596" s="56" t="s">
        <v>27</v>
      </c>
      <c r="V596" s="56" t="s">
        <v>3612</v>
      </c>
      <c r="W596" s="56" t="s">
        <v>3548</v>
      </c>
      <c r="X596" s="56" t="s">
        <v>3611</v>
      </c>
      <c r="Z596" s="56" t="s">
        <v>3546</v>
      </c>
      <c r="AA596" s="56" t="s">
        <v>5974</v>
      </c>
      <c r="AB596" s="56" t="s">
        <v>5973</v>
      </c>
      <c r="AC596" s="56" t="s">
        <v>3842</v>
      </c>
      <c r="AH596" s="56" t="s">
        <v>3542</v>
      </c>
      <c r="AI596" s="56" t="s">
        <v>3541</v>
      </c>
    </row>
    <row r="597" spans="1:35" ht="33" customHeight="1">
      <c r="A597" s="56" t="s">
        <v>5977</v>
      </c>
      <c r="B597" s="57">
        <v>44360.540416666663</v>
      </c>
      <c r="C597" s="56" t="s">
        <v>3803</v>
      </c>
      <c r="D597" s="56" t="s">
        <v>25</v>
      </c>
      <c r="E597" s="56" t="s">
        <v>5976</v>
      </c>
      <c r="F597" s="56" t="s">
        <v>5975</v>
      </c>
      <c r="G597" s="58" t="s">
        <v>1713</v>
      </c>
      <c r="H597" s="56">
        <v>1</v>
      </c>
      <c r="I597" s="56" t="s">
        <v>3568</v>
      </c>
      <c r="J597" s="56">
        <v>0</v>
      </c>
      <c r="K597" s="56">
        <v>0</v>
      </c>
      <c r="P597" s="56">
        <v>0</v>
      </c>
      <c r="S597" s="56">
        <v>0</v>
      </c>
      <c r="T597" s="56" t="s">
        <v>27</v>
      </c>
      <c r="V597" s="56" t="s">
        <v>3612</v>
      </c>
      <c r="W597" s="56" t="s">
        <v>3548</v>
      </c>
      <c r="X597" s="56" t="s">
        <v>3611</v>
      </c>
      <c r="Z597" s="56" t="s">
        <v>3546</v>
      </c>
      <c r="AA597" s="56" t="s">
        <v>5974</v>
      </c>
      <c r="AB597" s="56" t="s">
        <v>5973</v>
      </c>
      <c r="AC597" s="56" t="s">
        <v>3842</v>
      </c>
      <c r="AH597" s="56" t="s">
        <v>3542</v>
      </c>
      <c r="AI597" s="56" t="s">
        <v>3541</v>
      </c>
    </row>
    <row r="598" spans="1:35" ht="33" customHeight="1">
      <c r="A598" s="56" t="s">
        <v>5977</v>
      </c>
      <c r="B598" s="57">
        <v>44360.540416666663</v>
      </c>
      <c r="C598" s="56" t="s">
        <v>3803</v>
      </c>
      <c r="D598" s="56" t="s">
        <v>25</v>
      </c>
      <c r="E598" s="56" t="s">
        <v>5976</v>
      </c>
      <c r="F598" s="56" t="s">
        <v>5975</v>
      </c>
      <c r="G598" s="58" t="s">
        <v>1498</v>
      </c>
      <c r="H598" s="56">
        <v>1</v>
      </c>
      <c r="I598" s="56" t="s">
        <v>4016</v>
      </c>
      <c r="J598" s="56">
        <v>0</v>
      </c>
      <c r="K598" s="56">
        <v>0</v>
      </c>
      <c r="P598" s="56">
        <v>0</v>
      </c>
      <c r="S598" s="56">
        <v>0</v>
      </c>
      <c r="T598" s="56" t="s">
        <v>27</v>
      </c>
      <c r="V598" s="56" t="s">
        <v>3612</v>
      </c>
      <c r="W598" s="56" t="s">
        <v>3548</v>
      </c>
      <c r="X598" s="56" t="s">
        <v>3611</v>
      </c>
      <c r="Z598" s="56" t="s">
        <v>3546</v>
      </c>
      <c r="AA598" s="56" t="s">
        <v>5974</v>
      </c>
      <c r="AB598" s="56" t="s">
        <v>5973</v>
      </c>
      <c r="AC598" s="56" t="s">
        <v>3842</v>
      </c>
      <c r="AH598" s="56" t="s">
        <v>3542</v>
      </c>
      <c r="AI598" s="56" t="s">
        <v>3541</v>
      </c>
    </row>
    <row r="599" spans="1:35" ht="33" customHeight="1">
      <c r="A599" s="56" t="s">
        <v>5971</v>
      </c>
      <c r="B599" s="57">
        <v>44360.54184027778</v>
      </c>
      <c r="C599" s="56" t="s">
        <v>4512</v>
      </c>
      <c r="D599" s="56" t="s">
        <v>4511</v>
      </c>
      <c r="E599" s="56" t="s">
        <v>5970</v>
      </c>
      <c r="F599" s="56" t="s">
        <v>5969</v>
      </c>
      <c r="G599" s="58" t="s">
        <v>5972</v>
      </c>
      <c r="H599" s="56">
        <v>1</v>
      </c>
      <c r="I599" s="56" t="s">
        <v>3692</v>
      </c>
      <c r="J599" s="56">
        <v>207</v>
      </c>
      <c r="K599" s="56">
        <v>199</v>
      </c>
      <c r="L599" s="56">
        <v>946</v>
      </c>
      <c r="M599" s="56">
        <v>0</v>
      </c>
      <c r="N599" s="56">
        <v>0</v>
      </c>
      <c r="O599" s="56">
        <v>0</v>
      </c>
      <c r="P599" s="56">
        <v>0</v>
      </c>
      <c r="Q599" s="56">
        <v>946</v>
      </c>
      <c r="R599" s="56">
        <v>0</v>
      </c>
      <c r="S599" s="56">
        <v>0</v>
      </c>
      <c r="T599" s="56" t="s">
        <v>3562</v>
      </c>
      <c r="U599" s="56">
        <v>946</v>
      </c>
      <c r="V599" s="56" t="s">
        <v>3549</v>
      </c>
      <c r="W599" s="56" t="s">
        <v>3548</v>
      </c>
      <c r="X599" s="56" t="s">
        <v>3547</v>
      </c>
      <c r="Z599" s="56" t="s">
        <v>3546</v>
      </c>
      <c r="AA599" s="56" t="s">
        <v>5968</v>
      </c>
      <c r="AB599" s="56" t="s">
        <v>5967</v>
      </c>
      <c r="AC599" s="56" t="s">
        <v>3543</v>
      </c>
      <c r="AD599" s="56" t="s">
        <v>24</v>
      </c>
      <c r="AE599" s="56" t="s">
        <v>4530</v>
      </c>
      <c r="AF599" s="56" t="s">
        <v>5966</v>
      </c>
      <c r="AH599" s="56" t="s">
        <v>3542</v>
      </c>
      <c r="AI599" s="56" t="s">
        <v>3723</v>
      </c>
    </row>
    <row r="600" spans="1:35" ht="33" customHeight="1">
      <c r="A600" s="56" t="s">
        <v>5971</v>
      </c>
      <c r="B600" s="57">
        <v>44360.54184027778</v>
      </c>
      <c r="C600" s="56" t="s">
        <v>4512</v>
      </c>
      <c r="D600" s="56" t="s">
        <v>4511</v>
      </c>
      <c r="E600" s="56" t="s">
        <v>5970</v>
      </c>
      <c r="F600" s="56" t="s">
        <v>5969</v>
      </c>
      <c r="G600" s="58" t="s">
        <v>1506</v>
      </c>
      <c r="H600" s="56">
        <v>2</v>
      </c>
      <c r="I600" s="56" t="s">
        <v>3696</v>
      </c>
      <c r="J600" s="56">
        <v>299</v>
      </c>
      <c r="K600" s="56">
        <v>299</v>
      </c>
      <c r="P600" s="56">
        <v>0</v>
      </c>
      <c r="S600" s="56">
        <v>0</v>
      </c>
      <c r="T600" s="56" t="s">
        <v>3562</v>
      </c>
      <c r="V600" s="56" t="s">
        <v>3549</v>
      </c>
      <c r="W600" s="56" t="s">
        <v>3548</v>
      </c>
      <c r="X600" s="56" t="s">
        <v>3547</v>
      </c>
      <c r="Z600" s="56" t="s">
        <v>3546</v>
      </c>
      <c r="AA600" s="56" t="s">
        <v>5968</v>
      </c>
      <c r="AB600" s="56" t="s">
        <v>5967</v>
      </c>
      <c r="AC600" s="56" t="s">
        <v>3543</v>
      </c>
      <c r="AD600" s="56" t="s">
        <v>24</v>
      </c>
      <c r="AE600" s="56" t="s">
        <v>4530</v>
      </c>
      <c r="AF600" s="56" t="s">
        <v>5966</v>
      </c>
      <c r="AH600" s="56" t="s">
        <v>3542</v>
      </c>
      <c r="AI600" s="56" t="s">
        <v>3723</v>
      </c>
    </row>
    <row r="601" spans="1:35" ht="33" customHeight="1">
      <c r="A601" s="56" t="s">
        <v>5971</v>
      </c>
      <c r="B601" s="57">
        <v>44360.54184027778</v>
      </c>
      <c r="C601" s="56" t="s">
        <v>4512</v>
      </c>
      <c r="D601" s="56" t="s">
        <v>4511</v>
      </c>
      <c r="E601" s="56" t="s">
        <v>5970</v>
      </c>
      <c r="F601" s="56" t="s">
        <v>5969</v>
      </c>
      <c r="G601" s="58" t="s">
        <v>1713</v>
      </c>
      <c r="H601" s="56">
        <v>1</v>
      </c>
      <c r="I601" s="56" t="s">
        <v>3587</v>
      </c>
      <c r="J601" s="56">
        <v>149</v>
      </c>
      <c r="K601" s="56">
        <v>149</v>
      </c>
      <c r="P601" s="56">
        <v>0</v>
      </c>
      <c r="S601" s="56">
        <v>0</v>
      </c>
      <c r="T601" s="56" t="s">
        <v>3562</v>
      </c>
      <c r="V601" s="56" t="s">
        <v>3549</v>
      </c>
      <c r="W601" s="56" t="s">
        <v>3548</v>
      </c>
      <c r="X601" s="56" t="s">
        <v>3547</v>
      </c>
      <c r="Z601" s="56" t="s">
        <v>3546</v>
      </c>
      <c r="AA601" s="56" t="s">
        <v>5968</v>
      </c>
      <c r="AB601" s="56" t="s">
        <v>5967</v>
      </c>
      <c r="AC601" s="56" t="s">
        <v>3543</v>
      </c>
      <c r="AD601" s="56" t="s">
        <v>24</v>
      </c>
      <c r="AE601" s="56" t="s">
        <v>4530</v>
      </c>
      <c r="AF601" s="56" t="s">
        <v>5966</v>
      </c>
      <c r="AH601" s="56" t="s">
        <v>3542</v>
      </c>
      <c r="AI601" s="56" t="s">
        <v>3723</v>
      </c>
    </row>
    <row r="602" spans="1:35" ht="33" customHeight="1">
      <c r="A602" s="56" t="s">
        <v>5971</v>
      </c>
      <c r="B602" s="57">
        <v>44360.54184027778</v>
      </c>
      <c r="C602" s="56" t="s">
        <v>4512</v>
      </c>
      <c r="D602" s="56" t="s">
        <v>4511</v>
      </c>
      <c r="E602" s="56" t="s">
        <v>5970</v>
      </c>
      <c r="F602" s="56" t="s">
        <v>5969</v>
      </c>
      <c r="G602" s="58" t="s">
        <v>3551</v>
      </c>
      <c r="H602" s="56">
        <v>1</v>
      </c>
      <c r="I602" s="56" t="s">
        <v>3550</v>
      </c>
      <c r="J602" s="56">
        <v>0</v>
      </c>
      <c r="K602" s="56">
        <v>0</v>
      </c>
      <c r="P602" s="56">
        <v>0</v>
      </c>
      <c r="S602" s="56">
        <v>0</v>
      </c>
      <c r="T602" s="56" t="s">
        <v>3562</v>
      </c>
      <c r="V602" s="56" t="s">
        <v>3549</v>
      </c>
      <c r="W602" s="56" t="s">
        <v>3548</v>
      </c>
      <c r="X602" s="56" t="s">
        <v>3547</v>
      </c>
      <c r="Z602" s="56" t="s">
        <v>3546</v>
      </c>
      <c r="AA602" s="56" t="s">
        <v>5968</v>
      </c>
      <c r="AB602" s="56" t="s">
        <v>5967</v>
      </c>
      <c r="AC602" s="56" t="s">
        <v>3543</v>
      </c>
      <c r="AD602" s="56" t="s">
        <v>24</v>
      </c>
      <c r="AE602" s="56" t="s">
        <v>4530</v>
      </c>
      <c r="AF602" s="56" t="s">
        <v>5966</v>
      </c>
      <c r="AH602" s="56" t="s">
        <v>3542</v>
      </c>
      <c r="AI602" s="56" t="s">
        <v>3723</v>
      </c>
    </row>
    <row r="603" spans="1:35" ht="33" customHeight="1">
      <c r="A603" s="56" t="s">
        <v>5971</v>
      </c>
      <c r="B603" s="57">
        <v>44360.54184027778</v>
      </c>
      <c r="C603" s="56" t="s">
        <v>4512</v>
      </c>
      <c r="D603" s="56" t="s">
        <v>4511</v>
      </c>
      <c r="E603" s="56" t="s">
        <v>5970</v>
      </c>
      <c r="F603" s="56" t="s">
        <v>5969</v>
      </c>
      <c r="G603" s="58" t="s">
        <v>1498</v>
      </c>
      <c r="H603" s="56">
        <v>1</v>
      </c>
      <c r="I603" s="56" t="s">
        <v>4016</v>
      </c>
      <c r="J603" s="56">
        <v>0</v>
      </c>
      <c r="K603" s="56">
        <v>0</v>
      </c>
      <c r="P603" s="56">
        <v>0</v>
      </c>
      <c r="S603" s="56">
        <v>0</v>
      </c>
      <c r="T603" s="56" t="s">
        <v>3562</v>
      </c>
      <c r="V603" s="56" t="s">
        <v>3549</v>
      </c>
      <c r="W603" s="56" t="s">
        <v>3548</v>
      </c>
      <c r="X603" s="56" t="s">
        <v>3547</v>
      </c>
      <c r="Z603" s="56" t="s">
        <v>3546</v>
      </c>
      <c r="AA603" s="56" t="s">
        <v>5968</v>
      </c>
      <c r="AB603" s="56" t="s">
        <v>5967</v>
      </c>
      <c r="AC603" s="56" t="s">
        <v>3543</v>
      </c>
      <c r="AD603" s="56" t="s">
        <v>24</v>
      </c>
      <c r="AE603" s="56" t="s">
        <v>4530</v>
      </c>
      <c r="AF603" s="56" t="s">
        <v>5966</v>
      </c>
      <c r="AH603" s="56" t="s">
        <v>3542</v>
      </c>
      <c r="AI603" s="56" t="s">
        <v>3723</v>
      </c>
    </row>
    <row r="604" spans="1:35" ht="33" customHeight="1">
      <c r="A604" s="56" t="s">
        <v>5965</v>
      </c>
      <c r="B604" s="57">
        <v>44360.545972222222</v>
      </c>
      <c r="C604" s="56" t="s">
        <v>4512</v>
      </c>
      <c r="D604" s="56" t="s">
        <v>4511</v>
      </c>
      <c r="E604" s="56" t="s">
        <v>5964</v>
      </c>
      <c r="F604" s="56" t="s">
        <v>5963</v>
      </c>
      <c r="G604" s="58" t="s">
        <v>3593</v>
      </c>
      <c r="H604" s="56">
        <v>1</v>
      </c>
      <c r="I604" s="56" t="s">
        <v>3577</v>
      </c>
      <c r="J604" s="56">
        <v>700</v>
      </c>
      <c r="K604" s="56">
        <v>599</v>
      </c>
      <c r="L604" s="56">
        <v>1780</v>
      </c>
      <c r="M604" s="56">
        <v>0</v>
      </c>
      <c r="N604" s="56">
        <v>0</v>
      </c>
      <c r="O604" s="56">
        <v>100</v>
      </c>
      <c r="P604" s="56">
        <v>0</v>
      </c>
      <c r="Q604" s="56">
        <v>1680</v>
      </c>
      <c r="R604" s="56">
        <v>0</v>
      </c>
      <c r="S604" s="56">
        <v>0</v>
      </c>
      <c r="T604" s="56" t="s">
        <v>3562</v>
      </c>
      <c r="U604" s="56">
        <v>1680</v>
      </c>
      <c r="V604" s="56" t="s">
        <v>3549</v>
      </c>
      <c r="W604" s="56" t="s">
        <v>3548</v>
      </c>
      <c r="X604" s="56" t="s">
        <v>3547</v>
      </c>
      <c r="Z604" s="56" t="s">
        <v>3546</v>
      </c>
      <c r="AA604" s="56" t="s">
        <v>5962</v>
      </c>
      <c r="AB604" s="56" t="s">
        <v>5961</v>
      </c>
      <c r="AC604" s="56" t="s">
        <v>3543</v>
      </c>
      <c r="AD604" s="56" t="s">
        <v>24</v>
      </c>
      <c r="AE604" s="56" t="s">
        <v>3725</v>
      </c>
      <c r="AF604" s="56" t="s">
        <v>5960</v>
      </c>
      <c r="AH604" s="56" t="s">
        <v>3542</v>
      </c>
      <c r="AI604" s="56" t="s">
        <v>3723</v>
      </c>
    </row>
    <row r="605" spans="1:35" ht="33" customHeight="1">
      <c r="A605" s="56" t="s">
        <v>5965</v>
      </c>
      <c r="B605" s="57">
        <v>44360.545972222222</v>
      </c>
      <c r="C605" s="56" t="s">
        <v>4512</v>
      </c>
      <c r="D605" s="56" t="s">
        <v>4511</v>
      </c>
      <c r="E605" s="56" t="s">
        <v>5964</v>
      </c>
      <c r="F605" s="56" t="s">
        <v>5963</v>
      </c>
      <c r="G605" s="58" t="s">
        <v>1491</v>
      </c>
      <c r="H605" s="56">
        <v>3</v>
      </c>
      <c r="I605" s="56" t="s">
        <v>3586</v>
      </c>
      <c r="J605" s="56">
        <v>149</v>
      </c>
      <c r="K605" s="56">
        <v>149</v>
      </c>
      <c r="P605" s="56">
        <v>0</v>
      </c>
      <c r="S605" s="56">
        <v>0</v>
      </c>
      <c r="T605" s="56" t="s">
        <v>3562</v>
      </c>
      <c r="V605" s="56" t="s">
        <v>3549</v>
      </c>
      <c r="W605" s="56" t="s">
        <v>3548</v>
      </c>
      <c r="X605" s="56" t="s">
        <v>3547</v>
      </c>
      <c r="Z605" s="56" t="s">
        <v>3546</v>
      </c>
      <c r="AA605" s="56" t="s">
        <v>5962</v>
      </c>
      <c r="AB605" s="56" t="s">
        <v>5961</v>
      </c>
      <c r="AC605" s="56" t="s">
        <v>3543</v>
      </c>
      <c r="AD605" s="56" t="s">
        <v>24</v>
      </c>
      <c r="AE605" s="56" t="s">
        <v>3725</v>
      </c>
      <c r="AF605" s="56" t="s">
        <v>5960</v>
      </c>
      <c r="AH605" s="56" t="s">
        <v>3542</v>
      </c>
      <c r="AI605" s="56" t="s">
        <v>3723</v>
      </c>
    </row>
    <row r="606" spans="1:35" ht="33" customHeight="1">
      <c r="A606" s="56" t="s">
        <v>5965</v>
      </c>
      <c r="B606" s="57">
        <v>44360.545972222222</v>
      </c>
      <c r="C606" s="56" t="s">
        <v>4512</v>
      </c>
      <c r="D606" s="56" t="s">
        <v>4511</v>
      </c>
      <c r="E606" s="56" t="s">
        <v>5964</v>
      </c>
      <c r="F606" s="56" t="s">
        <v>5963</v>
      </c>
      <c r="G606" s="58" t="s">
        <v>4137</v>
      </c>
      <c r="H606" s="56">
        <v>1</v>
      </c>
      <c r="I606" s="56" t="s">
        <v>3577</v>
      </c>
      <c r="J606" s="56">
        <v>700</v>
      </c>
      <c r="K606" s="56">
        <v>599</v>
      </c>
      <c r="P606" s="56">
        <v>0</v>
      </c>
      <c r="S606" s="56">
        <v>0</v>
      </c>
      <c r="T606" s="56" t="s">
        <v>3562</v>
      </c>
      <c r="V606" s="56" t="s">
        <v>3549</v>
      </c>
      <c r="W606" s="56" t="s">
        <v>3548</v>
      </c>
      <c r="X606" s="56" t="s">
        <v>3547</v>
      </c>
      <c r="Z606" s="56" t="s">
        <v>3546</v>
      </c>
      <c r="AA606" s="56" t="s">
        <v>5962</v>
      </c>
      <c r="AB606" s="56" t="s">
        <v>5961</v>
      </c>
      <c r="AC606" s="56" t="s">
        <v>3543</v>
      </c>
      <c r="AD606" s="56" t="s">
        <v>24</v>
      </c>
      <c r="AE606" s="56" t="s">
        <v>3725</v>
      </c>
      <c r="AF606" s="56" t="s">
        <v>5960</v>
      </c>
      <c r="AH606" s="56" t="s">
        <v>3542</v>
      </c>
      <c r="AI606" s="56" t="s">
        <v>3723</v>
      </c>
    </row>
    <row r="607" spans="1:35" ht="33" customHeight="1">
      <c r="A607" s="56" t="s">
        <v>5965</v>
      </c>
      <c r="B607" s="57">
        <v>44360.545972222222</v>
      </c>
      <c r="C607" s="56" t="s">
        <v>4512</v>
      </c>
      <c r="D607" s="56" t="s">
        <v>4511</v>
      </c>
      <c r="E607" s="56" t="s">
        <v>5964</v>
      </c>
      <c r="F607" s="56" t="s">
        <v>5963</v>
      </c>
      <c r="G607" s="58" t="s">
        <v>1493</v>
      </c>
      <c r="H607" s="56">
        <v>1</v>
      </c>
      <c r="I607" s="56" t="s">
        <v>3601</v>
      </c>
      <c r="J607" s="56">
        <v>135</v>
      </c>
      <c r="K607" s="56">
        <v>135</v>
      </c>
      <c r="P607" s="56">
        <v>0</v>
      </c>
      <c r="S607" s="56">
        <v>0</v>
      </c>
      <c r="T607" s="56" t="s">
        <v>3562</v>
      </c>
      <c r="V607" s="56" t="s">
        <v>3549</v>
      </c>
      <c r="W607" s="56" t="s">
        <v>3548</v>
      </c>
      <c r="X607" s="56" t="s">
        <v>3547</v>
      </c>
      <c r="Z607" s="56" t="s">
        <v>3546</v>
      </c>
      <c r="AA607" s="56" t="s">
        <v>5962</v>
      </c>
      <c r="AB607" s="56" t="s">
        <v>5961</v>
      </c>
      <c r="AC607" s="56" t="s">
        <v>3543</v>
      </c>
      <c r="AD607" s="56" t="s">
        <v>24</v>
      </c>
      <c r="AE607" s="56" t="s">
        <v>3725</v>
      </c>
      <c r="AF607" s="56" t="s">
        <v>5960</v>
      </c>
      <c r="AH607" s="56" t="s">
        <v>3542</v>
      </c>
      <c r="AI607" s="56" t="s">
        <v>3723</v>
      </c>
    </row>
    <row r="608" spans="1:35" ht="33" customHeight="1">
      <c r="A608" s="56" t="s">
        <v>5965</v>
      </c>
      <c r="B608" s="57">
        <v>44360.545972222222</v>
      </c>
      <c r="C608" s="56" t="s">
        <v>4512</v>
      </c>
      <c r="D608" s="56" t="s">
        <v>4511</v>
      </c>
      <c r="E608" s="56" t="s">
        <v>5964</v>
      </c>
      <c r="F608" s="56" t="s">
        <v>5963</v>
      </c>
      <c r="G608" s="58" t="s">
        <v>3551</v>
      </c>
      <c r="H608" s="56">
        <v>1</v>
      </c>
      <c r="I608" s="56" t="s">
        <v>3550</v>
      </c>
      <c r="J608" s="56">
        <v>0</v>
      </c>
      <c r="K608" s="56">
        <v>0</v>
      </c>
      <c r="P608" s="56">
        <v>0</v>
      </c>
      <c r="S608" s="56">
        <v>0</v>
      </c>
      <c r="T608" s="56" t="s">
        <v>3562</v>
      </c>
      <c r="V608" s="56" t="s">
        <v>3549</v>
      </c>
      <c r="W608" s="56" t="s">
        <v>3548</v>
      </c>
      <c r="X608" s="56" t="s">
        <v>3547</v>
      </c>
      <c r="Z608" s="56" t="s">
        <v>3546</v>
      </c>
      <c r="AA608" s="56" t="s">
        <v>5962</v>
      </c>
      <c r="AB608" s="56" t="s">
        <v>5961</v>
      </c>
      <c r="AC608" s="56" t="s">
        <v>3543</v>
      </c>
      <c r="AD608" s="56" t="s">
        <v>24</v>
      </c>
      <c r="AE608" s="56" t="s">
        <v>3725</v>
      </c>
      <c r="AF608" s="56" t="s">
        <v>5960</v>
      </c>
      <c r="AH608" s="56" t="s">
        <v>3542</v>
      </c>
      <c r="AI608" s="56" t="s">
        <v>3723</v>
      </c>
    </row>
    <row r="609" spans="1:35" ht="33" customHeight="1">
      <c r="A609" s="56" t="s">
        <v>5965</v>
      </c>
      <c r="B609" s="57">
        <v>44360.545972222222</v>
      </c>
      <c r="C609" s="56" t="s">
        <v>4512</v>
      </c>
      <c r="D609" s="56" t="s">
        <v>4511</v>
      </c>
      <c r="E609" s="56" t="s">
        <v>5964</v>
      </c>
      <c r="F609" s="56" t="s">
        <v>5963</v>
      </c>
      <c r="G609" s="58" t="s">
        <v>1713</v>
      </c>
      <c r="H609" s="56">
        <v>1</v>
      </c>
      <c r="I609" s="56" t="s">
        <v>3568</v>
      </c>
      <c r="J609" s="56">
        <v>0</v>
      </c>
      <c r="K609" s="56">
        <v>0</v>
      </c>
      <c r="P609" s="56">
        <v>0</v>
      </c>
      <c r="S609" s="56">
        <v>0</v>
      </c>
      <c r="T609" s="56" t="s">
        <v>3562</v>
      </c>
      <c r="V609" s="56" t="s">
        <v>3549</v>
      </c>
      <c r="W609" s="56" t="s">
        <v>3548</v>
      </c>
      <c r="X609" s="56" t="s">
        <v>3547</v>
      </c>
      <c r="Z609" s="56" t="s">
        <v>3546</v>
      </c>
      <c r="AA609" s="56" t="s">
        <v>5962</v>
      </c>
      <c r="AB609" s="56" t="s">
        <v>5961</v>
      </c>
      <c r="AC609" s="56" t="s">
        <v>3543</v>
      </c>
      <c r="AD609" s="56" t="s">
        <v>24</v>
      </c>
      <c r="AE609" s="56" t="s">
        <v>3725</v>
      </c>
      <c r="AF609" s="56" t="s">
        <v>5960</v>
      </c>
      <c r="AH609" s="56" t="s">
        <v>3542</v>
      </c>
      <c r="AI609" s="56" t="s">
        <v>3723</v>
      </c>
    </row>
    <row r="610" spans="1:35" ht="33" customHeight="1">
      <c r="A610" s="56" t="s">
        <v>5965</v>
      </c>
      <c r="B610" s="57">
        <v>44360.545972222222</v>
      </c>
      <c r="C610" s="56" t="s">
        <v>4512</v>
      </c>
      <c r="D610" s="56" t="s">
        <v>4511</v>
      </c>
      <c r="E610" s="56" t="s">
        <v>5964</v>
      </c>
      <c r="F610" s="56" t="s">
        <v>5963</v>
      </c>
      <c r="G610" s="58" t="s">
        <v>1498</v>
      </c>
      <c r="H610" s="56">
        <v>1</v>
      </c>
      <c r="I610" s="56" t="s">
        <v>4016</v>
      </c>
      <c r="J610" s="56">
        <v>0</v>
      </c>
      <c r="K610" s="56">
        <v>0</v>
      </c>
      <c r="P610" s="56">
        <v>0</v>
      </c>
      <c r="S610" s="56">
        <v>0</v>
      </c>
      <c r="T610" s="56" t="s">
        <v>3562</v>
      </c>
      <c r="V610" s="56" t="s">
        <v>3549</v>
      </c>
      <c r="W610" s="56" t="s">
        <v>3548</v>
      </c>
      <c r="X610" s="56" t="s">
        <v>3547</v>
      </c>
      <c r="Z610" s="56" t="s">
        <v>3546</v>
      </c>
      <c r="AA610" s="56" t="s">
        <v>5962</v>
      </c>
      <c r="AB610" s="56" t="s">
        <v>5961</v>
      </c>
      <c r="AC610" s="56" t="s">
        <v>3543</v>
      </c>
      <c r="AD610" s="56" t="s">
        <v>24</v>
      </c>
      <c r="AE610" s="56" t="s">
        <v>3725</v>
      </c>
      <c r="AF610" s="56" t="s">
        <v>5960</v>
      </c>
      <c r="AH610" s="56" t="s">
        <v>3542</v>
      </c>
      <c r="AI610" s="56" t="s">
        <v>3723</v>
      </c>
    </row>
    <row r="611" spans="1:35" ht="33" customHeight="1">
      <c r="A611" s="56" t="s">
        <v>5959</v>
      </c>
      <c r="B611" s="57">
        <v>44360.556793981479</v>
      </c>
      <c r="C611" s="56" t="s">
        <v>4512</v>
      </c>
      <c r="D611" s="56" t="s">
        <v>4511</v>
      </c>
      <c r="E611" s="56" t="s">
        <v>5958</v>
      </c>
      <c r="F611" s="56" t="s">
        <v>5957</v>
      </c>
      <c r="G611" s="58" t="s">
        <v>3656</v>
      </c>
      <c r="H611" s="56">
        <v>1</v>
      </c>
      <c r="I611" s="56" t="s">
        <v>3655</v>
      </c>
      <c r="J611" s="56">
        <v>1107</v>
      </c>
      <c r="K611" s="56">
        <v>799</v>
      </c>
      <c r="L611" s="56">
        <v>799</v>
      </c>
      <c r="M611" s="56">
        <v>65</v>
      </c>
      <c r="N611" s="56">
        <v>16</v>
      </c>
      <c r="O611" s="56">
        <v>0</v>
      </c>
      <c r="P611" s="56">
        <v>0</v>
      </c>
      <c r="Q611" s="56">
        <v>848</v>
      </c>
      <c r="R611" s="56">
        <v>0</v>
      </c>
      <c r="S611" s="56">
        <v>0</v>
      </c>
      <c r="T611" s="56" t="s">
        <v>3562</v>
      </c>
      <c r="U611" s="56">
        <v>848</v>
      </c>
      <c r="V611" s="56" t="s">
        <v>3549</v>
      </c>
      <c r="W611" s="56" t="s">
        <v>3548</v>
      </c>
      <c r="X611" s="56" t="s">
        <v>3547</v>
      </c>
      <c r="Z611" s="56" t="s">
        <v>3546</v>
      </c>
      <c r="AA611" s="56" t="s">
        <v>1107</v>
      </c>
      <c r="AB611" s="56" t="s">
        <v>5956</v>
      </c>
      <c r="AC611" s="56" t="s">
        <v>3543</v>
      </c>
      <c r="AD611" s="56" t="s">
        <v>24</v>
      </c>
      <c r="AE611" s="56" t="s">
        <v>3862</v>
      </c>
      <c r="AF611" s="56" t="s">
        <v>5955</v>
      </c>
      <c r="AH611" s="56" t="s">
        <v>3542</v>
      </c>
      <c r="AI611" s="56" t="s">
        <v>3723</v>
      </c>
    </row>
    <row r="612" spans="1:35" ht="33" customHeight="1">
      <c r="A612" s="56" t="s">
        <v>5959</v>
      </c>
      <c r="B612" s="57">
        <v>44360.556793981479</v>
      </c>
      <c r="C612" s="56" t="s">
        <v>4512</v>
      </c>
      <c r="D612" s="56" t="s">
        <v>4511</v>
      </c>
      <c r="E612" s="56" t="s">
        <v>5958</v>
      </c>
      <c r="F612" s="56" t="s">
        <v>5957</v>
      </c>
      <c r="G612" s="58" t="s">
        <v>3551</v>
      </c>
      <c r="H612" s="56">
        <v>1</v>
      </c>
      <c r="I612" s="56" t="s">
        <v>3550</v>
      </c>
      <c r="J612" s="56">
        <v>0</v>
      </c>
      <c r="K612" s="56">
        <v>0</v>
      </c>
      <c r="P612" s="56">
        <v>0</v>
      </c>
      <c r="S612" s="56">
        <v>0</v>
      </c>
      <c r="T612" s="56" t="s">
        <v>3562</v>
      </c>
      <c r="V612" s="56" t="s">
        <v>3549</v>
      </c>
      <c r="W612" s="56" t="s">
        <v>3548</v>
      </c>
      <c r="X612" s="56" t="s">
        <v>3547</v>
      </c>
      <c r="Z612" s="56" t="s">
        <v>3546</v>
      </c>
      <c r="AA612" s="56" t="s">
        <v>1107</v>
      </c>
      <c r="AB612" s="56" t="s">
        <v>5956</v>
      </c>
      <c r="AC612" s="56" t="s">
        <v>3543</v>
      </c>
      <c r="AD612" s="56" t="s">
        <v>24</v>
      </c>
      <c r="AE612" s="56" t="s">
        <v>3862</v>
      </c>
      <c r="AF612" s="56" t="s">
        <v>5955</v>
      </c>
      <c r="AH612" s="56" t="s">
        <v>3542</v>
      </c>
      <c r="AI612" s="56" t="s">
        <v>3723</v>
      </c>
    </row>
    <row r="613" spans="1:35" ht="33" customHeight="1">
      <c r="A613" s="56" t="s">
        <v>5954</v>
      </c>
      <c r="B613" s="57">
        <v>44360.592395833337</v>
      </c>
      <c r="C613" s="56" t="s">
        <v>4512</v>
      </c>
      <c r="D613" s="56" t="s">
        <v>4511</v>
      </c>
      <c r="E613" s="56" t="s">
        <v>5953</v>
      </c>
      <c r="F613" s="56" t="s">
        <v>5952</v>
      </c>
      <c r="G613" s="58" t="s">
        <v>4137</v>
      </c>
      <c r="H613" s="56">
        <v>1</v>
      </c>
      <c r="I613" s="56" t="s">
        <v>3577</v>
      </c>
      <c r="J613" s="56">
        <v>700</v>
      </c>
      <c r="K613" s="56">
        <v>599</v>
      </c>
      <c r="L613" s="56">
        <v>1349</v>
      </c>
      <c r="M613" s="56">
        <v>0</v>
      </c>
      <c r="N613" s="56">
        <v>0</v>
      </c>
      <c r="O613" s="56">
        <v>135</v>
      </c>
      <c r="P613" s="56">
        <v>0</v>
      </c>
      <c r="Q613" s="56">
        <v>1214</v>
      </c>
      <c r="R613" s="56">
        <v>0</v>
      </c>
      <c r="S613" s="56">
        <v>0</v>
      </c>
      <c r="T613" s="56" t="s">
        <v>3562</v>
      </c>
      <c r="U613" s="56">
        <v>1214</v>
      </c>
      <c r="V613" s="56" t="s">
        <v>3612</v>
      </c>
      <c r="W613" s="56" t="s">
        <v>3548</v>
      </c>
      <c r="X613" s="56" t="s">
        <v>3611</v>
      </c>
      <c r="Z613" s="56" t="s">
        <v>3546</v>
      </c>
      <c r="AA613" s="56" t="s">
        <v>5951</v>
      </c>
      <c r="AB613" s="56" t="s">
        <v>5950</v>
      </c>
      <c r="AC613" s="56" t="s">
        <v>3543</v>
      </c>
      <c r="AD613" s="56" t="s">
        <v>24</v>
      </c>
      <c r="AE613" s="56" t="s">
        <v>4145</v>
      </c>
      <c r="AF613" s="56" t="s">
        <v>5949</v>
      </c>
      <c r="AH613" s="56" t="s">
        <v>3542</v>
      </c>
      <c r="AI613" s="56" t="s">
        <v>3723</v>
      </c>
    </row>
    <row r="614" spans="1:35" ht="33" customHeight="1">
      <c r="A614" s="56" t="s">
        <v>5954</v>
      </c>
      <c r="B614" s="57">
        <v>44360.592395833337</v>
      </c>
      <c r="C614" s="56" t="s">
        <v>4512</v>
      </c>
      <c r="D614" s="56" t="s">
        <v>4511</v>
      </c>
      <c r="E614" s="56" t="s">
        <v>5953</v>
      </c>
      <c r="F614" s="56" t="s">
        <v>5952</v>
      </c>
      <c r="G614" s="58" t="s">
        <v>3922</v>
      </c>
      <c r="H614" s="56">
        <v>1</v>
      </c>
      <c r="I614" s="56" t="s">
        <v>3569</v>
      </c>
      <c r="J614" s="56">
        <v>894</v>
      </c>
      <c r="K614" s="56">
        <v>750</v>
      </c>
      <c r="P614" s="56">
        <v>0</v>
      </c>
      <c r="S614" s="56">
        <v>0</v>
      </c>
      <c r="T614" s="56" t="s">
        <v>3562</v>
      </c>
      <c r="V614" s="56" t="s">
        <v>3612</v>
      </c>
      <c r="W614" s="56" t="s">
        <v>3548</v>
      </c>
      <c r="X614" s="56" t="s">
        <v>3611</v>
      </c>
      <c r="Z614" s="56" t="s">
        <v>3546</v>
      </c>
      <c r="AA614" s="56" t="s">
        <v>5951</v>
      </c>
      <c r="AB614" s="56" t="s">
        <v>5950</v>
      </c>
      <c r="AC614" s="56" t="s">
        <v>3543</v>
      </c>
      <c r="AD614" s="56" t="s">
        <v>24</v>
      </c>
      <c r="AE614" s="56" t="s">
        <v>4145</v>
      </c>
      <c r="AF614" s="56" t="s">
        <v>5949</v>
      </c>
      <c r="AH614" s="56" t="s">
        <v>3542</v>
      </c>
      <c r="AI614" s="56" t="s">
        <v>3723</v>
      </c>
    </row>
    <row r="615" spans="1:35" ht="33" customHeight="1">
      <c r="A615" s="56" t="s">
        <v>5954</v>
      </c>
      <c r="B615" s="57">
        <v>44360.592395833337</v>
      </c>
      <c r="C615" s="56" t="s">
        <v>4512</v>
      </c>
      <c r="D615" s="56" t="s">
        <v>4511</v>
      </c>
      <c r="E615" s="56" t="s">
        <v>5953</v>
      </c>
      <c r="F615" s="56" t="s">
        <v>5952</v>
      </c>
      <c r="G615" s="58" t="s">
        <v>3551</v>
      </c>
      <c r="H615" s="56">
        <v>1</v>
      </c>
      <c r="I615" s="56" t="s">
        <v>3550</v>
      </c>
      <c r="J615" s="56">
        <v>0</v>
      </c>
      <c r="K615" s="56">
        <v>0</v>
      </c>
      <c r="P615" s="56">
        <v>0</v>
      </c>
      <c r="S615" s="56">
        <v>0</v>
      </c>
      <c r="T615" s="56" t="s">
        <v>3562</v>
      </c>
      <c r="V615" s="56" t="s">
        <v>3612</v>
      </c>
      <c r="W615" s="56" t="s">
        <v>3548</v>
      </c>
      <c r="X615" s="56" t="s">
        <v>3611</v>
      </c>
      <c r="Z615" s="56" t="s">
        <v>3546</v>
      </c>
      <c r="AA615" s="56" t="s">
        <v>5951</v>
      </c>
      <c r="AB615" s="56" t="s">
        <v>5950</v>
      </c>
      <c r="AC615" s="56" t="s">
        <v>3543</v>
      </c>
      <c r="AD615" s="56" t="s">
        <v>24</v>
      </c>
      <c r="AE615" s="56" t="s">
        <v>4145</v>
      </c>
      <c r="AF615" s="56" t="s">
        <v>5949</v>
      </c>
      <c r="AH615" s="56" t="s">
        <v>3542</v>
      </c>
      <c r="AI615" s="56" t="s">
        <v>3723</v>
      </c>
    </row>
    <row r="616" spans="1:35" ht="33" customHeight="1">
      <c r="A616" s="56" t="s">
        <v>5954</v>
      </c>
      <c r="B616" s="57">
        <v>44360.592395833337</v>
      </c>
      <c r="C616" s="56" t="s">
        <v>4512</v>
      </c>
      <c r="D616" s="56" t="s">
        <v>4511</v>
      </c>
      <c r="E616" s="56" t="s">
        <v>5953</v>
      </c>
      <c r="F616" s="56" t="s">
        <v>5952</v>
      </c>
      <c r="G616" s="58" t="s">
        <v>1498</v>
      </c>
      <c r="H616" s="56">
        <v>1</v>
      </c>
      <c r="I616" s="56" t="s">
        <v>4016</v>
      </c>
      <c r="J616" s="56">
        <v>0</v>
      </c>
      <c r="K616" s="56">
        <v>0</v>
      </c>
      <c r="P616" s="56">
        <v>0</v>
      </c>
      <c r="S616" s="56">
        <v>0</v>
      </c>
      <c r="T616" s="56" t="s">
        <v>3562</v>
      </c>
      <c r="V616" s="56" t="s">
        <v>3612</v>
      </c>
      <c r="W616" s="56" t="s">
        <v>3548</v>
      </c>
      <c r="X616" s="56" t="s">
        <v>3611</v>
      </c>
      <c r="Z616" s="56" t="s">
        <v>3546</v>
      </c>
      <c r="AA616" s="56" t="s">
        <v>5951</v>
      </c>
      <c r="AB616" s="56" t="s">
        <v>5950</v>
      </c>
      <c r="AC616" s="56" t="s">
        <v>3543</v>
      </c>
      <c r="AD616" s="56" t="s">
        <v>24</v>
      </c>
      <c r="AE616" s="56" t="s">
        <v>4145</v>
      </c>
      <c r="AF616" s="56" t="s">
        <v>5949</v>
      </c>
      <c r="AH616" s="56" t="s">
        <v>3542</v>
      </c>
      <c r="AI616" s="56" t="s">
        <v>3723</v>
      </c>
    </row>
    <row r="617" spans="1:35" ht="33" customHeight="1">
      <c r="A617" s="56" t="s">
        <v>5948</v>
      </c>
      <c r="B617" s="57">
        <v>44360.615879629629</v>
      </c>
      <c r="C617" s="56" t="s">
        <v>3803</v>
      </c>
      <c r="D617" s="56" t="s">
        <v>4426</v>
      </c>
      <c r="E617" s="56" t="s">
        <v>5947</v>
      </c>
      <c r="F617" s="56" t="s">
        <v>5946</v>
      </c>
      <c r="G617" s="58" t="s">
        <v>1491</v>
      </c>
      <c r="H617" s="56">
        <v>1</v>
      </c>
      <c r="I617" s="56" t="s">
        <v>3586</v>
      </c>
      <c r="J617" s="56">
        <v>149</v>
      </c>
      <c r="K617" s="56">
        <v>149</v>
      </c>
      <c r="L617" s="56">
        <v>1006</v>
      </c>
      <c r="M617" s="56">
        <v>0</v>
      </c>
      <c r="N617" s="56">
        <v>0</v>
      </c>
      <c r="O617" s="56">
        <v>100</v>
      </c>
      <c r="P617" s="56">
        <v>0</v>
      </c>
      <c r="Q617" s="56">
        <v>906</v>
      </c>
      <c r="R617" s="56">
        <v>0</v>
      </c>
      <c r="S617" s="56">
        <v>0</v>
      </c>
      <c r="T617" s="56" t="s">
        <v>27</v>
      </c>
      <c r="U617" s="56">
        <v>906</v>
      </c>
      <c r="V617" s="56" t="s">
        <v>3612</v>
      </c>
      <c r="W617" s="56" t="s">
        <v>3548</v>
      </c>
      <c r="X617" s="56" t="s">
        <v>3611</v>
      </c>
      <c r="Z617" s="56" t="s">
        <v>3546</v>
      </c>
      <c r="AA617" s="56" t="s">
        <v>5945</v>
      </c>
      <c r="AB617" s="56" t="s">
        <v>5944</v>
      </c>
      <c r="AC617" s="56" t="s">
        <v>3543</v>
      </c>
      <c r="AH617" s="56" t="s">
        <v>3542</v>
      </c>
      <c r="AI617" s="56" t="s">
        <v>3541</v>
      </c>
    </row>
    <row r="618" spans="1:35" ht="33" customHeight="1">
      <c r="A618" s="56" t="s">
        <v>5948</v>
      </c>
      <c r="B618" s="57">
        <v>44360.615879629629</v>
      </c>
      <c r="C618" s="56" t="s">
        <v>3803</v>
      </c>
      <c r="D618" s="56" t="s">
        <v>4426</v>
      </c>
      <c r="E618" s="56" t="s">
        <v>5947</v>
      </c>
      <c r="F618" s="56" t="s">
        <v>5946</v>
      </c>
      <c r="G618" s="58" t="s">
        <v>1486</v>
      </c>
      <c r="H618" s="56">
        <v>1</v>
      </c>
      <c r="I618" s="56" t="s">
        <v>4174</v>
      </c>
      <c r="J618" s="56">
        <v>350</v>
      </c>
      <c r="K618" s="56">
        <v>350</v>
      </c>
      <c r="P618" s="56">
        <v>0</v>
      </c>
      <c r="S618" s="56">
        <v>0</v>
      </c>
      <c r="T618" s="56" t="s">
        <v>27</v>
      </c>
      <c r="V618" s="56" t="s">
        <v>3612</v>
      </c>
      <c r="W618" s="56" t="s">
        <v>3548</v>
      </c>
      <c r="X618" s="56" t="s">
        <v>3611</v>
      </c>
      <c r="Z618" s="56" t="s">
        <v>3546</v>
      </c>
      <c r="AA618" s="56" t="s">
        <v>5945</v>
      </c>
      <c r="AB618" s="56" t="s">
        <v>5944</v>
      </c>
      <c r="AC618" s="56" t="s">
        <v>3543</v>
      </c>
      <c r="AH618" s="56" t="s">
        <v>3542</v>
      </c>
      <c r="AI618" s="56" t="s">
        <v>3541</v>
      </c>
    </row>
    <row r="619" spans="1:35" ht="33" customHeight="1">
      <c r="A619" s="56" t="s">
        <v>5948</v>
      </c>
      <c r="B619" s="57">
        <v>44360.615879629629</v>
      </c>
      <c r="C619" s="56" t="s">
        <v>3803</v>
      </c>
      <c r="D619" s="56" t="s">
        <v>4426</v>
      </c>
      <c r="E619" s="56" t="s">
        <v>5947</v>
      </c>
      <c r="F619" s="56" t="s">
        <v>5946</v>
      </c>
      <c r="G619" s="58" t="s">
        <v>3299</v>
      </c>
      <c r="H619" s="56">
        <v>1</v>
      </c>
      <c r="I619" s="56" t="s">
        <v>3576</v>
      </c>
      <c r="J619" s="56">
        <v>299</v>
      </c>
      <c r="K619" s="56">
        <v>299</v>
      </c>
      <c r="P619" s="56">
        <v>0</v>
      </c>
      <c r="S619" s="56">
        <v>0</v>
      </c>
      <c r="T619" s="56" t="s">
        <v>27</v>
      </c>
      <c r="V619" s="56" t="s">
        <v>3612</v>
      </c>
      <c r="W619" s="56" t="s">
        <v>3548</v>
      </c>
      <c r="X619" s="56" t="s">
        <v>3611</v>
      </c>
      <c r="Z619" s="56" t="s">
        <v>3546</v>
      </c>
      <c r="AA619" s="56" t="s">
        <v>5945</v>
      </c>
      <c r="AB619" s="56" t="s">
        <v>5944</v>
      </c>
      <c r="AC619" s="56" t="s">
        <v>3543</v>
      </c>
      <c r="AH619" s="56" t="s">
        <v>3542</v>
      </c>
      <c r="AI619" s="56" t="s">
        <v>3541</v>
      </c>
    </row>
    <row r="620" spans="1:35" ht="33" customHeight="1">
      <c r="A620" s="56" t="s">
        <v>5948</v>
      </c>
      <c r="B620" s="57">
        <v>44360.615879629629</v>
      </c>
      <c r="C620" s="56" t="s">
        <v>3803</v>
      </c>
      <c r="D620" s="56" t="s">
        <v>4426</v>
      </c>
      <c r="E620" s="56" t="s">
        <v>5947</v>
      </c>
      <c r="F620" s="56" t="s">
        <v>5946</v>
      </c>
      <c r="G620" s="58" t="s">
        <v>1493</v>
      </c>
      <c r="H620" s="56">
        <v>1</v>
      </c>
      <c r="I620" s="56" t="s">
        <v>3586</v>
      </c>
      <c r="J620" s="56">
        <v>149</v>
      </c>
      <c r="K620" s="56">
        <v>149</v>
      </c>
      <c r="P620" s="56">
        <v>0</v>
      </c>
      <c r="S620" s="56">
        <v>0</v>
      </c>
      <c r="T620" s="56" t="s">
        <v>27</v>
      </c>
      <c r="V620" s="56" t="s">
        <v>3612</v>
      </c>
      <c r="W620" s="56" t="s">
        <v>3548</v>
      </c>
      <c r="X620" s="56" t="s">
        <v>3611</v>
      </c>
      <c r="Z620" s="56" t="s">
        <v>3546</v>
      </c>
      <c r="AA620" s="56" t="s">
        <v>5945</v>
      </c>
      <c r="AB620" s="56" t="s">
        <v>5944</v>
      </c>
      <c r="AC620" s="56" t="s">
        <v>3543</v>
      </c>
      <c r="AH620" s="56" t="s">
        <v>3542</v>
      </c>
      <c r="AI620" s="56" t="s">
        <v>3541</v>
      </c>
    </row>
    <row r="621" spans="1:35" ht="33" customHeight="1">
      <c r="A621" s="56" t="s">
        <v>5948</v>
      </c>
      <c r="B621" s="57">
        <v>44360.615879629629</v>
      </c>
      <c r="C621" s="56" t="s">
        <v>3803</v>
      </c>
      <c r="D621" s="56" t="s">
        <v>4426</v>
      </c>
      <c r="E621" s="56" t="s">
        <v>5947</v>
      </c>
      <c r="F621" s="56" t="s">
        <v>5946</v>
      </c>
      <c r="G621" s="58" t="s">
        <v>3222</v>
      </c>
      <c r="H621" s="56">
        <v>1</v>
      </c>
      <c r="I621" s="56" t="s">
        <v>3712</v>
      </c>
      <c r="J621" s="56">
        <v>59</v>
      </c>
      <c r="K621" s="56">
        <v>59</v>
      </c>
      <c r="P621" s="56">
        <v>0</v>
      </c>
      <c r="S621" s="56">
        <v>0</v>
      </c>
      <c r="T621" s="56" t="s">
        <v>27</v>
      </c>
      <c r="V621" s="56" t="s">
        <v>3612</v>
      </c>
      <c r="W621" s="56" t="s">
        <v>3548</v>
      </c>
      <c r="X621" s="56" t="s">
        <v>3611</v>
      </c>
      <c r="Z621" s="56" t="s">
        <v>3546</v>
      </c>
      <c r="AA621" s="56" t="s">
        <v>5945</v>
      </c>
      <c r="AB621" s="56" t="s">
        <v>5944</v>
      </c>
      <c r="AC621" s="56" t="s">
        <v>3543</v>
      </c>
      <c r="AH621" s="56" t="s">
        <v>3542</v>
      </c>
      <c r="AI621" s="56" t="s">
        <v>3541</v>
      </c>
    </row>
    <row r="622" spans="1:35" ht="33" customHeight="1">
      <c r="A622" s="56" t="s">
        <v>5948</v>
      </c>
      <c r="B622" s="57">
        <v>44360.615879629629</v>
      </c>
      <c r="C622" s="56" t="s">
        <v>3803</v>
      </c>
      <c r="D622" s="56" t="s">
        <v>4426</v>
      </c>
      <c r="E622" s="56" t="s">
        <v>5947</v>
      </c>
      <c r="F622" s="56" t="s">
        <v>5946</v>
      </c>
      <c r="G622" s="58" t="s">
        <v>3551</v>
      </c>
      <c r="H622" s="56">
        <v>1</v>
      </c>
      <c r="I622" s="56" t="s">
        <v>3550</v>
      </c>
      <c r="J622" s="56">
        <v>0</v>
      </c>
      <c r="K622" s="56">
        <v>0</v>
      </c>
      <c r="P622" s="56">
        <v>0</v>
      </c>
      <c r="S622" s="56">
        <v>0</v>
      </c>
      <c r="T622" s="56" t="s">
        <v>27</v>
      </c>
      <c r="V622" s="56" t="s">
        <v>3612</v>
      </c>
      <c r="W622" s="56" t="s">
        <v>3548</v>
      </c>
      <c r="X622" s="56" t="s">
        <v>3611</v>
      </c>
      <c r="Z622" s="56" t="s">
        <v>3546</v>
      </c>
      <c r="AA622" s="56" t="s">
        <v>5945</v>
      </c>
      <c r="AB622" s="56" t="s">
        <v>5944</v>
      </c>
      <c r="AC622" s="56" t="s">
        <v>3543</v>
      </c>
      <c r="AH622" s="56" t="s">
        <v>3542</v>
      </c>
      <c r="AI622" s="56" t="s">
        <v>3541</v>
      </c>
    </row>
    <row r="623" spans="1:35" ht="33" customHeight="1">
      <c r="A623" s="56" t="s">
        <v>5948</v>
      </c>
      <c r="B623" s="57">
        <v>44360.615879629629</v>
      </c>
      <c r="C623" s="56" t="s">
        <v>3803</v>
      </c>
      <c r="D623" s="56" t="s">
        <v>4426</v>
      </c>
      <c r="E623" s="56" t="s">
        <v>5947</v>
      </c>
      <c r="F623" s="56" t="s">
        <v>5946</v>
      </c>
      <c r="G623" s="58" t="s">
        <v>1498</v>
      </c>
      <c r="H623" s="56">
        <v>1</v>
      </c>
      <c r="I623" s="56" t="s">
        <v>4016</v>
      </c>
      <c r="J623" s="56">
        <v>0</v>
      </c>
      <c r="K623" s="56">
        <v>0</v>
      </c>
      <c r="P623" s="56">
        <v>0</v>
      </c>
      <c r="S623" s="56">
        <v>0</v>
      </c>
      <c r="T623" s="56" t="s">
        <v>27</v>
      </c>
      <c r="V623" s="56" t="s">
        <v>3612</v>
      </c>
      <c r="W623" s="56" t="s">
        <v>3548</v>
      </c>
      <c r="X623" s="56" t="s">
        <v>3611</v>
      </c>
      <c r="Z623" s="56" t="s">
        <v>3546</v>
      </c>
      <c r="AA623" s="56" t="s">
        <v>5945</v>
      </c>
      <c r="AB623" s="56" t="s">
        <v>5944</v>
      </c>
      <c r="AC623" s="56" t="s">
        <v>3543</v>
      </c>
      <c r="AH623" s="56" t="s">
        <v>3542</v>
      </c>
      <c r="AI623" s="56" t="s">
        <v>3541</v>
      </c>
    </row>
    <row r="624" spans="1:35" ht="33" customHeight="1">
      <c r="A624" s="56" t="s">
        <v>5943</v>
      </c>
      <c r="B624" s="57">
        <v>44360.625405092593</v>
      </c>
      <c r="C624" s="56" t="s">
        <v>4512</v>
      </c>
      <c r="D624" s="56" t="s">
        <v>4511</v>
      </c>
      <c r="E624" s="56" t="s">
        <v>5942</v>
      </c>
      <c r="F624" s="56" t="s">
        <v>5941</v>
      </c>
      <c r="G624" s="58" t="s">
        <v>3693</v>
      </c>
      <c r="H624" s="56">
        <v>1</v>
      </c>
      <c r="I624" s="56" t="s">
        <v>3692</v>
      </c>
      <c r="J624" s="56">
        <v>207</v>
      </c>
      <c r="K624" s="56">
        <v>199</v>
      </c>
      <c r="L624" s="56">
        <v>1597</v>
      </c>
      <c r="M624" s="56">
        <v>0</v>
      </c>
      <c r="N624" s="56">
        <v>50</v>
      </c>
      <c r="O624" s="56">
        <v>100</v>
      </c>
      <c r="P624" s="56">
        <v>0</v>
      </c>
      <c r="Q624" s="56">
        <v>1447</v>
      </c>
      <c r="R624" s="56">
        <v>0</v>
      </c>
      <c r="S624" s="56">
        <v>0</v>
      </c>
      <c r="T624" s="56" t="s">
        <v>3562</v>
      </c>
      <c r="U624" s="56">
        <v>1447</v>
      </c>
      <c r="V624" s="56" t="s">
        <v>3549</v>
      </c>
      <c r="W624" s="56" t="s">
        <v>3548</v>
      </c>
      <c r="X624" s="56" t="s">
        <v>3547</v>
      </c>
      <c r="Z624" s="56" t="s">
        <v>3546</v>
      </c>
      <c r="AA624" s="56" t="s">
        <v>5940</v>
      </c>
      <c r="AB624" s="56" t="s">
        <v>5939</v>
      </c>
      <c r="AC624" s="56" t="s">
        <v>3543</v>
      </c>
      <c r="AD624" s="56" t="s">
        <v>24</v>
      </c>
      <c r="AE624" s="56" t="s">
        <v>4530</v>
      </c>
      <c r="AF624" s="56" t="s">
        <v>5938</v>
      </c>
      <c r="AH624" s="56" t="s">
        <v>3542</v>
      </c>
      <c r="AI624" s="56" t="s">
        <v>3723</v>
      </c>
    </row>
    <row r="625" spans="1:35" ht="33" customHeight="1">
      <c r="A625" s="56" t="s">
        <v>5943</v>
      </c>
      <c r="B625" s="57">
        <v>44360.625405092593</v>
      </c>
      <c r="C625" s="56" t="s">
        <v>4512</v>
      </c>
      <c r="D625" s="56" t="s">
        <v>4511</v>
      </c>
      <c r="E625" s="56" t="s">
        <v>5942</v>
      </c>
      <c r="F625" s="56" t="s">
        <v>5941</v>
      </c>
      <c r="G625" s="58" t="s">
        <v>3656</v>
      </c>
      <c r="H625" s="56">
        <v>1</v>
      </c>
      <c r="I625" s="56" t="s">
        <v>3655</v>
      </c>
      <c r="J625" s="56">
        <v>1107</v>
      </c>
      <c r="K625" s="56">
        <v>799</v>
      </c>
      <c r="P625" s="56">
        <v>0</v>
      </c>
      <c r="S625" s="56">
        <v>0</v>
      </c>
      <c r="T625" s="56" t="s">
        <v>3562</v>
      </c>
      <c r="V625" s="56" t="s">
        <v>3549</v>
      </c>
      <c r="W625" s="56" t="s">
        <v>3548</v>
      </c>
      <c r="X625" s="56" t="s">
        <v>3547</v>
      </c>
      <c r="Z625" s="56" t="s">
        <v>3546</v>
      </c>
      <c r="AA625" s="56" t="s">
        <v>5940</v>
      </c>
      <c r="AB625" s="56" t="s">
        <v>5939</v>
      </c>
      <c r="AC625" s="56" t="s">
        <v>3543</v>
      </c>
      <c r="AD625" s="56" t="s">
        <v>24</v>
      </c>
      <c r="AE625" s="56" t="s">
        <v>4530</v>
      </c>
      <c r="AF625" s="56" t="s">
        <v>5938</v>
      </c>
      <c r="AH625" s="56" t="s">
        <v>3542</v>
      </c>
      <c r="AI625" s="56" t="s">
        <v>3723</v>
      </c>
    </row>
    <row r="626" spans="1:35" ht="33" customHeight="1">
      <c r="A626" s="56" t="s">
        <v>5943</v>
      </c>
      <c r="B626" s="57">
        <v>44360.625405092593</v>
      </c>
      <c r="C626" s="56" t="s">
        <v>4512</v>
      </c>
      <c r="D626" s="56" t="s">
        <v>4511</v>
      </c>
      <c r="E626" s="56" t="s">
        <v>5942</v>
      </c>
      <c r="F626" s="56" t="s">
        <v>5941</v>
      </c>
      <c r="G626" s="58" t="s">
        <v>3593</v>
      </c>
      <c r="H626" s="56">
        <v>1</v>
      </c>
      <c r="I626" s="56" t="s">
        <v>3577</v>
      </c>
      <c r="J626" s="56">
        <v>700</v>
      </c>
      <c r="K626" s="56">
        <v>599</v>
      </c>
      <c r="P626" s="56">
        <v>0</v>
      </c>
      <c r="S626" s="56">
        <v>0</v>
      </c>
      <c r="T626" s="56" t="s">
        <v>3562</v>
      </c>
      <c r="V626" s="56" t="s">
        <v>3549</v>
      </c>
      <c r="W626" s="56" t="s">
        <v>3548</v>
      </c>
      <c r="X626" s="56" t="s">
        <v>3547</v>
      </c>
      <c r="Z626" s="56" t="s">
        <v>3546</v>
      </c>
      <c r="AA626" s="56" t="s">
        <v>5940</v>
      </c>
      <c r="AB626" s="56" t="s">
        <v>5939</v>
      </c>
      <c r="AC626" s="56" t="s">
        <v>3543</v>
      </c>
      <c r="AD626" s="56" t="s">
        <v>24</v>
      </c>
      <c r="AE626" s="56" t="s">
        <v>4530</v>
      </c>
      <c r="AF626" s="56" t="s">
        <v>5938</v>
      </c>
      <c r="AH626" s="56" t="s">
        <v>3542</v>
      </c>
      <c r="AI626" s="56" t="s">
        <v>3723</v>
      </c>
    </row>
    <row r="627" spans="1:35" ht="33" customHeight="1">
      <c r="A627" s="56" t="s">
        <v>5943</v>
      </c>
      <c r="B627" s="57">
        <v>44360.625405092593</v>
      </c>
      <c r="C627" s="56" t="s">
        <v>4512</v>
      </c>
      <c r="D627" s="56" t="s">
        <v>4511</v>
      </c>
      <c r="E627" s="56" t="s">
        <v>5942</v>
      </c>
      <c r="F627" s="56" t="s">
        <v>5941</v>
      </c>
      <c r="G627" s="58" t="s">
        <v>3551</v>
      </c>
      <c r="H627" s="56">
        <v>1</v>
      </c>
      <c r="I627" s="56" t="s">
        <v>3550</v>
      </c>
      <c r="J627" s="56">
        <v>0</v>
      </c>
      <c r="K627" s="56">
        <v>0</v>
      </c>
      <c r="P627" s="56">
        <v>0</v>
      </c>
      <c r="S627" s="56">
        <v>0</v>
      </c>
      <c r="T627" s="56" t="s">
        <v>3562</v>
      </c>
      <c r="V627" s="56" t="s">
        <v>3549</v>
      </c>
      <c r="W627" s="56" t="s">
        <v>3548</v>
      </c>
      <c r="X627" s="56" t="s">
        <v>3547</v>
      </c>
      <c r="Z627" s="56" t="s">
        <v>3546</v>
      </c>
      <c r="AA627" s="56" t="s">
        <v>5940</v>
      </c>
      <c r="AB627" s="56" t="s">
        <v>5939</v>
      </c>
      <c r="AC627" s="56" t="s">
        <v>3543</v>
      </c>
      <c r="AD627" s="56" t="s">
        <v>24</v>
      </c>
      <c r="AE627" s="56" t="s">
        <v>4530</v>
      </c>
      <c r="AF627" s="56" t="s">
        <v>5938</v>
      </c>
      <c r="AH627" s="56" t="s">
        <v>3542</v>
      </c>
      <c r="AI627" s="56" t="s">
        <v>3723</v>
      </c>
    </row>
    <row r="628" spans="1:35" ht="33" customHeight="1">
      <c r="A628" s="56" t="s">
        <v>5943</v>
      </c>
      <c r="B628" s="57">
        <v>44360.625405092593</v>
      </c>
      <c r="C628" s="56" t="s">
        <v>4512</v>
      </c>
      <c r="D628" s="56" t="s">
        <v>4511</v>
      </c>
      <c r="E628" s="56" t="s">
        <v>5942</v>
      </c>
      <c r="F628" s="56" t="s">
        <v>5941</v>
      </c>
      <c r="G628" s="58" t="s">
        <v>1713</v>
      </c>
      <c r="H628" s="56">
        <v>1</v>
      </c>
      <c r="I628" s="56" t="s">
        <v>3568</v>
      </c>
      <c r="J628" s="56">
        <v>0</v>
      </c>
      <c r="K628" s="56">
        <v>0</v>
      </c>
      <c r="P628" s="56">
        <v>0</v>
      </c>
      <c r="S628" s="56">
        <v>0</v>
      </c>
      <c r="T628" s="56" t="s">
        <v>3562</v>
      </c>
      <c r="V628" s="56" t="s">
        <v>3549</v>
      </c>
      <c r="W628" s="56" t="s">
        <v>3548</v>
      </c>
      <c r="X628" s="56" t="s">
        <v>3547</v>
      </c>
      <c r="Z628" s="56" t="s">
        <v>3546</v>
      </c>
      <c r="AA628" s="56" t="s">
        <v>5940</v>
      </c>
      <c r="AB628" s="56" t="s">
        <v>5939</v>
      </c>
      <c r="AC628" s="56" t="s">
        <v>3543</v>
      </c>
      <c r="AD628" s="56" t="s">
        <v>24</v>
      </c>
      <c r="AE628" s="56" t="s">
        <v>4530</v>
      </c>
      <c r="AF628" s="56" t="s">
        <v>5938</v>
      </c>
      <c r="AH628" s="56" t="s">
        <v>3542</v>
      </c>
      <c r="AI628" s="56" t="s">
        <v>3723</v>
      </c>
    </row>
    <row r="629" spans="1:35" ht="33" customHeight="1">
      <c r="A629" s="56" t="s">
        <v>5943</v>
      </c>
      <c r="B629" s="57">
        <v>44360.625405092593</v>
      </c>
      <c r="C629" s="56" t="s">
        <v>4512</v>
      </c>
      <c r="D629" s="56" t="s">
        <v>4511</v>
      </c>
      <c r="E629" s="56" t="s">
        <v>5942</v>
      </c>
      <c r="F629" s="56" t="s">
        <v>5941</v>
      </c>
      <c r="G629" s="58" t="s">
        <v>1498</v>
      </c>
      <c r="H629" s="56">
        <v>1</v>
      </c>
      <c r="I629" s="56" t="s">
        <v>4016</v>
      </c>
      <c r="J629" s="56">
        <v>0</v>
      </c>
      <c r="K629" s="56">
        <v>0</v>
      </c>
      <c r="P629" s="56">
        <v>0</v>
      </c>
      <c r="S629" s="56">
        <v>0</v>
      </c>
      <c r="T629" s="56" t="s">
        <v>3562</v>
      </c>
      <c r="V629" s="56" t="s">
        <v>3549</v>
      </c>
      <c r="W629" s="56" t="s">
        <v>3548</v>
      </c>
      <c r="X629" s="56" t="s">
        <v>3547</v>
      </c>
      <c r="Z629" s="56" t="s">
        <v>3546</v>
      </c>
      <c r="AA629" s="56" t="s">
        <v>5940</v>
      </c>
      <c r="AB629" s="56" t="s">
        <v>5939</v>
      </c>
      <c r="AC629" s="56" t="s">
        <v>3543</v>
      </c>
      <c r="AD629" s="56" t="s">
        <v>24</v>
      </c>
      <c r="AE629" s="56" t="s">
        <v>4530</v>
      </c>
      <c r="AF629" s="56" t="s">
        <v>5938</v>
      </c>
      <c r="AH629" s="56" t="s">
        <v>3542</v>
      </c>
      <c r="AI629" s="56" t="s">
        <v>3723</v>
      </c>
    </row>
    <row r="630" spans="1:35" ht="33" customHeight="1">
      <c r="A630" s="56" t="s">
        <v>5937</v>
      </c>
      <c r="B630" s="57">
        <v>44360.632326388892</v>
      </c>
      <c r="C630" s="56" t="s">
        <v>3803</v>
      </c>
      <c r="D630" s="56" t="s">
        <v>4511</v>
      </c>
      <c r="E630" s="56" t="s">
        <v>5936</v>
      </c>
      <c r="F630" s="56" t="s">
        <v>5935</v>
      </c>
      <c r="G630" s="58" t="s">
        <v>3656</v>
      </c>
      <c r="H630" s="56">
        <v>1</v>
      </c>
      <c r="I630" s="56" t="s">
        <v>3655</v>
      </c>
      <c r="J630" s="56">
        <v>1107</v>
      </c>
      <c r="K630" s="56">
        <v>799</v>
      </c>
      <c r="L630" s="56">
        <v>1687</v>
      </c>
      <c r="M630" s="56">
        <v>0</v>
      </c>
      <c r="N630" s="56">
        <v>0</v>
      </c>
      <c r="O630" s="56">
        <v>100</v>
      </c>
      <c r="P630" s="56">
        <v>0</v>
      </c>
      <c r="Q630" s="56">
        <v>1587</v>
      </c>
      <c r="R630" s="56">
        <v>0</v>
      </c>
      <c r="S630" s="56">
        <v>0</v>
      </c>
      <c r="T630" s="56" t="s">
        <v>3562</v>
      </c>
      <c r="U630" s="56">
        <v>1587</v>
      </c>
      <c r="V630" s="56" t="s">
        <v>3561</v>
      </c>
      <c r="W630" s="56" t="s">
        <v>3548</v>
      </c>
      <c r="X630" s="56" t="s">
        <v>3765</v>
      </c>
      <c r="Z630" s="56" t="s">
        <v>3546</v>
      </c>
      <c r="AA630" s="56" t="s">
        <v>5934</v>
      </c>
      <c r="AB630" s="56" t="s">
        <v>5933</v>
      </c>
      <c r="AC630" s="56" t="s">
        <v>3543</v>
      </c>
      <c r="AD630" s="56" t="s">
        <v>24</v>
      </c>
      <c r="AE630" s="56" t="s">
        <v>5833</v>
      </c>
      <c r="AF630" s="56" t="s">
        <v>5932</v>
      </c>
      <c r="AH630" s="56" t="s">
        <v>3542</v>
      </c>
      <c r="AI630" s="56" t="s">
        <v>3723</v>
      </c>
    </row>
    <row r="631" spans="1:35" ht="33" customHeight="1">
      <c r="A631" s="56" t="s">
        <v>5937</v>
      </c>
      <c r="B631" s="57">
        <v>44360.632326388892</v>
      </c>
      <c r="C631" s="56" t="s">
        <v>3803</v>
      </c>
      <c r="D631" s="56" t="s">
        <v>4511</v>
      </c>
      <c r="E631" s="56" t="s">
        <v>5936</v>
      </c>
      <c r="F631" s="56" t="s">
        <v>5935</v>
      </c>
      <c r="G631" s="58" t="s">
        <v>3811</v>
      </c>
      <c r="H631" s="56">
        <v>1</v>
      </c>
      <c r="I631" s="56" t="s">
        <v>3669</v>
      </c>
      <c r="J631" s="56">
        <v>897</v>
      </c>
      <c r="K631" s="56">
        <v>888</v>
      </c>
      <c r="P631" s="56">
        <v>0</v>
      </c>
      <c r="S631" s="56">
        <v>0</v>
      </c>
      <c r="T631" s="56" t="s">
        <v>3562</v>
      </c>
      <c r="V631" s="56" t="s">
        <v>3561</v>
      </c>
      <c r="W631" s="56" t="s">
        <v>3548</v>
      </c>
      <c r="X631" s="56" t="s">
        <v>3765</v>
      </c>
      <c r="Z631" s="56" t="s">
        <v>3546</v>
      </c>
      <c r="AA631" s="56" t="s">
        <v>5934</v>
      </c>
      <c r="AB631" s="56" t="s">
        <v>5933</v>
      </c>
      <c r="AC631" s="56" t="s">
        <v>3543</v>
      </c>
      <c r="AD631" s="56" t="s">
        <v>24</v>
      </c>
      <c r="AE631" s="56" t="s">
        <v>5833</v>
      </c>
      <c r="AF631" s="56" t="s">
        <v>5932</v>
      </c>
      <c r="AH631" s="56" t="s">
        <v>3542</v>
      </c>
      <c r="AI631" s="56" t="s">
        <v>3723</v>
      </c>
    </row>
    <row r="632" spans="1:35" ht="33" customHeight="1">
      <c r="A632" s="56" t="s">
        <v>5937</v>
      </c>
      <c r="B632" s="57">
        <v>44360.632326388892</v>
      </c>
      <c r="C632" s="56" t="s">
        <v>3803</v>
      </c>
      <c r="D632" s="56" t="s">
        <v>4511</v>
      </c>
      <c r="E632" s="56" t="s">
        <v>5936</v>
      </c>
      <c r="F632" s="56" t="s">
        <v>5935</v>
      </c>
      <c r="G632" s="58" t="s">
        <v>3551</v>
      </c>
      <c r="H632" s="56">
        <v>1</v>
      </c>
      <c r="I632" s="56" t="s">
        <v>3550</v>
      </c>
      <c r="J632" s="56">
        <v>0</v>
      </c>
      <c r="K632" s="56">
        <v>0</v>
      </c>
      <c r="P632" s="56">
        <v>0</v>
      </c>
      <c r="S632" s="56">
        <v>0</v>
      </c>
      <c r="T632" s="56" t="s">
        <v>3562</v>
      </c>
      <c r="V632" s="56" t="s">
        <v>3561</v>
      </c>
      <c r="W632" s="56" t="s">
        <v>3548</v>
      </c>
      <c r="X632" s="56" t="s">
        <v>3765</v>
      </c>
      <c r="Z632" s="56" t="s">
        <v>3546</v>
      </c>
      <c r="AA632" s="56" t="s">
        <v>5934</v>
      </c>
      <c r="AB632" s="56" t="s">
        <v>5933</v>
      </c>
      <c r="AC632" s="56" t="s">
        <v>3543</v>
      </c>
      <c r="AD632" s="56" t="s">
        <v>24</v>
      </c>
      <c r="AE632" s="56" t="s">
        <v>5833</v>
      </c>
      <c r="AF632" s="56" t="s">
        <v>5932</v>
      </c>
      <c r="AH632" s="56" t="s">
        <v>3542</v>
      </c>
      <c r="AI632" s="56" t="s">
        <v>3723</v>
      </c>
    </row>
    <row r="633" spans="1:35" ht="33" customHeight="1">
      <c r="A633" s="56" t="s">
        <v>5937</v>
      </c>
      <c r="B633" s="57">
        <v>44360.632326388892</v>
      </c>
      <c r="C633" s="56" t="s">
        <v>3803</v>
      </c>
      <c r="D633" s="56" t="s">
        <v>4511</v>
      </c>
      <c r="E633" s="56" t="s">
        <v>5936</v>
      </c>
      <c r="F633" s="56" t="s">
        <v>5935</v>
      </c>
      <c r="G633" s="58" t="s">
        <v>1713</v>
      </c>
      <c r="H633" s="56">
        <v>1</v>
      </c>
      <c r="I633" s="56" t="s">
        <v>3568</v>
      </c>
      <c r="J633" s="56">
        <v>0</v>
      </c>
      <c r="K633" s="56">
        <v>0</v>
      </c>
      <c r="P633" s="56">
        <v>0</v>
      </c>
      <c r="S633" s="56">
        <v>0</v>
      </c>
      <c r="T633" s="56" t="s">
        <v>3562</v>
      </c>
      <c r="V633" s="56" t="s">
        <v>3561</v>
      </c>
      <c r="W633" s="56" t="s">
        <v>3548</v>
      </c>
      <c r="X633" s="56" t="s">
        <v>3765</v>
      </c>
      <c r="Z633" s="56" t="s">
        <v>3546</v>
      </c>
      <c r="AA633" s="56" t="s">
        <v>5934</v>
      </c>
      <c r="AB633" s="56" t="s">
        <v>5933</v>
      </c>
      <c r="AC633" s="56" t="s">
        <v>3543</v>
      </c>
      <c r="AD633" s="56" t="s">
        <v>24</v>
      </c>
      <c r="AE633" s="56" t="s">
        <v>5833</v>
      </c>
      <c r="AF633" s="56" t="s">
        <v>5932</v>
      </c>
      <c r="AH633" s="56" t="s">
        <v>3542</v>
      </c>
      <c r="AI633" s="56" t="s">
        <v>3723</v>
      </c>
    </row>
    <row r="634" spans="1:35" ht="33" customHeight="1">
      <c r="A634" s="56" t="s">
        <v>5937</v>
      </c>
      <c r="B634" s="57">
        <v>44360.632326388892</v>
      </c>
      <c r="C634" s="56" t="s">
        <v>3803</v>
      </c>
      <c r="D634" s="56" t="s">
        <v>4511</v>
      </c>
      <c r="E634" s="56" t="s">
        <v>5936</v>
      </c>
      <c r="F634" s="56" t="s">
        <v>5935</v>
      </c>
      <c r="G634" s="58" t="s">
        <v>1498</v>
      </c>
      <c r="H634" s="56">
        <v>1</v>
      </c>
      <c r="I634" s="56" t="s">
        <v>4016</v>
      </c>
      <c r="J634" s="56">
        <v>0</v>
      </c>
      <c r="K634" s="56">
        <v>0</v>
      </c>
      <c r="P634" s="56">
        <v>0</v>
      </c>
      <c r="S634" s="56">
        <v>0</v>
      </c>
      <c r="T634" s="56" t="s">
        <v>3562</v>
      </c>
      <c r="V634" s="56" t="s">
        <v>3561</v>
      </c>
      <c r="W634" s="56" t="s">
        <v>3548</v>
      </c>
      <c r="X634" s="56" t="s">
        <v>3765</v>
      </c>
      <c r="Z634" s="56" t="s">
        <v>3546</v>
      </c>
      <c r="AA634" s="56" t="s">
        <v>5934</v>
      </c>
      <c r="AB634" s="56" t="s">
        <v>5933</v>
      </c>
      <c r="AC634" s="56" t="s">
        <v>3543</v>
      </c>
      <c r="AD634" s="56" t="s">
        <v>24</v>
      </c>
      <c r="AE634" s="56" t="s">
        <v>5833</v>
      </c>
      <c r="AF634" s="56" t="s">
        <v>5932</v>
      </c>
      <c r="AH634" s="56" t="s">
        <v>3542</v>
      </c>
      <c r="AI634" s="56" t="s">
        <v>3723</v>
      </c>
    </row>
    <row r="635" spans="1:35" ht="33" customHeight="1">
      <c r="A635" s="56" t="s">
        <v>5931</v>
      </c>
      <c r="B635" s="57">
        <v>44360.641597222224</v>
      </c>
      <c r="C635" s="56" t="s">
        <v>3803</v>
      </c>
      <c r="D635" s="56" t="s">
        <v>3802</v>
      </c>
      <c r="E635" s="56" t="s">
        <v>5930</v>
      </c>
      <c r="F635" s="56" t="s">
        <v>5929</v>
      </c>
      <c r="G635" s="58" t="s">
        <v>4283</v>
      </c>
      <c r="H635" s="56">
        <v>1</v>
      </c>
      <c r="I635" s="56" t="s">
        <v>3669</v>
      </c>
      <c r="J635" s="56">
        <v>897</v>
      </c>
      <c r="K635" s="56">
        <v>888</v>
      </c>
      <c r="L635" s="56">
        <v>1056</v>
      </c>
      <c r="M635" s="56">
        <v>0</v>
      </c>
      <c r="N635" s="56">
        <v>0</v>
      </c>
      <c r="O635" s="56">
        <v>100</v>
      </c>
      <c r="P635" s="56">
        <v>0</v>
      </c>
      <c r="Q635" s="56">
        <v>956</v>
      </c>
      <c r="R635" s="56">
        <v>0</v>
      </c>
      <c r="S635" s="56">
        <v>0</v>
      </c>
      <c r="T635" s="56" t="s">
        <v>3562</v>
      </c>
      <c r="U635" s="56">
        <v>956</v>
      </c>
      <c r="V635" s="56" t="s">
        <v>59</v>
      </c>
      <c r="W635" s="56" t="s">
        <v>3548</v>
      </c>
      <c r="X635" s="56" t="s">
        <v>39</v>
      </c>
      <c r="Y635" s="56" t="s">
        <v>4393</v>
      </c>
      <c r="Z635" s="56" t="s">
        <v>5928</v>
      </c>
      <c r="AC635" s="56" t="s">
        <v>3543</v>
      </c>
      <c r="AD635" s="56" t="s">
        <v>24</v>
      </c>
      <c r="AE635" s="56" t="s">
        <v>5833</v>
      </c>
      <c r="AF635" s="56" t="s">
        <v>5927</v>
      </c>
      <c r="AH635" s="56" t="s">
        <v>3542</v>
      </c>
      <c r="AI635" s="56" t="s">
        <v>3723</v>
      </c>
    </row>
    <row r="636" spans="1:35" ht="33" customHeight="1">
      <c r="A636" s="56" t="s">
        <v>5931</v>
      </c>
      <c r="B636" s="57">
        <v>44360.641597222224</v>
      </c>
      <c r="C636" s="56" t="s">
        <v>3803</v>
      </c>
      <c r="D636" s="56" t="s">
        <v>3802</v>
      </c>
      <c r="E636" s="56" t="s">
        <v>5930</v>
      </c>
      <c r="F636" s="56" t="s">
        <v>5929</v>
      </c>
      <c r="G636" s="58" t="s">
        <v>1517</v>
      </c>
      <c r="H636" s="56">
        <v>1</v>
      </c>
      <c r="I636" s="56" t="s">
        <v>3740</v>
      </c>
      <c r="J636" s="56">
        <v>220</v>
      </c>
      <c r="K636" s="56">
        <v>168</v>
      </c>
      <c r="P636" s="56">
        <v>0</v>
      </c>
      <c r="S636" s="56">
        <v>0</v>
      </c>
      <c r="T636" s="56" t="s">
        <v>3562</v>
      </c>
      <c r="V636" s="56" t="s">
        <v>59</v>
      </c>
      <c r="W636" s="56" t="s">
        <v>3548</v>
      </c>
      <c r="X636" s="56" t="s">
        <v>39</v>
      </c>
      <c r="Y636" s="56" t="s">
        <v>4393</v>
      </c>
      <c r="Z636" s="56" t="s">
        <v>5928</v>
      </c>
      <c r="AC636" s="56" t="s">
        <v>3543</v>
      </c>
      <c r="AD636" s="56" t="s">
        <v>24</v>
      </c>
      <c r="AE636" s="56" t="s">
        <v>5833</v>
      </c>
      <c r="AF636" s="56" t="s">
        <v>5927</v>
      </c>
      <c r="AH636" s="56" t="s">
        <v>3542</v>
      </c>
      <c r="AI636" s="56" t="s">
        <v>3723</v>
      </c>
    </row>
    <row r="637" spans="1:35" ht="33" customHeight="1">
      <c r="A637" s="56" t="s">
        <v>5931</v>
      </c>
      <c r="B637" s="57">
        <v>44360.641597222224</v>
      </c>
      <c r="C637" s="56" t="s">
        <v>3803</v>
      </c>
      <c r="D637" s="56" t="s">
        <v>3802</v>
      </c>
      <c r="E637" s="56" t="s">
        <v>5930</v>
      </c>
      <c r="F637" s="56" t="s">
        <v>5929</v>
      </c>
      <c r="G637" s="58" t="s">
        <v>3551</v>
      </c>
      <c r="H637" s="56">
        <v>1</v>
      </c>
      <c r="I637" s="56" t="s">
        <v>3550</v>
      </c>
      <c r="J637" s="56">
        <v>0</v>
      </c>
      <c r="K637" s="56">
        <v>0</v>
      </c>
      <c r="P637" s="56">
        <v>0</v>
      </c>
      <c r="S637" s="56">
        <v>0</v>
      </c>
      <c r="T637" s="56" t="s">
        <v>3562</v>
      </c>
      <c r="V637" s="56" t="s">
        <v>59</v>
      </c>
      <c r="W637" s="56" t="s">
        <v>3548</v>
      </c>
      <c r="X637" s="56" t="s">
        <v>39</v>
      </c>
      <c r="Y637" s="56" t="s">
        <v>4393</v>
      </c>
      <c r="Z637" s="56" t="s">
        <v>5928</v>
      </c>
      <c r="AC637" s="56" t="s">
        <v>3543</v>
      </c>
      <c r="AD637" s="56" t="s">
        <v>24</v>
      </c>
      <c r="AE637" s="56" t="s">
        <v>5833</v>
      </c>
      <c r="AF637" s="56" t="s">
        <v>5927</v>
      </c>
      <c r="AH637" s="56" t="s">
        <v>3542</v>
      </c>
      <c r="AI637" s="56" t="s">
        <v>3723</v>
      </c>
    </row>
    <row r="638" spans="1:35" ht="33" customHeight="1">
      <c r="A638" s="56" t="s">
        <v>5931</v>
      </c>
      <c r="B638" s="57">
        <v>44360.641597222224</v>
      </c>
      <c r="C638" s="56" t="s">
        <v>3803</v>
      </c>
      <c r="D638" s="56" t="s">
        <v>3802</v>
      </c>
      <c r="E638" s="56" t="s">
        <v>5930</v>
      </c>
      <c r="F638" s="56" t="s">
        <v>5929</v>
      </c>
      <c r="G638" s="58" t="s">
        <v>1498</v>
      </c>
      <c r="H638" s="56">
        <v>1</v>
      </c>
      <c r="I638" s="56" t="s">
        <v>4016</v>
      </c>
      <c r="J638" s="56">
        <v>0</v>
      </c>
      <c r="K638" s="56">
        <v>0</v>
      </c>
      <c r="P638" s="56">
        <v>0</v>
      </c>
      <c r="S638" s="56">
        <v>0</v>
      </c>
      <c r="T638" s="56" t="s">
        <v>3562</v>
      </c>
      <c r="V638" s="56" t="s">
        <v>59</v>
      </c>
      <c r="W638" s="56" t="s">
        <v>3548</v>
      </c>
      <c r="X638" s="56" t="s">
        <v>39</v>
      </c>
      <c r="Y638" s="56" t="s">
        <v>4393</v>
      </c>
      <c r="Z638" s="56" t="s">
        <v>5928</v>
      </c>
      <c r="AC638" s="56" t="s">
        <v>3543</v>
      </c>
      <c r="AD638" s="56" t="s">
        <v>24</v>
      </c>
      <c r="AE638" s="56" t="s">
        <v>5833</v>
      </c>
      <c r="AF638" s="56" t="s">
        <v>5927</v>
      </c>
      <c r="AH638" s="56" t="s">
        <v>3542</v>
      </c>
      <c r="AI638" s="56" t="s">
        <v>3723</v>
      </c>
    </row>
    <row r="639" spans="1:35" ht="33" customHeight="1">
      <c r="A639" s="56" t="s">
        <v>5926</v>
      </c>
      <c r="B639" s="57">
        <v>44360.658182870371</v>
      </c>
      <c r="C639" s="56" t="s">
        <v>4512</v>
      </c>
      <c r="D639" s="56" t="s">
        <v>4511</v>
      </c>
      <c r="E639" s="56" t="s">
        <v>5925</v>
      </c>
      <c r="F639" s="56" t="s">
        <v>5924</v>
      </c>
      <c r="G639" s="58" t="s">
        <v>3681</v>
      </c>
      <c r="H639" s="56">
        <v>1</v>
      </c>
      <c r="I639" s="56" t="s">
        <v>3569</v>
      </c>
      <c r="J639" s="56">
        <v>894</v>
      </c>
      <c r="K639" s="56">
        <v>750</v>
      </c>
      <c r="L639" s="56">
        <v>2358</v>
      </c>
      <c r="M639" s="56">
        <v>0</v>
      </c>
      <c r="N639" s="56">
        <v>0</v>
      </c>
      <c r="O639" s="56">
        <v>157</v>
      </c>
      <c r="P639" s="56">
        <v>0</v>
      </c>
      <c r="Q639" s="56">
        <v>2201</v>
      </c>
      <c r="R639" s="56">
        <v>0</v>
      </c>
      <c r="S639" s="56">
        <v>0</v>
      </c>
      <c r="T639" s="56" t="s">
        <v>3562</v>
      </c>
      <c r="U639" s="56">
        <v>2201</v>
      </c>
      <c r="V639" s="56" t="s">
        <v>3549</v>
      </c>
      <c r="W639" s="56" t="s">
        <v>3548</v>
      </c>
      <c r="X639" s="56" t="s">
        <v>3547</v>
      </c>
      <c r="Z639" s="56" t="s">
        <v>3546</v>
      </c>
      <c r="AA639" s="56" t="s">
        <v>5923</v>
      </c>
      <c r="AB639" s="56" t="s">
        <v>5922</v>
      </c>
      <c r="AC639" s="56" t="s">
        <v>3543</v>
      </c>
      <c r="AD639" s="56" t="s">
        <v>24</v>
      </c>
      <c r="AE639" s="56" t="s">
        <v>4145</v>
      </c>
      <c r="AF639" s="56" t="s">
        <v>5921</v>
      </c>
      <c r="AH639" s="56" t="s">
        <v>3542</v>
      </c>
      <c r="AI639" s="56" t="s">
        <v>3723</v>
      </c>
    </row>
    <row r="640" spans="1:35" ht="33" customHeight="1">
      <c r="A640" s="56" t="s">
        <v>5926</v>
      </c>
      <c r="B640" s="57">
        <v>44360.658182870371</v>
      </c>
      <c r="C640" s="56" t="s">
        <v>4512</v>
      </c>
      <c r="D640" s="56" t="s">
        <v>4511</v>
      </c>
      <c r="E640" s="56" t="s">
        <v>5925</v>
      </c>
      <c r="F640" s="56" t="s">
        <v>5924</v>
      </c>
      <c r="G640" s="58" t="s">
        <v>1493</v>
      </c>
      <c r="H640" s="56">
        <v>1</v>
      </c>
      <c r="I640" s="56" t="s">
        <v>3601</v>
      </c>
      <c r="J640" s="56">
        <v>135</v>
      </c>
      <c r="K640" s="56">
        <v>135</v>
      </c>
      <c r="P640" s="56">
        <v>0</v>
      </c>
      <c r="S640" s="56">
        <v>0</v>
      </c>
      <c r="T640" s="56" t="s">
        <v>3562</v>
      </c>
      <c r="V640" s="56" t="s">
        <v>3549</v>
      </c>
      <c r="W640" s="56" t="s">
        <v>3548</v>
      </c>
      <c r="X640" s="56" t="s">
        <v>3547</v>
      </c>
      <c r="Z640" s="56" t="s">
        <v>3546</v>
      </c>
      <c r="AA640" s="56" t="s">
        <v>5923</v>
      </c>
      <c r="AB640" s="56" t="s">
        <v>5922</v>
      </c>
      <c r="AC640" s="56" t="s">
        <v>3543</v>
      </c>
      <c r="AD640" s="56" t="s">
        <v>24</v>
      </c>
      <c r="AE640" s="56" t="s">
        <v>4145</v>
      </c>
      <c r="AF640" s="56" t="s">
        <v>5921</v>
      </c>
      <c r="AH640" s="56" t="s">
        <v>3542</v>
      </c>
      <c r="AI640" s="56" t="s">
        <v>3723</v>
      </c>
    </row>
    <row r="641" spans="1:35" ht="33" customHeight="1">
      <c r="A641" s="56" t="s">
        <v>5926</v>
      </c>
      <c r="B641" s="57">
        <v>44360.658182870371</v>
      </c>
      <c r="C641" s="56" t="s">
        <v>4512</v>
      </c>
      <c r="D641" s="56" t="s">
        <v>4511</v>
      </c>
      <c r="E641" s="56" t="s">
        <v>5925</v>
      </c>
      <c r="F641" s="56" t="s">
        <v>5924</v>
      </c>
      <c r="G641" s="58" t="s">
        <v>3747</v>
      </c>
      <c r="H641" s="56">
        <v>1</v>
      </c>
      <c r="I641" s="56" t="s">
        <v>3746</v>
      </c>
      <c r="J641" s="56">
        <v>660</v>
      </c>
      <c r="K641" s="56">
        <v>450</v>
      </c>
      <c r="P641" s="56">
        <v>0</v>
      </c>
      <c r="S641" s="56">
        <v>0</v>
      </c>
      <c r="T641" s="56" t="s">
        <v>3562</v>
      </c>
      <c r="V641" s="56" t="s">
        <v>3549</v>
      </c>
      <c r="W641" s="56" t="s">
        <v>3548</v>
      </c>
      <c r="X641" s="56" t="s">
        <v>3547</v>
      </c>
      <c r="Z641" s="56" t="s">
        <v>3546</v>
      </c>
      <c r="AA641" s="56" t="s">
        <v>5923</v>
      </c>
      <c r="AB641" s="56" t="s">
        <v>5922</v>
      </c>
      <c r="AC641" s="56" t="s">
        <v>3543</v>
      </c>
      <c r="AD641" s="56" t="s">
        <v>24</v>
      </c>
      <c r="AE641" s="56" t="s">
        <v>4145</v>
      </c>
      <c r="AF641" s="56" t="s">
        <v>5921</v>
      </c>
      <c r="AH641" s="56" t="s">
        <v>3542</v>
      </c>
      <c r="AI641" s="56" t="s">
        <v>3723</v>
      </c>
    </row>
    <row r="642" spans="1:35" ht="33" customHeight="1">
      <c r="A642" s="56" t="s">
        <v>5926</v>
      </c>
      <c r="B642" s="57">
        <v>44360.658182870371</v>
      </c>
      <c r="C642" s="56" t="s">
        <v>4512</v>
      </c>
      <c r="D642" s="56" t="s">
        <v>4511</v>
      </c>
      <c r="E642" s="56" t="s">
        <v>5925</v>
      </c>
      <c r="F642" s="56" t="s">
        <v>5924</v>
      </c>
      <c r="G642" s="58" t="s">
        <v>3811</v>
      </c>
      <c r="H642" s="56">
        <v>1</v>
      </c>
      <c r="I642" s="56" t="s">
        <v>3669</v>
      </c>
      <c r="J642" s="56">
        <v>897</v>
      </c>
      <c r="K642" s="56">
        <v>888</v>
      </c>
      <c r="P642" s="56">
        <v>0</v>
      </c>
      <c r="S642" s="56">
        <v>0</v>
      </c>
      <c r="T642" s="56" t="s">
        <v>3562</v>
      </c>
      <c r="V642" s="56" t="s">
        <v>3549</v>
      </c>
      <c r="W642" s="56" t="s">
        <v>3548</v>
      </c>
      <c r="X642" s="56" t="s">
        <v>3547</v>
      </c>
      <c r="Z642" s="56" t="s">
        <v>3546</v>
      </c>
      <c r="AA642" s="56" t="s">
        <v>5923</v>
      </c>
      <c r="AB642" s="56" t="s">
        <v>5922</v>
      </c>
      <c r="AC642" s="56" t="s">
        <v>3543</v>
      </c>
      <c r="AD642" s="56" t="s">
        <v>24</v>
      </c>
      <c r="AE642" s="56" t="s">
        <v>4145</v>
      </c>
      <c r="AF642" s="56" t="s">
        <v>5921</v>
      </c>
      <c r="AH642" s="56" t="s">
        <v>3542</v>
      </c>
      <c r="AI642" s="56" t="s">
        <v>3723</v>
      </c>
    </row>
    <row r="643" spans="1:35" ht="33" customHeight="1">
      <c r="A643" s="56" t="s">
        <v>5926</v>
      </c>
      <c r="B643" s="57">
        <v>44360.658182870371</v>
      </c>
      <c r="C643" s="56" t="s">
        <v>4512</v>
      </c>
      <c r="D643" s="56" t="s">
        <v>4511</v>
      </c>
      <c r="E643" s="56" t="s">
        <v>5925</v>
      </c>
      <c r="F643" s="56" t="s">
        <v>5924</v>
      </c>
      <c r="G643" s="58" t="s">
        <v>1491</v>
      </c>
      <c r="H643" s="56">
        <v>1</v>
      </c>
      <c r="I643" s="56" t="s">
        <v>3771</v>
      </c>
      <c r="J643" s="56">
        <v>135</v>
      </c>
      <c r="K643" s="56">
        <v>135</v>
      </c>
      <c r="P643" s="56">
        <v>0</v>
      </c>
      <c r="S643" s="56">
        <v>0</v>
      </c>
      <c r="T643" s="56" t="s">
        <v>3562</v>
      </c>
      <c r="V643" s="56" t="s">
        <v>3549</v>
      </c>
      <c r="W643" s="56" t="s">
        <v>3548</v>
      </c>
      <c r="X643" s="56" t="s">
        <v>3547</v>
      </c>
      <c r="Z643" s="56" t="s">
        <v>3546</v>
      </c>
      <c r="AA643" s="56" t="s">
        <v>5923</v>
      </c>
      <c r="AB643" s="56" t="s">
        <v>5922</v>
      </c>
      <c r="AC643" s="56" t="s">
        <v>3543</v>
      </c>
      <c r="AD643" s="56" t="s">
        <v>24</v>
      </c>
      <c r="AE643" s="56" t="s">
        <v>4145</v>
      </c>
      <c r="AF643" s="56" t="s">
        <v>5921</v>
      </c>
      <c r="AH643" s="56" t="s">
        <v>3542</v>
      </c>
      <c r="AI643" s="56" t="s">
        <v>3723</v>
      </c>
    </row>
    <row r="644" spans="1:35" ht="33" customHeight="1">
      <c r="A644" s="56" t="s">
        <v>5926</v>
      </c>
      <c r="B644" s="57">
        <v>44360.658182870371</v>
      </c>
      <c r="C644" s="56" t="s">
        <v>4512</v>
      </c>
      <c r="D644" s="56" t="s">
        <v>4511</v>
      </c>
      <c r="E644" s="56" t="s">
        <v>5925</v>
      </c>
      <c r="F644" s="56" t="s">
        <v>5924</v>
      </c>
      <c r="G644" s="58" t="s">
        <v>3551</v>
      </c>
      <c r="H644" s="56">
        <v>1</v>
      </c>
      <c r="I644" s="56" t="s">
        <v>3550</v>
      </c>
      <c r="J644" s="56">
        <v>0</v>
      </c>
      <c r="K644" s="56">
        <v>0</v>
      </c>
      <c r="P644" s="56">
        <v>0</v>
      </c>
      <c r="S644" s="56">
        <v>0</v>
      </c>
      <c r="T644" s="56" t="s">
        <v>3562</v>
      </c>
      <c r="V644" s="56" t="s">
        <v>3549</v>
      </c>
      <c r="W644" s="56" t="s">
        <v>3548</v>
      </c>
      <c r="X644" s="56" t="s">
        <v>3547</v>
      </c>
      <c r="Z644" s="56" t="s">
        <v>3546</v>
      </c>
      <c r="AA644" s="56" t="s">
        <v>5923</v>
      </c>
      <c r="AB644" s="56" t="s">
        <v>5922</v>
      </c>
      <c r="AC644" s="56" t="s">
        <v>3543</v>
      </c>
      <c r="AD644" s="56" t="s">
        <v>24</v>
      </c>
      <c r="AE644" s="56" t="s">
        <v>4145</v>
      </c>
      <c r="AF644" s="56" t="s">
        <v>5921</v>
      </c>
      <c r="AH644" s="56" t="s">
        <v>3542</v>
      </c>
      <c r="AI644" s="56" t="s">
        <v>3723</v>
      </c>
    </row>
    <row r="645" spans="1:35" ht="33" customHeight="1">
      <c r="A645" s="56" t="s">
        <v>5926</v>
      </c>
      <c r="B645" s="57">
        <v>44360.658182870371</v>
      </c>
      <c r="C645" s="56" t="s">
        <v>4512</v>
      </c>
      <c r="D645" s="56" t="s">
        <v>4511</v>
      </c>
      <c r="E645" s="56" t="s">
        <v>5925</v>
      </c>
      <c r="F645" s="56" t="s">
        <v>5924</v>
      </c>
      <c r="G645" s="58" t="s">
        <v>1713</v>
      </c>
      <c r="H645" s="56">
        <v>1</v>
      </c>
      <c r="I645" s="56" t="s">
        <v>3568</v>
      </c>
      <c r="J645" s="56">
        <v>0</v>
      </c>
      <c r="K645" s="56">
        <v>0</v>
      </c>
      <c r="P645" s="56">
        <v>0</v>
      </c>
      <c r="S645" s="56">
        <v>0</v>
      </c>
      <c r="T645" s="56" t="s">
        <v>3562</v>
      </c>
      <c r="V645" s="56" t="s">
        <v>3549</v>
      </c>
      <c r="W645" s="56" t="s">
        <v>3548</v>
      </c>
      <c r="X645" s="56" t="s">
        <v>3547</v>
      </c>
      <c r="Z645" s="56" t="s">
        <v>3546</v>
      </c>
      <c r="AA645" s="56" t="s">
        <v>5923</v>
      </c>
      <c r="AB645" s="56" t="s">
        <v>5922</v>
      </c>
      <c r="AC645" s="56" t="s">
        <v>3543</v>
      </c>
      <c r="AD645" s="56" t="s">
        <v>24</v>
      </c>
      <c r="AE645" s="56" t="s">
        <v>4145</v>
      </c>
      <c r="AF645" s="56" t="s">
        <v>5921</v>
      </c>
      <c r="AH645" s="56" t="s">
        <v>3542</v>
      </c>
      <c r="AI645" s="56" t="s">
        <v>3723</v>
      </c>
    </row>
    <row r="646" spans="1:35" ht="33" customHeight="1">
      <c r="A646" s="56" t="s">
        <v>5926</v>
      </c>
      <c r="B646" s="57">
        <v>44360.658182870371</v>
      </c>
      <c r="C646" s="56" t="s">
        <v>4512</v>
      </c>
      <c r="D646" s="56" t="s">
        <v>4511</v>
      </c>
      <c r="E646" s="56" t="s">
        <v>5925</v>
      </c>
      <c r="F646" s="56" t="s">
        <v>5924</v>
      </c>
      <c r="G646" s="58" t="s">
        <v>1498</v>
      </c>
      <c r="H646" s="56">
        <v>1</v>
      </c>
      <c r="I646" s="56" t="s">
        <v>4016</v>
      </c>
      <c r="J646" s="56">
        <v>0</v>
      </c>
      <c r="K646" s="56">
        <v>0</v>
      </c>
      <c r="P646" s="56">
        <v>0</v>
      </c>
      <c r="S646" s="56">
        <v>0</v>
      </c>
      <c r="T646" s="56" t="s">
        <v>3562</v>
      </c>
      <c r="V646" s="56" t="s">
        <v>3549</v>
      </c>
      <c r="W646" s="56" t="s">
        <v>3548</v>
      </c>
      <c r="X646" s="56" t="s">
        <v>3547</v>
      </c>
      <c r="Z646" s="56" t="s">
        <v>3546</v>
      </c>
      <c r="AA646" s="56" t="s">
        <v>5923</v>
      </c>
      <c r="AB646" s="56" t="s">
        <v>5922</v>
      </c>
      <c r="AC646" s="56" t="s">
        <v>3543</v>
      </c>
      <c r="AD646" s="56" t="s">
        <v>24</v>
      </c>
      <c r="AE646" s="56" t="s">
        <v>4145</v>
      </c>
      <c r="AF646" s="56" t="s">
        <v>5921</v>
      </c>
      <c r="AH646" s="56" t="s">
        <v>3542</v>
      </c>
      <c r="AI646" s="56" t="s">
        <v>3723</v>
      </c>
    </row>
    <row r="647" spans="1:35" ht="33" customHeight="1">
      <c r="A647" s="56" t="s">
        <v>5926</v>
      </c>
      <c r="B647" s="57">
        <v>44360.658182870371</v>
      </c>
      <c r="C647" s="56" t="s">
        <v>4512</v>
      </c>
      <c r="D647" s="56" t="s">
        <v>4511</v>
      </c>
      <c r="E647" s="56" t="s">
        <v>5925</v>
      </c>
      <c r="F647" s="56" t="s">
        <v>5924</v>
      </c>
      <c r="G647" s="58" t="s">
        <v>3564</v>
      </c>
      <c r="H647" s="56">
        <v>1</v>
      </c>
      <c r="I647" s="56" t="s">
        <v>3563</v>
      </c>
      <c r="J647" s="56">
        <v>0</v>
      </c>
      <c r="K647" s="56">
        <v>0</v>
      </c>
      <c r="P647" s="56">
        <v>0</v>
      </c>
      <c r="S647" s="56">
        <v>0</v>
      </c>
      <c r="T647" s="56" t="s">
        <v>3562</v>
      </c>
      <c r="V647" s="56" t="s">
        <v>3549</v>
      </c>
      <c r="W647" s="56" t="s">
        <v>3548</v>
      </c>
      <c r="X647" s="56" t="s">
        <v>3547</v>
      </c>
      <c r="Z647" s="56" t="s">
        <v>3546</v>
      </c>
      <c r="AA647" s="56" t="s">
        <v>5923</v>
      </c>
      <c r="AB647" s="56" t="s">
        <v>5922</v>
      </c>
      <c r="AC647" s="56" t="s">
        <v>3543</v>
      </c>
      <c r="AD647" s="56" t="s">
        <v>24</v>
      </c>
      <c r="AE647" s="56" t="s">
        <v>4145</v>
      </c>
      <c r="AF647" s="56" t="s">
        <v>5921</v>
      </c>
      <c r="AH647" s="56" t="s">
        <v>3542</v>
      </c>
      <c r="AI647" s="56" t="s">
        <v>3723</v>
      </c>
    </row>
    <row r="648" spans="1:35" ht="33" customHeight="1">
      <c r="A648" s="56" t="s">
        <v>5920</v>
      </c>
      <c r="B648" s="57">
        <v>44360.663310185184</v>
      </c>
      <c r="C648" s="56" t="s">
        <v>3803</v>
      </c>
      <c r="D648" s="56" t="s">
        <v>3802</v>
      </c>
      <c r="E648" s="56" t="s">
        <v>5919</v>
      </c>
      <c r="F648" s="56" t="s">
        <v>5918</v>
      </c>
      <c r="G648" s="58" t="s">
        <v>2161</v>
      </c>
      <c r="H648" s="56">
        <v>2</v>
      </c>
      <c r="I648" s="56" t="s">
        <v>3694</v>
      </c>
      <c r="J648" s="56">
        <v>128</v>
      </c>
      <c r="K648" s="56">
        <v>128</v>
      </c>
      <c r="L648" s="56">
        <v>1066</v>
      </c>
      <c r="M648" s="56">
        <v>0</v>
      </c>
      <c r="N648" s="56">
        <v>0</v>
      </c>
      <c r="O648" s="56">
        <v>107</v>
      </c>
      <c r="P648" s="56">
        <v>0</v>
      </c>
      <c r="Q648" s="56">
        <v>959</v>
      </c>
      <c r="R648" s="56">
        <v>0</v>
      </c>
      <c r="S648" s="56">
        <v>0</v>
      </c>
      <c r="T648" s="56" t="s">
        <v>3562</v>
      </c>
      <c r="U648" s="56">
        <v>959</v>
      </c>
      <c r="V648" s="56" t="s">
        <v>59</v>
      </c>
      <c r="W648" s="56" t="s">
        <v>3548</v>
      </c>
      <c r="X648" s="56" t="s">
        <v>39</v>
      </c>
      <c r="Y648" s="56" t="s">
        <v>4475</v>
      </c>
      <c r="Z648" s="56" t="s">
        <v>5917</v>
      </c>
      <c r="AC648" s="56" t="s">
        <v>3543</v>
      </c>
      <c r="AD648" s="56" t="s">
        <v>24</v>
      </c>
      <c r="AE648" s="56" t="s">
        <v>5833</v>
      </c>
      <c r="AF648" s="56" t="s">
        <v>5916</v>
      </c>
      <c r="AH648" s="56" t="s">
        <v>3542</v>
      </c>
      <c r="AI648" s="56" t="s">
        <v>3723</v>
      </c>
    </row>
    <row r="649" spans="1:35" ht="33" customHeight="1">
      <c r="A649" s="56" t="s">
        <v>5920</v>
      </c>
      <c r="B649" s="57">
        <v>44360.663310185184</v>
      </c>
      <c r="C649" s="56" t="s">
        <v>3803</v>
      </c>
      <c r="D649" s="56" t="s">
        <v>3802</v>
      </c>
      <c r="E649" s="56" t="s">
        <v>5919</v>
      </c>
      <c r="F649" s="56" t="s">
        <v>5918</v>
      </c>
      <c r="G649" s="58" t="s">
        <v>2163</v>
      </c>
      <c r="H649" s="56">
        <v>2</v>
      </c>
      <c r="I649" s="56" t="s">
        <v>3694</v>
      </c>
      <c r="J649" s="56">
        <v>128</v>
      </c>
      <c r="K649" s="56">
        <v>128</v>
      </c>
      <c r="P649" s="56">
        <v>0</v>
      </c>
      <c r="S649" s="56">
        <v>0</v>
      </c>
      <c r="T649" s="56" t="s">
        <v>3562</v>
      </c>
      <c r="V649" s="56" t="s">
        <v>59</v>
      </c>
      <c r="W649" s="56" t="s">
        <v>3548</v>
      </c>
      <c r="X649" s="56" t="s">
        <v>39</v>
      </c>
      <c r="Y649" s="56" t="s">
        <v>4475</v>
      </c>
      <c r="Z649" s="56" t="s">
        <v>5917</v>
      </c>
      <c r="AC649" s="56" t="s">
        <v>3543</v>
      </c>
      <c r="AD649" s="56" t="s">
        <v>24</v>
      </c>
      <c r="AE649" s="56" t="s">
        <v>5833</v>
      </c>
      <c r="AF649" s="56" t="s">
        <v>5916</v>
      </c>
      <c r="AH649" s="56" t="s">
        <v>3542</v>
      </c>
      <c r="AI649" s="56" t="s">
        <v>3723</v>
      </c>
    </row>
    <row r="650" spans="1:35" ht="33" customHeight="1">
      <c r="A650" s="56" t="s">
        <v>5920</v>
      </c>
      <c r="B650" s="57">
        <v>44360.663310185184</v>
      </c>
      <c r="C650" s="56" t="s">
        <v>3803</v>
      </c>
      <c r="D650" s="56" t="s">
        <v>3802</v>
      </c>
      <c r="E650" s="56" t="s">
        <v>5919</v>
      </c>
      <c r="F650" s="56" t="s">
        <v>5918</v>
      </c>
      <c r="G650" s="58" t="s">
        <v>2165</v>
      </c>
      <c r="H650" s="56">
        <v>2</v>
      </c>
      <c r="I650" s="56" t="s">
        <v>3694</v>
      </c>
      <c r="J650" s="56">
        <v>128</v>
      </c>
      <c r="K650" s="56">
        <v>128</v>
      </c>
      <c r="P650" s="56">
        <v>0</v>
      </c>
      <c r="S650" s="56">
        <v>0</v>
      </c>
      <c r="T650" s="56" t="s">
        <v>3562</v>
      </c>
      <c r="V650" s="56" t="s">
        <v>59</v>
      </c>
      <c r="W650" s="56" t="s">
        <v>3548</v>
      </c>
      <c r="X650" s="56" t="s">
        <v>39</v>
      </c>
      <c r="Y650" s="56" t="s">
        <v>4475</v>
      </c>
      <c r="Z650" s="56" t="s">
        <v>5917</v>
      </c>
      <c r="AC650" s="56" t="s">
        <v>3543</v>
      </c>
      <c r="AD650" s="56" t="s">
        <v>24</v>
      </c>
      <c r="AE650" s="56" t="s">
        <v>5833</v>
      </c>
      <c r="AF650" s="56" t="s">
        <v>5916</v>
      </c>
      <c r="AH650" s="56" t="s">
        <v>3542</v>
      </c>
      <c r="AI650" s="56" t="s">
        <v>3723</v>
      </c>
    </row>
    <row r="651" spans="1:35" ht="33" customHeight="1">
      <c r="A651" s="56" t="s">
        <v>5920</v>
      </c>
      <c r="B651" s="57">
        <v>44360.663310185184</v>
      </c>
      <c r="C651" s="56" t="s">
        <v>3803</v>
      </c>
      <c r="D651" s="56" t="s">
        <v>3802</v>
      </c>
      <c r="E651" s="56" t="s">
        <v>5919</v>
      </c>
      <c r="F651" s="56" t="s">
        <v>5918</v>
      </c>
      <c r="G651" s="58" t="s">
        <v>1491</v>
      </c>
      <c r="H651" s="56">
        <v>1</v>
      </c>
      <c r="I651" s="56" t="s">
        <v>3586</v>
      </c>
      <c r="J651" s="56">
        <v>149</v>
      </c>
      <c r="K651" s="56">
        <v>149</v>
      </c>
      <c r="P651" s="56">
        <v>0</v>
      </c>
      <c r="S651" s="56">
        <v>0</v>
      </c>
      <c r="T651" s="56" t="s">
        <v>3562</v>
      </c>
      <c r="V651" s="56" t="s">
        <v>59</v>
      </c>
      <c r="W651" s="56" t="s">
        <v>3548</v>
      </c>
      <c r="X651" s="56" t="s">
        <v>39</v>
      </c>
      <c r="Y651" s="56" t="s">
        <v>4475</v>
      </c>
      <c r="Z651" s="56" t="s">
        <v>5917</v>
      </c>
      <c r="AC651" s="56" t="s">
        <v>3543</v>
      </c>
      <c r="AD651" s="56" t="s">
        <v>24</v>
      </c>
      <c r="AE651" s="56" t="s">
        <v>5833</v>
      </c>
      <c r="AF651" s="56" t="s">
        <v>5916</v>
      </c>
      <c r="AH651" s="56" t="s">
        <v>3542</v>
      </c>
      <c r="AI651" s="56" t="s">
        <v>3723</v>
      </c>
    </row>
    <row r="652" spans="1:35" ht="33" customHeight="1">
      <c r="A652" s="56" t="s">
        <v>5920</v>
      </c>
      <c r="B652" s="57">
        <v>44360.663310185184</v>
      </c>
      <c r="C652" s="56" t="s">
        <v>3803</v>
      </c>
      <c r="D652" s="56" t="s">
        <v>3802</v>
      </c>
      <c r="E652" s="56" t="s">
        <v>5919</v>
      </c>
      <c r="F652" s="56" t="s">
        <v>5918</v>
      </c>
      <c r="G652" s="58" t="s">
        <v>1493</v>
      </c>
      <c r="H652" s="56">
        <v>1</v>
      </c>
      <c r="I652" s="56" t="s">
        <v>3586</v>
      </c>
      <c r="J652" s="56">
        <v>149</v>
      </c>
      <c r="K652" s="56">
        <v>149</v>
      </c>
      <c r="P652" s="56">
        <v>0</v>
      </c>
      <c r="S652" s="56">
        <v>0</v>
      </c>
      <c r="T652" s="56" t="s">
        <v>3562</v>
      </c>
      <c r="V652" s="56" t="s">
        <v>59</v>
      </c>
      <c r="W652" s="56" t="s">
        <v>3548</v>
      </c>
      <c r="X652" s="56" t="s">
        <v>39</v>
      </c>
      <c r="Y652" s="56" t="s">
        <v>4475</v>
      </c>
      <c r="Z652" s="56" t="s">
        <v>5917</v>
      </c>
      <c r="AC652" s="56" t="s">
        <v>3543</v>
      </c>
      <c r="AD652" s="56" t="s">
        <v>24</v>
      </c>
      <c r="AE652" s="56" t="s">
        <v>5833</v>
      </c>
      <c r="AF652" s="56" t="s">
        <v>5916</v>
      </c>
      <c r="AH652" s="56" t="s">
        <v>3542</v>
      </c>
      <c r="AI652" s="56" t="s">
        <v>3723</v>
      </c>
    </row>
    <row r="653" spans="1:35" ht="33" customHeight="1">
      <c r="A653" s="56" t="s">
        <v>5920</v>
      </c>
      <c r="B653" s="57">
        <v>44360.663310185184</v>
      </c>
      <c r="C653" s="56" t="s">
        <v>3803</v>
      </c>
      <c r="D653" s="56" t="s">
        <v>3802</v>
      </c>
      <c r="E653" s="56" t="s">
        <v>5919</v>
      </c>
      <c r="F653" s="56" t="s">
        <v>5918</v>
      </c>
      <c r="G653" s="58" t="s">
        <v>3551</v>
      </c>
      <c r="H653" s="56">
        <v>1</v>
      </c>
      <c r="I653" s="56" t="s">
        <v>3550</v>
      </c>
      <c r="J653" s="56">
        <v>0</v>
      </c>
      <c r="K653" s="56">
        <v>0</v>
      </c>
      <c r="P653" s="56">
        <v>0</v>
      </c>
      <c r="S653" s="56">
        <v>0</v>
      </c>
      <c r="T653" s="56" t="s">
        <v>3562</v>
      </c>
      <c r="V653" s="56" t="s">
        <v>59</v>
      </c>
      <c r="W653" s="56" t="s">
        <v>3548</v>
      </c>
      <c r="X653" s="56" t="s">
        <v>39</v>
      </c>
      <c r="Y653" s="56" t="s">
        <v>4475</v>
      </c>
      <c r="Z653" s="56" t="s">
        <v>5917</v>
      </c>
      <c r="AC653" s="56" t="s">
        <v>3543</v>
      </c>
      <c r="AD653" s="56" t="s">
        <v>24</v>
      </c>
      <c r="AE653" s="56" t="s">
        <v>5833</v>
      </c>
      <c r="AF653" s="56" t="s">
        <v>5916</v>
      </c>
      <c r="AH653" s="56" t="s">
        <v>3542</v>
      </c>
      <c r="AI653" s="56" t="s">
        <v>3723</v>
      </c>
    </row>
    <row r="654" spans="1:35" ht="33" customHeight="1">
      <c r="A654" s="56" t="s">
        <v>5920</v>
      </c>
      <c r="B654" s="57">
        <v>44360.663310185184</v>
      </c>
      <c r="C654" s="56" t="s">
        <v>3803</v>
      </c>
      <c r="D654" s="56" t="s">
        <v>3802</v>
      </c>
      <c r="E654" s="56" t="s">
        <v>5919</v>
      </c>
      <c r="F654" s="56" t="s">
        <v>5918</v>
      </c>
      <c r="G654" s="58" t="s">
        <v>1498</v>
      </c>
      <c r="H654" s="56">
        <v>1</v>
      </c>
      <c r="I654" s="56" t="s">
        <v>4016</v>
      </c>
      <c r="J654" s="56">
        <v>0</v>
      </c>
      <c r="K654" s="56">
        <v>0</v>
      </c>
      <c r="P654" s="56">
        <v>0</v>
      </c>
      <c r="S654" s="56">
        <v>0</v>
      </c>
      <c r="T654" s="56" t="s">
        <v>3562</v>
      </c>
      <c r="V654" s="56" t="s">
        <v>59</v>
      </c>
      <c r="W654" s="56" t="s">
        <v>3548</v>
      </c>
      <c r="X654" s="56" t="s">
        <v>39</v>
      </c>
      <c r="Y654" s="56" t="s">
        <v>4475</v>
      </c>
      <c r="Z654" s="56" t="s">
        <v>5917</v>
      </c>
      <c r="AC654" s="56" t="s">
        <v>3543</v>
      </c>
      <c r="AD654" s="56" t="s">
        <v>24</v>
      </c>
      <c r="AE654" s="56" t="s">
        <v>5833</v>
      </c>
      <c r="AF654" s="56" t="s">
        <v>5916</v>
      </c>
      <c r="AH654" s="56" t="s">
        <v>3542</v>
      </c>
      <c r="AI654" s="56" t="s">
        <v>3723</v>
      </c>
    </row>
    <row r="655" spans="1:35" ht="33" customHeight="1">
      <c r="A655" s="56" t="s">
        <v>5915</v>
      </c>
      <c r="B655" s="57">
        <v>44360.673738425925</v>
      </c>
      <c r="C655" s="56" t="s">
        <v>3803</v>
      </c>
      <c r="D655" s="56" t="s">
        <v>3802</v>
      </c>
      <c r="E655" s="56" t="s">
        <v>5914</v>
      </c>
      <c r="F655" s="56" t="s">
        <v>5913</v>
      </c>
      <c r="G655" s="58" t="s">
        <v>3811</v>
      </c>
      <c r="H655" s="56">
        <v>1</v>
      </c>
      <c r="I655" s="56" t="s">
        <v>3669</v>
      </c>
      <c r="J655" s="56">
        <v>897</v>
      </c>
      <c r="K655" s="56">
        <v>888</v>
      </c>
      <c r="L655" s="56">
        <v>997</v>
      </c>
      <c r="M655" s="56">
        <v>0</v>
      </c>
      <c r="N655" s="56">
        <v>0</v>
      </c>
      <c r="O655" s="56">
        <v>0</v>
      </c>
      <c r="P655" s="56">
        <v>0</v>
      </c>
      <c r="Q655" s="56">
        <v>997</v>
      </c>
      <c r="R655" s="56">
        <v>0</v>
      </c>
      <c r="S655" s="56">
        <v>0</v>
      </c>
      <c r="T655" s="56" t="s">
        <v>3562</v>
      </c>
      <c r="U655" s="56">
        <v>997</v>
      </c>
      <c r="V655" s="56" t="s">
        <v>3865</v>
      </c>
      <c r="W655" s="56" t="s">
        <v>3548</v>
      </c>
      <c r="X655" s="56" t="s">
        <v>39</v>
      </c>
      <c r="Y655" s="56" t="s">
        <v>4559</v>
      </c>
      <c r="Z655" s="56" t="s">
        <v>5912</v>
      </c>
      <c r="AC655" s="56" t="s">
        <v>3543</v>
      </c>
      <c r="AD655" s="56" t="s">
        <v>24</v>
      </c>
      <c r="AE655" s="56" t="s">
        <v>5833</v>
      </c>
      <c r="AF655" s="56" t="s">
        <v>5911</v>
      </c>
      <c r="AH655" s="56" t="s">
        <v>3542</v>
      </c>
      <c r="AI655" s="56" t="s">
        <v>3723</v>
      </c>
    </row>
    <row r="656" spans="1:35" ht="33" customHeight="1">
      <c r="A656" s="56" t="s">
        <v>5915</v>
      </c>
      <c r="B656" s="57">
        <v>44360.673738425925</v>
      </c>
      <c r="C656" s="56" t="s">
        <v>3803</v>
      </c>
      <c r="D656" s="56" t="s">
        <v>3802</v>
      </c>
      <c r="E656" s="56" t="s">
        <v>5914</v>
      </c>
      <c r="F656" s="56" t="s">
        <v>5913</v>
      </c>
      <c r="G656" s="58" t="s">
        <v>2165</v>
      </c>
      <c r="H656" s="56">
        <v>1</v>
      </c>
      <c r="I656" s="56" t="s">
        <v>3721</v>
      </c>
      <c r="J656" s="56">
        <v>109</v>
      </c>
      <c r="K656" s="56">
        <v>109</v>
      </c>
      <c r="P656" s="56">
        <v>0</v>
      </c>
      <c r="S656" s="56">
        <v>0</v>
      </c>
      <c r="T656" s="56" t="s">
        <v>3562</v>
      </c>
      <c r="V656" s="56" t="s">
        <v>3865</v>
      </c>
      <c r="W656" s="56" t="s">
        <v>3548</v>
      </c>
      <c r="X656" s="56" t="s">
        <v>39</v>
      </c>
      <c r="Y656" s="56" t="s">
        <v>4559</v>
      </c>
      <c r="Z656" s="56" t="s">
        <v>5912</v>
      </c>
      <c r="AC656" s="56" t="s">
        <v>3543</v>
      </c>
      <c r="AD656" s="56" t="s">
        <v>24</v>
      </c>
      <c r="AE656" s="56" t="s">
        <v>5833</v>
      </c>
      <c r="AF656" s="56" t="s">
        <v>5911</v>
      </c>
      <c r="AH656" s="56" t="s">
        <v>3542</v>
      </c>
      <c r="AI656" s="56" t="s">
        <v>3723</v>
      </c>
    </row>
    <row r="657" spans="1:35" ht="33" customHeight="1">
      <c r="A657" s="56" t="s">
        <v>5915</v>
      </c>
      <c r="B657" s="57">
        <v>44360.673738425925</v>
      </c>
      <c r="C657" s="56" t="s">
        <v>3803</v>
      </c>
      <c r="D657" s="56" t="s">
        <v>3802</v>
      </c>
      <c r="E657" s="56" t="s">
        <v>5914</v>
      </c>
      <c r="F657" s="56" t="s">
        <v>5913</v>
      </c>
      <c r="G657" s="58" t="s">
        <v>3551</v>
      </c>
      <c r="H657" s="56">
        <v>1</v>
      </c>
      <c r="I657" s="56" t="s">
        <v>3550</v>
      </c>
      <c r="J657" s="56">
        <v>0</v>
      </c>
      <c r="K657" s="56">
        <v>0</v>
      </c>
      <c r="P657" s="56">
        <v>0</v>
      </c>
      <c r="S657" s="56">
        <v>0</v>
      </c>
      <c r="T657" s="56" t="s">
        <v>3562</v>
      </c>
      <c r="V657" s="56" t="s">
        <v>3865</v>
      </c>
      <c r="W657" s="56" t="s">
        <v>3548</v>
      </c>
      <c r="X657" s="56" t="s">
        <v>39</v>
      </c>
      <c r="Y657" s="56" t="s">
        <v>4559</v>
      </c>
      <c r="Z657" s="56" t="s">
        <v>5912</v>
      </c>
      <c r="AC657" s="56" t="s">
        <v>3543</v>
      </c>
      <c r="AD657" s="56" t="s">
        <v>24</v>
      </c>
      <c r="AE657" s="56" t="s">
        <v>5833</v>
      </c>
      <c r="AF657" s="56" t="s">
        <v>5911</v>
      </c>
      <c r="AH657" s="56" t="s">
        <v>3542</v>
      </c>
      <c r="AI657" s="56" t="s">
        <v>3723</v>
      </c>
    </row>
    <row r="658" spans="1:35" ht="33" customHeight="1">
      <c r="A658" s="56" t="s">
        <v>5915</v>
      </c>
      <c r="B658" s="57">
        <v>44360.673738425925</v>
      </c>
      <c r="C658" s="56" t="s">
        <v>3803</v>
      </c>
      <c r="D658" s="56" t="s">
        <v>3802</v>
      </c>
      <c r="E658" s="56" t="s">
        <v>5914</v>
      </c>
      <c r="F658" s="56" t="s">
        <v>5913</v>
      </c>
      <c r="G658" s="58" t="s">
        <v>1498</v>
      </c>
      <c r="H658" s="56">
        <v>1</v>
      </c>
      <c r="I658" s="56" t="s">
        <v>4016</v>
      </c>
      <c r="J658" s="56">
        <v>0</v>
      </c>
      <c r="K658" s="56">
        <v>0</v>
      </c>
      <c r="P658" s="56">
        <v>0</v>
      </c>
      <c r="S658" s="56">
        <v>0</v>
      </c>
      <c r="T658" s="56" t="s">
        <v>3562</v>
      </c>
      <c r="V658" s="56" t="s">
        <v>3865</v>
      </c>
      <c r="W658" s="56" t="s">
        <v>3548</v>
      </c>
      <c r="X658" s="56" t="s">
        <v>39</v>
      </c>
      <c r="Y658" s="56" t="s">
        <v>4559</v>
      </c>
      <c r="Z658" s="56" t="s">
        <v>5912</v>
      </c>
      <c r="AC658" s="56" t="s">
        <v>3543</v>
      </c>
      <c r="AD658" s="56" t="s">
        <v>24</v>
      </c>
      <c r="AE658" s="56" t="s">
        <v>5833</v>
      </c>
      <c r="AF658" s="56" t="s">
        <v>5911</v>
      </c>
      <c r="AH658" s="56" t="s">
        <v>3542</v>
      </c>
      <c r="AI658" s="56" t="s">
        <v>3723</v>
      </c>
    </row>
    <row r="659" spans="1:35" ht="33" customHeight="1">
      <c r="A659" s="56" t="s">
        <v>5909</v>
      </c>
      <c r="B659" s="57">
        <v>44360.704560185186</v>
      </c>
      <c r="C659" s="56" t="s">
        <v>4512</v>
      </c>
      <c r="D659" s="56" t="s">
        <v>4511</v>
      </c>
      <c r="E659" s="56" t="s">
        <v>5908</v>
      </c>
      <c r="F659" s="56" t="s">
        <v>5907</v>
      </c>
      <c r="G659" s="58" t="s">
        <v>5910</v>
      </c>
      <c r="H659" s="56">
        <v>1</v>
      </c>
      <c r="I659" s="56" t="s">
        <v>3731</v>
      </c>
      <c r="J659" s="56">
        <v>867</v>
      </c>
      <c r="K659" s="56">
        <v>550</v>
      </c>
      <c r="L659" s="56">
        <v>1159</v>
      </c>
      <c r="M659" s="56">
        <v>0</v>
      </c>
      <c r="N659" s="56">
        <v>0</v>
      </c>
      <c r="O659" s="56">
        <v>116</v>
      </c>
      <c r="P659" s="56">
        <v>0</v>
      </c>
      <c r="Q659" s="56">
        <v>1043</v>
      </c>
      <c r="R659" s="56">
        <v>0</v>
      </c>
      <c r="S659" s="56">
        <v>0</v>
      </c>
      <c r="T659" s="56" t="s">
        <v>3562</v>
      </c>
      <c r="U659" s="56">
        <v>1043</v>
      </c>
      <c r="V659" s="56" t="s">
        <v>3549</v>
      </c>
      <c r="W659" s="56" t="s">
        <v>3548</v>
      </c>
      <c r="X659" s="56" t="s">
        <v>3547</v>
      </c>
      <c r="Z659" s="56" t="s">
        <v>3546</v>
      </c>
      <c r="AA659" s="56" t="s">
        <v>5906</v>
      </c>
      <c r="AB659" s="56" t="s">
        <v>5905</v>
      </c>
      <c r="AC659" s="56" t="s">
        <v>3543</v>
      </c>
      <c r="AD659" s="56" t="s">
        <v>24</v>
      </c>
      <c r="AE659" s="56" t="s">
        <v>4530</v>
      </c>
      <c r="AF659" s="56" t="s">
        <v>5904</v>
      </c>
      <c r="AH659" s="56" t="s">
        <v>3542</v>
      </c>
      <c r="AI659" s="56" t="s">
        <v>3723</v>
      </c>
    </row>
    <row r="660" spans="1:35" ht="33" customHeight="1">
      <c r="A660" s="56" t="s">
        <v>5909</v>
      </c>
      <c r="B660" s="57">
        <v>44360.704560185186</v>
      </c>
      <c r="C660" s="56" t="s">
        <v>4512</v>
      </c>
      <c r="D660" s="56" t="s">
        <v>4511</v>
      </c>
      <c r="E660" s="56" t="s">
        <v>5908</v>
      </c>
      <c r="F660" s="56" t="s">
        <v>5907</v>
      </c>
      <c r="G660" s="58" t="s">
        <v>3732</v>
      </c>
      <c r="H660" s="56">
        <v>1</v>
      </c>
      <c r="I660" s="56" t="s">
        <v>3731</v>
      </c>
      <c r="J660" s="56">
        <v>867</v>
      </c>
      <c r="K660" s="56">
        <v>550</v>
      </c>
      <c r="P660" s="56">
        <v>0</v>
      </c>
      <c r="S660" s="56">
        <v>0</v>
      </c>
      <c r="T660" s="56" t="s">
        <v>3562</v>
      </c>
      <c r="V660" s="56" t="s">
        <v>3549</v>
      </c>
      <c r="W660" s="56" t="s">
        <v>3548</v>
      </c>
      <c r="X660" s="56" t="s">
        <v>3547</v>
      </c>
      <c r="Z660" s="56" t="s">
        <v>3546</v>
      </c>
      <c r="AA660" s="56" t="s">
        <v>5906</v>
      </c>
      <c r="AB660" s="56" t="s">
        <v>5905</v>
      </c>
      <c r="AC660" s="56" t="s">
        <v>3543</v>
      </c>
      <c r="AD660" s="56" t="s">
        <v>24</v>
      </c>
      <c r="AE660" s="56" t="s">
        <v>4530</v>
      </c>
      <c r="AF660" s="56" t="s">
        <v>5904</v>
      </c>
      <c r="AH660" s="56" t="s">
        <v>3542</v>
      </c>
      <c r="AI660" s="56" t="s">
        <v>3723</v>
      </c>
    </row>
    <row r="661" spans="1:35" ht="33" customHeight="1">
      <c r="A661" s="56" t="s">
        <v>5909</v>
      </c>
      <c r="B661" s="57">
        <v>44360.704560185186</v>
      </c>
      <c r="C661" s="56" t="s">
        <v>4512</v>
      </c>
      <c r="D661" s="56" t="s">
        <v>4511</v>
      </c>
      <c r="E661" s="56" t="s">
        <v>5908</v>
      </c>
      <c r="F661" s="56" t="s">
        <v>5907</v>
      </c>
      <c r="G661" s="58" t="s">
        <v>3217</v>
      </c>
      <c r="H661" s="56">
        <v>1</v>
      </c>
      <c r="I661" s="56" t="s">
        <v>3720</v>
      </c>
      <c r="J661" s="56">
        <v>59</v>
      </c>
      <c r="K661" s="56">
        <v>59</v>
      </c>
      <c r="P661" s="56">
        <v>0</v>
      </c>
      <c r="S661" s="56">
        <v>0</v>
      </c>
      <c r="T661" s="56" t="s">
        <v>3562</v>
      </c>
      <c r="V661" s="56" t="s">
        <v>3549</v>
      </c>
      <c r="W661" s="56" t="s">
        <v>3548</v>
      </c>
      <c r="X661" s="56" t="s">
        <v>3547</v>
      </c>
      <c r="Z661" s="56" t="s">
        <v>3546</v>
      </c>
      <c r="AA661" s="56" t="s">
        <v>5906</v>
      </c>
      <c r="AB661" s="56" t="s">
        <v>5905</v>
      </c>
      <c r="AC661" s="56" t="s">
        <v>3543</v>
      </c>
      <c r="AD661" s="56" t="s">
        <v>24</v>
      </c>
      <c r="AE661" s="56" t="s">
        <v>4530</v>
      </c>
      <c r="AF661" s="56" t="s">
        <v>5904</v>
      </c>
      <c r="AH661" s="56" t="s">
        <v>3542</v>
      </c>
      <c r="AI661" s="56" t="s">
        <v>3723</v>
      </c>
    </row>
    <row r="662" spans="1:35" ht="33" customHeight="1">
      <c r="A662" s="56" t="s">
        <v>5909</v>
      </c>
      <c r="B662" s="57">
        <v>44360.704560185186</v>
      </c>
      <c r="C662" s="56" t="s">
        <v>4512</v>
      </c>
      <c r="D662" s="56" t="s">
        <v>4511</v>
      </c>
      <c r="E662" s="56" t="s">
        <v>5908</v>
      </c>
      <c r="F662" s="56" t="s">
        <v>5907</v>
      </c>
      <c r="G662" s="58" t="s">
        <v>3551</v>
      </c>
      <c r="H662" s="56">
        <v>1</v>
      </c>
      <c r="I662" s="56" t="s">
        <v>3550</v>
      </c>
      <c r="J662" s="56">
        <v>0</v>
      </c>
      <c r="K662" s="56">
        <v>0</v>
      </c>
      <c r="P662" s="56">
        <v>0</v>
      </c>
      <c r="S662" s="56">
        <v>0</v>
      </c>
      <c r="T662" s="56" t="s">
        <v>3562</v>
      </c>
      <c r="V662" s="56" t="s">
        <v>3549</v>
      </c>
      <c r="W662" s="56" t="s">
        <v>3548</v>
      </c>
      <c r="X662" s="56" t="s">
        <v>3547</v>
      </c>
      <c r="Z662" s="56" t="s">
        <v>3546</v>
      </c>
      <c r="AA662" s="56" t="s">
        <v>5906</v>
      </c>
      <c r="AB662" s="56" t="s">
        <v>5905</v>
      </c>
      <c r="AC662" s="56" t="s">
        <v>3543</v>
      </c>
      <c r="AD662" s="56" t="s">
        <v>24</v>
      </c>
      <c r="AE662" s="56" t="s">
        <v>4530</v>
      </c>
      <c r="AF662" s="56" t="s">
        <v>5904</v>
      </c>
      <c r="AH662" s="56" t="s">
        <v>3542</v>
      </c>
      <c r="AI662" s="56" t="s">
        <v>3723</v>
      </c>
    </row>
    <row r="663" spans="1:35" ht="33" customHeight="1">
      <c r="A663" s="56" t="s">
        <v>5909</v>
      </c>
      <c r="B663" s="57">
        <v>44360.704560185186</v>
      </c>
      <c r="C663" s="56" t="s">
        <v>4512</v>
      </c>
      <c r="D663" s="56" t="s">
        <v>4511</v>
      </c>
      <c r="E663" s="56" t="s">
        <v>5908</v>
      </c>
      <c r="F663" s="56" t="s">
        <v>5907</v>
      </c>
      <c r="G663" s="58" t="s">
        <v>1498</v>
      </c>
      <c r="H663" s="56">
        <v>1</v>
      </c>
      <c r="I663" s="56" t="s">
        <v>4016</v>
      </c>
      <c r="J663" s="56">
        <v>0</v>
      </c>
      <c r="K663" s="56">
        <v>0</v>
      </c>
      <c r="P663" s="56">
        <v>0</v>
      </c>
      <c r="S663" s="56">
        <v>0</v>
      </c>
      <c r="T663" s="56" t="s">
        <v>3562</v>
      </c>
      <c r="V663" s="56" t="s">
        <v>3549</v>
      </c>
      <c r="W663" s="56" t="s">
        <v>3548</v>
      </c>
      <c r="X663" s="56" t="s">
        <v>3547</v>
      </c>
      <c r="Z663" s="56" t="s">
        <v>3546</v>
      </c>
      <c r="AA663" s="56" t="s">
        <v>5906</v>
      </c>
      <c r="AB663" s="56" t="s">
        <v>5905</v>
      </c>
      <c r="AC663" s="56" t="s">
        <v>3543</v>
      </c>
      <c r="AD663" s="56" t="s">
        <v>24</v>
      </c>
      <c r="AE663" s="56" t="s">
        <v>4530</v>
      </c>
      <c r="AF663" s="56" t="s">
        <v>5904</v>
      </c>
      <c r="AH663" s="56" t="s">
        <v>3542</v>
      </c>
      <c r="AI663" s="56" t="s">
        <v>3723</v>
      </c>
    </row>
    <row r="664" spans="1:35" ht="33" customHeight="1">
      <c r="A664" s="56" t="s">
        <v>5903</v>
      </c>
      <c r="B664" s="57">
        <v>44360.74113425926</v>
      </c>
      <c r="C664" s="56" t="s">
        <v>4512</v>
      </c>
      <c r="D664" s="56" t="s">
        <v>4511</v>
      </c>
      <c r="E664" s="56" t="s">
        <v>5902</v>
      </c>
      <c r="F664" s="56" t="s">
        <v>5901</v>
      </c>
      <c r="G664" s="58" t="s">
        <v>3681</v>
      </c>
      <c r="H664" s="56">
        <v>1</v>
      </c>
      <c r="I664" s="56" t="s">
        <v>3569</v>
      </c>
      <c r="J664" s="56">
        <v>894</v>
      </c>
      <c r="K664" s="56">
        <v>750</v>
      </c>
      <c r="L664" s="56">
        <v>1247</v>
      </c>
      <c r="M664" s="56">
        <v>0</v>
      </c>
      <c r="N664" s="56">
        <v>0</v>
      </c>
      <c r="O664" s="56">
        <v>125</v>
      </c>
      <c r="P664" s="56">
        <v>0</v>
      </c>
      <c r="Q664" s="56">
        <v>1122</v>
      </c>
      <c r="R664" s="56">
        <v>0</v>
      </c>
      <c r="S664" s="56">
        <v>0</v>
      </c>
      <c r="T664" s="56" t="s">
        <v>3562</v>
      </c>
      <c r="U664" s="56">
        <v>1122</v>
      </c>
      <c r="V664" s="56" t="s">
        <v>3612</v>
      </c>
      <c r="W664" s="56" t="s">
        <v>3548</v>
      </c>
      <c r="X664" s="56" t="s">
        <v>3611</v>
      </c>
      <c r="Z664" s="56" t="s">
        <v>3546</v>
      </c>
      <c r="AA664" s="56" t="s">
        <v>5900</v>
      </c>
      <c r="AB664" s="56" t="s">
        <v>5899</v>
      </c>
      <c r="AC664" s="56" t="s">
        <v>3543</v>
      </c>
      <c r="AD664" s="56" t="s">
        <v>24</v>
      </c>
      <c r="AE664" s="56" t="s">
        <v>4530</v>
      </c>
      <c r="AF664" s="56" t="s">
        <v>5898</v>
      </c>
      <c r="AH664" s="56" t="s">
        <v>3542</v>
      </c>
      <c r="AI664" s="56" t="s">
        <v>3723</v>
      </c>
    </row>
    <row r="665" spans="1:35" ht="33" customHeight="1">
      <c r="A665" s="56" t="s">
        <v>5903</v>
      </c>
      <c r="B665" s="57">
        <v>44360.74113425926</v>
      </c>
      <c r="C665" s="56" t="s">
        <v>4512</v>
      </c>
      <c r="D665" s="56" t="s">
        <v>4511</v>
      </c>
      <c r="E665" s="56" t="s">
        <v>5902</v>
      </c>
      <c r="F665" s="56" t="s">
        <v>5901</v>
      </c>
      <c r="G665" s="58" t="s">
        <v>2156</v>
      </c>
      <c r="H665" s="56">
        <v>2</v>
      </c>
      <c r="I665" s="56" t="s">
        <v>1376</v>
      </c>
      <c r="J665" s="56">
        <v>149</v>
      </c>
      <c r="K665" s="56">
        <v>149</v>
      </c>
      <c r="P665" s="56">
        <v>0</v>
      </c>
      <c r="S665" s="56">
        <v>0</v>
      </c>
      <c r="T665" s="56" t="s">
        <v>3562</v>
      </c>
      <c r="V665" s="56" t="s">
        <v>3612</v>
      </c>
      <c r="W665" s="56" t="s">
        <v>3548</v>
      </c>
      <c r="X665" s="56" t="s">
        <v>3611</v>
      </c>
      <c r="Z665" s="56" t="s">
        <v>3546</v>
      </c>
      <c r="AA665" s="56" t="s">
        <v>5900</v>
      </c>
      <c r="AB665" s="56" t="s">
        <v>5899</v>
      </c>
      <c r="AC665" s="56" t="s">
        <v>3543</v>
      </c>
      <c r="AD665" s="56" t="s">
        <v>24</v>
      </c>
      <c r="AE665" s="56" t="s">
        <v>4530</v>
      </c>
      <c r="AF665" s="56" t="s">
        <v>5898</v>
      </c>
      <c r="AH665" s="56" t="s">
        <v>3542</v>
      </c>
      <c r="AI665" s="56" t="s">
        <v>3723</v>
      </c>
    </row>
    <row r="666" spans="1:35" ht="33" customHeight="1">
      <c r="A666" s="56" t="s">
        <v>5903</v>
      </c>
      <c r="B666" s="57">
        <v>44360.74113425926</v>
      </c>
      <c r="C666" s="56" t="s">
        <v>4512</v>
      </c>
      <c r="D666" s="56" t="s">
        <v>4511</v>
      </c>
      <c r="E666" s="56" t="s">
        <v>5902</v>
      </c>
      <c r="F666" s="56" t="s">
        <v>5901</v>
      </c>
      <c r="G666" s="58" t="s">
        <v>3693</v>
      </c>
      <c r="H666" s="56">
        <v>1</v>
      </c>
      <c r="I666" s="56" t="s">
        <v>3692</v>
      </c>
      <c r="J666" s="56">
        <v>207</v>
      </c>
      <c r="K666" s="56">
        <v>199</v>
      </c>
      <c r="P666" s="56">
        <v>0</v>
      </c>
      <c r="S666" s="56">
        <v>0</v>
      </c>
      <c r="T666" s="56" t="s">
        <v>3562</v>
      </c>
      <c r="V666" s="56" t="s">
        <v>3612</v>
      </c>
      <c r="W666" s="56" t="s">
        <v>3548</v>
      </c>
      <c r="X666" s="56" t="s">
        <v>3611</v>
      </c>
      <c r="Z666" s="56" t="s">
        <v>3546</v>
      </c>
      <c r="AA666" s="56" t="s">
        <v>5900</v>
      </c>
      <c r="AB666" s="56" t="s">
        <v>5899</v>
      </c>
      <c r="AC666" s="56" t="s">
        <v>3543</v>
      </c>
      <c r="AD666" s="56" t="s">
        <v>24</v>
      </c>
      <c r="AE666" s="56" t="s">
        <v>4530</v>
      </c>
      <c r="AF666" s="56" t="s">
        <v>5898</v>
      </c>
      <c r="AH666" s="56" t="s">
        <v>3542</v>
      </c>
      <c r="AI666" s="56" t="s">
        <v>3723</v>
      </c>
    </row>
    <row r="667" spans="1:35" ht="33" customHeight="1">
      <c r="A667" s="56" t="s">
        <v>5903</v>
      </c>
      <c r="B667" s="57">
        <v>44360.74113425926</v>
      </c>
      <c r="C667" s="56" t="s">
        <v>4512</v>
      </c>
      <c r="D667" s="56" t="s">
        <v>4511</v>
      </c>
      <c r="E667" s="56" t="s">
        <v>5902</v>
      </c>
      <c r="F667" s="56" t="s">
        <v>5901</v>
      </c>
      <c r="G667" s="58" t="s">
        <v>3551</v>
      </c>
      <c r="H667" s="56">
        <v>1</v>
      </c>
      <c r="I667" s="56" t="s">
        <v>3550</v>
      </c>
      <c r="J667" s="56">
        <v>0</v>
      </c>
      <c r="K667" s="56">
        <v>0</v>
      </c>
      <c r="P667" s="56">
        <v>0</v>
      </c>
      <c r="S667" s="56">
        <v>0</v>
      </c>
      <c r="T667" s="56" t="s">
        <v>3562</v>
      </c>
      <c r="V667" s="56" t="s">
        <v>3612</v>
      </c>
      <c r="W667" s="56" t="s">
        <v>3548</v>
      </c>
      <c r="X667" s="56" t="s">
        <v>3611</v>
      </c>
      <c r="Z667" s="56" t="s">
        <v>3546</v>
      </c>
      <c r="AA667" s="56" t="s">
        <v>5900</v>
      </c>
      <c r="AB667" s="56" t="s">
        <v>5899</v>
      </c>
      <c r="AC667" s="56" t="s">
        <v>3543</v>
      </c>
      <c r="AD667" s="56" t="s">
        <v>24</v>
      </c>
      <c r="AE667" s="56" t="s">
        <v>4530</v>
      </c>
      <c r="AF667" s="56" t="s">
        <v>5898</v>
      </c>
      <c r="AH667" s="56" t="s">
        <v>3542</v>
      </c>
      <c r="AI667" s="56" t="s">
        <v>3723</v>
      </c>
    </row>
    <row r="668" spans="1:35" ht="33" customHeight="1">
      <c r="A668" s="56" t="s">
        <v>5903</v>
      </c>
      <c r="B668" s="57">
        <v>44360.74113425926</v>
      </c>
      <c r="C668" s="56" t="s">
        <v>4512</v>
      </c>
      <c r="D668" s="56" t="s">
        <v>4511</v>
      </c>
      <c r="E668" s="56" t="s">
        <v>5902</v>
      </c>
      <c r="F668" s="56" t="s">
        <v>5901</v>
      </c>
      <c r="G668" s="58" t="s">
        <v>1498</v>
      </c>
      <c r="H668" s="56">
        <v>1</v>
      </c>
      <c r="I668" s="56" t="s">
        <v>4016</v>
      </c>
      <c r="J668" s="56">
        <v>0</v>
      </c>
      <c r="K668" s="56">
        <v>0</v>
      </c>
      <c r="P668" s="56">
        <v>0</v>
      </c>
      <c r="S668" s="56">
        <v>0</v>
      </c>
      <c r="T668" s="56" t="s">
        <v>3562</v>
      </c>
      <c r="V668" s="56" t="s">
        <v>3612</v>
      </c>
      <c r="W668" s="56" t="s">
        <v>3548</v>
      </c>
      <c r="X668" s="56" t="s">
        <v>3611</v>
      </c>
      <c r="Z668" s="56" t="s">
        <v>3546</v>
      </c>
      <c r="AA668" s="56" t="s">
        <v>5900</v>
      </c>
      <c r="AB668" s="56" t="s">
        <v>5899</v>
      </c>
      <c r="AC668" s="56" t="s">
        <v>3543</v>
      </c>
      <c r="AD668" s="56" t="s">
        <v>24</v>
      </c>
      <c r="AE668" s="56" t="s">
        <v>4530</v>
      </c>
      <c r="AF668" s="56" t="s">
        <v>5898</v>
      </c>
      <c r="AH668" s="56" t="s">
        <v>3542</v>
      </c>
      <c r="AI668" s="56" t="s">
        <v>3723</v>
      </c>
    </row>
    <row r="669" spans="1:35" ht="33" customHeight="1">
      <c r="A669" s="56" t="s">
        <v>5897</v>
      </c>
      <c r="B669" s="57">
        <v>44360.779374999998</v>
      </c>
      <c r="C669" s="56" t="s">
        <v>3803</v>
      </c>
      <c r="D669" s="56" t="s">
        <v>3802</v>
      </c>
      <c r="E669" s="56" t="s">
        <v>5896</v>
      </c>
      <c r="F669" s="56" t="s">
        <v>5895</v>
      </c>
      <c r="G669" s="58" t="s">
        <v>3747</v>
      </c>
      <c r="H669" s="56">
        <v>2</v>
      </c>
      <c r="I669" s="56" t="s">
        <v>3746</v>
      </c>
      <c r="J669" s="56">
        <v>660</v>
      </c>
      <c r="K669" s="56">
        <v>450</v>
      </c>
      <c r="L669" s="56">
        <v>1299</v>
      </c>
      <c r="M669" s="56">
        <v>0</v>
      </c>
      <c r="N669" s="56">
        <v>0</v>
      </c>
      <c r="O669" s="56">
        <v>100</v>
      </c>
      <c r="P669" s="56">
        <v>0</v>
      </c>
      <c r="Q669" s="56">
        <v>1199</v>
      </c>
      <c r="R669" s="56">
        <v>0</v>
      </c>
      <c r="S669" s="56">
        <v>0</v>
      </c>
      <c r="T669" s="56" t="s">
        <v>3562</v>
      </c>
      <c r="U669" s="56">
        <v>1199</v>
      </c>
      <c r="V669" s="56" t="s">
        <v>3561</v>
      </c>
      <c r="W669" s="56" t="s">
        <v>3548</v>
      </c>
      <c r="X669" s="56" t="s">
        <v>39</v>
      </c>
      <c r="Y669" s="56" t="s">
        <v>3807</v>
      </c>
      <c r="Z669" s="56" t="s">
        <v>5894</v>
      </c>
      <c r="AC669" s="56" t="s">
        <v>3543</v>
      </c>
      <c r="AD669" s="56" t="s">
        <v>24</v>
      </c>
      <c r="AE669" s="56" t="s">
        <v>5833</v>
      </c>
      <c r="AF669" s="56" t="s">
        <v>5893</v>
      </c>
      <c r="AH669" s="56" t="s">
        <v>3542</v>
      </c>
      <c r="AI669" s="56" t="s">
        <v>3723</v>
      </c>
    </row>
    <row r="670" spans="1:35" ht="33" customHeight="1">
      <c r="A670" s="56" t="s">
        <v>5897</v>
      </c>
      <c r="B670" s="57">
        <v>44360.779374999998</v>
      </c>
      <c r="C670" s="56" t="s">
        <v>3803</v>
      </c>
      <c r="D670" s="56" t="s">
        <v>3802</v>
      </c>
      <c r="E670" s="56" t="s">
        <v>5896</v>
      </c>
      <c r="F670" s="56" t="s">
        <v>5895</v>
      </c>
      <c r="G670" s="58" t="s">
        <v>3840</v>
      </c>
      <c r="H670" s="56">
        <v>1</v>
      </c>
      <c r="I670" s="56" t="s">
        <v>3602</v>
      </c>
      <c r="J670" s="56">
        <v>447</v>
      </c>
      <c r="K670" s="56">
        <v>399</v>
      </c>
      <c r="P670" s="56">
        <v>0</v>
      </c>
      <c r="S670" s="56">
        <v>0</v>
      </c>
      <c r="T670" s="56" t="s">
        <v>3562</v>
      </c>
      <c r="V670" s="56" t="s">
        <v>3561</v>
      </c>
      <c r="W670" s="56" t="s">
        <v>3548</v>
      </c>
      <c r="X670" s="56" t="s">
        <v>39</v>
      </c>
      <c r="Y670" s="56" t="s">
        <v>3807</v>
      </c>
      <c r="Z670" s="56" t="s">
        <v>5894</v>
      </c>
      <c r="AC670" s="56" t="s">
        <v>3543</v>
      </c>
      <c r="AD670" s="56" t="s">
        <v>24</v>
      </c>
      <c r="AE670" s="56" t="s">
        <v>5833</v>
      </c>
      <c r="AF670" s="56" t="s">
        <v>5893</v>
      </c>
      <c r="AH670" s="56" t="s">
        <v>3542</v>
      </c>
      <c r="AI670" s="56" t="s">
        <v>3723</v>
      </c>
    </row>
    <row r="671" spans="1:35" ht="33" customHeight="1">
      <c r="A671" s="56" t="s">
        <v>5897</v>
      </c>
      <c r="B671" s="57">
        <v>44360.779374999998</v>
      </c>
      <c r="C671" s="56" t="s">
        <v>3803</v>
      </c>
      <c r="D671" s="56" t="s">
        <v>3802</v>
      </c>
      <c r="E671" s="56" t="s">
        <v>5896</v>
      </c>
      <c r="F671" s="56" t="s">
        <v>5895</v>
      </c>
      <c r="G671" s="58" t="s">
        <v>3551</v>
      </c>
      <c r="H671" s="56">
        <v>1</v>
      </c>
      <c r="I671" s="56" t="s">
        <v>3550</v>
      </c>
      <c r="J671" s="56">
        <v>0</v>
      </c>
      <c r="K671" s="56">
        <v>0</v>
      </c>
      <c r="P671" s="56">
        <v>0</v>
      </c>
      <c r="S671" s="56">
        <v>0</v>
      </c>
      <c r="T671" s="56" t="s">
        <v>3562</v>
      </c>
      <c r="V671" s="56" t="s">
        <v>3561</v>
      </c>
      <c r="W671" s="56" t="s">
        <v>3548</v>
      </c>
      <c r="X671" s="56" t="s">
        <v>39</v>
      </c>
      <c r="Y671" s="56" t="s">
        <v>3807</v>
      </c>
      <c r="Z671" s="56" t="s">
        <v>5894</v>
      </c>
      <c r="AC671" s="56" t="s">
        <v>3543</v>
      </c>
      <c r="AD671" s="56" t="s">
        <v>24</v>
      </c>
      <c r="AE671" s="56" t="s">
        <v>5833</v>
      </c>
      <c r="AF671" s="56" t="s">
        <v>5893</v>
      </c>
      <c r="AH671" s="56" t="s">
        <v>3542</v>
      </c>
      <c r="AI671" s="56" t="s">
        <v>3723</v>
      </c>
    </row>
    <row r="672" spans="1:35" ht="33" customHeight="1">
      <c r="A672" s="56" t="s">
        <v>5897</v>
      </c>
      <c r="B672" s="57">
        <v>44360.779374999998</v>
      </c>
      <c r="C672" s="56" t="s">
        <v>3803</v>
      </c>
      <c r="D672" s="56" t="s">
        <v>3802</v>
      </c>
      <c r="E672" s="56" t="s">
        <v>5896</v>
      </c>
      <c r="F672" s="56" t="s">
        <v>5895</v>
      </c>
      <c r="G672" s="58" t="s">
        <v>1498</v>
      </c>
      <c r="H672" s="56">
        <v>1</v>
      </c>
      <c r="I672" s="56" t="s">
        <v>4016</v>
      </c>
      <c r="J672" s="56">
        <v>0</v>
      </c>
      <c r="K672" s="56">
        <v>0</v>
      </c>
      <c r="P672" s="56">
        <v>0</v>
      </c>
      <c r="S672" s="56">
        <v>0</v>
      </c>
      <c r="T672" s="56" t="s">
        <v>3562</v>
      </c>
      <c r="V672" s="56" t="s">
        <v>3561</v>
      </c>
      <c r="W672" s="56" t="s">
        <v>3548</v>
      </c>
      <c r="X672" s="56" t="s">
        <v>39</v>
      </c>
      <c r="Y672" s="56" t="s">
        <v>3807</v>
      </c>
      <c r="Z672" s="56" t="s">
        <v>5894</v>
      </c>
      <c r="AC672" s="56" t="s">
        <v>3543</v>
      </c>
      <c r="AD672" s="56" t="s">
        <v>24</v>
      </c>
      <c r="AE672" s="56" t="s">
        <v>5833</v>
      </c>
      <c r="AF672" s="56" t="s">
        <v>5893</v>
      </c>
      <c r="AH672" s="56" t="s">
        <v>3542</v>
      </c>
      <c r="AI672" s="56" t="s">
        <v>3723</v>
      </c>
    </row>
    <row r="673" spans="1:35" ht="33" customHeight="1">
      <c r="A673" s="56" t="s">
        <v>5892</v>
      </c>
      <c r="B673" s="57">
        <v>44360.789710648147</v>
      </c>
      <c r="C673" s="56" t="s">
        <v>3803</v>
      </c>
      <c r="D673" s="56" t="s">
        <v>3802</v>
      </c>
      <c r="E673" s="56" t="s">
        <v>5891</v>
      </c>
      <c r="F673" s="56" t="s">
        <v>5890</v>
      </c>
      <c r="G673" s="58" t="s">
        <v>3171</v>
      </c>
      <c r="H673" s="56">
        <v>3</v>
      </c>
      <c r="I673" s="56" t="s">
        <v>3695</v>
      </c>
      <c r="J673" s="56">
        <v>399</v>
      </c>
      <c r="K673" s="56">
        <v>399</v>
      </c>
      <c r="L673" s="56">
        <v>1197</v>
      </c>
      <c r="M673" s="56">
        <v>0</v>
      </c>
      <c r="N673" s="56">
        <v>0</v>
      </c>
      <c r="O673" s="56">
        <v>120</v>
      </c>
      <c r="P673" s="56">
        <v>0</v>
      </c>
      <c r="Q673" s="56">
        <v>1077</v>
      </c>
      <c r="R673" s="56">
        <v>0</v>
      </c>
      <c r="S673" s="56">
        <v>0</v>
      </c>
      <c r="T673" s="56" t="s">
        <v>3562</v>
      </c>
      <c r="U673" s="56">
        <v>1077</v>
      </c>
      <c r="V673" s="56" t="s">
        <v>3561</v>
      </c>
      <c r="W673" s="56" t="s">
        <v>3548</v>
      </c>
      <c r="X673" s="56" t="s">
        <v>39</v>
      </c>
      <c r="Y673" s="56" t="s">
        <v>4463</v>
      </c>
      <c r="Z673" s="56" t="s">
        <v>5889</v>
      </c>
      <c r="AC673" s="56" t="s">
        <v>3543</v>
      </c>
      <c r="AD673" s="56" t="s">
        <v>24</v>
      </c>
      <c r="AE673" s="56" t="s">
        <v>5833</v>
      </c>
      <c r="AF673" s="56" t="s">
        <v>5888</v>
      </c>
      <c r="AH673" s="56" t="s">
        <v>3542</v>
      </c>
      <c r="AI673" s="56" t="s">
        <v>3723</v>
      </c>
    </row>
    <row r="674" spans="1:35" ht="33" customHeight="1">
      <c r="A674" s="56" t="s">
        <v>5892</v>
      </c>
      <c r="B674" s="57">
        <v>44360.789710648147</v>
      </c>
      <c r="C674" s="56" t="s">
        <v>3803</v>
      </c>
      <c r="D674" s="56" t="s">
        <v>3802</v>
      </c>
      <c r="E674" s="56" t="s">
        <v>5891</v>
      </c>
      <c r="F674" s="56" t="s">
        <v>5890</v>
      </c>
      <c r="G674" s="58" t="s">
        <v>3551</v>
      </c>
      <c r="H674" s="56">
        <v>1</v>
      </c>
      <c r="I674" s="56" t="s">
        <v>3550</v>
      </c>
      <c r="J674" s="56">
        <v>0</v>
      </c>
      <c r="K674" s="56">
        <v>0</v>
      </c>
      <c r="P674" s="56">
        <v>0</v>
      </c>
      <c r="S674" s="56">
        <v>0</v>
      </c>
      <c r="T674" s="56" t="s">
        <v>3562</v>
      </c>
      <c r="V674" s="56" t="s">
        <v>3561</v>
      </c>
      <c r="W674" s="56" t="s">
        <v>3548</v>
      </c>
      <c r="X674" s="56" t="s">
        <v>39</v>
      </c>
      <c r="Y674" s="56" t="s">
        <v>4463</v>
      </c>
      <c r="Z674" s="56" t="s">
        <v>5889</v>
      </c>
      <c r="AC674" s="56" t="s">
        <v>3543</v>
      </c>
      <c r="AD674" s="56" t="s">
        <v>24</v>
      </c>
      <c r="AE674" s="56" t="s">
        <v>5833</v>
      </c>
      <c r="AF674" s="56" t="s">
        <v>5888</v>
      </c>
      <c r="AH674" s="56" t="s">
        <v>3542</v>
      </c>
      <c r="AI674" s="56" t="s">
        <v>3723</v>
      </c>
    </row>
    <row r="675" spans="1:35" ht="33" customHeight="1">
      <c r="A675" s="56" t="s">
        <v>5892</v>
      </c>
      <c r="B675" s="57">
        <v>44360.789710648147</v>
      </c>
      <c r="C675" s="56" t="s">
        <v>3803</v>
      </c>
      <c r="D675" s="56" t="s">
        <v>3802</v>
      </c>
      <c r="E675" s="56" t="s">
        <v>5891</v>
      </c>
      <c r="F675" s="56" t="s">
        <v>5890</v>
      </c>
      <c r="G675" s="58" t="s">
        <v>1498</v>
      </c>
      <c r="H675" s="56">
        <v>1</v>
      </c>
      <c r="I675" s="56" t="s">
        <v>4016</v>
      </c>
      <c r="J675" s="56">
        <v>0</v>
      </c>
      <c r="K675" s="56">
        <v>0</v>
      </c>
      <c r="P675" s="56">
        <v>0</v>
      </c>
      <c r="S675" s="56">
        <v>0</v>
      </c>
      <c r="T675" s="56" t="s">
        <v>3562</v>
      </c>
      <c r="V675" s="56" t="s">
        <v>3561</v>
      </c>
      <c r="W675" s="56" t="s">
        <v>3548</v>
      </c>
      <c r="X675" s="56" t="s">
        <v>39</v>
      </c>
      <c r="Y675" s="56" t="s">
        <v>4463</v>
      </c>
      <c r="Z675" s="56" t="s">
        <v>5889</v>
      </c>
      <c r="AC675" s="56" t="s">
        <v>3543</v>
      </c>
      <c r="AD675" s="56" t="s">
        <v>24</v>
      </c>
      <c r="AE675" s="56" t="s">
        <v>5833</v>
      </c>
      <c r="AF675" s="56" t="s">
        <v>5888</v>
      </c>
      <c r="AH675" s="56" t="s">
        <v>3542</v>
      </c>
      <c r="AI675" s="56" t="s">
        <v>3723</v>
      </c>
    </row>
    <row r="676" spans="1:35" ht="33" customHeight="1">
      <c r="A676" s="56" t="s">
        <v>5887</v>
      </c>
      <c r="B676" s="57">
        <v>44360.81453703704</v>
      </c>
      <c r="C676" s="56" t="s">
        <v>3803</v>
      </c>
      <c r="D676" s="56" t="s">
        <v>3802</v>
      </c>
      <c r="E676" s="56" t="s">
        <v>5886</v>
      </c>
      <c r="F676" s="56" t="s">
        <v>5885</v>
      </c>
      <c r="G676" s="58" t="s">
        <v>3681</v>
      </c>
      <c r="H676" s="56">
        <v>1</v>
      </c>
      <c r="I676" s="56" t="s">
        <v>3569</v>
      </c>
      <c r="J676" s="56">
        <v>894</v>
      </c>
      <c r="K676" s="56">
        <v>750</v>
      </c>
      <c r="L676" s="56">
        <v>1183</v>
      </c>
      <c r="M676" s="56">
        <v>0</v>
      </c>
      <c r="N676" s="56">
        <v>0</v>
      </c>
      <c r="O676" s="56">
        <v>100</v>
      </c>
      <c r="P676" s="56">
        <v>0</v>
      </c>
      <c r="Q676" s="56">
        <v>1083</v>
      </c>
      <c r="R676" s="56">
        <v>0</v>
      </c>
      <c r="S676" s="56">
        <v>0</v>
      </c>
      <c r="T676" s="56" t="s">
        <v>3562</v>
      </c>
      <c r="U676" s="56">
        <v>1083</v>
      </c>
      <c r="V676" s="56" t="s">
        <v>59</v>
      </c>
      <c r="W676" s="56" t="s">
        <v>3548</v>
      </c>
      <c r="X676" s="56" t="s">
        <v>39</v>
      </c>
      <c r="Y676" s="56" t="s">
        <v>3775</v>
      </c>
      <c r="Z676" s="56" t="s">
        <v>5884</v>
      </c>
      <c r="AC676" s="56" t="s">
        <v>3543</v>
      </c>
      <c r="AD676" s="56" t="s">
        <v>24</v>
      </c>
      <c r="AE676" s="56" t="s">
        <v>5833</v>
      </c>
      <c r="AF676" s="56" t="s">
        <v>5883</v>
      </c>
      <c r="AH676" s="56" t="s">
        <v>3542</v>
      </c>
      <c r="AI676" s="56" t="s">
        <v>3723</v>
      </c>
    </row>
    <row r="677" spans="1:35" ht="33" customHeight="1">
      <c r="A677" s="56" t="s">
        <v>5887</v>
      </c>
      <c r="B677" s="57">
        <v>44360.81453703704</v>
      </c>
      <c r="C677" s="56" t="s">
        <v>3803</v>
      </c>
      <c r="D677" s="56" t="s">
        <v>3802</v>
      </c>
      <c r="E677" s="56" t="s">
        <v>5886</v>
      </c>
      <c r="F677" s="56" t="s">
        <v>5885</v>
      </c>
      <c r="G677" s="58" t="s">
        <v>1493</v>
      </c>
      <c r="H677" s="56">
        <v>1</v>
      </c>
      <c r="I677" s="56" t="s">
        <v>3601</v>
      </c>
      <c r="J677" s="56">
        <v>135</v>
      </c>
      <c r="K677" s="56">
        <v>135</v>
      </c>
      <c r="P677" s="56">
        <v>0</v>
      </c>
      <c r="S677" s="56">
        <v>0</v>
      </c>
      <c r="T677" s="56" t="s">
        <v>3562</v>
      </c>
      <c r="V677" s="56" t="s">
        <v>59</v>
      </c>
      <c r="W677" s="56" t="s">
        <v>3548</v>
      </c>
      <c r="X677" s="56" t="s">
        <v>39</v>
      </c>
      <c r="Y677" s="56" t="s">
        <v>3775</v>
      </c>
      <c r="Z677" s="56" t="s">
        <v>5884</v>
      </c>
      <c r="AC677" s="56" t="s">
        <v>3543</v>
      </c>
      <c r="AD677" s="56" t="s">
        <v>24</v>
      </c>
      <c r="AE677" s="56" t="s">
        <v>5833</v>
      </c>
      <c r="AF677" s="56" t="s">
        <v>5883</v>
      </c>
      <c r="AH677" s="56" t="s">
        <v>3542</v>
      </c>
      <c r="AI677" s="56" t="s">
        <v>3723</v>
      </c>
    </row>
    <row r="678" spans="1:35" ht="33" customHeight="1">
      <c r="A678" s="56" t="s">
        <v>5887</v>
      </c>
      <c r="B678" s="57">
        <v>44360.81453703704</v>
      </c>
      <c r="C678" s="56" t="s">
        <v>3803</v>
      </c>
      <c r="D678" s="56" t="s">
        <v>3802</v>
      </c>
      <c r="E678" s="56" t="s">
        <v>5886</v>
      </c>
      <c r="F678" s="56" t="s">
        <v>5885</v>
      </c>
      <c r="G678" s="58" t="s">
        <v>1713</v>
      </c>
      <c r="H678" s="56">
        <v>1</v>
      </c>
      <c r="I678" s="56" t="s">
        <v>3587</v>
      </c>
      <c r="J678" s="56">
        <v>149</v>
      </c>
      <c r="K678" s="56">
        <v>149</v>
      </c>
      <c r="P678" s="56">
        <v>0</v>
      </c>
      <c r="S678" s="56">
        <v>0</v>
      </c>
      <c r="T678" s="56" t="s">
        <v>3562</v>
      </c>
      <c r="V678" s="56" t="s">
        <v>59</v>
      </c>
      <c r="W678" s="56" t="s">
        <v>3548</v>
      </c>
      <c r="X678" s="56" t="s">
        <v>39</v>
      </c>
      <c r="Y678" s="56" t="s">
        <v>3775</v>
      </c>
      <c r="Z678" s="56" t="s">
        <v>5884</v>
      </c>
      <c r="AC678" s="56" t="s">
        <v>3543</v>
      </c>
      <c r="AD678" s="56" t="s">
        <v>24</v>
      </c>
      <c r="AE678" s="56" t="s">
        <v>5833</v>
      </c>
      <c r="AF678" s="56" t="s">
        <v>5883</v>
      </c>
      <c r="AH678" s="56" t="s">
        <v>3542</v>
      </c>
      <c r="AI678" s="56" t="s">
        <v>3723</v>
      </c>
    </row>
    <row r="679" spans="1:35" ht="33" customHeight="1">
      <c r="A679" s="56" t="s">
        <v>5887</v>
      </c>
      <c r="B679" s="57">
        <v>44360.81453703704</v>
      </c>
      <c r="C679" s="56" t="s">
        <v>3803</v>
      </c>
      <c r="D679" s="56" t="s">
        <v>3802</v>
      </c>
      <c r="E679" s="56" t="s">
        <v>5886</v>
      </c>
      <c r="F679" s="56" t="s">
        <v>5885</v>
      </c>
      <c r="G679" s="58" t="s">
        <v>3187</v>
      </c>
      <c r="H679" s="56">
        <v>1</v>
      </c>
      <c r="I679" s="56" t="s">
        <v>3761</v>
      </c>
      <c r="J679" s="56">
        <v>149</v>
      </c>
      <c r="K679" s="56">
        <v>149</v>
      </c>
      <c r="P679" s="56">
        <v>0</v>
      </c>
      <c r="S679" s="56">
        <v>0</v>
      </c>
      <c r="T679" s="56" t="s">
        <v>3562</v>
      </c>
      <c r="V679" s="56" t="s">
        <v>59</v>
      </c>
      <c r="W679" s="56" t="s">
        <v>3548</v>
      </c>
      <c r="X679" s="56" t="s">
        <v>39</v>
      </c>
      <c r="Y679" s="56" t="s">
        <v>3775</v>
      </c>
      <c r="Z679" s="56" t="s">
        <v>5884</v>
      </c>
      <c r="AC679" s="56" t="s">
        <v>3543</v>
      </c>
      <c r="AD679" s="56" t="s">
        <v>24</v>
      </c>
      <c r="AE679" s="56" t="s">
        <v>5833</v>
      </c>
      <c r="AF679" s="56" t="s">
        <v>5883</v>
      </c>
      <c r="AH679" s="56" t="s">
        <v>3542</v>
      </c>
      <c r="AI679" s="56" t="s">
        <v>3723</v>
      </c>
    </row>
    <row r="680" spans="1:35" ht="33" customHeight="1">
      <c r="A680" s="56" t="s">
        <v>5887</v>
      </c>
      <c r="B680" s="57">
        <v>44360.81453703704</v>
      </c>
      <c r="C680" s="56" t="s">
        <v>3803</v>
      </c>
      <c r="D680" s="56" t="s">
        <v>3802</v>
      </c>
      <c r="E680" s="56" t="s">
        <v>5886</v>
      </c>
      <c r="F680" s="56" t="s">
        <v>5885</v>
      </c>
      <c r="G680" s="58" t="s">
        <v>3551</v>
      </c>
      <c r="H680" s="56">
        <v>1</v>
      </c>
      <c r="I680" s="56" t="s">
        <v>3550</v>
      </c>
      <c r="J680" s="56">
        <v>0</v>
      </c>
      <c r="K680" s="56">
        <v>0</v>
      </c>
      <c r="P680" s="56">
        <v>0</v>
      </c>
      <c r="S680" s="56">
        <v>0</v>
      </c>
      <c r="T680" s="56" t="s">
        <v>3562</v>
      </c>
      <c r="V680" s="56" t="s">
        <v>59</v>
      </c>
      <c r="W680" s="56" t="s">
        <v>3548</v>
      </c>
      <c r="X680" s="56" t="s">
        <v>39</v>
      </c>
      <c r="Y680" s="56" t="s">
        <v>3775</v>
      </c>
      <c r="Z680" s="56" t="s">
        <v>5884</v>
      </c>
      <c r="AC680" s="56" t="s">
        <v>3543</v>
      </c>
      <c r="AD680" s="56" t="s">
        <v>24</v>
      </c>
      <c r="AE680" s="56" t="s">
        <v>5833</v>
      </c>
      <c r="AF680" s="56" t="s">
        <v>5883</v>
      </c>
      <c r="AH680" s="56" t="s">
        <v>3542</v>
      </c>
      <c r="AI680" s="56" t="s">
        <v>3723</v>
      </c>
    </row>
    <row r="681" spans="1:35" ht="33" customHeight="1">
      <c r="A681" s="56" t="s">
        <v>5887</v>
      </c>
      <c r="B681" s="57">
        <v>44360.81453703704</v>
      </c>
      <c r="C681" s="56" t="s">
        <v>3803</v>
      </c>
      <c r="D681" s="56" t="s">
        <v>3802</v>
      </c>
      <c r="E681" s="56" t="s">
        <v>5886</v>
      </c>
      <c r="F681" s="56" t="s">
        <v>5885</v>
      </c>
      <c r="G681" s="58" t="s">
        <v>1498</v>
      </c>
      <c r="H681" s="56">
        <v>1</v>
      </c>
      <c r="I681" s="56" t="s">
        <v>4016</v>
      </c>
      <c r="J681" s="56">
        <v>0</v>
      </c>
      <c r="K681" s="56">
        <v>0</v>
      </c>
      <c r="P681" s="56">
        <v>0</v>
      </c>
      <c r="S681" s="56">
        <v>0</v>
      </c>
      <c r="T681" s="56" t="s">
        <v>3562</v>
      </c>
      <c r="V681" s="56" t="s">
        <v>59</v>
      </c>
      <c r="W681" s="56" t="s">
        <v>3548</v>
      </c>
      <c r="X681" s="56" t="s">
        <v>39</v>
      </c>
      <c r="Y681" s="56" t="s">
        <v>3775</v>
      </c>
      <c r="Z681" s="56" t="s">
        <v>5884</v>
      </c>
      <c r="AC681" s="56" t="s">
        <v>3543</v>
      </c>
      <c r="AD681" s="56" t="s">
        <v>24</v>
      </c>
      <c r="AE681" s="56" t="s">
        <v>5833</v>
      </c>
      <c r="AF681" s="56" t="s">
        <v>5883</v>
      </c>
      <c r="AH681" s="56" t="s">
        <v>3542</v>
      </c>
      <c r="AI681" s="56" t="s">
        <v>3723</v>
      </c>
    </row>
    <row r="682" spans="1:35" ht="33" customHeight="1">
      <c r="A682" s="56" t="s">
        <v>5882</v>
      </c>
      <c r="B682" s="57">
        <v>44360.845821759256</v>
      </c>
      <c r="C682" s="56" t="s">
        <v>3803</v>
      </c>
      <c r="D682" s="56" t="s">
        <v>3802</v>
      </c>
      <c r="E682" s="56" t="s">
        <v>5881</v>
      </c>
      <c r="F682" s="56" t="s">
        <v>5880</v>
      </c>
      <c r="G682" s="58" t="s">
        <v>2156</v>
      </c>
      <c r="H682" s="56">
        <v>7</v>
      </c>
      <c r="I682" s="56" t="s">
        <v>1376</v>
      </c>
      <c r="J682" s="56">
        <v>149</v>
      </c>
      <c r="K682" s="56">
        <v>149</v>
      </c>
      <c r="L682" s="56">
        <v>1043</v>
      </c>
      <c r="M682" s="56">
        <v>0</v>
      </c>
      <c r="N682" s="56">
        <v>0</v>
      </c>
      <c r="O682" s="56">
        <v>100</v>
      </c>
      <c r="P682" s="56">
        <v>0</v>
      </c>
      <c r="Q682" s="56">
        <v>943</v>
      </c>
      <c r="R682" s="56">
        <v>0</v>
      </c>
      <c r="S682" s="56">
        <v>0</v>
      </c>
      <c r="T682" s="56" t="s">
        <v>3562</v>
      </c>
      <c r="U682" s="56">
        <v>943</v>
      </c>
      <c r="V682" s="56" t="s">
        <v>3561</v>
      </c>
      <c r="W682" s="56" t="s">
        <v>3548</v>
      </c>
      <c r="X682" s="56" t="s">
        <v>39</v>
      </c>
      <c r="Y682" s="56" t="s">
        <v>4205</v>
      </c>
      <c r="Z682" s="56" t="s">
        <v>5879</v>
      </c>
      <c r="AC682" s="56" t="s">
        <v>3543</v>
      </c>
      <c r="AD682" s="56" t="s">
        <v>24</v>
      </c>
      <c r="AE682" s="56" t="s">
        <v>5833</v>
      </c>
      <c r="AF682" s="56" t="s">
        <v>5878</v>
      </c>
      <c r="AH682" s="56" t="s">
        <v>3542</v>
      </c>
      <c r="AI682" s="56" t="s">
        <v>3723</v>
      </c>
    </row>
    <row r="683" spans="1:35" ht="33" customHeight="1">
      <c r="A683" s="56" t="s">
        <v>5882</v>
      </c>
      <c r="B683" s="57">
        <v>44360.845821759256</v>
      </c>
      <c r="C683" s="56" t="s">
        <v>3803</v>
      </c>
      <c r="D683" s="56" t="s">
        <v>3802</v>
      </c>
      <c r="E683" s="56" t="s">
        <v>5881</v>
      </c>
      <c r="F683" s="56" t="s">
        <v>5880</v>
      </c>
      <c r="G683" s="58" t="s">
        <v>3551</v>
      </c>
      <c r="H683" s="56">
        <v>1</v>
      </c>
      <c r="I683" s="56" t="s">
        <v>3550</v>
      </c>
      <c r="J683" s="56">
        <v>0</v>
      </c>
      <c r="K683" s="56">
        <v>0</v>
      </c>
      <c r="P683" s="56">
        <v>0</v>
      </c>
      <c r="S683" s="56">
        <v>0</v>
      </c>
      <c r="T683" s="56" t="s">
        <v>3562</v>
      </c>
      <c r="V683" s="56" t="s">
        <v>3561</v>
      </c>
      <c r="W683" s="56" t="s">
        <v>3548</v>
      </c>
      <c r="X683" s="56" t="s">
        <v>39</v>
      </c>
      <c r="Y683" s="56" t="s">
        <v>4205</v>
      </c>
      <c r="Z683" s="56" t="s">
        <v>5879</v>
      </c>
      <c r="AC683" s="56" t="s">
        <v>3543</v>
      </c>
      <c r="AD683" s="56" t="s">
        <v>24</v>
      </c>
      <c r="AE683" s="56" t="s">
        <v>5833</v>
      </c>
      <c r="AF683" s="56" t="s">
        <v>5878</v>
      </c>
      <c r="AH683" s="56" t="s">
        <v>3542</v>
      </c>
      <c r="AI683" s="56" t="s">
        <v>3723</v>
      </c>
    </row>
    <row r="684" spans="1:35" ht="33" customHeight="1">
      <c r="A684" s="56" t="s">
        <v>5882</v>
      </c>
      <c r="B684" s="57">
        <v>44360.845821759256</v>
      </c>
      <c r="C684" s="56" t="s">
        <v>3803</v>
      </c>
      <c r="D684" s="56" t="s">
        <v>3802</v>
      </c>
      <c r="E684" s="56" t="s">
        <v>5881</v>
      </c>
      <c r="F684" s="56" t="s">
        <v>5880</v>
      </c>
      <c r="G684" s="58" t="s">
        <v>1498</v>
      </c>
      <c r="H684" s="56">
        <v>1</v>
      </c>
      <c r="I684" s="56" t="s">
        <v>4016</v>
      </c>
      <c r="J684" s="56">
        <v>0</v>
      </c>
      <c r="K684" s="56">
        <v>0</v>
      </c>
      <c r="P684" s="56">
        <v>0</v>
      </c>
      <c r="S684" s="56">
        <v>0</v>
      </c>
      <c r="T684" s="56" t="s">
        <v>3562</v>
      </c>
      <c r="V684" s="56" t="s">
        <v>3561</v>
      </c>
      <c r="W684" s="56" t="s">
        <v>3548</v>
      </c>
      <c r="X684" s="56" t="s">
        <v>39</v>
      </c>
      <c r="Y684" s="56" t="s">
        <v>4205</v>
      </c>
      <c r="Z684" s="56" t="s">
        <v>5879</v>
      </c>
      <c r="AC684" s="56" t="s">
        <v>3543</v>
      </c>
      <c r="AD684" s="56" t="s">
        <v>24</v>
      </c>
      <c r="AE684" s="56" t="s">
        <v>5833</v>
      </c>
      <c r="AF684" s="56" t="s">
        <v>5878</v>
      </c>
      <c r="AH684" s="56" t="s">
        <v>3542</v>
      </c>
      <c r="AI684" s="56" t="s">
        <v>3723</v>
      </c>
    </row>
    <row r="685" spans="1:35" ht="33" customHeight="1">
      <c r="A685" s="56" t="s">
        <v>5877</v>
      </c>
      <c r="B685" s="57">
        <v>44360.8518287037</v>
      </c>
      <c r="C685" s="56" t="s">
        <v>3803</v>
      </c>
      <c r="D685" s="56" t="s">
        <v>3802</v>
      </c>
      <c r="E685" s="56" t="s">
        <v>5876</v>
      </c>
      <c r="F685" s="56" t="s">
        <v>5875</v>
      </c>
      <c r="G685" s="58" t="s">
        <v>3922</v>
      </c>
      <c r="H685" s="56">
        <v>1</v>
      </c>
      <c r="I685" s="56" t="s">
        <v>3569</v>
      </c>
      <c r="J685" s="56">
        <v>894</v>
      </c>
      <c r="K685" s="56">
        <v>750</v>
      </c>
      <c r="L685" s="56">
        <v>1349</v>
      </c>
      <c r="M685" s="56">
        <v>0</v>
      </c>
      <c r="N685" s="56">
        <v>0</v>
      </c>
      <c r="O685" s="56">
        <v>100</v>
      </c>
      <c r="P685" s="56">
        <v>0</v>
      </c>
      <c r="Q685" s="56">
        <v>1249</v>
      </c>
      <c r="R685" s="56">
        <v>0</v>
      </c>
      <c r="S685" s="56">
        <v>0</v>
      </c>
      <c r="T685" s="56" t="s">
        <v>3562</v>
      </c>
      <c r="U685" s="56">
        <v>1249</v>
      </c>
      <c r="V685" s="56" t="s">
        <v>59</v>
      </c>
      <c r="W685" s="56" t="s">
        <v>3548</v>
      </c>
      <c r="X685" s="56" t="s">
        <v>39</v>
      </c>
      <c r="Y685" s="56" t="s">
        <v>4749</v>
      </c>
      <c r="Z685" s="56" t="s">
        <v>5874</v>
      </c>
      <c r="AC685" s="56" t="s">
        <v>3543</v>
      </c>
      <c r="AD685" s="56" t="s">
        <v>24</v>
      </c>
      <c r="AE685" s="56" t="s">
        <v>5833</v>
      </c>
      <c r="AF685" s="56" t="s">
        <v>5873</v>
      </c>
      <c r="AH685" s="56" t="s">
        <v>3542</v>
      </c>
      <c r="AI685" s="56" t="s">
        <v>3723</v>
      </c>
    </row>
    <row r="686" spans="1:35" ht="33" customHeight="1">
      <c r="A686" s="56" t="s">
        <v>5877</v>
      </c>
      <c r="B686" s="57">
        <v>44360.8518287037</v>
      </c>
      <c r="C686" s="56" t="s">
        <v>3803</v>
      </c>
      <c r="D686" s="56" t="s">
        <v>3802</v>
      </c>
      <c r="E686" s="56" t="s">
        <v>5876</v>
      </c>
      <c r="F686" s="56" t="s">
        <v>5875</v>
      </c>
      <c r="G686" s="58" t="s">
        <v>4137</v>
      </c>
      <c r="H686" s="56">
        <v>1</v>
      </c>
      <c r="I686" s="56" t="s">
        <v>3577</v>
      </c>
      <c r="J686" s="56">
        <v>700</v>
      </c>
      <c r="K686" s="56">
        <v>599</v>
      </c>
      <c r="P686" s="56">
        <v>0</v>
      </c>
      <c r="S686" s="56">
        <v>0</v>
      </c>
      <c r="T686" s="56" t="s">
        <v>3562</v>
      </c>
      <c r="V686" s="56" t="s">
        <v>59</v>
      </c>
      <c r="W686" s="56" t="s">
        <v>3548</v>
      </c>
      <c r="X686" s="56" t="s">
        <v>39</v>
      </c>
      <c r="Y686" s="56" t="s">
        <v>4749</v>
      </c>
      <c r="Z686" s="56" t="s">
        <v>5874</v>
      </c>
      <c r="AC686" s="56" t="s">
        <v>3543</v>
      </c>
      <c r="AD686" s="56" t="s">
        <v>24</v>
      </c>
      <c r="AE686" s="56" t="s">
        <v>5833</v>
      </c>
      <c r="AF686" s="56" t="s">
        <v>5873</v>
      </c>
      <c r="AH686" s="56" t="s">
        <v>3542</v>
      </c>
      <c r="AI686" s="56" t="s">
        <v>3723</v>
      </c>
    </row>
    <row r="687" spans="1:35" ht="33" customHeight="1">
      <c r="A687" s="56" t="s">
        <v>5877</v>
      </c>
      <c r="B687" s="57">
        <v>44360.8518287037</v>
      </c>
      <c r="C687" s="56" t="s">
        <v>3803</v>
      </c>
      <c r="D687" s="56" t="s">
        <v>3802</v>
      </c>
      <c r="E687" s="56" t="s">
        <v>5876</v>
      </c>
      <c r="F687" s="56" t="s">
        <v>5875</v>
      </c>
      <c r="G687" s="58" t="s">
        <v>3551</v>
      </c>
      <c r="H687" s="56">
        <v>1</v>
      </c>
      <c r="I687" s="56" t="s">
        <v>3550</v>
      </c>
      <c r="J687" s="56">
        <v>0</v>
      </c>
      <c r="K687" s="56">
        <v>0</v>
      </c>
      <c r="P687" s="56">
        <v>0</v>
      </c>
      <c r="S687" s="56">
        <v>0</v>
      </c>
      <c r="T687" s="56" t="s">
        <v>3562</v>
      </c>
      <c r="V687" s="56" t="s">
        <v>59</v>
      </c>
      <c r="W687" s="56" t="s">
        <v>3548</v>
      </c>
      <c r="X687" s="56" t="s">
        <v>39</v>
      </c>
      <c r="Y687" s="56" t="s">
        <v>4749</v>
      </c>
      <c r="Z687" s="56" t="s">
        <v>5874</v>
      </c>
      <c r="AC687" s="56" t="s">
        <v>3543</v>
      </c>
      <c r="AD687" s="56" t="s">
        <v>24</v>
      </c>
      <c r="AE687" s="56" t="s">
        <v>5833</v>
      </c>
      <c r="AF687" s="56" t="s">
        <v>5873</v>
      </c>
      <c r="AH687" s="56" t="s">
        <v>3542</v>
      </c>
      <c r="AI687" s="56" t="s">
        <v>3723</v>
      </c>
    </row>
    <row r="688" spans="1:35" ht="33" customHeight="1">
      <c r="A688" s="56" t="s">
        <v>5877</v>
      </c>
      <c r="B688" s="57">
        <v>44360.8518287037</v>
      </c>
      <c r="C688" s="56" t="s">
        <v>3803</v>
      </c>
      <c r="D688" s="56" t="s">
        <v>3802</v>
      </c>
      <c r="E688" s="56" t="s">
        <v>5876</v>
      </c>
      <c r="F688" s="56" t="s">
        <v>5875</v>
      </c>
      <c r="G688" s="58" t="s">
        <v>1498</v>
      </c>
      <c r="H688" s="56">
        <v>1</v>
      </c>
      <c r="I688" s="56" t="s">
        <v>4016</v>
      </c>
      <c r="J688" s="56">
        <v>0</v>
      </c>
      <c r="K688" s="56">
        <v>0</v>
      </c>
      <c r="P688" s="56">
        <v>0</v>
      </c>
      <c r="S688" s="56">
        <v>0</v>
      </c>
      <c r="T688" s="56" t="s">
        <v>3562</v>
      </c>
      <c r="V688" s="56" t="s">
        <v>59</v>
      </c>
      <c r="W688" s="56" t="s">
        <v>3548</v>
      </c>
      <c r="X688" s="56" t="s">
        <v>39</v>
      </c>
      <c r="Y688" s="56" t="s">
        <v>4749</v>
      </c>
      <c r="Z688" s="56" t="s">
        <v>5874</v>
      </c>
      <c r="AC688" s="56" t="s">
        <v>3543</v>
      </c>
      <c r="AD688" s="56" t="s">
        <v>24</v>
      </c>
      <c r="AE688" s="56" t="s">
        <v>5833</v>
      </c>
      <c r="AF688" s="56" t="s">
        <v>5873</v>
      </c>
      <c r="AH688" s="56" t="s">
        <v>3542</v>
      </c>
      <c r="AI688" s="56" t="s">
        <v>3723</v>
      </c>
    </row>
    <row r="689" spans="1:35" ht="33" customHeight="1">
      <c r="A689" s="56" t="s">
        <v>5872</v>
      </c>
      <c r="B689" s="57">
        <v>44360.856087962966</v>
      </c>
      <c r="C689" s="56" t="s">
        <v>4512</v>
      </c>
      <c r="D689" s="56" t="s">
        <v>4511</v>
      </c>
      <c r="E689" s="56" t="s">
        <v>5871</v>
      </c>
      <c r="F689" s="56" t="s">
        <v>5870</v>
      </c>
      <c r="G689" s="58" t="s">
        <v>3860</v>
      </c>
      <c r="H689" s="56">
        <v>1</v>
      </c>
      <c r="I689" s="56" t="s">
        <v>3731</v>
      </c>
      <c r="J689" s="56">
        <v>867</v>
      </c>
      <c r="K689" s="56">
        <v>550</v>
      </c>
      <c r="L689" s="56">
        <v>550</v>
      </c>
      <c r="M689" s="56">
        <v>65</v>
      </c>
      <c r="N689" s="56">
        <v>0</v>
      </c>
      <c r="O689" s="56">
        <v>0</v>
      </c>
      <c r="P689" s="56">
        <v>0</v>
      </c>
      <c r="Q689" s="56">
        <v>615</v>
      </c>
      <c r="R689" s="56">
        <v>0</v>
      </c>
      <c r="S689" s="56">
        <v>0</v>
      </c>
      <c r="T689" s="56" t="s">
        <v>3562</v>
      </c>
      <c r="U689" s="56">
        <v>615</v>
      </c>
      <c r="V689" s="56" t="s">
        <v>3549</v>
      </c>
      <c r="W689" s="56" t="s">
        <v>3548</v>
      </c>
      <c r="X689" s="56" t="s">
        <v>3547</v>
      </c>
      <c r="Z689" s="56" t="s">
        <v>3546</v>
      </c>
      <c r="AA689" s="56" t="s">
        <v>5869</v>
      </c>
      <c r="AB689" s="56" t="s">
        <v>5868</v>
      </c>
      <c r="AC689" s="56" t="s">
        <v>3543</v>
      </c>
      <c r="AD689" s="56" t="s">
        <v>24</v>
      </c>
      <c r="AE689" s="56" t="s">
        <v>4530</v>
      </c>
      <c r="AF689" s="56" t="s">
        <v>5867</v>
      </c>
      <c r="AH689" s="56" t="s">
        <v>3542</v>
      </c>
      <c r="AI689" s="56" t="s">
        <v>3723</v>
      </c>
    </row>
    <row r="690" spans="1:35" ht="33" customHeight="1">
      <c r="A690" s="56" t="s">
        <v>5872</v>
      </c>
      <c r="B690" s="57">
        <v>44360.856087962966</v>
      </c>
      <c r="C690" s="56" t="s">
        <v>4512</v>
      </c>
      <c r="D690" s="56" t="s">
        <v>4511</v>
      </c>
      <c r="E690" s="56" t="s">
        <v>5871</v>
      </c>
      <c r="F690" s="56" t="s">
        <v>5870</v>
      </c>
      <c r="G690" s="58" t="s">
        <v>3551</v>
      </c>
      <c r="H690" s="56">
        <v>1</v>
      </c>
      <c r="I690" s="56" t="s">
        <v>3550</v>
      </c>
      <c r="J690" s="56">
        <v>0</v>
      </c>
      <c r="K690" s="56">
        <v>0</v>
      </c>
      <c r="P690" s="56">
        <v>0</v>
      </c>
      <c r="S690" s="56">
        <v>0</v>
      </c>
      <c r="T690" s="56" t="s">
        <v>3562</v>
      </c>
      <c r="V690" s="56" t="s">
        <v>3549</v>
      </c>
      <c r="W690" s="56" t="s">
        <v>3548</v>
      </c>
      <c r="X690" s="56" t="s">
        <v>3547</v>
      </c>
      <c r="Z690" s="56" t="s">
        <v>3546</v>
      </c>
      <c r="AA690" s="56" t="s">
        <v>5869</v>
      </c>
      <c r="AB690" s="56" t="s">
        <v>5868</v>
      </c>
      <c r="AC690" s="56" t="s">
        <v>3543</v>
      </c>
      <c r="AD690" s="56" t="s">
        <v>24</v>
      </c>
      <c r="AE690" s="56" t="s">
        <v>4530</v>
      </c>
      <c r="AF690" s="56" t="s">
        <v>5867</v>
      </c>
      <c r="AH690" s="56" t="s">
        <v>3542</v>
      </c>
      <c r="AI690" s="56" t="s">
        <v>3723</v>
      </c>
    </row>
    <row r="691" spans="1:35" ht="33" customHeight="1">
      <c r="A691" s="56" t="s">
        <v>5866</v>
      </c>
      <c r="B691" s="57">
        <v>44360.859537037039</v>
      </c>
      <c r="C691" s="56" t="s">
        <v>3803</v>
      </c>
      <c r="D691" s="56" t="s">
        <v>3802</v>
      </c>
      <c r="E691" s="56" t="s">
        <v>5865</v>
      </c>
      <c r="F691" s="56" t="s">
        <v>5864</v>
      </c>
      <c r="G691" s="58" t="s">
        <v>2171</v>
      </c>
      <c r="H691" s="56">
        <v>1</v>
      </c>
      <c r="I691" s="56" t="s">
        <v>3762</v>
      </c>
      <c r="J691" s="56">
        <v>350</v>
      </c>
      <c r="K691" s="56">
        <v>350</v>
      </c>
      <c r="L691" s="56">
        <v>1148</v>
      </c>
      <c r="M691" s="56">
        <v>0</v>
      </c>
      <c r="N691" s="56">
        <v>0</v>
      </c>
      <c r="O691" s="56">
        <v>100</v>
      </c>
      <c r="P691" s="56">
        <v>0</v>
      </c>
      <c r="Q691" s="56">
        <v>1048</v>
      </c>
      <c r="R691" s="56">
        <v>0</v>
      </c>
      <c r="S691" s="56">
        <v>0</v>
      </c>
      <c r="T691" s="56" t="s">
        <v>3562</v>
      </c>
      <c r="U691" s="56">
        <v>1048</v>
      </c>
      <c r="V691" s="56" t="s">
        <v>3561</v>
      </c>
      <c r="W691" s="56" t="s">
        <v>3548</v>
      </c>
      <c r="X691" s="56" t="s">
        <v>39</v>
      </c>
      <c r="Y691" s="56" t="s">
        <v>4133</v>
      </c>
      <c r="Z691" s="56" t="s">
        <v>5863</v>
      </c>
      <c r="AC691" s="56" t="s">
        <v>3543</v>
      </c>
      <c r="AD691" s="56" t="s">
        <v>24</v>
      </c>
      <c r="AE691" s="56" t="s">
        <v>5833</v>
      </c>
      <c r="AF691" s="56" t="s">
        <v>5862</v>
      </c>
      <c r="AH691" s="56" t="s">
        <v>3542</v>
      </c>
      <c r="AI691" s="56" t="s">
        <v>3723</v>
      </c>
    </row>
    <row r="692" spans="1:35" ht="33" customHeight="1">
      <c r="A692" s="56" t="s">
        <v>5866</v>
      </c>
      <c r="B692" s="57">
        <v>44360.859537037039</v>
      </c>
      <c r="C692" s="56" t="s">
        <v>3803</v>
      </c>
      <c r="D692" s="56" t="s">
        <v>3802</v>
      </c>
      <c r="E692" s="56" t="s">
        <v>5865</v>
      </c>
      <c r="F692" s="56" t="s">
        <v>5864</v>
      </c>
      <c r="G692" s="58" t="s">
        <v>2165</v>
      </c>
      <c r="H692" s="56">
        <v>1</v>
      </c>
      <c r="I692" s="56" t="s">
        <v>3721</v>
      </c>
      <c r="J692" s="56">
        <v>109</v>
      </c>
      <c r="K692" s="56">
        <v>109</v>
      </c>
      <c r="P692" s="56">
        <v>0</v>
      </c>
      <c r="S692" s="56">
        <v>0</v>
      </c>
      <c r="T692" s="56" t="s">
        <v>3562</v>
      </c>
      <c r="V692" s="56" t="s">
        <v>3561</v>
      </c>
      <c r="W692" s="56" t="s">
        <v>3548</v>
      </c>
      <c r="X692" s="56" t="s">
        <v>39</v>
      </c>
      <c r="Y692" s="56" t="s">
        <v>4133</v>
      </c>
      <c r="Z692" s="56" t="s">
        <v>5863</v>
      </c>
      <c r="AC692" s="56" t="s">
        <v>3543</v>
      </c>
      <c r="AD692" s="56" t="s">
        <v>24</v>
      </c>
      <c r="AE692" s="56" t="s">
        <v>5833</v>
      </c>
      <c r="AF692" s="56" t="s">
        <v>5862</v>
      </c>
      <c r="AH692" s="56" t="s">
        <v>3542</v>
      </c>
      <c r="AI692" s="56" t="s">
        <v>3723</v>
      </c>
    </row>
    <row r="693" spans="1:35" ht="33" customHeight="1">
      <c r="A693" s="56" t="s">
        <v>5866</v>
      </c>
      <c r="B693" s="57">
        <v>44360.859537037039</v>
      </c>
      <c r="C693" s="56" t="s">
        <v>3803</v>
      </c>
      <c r="D693" s="56" t="s">
        <v>3802</v>
      </c>
      <c r="E693" s="56" t="s">
        <v>5865</v>
      </c>
      <c r="F693" s="56" t="s">
        <v>5864</v>
      </c>
      <c r="G693" s="58" t="s">
        <v>4467</v>
      </c>
      <c r="H693" s="56">
        <v>1</v>
      </c>
      <c r="I693" s="56" t="s">
        <v>3769</v>
      </c>
      <c r="J693" s="56">
        <v>405</v>
      </c>
      <c r="K693" s="56">
        <v>390</v>
      </c>
      <c r="P693" s="56">
        <v>0</v>
      </c>
      <c r="S693" s="56">
        <v>0</v>
      </c>
      <c r="T693" s="56" t="s">
        <v>3562</v>
      </c>
      <c r="V693" s="56" t="s">
        <v>3561</v>
      </c>
      <c r="W693" s="56" t="s">
        <v>3548</v>
      </c>
      <c r="X693" s="56" t="s">
        <v>39</v>
      </c>
      <c r="Y693" s="56" t="s">
        <v>4133</v>
      </c>
      <c r="Z693" s="56" t="s">
        <v>5863</v>
      </c>
      <c r="AC693" s="56" t="s">
        <v>3543</v>
      </c>
      <c r="AD693" s="56" t="s">
        <v>24</v>
      </c>
      <c r="AE693" s="56" t="s">
        <v>5833</v>
      </c>
      <c r="AF693" s="56" t="s">
        <v>5862</v>
      </c>
      <c r="AH693" s="56" t="s">
        <v>3542</v>
      </c>
      <c r="AI693" s="56" t="s">
        <v>3723</v>
      </c>
    </row>
    <row r="694" spans="1:35" ht="33" customHeight="1">
      <c r="A694" s="56" t="s">
        <v>5866</v>
      </c>
      <c r="B694" s="57">
        <v>44360.859537037039</v>
      </c>
      <c r="C694" s="56" t="s">
        <v>3803</v>
      </c>
      <c r="D694" s="56" t="s">
        <v>3802</v>
      </c>
      <c r="E694" s="56" t="s">
        <v>5865</v>
      </c>
      <c r="F694" s="56" t="s">
        <v>5864</v>
      </c>
      <c r="G694" s="58" t="s">
        <v>3299</v>
      </c>
      <c r="H694" s="56">
        <v>1</v>
      </c>
      <c r="I694" s="56" t="s">
        <v>3576</v>
      </c>
      <c r="J694" s="56">
        <v>299</v>
      </c>
      <c r="K694" s="56">
        <v>299</v>
      </c>
      <c r="P694" s="56">
        <v>0</v>
      </c>
      <c r="S694" s="56">
        <v>0</v>
      </c>
      <c r="T694" s="56" t="s">
        <v>3562</v>
      </c>
      <c r="V694" s="56" t="s">
        <v>3561</v>
      </c>
      <c r="W694" s="56" t="s">
        <v>3548</v>
      </c>
      <c r="X694" s="56" t="s">
        <v>39</v>
      </c>
      <c r="Y694" s="56" t="s">
        <v>4133</v>
      </c>
      <c r="Z694" s="56" t="s">
        <v>5863</v>
      </c>
      <c r="AC694" s="56" t="s">
        <v>3543</v>
      </c>
      <c r="AD694" s="56" t="s">
        <v>24</v>
      </c>
      <c r="AE694" s="56" t="s">
        <v>5833</v>
      </c>
      <c r="AF694" s="56" t="s">
        <v>5862</v>
      </c>
      <c r="AH694" s="56" t="s">
        <v>3542</v>
      </c>
      <c r="AI694" s="56" t="s">
        <v>3723</v>
      </c>
    </row>
    <row r="695" spans="1:35" ht="33" customHeight="1">
      <c r="A695" s="56" t="s">
        <v>5866</v>
      </c>
      <c r="B695" s="57">
        <v>44360.859537037039</v>
      </c>
      <c r="C695" s="56" t="s">
        <v>3803</v>
      </c>
      <c r="D695" s="56" t="s">
        <v>3802</v>
      </c>
      <c r="E695" s="56" t="s">
        <v>5865</v>
      </c>
      <c r="F695" s="56" t="s">
        <v>5864</v>
      </c>
      <c r="G695" s="58" t="s">
        <v>3551</v>
      </c>
      <c r="H695" s="56">
        <v>1</v>
      </c>
      <c r="I695" s="56" t="s">
        <v>3550</v>
      </c>
      <c r="J695" s="56">
        <v>0</v>
      </c>
      <c r="K695" s="56">
        <v>0</v>
      </c>
      <c r="P695" s="56">
        <v>0</v>
      </c>
      <c r="S695" s="56">
        <v>0</v>
      </c>
      <c r="T695" s="56" t="s">
        <v>3562</v>
      </c>
      <c r="V695" s="56" t="s">
        <v>3561</v>
      </c>
      <c r="W695" s="56" t="s">
        <v>3548</v>
      </c>
      <c r="X695" s="56" t="s">
        <v>39</v>
      </c>
      <c r="Y695" s="56" t="s">
        <v>4133</v>
      </c>
      <c r="Z695" s="56" t="s">
        <v>5863</v>
      </c>
      <c r="AC695" s="56" t="s">
        <v>3543</v>
      </c>
      <c r="AD695" s="56" t="s">
        <v>24</v>
      </c>
      <c r="AE695" s="56" t="s">
        <v>5833</v>
      </c>
      <c r="AF695" s="56" t="s">
        <v>5862</v>
      </c>
      <c r="AH695" s="56" t="s">
        <v>3542</v>
      </c>
      <c r="AI695" s="56" t="s">
        <v>3723</v>
      </c>
    </row>
    <row r="696" spans="1:35" ht="33" customHeight="1">
      <c r="A696" s="56" t="s">
        <v>5866</v>
      </c>
      <c r="B696" s="57">
        <v>44360.859537037039</v>
      </c>
      <c r="C696" s="56" t="s">
        <v>3803</v>
      </c>
      <c r="D696" s="56" t="s">
        <v>3802</v>
      </c>
      <c r="E696" s="56" t="s">
        <v>5865</v>
      </c>
      <c r="F696" s="56" t="s">
        <v>5864</v>
      </c>
      <c r="G696" s="58" t="s">
        <v>1498</v>
      </c>
      <c r="H696" s="56">
        <v>1</v>
      </c>
      <c r="I696" s="56" t="s">
        <v>4016</v>
      </c>
      <c r="J696" s="56">
        <v>0</v>
      </c>
      <c r="K696" s="56">
        <v>0</v>
      </c>
      <c r="P696" s="56">
        <v>0</v>
      </c>
      <c r="S696" s="56">
        <v>0</v>
      </c>
      <c r="T696" s="56" t="s">
        <v>3562</v>
      </c>
      <c r="V696" s="56" t="s">
        <v>3561</v>
      </c>
      <c r="W696" s="56" t="s">
        <v>3548</v>
      </c>
      <c r="X696" s="56" t="s">
        <v>39</v>
      </c>
      <c r="Y696" s="56" t="s">
        <v>4133</v>
      </c>
      <c r="Z696" s="56" t="s">
        <v>5863</v>
      </c>
      <c r="AC696" s="56" t="s">
        <v>3543</v>
      </c>
      <c r="AD696" s="56" t="s">
        <v>24</v>
      </c>
      <c r="AE696" s="56" t="s">
        <v>5833</v>
      </c>
      <c r="AF696" s="56" t="s">
        <v>5862</v>
      </c>
      <c r="AH696" s="56" t="s">
        <v>3542</v>
      </c>
      <c r="AI696" s="56" t="s">
        <v>3723</v>
      </c>
    </row>
    <row r="697" spans="1:35" ht="33" customHeight="1">
      <c r="A697" s="56" t="s">
        <v>5861</v>
      </c>
      <c r="B697" s="57">
        <v>44360.919814814813</v>
      </c>
      <c r="C697" s="56" t="s">
        <v>3803</v>
      </c>
      <c r="D697" s="56" t="s">
        <v>3802</v>
      </c>
      <c r="E697" s="56" t="s">
        <v>5119</v>
      </c>
      <c r="F697" s="56" t="s">
        <v>5860</v>
      </c>
      <c r="G697" s="58" t="s">
        <v>4162</v>
      </c>
      <c r="H697" s="56">
        <v>1</v>
      </c>
      <c r="I697" s="56" t="s">
        <v>3669</v>
      </c>
      <c r="J697" s="56">
        <v>897</v>
      </c>
      <c r="K697" s="56">
        <v>888</v>
      </c>
      <c r="L697" s="56">
        <v>1037</v>
      </c>
      <c r="M697" s="56">
        <v>0</v>
      </c>
      <c r="N697" s="56">
        <v>0</v>
      </c>
      <c r="O697" s="56">
        <v>100</v>
      </c>
      <c r="P697" s="56">
        <v>0</v>
      </c>
      <c r="Q697" s="56">
        <v>937</v>
      </c>
      <c r="R697" s="56">
        <v>0</v>
      </c>
      <c r="S697" s="56">
        <v>0</v>
      </c>
      <c r="T697" s="56" t="s">
        <v>3562</v>
      </c>
      <c r="U697" s="56">
        <v>937</v>
      </c>
      <c r="V697" s="56" t="s">
        <v>3561</v>
      </c>
      <c r="W697" s="56" t="s">
        <v>3548</v>
      </c>
      <c r="X697" s="56" t="s">
        <v>39</v>
      </c>
      <c r="Y697" s="56" t="s">
        <v>5859</v>
      </c>
      <c r="Z697" s="56" t="s">
        <v>5858</v>
      </c>
      <c r="AC697" s="56" t="s">
        <v>3842</v>
      </c>
      <c r="AD697" s="56" t="s">
        <v>24</v>
      </c>
      <c r="AE697" s="56" t="s">
        <v>5833</v>
      </c>
      <c r="AF697" s="56" t="s">
        <v>5857</v>
      </c>
      <c r="AH697" s="56" t="s">
        <v>3542</v>
      </c>
      <c r="AI697" s="56" t="s">
        <v>3723</v>
      </c>
    </row>
    <row r="698" spans="1:35" ht="33" customHeight="1">
      <c r="A698" s="56" t="s">
        <v>5861</v>
      </c>
      <c r="B698" s="57">
        <v>44360.919814814813</v>
      </c>
      <c r="C698" s="56" t="s">
        <v>3803</v>
      </c>
      <c r="D698" s="56" t="s">
        <v>3802</v>
      </c>
      <c r="E698" s="56" t="s">
        <v>5119</v>
      </c>
      <c r="F698" s="56" t="s">
        <v>5860</v>
      </c>
      <c r="G698" s="58" t="s">
        <v>1713</v>
      </c>
      <c r="H698" s="56">
        <v>1</v>
      </c>
      <c r="I698" s="56" t="s">
        <v>3761</v>
      </c>
      <c r="J698" s="56">
        <v>149</v>
      </c>
      <c r="K698" s="56">
        <v>149</v>
      </c>
      <c r="P698" s="56">
        <v>0</v>
      </c>
      <c r="S698" s="56">
        <v>0</v>
      </c>
      <c r="T698" s="56" t="s">
        <v>3562</v>
      </c>
      <c r="V698" s="56" t="s">
        <v>3561</v>
      </c>
      <c r="W698" s="56" t="s">
        <v>3548</v>
      </c>
      <c r="X698" s="56" t="s">
        <v>39</v>
      </c>
      <c r="Y698" s="56" t="s">
        <v>5859</v>
      </c>
      <c r="Z698" s="56" t="s">
        <v>5858</v>
      </c>
      <c r="AC698" s="56" t="s">
        <v>3842</v>
      </c>
      <c r="AD698" s="56" t="s">
        <v>24</v>
      </c>
      <c r="AE698" s="56" t="s">
        <v>5833</v>
      </c>
      <c r="AF698" s="56" t="s">
        <v>5857</v>
      </c>
      <c r="AH698" s="56" t="s">
        <v>3542</v>
      </c>
      <c r="AI698" s="56" t="s">
        <v>3723</v>
      </c>
    </row>
    <row r="699" spans="1:35" ht="33" customHeight="1">
      <c r="A699" s="56" t="s">
        <v>5861</v>
      </c>
      <c r="B699" s="57">
        <v>44360.919814814813</v>
      </c>
      <c r="C699" s="56" t="s">
        <v>3803</v>
      </c>
      <c r="D699" s="56" t="s">
        <v>3802</v>
      </c>
      <c r="E699" s="56" t="s">
        <v>5119</v>
      </c>
      <c r="F699" s="56" t="s">
        <v>5860</v>
      </c>
      <c r="G699" s="58" t="s">
        <v>3551</v>
      </c>
      <c r="H699" s="56">
        <v>1</v>
      </c>
      <c r="I699" s="56" t="s">
        <v>3550</v>
      </c>
      <c r="J699" s="56">
        <v>0</v>
      </c>
      <c r="K699" s="56">
        <v>0</v>
      </c>
      <c r="P699" s="56">
        <v>0</v>
      </c>
      <c r="S699" s="56">
        <v>0</v>
      </c>
      <c r="T699" s="56" t="s">
        <v>3562</v>
      </c>
      <c r="V699" s="56" t="s">
        <v>3561</v>
      </c>
      <c r="W699" s="56" t="s">
        <v>3548</v>
      </c>
      <c r="X699" s="56" t="s">
        <v>39</v>
      </c>
      <c r="Y699" s="56" t="s">
        <v>5859</v>
      </c>
      <c r="Z699" s="56" t="s">
        <v>5858</v>
      </c>
      <c r="AC699" s="56" t="s">
        <v>3842</v>
      </c>
      <c r="AD699" s="56" t="s">
        <v>24</v>
      </c>
      <c r="AE699" s="56" t="s">
        <v>5833</v>
      </c>
      <c r="AF699" s="56" t="s">
        <v>5857</v>
      </c>
      <c r="AH699" s="56" t="s">
        <v>3542</v>
      </c>
      <c r="AI699" s="56" t="s">
        <v>3723</v>
      </c>
    </row>
    <row r="700" spans="1:35" ht="33" customHeight="1">
      <c r="A700" s="56" t="s">
        <v>5861</v>
      </c>
      <c r="B700" s="57">
        <v>44360.919814814813</v>
      </c>
      <c r="C700" s="56" t="s">
        <v>3803</v>
      </c>
      <c r="D700" s="56" t="s">
        <v>3802</v>
      </c>
      <c r="E700" s="56" t="s">
        <v>5119</v>
      </c>
      <c r="F700" s="56" t="s">
        <v>5860</v>
      </c>
      <c r="G700" s="58" t="s">
        <v>1498</v>
      </c>
      <c r="H700" s="56">
        <v>1</v>
      </c>
      <c r="I700" s="56" t="s">
        <v>4016</v>
      </c>
      <c r="J700" s="56">
        <v>0</v>
      </c>
      <c r="K700" s="56">
        <v>0</v>
      </c>
      <c r="P700" s="56">
        <v>0</v>
      </c>
      <c r="S700" s="56">
        <v>0</v>
      </c>
      <c r="T700" s="56" t="s">
        <v>3562</v>
      </c>
      <c r="V700" s="56" t="s">
        <v>3561</v>
      </c>
      <c r="W700" s="56" t="s">
        <v>3548</v>
      </c>
      <c r="X700" s="56" t="s">
        <v>39</v>
      </c>
      <c r="Y700" s="56" t="s">
        <v>5859</v>
      </c>
      <c r="Z700" s="56" t="s">
        <v>5858</v>
      </c>
      <c r="AC700" s="56" t="s">
        <v>3842</v>
      </c>
      <c r="AD700" s="56" t="s">
        <v>24</v>
      </c>
      <c r="AE700" s="56" t="s">
        <v>5833</v>
      </c>
      <c r="AF700" s="56" t="s">
        <v>5857</v>
      </c>
      <c r="AH700" s="56" t="s">
        <v>3542</v>
      </c>
      <c r="AI700" s="56" t="s">
        <v>3723</v>
      </c>
    </row>
    <row r="701" spans="1:35" ht="33" customHeight="1">
      <c r="A701" s="56" t="s">
        <v>5856</v>
      </c>
      <c r="B701" s="57">
        <v>44360.927303240744</v>
      </c>
      <c r="C701" s="56" t="s">
        <v>4512</v>
      </c>
      <c r="D701" s="56" t="s">
        <v>4511</v>
      </c>
      <c r="E701" s="56" t="s">
        <v>5855</v>
      </c>
      <c r="F701" s="56" t="s">
        <v>5854</v>
      </c>
      <c r="G701" s="58" t="s">
        <v>3654</v>
      </c>
      <c r="H701" s="56">
        <v>1</v>
      </c>
      <c r="I701" s="56" t="s">
        <v>3653</v>
      </c>
      <c r="J701" s="56">
        <v>447</v>
      </c>
      <c r="K701" s="56">
        <v>430</v>
      </c>
      <c r="L701" s="56">
        <v>430</v>
      </c>
      <c r="M701" s="56">
        <v>65</v>
      </c>
      <c r="N701" s="56">
        <v>0</v>
      </c>
      <c r="O701" s="56">
        <v>0</v>
      </c>
      <c r="P701" s="56">
        <v>0</v>
      </c>
      <c r="Q701" s="56">
        <v>495</v>
      </c>
      <c r="R701" s="56">
        <v>0</v>
      </c>
      <c r="S701" s="56">
        <v>0</v>
      </c>
      <c r="T701" s="56" t="s">
        <v>3562</v>
      </c>
      <c r="U701" s="56">
        <v>495</v>
      </c>
      <c r="V701" s="56" t="s">
        <v>3549</v>
      </c>
      <c r="W701" s="56" t="s">
        <v>3548</v>
      </c>
      <c r="X701" s="56" t="s">
        <v>3547</v>
      </c>
      <c r="Z701" s="56" t="s">
        <v>3546</v>
      </c>
      <c r="AA701" s="56" t="s">
        <v>5853</v>
      </c>
      <c r="AB701" s="56" t="s">
        <v>5852</v>
      </c>
      <c r="AC701" s="56" t="s">
        <v>3543</v>
      </c>
      <c r="AD701" s="56" t="s">
        <v>24</v>
      </c>
      <c r="AE701" s="56" t="s">
        <v>3862</v>
      </c>
      <c r="AF701" s="56" t="s">
        <v>5851</v>
      </c>
      <c r="AH701" s="56" t="s">
        <v>3542</v>
      </c>
      <c r="AI701" s="56" t="s">
        <v>3723</v>
      </c>
    </row>
    <row r="702" spans="1:35" ht="33" customHeight="1">
      <c r="A702" s="56" t="s">
        <v>5856</v>
      </c>
      <c r="B702" s="57">
        <v>44360.927303240744</v>
      </c>
      <c r="C702" s="56" t="s">
        <v>4512</v>
      </c>
      <c r="D702" s="56" t="s">
        <v>4511</v>
      </c>
      <c r="E702" s="56" t="s">
        <v>5855</v>
      </c>
      <c r="F702" s="56" t="s">
        <v>5854</v>
      </c>
      <c r="G702" s="58" t="s">
        <v>3551</v>
      </c>
      <c r="H702" s="56">
        <v>1</v>
      </c>
      <c r="I702" s="56" t="s">
        <v>3550</v>
      </c>
      <c r="J702" s="56">
        <v>0</v>
      </c>
      <c r="K702" s="56">
        <v>0</v>
      </c>
      <c r="P702" s="56">
        <v>0</v>
      </c>
      <c r="S702" s="56">
        <v>0</v>
      </c>
      <c r="T702" s="56" t="s">
        <v>3562</v>
      </c>
      <c r="V702" s="56" t="s">
        <v>3549</v>
      </c>
      <c r="W702" s="56" t="s">
        <v>3548</v>
      </c>
      <c r="X702" s="56" t="s">
        <v>3547</v>
      </c>
      <c r="Z702" s="56" t="s">
        <v>3546</v>
      </c>
      <c r="AA702" s="56" t="s">
        <v>5853</v>
      </c>
      <c r="AB702" s="56" t="s">
        <v>5852</v>
      </c>
      <c r="AC702" s="56" t="s">
        <v>3543</v>
      </c>
      <c r="AD702" s="56" t="s">
        <v>24</v>
      </c>
      <c r="AE702" s="56" t="s">
        <v>3862</v>
      </c>
      <c r="AF702" s="56" t="s">
        <v>5851</v>
      </c>
      <c r="AH702" s="56" t="s">
        <v>3542</v>
      </c>
      <c r="AI702" s="56" t="s">
        <v>3723</v>
      </c>
    </row>
    <row r="703" spans="1:35" ht="33" customHeight="1">
      <c r="A703" s="56" t="s">
        <v>5849</v>
      </c>
      <c r="B703" s="57">
        <v>44360.952592592592</v>
      </c>
      <c r="C703" s="56" t="s">
        <v>4512</v>
      </c>
      <c r="D703" s="56" t="s">
        <v>4511</v>
      </c>
      <c r="E703" s="56" t="s">
        <v>5848</v>
      </c>
      <c r="F703" s="56" t="s">
        <v>5847</v>
      </c>
      <c r="G703" s="58" t="s">
        <v>5850</v>
      </c>
      <c r="H703" s="56">
        <v>1</v>
      </c>
      <c r="I703" s="56" t="s">
        <v>5335</v>
      </c>
      <c r="J703" s="56">
        <v>547</v>
      </c>
      <c r="K703" s="56">
        <v>460</v>
      </c>
      <c r="L703" s="56">
        <v>519</v>
      </c>
      <c r="M703" s="56">
        <v>65</v>
      </c>
      <c r="N703" s="56">
        <v>0</v>
      </c>
      <c r="O703" s="56">
        <v>0</v>
      </c>
      <c r="P703" s="56">
        <v>0</v>
      </c>
      <c r="Q703" s="56">
        <v>584</v>
      </c>
      <c r="R703" s="56">
        <v>0</v>
      </c>
      <c r="S703" s="56">
        <v>0</v>
      </c>
      <c r="T703" s="56" t="s">
        <v>3562</v>
      </c>
      <c r="U703" s="56">
        <v>584</v>
      </c>
      <c r="V703" s="56" t="s">
        <v>3612</v>
      </c>
      <c r="W703" s="56" t="s">
        <v>3548</v>
      </c>
      <c r="X703" s="56" t="s">
        <v>3611</v>
      </c>
      <c r="Z703" s="56" t="s">
        <v>3546</v>
      </c>
      <c r="AA703" s="56" t="s">
        <v>5846</v>
      </c>
      <c r="AB703" s="56" t="s">
        <v>5845</v>
      </c>
      <c r="AC703" s="56" t="s">
        <v>3543</v>
      </c>
      <c r="AD703" s="56" t="s">
        <v>24</v>
      </c>
      <c r="AE703" s="56" t="s">
        <v>4834</v>
      </c>
      <c r="AF703" s="56" t="s">
        <v>5844</v>
      </c>
      <c r="AH703" s="56" t="s">
        <v>3542</v>
      </c>
      <c r="AI703" s="56" t="s">
        <v>3723</v>
      </c>
    </row>
    <row r="704" spans="1:35" ht="33" customHeight="1">
      <c r="A704" s="56" t="s">
        <v>5849</v>
      </c>
      <c r="B704" s="57">
        <v>44360.952592592592</v>
      </c>
      <c r="C704" s="56" t="s">
        <v>4512</v>
      </c>
      <c r="D704" s="56" t="s">
        <v>4511</v>
      </c>
      <c r="E704" s="56" t="s">
        <v>5848</v>
      </c>
      <c r="F704" s="56" t="s">
        <v>5847</v>
      </c>
      <c r="G704" s="58" t="s">
        <v>3217</v>
      </c>
      <c r="H704" s="56">
        <v>1</v>
      </c>
      <c r="I704" s="56" t="s">
        <v>3720</v>
      </c>
      <c r="J704" s="56">
        <v>59</v>
      </c>
      <c r="K704" s="56">
        <v>59</v>
      </c>
      <c r="P704" s="56">
        <v>0</v>
      </c>
      <c r="S704" s="56">
        <v>0</v>
      </c>
      <c r="T704" s="56" t="s">
        <v>3562</v>
      </c>
      <c r="V704" s="56" t="s">
        <v>3612</v>
      </c>
      <c r="W704" s="56" t="s">
        <v>3548</v>
      </c>
      <c r="X704" s="56" t="s">
        <v>3611</v>
      </c>
      <c r="Z704" s="56" t="s">
        <v>3546</v>
      </c>
      <c r="AA704" s="56" t="s">
        <v>5846</v>
      </c>
      <c r="AB704" s="56" t="s">
        <v>5845</v>
      </c>
      <c r="AC704" s="56" t="s">
        <v>3543</v>
      </c>
      <c r="AD704" s="56" t="s">
        <v>24</v>
      </c>
      <c r="AE704" s="56" t="s">
        <v>4834</v>
      </c>
      <c r="AF704" s="56" t="s">
        <v>5844</v>
      </c>
      <c r="AH704" s="56" t="s">
        <v>3542</v>
      </c>
      <c r="AI704" s="56" t="s">
        <v>3723</v>
      </c>
    </row>
    <row r="705" spans="1:35" ht="33" customHeight="1">
      <c r="A705" s="56" t="s">
        <v>5849</v>
      </c>
      <c r="B705" s="57">
        <v>44360.952592592592</v>
      </c>
      <c r="C705" s="56" t="s">
        <v>4512</v>
      </c>
      <c r="D705" s="56" t="s">
        <v>4511</v>
      </c>
      <c r="E705" s="56" t="s">
        <v>5848</v>
      </c>
      <c r="F705" s="56" t="s">
        <v>5847</v>
      </c>
      <c r="G705" s="58" t="s">
        <v>3551</v>
      </c>
      <c r="H705" s="56">
        <v>1</v>
      </c>
      <c r="I705" s="56" t="s">
        <v>3550</v>
      </c>
      <c r="J705" s="56">
        <v>0</v>
      </c>
      <c r="K705" s="56">
        <v>0</v>
      </c>
      <c r="P705" s="56">
        <v>0</v>
      </c>
      <c r="S705" s="56">
        <v>0</v>
      </c>
      <c r="T705" s="56" t="s">
        <v>3562</v>
      </c>
      <c r="V705" s="56" t="s">
        <v>3612</v>
      </c>
      <c r="W705" s="56" t="s">
        <v>3548</v>
      </c>
      <c r="X705" s="56" t="s">
        <v>3611</v>
      </c>
      <c r="Z705" s="56" t="s">
        <v>3546</v>
      </c>
      <c r="AA705" s="56" t="s">
        <v>5846</v>
      </c>
      <c r="AB705" s="56" t="s">
        <v>5845</v>
      </c>
      <c r="AC705" s="56" t="s">
        <v>3543</v>
      </c>
      <c r="AD705" s="56" t="s">
        <v>24</v>
      </c>
      <c r="AE705" s="56" t="s">
        <v>4834</v>
      </c>
      <c r="AF705" s="56" t="s">
        <v>5844</v>
      </c>
      <c r="AH705" s="56" t="s">
        <v>3542</v>
      </c>
      <c r="AI705" s="56" t="s">
        <v>3723</v>
      </c>
    </row>
    <row r="706" spans="1:35" ht="33" customHeight="1">
      <c r="A706" s="56" t="s">
        <v>5843</v>
      </c>
      <c r="B706" s="57">
        <v>44360.971365740741</v>
      </c>
      <c r="C706" s="56" t="s">
        <v>3803</v>
      </c>
      <c r="D706" s="56" t="s">
        <v>3802</v>
      </c>
      <c r="E706" s="56" t="s">
        <v>5842</v>
      </c>
      <c r="F706" s="56" t="s">
        <v>5841</v>
      </c>
      <c r="G706" s="58" t="s">
        <v>3811</v>
      </c>
      <c r="H706" s="56">
        <v>1</v>
      </c>
      <c r="I706" s="56" t="s">
        <v>3669</v>
      </c>
      <c r="J706" s="56">
        <v>897</v>
      </c>
      <c r="K706" s="56">
        <v>888</v>
      </c>
      <c r="L706" s="56">
        <v>1308</v>
      </c>
      <c r="M706" s="56">
        <v>0</v>
      </c>
      <c r="N706" s="56">
        <v>0</v>
      </c>
      <c r="O706" s="56">
        <v>131</v>
      </c>
      <c r="P706" s="56">
        <v>0</v>
      </c>
      <c r="Q706" s="56">
        <v>1177</v>
      </c>
      <c r="R706" s="56">
        <v>0</v>
      </c>
      <c r="S706" s="56">
        <v>0</v>
      </c>
      <c r="T706" s="56" t="s">
        <v>3562</v>
      </c>
      <c r="U706" s="56">
        <v>1177</v>
      </c>
      <c r="V706" s="56" t="s">
        <v>3561</v>
      </c>
      <c r="W706" s="56" t="s">
        <v>3548</v>
      </c>
      <c r="X706" s="56" t="s">
        <v>39</v>
      </c>
      <c r="Y706" s="56" t="s">
        <v>4463</v>
      </c>
      <c r="Z706" s="56" t="s">
        <v>5840</v>
      </c>
      <c r="AC706" s="56" t="s">
        <v>3543</v>
      </c>
      <c r="AD706" s="56" t="s">
        <v>24</v>
      </c>
      <c r="AE706" s="56" t="s">
        <v>5833</v>
      </c>
      <c r="AF706" s="56" t="s">
        <v>5839</v>
      </c>
      <c r="AH706" s="56" t="s">
        <v>3542</v>
      </c>
      <c r="AI706" s="56" t="s">
        <v>3723</v>
      </c>
    </row>
    <row r="707" spans="1:35" ht="33" customHeight="1">
      <c r="A707" s="56" t="s">
        <v>5843</v>
      </c>
      <c r="B707" s="57">
        <v>44360.971365740741</v>
      </c>
      <c r="C707" s="56" t="s">
        <v>3803</v>
      </c>
      <c r="D707" s="56" t="s">
        <v>3802</v>
      </c>
      <c r="E707" s="56" t="s">
        <v>5842</v>
      </c>
      <c r="F707" s="56" t="s">
        <v>5841</v>
      </c>
      <c r="G707" s="58" t="s">
        <v>5336</v>
      </c>
      <c r="H707" s="56">
        <v>1</v>
      </c>
      <c r="I707" s="56" t="s">
        <v>5335</v>
      </c>
      <c r="J707" s="56">
        <v>505</v>
      </c>
      <c r="K707" s="56">
        <v>420</v>
      </c>
      <c r="P707" s="56">
        <v>0</v>
      </c>
      <c r="S707" s="56">
        <v>0</v>
      </c>
      <c r="T707" s="56" t="s">
        <v>3562</v>
      </c>
      <c r="V707" s="56" t="s">
        <v>3561</v>
      </c>
      <c r="W707" s="56" t="s">
        <v>3548</v>
      </c>
      <c r="X707" s="56" t="s">
        <v>39</v>
      </c>
      <c r="Y707" s="56" t="s">
        <v>4463</v>
      </c>
      <c r="Z707" s="56" t="s">
        <v>5840</v>
      </c>
      <c r="AC707" s="56" t="s">
        <v>3543</v>
      </c>
      <c r="AD707" s="56" t="s">
        <v>24</v>
      </c>
      <c r="AE707" s="56" t="s">
        <v>5833</v>
      </c>
      <c r="AF707" s="56" t="s">
        <v>5839</v>
      </c>
      <c r="AH707" s="56" t="s">
        <v>3542</v>
      </c>
      <c r="AI707" s="56" t="s">
        <v>3723</v>
      </c>
    </row>
    <row r="708" spans="1:35" ht="33" customHeight="1">
      <c r="A708" s="56" t="s">
        <v>5843</v>
      </c>
      <c r="B708" s="57">
        <v>44360.971365740741</v>
      </c>
      <c r="C708" s="56" t="s">
        <v>3803</v>
      </c>
      <c r="D708" s="56" t="s">
        <v>3802</v>
      </c>
      <c r="E708" s="56" t="s">
        <v>5842</v>
      </c>
      <c r="F708" s="56" t="s">
        <v>5841</v>
      </c>
      <c r="G708" s="58" t="s">
        <v>3551</v>
      </c>
      <c r="H708" s="56">
        <v>1</v>
      </c>
      <c r="I708" s="56" t="s">
        <v>3550</v>
      </c>
      <c r="J708" s="56">
        <v>0</v>
      </c>
      <c r="K708" s="56">
        <v>0</v>
      </c>
      <c r="P708" s="56">
        <v>0</v>
      </c>
      <c r="S708" s="56">
        <v>0</v>
      </c>
      <c r="T708" s="56" t="s">
        <v>3562</v>
      </c>
      <c r="V708" s="56" t="s">
        <v>3561</v>
      </c>
      <c r="W708" s="56" t="s">
        <v>3548</v>
      </c>
      <c r="X708" s="56" t="s">
        <v>39</v>
      </c>
      <c r="Y708" s="56" t="s">
        <v>4463</v>
      </c>
      <c r="Z708" s="56" t="s">
        <v>5840</v>
      </c>
      <c r="AC708" s="56" t="s">
        <v>3543</v>
      </c>
      <c r="AD708" s="56" t="s">
        <v>24</v>
      </c>
      <c r="AE708" s="56" t="s">
        <v>5833</v>
      </c>
      <c r="AF708" s="56" t="s">
        <v>5839</v>
      </c>
      <c r="AH708" s="56" t="s">
        <v>3542</v>
      </c>
      <c r="AI708" s="56" t="s">
        <v>3723</v>
      </c>
    </row>
    <row r="709" spans="1:35" ht="33" customHeight="1">
      <c r="A709" s="56" t="s">
        <v>5843</v>
      </c>
      <c r="B709" s="57">
        <v>44360.971365740741</v>
      </c>
      <c r="C709" s="56" t="s">
        <v>3803</v>
      </c>
      <c r="D709" s="56" t="s">
        <v>3802</v>
      </c>
      <c r="E709" s="56" t="s">
        <v>5842</v>
      </c>
      <c r="F709" s="56" t="s">
        <v>5841</v>
      </c>
      <c r="G709" s="58" t="s">
        <v>1498</v>
      </c>
      <c r="H709" s="56">
        <v>1</v>
      </c>
      <c r="I709" s="56" t="s">
        <v>4016</v>
      </c>
      <c r="J709" s="56">
        <v>0</v>
      </c>
      <c r="K709" s="56">
        <v>0</v>
      </c>
      <c r="P709" s="56">
        <v>0</v>
      </c>
      <c r="S709" s="56">
        <v>0</v>
      </c>
      <c r="T709" s="56" t="s">
        <v>3562</v>
      </c>
      <c r="V709" s="56" t="s">
        <v>3561</v>
      </c>
      <c r="W709" s="56" t="s">
        <v>3548</v>
      </c>
      <c r="X709" s="56" t="s">
        <v>39</v>
      </c>
      <c r="Y709" s="56" t="s">
        <v>4463</v>
      </c>
      <c r="Z709" s="56" t="s">
        <v>5840</v>
      </c>
      <c r="AC709" s="56" t="s">
        <v>3543</v>
      </c>
      <c r="AD709" s="56" t="s">
        <v>24</v>
      </c>
      <c r="AE709" s="56" t="s">
        <v>5833</v>
      </c>
      <c r="AF709" s="56" t="s">
        <v>5839</v>
      </c>
      <c r="AH709" s="56" t="s">
        <v>3542</v>
      </c>
      <c r="AI709" s="56" t="s">
        <v>3723</v>
      </c>
    </row>
    <row r="710" spans="1:35" ht="33" customHeight="1">
      <c r="A710" s="56" t="s">
        <v>5838</v>
      </c>
      <c r="B710" s="57">
        <v>44360.980057870373</v>
      </c>
      <c r="C710" s="56" t="s">
        <v>3803</v>
      </c>
      <c r="D710" s="56" t="s">
        <v>4511</v>
      </c>
      <c r="E710" s="56" t="s">
        <v>5837</v>
      </c>
      <c r="F710" s="56" t="s">
        <v>5836</v>
      </c>
      <c r="G710" s="58" t="s">
        <v>3593</v>
      </c>
      <c r="H710" s="56">
        <v>1</v>
      </c>
      <c r="I710" s="56" t="s">
        <v>3577</v>
      </c>
      <c r="J710" s="56">
        <v>700</v>
      </c>
      <c r="K710" s="56">
        <v>599</v>
      </c>
      <c r="L710" s="56">
        <v>1143</v>
      </c>
      <c r="M710" s="56">
        <v>0</v>
      </c>
      <c r="N710" s="56">
        <v>0</v>
      </c>
      <c r="O710" s="56">
        <v>100</v>
      </c>
      <c r="P710" s="56">
        <v>0</v>
      </c>
      <c r="Q710" s="56">
        <v>1043</v>
      </c>
      <c r="R710" s="56">
        <v>0</v>
      </c>
      <c r="S710" s="56">
        <v>0</v>
      </c>
      <c r="T710" s="56" t="s">
        <v>3562</v>
      </c>
      <c r="U710" s="56">
        <v>1043</v>
      </c>
      <c r="V710" s="56" t="s">
        <v>3561</v>
      </c>
      <c r="W710" s="56" t="s">
        <v>3548</v>
      </c>
      <c r="X710" s="56" t="s">
        <v>3765</v>
      </c>
      <c r="Z710" s="56" t="s">
        <v>3546</v>
      </c>
      <c r="AA710" s="56" t="s">
        <v>5835</v>
      </c>
      <c r="AB710" s="56" t="s">
        <v>5834</v>
      </c>
      <c r="AC710" s="56" t="s">
        <v>3623</v>
      </c>
      <c r="AD710" s="56" t="s">
        <v>24</v>
      </c>
      <c r="AE710" s="56" t="s">
        <v>5833</v>
      </c>
      <c r="AF710" s="56" t="s">
        <v>5832</v>
      </c>
      <c r="AG710" s="56" t="s">
        <v>5831</v>
      </c>
      <c r="AH710" s="56" t="s">
        <v>3621</v>
      </c>
      <c r="AI710" s="56" t="s">
        <v>3723</v>
      </c>
    </row>
    <row r="711" spans="1:35" ht="33" customHeight="1">
      <c r="A711" s="56" t="s">
        <v>5838</v>
      </c>
      <c r="B711" s="57">
        <v>44360.980057870373</v>
      </c>
      <c r="C711" s="56" t="s">
        <v>3803</v>
      </c>
      <c r="D711" s="56" t="s">
        <v>4511</v>
      </c>
      <c r="E711" s="56" t="s">
        <v>5837</v>
      </c>
      <c r="F711" s="56" t="s">
        <v>5836</v>
      </c>
      <c r="G711" s="58" t="s">
        <v>2156</v>
      </c>
      <c r="H711" s="56">
        <v>1</v>
      </c>
      <c r="I711" s="56" t="s">
        <v>1376</v>
      </c>
      <c r="J711" s="56">
        <v>145</v>
      </c>
      <c r="K711" s="56">
        <v>145</v>
      </c>
      <c r="P711" s="56">
        <v>0</v>
      </c>
      <c r="S711" s="56">
        <v>0</v>
      </c>
      <c r="T711" s="56" t="s">
        <v>3562</v>
      </c>
      <c r="V711" s="56" t="s">
        <v>3561</v>
      </c>
      <c r="W711" s="56" t="s">
        <v>3548</v>
      </c>
      <c r="X711" s="56" t="s">
        <v>3765</v>
      </c>
      <c r="Z711" s="56" t="s">
        <v>3546</v>
      </c>
      <c r="AA711" s="56" t="s">
        <v>5835</v>
      </c>
      <c r="AB711" s="56" t="s">
        <v>5834</v>
      </c>
      <c r="AC711" s="56" t="s">
        <v>3623</v>
      </c>
      <c r="AD711" s="56" t="s">
        <v>24</v>
      </c>
      <c r="AE711" s="56" t="s">
        <v>5833</v>
      </c>
      <c r="AF711" s="56" t="s">
        <v>5832</v>
      </c>
      <c r="AG711" s="56" t="s">
        <v>5831</v>
      </c>
      <c r="AH711" s="56" t="s">
        <v>3621</v>
      </c>
      <c r="AI711" s="56" t="s">
        <v>3723</v>
      </c>
    </row>
    <row r="712" spans="1:35" ht="33" customHeight="1">
      <c r="A712" s="56" t="s">
        <v>5838</v>
      </c>
      <c r="B712" s="57">
        <v>44360.980057870373</v>
      </c>
      <c r="C712" s="56" t="s">
        <v>3803</v>
      </c>
      <c r="D712" s="56" t="s">
        <v>4511</v>
      </c>
      <c r="E712" s="56" t="s">
        <v>5837</v>
      </c>
      <c r="F712" s="56" t="s">
        <v>5836</v>
      </c>
      <c r="G712" s="58" t="s">
        <v>3603</v>
      </c>
      <c r="H712" s="56">
        <v>1</v>
      </c>
      <c r="I712" s="56" t="s">
        <v>3602</v>
      </c>
      <c r="J712" s="56">
        <v>447</v>
      </c>
      <c r="K712" s="56">
        <v>399</v>
      </c>
      <c r="P712" s="56">
        <v>0</v>
      </c>
      <c r="S712" s="56">
        <v>0</v>
      </c>
      <c r="T712" s="56" t="s">
        <v>3562</v>
      </c>
      <c r="V712" s="56" t="s">
        <v>3561</v>
      </c>
      <c r="W712" s="56" t="s">
        <v>3548</v>
      </c>
      <c r="X712" s="56" t="s">
        <v>3765</v>
      </c>
      <c r="Z712" s="56" t="s">
        <v>3546</v>
      </c>
      <c r="AA712" s="56" t="s">
        <v>5835</v>
      </c>
      <c r="AB712" s="56" t="s">
        <v>5834</v>
      </c>
      <c r="AC712" s="56" t="s">
        <v>3623</v>
      </c>
      <c r="AD712" s="56" t="s">
        <v>24</v>
      </c>
      <c r="AE712" s="56" t="s">
        <v>5833</v>
      </c>
      <c r="AF712" s="56" t="s">
        <v>5832</v>
      </c>
      <c r="AG712" s="56" t="s">
        <v>5831</v>
      </c>
      <c r="AH712" s="56" t="s">
        <v>3621</v>
      </c>
      <c r="AI712" s="56" t="s">
        <v>3723</v>
      </c>
    </row>
    <row r="713" spans="1:35" ht="33" customHeight="1">
      <c r="A713" s="56" t="s">
        <v>5838</v>
      </c>
      <c r="B713" s="57">
        <v>44360.980057870373</v>
      </c>
      <c r="C713" s="56" t="s">
        <v>3803</v>
      </c>
      <c r="D713" s="56" t="s">
        <v>4511</v>
      </c>
      <c r="E713" s="56" t="s">
        <v>5837</v>
      </c>
      <c r="F713" s="56" t="s">
        <v>5836</v>
      </c>
      <c r="G713" s="58" t="s">
        <v>3551</v>
      </c>
      <c r="H713" s="56">
        <v>1</v>
      </c>
      <c r="I713" s="56" t="s">
        <v>3550</v>
      </c>
      <c r="J713" s="56">
        <v>0</v>
      </c>
      <c r="K713" s="56">
        <v>0</v>
      </c>
      <c r="P713" s="56">
        <v>0</v>
      </c>
      <c r="S713" s="56">
        <v>0</v>
      </c>
      <c r="T713" s="56" t="s">
        <v>3562</v>
      </c>
      <c r="V713" s="56" t="s">
        <v>3561</v>
      </c>
      <c r="W713" s="56" t="s">
        <v>3548</v>
      </c>
      <c r="X713" s="56" t="s">
        <v>3765</v>
      </c>
      <c r="Z713" s="56" t="s">
        <v>3546</v>
      </c>
      <c r="AA713" s="56" t="s">
        <v>5835</v>
      </c>
      <c r="AB713" s="56" t="s">
        <v>5834</v>
      </c>
      <c r="AC713" s="56" t="s">
        <v>3623</v>
      </c>
      <c r="AD713" s="56" t="s">
        <v>24</v>
      </c>
      <c r="AE713" s="56" t="s">
        <v>5833</v>
      </c>
      <c r="AF713" s="56" t="s">
        <v>5832</v>
      </c>
      <c r="AG713" s="56" t="s">
        <v>5831</v>
      </c>
      <c r="AH713" s="56" t="s">
        <v>3621</v>
      </c>
      <c r="AI713" s="56" t="s">
        <v>3723</v>
      </c>
    </row>
    <row r="714" spans="1:35" ht="33" customHeight="1">
      <c r="A714" s="56" t="s">
        <v>5838</v>
      </c>
      <c r="B714" s="57">
        <v>44360.980057870373</v>
      </c>
      <c r="C714" s="56" t="s">
        <v>3803</v>
      </c>
      <c r="D714" s="56" t="s">
        <v>4511</v>
      </c>
      <c r="E714" s="56" t="s">
        <v>5837</v>
      </c>
      <c r="F714" s="56" t="s">
        <v>5836</v>
      </c>
      <c r="G714" s="58" t="s">
        <v>1498</v>
      </c>
      <c r="H714" s="56">
        <v>1</v>
      </c>
      <c r="I714" s="56" t="s">
        <v>4016</v>
      </c>
      <c r="J714" s="56">
        <v>0</v>
      </c>
      <c r="K714" s="56">
        <v>0</v>
      </c>
      <c r="P714" s="56">
        <v>0</v>
      </c>
      <c r="S714" s="56">
        <v>0</v>
      </c>
      <c r="T714" s="56" t="s">
        <v>3562</v>
      </c>
      <c r="V714" s="56" t="s">
        <v>3561</v>
      </c>
      <c r="W714" s="56" t="s">
        <v>3548</v>
      </c>
      <c r="X714" s="56" t="s">
        <v>3765</v>
      </c>
      <c r="Z714" s="56" t="s">
        <v>3546</v>
      </c>
      <c r="AA714" s="56" t="s">
        <v>5835</v>
      </c>
      <c r="AB714" s="56" t="s">
        <v>5834</v>
      </c>
      <c r="AC714" s="56" t="s">
        <v>3623</v>
      </c>
      <c r="AD714" s="56" t="s">
        <v>24</v>
      </c>
      <c r="AE714" s="56" t="s">
        <v>5833</v>
      </c>
      <c r="AF714" s="56" t="s">
        <v>5832</v>
      </c>
      <c r="AG714" s="56" t="s">
        <v>5831</v>
      </c>
      <c r="AH714" s="56" t="s">
        <v>3621</v>
      </c>
      <c r="AI714" s="56" t="s">
        <v>3723</v>
      </c>
    </row>
    <row r="715" spans="1:35" ht="33" customHeight="1">
      <c r="A715" s="56" t="s">
        <v>5830</v>
      </c>
      <c r="B715" s="57">
        <v>44360.986435185187</v>
      </c>
      <c r="C715" s="56" t="s">
        <v>4512</v>
      </c>
      <c r="D715" s="56" t="s">
        <v>4511</v>
      </c>
      <c r="E715" s="56" t="s">
        <v>5829</v>
      </c>
      <c r="F715" s="56" t="s">
        <v>5828</v>
      </c>
      <c r="G715" s="58" t="s">
        <v>5365</v>
      </c>
      <c r="H715" s="56">
        <v>1</v>
      </c>
      <c r="I715" s="56" t="s">
        <v>3669</v>
      </c>
      <c r="J715" s="56">
        <v>897</v>
      </c>
      <c r="K715" s="56">
        <v>888</v>
      </c>
      <c r="L715" s="56">
        <v>1187</v>
      </c>
      <c r="M715" s="56">
        <v>0</v>
      </c>
      <c r="N715" s="56">
        <v>0</v>
      </c>
      <c r="O715" s="56">
        <v>119</v>
      </c>
      <c r="P715" s="56">
        <v>0</v>
      </c>
      <c r="Q715" s="56">
        <v>1068</v>
      </c>
      <c r="R715" s="56">
        <v>0</v>
      </c>
      <c r="S715" s="56">
        <v>0</v>
      </c>
      <c r="T715" s="56" t="s">
        <v>3562</v>
      </c>
      <c r="U715" s="56">
        <v>1068</v>
      </c>
      <c r="V715" s="56" t="s">
        <v>3549</v>
      </c>
      <c r="W715" s="56" t="s">
        <v>3548</v>
      </c>
      <c r="X715" s="56" t="s">
        <v>3547</v>
      </c>
      <c r="Z715" s="56" t="s">
        <v>3546</v>
      </c>
      <c r="AA715" s="56" t="s">
        <v>1101</v>
      </c>
      <c r="AB715" s="56" t="s">
        <v>5827</v>
      </c>
      <c r="AC715" s="56" t="s">
        <v>3543</v>
      </c>
      <c r="AD715" s="56" t="s">
        <v>24</v>
      </c>
      <c r="AE715" s="56" t="s">
        <v>4145</v>
      </c>
      <c r="AF715" s="56" t="s">
        <v>5826</v>
      </c>
      <c r="AH715" s="56" t="s">
        <v>3542</v>
      </c>
      <c r="AI715" s="56" t="s">
        <v>3723</v>
      </c>
    </row>
    <row r="716" spans="1:35" ht="33" customHeight="1">
      <c r="A716" s="56" t="s">
        <v>5830</v>
      </c>
      <c r="B716" s="57">
        <v>44360.986435185187</v>
      </c>
      <c r="C716" s="56" t="s">
        <v>4512</v>
      </c>
      <c r="D716" s="56" t="s">
        <v>4511</v>
      </c>
      <c r="E716" s="56" t="s">
        <v>5829</v>
      </c>
      <c r="F716" s="56" t="s">
        <v>5828</v>
      </c>
      <c r="G716" s="58" t="s">
        <v>1508</v>
      </c>
      <c r="H716" s="56">
        <v>1</v>
      </c>
      <c r="I716" s="56" t="s">
        <v>3696</v>
      </c>
      <c r="J716" s="56">
        <v>299</v>
      </c>
      <c r="K716" s="56">
        <v>299</v>
      </c>
      <c r="P716" s="56">
        <v>0</v>
      </c>
      <c r="S716" s="56">
        <v>0</v>
      </c>
      <c r="T716" s="56" t="s">
        <v>3562</v>
      </c>
      <c r="V716" s="56" t="s">
        <v>3549</v>
      </c>
      <c r="W716" s="56" t="s">
        <v>3548</v>
      </c>
      <c r="X716" s="56" t="s">
        <v>3547</v>
      </c>
      <c r="Z716" s="56" t="s">
        <v>3546</v>
      </c>
      <c r="AA716" s="56" t="s">
        <v>1101</v>
      </c>
      <c r="AB716" s="56" t="s">
        <v>5827</v>
      </c>
      <c r="AC716" s="56" t="s">
        <v>3543</v>
      </c>
      <c r="AD716" s="56" t="s">
        <v>24</v>
      </c>
      <c r="AE716" s="56" t="s">
        <v>4145</v>
      </c>
      <c r="AF716" s="56" t="s">
        <v>5826</v>
      </c>
      <c r="AH716" s="56" t="s">
        <v>3542</v>
      </c>
      <c r="AI716" s="56" t="s">
        <v>3723</v>
      </c>
    </row>
    <row r="717" spans="1:35" ht="33" customHeight="1">
      <c r="A717" s="56" t="s">
        <v>5830</v>
      </c>
      <c r="B717" s="57">
        <v>44360.986435185187</v>
      </c>
      <c r="C717" s="56" t="s">
        <v>4512</v>
      </c>
      <c r="D717" s="56" t="s">
        <v>4511</v>
      </c>
      <c r="E717" s="56" t="s">
        <v>5829</v>
      </c>
      <c r="F717" s="56" t="s">
        <v>5828</v>
      </c>
      <c r="G717" s="58" t="s">
        <v>3551</v>
      </c>
      <c r="H717" s="56">
        <v>1</v>
      </c>
      <c r="I717" s="56" t="s">
        <v>3550</v>
      </c>
      <c r="J717" s="56">
        <v>0</v>
      </c>
      <c r="K717" s="56">
        <v>0</v>
      </c>
      <c r="P717" s="56">
        <v>0</v>
      </c>
      <c r="S717" s="56">
        <v>0</v>
      </c>
      <c r="T717" s="56" t="s">
        <v>3562</v>
      </c>
      <c r="V717" s="56" t="s">
        <v>3549</v>
      </c>
      <c r="W717" s="56" t="s">
        <v>3548</v>
      </c>
      <c r="X717" s="56" t="s">
        <v>3547</v>
      </c>
      <c r="Z717" s="56" t="s">
        <v>3546</v>
      </c>
      <c r="AA717" s="56" t="s">
        <v>1101</v>
      </c>
      <c r="AB717" s="56" t="s">
        <v>5827</v>
      </c>
      <c r="AC717" s="56" t="s">
        <v>3543</v>
      </c>
      <c r="AD717" s="56" t="s">
        <v>24</v>
      </c>
      <c r="AE717" s="56" t="s">
        <v>4145</v>
      </c>
      <c r="AF717" s="56" t="s">
        <v>5826</v>
      </c>
      <c r="AH717" s="56" t="s">
        <v>3542</v>
      </c>
      <c r="AI717" s="56" t="s">
        <v>3723</v>
      </c>
    </row>
    <row r="718" spans="1:35" ht="33" customHeight="1">
      <c r="A718" s="56" t="s">
        <v>5830</v>
      </c>
      <c r="B718" s="57">
        <v>44360.986435185187</v>
      </c>
      <c r="C718" s="56" t="s">
        <v>4512</v>
      </c>
      <c r="D718" s="56" t="s">
        <v>4511</v>
      </c>
      <c r="E718" s="56" t="s">
        <v>5829</v>
      </c>
      <c r="F718" s="56" t="s">
        <v>5828</v>
      </c>
      <c r="G718" s="58" t="s">
        <v>1498</v>
      </c>
      <c r="H718" s="56">
        <v>1</v>
      </c>
      <c r="I718" s="56" t="s">
        <v>4016</v>
      </c>
      <c r="J718" s="56">
        <v>0</v>
      </c>
      <c r="K718" s="56">
        <v>0</v>
      </c>
      <c r="P718" s="56">
        <v>0</v>
      </c>
      <c r="S718" s="56">
        <v>0</v>
      </c>
      <c r="T718" s="56" t="s">
        <v>3562</v>
      </c>
      <c r="V718" s="56" t="s">
        <v>3549</v>
      </c>
      <c r="W718" s="56" t="s">
        <v>3548</v>
      </c>
      <c r="X718" s="56" t="s">
        <v>3547</v>
      </c>
      <c r="Z718" s="56" t="s">
        <v>3546</v>
      </c>
      <c r="AA718" s="56" t="s">
        <v>1101</v>
      </c>
      <c r="AB718" s="56" t="s">
        <v>5827</v>
      </c>
      <c r="AC718" s="56" t="s">
        <v>3543</v>
      </c>
      <c r="AD718" s="56" t="s">
        <v>24</v>
      </c>
      <c r="AE718" s="56" t="s">
        <v>4145</v>
      </c>
      <c r="AF718" s="56" t="s">
        <v>5826</v>
      </c>
      <c r="AH718" s="56" t="s">
        <v>3542</v>
      </c>
      <c r="AI718" s="56" t="s">
        <v>3723</v>
      </c>
    </row>
    <row r="719" spans="1:35" ht="33" customHeight="1">
      <c r="A719" s="56" t="s">
        <v>5825</v>
      </c>
      <c r="B719" s="57">
        <v>44360.998472222222</v>
      </c>
      <c r="C719" s="56" t="s">
        <v>4512</v>
      </c>
      <c r="D719" s="56" t="s">
        <v>4511</v>
      </c>
      <c r="E719" s="56" t="s">
        <v>5824</v>
      </c>
      <c r="F719" s="56" t="s">
        <v>5823</v>
      </c>
      <c r="G719" s="58" t="s">
        <v>3811</v>
      </c>
      <c r="H719" s="56">
        <v>2</v>
      </c>
      <c r="I719" s="56" t="s">
        <v>3669</v>
      </c>
      <c r="J719" s="56">
        <v>897</v>
      </c>
      <c r="K719" s="56">
        <v>888</v>
      </c>
      <c r="L719" s="56">
        <v>1894</v>
      </c>
      <c r="M719" s="56">
        <v>0</v>
      </c>
      <c r="N719" s="56">
        <v>0</v>
      </c>
      <c r="O719" s="56">
        <v>190</v>
      </c>
      <c r="P719" s="56">
        <v>0</v>
      </c>
      <c r="Q719" s="56">
        <v>1704</v>
      </c>
      <c r="R719" s="56">
        <v>0</v>
      </c>
      <c r="S719" s="56">
        <v>0</v>
      </c>
      <c r="T719" s="56" t="s">
        <v>3562</v>
      </c>
      <c r="U719" s="56">
        <v>1704</v>
      </c>
      <c r="V719" s="56" t="s">
        <v>3612</v>
      </c>
      <c r="W719" s="56" t="s">
        <v>3548</v>
      </c>
      <c r="X719" s="56" t="s">
        <v>3611</v>
      </c>
      <c r="Z719" s="56" t="s">
        <v>3546</v>
      </c>
      <c r="AA719" s="56" t="s">
        <v>5822</v>
      </c>
      <c r="AB719" s="56" t="s">
        <v>5821</v>
      </c>
      <c r="AC719" s="56" t="s">
        <v>3543</v>
      </c>
      <c r="AD719" s="56" t="s">
        <v>24</v>
      </c>
      <c r="AE719" s="56" t="s">
        <v>4834</v>
      </c>
      <c r="AF719" s="56" t="s">
        <v>5820</v>
      </c>
      <c r="AH719" s="56" t="s">
        <v>3542</v>
      </c>
      <c r="AI719" s="56" t="s">
        <v>3723</v>
      </c>
    </row>
    <row r="720" spans="1:35" ht="33" customHeight="1">
      <c r="A720" s="56" t="s">
        <v>5825</v>
      </c>
      <c r="B720" s="57">
        <v>44360.998472222222</v>
      </c>
      <c r="C720" s="56" t="s">
        <v>4512</v>
      </c>
      <c r="D720" s="56" t="s">
        <v>4511</v>
      </c>
      <c r="E720" s="56" t="s">
        <v>5824</v>
      </c>
      <c r="F720" s="56" t="s">
        <v>5823</v>
      </c>
      <c r="G720" s="58" t="s">
        <v>3222</v>
      </c>
      <c r="H720" s="56">
        <v>1</v>
      </c>
      <c r="I720" s="56" t="s">
        <v>3712</v>
      </c>
      <c r="J720" s="56">
        <v>59</v>
      </c>
      <c r="K720" s="56">
        <v>59</v>
      </c>
      <c r="P720" s="56">
        <v>0</v>
      </c>
      <c r="S720" s="56">
        <v>0</v>
      </c>
      <c r="T720" s="56" t="s">
        <v>3562</v>
      </c>
      <c r="V720" s="56" t="s">
        <v>3612</v>
      </c>
      <c r="W720" s="56" t="s">
        <v>3548</v>
      </c>
      <c r="X720" s="56" t="s">
        <v>3611</v>
      </c>
      <c r="Z720" s="56" t="s">
        <v>3546</v>
      </c>
      <c r="AA720" s="56" t="s">
        <v>5822</v>
      </c>
      <c r="AB720" s="56" t="s">
        <v>5821</v>
      </c>
      <c r="AC720" s="56" t="s">
        <v>3543</v>
      </c>
      <c r="AD720" s="56" t="s">
        <v>24</v>
      </c>
      <c r="AE720" s="56" t="s">
        <v>4834</v>
      </c>
      <c r="AF720" s="56" t="s">
        <v>5820</v>
      </c>
      <c r="AH720" s="56" t="s">
        <v>3542</v>
      </c>
      <c r="AI720" s="56" t="s">
        <v>3723</v>
      </c>
    </row>
    <row r="721" spans="1:35" ht="33" customHeight="1">
      <c r="A721" s="56" t="s">
        <v>5825</v>
      </c>
      <c r="B721" s="57">
        <v>44360.998472222222</v>
      </c>
      <c r="C721" s="56" t="s">
        <v>4512</v>
      </c>
      <c r="D721" s="56" t="s">
        <v>4511</v>
      </c>
      <c r="E721" s="56" t="s">
        <v>5824</v>
      </c>
      <c r="F721" s="56" t="s">
        <v>5823</v>
      </c>
      <c r="G721" s="58" t="s">
        <v>3217</v>
      </c>
      <c r="H721" s="56">
        <v>1</v>
      </c>
      <c r="I721" s="56" t="s">
        <v>3720</v>
      </c>
      <c r="J721" s="56">
        <v>59</v>
      </c>
      <c r="K721" s="56">
        <v>59</v>
      </c>
      <c r="P721" s="56">
        <v>0</v>
      </c>
      <c r="S721" s="56">
        <v>0</v>
      </c>
      <c r="T721" s="56" t="s">
        <v>3562</v>
      </c>
      <c r="V721" s="56" t="s">
        <v>3612</v>
      </c>
      <c r="W721" s="56" t="s">
        <v>3548</v>
      </c>
      <c r="X721" s="56" t="s">
        <v>3611</v>
      </c>
      <c r="Z721" s="56" t="s">
        <v>3546</v>
      </c>
      <c r="AA721" s="56" t="s">
        <v>5822</v>
      </c>
      <c r="AB721" s="56" t="s">
        <v>5821</v>
      </c>
      <c r="AC721" s="56" t="s">
        <v>3543</v>
      </c>
      <c r="AD721" s="56" t="s">
        <v>24</v>
      </c>
      <c r="AE721" s="56" t="s">
        <v>4834</v>
      </c>
      <c r="AF721" s="56" t="s">
        <v>5820</v>
      </c>
      <c r="AH721" s="56" t="s">
        <v>3542</v>
      </c>
      <c r="AI721" s="56" t="s">
        <v>3723</v>
      </c>
    </row>
    <row r="722" spans="1:35" ht="33" customHeight="1">
      <c r="A722" s="56" t="s">
        <v>5825</v>
      </c>
      <c r="B722" s="57">
        <v>44360.998472222222</v>
      </c>
      <c r="C722" s="56" t="s">
        <v>4512</v>
      </c>
      <c r="D722" s="56" t="s">
        <v>4511</v>
      </c>
      <c r="E722" s="56" t="s">
        <v>5824</v>
      </c>
      <c r="F722" s="56" t="s">
        <v>5823</v>
      </c>
      <c r="G722" s="58" t="s">
        <v>3551</v>
      </c>
      <c r="H722" s="56">
        <v>1</v>
      </c>
      <c r="I722" s="56" t="s">
        <v>3550</v>
      </c>
      <c r="J722" s="56">
        <v>0</v>
      </c>
      <c r="K722" s="56">
        <v>0</v>
      </c>
      <c r="P722" s="56">
        <v>0</v>
      </c>
      <c r="S722" s="56">
        <v>0</v>
      </c>
      <c r="T722" s="56" t="s">
        <v>3562</v>
      </c>
      <c r="V722" s="56" t="s">
        <v>3612</v>
      </c>
      <c r="W722" s="56" t="s">
        <v>3548</v>
      </c>
      <c r="X722" s="56" t="s">
        <v>3611</v>
      </c>
      <c r="Z722" s="56" t="s">
        <v>3546</v>
      </c>
      <c r="AA722" s="56" t="s">
        <v>5822</v>
      </c>
      <c r="AB722" s="56" t="s">
        <v>5821</v>
      </c>
      <c r="AC722" s="56" t="s">
        <v>3543</v>
      </c>
      <c r="AD722" s="56" t="s">
        <v>24</v>
      </c>
      <c r="AE722" s="56" t="s">
        <v>4834</v>
      </c>
      <c r="AF722" s="56" t="s">
        <v>5820</v>
      </c>
      <c r="AH722" s="56" t="s">
        <v>3542</v>
      </c>
      <c r="AI722" s="56" t="s">
        <v>3723</v>
      </c>
    </row>
    <row r="723" spans="1:35" ht="33" customHeight="1">
      <c r="A723" s="56" t="s">
        <v>5825</v>
      </c>
      <c r="B723" s="57">
        <v>44360.998472222222</v>
      </c>
      <c r="C723" s="56" t="s">
        <v>4512</v>
      </c>
      <c r="D723" s="56" t="s">
        <v>4511</v>
      </c>
      <c r="E723" s="56" t="s">
        <v>5824</v>
      </c>
      <c r="F723" s="56" t="s">
        <v>5823</v>
      </c>
      <c r="G723" s="58" t="s">
        <v>1713</v>
      </c>
      <c r="H723" s="56">
        <v>1</v>
      </c>
      <c r="I723" s="56" t="s">
        <v>3568</v>
      </c>
      <c r="J723" s="56">
        <v>0</v>
      </c>
      <c r="K723" s="56">
        <v>0</v>
      </c>
      <c r="P723" s="56">
        <v>0</v>
      </c>
      <c r="S723" s="56">
        <v>0</v>
      </c>
      <c r="T723" s="56" t="s">
        <v>3562</v>
      </c>
      <c r="V723" s="56" t="s">
        <v>3612</v>
      </c>
      <c r="W723" s="56" t="s">
        <v>3548</v>
      </c>
      <c r="X723" s="56" t="s">
        <v>3611</v>
      </c>
      <c r="Z723" s="56" t="s">
        <v>3546</v>
      </c>
      <c r="AA723" s="56" t="s">
        <v>5822</v>
      </c>
      <c r="AB723" s="56" t="s">
        <v>5821</v>
      </c>
      <c r="AC723" s="56" t="s">
        <v>3543</v>
      </c>
      <c r="AD723" s="56" t="s">
        <v>24</v>
      </c>
      <c r="AE723" s="56" t="s">
        <v>4834</v>
      </c>
      <c r="AF723" s="56" t="s">
        <v>5820</v>
      </c>
      <c r="AH723" s="56" t="s">
        <v>3542</v>
      </c>
      <c r="AI723" s="56" t="s">
        <v>3723</v>
      </c>
    </row>
    <row r="724" spans="1:35" ht="33" customHeight="1">
      <c r="A724" s="56" t="s">
        <v>5825</v>
      </c>
      <c r="B724" s="57">
        <v>44360.998472222222</v>
      </c>
      <c r="C724" s="56" t="s">
        <v>4512</v>
      </c>
      <c r="D724" s="56" t="s">
        <v>4511</v>
      </c>
      <c r="E724" s="56" t="s">
        <v>5824</v>
      </c>
      <c r="F724" s="56" t="s">
        <v>5823</v>
      </c>
      <c r="G724" s="58" t="s">
        <v>1498</v>
      </c>
      <c r="H724" s="56">
        <v>1</v>
      </c>
      <c r="I724" s="56" t="s">
        <v>4016</v>
      </c>
      <c r="J724" s="56">
        <v>0</v>
      </c>
      <c r="K724" s="56">
        <v>0</v>
      </c>
      <c r="P724" s="56">
        <v>0</v>
      </c>
      <c r="S724" s="56">
        <v>0</v>
      </c>
      <c r="T724" s="56" t="s">
        <v>3562</v>
      </c>
      <c r="V724" s="56" t="s">
        <v>3612</v>
      </c>
      <c r="W724" s="56" t="s">
        <v>3548</v>
      </c>
      <c r="X724" s="56" t="s">
        <v>3611</v>
      </c>
      <c r="Z724" s="56" t="s">
        <v>3546</v>
      </c>
      <c r="AA724" s="56" t="s">
        <v>5822</v>
      </c>
      <c r="AB724" s="56" t="s">
        <v>5821</v>
      </c>
      <c r="AC724" s="56" t="s">
        <v>3543</v>
      </c>
      <c r="AD724" s="56" t="s">
        <v>24</v>
      </c>
      <c r="AE724" s="56" t="s">
        <v>4834</v>
      </c>
      <c r="AF724" s="56" t="s">
        <v>5820</v>
      </c>
      <c r="AH724" s="56" t="s">
        <v>3542</v>
      </c>
      <c r="AI724" s="56" t="s">
        <v>3723</v>
      </c>
    </row>
    <row r="725" spans="1:35" ht="33" customHeight="1">
      <c r="A725" s="56" t="s">
        <v>5819</v>
      </c>
      <c r="B725" s="57">
        <v>44361.009016203701</v>
      </c>
      <c r="C725" s="56" t="s">
        <v>3803</v>
      </c>
      <c r="D725" s="56" t="s">
        <v>3802</v>
      </c>
      <c r="E725" s="56" t="s">
        <v>5818</v>
      </c>
      <c r="F725" s="56" t="s">
        <v>5817</v>
      </c>
      <c r="G725" s="58" t="s">
        <v>3811</v>
      </c>
      <c r="H725" s="56">
        <v>1</v>
      </c>
      <c r="I725" s="56" t="s">
        <v>3669</v>
      </c>
      <c r="J725" s="56">
        <v>897</v>
      </c>
      <c r="K725" s="56">
        <v>888</v>
      </c>
      <c r="L725" s="56">
        <v>1487</v>
      </c>
      <c r="M725" s="56">
        <v>0</v>
      </c>
      <c r="N725" s="56">
        <v>0</v>
      </c>
      <c r="O725" s="56">
        <v>100</v>
      </c>
      <c r="P725" s="56">
        <v>0</v>
      </c>
      <c r="Q725" s="56">
        <v>1387</v>
      </c>
      <c r="R725" s="56">
        <v>0</v>
      </c>
      <c r="S725" s="56">
        <v>0</v>
      </c>
      <c r="T725" s="56" t="s">
        <v>3562</v>
      </c>
      <c r="U725" s="56">
        <v>1387</v>
      </c>
      <c r="V725" s="56" t="s">
        <v>59</v>
      </c>
      <c r="W725" s="56" t="s">
        <v>3548</v>
      </c>
      <c r="X725" s="56" t="s">
        <v>39</v>
      </c>
      <c r="Y725" s="56" t="s">
        <v>3787</v>
      </c>
      <c r="Z725" s="56" t="s">
        <v>5816</v>
      </c>
      <c r="AC725" s="56" t="s">
        <v>3543</v>
      </c>
      <c r="AD725" s="56" t="s">
        <v>24</v>
      </c>
      <c r="AE725" s="56" t="s">
        <v>5673</v>
      </c>
      <c r="AF725" s="56" t="s">
        <v>5815</v>
      </c>
      <c r="AH725" s="56" t="s">
        <v>3542</v>
      </c>
      <c r="AI725" s="56" t="s">
        <v>3723</v>
      </c>
    </row>
    <row r="726" spans="1:35" ht="33" customHeight="1">
      <c r="A726" s="56" t="s">
        <v>5819</v>
      </c>
      <c r="B726" s="57">
        <v>44361.009016203701</v>
      </c>
      <c r="C726" s="56" t="s">
        <v>3803</v>
      </c>
      <c r="D726" s="56" t="s">
        <v>3802</v>
      </c>
      <c r="E726" s="56" t="s">
        <v>5818</v>
      </c>
      <c r="F726" s="56" t="s">
        <v>5817</v>
      </c>
      <c r="G726" s="58" t="s">
        <v>3593</v>
      </c>
      <c r="H726" s="56">
        <v>1</v>
      </c>
      <c r="I726" s="56" t="s">
        <v>3577</v>
      </c>
      <c r="J726" s="56">
        <v>700</v>
      </c>
      <c r="K726" s="56">
        <v>599</v>
      </c>
      <c r="P726" s="56">
        <v>0</v>
      </c>
      <c r="S726" s="56">
        <v>0</v>
      </c>
      <c r="T726" s="56" t="s">
        <v>3562</v>
      </c>
      <c r="V726" s="56" t="s">
        <v>59</v>
      </c>
      <c r="W726" s="56" t="s">
        <v>3548</v>
      </c>
      <c r="X726" s="56" t="s">
        <v>39</v>
      </c>
      <c r="Y726" s="56" t="s">
        <v>3787</v>
      </c>
      <c r="Z726" s="56" t="s">
        <v>5816</v>
      </c>
      <c r="AC726" s="56" t="s">
        <v>3543</v>
      </c>
      <c r="AD726" s="56" t="s">
        <v>24</v>
      </c>
      <c r="AE726" s="56" t="s">
        <v>5673</v>
      </c>
      <c r="AF726" s="56" t="s">
        <v>5815</v>
      </c>
      <c r="AH726" s="56" t="s">
        <v>3542</v>
      </c>
      <c r="AI726" s="56" t="s">
        <v>3723</v>
      </c>
    </row>
    <row r="727" spans="1:35" ht="33" customHeight="1">
      <c r="A727" s="56" t="s">
        <v>5819</v>
      </c>
      <c r="B727" s="57">
        <v>44361.009016203701</v>
      </c>
      <c r="C727" s="56" t="s">
        <v>3803</v>
      </c>
      <c r="D727" s="56" t="s">
        <v>3802</v>
      </c>
      <c r="E727" s="56" t="s">
        <v>5818</v>
      </c>
      <c r="F727" s="56" t="s">
        <v>5817</v>
      </c>
      <c r="G727" s="58" t="s">
        <v>3551</v>
      </c>
      <c r="H727" s="56">
        <v>1</v>
      </c>
      <c r="I727" s="56" t="s">
        <v>3550</v>
      </c>
      <c r="J727" s="56">
        <v>0</v>
      </c>
      <c r="K727" s="56">
        <v>0</v>
      </c>
      <c r="P727" s="56">
        <v>0</v>
      </c>
      <c r="S727" s="56">
        <v>0</v>
      </c>
      <c r="T727" s="56" t="s">
        <v>3562</v>
      </c>
      <c r="V727" s="56" t="s">
        <v>59</v>
      </c>
      <c r="W727" s="56" t="s">
        <v>3548</v>
      </c>
      <c r="X727" s="56" t="s">
        <v>39</v>
      </c>
      <c r="Y727" s="56" t="s">
        <v>3787</v>
      </c>
      <c r="Z727" s="56" t="s">
        <v>5816</v>
      </c>
      <c r="AC727" s="56" t="s">
        <v>3543</v>
      </c>
      <c r="AD727" s="56" t="s">
        <v>24</v>
      </c>
      <c r="AE727" s="56" t="s">
        <v>5673</v>
      </c>
      <c r="AF727" s="56" t="s">
        <v>5815</v>
      </c>
      <c r="AH727" s="56" t="s">
        <v>3542</v>
      </c>
      <c r="AI727" s="56" t="s">
        <v>3723</v>
      </c>
    </row>
    <row r="728" spans="1:35" ht="33" customHeight="1">
      <c r="A728" s="56" t="s">
        <v>5819</v>
      </c>
      <c r="B728" s="57">
        <v>44361.009016203701</v>
      </c>
      <c r="C728" s="56" t="s">
        <v>3803</v>
      </c>
      <c r="D728" s="56" t="s">
        <v>3802</v>
      </c>
      <c r="E728" s="56" t="s">
        <v>5818</v>
      </c>
      <c r="F728" s="56" t="s">
        <v>5817</v>
      </c>
      <c r="G728" s="58" t="s">
        <v>1498</v>
      </c>
      <c r="H728" s="56">
        <v>1</v>
      </c>
      <c r="I728" s="56" t="s">
        <v>4016</v>
      </c>
      <c r="J728" s="56">
        <v>0</v>
      </c>
      <c r="K728" s="56">
        <v>0</v>
      </c>
      <c r="P728" s="56">
        <v>0</v>
      </c>
      <c r="S728" s="56">
        <v>0</v>
      </c>
      <c r="T728" s="56" t="s">
        <v>3562</v>
      </c>
      <c r="V728" s="56" t="s">
        <v>59</v>
      </c>
      <c r="W728" s="56" t="s">
        <v>3548</v>
      </c>
      <c r="X728" s="56" t="s">
        <v>39</v>
      </c>
      <c r="Y728" s="56" t="s">
        <v>3787</v>
      </c>
      <c r="Z728" s="56" t="s">
        <v>5816</v>
      </c>
      <c r="AC728" s="56" t="s">
        <v>3543</v>
      </c>
      <c r="AD728" s="56" t="s">
        <v>24</v>
      </c>
      <c r="AE728" s="56" t="s">
        <v>5673</v>
      </c>
      <c r="AF728" s="56" t="s">
        <v>5815</v>
      </c>
      <c r="AH728" s="56" t="s">
        <v>3542</v>
      </c>
      <c r="AI728" s="56" t="s">
        <v>3723</v>
      </c>
    </row>
    <row r="729" spans="1:35" ht="33" customHeight="1">
      <c r="A729" s="56" t="s">
        <v>5814</v>
      </c>
      <c r="B729" s="57">
        <v>44361.073472222219</v>
      </c>
      <c r="C729" s="56" t="s">
        <v>4512</v>
      </c>
      <c r="D729" s="56" t="s">
        <v>4511</v>
      </c>
      <c r="E729" s="56" t="s">
        <v>5813</v>
      </c>
      <c r="F729" s="56" t="s">
        <v>5812</v>
      </c>
      <c r="G729" s="58" t="s">
        <v>3656</v>
      </c>
      <c r="H729" s="56">
        <v>1</v>
      </c>
      <c r="I729" s="56" t="s">
        <v>3655</v>
      </c>
      <c r="J729" s="56">
        <v>1107</v>
      </c>
      <c r="K729" s="56">
        <v>799</v>
      </c>
      <c r="L729" s="56">
        <v>1249</v>
      </c>
      <c r="M729" s="56">
        <v>0</v>
      </c>
      <c r="N729" s="56">
        <v>0</v>
      </c>
      <c r="O729" s="56">
        <v>125</v>
      </c>
      <c r="P729" s="56">
        <v>0</v>
      </c>
      <c r="Q729" s="56">
        <v>1124</v>
      </c>
      <c r="R729" s="56">
        <v>0</v>
      </c>
      <c r="S729" s="56">
        <v>0</v>
      </c>
      <c r="T729" s="56" t="s">
        <v>3562</v>
      </c>
      <c r="U729" s="56">
        <v>1124</v>
      </c>
      <c r="V729" s="56" t="s">
        <v>3549</v>
      </c>
      <c r="W729" s="56" t="s">
        <v>3548</v>
      </c>
      <c r="X729" s="56" t="s">
        <v>3547</v>
      </c>
      <c r="Z729" s="56" t="s">
        <v>3546</v>
      </c>
      <c r="AA729" s="56" t="s">
        <v>5811</v>
      </c>
      <c r="AB729" s="56" t="s">
        <v>5810</v>
      </c>
      <c r="AC729" s="56" t="s">
        <v>3543</v>
      </c>
      <c r="AD729" s="56" t="s">
        <v>24</v>
      </c>
      <c r="AE729" s="56" t="s">
        <v>4530</v>
      </c>
      <c r="AF729" s="56" t="s">
        <v>5809</v>
      </c>
      <c r="AH729" s="56" t="s">
        <v>3542</v>
      </c>
      <c r="AI729" s="56" t="s">
        <v>3723</v>
      </c>
    </row>
    <row r="730" spans="1:35" ht="33" customHeight="1">
      <c r="A730" s="56" t="s">
        <v>5814</v>
      </c>
      <c r="B730" s="57">
        <v>44361.073472222219</v>
      </c>
      <c r="C730" s="56" t="s">
        <v>4512</v>
      </c>
      <c r="D730" s="56" t="s">
        <v>4511</v>
      </c>
      <c r="E730" s="56" t="s">
        <v>5813</v>
      </c>
      <c r="F730" s="56" t="s">
        <v>5812</v>
      </c>
      <c r="G730" s="58" t="s">
        <v>4654</v>
      </c>
      <c r="H730" s="56">
        <v>1</v>
      </c>
      <c r="I730" s="56" t="s">
        <v>3746</v>
      </c>
      <c r="J730" s="56">
        <v>660</v>
      </c>
      <c r="K730" s="56">
        <v>450</v>
      </c>
      <c r="P730" s="56">
        <v>0</v>
      </c>
      <c r="S730" s="56">
        <v>0</v>
      </c>
      <c r="T730" s="56" t="s">
        <v>3562</v>
      </c>
      <c r="V730" s="56" t="s">
        <v>3549</v>
      </c>
      <c r="W730" s="56" t="s">
        <v>3548</v>
      </c>
      <c r="X730" s="56" t="s">
        <v>3547</v>
      </c>
      <c r="Z730" s="56" t="s">
        <v>3546</v>
      </c>
      <c r="AA730" s="56" t="s">
        <v>5811</v>
      </c>
      <c r="AB730" s="56" t="s">
        <v>5810</v>
      </c>
      <c r="AC730" s="56" t="s">
        <v>3543</v>
      </c>
      <c r="AD730" s="56" t="s">
        <v>24</v>
      </c>
      <c r="AE730" s="56" t="s">
        <v>4530</v>
      </c>
      <c r="AF730" s="56" t="s">
        <v>5809</v>
      </c>
      <c r="AH730" s="56" t="s">
        <v>3542</v>
      </c>
      <c r="AI730" s="56" t="s">
        <v>3723</v>
      </c>
    </row>
    <row r="731" spans="1:35" ht="33" customHeight="1">
      <c r="A731" s="56" t="s">
        <v>5814</v>
      </c>
      <c r="B731" s="57">
        <v>44361.073472222219</v>
      </c>
      <c r="C731" s="56" t="s">
        <v>4512</v>
      </c>
      <c r="D731" s="56" t="s">
        <v>4511</v>
      </c>
      <c r="E731" s="56" t="s">
        <v>5813</v>
      </c>
      <c r="F731" s="56" t="s">
        <v>5812</v>
      </c>
      <c r="G731" s="58" t="s">
        <v>3551</v>
      </c>
      <c r="H731" s="56">
        <v>1</v>
      </c>
      <c r="I731" s="56" t="s">
        <v>3550</v>
      </c>
      <c r="J731" s="56">
        <v>0</v>
      </c>
      <c r="K731" s="56">
        <v>0</v>
      </c>
      <c r="P731" s="56">
        <v>0</v>
      </c>
      <c r="S731" s="56">
        <v>0</v>
      </c>
      <c r="T731" s="56" t="s">
        <v>3562</v>
      </c>
      <c r="V731" s="56" t="s">
        <v>3549</v>
      </c>
      <c r="W731" s="56" t="s">
        <v>3548</v>
      </c>
      <c r="X731" s="56" t="s">
        <v>3547</v>
      </c>
      <c r="Z731" s="56" t="s">
        <v>3546</v>
      </c>
      <c r="AA731" s="56" t="s">
        <v>5811</v>
      </c>
      <c r="AB731" s="56" t="s">
        <v>5810</v>
      </c>
      <c r="AC731" s="56" t="s">
        <v>3543</v>
      </c>
      <c r="AD731" s="56" t="s">
        <v>24</v>
      </c>
      <c r="AE731" s="56" t="s">
        <v>4530</v>
      </c>
      <c r="AF731" s="56" t="s">
        <v>5809</v>
      </c>
      <c r="AH731" s="56" t="s">
        <v>3542</v>
      </c>
      <c r="AI731" s="56" t="s">
        <v>3723</v>
      </c>
    </row>
    <row r="732" spans="1:35" ht="33" customHeight="1">
      <c r="A732" s="56" t="s">
        <v>5814</v>
      </c>
      <c r="B732" s="57">
        <v>44361.073472222219</v>
      </c>
      <c r="C732" s="56" t="s">
        <v>4512</v>
      </c>
      <c r="D732" s="56" t="s">
        <v>4511</v>
      </c>
      <c r="E732" s="56" t="s">
        <v>5813</v>
      </c>
      <c r="F732" s="56" t="s">
        <v>5812</v>
      </c>
      <c r="G732" s="58" t="s">
        <v>1498</v>
      </c>
      <c r="H732" s="56">
        <v>1</v>
      </c>
      <c r="I732" s="56" t="s">
        <v>4016</v>
      </c>
      <c r="J732" s="56">
        <v>0</v>
      </c>
      <c r="K732" s="56">
        <v>0</v>
      </c>
      <c r="P732" s="56">
        <v>0</v>
      </c>
      <c r="S732" s="56">
        <v>0</v>
      </c>
      <c r="T732" s="56" t="s">
        <v>3562</v>
      </c>
      <c r="V732" s="56" t="s">
        <v>3549</v>
      </c>
      <c r="W732" s="56" t="s">
        <v>3548</v>
      </c>
      <c r="X732" s="56" t="s">
        <v>3547</v>
      </c>
      <c r="Z732" s="56" t="s">
        <v>3546</v>
      </c>
      <c r="AA732" s="56" t="s">
        <v>5811</v>
      </c>
      <c r="AB732" s="56" t="s">
        <v>5810</v>
      </c>
      <c r="AC732" s="56" t="s">
        <v>3543</v>
      </c>
      <c r="AD732" s="56" t="s">
        <v>24</v>
      </c>
      <c r="AE732" s="56" t="s">
        <v>4530</v>
      </c>
      <c r="AF732" s="56" t="s">
        <v>5809</v>
      </c>
      <c r="AH732" s="56" t="s">
        <v>3542</v>
      </c>
      <c r="AI732" s="56" t="s">
        <v>3723</v>
      </c>
    </row>
    <row r="733" spans="1:35" ht="33" customHeight="1">
      <c r="A733" s="56" t="s">
        <v>5808</v>
      </c>
      <c r="B733" s="57">
        <v>44361.073761574073</v>
      </c>
      <c r="C733" s="56" t="s">
        <v>4512</v>
      </c>
      <c r="D733" s="56" t="s">
        <v>4511</v>
      </c>
      <c r="E733" s="56" t="s">
        <v>5807</v>
      </c>
      <c r="F733" s="56" t="s">
        <v>5806</v>
      </c>
      <c r="G733" s="58" t="s">
        <v>3603</v>
      </c>
      <c r="H733" s="56">
        <v>1</v>
      </c>
      <c r="I733" s="56" t="s">
        <v>3602</v>
      </c>
      <c r="J733" s="56">
        <v>447</v>
      </c>
      <c r="K733" s="56">
        <v>399</v>
      </c>
      <c r="L733" s="56">
        <v>1147</v>
      </c>
      <c r="M733" s="56">
        <v>0</v>
      </c>
      <c r="N733" s="56">
        <v>0</v>
      </c>
      <c r="O733" s="56">
        <v>115</v>
      </c>
      <c r="P733" s="56">
        <v>0</v>
      </c>
      <c r="Q733" s="56">
        <v>1032</v>
      </c>
      <c r="R733" s="56">
        <v>0</v>
      </c>
      <c r="S733" s="56">
        <v>0</v>
      </c>
      <c r="T733" s="56" t="s">
        <v>3562</v>
      </c>
      <c r="U733" s="56">
        <v>1032</v>
      </c>
      <c r="V733" s="56" t="s">
        <v>3549</v>
      </c>
      <c r="W733" s="56" t="s">
        <v>3548</v>
      </c>
      <c r="X733" s="56" t="s">
        <v>3547</v>
      </c>
      <c r="Z733" s="56" t="s">
        <v>3546</v>
      </c>
      <c r="AA733" s="56" t="s">
        <v>5805</v>
      </c>
      <c r="AB733" s="56" t="s">
        <v>5804</v>
      </c>
      <c r="AC733" s="56" t="s">
        <v>3543</v>
      </c>
      <c r="AD733" s="56" t="s">
        <v>24</v>
      </c>
      <c r="AE733" s="56" t="s">
        <v>4530</v>
      </c>
      <c r="AF733" s="56" t="s">
        <v>5803</v>
      </c>
      <c r="AH733" s="56" t="s">
        <v>3542</v>
      </c>
      <c r="AI733" s="56" t="s">
        <v>3723</v>
      </c>
    </row>
    <row r="734" spans="1:35" ht="33" customHeight="1">
      <c r="A734" s="56" t="s">
        <v>5808</v>
      </c>
      <c r="B734" s="57">
        <v>44361.073761574073</v>
      </c>
      <c r="C734" s="56" t="s">
        <v>4512</v>
      </c>
      <c r="D734" s="56" t="s">
        <v>4511</v>
      </c>
      <c r="E734" s="56" t="s">
        <v>5807</v>
      </c>
      <c r="F734" s="56" t="s">
        <v>5806</v>
      </c>
      <c r="G734" s="58" t="s">
        <v>4467</v>
      </c>
      <c r="H734" s="56">
        <v>1</v>
      </c>
      <c r="I734" s="56" t="s">
        <v>3769</v>
      </c>
      <c r="J734" s="56">
        <v>405</v>
      </c>
      <c r="K734" s="56">
        <v>390</v>
      </c>
      <c r="P734" s="56">
        <v>0</v>
      </c>
      <c r="S734" s="56">
        <v>0</v>
      </c>
      <c r="T734" s="56" t="s">
        <v>3562</v>
      </c>
      <c r="V734" s="56" t="s">
        <v>3549</v>
      </c>
      <c r="W734" s="56" t="s">
        <v>3548</v>
      </c>
      <c r="X734" s="56" t="s">
        <v>3547</v>
      </c>
      <c r="Z734" s="56" t="s">
        <v>3546</v>
      </c>
      <c r="AA734" s="56" t="s">
        <v>5805</v>
      </c>
      <c r="AB734" s="56" t="s">
        <v>5804</v>
      </c>
      <c r="AC734" s="56" t="s">
        <v>3543</v>
      </c>
      <c r="AD734" s="56" t="s">
        <v>24</v>
      </c>
      <c r="AE734" s="56" t="s">
        <v>4530</v>
      </c>
      <c r="AF734" s="56" t="s">
        <v>5803</v>
      </c>
      <c r="AH734" s="56" t="s">
        <v>3542</v>
      </c>
      <c r="AI734" s="56" t="s">
        <v>3723</v>
      </c>
    </row>
    <row r="735" spans="1:35" ht="33" customHeight="1">
      <c r="A735" s="56" t="s">
        <v>5808</v>
      </c>
      <c r="B735" s="57">
        <v>44361.073761574073</v>
      </c>
      <c r="C735" s="56" t="s">
        <v>4512</v>
      </c>
      <c r="D735" s="56" t="s">
        <v>4511</v>
      </c>
      <c r="E735" s="56" t="s">
        <v>5807</v>
      </c>
      <c r="F735" s="56" t="s">
        <v>5806</v>
      </c>
      <c r="G735" s="58" t="s">
        <v>1508</v>
      </c>
      <c r="H735" s="56">
        <v>1</v>
      </c>
      <c r="I735" s="56" t="s">
        <v>3696</v>
      </c>
      <c r="J735" s="56">
        <v>299</v>
      </c>
      <c r="K735" s="56">
        <v>299</v>
      </c>
      <c r="P735" s="56">
        <v>0</v>
      </c>
      <c r="S735" s="56">
        <v>0</v>
      </c>
      <c r="T735" s="56" t="s">
        <v>3562</v>
      </c>
      <c r="V735" s="56" t="s">
        <v>3549</v>
      </c>
      <c r="W735" s="56" t="s">
        <v>3548</v>
      </c>
      <c r="X735" s="56" t="s">
        <v>3547</v>
      </c>
      <c r="Z735" s="56" t="s">
        <v>3546</v>
      </c>
      <c r="AA735" s="56" t="s">
        <v>5805</v>
      </c>
      <c r="AB735" s="56" t="s">
        <v>5804</v>
      </c>
      <c r="AC735" s="56" t="s">
        <v>3543</v>
      </c>
      <c r="AD735" s="56" t="s">
        <v>24</v>
      </c>
      <c r="AE735" s="56" t="s">
        <v>4530</v>
      </c>
      <c r="AF735" s="56" t="s">
        <v>5803</v>
      </c>
      <c r="AH735" s="56" t="s">
        <v>3542</v>
      </c>
      <c r="AI735" s="56" t="s">
        <v>3723</v>
      </c>
    </row>
    <row r="736" spans="1:35" ht="33" customHeight="1">
      <c r="A736" s="56" t="s">
        <v>5808</v>
      </c>
      <c r="B736" s="57">
        <v>44361.073761574073</v>
      </c>
      <c r="C736" s="56" t="s">
        <v>4512</v>
      </c>
      <c r="D736" s="56" t="s">
        <v>4511</v>
      </c>
      <c r="E736" s="56" t="s">
        <v>5807</v>
      </c>
      <c r="F736" s="56" t="s">
        <v>5806</v>
      </c>
      <c r="G736" s="58" t="s">
        <v>3222</v>
      </c>
      <c r="H736" s="56">
        <v>1</v>
      </c>
      <c r="I736" s="56" t="s">
        <v>3712</v>
      </c>
      <c r="J736" s="56">
        <v>59</v>
      </c>
      <c r="K736" s="56">
        <v>59</v>
      </c>
      <c r="P736" s="56">
        <v>0</v>
      </c>
      <c r="S736" s="56">
        <v>0</v>
      </c>
      <c r="T736" s="56" t="s">
        <v>3562</v>
      </c>
      <c r="V736" s="56" t="s">
        <v>3549</v>
      </c>
      <c r="W736" s="56" t="s">
        <v>3548</v>
      </c>
      <c r="X736" s="56" t="s">
        <v>3547</v>
      </c>
      <c r="Z736" s="56" t="s">
        <v>3546</v>
      </c>
      <c r="AA736" s="56" t="s">
        <v>5805</v>
      </c>
      <c r="AB736" s="56" t="s">
        <v>5804</v>
      </c>
      <c r="AC736" s="56" t="s">
        <v>3543</v>
      </c>
      <c r="AD736" s="56" t="s">
        <v>24</v>
      </c>
      <c r="AE736" s="56" t="s">
        <v>4530</v>
      </c>
      <c r="AF736" s="56" t="s">
        <v>5803</v>
      </c>
      <c r="AH736" s="56" t="s">
        <v>3542</v>
      </c>
      <c r="AI736" s="56" t="s">
        <v>3723</v>
      </c>
    </row>
    <row r="737" spans="1:35" ht="33" customHeight="1">
      <c r="A737" s="56" t="s">
        <v>5808</v>
      </c>
      <c r="B737" s="57">
        <v>44361.073761574073</v>
      </c>
      <c r="C737" s="56" t="s">
        <v>4512</v>
      </c>
      <c r="D737" s="56" t="s">
        <v>4511</v>
      </c>
      <c r="E737" s="56" t="s">
        <v>5807</v>
      </c>
      <c r="F737" s="56" t="s">
        <v>5806</v>
      </c>
      <c r="G737" s="58" t="s">
        <v>3551</v>
      </c>
      <c r="H737" s="56">
        <v>1</v>
      </c>
      <c r="I737" s="56" t="s">
        <v>3550</v>
      </c>
      <c r="J737" s="56">
        <v>0</v>
      </c>
      <c r="K737" s="56">
        <v>0</v>
      </c>
      <c r="P737" s="56">
        <v>0</v>
      </c>
      <c r="S737" s="56">
        <v>0</v>
      </c>
      <c r="T737" s="56" t="s">
        <v>3562</v>
      </c>
      <c r="V737" s="56" t="s">
        <v>3549</v>
      </c>
      <c r="W737" s="56" t="s">
        <v>3548</v>
      </c>
      <c r="X737" s="56" t="s">
        <v>3547</v>
      </c>
      <c r="Z737" s="56" t="s">
        <v>3546</v>
      </c>
      <c r="AA737" s="56" t="s">
        <v>5805</v>
      </c>
      <c r="AB737" s="56" t="s">
        <v>5804</v>
      </c>
      <c r="AC737" s="56" t="s">
        <v>3543</v>
      </c>
      <c r="AD737" s="56" t="s">
        <v>24</v>
      </c>
      <c r="AE737" s="56" t="s">
        <v>4530</v>
      </c>
      <c r="AF737" s="56" t="s">
        <v>5803</v>
      </c>
      <c r="AH737" s="56" t="s">
        <v>3542</v>
      </c>
      <c r="AI737" s="56" t="s">
        <v>3723</v>
      </c>
    </row>
    <row r="738" spans="1:35" ht="33" customHeight="1">
      <c r="A738" s="56" t="s">
        <v>5808</v>
      </c>
      <c r="B738" s="57">
        <v>44361.073761574073</v>
      </c>
      <c r="C738" s="56" t="s">
        <v>4512</v>
      </c>
      <c r="D738" s="56" t="s">
        <v>4511</v>
      </c>
      <c r="E738" s="56" t="s">
        <v>5807</v>
      </c>
      <c r="F738" s="56" t="s">
        <v>5806</v>
      </c>
      <c r="G738" s="58" t="s">
        <v>1498</v>
      </c>
      <c r="H738" s="56">
        <v>1</v>
      </c>
      <c r="I738" s="56" t="s">
        <v>4016</v>
      </c>
      <c r="J738" s="56">
        <v>0</v>
      </c>
      <c r="K738" s="56">
        <v>0</v>
      </c>
      <c r="P738" s="56">
        <v>0</v>
      </c>
      <c r="S738" s="56">
        <v>0</v>
      </c>
      <c r="T738" s="56" t="s">
        <v>3562</v>
      </c>
      <c r="V738" s="56" t="s">
        <v>3549</v>
      </c>
      <c r="W738" s="56" t="s">
        <v>3548</v>
      </c>
      <c r="X738" s="56" t="s">
        <v>3547</v>
      </c>
      <c r="Z738" s="56" t="s">
        <v>3546</v>
      </c>
      <c r="AA738" s="56" t="s">
        <v>5805</v>
      </c>
      <c r="AB738" s="56" t="s">
        <v>5804</v>
      </c>
      <c r="AC738" s="56" t="s">
        <v>3543</v>
      </c>
      <c r="AD738" s="56" t="s">
        <v>24</v>
      </c>
      <c r="AE738" s="56" t="s">
        <v>4530</v>
      </c>
      <c r="AF738" s="56" t="s">
        <v>5803</v>
      </c>
      <c r="AH738" s="56" t="s">
        <v>3542</v>
      </c>
      <c r="AI738" s="56" t="s">
        <v>3723</v>
      </c>
    </row>
    <row r="739" spans="1:35" ht="33" customHeight="1">
      <c r="A739" s="56" t="s">
        <v>5802</v>
      </c>
      <c r="B739" s="57">
        <v>44361.073958333334</v>
      </c>
      <c r="C739" s="56" t="s">
        <v>3803</v>
      </c>
      <c r="D739" s="56" t="s">
        <v>3802</v>
      </c>
      <c r="E739" s="56" t="s">
        <v>5801</v>
      </c>
      <c r="F739" s="56" t="s">
        <v>5800</v>
      </c>
      <c r="G739" s="58" t="s">
        <v>3811</v>
      </c>
      <c r="H739" s="56">
        <v>1</v>
      </c>
      <c r="I739" s="56" t="s">
        <v>3669</v>
      </c>
      <c r="J739" s="56">
        <v>897</v>
      </c>
      <c r="K739" s="56">
        <v>888</v>
      </c>
      <c r="L739" s="56">
        <v>1187</v>
      </c>
      <c r="M739" s="56">
        <v>0</v>
      </c>
      <c r="N739" s="56">
        <v>0</v>
      </c>
      <c r="O739" s="56">
        <v>119</v>
      </c>
      <c r="P739" s="56">
        <v>0</v>
      </c>
      <c r="Q739" s="56">
        <v>1068</v>
      </c>
      <c r="R739" s="56">
        <v>0</v>
      </c>
      <c r="S739" s="56">
        <v>0</v>
      </c>
      <c r="T739" s="56" t="s">
        <v>3562</v>
      </c>
      <c r="U739" s="56">
        <v>1068</v>
      </c>
      <c r="V739" s="56" t="s">
        <v>3561</v>
      </c>
      <c r="W739" s="56" t="s">
        <v>3548</v>
      </c>
      <c r="X739" s="56" t="s">
        <v>39</v>
      </c>
      <c r="Y739" s="56" t="s">
        <v>3807</v>
      </c>
      <c r="Z739" s="56" t="s">
        <v>5799</v>
      </c>
      <c r="AC739" s="56" t="s">
        <v>3543</v>
      </c>
      <c r="AD739" s="56" t="s">
        <v>24</v>
      </c>
      <c r="AE739" s="56" t="s">
        <v>5673</v>
      </c>
      <c r="AF739" s="56" t="s">
        <v>5798</v>
      </c>
      <c r="AH739" s="56" t="s">
        <v>3542</v>
      </c>
      <c r="AI739" s="56" t="s">
        <v>3723</v>
      </c>
    </row>
    <row r="740" spans="1:35" ht="33" customHeight="1">
      <c r="A740" s="56" t="s">
        <v>5802</v>
      </c>
      <c r="B740" s="57">
        <v>44361.073958333334</v>
      </c>
      <c r="C740" s="56" t="s">
        <v>3803</v>
      </c>
      <c r="D740" s="56" t="s">
        <v>3802</v>
      </c>
      <c r="E740" s="56" t="s">
        <v>5801</v>
      </c>
      <c r="F740" s="56" t="s">
        <v>5800</v>
      </c>
      <c r="G740" s="58" t="s">
        <v>1506</v>
      </c>
      <c r="H740" s="56">
        <v>1</v>
      </c>
      <c r="I740" s="56" t="s">
        <v>3696</v>
      </c>
      <c r="J740" s="56">
        <v>299</v>
      </c>
      <c r="K740" s="56">
        <v>299</v>
      </c>
      <c r="P740" s="56">
        <v>0</v>
      </c>
      <c r="S740" s="56">
        <v>0</v>
      </c>
      <c r="T740" s="56" t="s">
        <v>3562</v>
      </c>
      <c r="V740" s="56" t="s">
        <v>3561</v>
      </c>
      <c r="W740" s="56" t="s">
        <v>3548</v>
      </c>
      <c r="X740" s="56" t="s">
        <v>39</v>
      </c>
      <c r="Y740" s="56" t="s">
        <v>3807</v>
      </c>
      <c r="Z740" s="56" t="s">
        <v>5799</v>
      </c>
      <c r="AC740" s="56" t="s">
        <v>3543</v>
      </c>
      <c r="AD740" s="56" t="s">
        <v>24</v>
      </c>
      <c r="AE740" s="56" t="s">
        <v>5673</v>
      </c>
      <c r="AF740" s="56" t="s">
        <v>5798</v>
      </c>
      <c r="AH740" s="56" t="s">
        <v>3542</v>
      </c>
      <c r="AI740" s="56" t="s">
        <v>3723</v>
      </c>
    </row>
    <row r="741" spans="1:35" ht="33" customHeight="1">
      <c r="A741" s="56" t="s">
        <v>5802</v>
      </c>
      <c r="B741" s="57">
        <v>44361.073958333334</v>
      </c>
      <c r="C741" s="56" t="s">
        <v>3803</v>
      </c>
      <c r="D741" s="56" t="s">
        <v>3802</v>
      </c>
      <c r="E741" s="56" t="s">
        <v>5801</v>
      </c>
      <c r="F741" s="56" t="s">
        <v>5800</v>
      </c>
      <c r="G741" s="58" t="s">
        <v>3551</v>
      </c>
      <c r="H741" s="56">
        <v>1</v>
      </c>
      <c r="I741" s="56" t="s">
        <v>3550</v>
      </c>
      <c r="J741" s="56">
        <v>0</v>
      </c>
      <c r="K741" s="56">
        <v>0</v>
      </c>
      <c r="P741" s="56">
        <v>0</v>
      </c>
      <c r="S741" s="56">
        <v>0</v>
      </c>
      <c r="T741" s="56" t="s">
        <v>3562</v>
      </c>
      <c r="V741" s="56" t="s">
        <v>3561</v>
      </c>
      <c r="W741" s="56" t="s">
        <v>3548</v>
      </c>
      <c r="X741" s="56" t="s">
        <v>39</v>
      </c>
      <c r="Y741" s="56" t="s">
        <v>3807</v>
      </c>
      <c r="Z741" s="56" t="s">
        <v>5799</v>
      </c>
      <c r="AC741" s="56" t="s">
        <v>3543</v>
      </c>
      <c r="AD741" s="56" t="s">
        <v>24</v>
      </c>
      <c r="AE741" s="56" t="s">
        <v>5673</v>
      </c>
      <c r="AF741" s="56" t="s">
        <v>5798</v>
      </c>
      <c r="AH741" s="56" t="s">
        <v>3542</v>
      </c>
      <c r="AI741" s="56" t="s">
        <v>3723</v>
      </c>
    </row>
    <row r="742" spans="1:35" ht="33" customHeight="1">
      <c r="A742" s="56" t="s">
        <v>5802</v>
      </c>
      <c r="B742" s="57">
        <v>44361.073958333334</v>
      </c>
      <c r="C742" s="56" t="s">
        <v>3803</v>
      </c>
      <c r="D742" s="56" t="s">
        <v>3802</v>
      </c>
      <c r="E742" s="56" t="s">
        <v>5801</v>
      </c>
      <c r="F742" s="56" t="s">
        <v>5800</v>
      </c>
      <c r="G742" s="58" t="s">
        <v>1498</v>
      </c>
      <c r="H742" s="56">
        <v>1</v>
      </c>
      <c r="I742" s="56" t="s">
        <v>4016</v>
      </c>
      <c r="J742" s="56">
        <v>0</v>
      </c>
      <c r="K742" s="56">
        <v>0</v>
      </c>
      <c r="P742" s="56">
        <v>0</v>
      </c>
      <c r="S742" s="56">
        <v>0</v>
      </c>
      <c r="T742" s="56" t="s">
        <v>3562</v>
      </c>
      <c r="V742" s="56" t="s">
        <v>3561</v>
      </c>
      <c r="W742" s="56" t="s">
        <v>3548</v>
      </c>
      <c r="X742" s="56" t="s">
        <v>39</v>
      </c>
      <c r="Y742" s="56" t="s">
        <v>3807</v>
      </c>
      <c r="Z742" s="56" t="s">
        <v>5799</v>
      </c>
      <c r="AC742" s="56" t="s">
        <v>3543</v>
      </c>
      <c r="AD742" s="56" t="s">
        <v>24</v>
      </c>
      <c r="AE742" s="56" t="s">
        <v>5673</v>
      </c>
      <c r="AF742" s="56" t="s">
        <v>5798</v>
      </c>
      <c r="AH742" s="56" t="s">
        <v>3542</v>
      </c>
      <c r="AI742" s="56" t="s">
        <v>3723</v>
      </c>
    </row>
    <row r="743" spans="1:35" ht="33" customHeight="1">
      <c r="A743" s="56" t="s">
        <v>5797</v>
      </c>
      <c r="B743" s="57">
        <v>44361.173888888887</v>
      </c>
      <c r="C743" s="56" t="s">
        <v>3803</v>
      </c>
      <c r="D743" s="56" t="s">
        <v>3802</v>
      </c>
      <c r="E743" s="56" t="s">
        <v>5796</v>
      </c>
      <c r="F743" s="56" t="s">
        <v>5795</v>
      </c>
      <c r="G743" s="58" t="s">
        <v>4231</v>
      </c>
      <c r="H743" s="56">
        <v>1</v>
      </c>
      <c r="I743" s="56" t="s">
        <v>3753</v>
      </c>
      <c r="J743" s="56">
        <v>997</v>
      </c>
      <c r="K743" s="56">
        <v>960</v>
      </c>
      <c r="L743" s="56">
        <v>1763</v>
      </c>
      <c r="M743" s="56">
        <v>0</v>
      </c>
      <c r="N743" s="56">
        <v>0</v>
      </c>
      <c r="O743" s="56">
        <v>177</v>
      </c>
      <c r="P743" s="56">
        <v>0</v>
      </c>
      <c r="Q743" s="56">
        <v>1586</v>
      </c>
      <c r="R743" s="56">
        <v>0</v>
      </c>
      <c r="S743" s="56">
        <v>0</v>
      </c>
      <c r="T743" s="56" t="s">
        <v>3562</v>
      </c>
      <c r="U743" s="56">
        <v>1586</v>
      </c>
      <c r="V743" s="56" t="s">
        <v>3561</v>
      </c>
      <c r="W743" s="56" t="s">
        <v>3548</v>
      </c>
      <c r="X743" s="56" t="s">
        <v>39</v>
      </c>
      <c r="Y743" s="56" t="s">
        <v>4133</v>
      </c>
      <c r="Z743" s="56" t="s">
        <v>5794</v>
      </c>
      <c r="AC743" s="56" t="s">
        <v>3543</v>
      </c>
      <c r="AD743" s="56" t="s">
        <v>24</v>
      </c>
      <c r="AE743" s="56" t="s">
        <v>5673</v>
      </c>
      <c r="AF743" s="56" t="s">
        <v>5793</v>
      </c>
      <c r="AH743" s="56" t="s">
        <v>3542</v>
      </c>
      <c r="AI743" s="56" t="s">
        <v>3723</v>
      </c>
    </row>
    <row r="744" spans="1:35" ht="33" customHeight="1">
      <c r="A744" s="56" t="s">
        <v>5797</v>
      </c>
      <c r="B744" s="57">
        <v>44361.173888888887</v>
      </c>
      <c r="C744" s="56" t="s">
        <v>3803</v>
      </c>
      <c r="D744" s="56" t="s">
        <v>3802</v>
      </c>
      <c r="E744" s="56" t="s">
        <v>5796</v>
      </c>
      <c r="F744" s="56" t="s">
        <v>5795</v>
      </c>
      <c r="G744" s="58" t="s">
        <v>1514</v>
      </c>
      <c r="H744" s="56">
        <v>1</v>
      </c>
      <c r="I744" s="56" t="s">
        <v>3797</v>
      </c>
      <c r="J744" s="56">
        <v>165</v>
      </c>
      <c r="K744" s="56">
        <v>165</v>
      </c>
      <c r="P744" s="56">
        <v>0</v>
      </c>
      <c r="S744" s="56">
        <v>0</v>
      </c>
      <c r="T744" s="56" t="s">
        <v>3562</v>
      </c>
      <c r="V744" s="56" t="s">
        <v>3561</v>
      </c>
      <c r="W744" s="56" t="s">
        <v>3548</v>
      </c>
      <c r="X744" s="56" t="s">
        <v>39</v>
      </c>
      <c r="Y744" s="56" t="s">
        <v>4133</v>
      </c>
      <c r="Z744" s="56" t="s">
        <v>5794</v>
      </c>
      <c r="AC744" s="56" t="s">
        <v>3543</v>
      </c>
      <c r="AD744" s="56" t="s">
        <v>24</v>
      </c>
      <c r="AE744" s="56" t="s">
        <v>5673</v>
      </c>
      <c r="AF744" s="56" t="s">
        <v>5793</v>
      </c>
      <c r="AH744" s="56" t="s">
        <v>3542</v>
      </c>
      <c r="AI744" s="56" t="s">
        <v>3723</v>
      </c>
    </row>
    <row r="745" spans="1:35" ht="33" customHeight="1">
      <c r="A745" s="56" t="s">
        <v>5797</v>
      </c>
      <c r="B745" s="57">
        <v>44361.173888888887</v>
      </c>
      <c r="C745" s="56" t="s">
        <v>3803</v>
      </c>
      <c r="D745" s="56" t="s">
        <v>3802</v>
      </c>
      <c r="E745" s="56" t="s">
        <v>5796</v>
      </c>
      <c r="F745" s="56" t="s">
        <v>5795</v>
      </c>
      <c r="G745" s="58" t="s">
        <v>3299</v>
      </c>
      <c r="H745" s="56">
        <v>1</v>
      </c>
      <c r="I745" s="56" t="s">
        <v>3576</v>
      </c>
      <c r="J745" s="56">
        <v>299</v>
      </c>
      <c r="K745" s="56">
        <v>299</v>
      </c>
      <c r="P745" s="56">
        <v>0</v>
      </c>
      <c r="S745" s="56">
        <v>0</v>
      </c>
      <c r="T745" s="56" t="s">
        <v>3562</v>
      </c>
      <c r="V745" s="56" t="s">
        <v>3561</v>
      </c>
      <c r="W745" s="56" t="s">
        <v>3548</v>
      </c>
      <c r="X745" s="56" t="s">
        <v>39</v>
      </c>
      <c r="Y745" s="56" t="s">
        <v>4133</v>
      </c>
      <c r="Z745" s="56" t="s">
        <v>5794</v>
      </c>
      <c r="AC745" s="56" t="s">
        <v>3543</v>
      </c>
      <c r="AD745" s="56" t="s">
        <v>24</v>
      </c>
      <c r="AE745" s="56" t="s">
        <v>5673</v>
      </c>
      <c r="AF745" s="56" t="s">
        <v>5793</v>
      </c>
      <c r="AH745" s="56" t="s">
        <v>3542</v>
      </c>
      <c r="AI745" s="56" t="s">
        <v>3723</v>
      </c>
    </row>
    <row r="746" spans="1:35" ht="33" customHeight="1">
      <c r="A746" s="56" t="s">
        <v>5797</v>
      </c>
      <c r="B746" s="57">
        <v>44361.173888888887</v>
      </c>
      <c r="C746" s="56" t="s">
        <v>3803</v>
      </c>
      <c r="D746" s="56" t="s">
        <v>3802</v>
      </c>
      <c r="E746" s="56" t="s">
        <v>5796</v>
      </c>
      <c r="F746" s="56" t="s">
        <v>5795</v>
      </c>
      <c r="G746" s="58" t="s">
        <v>2156</v>
      </c>
      <c r="H746" s="56">
        <v>1</v>
      </c>
      <c r="I746" s="56" t="s">
        <v>1376</v>
      </c>
      <c r="J746" s="56">
        <v>145</v>
      </c>
      <c r="K746" s="56">
        <v>145</v>
      </c>
      <c r="P746" s="56">
        <v>0</v>
      </c>
      <c r="S746" s="56">
        <v>0</v>
      </c>
      <c r="T746" s="56" t="s">
        <v>3562</v>
      </c>
      <c r="V746" s="56" t="s">
        <v>3561</v>
      </c>
      <c r="W746" s="56" t="s">
        <v>3548</v>
      </c>
      <c r="X746" s="56" t="s">
        <v>39</v>
      </c>
      <c r="Y746" s="56" t="s">
        <v>4133</v>
      </c>
      <c r="Z746" s="56" t="s">
        <v>5794</v>
      </c>
      <c r="AC746" s="56" t="s">
        <v>3543</v>
      </c>
      <c r="AD746" s="56" t="s">
        <v>24</v>
      </c>
      <c r="AE746" s="56" t="s">
        <v>5673</v>
      </c>
      <c r="AF746" s="56" t="s">
        <v>5793</v>
      </c>
      <c r="AH746" s="56" t="s">
        <v>3542</v>
      </c>
      <c r="AI746" s="56" t="s">
        <v>3723</v>
      </c>
    </row>
    <row r="747" spans="1:35" ht="33" customHeight="1">
      <c r="A747" s="56" t="s">
        <v>5797</v>
      </c>
      <c r="B747" s="57">
        <v>44361.173888888887</v>
      </c>
      <c r="C747" s="56" t="s">
        <v>3803</v>
      </c>
      <c r="D747" s="56" t="s">
        <v>3802</v>
      </c>
      <c r="E747" s="56" t="s">
        <v>5796</v>
      </c>
      <c r="F747" s="56" t="s">
        <v>5795</v>
      </c>
      <c r="G747" s="58" t="s">
        <v>3217</v>
      </c>
      <c r="H747" s="56">
        <v>1</v>
      </c>
      <c r="I747" s="56" t="s">
        <v>3720</v>
      </c>
      <c r="J747" s="56">
        <v>59</v>
      </c>
      <c r="K747" s="56">
        <v>59</v>
      </c>
      <c r="P747" s="56">
        <v>0</v>
      </c>
      <c r="S747" s="56">
        <v>0</v>
      </c>
      <c r="T747" s="56" t="s">
        <v>3562</v>
      </c>
      <c r="V747" s="56" t="s">
        <v>3561</v>
      </c>
      <c r="W747" s="56" t="s">
        <v>3548</v>
      </c>
      <c r="X747" s="56" t="s">
        <v>39</v>
      </c>
      <c r="Y747" s="56" t="s">
        <v>4133</v>
      </c>
      <c r="Z747" s="56" t="s">
        <v>5794</v>
      </c>
      <c r="AC747" s="56" t="s">
        <v>3543</v>
      </c>
      <c r="AD747" s="56" t="s">
        <v>24</v>
      </c>
      <c r="AE747" s="56" t="s">
        <v>5673</v>
      </c>
      <c r="AF747" s="56" t="s">
        <v>5793</v>
      </c>
      <c r="AH747" s="56" t="s">
        <v>3542</v>
      </c>
      <c r="AI747" s="56" t="s">
        <v>3723</v>
      </c>
    </row>
    <row r="748" spans="1:35" ht="33" customHeight="1">
      <c r="A748" s="56" t="s">
        <v>5797</v>
      </c>
      <c r="B748" s="57">
        <v>44361.173888888887</v>
      </c>
      <c r="C748" s="56" t="s">
        <v>3803</v>
      </c>
      <c r="D748" s="56" t="s">
        <v>3802</v>
      </c>
      <c r="E748" s="56" t="s">
        <v>5796</v>
      </c>
      <c r="F748" s="56" t="s">
        <v>5795</v>
      </c>
      <c r="G748" s="58" t="s">
        <v>1493</v>
      </c>
      <c r="H748" s="56">
        <v>1</v>
      </c>
      <c r="I748" s="56" t="s">
        <v>3601</v>
      </c>
      <c r="J748" s="56">
        <v>135</v>
      </c>
      <c r="K748" s="56">
        <v>135</v>
      </c>
      <c r="P748" s="56">
        <v>0</v>
      </c>
      <c r="S748" s="56">
        <v>0</v>
      </c>
      <c r="T748" s="56" t="s">
        <v>3562</v>
      </c>
      <c r="V748" s="56" t="s">
        <v>3561</v>
      </c>
      <c r="W748" s="56" t="s">
        <v>3548</v>
      </c>
      <c r="X748" s="56" t="s">
        <v>39</v>
      </c>
      <c r="Y748" s="56" t="s">
        <v>4133</v>
      </c>
      <c r="Z748" s="56" t="s">
        <v>5794</v>
      </c>
      <c r="AC748" s="56" t="s">
        <v>3543</v>
      </c>
      <c r="AD748" s="56" t="s">
        <v>24</v>
      </c>
      <c r="AE748" s="56" t="s">
        <v>5673</v>
      </c>
      <c r="AF748" s="56" t="s">
        <v>5793</v>
      </c>
      <c r="AH748" s="56" t="s">
        <v>3542</v>
      </c>
      <c r="AI748" s="56" t="s">
        <v>3723</v>
      </c>
    </row>
    <row r="749" spans="1:35" ht="33" customHeight="1">
      <c r="A749" s="56" t="s">
        <v>5797</v>
      </c>
      <c r="B749" s="57">
        <v>44361.173888888887</v>
      </c>
      <c r="C749" s="56" t="s">
        <v>3803</v>
      </c>
      <c r="D749" s="56" t="s">
        <v>3802</v>
      </c>
      <c r="E749" s="56" t="s">
        <v>5796</v>
      </c>
      <c r="F749" s="56" t="s">
        <v>5795</v>
      </c>
      <c r="G749" s="58" t="s">
        <v>3551</v>
      </c>
      <c r="H749" s="56">
        <v>1</v>
      </c>
      <c r="I749" s="56" t="s">
        <v>3550</v>
      </c>
      <c r="J749" s="56">
        <v>0</v>
      </c>
      <c r="K749" s="56">
        <v>0</v>
      </c>
      <c r="P749" s="56">
        <v>0</v>
      </c>
      <c r="S749" s="56">
        <v>0</v>
      </c>
      <c r="T749" s="56" t="s">
        <v>3562</v>
      </c>
      <c r="V749" s="56" t="s">
        <v>3561</v>
      </c>
      <c r="W749" s="56" t="s">
        <v>3548</v>
      </c>
      <c r="X749" s="56" t="s">
        <v>39</v>
      </c>
      <c r="Y749" s="56" t="s">
        <v>4133</v>
      </c>
      <c r="Z749" s="56" t="s">
        <v>5794</v>
      </c>
      <c r="AC749" s="56" t="s">
        <v>3543</v>
      </c>
      <c r="AD749" s="56" t="s">
        <v>24</v>
      </c>
      <c r="AE749" s="56" t="s">
        <v>5673</v>
      </c>
      <c r="AF749" s="56" t="s">
        <v>5793</v>
      </c>
      <c r="AH749" s="56" t="s">
        <v>3542</v>
      </c>
      <c r="AI749" s="56" t="s">
        <v>3723</v>
      </c>
    </row>
    <row r="750" spans="1:35" ht="33" customHeight="1">
      <c r="A750" s="56" t="s">
        <v>5797</v>
      </c>
      <c r="B750" s="57">
        <v>44361.173888888887</v>
      </c>
      <c r="C750" s="56" t="s">
        <v>3803</v>
      </c>
      <c r="D750" s="56" t="s">
        <v>3802</v>
      </c>
      <c r="E750" s="56" t="s">
        <v>5796</v>
      </c>
      <c r="F750" s="56" t="s">
        <v>5795</v>
      </c>
      <c r="G750" s="58" t="s">
        <v>1713</v>
      </c>
      <c r="H750" s="56">
        <v>1</v>
      </c>
      <c r="I750" s="56" t="s">
        <v>3568</v>
      </c>
      <c r="J750" s="56">
        <v>0</v>
      </c>
      <c r="K750" s="56">
        <v>0</v>
      </c>
      <c r="P750" s="56">
        <v>0</v>
      </c>
      <c r="S750" s="56">
        <v>0</v>
      </c>
      <c r="T750" s="56" t="s">
        <v>3562</v>
      </c>
      <c r="V750" s="56" t="s">
        <v>3561</v>
      </c>
      <c r="W750" s="56" t="s">
        <v>3548</v>
      </c>
      <c r="X750" s="56" t="s">
        <v>39</v>
      </c>
      <c r="Y750" s="56" t="s">
        <v>4133</v>
      </c>
      <c r="Z750" s="56" t="s">
        <v>5794</v>
      </c>
      <c r="AC750" s="56" t="s">
        <v>3543</v>
      </c>
      <c r="AD750" s="56" t="s">
        <v>24</v>
      </c>
      <c r="AE750" s="56" t="s">
        <v>5673</v>
      </c>
      <c r="AF750" s="56" t="s">
        <v>5793</v>
      </c>
      <c r="AH750" s="56" t="s">
        <v>3542</v>
      </c>
      <c r="AI750" s="56" t="s">
        <v>3723</v>
      </c>
    </row>
    <row r="751" spans="1:35" ht="33" customHeight="1">
      <c r="A751" s="56" t="s">
        <v>5797</v>
      </c>
      <c r="B751" s="57">
        <v>44361.173888888887</v>
      </c>
      <c r="C751" s="56" t="s">
        <v>3803</v>
      </c>
      <c r="D751" s="56" t="s">
        <v>3802</v>
      </c>
      <c r="E751" s="56" t="s">
        <v>5796</v>
      </c>
      <c r="F751" s="56" t="s">
        <v>5795</v>
      </c>
      <c r="G751" s="58" t="s">
        <v>1498</v>
      </c>
      <c r="H751" s="56">
        <v>1</v>
      </c>
      <c r="I751" s="56" t="s">
        <v>4016</v>
      </c>
      <c r="J751" s="56">
        <v>0</v>
      </c>
      <c r="K751" s="56">
        <v>0</v>
      </c>
      <c r="P751" s="56">
        <v>0</v>
      </c>
      <c r="S751" s="56">
        <v>0</v>
      </c>
      <c r="T751" s="56" t="s">
        <v>3562</v>
      </c>
      <c r="V751" s="56" t="s">
        <v>3561</v>
      </c>
      <c r="W751" s="56" t="s">
        <v>3548</v>
      </c>
      <c r="X751" s="56" t="s">
        <v>39</v>
      </c>
      <c r="Y751" s="56" t="s">
        <v>4133</v>
      </c>
      <c r="Z751" s="56" t="s">
        <v>5794</v>
      </c>
      <c r="AC751" s="56" t="s">
        <v>3543</v>
      </c>
      <c r="AD751" s="56" t="s">
        <v>24</v>
      </c>
      <c r="AE751" s="56" t="s">
        <v>5673</v>
      </c>
      <c r="AF751" s="56" t="s">
        <v>5793</v>
      </c>
      <c r="AH751" s="56" t="s">
        <v>3542</v>
      </c>
      <c r="AI751" s="56" t="s">
        <v>3723</v>
      </c>
    </row>
    <row r="752" spans="1:35" ht="33" customHeight="1">
      <c r="A752" s="56" t="s">
        <v>5792</v>
      </c>
      <c r="B752" s="57">
        <v>44361.251469907409</v>
      </c>
      <c r="C752" s="56" t="s">
        <v>3803</v>
      </c>
      <c r="D752" s="56" t="s">
        <v>3802</v>
      </c>
      <c r="E752" s="56" t="s">
        <v>5791</v>
      </c>
      <c r="F752" s="56" t="s">
        <v>5790</v>
      </c>
      <c r="G752" s="58" t="s">
        <v>3811</v>
      </c>
      <c r="H752" s="56">
        <v>1</v>
      </c>
      <c r="I752" s="56" t="s">
        <v>3669</v>
      </c>
      <c r="J752" s="56">
        <v>897</v>
      </c>
      <c r="K752" s="56">
        <v>888</v>
      </c>
      <c r="L752" s="56">
        <v>2205</v>
      </c>
      <c r="M752" s="56">
        <v>0</v>
      </c>
      <c r="N752" s="56">
        <v>0</v>
      </c>
      <c r="O752" s="56">
        <v>100</v>
      </c>
      <c r="P752" s="56">
        <v>0</v>
      </c>
      <c r="Q752" s="56">
        <v>2105</v>
      </c>
      <c r="R752" s="56">
        <v>0</v>
      </c>
      <c r="S752" s="56">
        <v>0</v>
      </c>
      <c r="T752" s="56" t="s">
        <v>3562</v>
      </c>
      <c r="U752" s="56">
        <v>2105</v>
      </c>
      <c r="V752" s="56" t="s">
        <v>59</v>
      </c>
      <c r="W752" s="56" t="s">
        <v>3548</v>
      </c>
      <c r="X752" s="56" t="s">
        <v>39</v>
      </c>
      <c r="Y752" s="56" t="s">
        <v>4569</v>
      </c>
      <c r="Z752" s="56" t="s">
        <v>5789</v>
      </c>
      <c r="AC752" s="56" t="s">
        <v>3543</v>
      </c>
      <c r="AD752" s="56" t="s">
        <v>24</v>
      </c>
      <c r="AE752" s="56" t="s">
        <v>5673</v>
      </c>
      <c r="AF752" s="56" t="s">
        <v>5788</v>
      </c>
      <c r="AH752" s="56" t="s">
        <v>3542</v>
      </c>
      <c r="AI752" s="56" t="s">
        <v>3723</v>
      </c>
    </row>
    <row r="753" spans="1:35" ht="33" customHeight="1">
      <c r="A753" s="56" t="s">
        <v>5792</v>
      </c>
      <c r="B753" s="57">
        <v>44361.251469907409</v>
      </c>
      <c r="C753" s="56" t="s">
        <v>3803</v>
      </c>
      <c r="D753" s="56" t="s">
        <v>3802</v>
      </c>
      <c r="E753" s="56" t="s">
        <v>5791</v>
      </c>
      <c r="F753" s="56" t="s">
        <v>5790</v>
      </c>
      <c r="G753" s="58" t="s">
        <v>2169</v>
      </c>
      <c r="H753" s="56">
        <v>1</v>
      </c>
      <c r="I753" s="56" t="s">
        <v>3762</v>
      </c>
      <c r="J753" s="56">
        <v>350</v>
      </c>
      <c r="K753" s="56">
        <v>350</v>
      </c>
      <c r="P753" s="56">
        <v>0</v>
      </c>
      <c r="S753" s="56">
        <v>0</v>
      </c>
      <c r="T753" s="56" t="s">
        <v>3562</v>
      </c>
      <c r="V753" s="56" t="s">
        <v>59</v>
      </c>
      <c r="W753" s="56" t="s">
        <v>3548</v>
      </c>
      <c r="X753" s="56" t="s">
        <v>39</v>
      </c>
      <c r="Y753" s="56" t="s">
        <v>4569</v>
      </c>
      <c r="Z753" s="56" t="s">
        <v>5789</v>
      </c>
      <c r="AC753" s="56" t="s">
        <v>3543</v>
      </c>
      <c r="AD753" s="56" t="s">
        <v>24</v>
      </c>
      <c r="AE753" s="56" t="s">
        <v>5673</v>
      </c>
      <c r="AF753" s="56" t="s">
        <v>5788</v>
      </c>
      <c r="AH753" s="56" t="s">
        <v>3542</v>
      </c>
      <c r="AI753" s="56" t="s">
        <v>3723</v>
      </c>
    </row>
    <row r="754" spans="1:35" ht="33" customHeight="1">
      <c r="A754" s="56" t="s">
        <v>5792</v>
      </c>
      <c r="B754" s="57">
        <v>44361.251469907409</v>
      </c>
      <c r="C754" s="56" t="s">
        <v>3803</v>
      </c>
      <c r="D754" s="56" t="s">
        <v>3802</v>
      </c>
      <c r="E754" s="56" t="s">
        <v>5791</v>
      </c>
      <c r="F754" s="56" t="s">
        <v>5790</v>
      </c>
      <c r="G754" s="58" t="s">
        <v>3656</v>
      </c>
      <c r="H754" s="56">
        <v>1</v>
      </c>
      <c r="I754" s="56" t="s">
        <v>3655</v>
      </c>
      <c r="J754" s="56">
        <v>1107</v>
      </c>
      <c r="K754" s="56">
        <v>799</v>
      </c>
      <c r="P754" s="56">
        <v>0</v>
      </c>
      <c r="S754" s="56">
        <v>0</v>
      </c>
      <c r="T754" s="56" t="s">
        <v>3562</v>
      </c>
      <c r="V754" s="56" t="s">
        <v>59</v>
      </c>
      <c r="W754" s="56" t="s">
        <v>3548</v>
      </c>
      <c r="X754" s="56" t="s">
        <v>39</v>
      </c>
      <c r="Y754" s="56" t="s">
        <v>4569</v>
      </c>
      <c r="Z754" s="56" t="s">
        <v>5789</v>
      </c>
      <c r="AC754" s="56" t="s">
        <v>3543</v>
      </c>
      <c r="AD754" s="56" t="s">
        <v>24</v>
      </c>
      <c r="AE754" s="56" t="s">
        <v>5673</v>
      </c>
      <c r="AF754" s="56" t="s">
        <v>5788</v>
      </c>
      <c r="AH754" s="56" t="s">
        <v>3542</v>
      </c>
      <c r="AI754" s="56" t="s">
        <v>3723</v>
      </c>
    </row>
    <row r="755" spans="1:35" ht="33" customHeight="1">
      <c r="A755" s="56" t="s">
        <v>5792</v>
      </c>
      <c r="B755" s="57">
        <v>44361.251469907409</v>
      </c>
      <c r="C755" s="56" t="s">
        <v>3803</v>
      </c>
      <c r="D755" s="56" t="s">
        <v>3802</v>
      </c>
      <c r="E755" s="56" t="s">
        <v>5791</v>
      </c>
      <c r="F755" s="56" t="s">
        <v>5790</v>
      </c>
      <c r="G755" s="58" t="s">
        <v>3217</v>
      </c>
      <c r="H755" s="56">
        <v>1</v>
      </c>
      <c r="I755" s="56" t="s">
        <v>3720</v>
      </c>
      <c r="J755" s="56">
        <v>59</v>
      </c>
      <c r="K755" s="56">
        <v>59</v>
      </c>
      <c r="P755" s="56">
        <v>0</v>
      </c>
      <c r="S755" s="56">
        <v>0</v>
      </c>
      <c r="T755" s="56" t="s">
        <v>3562</v>
      </c>
      <c r="V755" s="56" t="s">
        <v>59</v>
      </c>
      <c r="W755" s="56" t="s">
        <v>3548</v>
      </c>
      <c r="X755" s="56" t="s">
        <v>39</v>
      </c>
      <c r="Y755" s="56" t="s">
        <v>4569</v>
      </c>
      <c r="Z755" s="56" t="s">
        <v>5789</v>
      </c>
      <c r="AC755" s="56" t="s">
        <v>3543</v>
      </c>
      <c r="AD755" s="56" t="s">
        <v>24</v>
      </c>
      <c r="AE755" s="56" t="s">
        <v>5673</v>
      </c>
      <c r="AF755" s="56" t="s">
        <v>5788</v>
      </c>
      <c r="AH755" s="56" t="s">
        <v>3542</v>
      </c>
      <c r="AI755" s="56" t="s">
        <v>3723</v>
      </c>
    </row>
    <row r="756" spans="1:35" ht="33" customHeight="1">
      <c r="A756" s="56" t="s">
        <v>5792</v>
      </c>
      <c r="B756" s="57">
        <v>44361.251469907409</v>
      </c>
      <c r="C756" s="56" t="s">
        <v>3803</v>
      </c>
      <c r="D756" s="56" t="s">
        <v>3802</v>
      </c>
      <c r="E756" s="56" t="s">
        <v>5791</v>
      </c>
      <c r="F756" s="56" t="s">
        <v>5790</v>
      </c>
      <c r="G756" s="58" t="s">
        <v>2165</v>
      </c>
      <c r="H756" s="56">
        <v>1</v>
      </c>
      <c r="I756" s="56" t="s">
        <v>3721</v>
      </c>
      <c r="J756" s="56">
        <v>109</v>
      </c>
      <c r="K756" s="56">
        <v>109</v>
      </c>
      <c r="P756" s="56">
        <v>0</v>
      </c>
      <c r="S756" s="56">
        <v>0</v>
      </c>
      <c r="T756" s="56" t="s">
        <v>3562</v>
      </c>
      <c r="V756" s="56" t="s">
        <v>59</v>
      </c>
      <c r="W756" s="56" t="s">
        <v>3548</v>
      </c>
      <c r="X756" s="56" t="s">
        <v>39</v>
      </c>
      <c r="Y756" s="56" t="s">
        <v>4569</v>
      </c>
      <c r="Z756" s="56" t="s">
        <v>5789</v>
      </c>
      <c r="AC756" s="56" t="s">
        <v>3543</v>
      </c>
      <c r="AD756" s="56" t="s">
        <v>24</v>
      </c>
      <c r="AE756" s="56" t="s">
        <v>5673</v>
      </c>
      <c r="AF756" s="56" t="s">
        <v>5788</v>
      </c>
      <c r="AH756" s="56" t="s">
        <v>3542</v>
      </c>
      <c r="AI756" s="56" t="s">
        <v>3723</v>
      </c>
    </row>
    <row r="757" spans="1:35" ht="33" customHeight="1">
      <c r="A757" s="56" t="s">
        <v>5792</v>
      </c>
      <c r="B757" s="57">
        <v>44361.251469907409</v>
      </c>
      <c r="C757" s="56" t="s">
        <v>3803</v>
      </c>
      <c r="D757" s="56" t="s">
        <v>3802</v>
      </c>
      <c r="E757" s="56" t="s">
        <v>5791</v>
      </c>
      <c r="F757" s="56" t="s">
        <v>5790</v>
      </c>
      <c r="G757" s="58" t="s">
        <v>3551</v>
      </c>
      <c r="H757" s="56">
        <v>1</v>
      </c>
      <c r="I757" s="56" t="s">
        <v>3550</v>
      </c>
      <c r="J757" s="56">
        <v>0</v>
      </c>
      <c r="K757" s="56">
        <v>0</v>
      </c>
      <c r="P757" s="56">
        <v>0</v>
      </c>
      <c r="S757" s="56">
        <v>0</v>
      </c>
      <c r="T757" s="56" t="s">
        <v>3562</v>
      </c>
      <c r="V757" s="56" t="s">
        <v>59</v>
      </c>
      <c r="W757" s="56" t="s">
        <v>3548</v>
      </c>
      <c r="X757" s="56" t="s">
        <v>39</v>
      </c>
      <c r="Y757" s="56" t="s">
        <v>4569</v>
      </c>
      <c r="Z757" s="56" t="s">
        <v>5789</v>
      </c>
      <c r="AC757" s="56" t="s">
        <v>3543</v>
      </c>
      <c r="AD757" s="56" t="s">
        <v>24</v>
      </c>
      <c r="AE757" s="56" t="s">
        <v>5673</v>
      </c>
      <c r="AF757" s="56" t="s">
        <v>5788</v>
      </c>
      <c r="AH757" s="56" t="s">
        <v>3542</v>
      </c>
      <c r="AI757" s="56" t="s">
        <v>3723</v>
      </c>
    </row>
    <row r="758" spans="1:35" ht="33" customHeight="1">
      <c r="A758" s="56" t="s">
        <v>5792</v>
      </c>
      <c r="B758" s="57">
        <v>44361.251469907409</v>
      </c>
      <c r="C758" s="56" t="s">
        <v>3803</v>
      </c>
      <c r="D758" s="56" t="s">
        <v>3802</v>
      </c>
      <c r="E758" s="56" t="s">
        <v>5791</v>
      </c>
      <c r="F758" s="56" t="s">
        <v>5790</v>
      </c>
      <c r="G758" s="58" t="s">
        <v>1713</v>
      </c>
      <c r="H758" s="56">
        <v>1</v>
      </c>
      <c r="I758" s="56" t="s">
        <v>3568</v>
      </c>
      <c r="J758" s="56">
        <v>0</v>
      </c>
      <c r="K758" s="56">
        <v>0</v>
      </c>
      <c r="P758" s="56">
        <v>0</v>
      </c>
      <c r="S758" s="56">
        <v>0</v>
      </c>
      <c r="T758" s="56" t="s">
        <v>3562</v>
      </c>
      <c r="V758" s="56" t="s">
        <v>59</v>
      </c>
      <c r="W758" s="56" t="s">
        <v>3548</v>
      </c>
      <c r="X758" s="56" t="s">
        <v>39</v>
      </c>
      <c r="Y758" s="56" t="s">
        <v>4569</v>
      </c>
      <c r="Z758" s="56" t="s">
        <v>5789</v>
      </c>
      <c r="AC758" s="56" t="s">
        <v>3543</v>
      </c>
      <c r="AD758" s="56" t="s">
        <v>24</v>
      </c>
      <c r="AE758" s="56" t="s">
        <v>5673</v>
      </c>
      <c r="AF758" s="56" t="s">
        <v>5788</v>
      </c>
      <c r="AH758" s="56" t="s">
        <v>3542</v>
      </c>
      <c r="AI758" s="56" t="s">
        <v>3723</v>
      </c>
    </row>
    <row r="759" spans="1:35" ht="33" customHeight="1">
      <c r="A759" s="56" t="s">
        <v>5792</v>
      </c>
      <c r="B759" s="57">
        <v>44361.251469907409</v>
      </c>
      <c r="C759" s="56" t="s">
        <v>3803</v>
      </c>
      <c r="D759" s="56" t="s">
        <v>3802</v>
      </c>
      <c r="E759" s="56" t="s">
        <v>5791</v>
      </c>
      <c r="F759" s="56" t="s">
        <v>5790</v>
      </c>
      <c r="G759" s="58" t="s">
        <v>1498</v>
      </c>
      <c r="H759" s="56">
        <v>1</v>
      </c>
      <c r="I759" s="56" t="s">
        <v>4016</v>
      </c>
      <c r="J759" s="56">
        <v>0</v>
      </c>
      <c r="K759" s="56">
        <v>0</v>
      </c>
      <c r="P759" s="56">
        <v>0</v>
      </c>
      <c r="S759" s="56">
        <v>0</v>
      </c>
      <c r="T759" s="56" t="s">
        <v>3562</v>
      </c>
      <c r="V759" s="56" t="s">
        <v>59</v>
      </c>
      <c r="W759" s="56" t="s">
        <v>3548</v>
      </c>
      <c r="X759" s="56" t="s">
        <v>39</v>
      </c>
      <c r="Y759" s="56" t="s">
        <v>4569</v>
      </c>
      <c r="Z759" s="56" t="s">
        <v>5789</v>
      </c>
      <c r="AC759" s="56" t="s">
        <v>3543</v>
      </c>
      <c r="AD759" s="56" t="s">
        <v>24</v>
      </c>
      <c r="AE759" s="56" t="s">
        <v>5673</v>
      </c>
      <c r="AF759" s="56" t="s">
        <v>5788</v>
      </c>
      <c r="AH759" s="56" t="s">
        <v>3542</v>
      </c>
      <c r="AI759" s="56" t="s">
        <v>3723</v>
      </c>
    </row>
    <row r="760" spans="1:35" ht="33" customHeight="1">
      <c r="A760" s="56" t="s">
        <v>5792</v>
      </c>
      <c r="B760" s="57">
        <v>44361.251469907409</v>
      </c>
      <c r="C760" s="56" t="s">
        <v>3803</v>
      </c>
      <c r="D760" s="56" t="s">
        <v>3802</v>
      </c>
      <c r="E760" s="56" t="s">
        <v>5791</v>
      </c>
      <c r="F760" s="56" t="s">
        <v>5790</v>
      </c>
      <c r="G760" s="58" t="s">
        <v>3564</v>
      </c>
      <c r="H760" s="56">
        <v>1</v>
      </c>
      <c r="I760" s="56" t="s">
        <v>3563</v>
      </c>
      <c r="J760" s="56">
        <v>0</v>
      </c>
      <c r="K760" s="56">
        <v>0</v>
      </c>
      <c r="P760" s="56">
        <v>0</v>
      </c>
      <c r="S760" s="56">
        <v>0</v>
      </c>
      <c r="T760" s="56" t="s">
        <v>3562</v>
      </c>
      <c r="V760" s="56" t="s">
        <v>59</v>
      </c>
      <c r="W760" s="56" t="s">
        <v>3548</v>
      </c>
      <c r="X760" s="56" t="s">
        <v>39</v>
      </c>
      <c r="Y760" s="56" t="s">
        <v>4569</v>
      </c>
      <c r="Z760" s="56" t="s">
        <v>5789</v>
      </c>
      <c r="AC760" s="56" t="s">
        <v>3543</v>
      </c>
      <c r="AD760" s="56" t="s">
        <v>24</v>
      </c>
      <c r="AE760" s="56" t="s">
        <v>5673</v>
      </c>
      <c r="AF760" s="56" t="s">
        <v>5788</v>
      </c>
      <c r="AH760" s="56" t="s">
        <v>3542</v>
      </c>
      <c r="AI760" s="56" t="s">
        <v>3723</v>
      </c>
    </row>
    <row r="761" spans="1:35" ht="33" customHeight="1">
      <c r="A761" s="56" t="s">
        <v>5787</v>
      </c>
      <c r="B761" s="57">
        <v>44361.345289351855</v>
      </c>
      <c r="C761" s="56" t="s">
        <v>3803</v>
      </c>
      <c r="D761" s="56" t="s">
        <v>3802</v>
      </c>
      <c r="E761" s="56" t="s">
        <v>5786</v>
      </c>
      <c r="F761" s="56" t="s">
        <v>5785</v>
      </c>
      <c r="G761" s="58" t="s">
        <v>3968</v>
      </c>
      <c r="H761" s="56">
        <v>1</v>
      </c>
      <c r="I761" s="56" t="s">
        <v>3669</v>
      </c>
      <c r="J761" s="56">
        <v>897</v>
      </c>
      <c r="K761" s="56">
        <v>888</v>
      </c>
      <c r="L761" s="56">
        <v>1308</v>
      </c>
      <c r="M761" s="56">
        <v>0</v>
      </c>
      <c r="N761" s="56">
        <v>0</v>
      </c>
      <c r="O761" s="56">
        <v>131</v>
      </c>
      <c r="P761" s="56">
        <v>0</v>
      </c>
      <c r="Q761" s="56">
        <v>1177</v>
      </c>
      <c r="R761" s="56">
        <v>0</v>
      </c>
      <c r="S761" s="56">
        <v>0</v>
      </c>
      <c r="T761" s="56" t="s">
        <v>3562</v>
      </c>
      <c r="U761" s="56">
        <v>1177</v>
      </c>
      <c r="V761" s="56" t="s">
        <v>3561</v>
      </c>
      <c r="W761" s="56" t="s">
        <v>3548</v>
      </c>
      <c r="X761" s="56" t="s">
        <v>39</v>
      </c>
      <c r="Y761" s="56" t="s">
        <v>3864</v>
      </c>
      <c r="Z761" s="56" t="s">
        <v>5784</v>
      </c>
      <c r="AC761" s="56" t="s">
        <v>3543</v>
      </c>
      <c r="AD761" s="56" t="s">
        <v>24</v>
      </c>
      <c r="AE761" s="56" t="s">
        <v>5673</v>
      </c>
      <c r="AF761" s="56" t="s">
        <v>5783</v>
      </c>
      <c r="AH761" s="56" t="s">
        <v>3542</v>
      </c>
      <c r="AI761" s="56" t="s">
        <v>3723</v>
      </c>
    </row>
    <row r="762" spans="1:35" ht="33" customHeight="1">
      <c r="A762" s="56" t="s">
        <v>5787</v>
      </c>
      <c r="B762" s="57">
        <v>44361.345289351855</v>
      </c>
      <c r="C762" s="56" t="s">
        <v>3803</v>
      </c>
      <c r="D762" s="56" t="s">
        <v>3802</v>
      </c>
      <c r="E762" s="56" t="s">
        <v>5786</v>
      </c>
      <c r="F762" s="56" t="s">
        <v>5785</v>
      </c>
      <c r="G762" s="58" t="s">
        <v>5608</v>
      </c>
      <c r="H762" s="56">
        <v>1</v>
      </c>
      <c r="I762" s="56" t="s">
        <v>5335</v>
      </c>
      <c r="J762" s="56">
        <v>505</v>
      </c>
      <c r="K762" s="56">
        <v>420</v>
      </c>
      <c r="P762" s="56">
        <v>0</v>
      </c>
      <c r="S762" s="56">
        <v>0</v>
      </c>
      <c r="T762" s="56" t="s">
        <v>3562</v>
      </c>
      <c r="V762" s="56" t="s">
        <v>3561</v>
      </c>
      <c r="W762" s="56" t="s">
        <v>3548</v>
      </c>
      <c r="X762" s="56" t="s">
        <v>39</v>
      </c>
      <c r="Y762" s="56" t="s">
        <v>3864</v>
      </c>
      <c r="Z762" s="56" t="s">
        <v>5784</v>
      </c>
      <c r="AC762" s="56" t="s">
        <v>3543</v>
      </c>
      <c r="AD762" s="56" t="s">
        <v>24</v>
      </c>
      <c r="AE762" s="56" t="s">
        <v>5673</v>
      </c>
      <c r="AF762" s="56" t="s">
        <v>5783</v>
      </c>
      <c r="AH762" s="56" t="s">
        <v>3542</v>
      </c>
      <c r="AI762" s="56" t="s">
        <v>3723</v>
      </c>
    </row>
    <row r="763" spans="1:35" ht="33" customHeight="1">
      <c r="A763" s="56" t="s">
        <v>5787</v>
      </c>
      <c r="B763" s="57">
        <v>44361.345289351855</v>
      </c>
      <c r="C763" s="56" t="s">
        <v>3803</v>
      </c>
      <c r="D763" s="56" t="s">
        <v>3802</v>
      </c>
      <c r="E763" s="56" t="s">
        <v>5786</v>
      </c>
      <c r="F763" s="56" t="s">
        <v>5785</v>
      </c>
      <c r="G763" s="58" t="s">
        <v>3551</v>
      </c>
      <c r="H763" s="56">
        <v>1</v>
      </c>
      <c r="I763" s="56" t="s">
        <v>3550</v>
      </c>
      <c r="J763" s="56">
        <v>0</v>
      </c>
      <c r="K763" s="56">
        <v>0</v>
      </c>
      <c r="P763" s="56">
        <v>0</v>
      </c>
      <c r="S763" s="56">
        <v>0</v>
      </c>
      <c r="T763" s="56" t="s">
        <v>3562</v>
      </c>
      <c r="V763" s="56" t="s">
        <v>3561</v>
      </c>
      <c r="W763" s="56" t="s">
        <v>3548</v>
      </c>
      <c r="X763" s="56" t="s">
        <v>39</v>
      </c>
      <c r="Y763" s="56" t="s">
        <v>3864</v>
      </c>
      <c r="Z763" s="56" t="s">
        <v>5784</v>
      </c>
      <c r="AC763" s="56" t="s">
        <v>3543</v>
      </c>
      <c r="AD763" s="56" t="s">
        <v>24</v>
      </c>
      <c r="AE763" s="56" t="s">
        <v>5673</v>
      </c>
      <c r="AF763" s="56" t="s">
        <v>5783</v>
      </c>
      <c r="AH763" s="56" t="s">
        <v>3542</v>
      </c>
      <c r="AI763" s="56" t="s">
        <v>3723</v>
      </c>
    </row>
    <row r="764" spans="1:35" ht="33" customHeight="1">
      <c r="A764" s="56" t="s">
        <v>5787</v>
      </c>
      <c r="B764" s="57">
        <v>44361.345289351855</v>
      </c>
      <c r="C764" s="56" t="s">
        <v>3803</v>
      </c>
      <c r="D764" s="56" t="s">
        <v>3802</v>
      </c>
      <c r="E764" s="56" t="s">
        <v>5786</v>
      </c>
      <c r="F764" s="56" t="s">
        <v>5785</v>
      </c>
      <c r="G764" s="58" t="s">
        <v>1498</v>
      </c>
      <c r="H764" s="56">
        <v>1</v>
      </c>
      <c r="I764" s="56" t="s">
        <v>4016</v>
      </c>
      <c r="J764" s="56">
        <v>0</v>
      </c>
      <c r="K764" s="56">
        <v>0</v>
      </c>
      <c r="P764" s="56">
        <v>0</v>
      </c>
      <c r="S764" s="56">
        <v>0</v>
      </c>
      <c r="T764" s="56" t="s">
        <v>3562</v>
      </c>
      <c r="V764" s="56" t="s">
        <v>3561</v>
      </c>
      <c r="W764" s="56" t="s">
        <v>3548</v>
      </c>
      <c r="X764" s="56" t="s">
        <v>39</v>
      </c>
      <c r="Y764" s="56" t="s">
        <v>3864</v>
      </c>
      <c r="Z764" s="56" t="s">
        <v>5784</v>
      </c>
      <c r="AC764" s="56" t="s">
        <v>3543</v>
      </c>
      <c r="AD764" s="56" t="s">
        <v>24</v>
      </c>
      <c r="AE764" s="56" t="s">
        <v>5673</v>
      </c>
      <c r="AF764" s="56" t="s">
        <v>5783</v>
      </c>
      <c r="AH764" s="56" t="s">
        <v>3542</v>
      </c>
      <c r="AI764" s="56" t="s">
        <v>3723</v>
      </c>
    </row>
    <row r="765" spans="1:35" ht="33" customHeight="1">
      <c r="A765" s="56" t="s">
        <v>5782</v>
      </c>
      <c r="B765" s="57">
        <v>44361.374155092592</v>
      </c>
      <c r="C765" s="56" t="s">
        <v>3803</v>
      </c>
      <c r="D765" s="56" t="s">
        <v>3802</v>
      </c>
      <c r="E765" s="56" t="s">
        <v>5781</v>
      </c>
      <c r="F765" s="56" t="s">
        <v>5780</v>
      </c>
      <c r="G765" s="58" t="s">
        <v>1506</v>
      </c>
      <c r="H765" s="56">
        <v>2</v>
      </c>
      <c r="I765" s="56" t="s">
        <v>3696</v>
      </c>
      <c r="J765" s="56">
        <v>299</v>
      </c>
      <c r="K765" s="56">
        <v>299</v>
      </c>
      <c r="L765" s="56">
        <v>1495</v>
      </c>
      <c r="M765" s="56">
        <v>0</v>
      </c>
      <c r="N765" s="56">
        <v>0</v>
      </c>
      <c r="O765" s="56">
        <v>150</v>
      </c>
      <c r="P765" s="56">
        <v>0</v>
      </c>
      <c r="Q765" s="56">
        <v>1345</v>
      </c>
      <c r="R765" s="56">
        <v>0</v>
      </c>
      <c r="S765" s="56">
        <v>0</v>
      </c>
      <c r="T765" s="56" t="s">
        <v>3562</v>
      </c>
      <c r="U765" s="56">
        <v>1345</v>
      </c>
      <c r="V765" s="56" t="s">
        <v>59</v>
      </c>
      <c r="W765" s="56" t="s">
        <v>3548</v>
      </c>
      <c r="X765" s="56" t="s">
        <v>39</v>
      </c>
      <c r="Y765" s="56" t="s">
        <v>5779</v>
      </c>
      <c r="Z765" s="56" t="s">
        <v>5778</v>
      </c>
      <c r="AC765" s="56" t="s">
        <v>3543</v>
      </c>
      <c r="AD765" s="56" t="s">
        <v>24</v>
      </c>
      <c r="AE765" s="56" t="s">
        <v>5673</v>
      </c>
      <c r="AF765" s="56" t="s">
        <v>5777</v>
      </c>
      <c r="AH765" s="56" t="s">
        <v>3542</v>
      </c>
      <c r="AI765" s="56" t="s">
        <v>3723</v>
      </c>
    </row>
    <row r="766" spans="1:35" ht="33" customHeight="1">
      <c r="A766" s="56" t="s">
        <v>5782</v>
      </c>
      <c r="B766" s="57">
        <v>44361.374155092592</v>
      </c>
      <c r="C766" s="56" t="s">
        <v>3803</v>
      </c>
      <c r="D766" s="56" t="s">
        <v>3802</v>
      </c>
      <c r="E766" s="56" t="s">
        <v>5781</v>
      </c>
      <c r="F766" s="56" t="s">
        <v>5780</v>
      </c>
      <c r="G766" s="58" t="s">
        <v>3299</v>
      </c>
      <c r="H766" s="56">
        <v>1</v>
      </c>
      <c r="I766" s="56" t="s">
        <v>3576</v>
      </c>
      <c r="J766" s="56">
        <v>299</v>
      </c>
      <c r="K766" s="56">
        <v>299</v>
      </c>
      <c r="P766" s="56">
        <v>0</v>
      </c>
      <c r="S766" s="56">
        <v>0</v>
      </c>
      <c r="T766" s="56" t="s">
        <v>3562</v>
      </c>
      <c r="V766" s="56" t="s">
        <v>59</v>
      </c>
      <c r="W766" s="56" t="s">
        <v>3548</v>
      </c>
      <c r="X766" s="56" t="s">
        <v>39</v>
      </c>
      <c r="Y766" s="56" t="s">
        <v>5779</v>
      </c>
      <c r="Z766" s="56" t="s">
        <v>5778</v>
      </c>
      <c r="AC766" s="56" t="s">
        <v>3543</v>
      </c>
      <c r="AD766" s="56" t="s">
        <v>24</v>
      </c>
      <c r="AE766" s="56" t="s">
        <v>5673</v>
      </c>
      <c r="AF766" s="56" t="s">
        <v>5777</v>
      </c>
      <c r="AH766" s="56" t="s">
        <v>3542</v>
      </c>
      <c r="AI766" s="56" t="s">
        <v>3723</v>
      </c>
    </row>
    <row r="767" spans="1:35" ht="33" customHeight="1">
      <c r="A767" s="56" t="s">
        <v>5782</v>
      </c>
      <c r="B767" s="57">
        <v>44361.374155092592</v>
      </c>
      <c r="C767" s="56" t="s">
        <v>3803</v>
      </c>
      <c r="D767" s="56" t="s">
        <v>3802</v>
      </c>
      <c r="E767" s="56" t="s">
        <v>5781</v>
      </c>
      <c r="F767" s="56" t="s">
        <v>5780</v>
      </c>
      <c r="G767" s="58" t="s">
        <v>1508</v>
      </c>
      <c r="H767" s="56">
        <v>2</v>
      </c>
      <c r="I767" s="56" t="s">
        <v>3696</v>
      </c>
      <c r="J767" s="56">
        <v>299</v>
      </c>
      <c r="K767" s="56">
        <v>299</v>
      </c>
      <c r="P767" s="56">
        <v>0</v>
      </c>
      <c r="S767" s="56">
        <v>0</v>
      </c>
      <c r="T767" s="56" t="s">
        <v>3562</v>
      </c>
      <c r="V767" s="56" t="s">
        <v>59</v>
      </c>
      <c r="W767" s="56" t="s">
        <v>3548</v>
      </c>
      <c r="X767" s="56" t="s">
        <v>39</v>
      </c>
      <c r="Y767" s="56" t="s">
        <v>5779</v>
      </c>
      <c r="Z767" s="56" t="s">
        <v>5778</v>
      </c>
      <c r="AC767" s="56" t="s">
        <v>3543</v>
      </c>
      <c r="AD767" s="56" t="s">
        <v>24</v>
      </c>
      <c r="AE767" s="56" t="s">
        <v>5673</v>
      </c>
      <c r="AF767" s="56" t="s">
        <v>5777</v>
      </c>
      <c r="AH767" s="56" t="s">
        <v>3542</v>
      </c>
      <c r="AI767" s="56" t="s">
        <v>3723</v>
      </c>
    </row>
    <row r="768" spans="1:35" ht="33" customHeight="1">
      <c r="A768" s="56" t="s">
        <v>5782</v>
      </c>
      <c r="B768" s="57">
        <v>44361.374155092592</v>
      </c>
      <c r="C768" s="56" t="s">
        <v>3803</v>
      </c>
      <c r="D768" s="56" t="s">
        <v>3802</v>
      </c>
      <c r="E768" s="56" t="s">
        <v>5781</v>
      </c>
      <c r="F768" s="56" t="s">
        <v>5780</v>
      </c>
      <c r="G768" s="58" t="s">
        <v>3551</v>
      </c>
      <c r="H768" s="56">
        <v>1</v>
      </c>
      <c r="I768" s="56" t="s">
        <v>3550</v>
      </c>
      <c r="J768" s="56">
        <v>0</v>
      </c>
      <c r="K768" s="56">
        <v>0</v>
      </c>
      <c r="P768" s="56">
        <v>0</v>
      </c>
      <c r="S768" s="56">
        <v>0</v>
      </c>
      <c r="T768" s="56" t="s">
        <v>3562</v>
      </c>
      <c r="V768" s="56" t="s">
        <v>59</v>
      </c>
      <c r="W768" s="56" t="s">
        <v>3548</v>
      </c>
      <c r="X768" s="56" t="s">
        <v>39</v>
      </c>
      <c r="Y768" s="56" t="s">
        <v>5779</v>
      </c>
      <c r="Z768" s="56" t="s">
        <v>5778</v>
      </c>
      <c r="AC768" s="56" t="s">
        <v>3543</v>
      </c>
      <c r="AD768" s="56" t="s">
        <v>24</v>
      </c>
      <c r="AE768" s="56" t="s">
        <v>5673</v>
      </c>
      <c r="AF768" s="56" t="s">
        <v>5777</v>
      </c>
      <c r="AH768" s="56" t="s">
        <v>3542</v>
      </c>
      <c r="AI768" s="56" t="s">
        <v>3723</v>
      </c>
    </row>
    <row r="769" spans="1:35" ht="33" customHeight="1">
      <c r="A769" s="56" t="s">
        <v>5782</v>
      </c>
      <c r="B769" s="57">
        <v>44361.374155092592</v>
      </c>
      <c r="C769" s="56" t="s">
        <v>3803</v>
      </c>
      <c r="D769" s="56" t="s">
        <v>3802</v>
      </c>
      <c r="E769" s="56" t="s">
        <v>5781</v>
      </c>
      <c r="F769" s="56" t="s">
        <v>5780</v>
      </c>
      <c r="G769" s="58" t="s">
        <v>1498</v>
      </c>
      <c r="H769" s="56">
        <v>1</v>
      </c>
      <c r="I769" s="56" t="s">
        <v>4016</v>
      </c>
      <c r="J769" s="56">
        <v>0</v>
      </c>
      <c r="K769" s="56">
        <v>0</v>
      </c>
      <c r="P769" s="56">
        <v>0</v>
      </c>
      <c r="S769" s="56">
        <v>0</v>
      </c>
      <c r="T769" s="56" t="s">
        <v>3562</v>
      </c>
      <c r="V769" s="56" t="s">
        <v>59</v>
      </c>
      <c r="W769" s="56" t="s">
        <v>3548</v>
      </c>
      <c r="X769" s="56" t="s">
        <v>39</v>
      </c>
      <c r="Y769" s="56" t="s">
        <v>5779</v>
      </c>
      <c r="Z769" s="56" t="s">
        <v>5778</v>
      </c>
      <c r="AC769" s="56" t="s">
        <v>3543</v>
      </c>
      <c r="AD769" s="56" t="s">
        <v>24</v>
      </c>
      <c r="AE769" s="56" t="s">
        <v>5673</v>
      </c>
      <c r="AF769" s="56" t="s">
        <v>5777</v>
      </c>
      <c r="AH769" s="56" t="s">
        <v>3542</v>
      </c>
      <c r="AI769" s="56" t="s">
        <v>3723</v>
      </c>
    </row>
    <row r="770" spans="1:35" ht="33" customHeight="1">
      <c r="A770" s="56" t="s">
        <v>5776</v>
      </c>
      <c r="B770" s="57">
        <v>44361.382048611114</v>
      </c>
      <c r="C770" s="56" t="s">
        <v>3803</v>
      </c>
      <c r="D770" s="56" t="s">
        <v>3802</v>
      </c>
      <c r="E770" s="56" t="s">
        <v>5775</v>
      </c>
      <c r="F770" s="56" t="s">
        <v>5774</v>
      </c>
      <c r="G770" s="58" t="s">
        <v>3811</v>
      </c>
      <c r="H770" s="56">
        <v>1</v>
      </c>
      <c r="I770" s="56" t="s">
        <v>3669</v>
      </c>
      <c r="J770" s="56">
        <v>897</v>
      </c>
      <c r="K770" s="56">
        <v>888</v>
      </c>
      <c r="L770" s="56">
        <v>1016</v>
      </c>
      <c r="M770" s="56">
        <v>0</v>
      </c>
      <c r="N770" s="56">
        <v>0</v>
      </c>
      <c r="O770" s="56">
        <v>100</v>
      </c>
      <c r="P770" s="56">
        <v>0</v>
      </c>
      <c r="Q770" s="56">
        <v>916</v>
      </c>
      <c r="R770" s="56">
        <v>0</v>
      </c>
      <c r="S770" s="56">
        <v>0</v>
      </c>
      <c r="T770" s="56" t="s">
        <v>27</v>
      </c>
      <c r="U770" s="56">
        <v>916</v>
      </c>
      <c r="V770" s="56" t="s">
        <v>3736</v>
      </c>
      <c r="W770" s="56" t="s">
        <v>3548</v>
      </c>
      <c r="X770" s="56" t="s">
        <v>3735</v>
      </c>
      <c r="Y770" s="56" t="s">
        <v>5019</v>
      </c>
      <c r="Z770" s="56" t="s">
        <v>5773</v>
      </c>
      <c r="AC770" s="56" t="s">
        <v>3543</v>
      </c>
      <c r="AH770" s="56" t="s">
        <v>3542</v>
      </c>
      <c r="AI770" s="56" t="s">
        <v>3541</v>
      </c>
    </row>
    <row r="771" spans="1:35" ht="33" customHeight="1">
      <c r="A771" s="56" t="s">
        <v>5776</v>
      </c>
      <c r="B771" s="57">
        <v>44361.382048611114</v>
      </c>
      <c r="C771" s="56" t="s">
        <v>3803</v>
      </c>
      <c r="D771" s="56" t="s">
        <v>3802</v>
      </c>
      <c r="E771" s="56" t="s">
        <v>5775</v>
      </c>
      <c r="F771" s="56" t="s">
        <v>5774</v>
      </c>
      <c r="G771" s="58" t="s">
        <v>2161</v>
      </c>
      <c r="H771" s="56">
        <v>1</v>
      </c>
      <c r="I771" s="56" t="s">
        <v>3694</v>
      </c>
      <c r="J771" s="56">
        <v>128</v>
      </c>
      <c r="K771" s="56">
        <v>128</v>
      </c>
      <c r="P771" s="56">
        <v>0</v>
      </c>
      <c r="S771" s="56">
        <v>0</v>
      </c>
      <c r="T771" s="56" t="s">
        <v>27</v>
      </c>
      <c r="V771" s="56" t="s">
        <v>3736</v>
      </c>
      <c r="W771" s="56" t="s">
        <v>3548</v>
      </c>
      <c r="X771" s="56" t="s">
        <v>3735</v>
      </c>
      <c r="Y771" s="56" t="s">
        <v>5019</v>
      </c>
      <c r="Z771" s="56" t="s">
        <v>5773</v>
      </c>
      <c r="AC771" s="56" t="s">
        <v>3543</v>
      </c>
      <c r="AH771" s="56" t="s">
        <v>3542</v>
      </c>
      <c r="AI771" s="56" t="s">
        <v>3541</v>
      </c>
    </row>
    <row r="772" spans="1:35" ht="33" customHeight="1">
      <c r="A772" s="56" t="s">
        <v>5776</v>
      </c>
      <c r="B772" s="57">
        <v>44361.382048611114</v>
      </c>
      <c r="C772" s="56" t="s">
        <v>3803</v>
      </c>
      <c r="D772" s="56" t="s">
        <v>3802</v>
      </c>
      <c r="E772" s="56" t="s">
        <v>5775</v>
      </c>
      <c r="F772" s="56" t="s">
        <v>5774</v>
      </c>
      <c r="G772" s="58" t="s">
        <v>3551</v>
      </c>
      <c r="H772" s="56">
        <v>1</v>
      </c>
      <c r="I772" s="56" t="s">
        <v>3550</v>
      </c>
      <c r="J772" s="56">
        <v>0</v>
      </c>
      <c r="K772" s="56">
        <v>0</v>
      </c>
      <c r="P772" s="56">
        <v>0</v>
      </c>
      <c r="S772" s="56">
        <v>0</v>
      </c>
      <c r="T772" s="56" t="s">
        <v>27</v>
      </c>
      <c r="V772" s="56" t="s">
        <v>3736</v>
      </c>
      <c r="W772" s="56" t="s">
        <v>3548</v>
      </c>
      <c r="X772" s="56" t="s">
        <v>3735</v>
      </c>
      <c r="Y772" s="56" t="s">
        <v>5019</v>
      </c>
      <c r="Z772" s="56" t="s">
        <v>5773</v>
      </c>
      <c r="AC772" s="56" t="s">
        <v>3543</v>
      </c>
      <c r="AH772" s="56" t="s">
        <v>3542</v>
      </c>
      <c r="AI772" s="56" t="s">
        <v>3541</v>
      </c>
    </row>
    <row r="773" spans="1:35" ht="33" customHeight="1">
      <c r="A773" s="56" t="s">
        <v>5776</v>
      </c>
      <c r="B773" s="57">
        <v>44361.382048611114</v>
      </c>
      <c r="C773" s="56" t="s">
        <v>3803</v>
      </c>
      <c r="D773" s="56" t="s">
        <v>3802</v>
      </c>
      <c r="E773" s="56" t="s">
        <v>5775</v>
      </c>
      <c r="F773" s="56" t="s">
        <v>5774</v>
      </c>
      <c r="G773" s="58" t="s">
        <v>1498</v>
      </c>
      <c r="H773" s="56">
        <v>1</v>
      </c>
      <c r="I773" s="56" t="s">
        <v>4016</v>
      </c>
      <c r="J773" s="56">
        <v>0</v>
      </c>
      <c r="K773" s="56">
        <v>0</v>
      </c>
      <c r="P773" s="56">
        <v>0</v>
      </c>
      <c r="S773" s="56">
        <v>0</v>
      </c>
      <c r="T773" s="56" t="s">
        <v>27</v>
      </c>
      <c r="V773" s="56" t="s">
        <v>3736</v>
      </c>
      <c r="W773" s="56" t="s">
        <v>3548</v>
      </c>
      <c r="X773" s="56" t="s">
        <v>3735</v>
      </c>
      <c r="Y773" s="56" t="s">
        <v>5019</v>
      </c>
      <c r="Z773" s="56" t="s">
        <v>5773</v>
      </c>
      <c r="AC773" s="56" t="s">
        <v>3543</v>
      </c>
      <c r="AH773" s="56" t="s">
        <v>3542</v>
      </c>
      <c r="AI773" s="56" t="s">
        <v>3541</v>
      </c>
    </row>
    <row r="774" spans="1:35" ht="33" customHeight="1">
      <c r="A774" s="56" t="s">
        <v>5772</v>
      </c>
      <c r="B774" s="57">
        <v>44361.386273148149</v>
      </c>
      <c r="C774" s="56" t="s">
        <v>4512</v>
      </c>
      <c r="D774" s="56" t="s">
        <v>4511</v>
      </c>
      <c r="E774" s="56" t="s">
        <v>5771</v>
      </c>
      <c r="F774" s="56" t="s">
        <v>5770</v>
      </c>
      <c r="G774" s="58" t="s">
        <v>3811</v>
      </c>
      <c r="H774" s="56">
        <v>1</v>
      </c>
      <c r="I774" s="56" t="s">
        <v>3669</v>
      </c>
      <c r="J774" s="56">
        <v>897</v>
      </c>
      <c r="K774" s="56">
        <v>888</v>
      </c>
      <c r="L774" s="56">
        <v>1278</v>
      </c>
      <c r="M774" s="56">
        <v>0</v>
      </c>
      <c r="N774" s="56">
        <v>0</v>
      </c>
      <c r="O774" s="56">
        <v>128</v>
      </c>
      <c r="P774" s="56">
        <v>0</v>
      </c>
      <c r="Q774" s="56">
        <v>1150</v>
      </c>
      <c r="R774" s="56">
        <v>0</v>
      </c>
      <c r="S774" s="56">
        <v>0</v>
      </c>
      <c r="T774" s="56" t="s">
        <v>3562</v>
      </c>
      <c r="U774" s="56">
        <v>1150</v>
      </c>
      <c r="V774" s="56" t="s">
        <v>3612</v>
      </c>
      <c r="W774" s="56" t="s">
        <v>3548</v>
      </c>
      <c r="X774" s="56" t="s">
        <v>3611</v>
      </c>
      <c r="Z774" s="56" t="s">
        <v>3546</v>
      </c>
      <c r="AA774" s="56" t="s">
        <v>5769</v>
      </c>
      <c r="AB774" s="56" t="s">
        <v>5768</v>
      </c>
      <c r="AC774" s="56" t="s">
        <v>3543</v>
      </c>
      <c r="AD774" s="56" t="s">
        <v>24</v>
      </c>
      <c r="AE774" s="56" t="s">
        <v>4530</v>
      </c>
      <c r="AF774" s="56" t="s">
        <v>5767</v>
      </c>
      <c r="AH774" s="56" t="s">
        <v>3542</v>
      </c>
      <c r="AI774" s="56" t="s">
        <v>3723</v>
      </c>
    </row>
    <row r="775" spans="1:35" ht="33" customHeight="1">
      <c r="A775" s="56" t="s">
        <v>5772</v>
      </c>
      <c r="B775" s="57">
        <v>44361.386273148149</v>
      </c>
      <c r="C775" s="56" t="s">
        <v>4512</v>
      </c>
      <c r="D775" s="56" t="s">
        <v>4511</v>
      </c>
      <c r="E775" s="56" t="s">
        <v>5771</v>
      </c>
      <c r="F775" s="56" t="s">
        <v>5770</v>
      </c>
      <c r="G775" s="58" t="s">
        <v>4467</v>
      </c>
      <c r="H775" s="56">
        <v>1</v>
      </c>
      <c r="I775" s="56" t="s">
        <v>3769</v>
      </c>
      <c r="J775" s="56">
        <v>405</v>
      </c>
      <c r="K775" s="56">
        <v>390</v>
      </c>
      <c r="P775" s="56">
        <v>0</v>
      </c>
      <c r="S775" s="56">
        <v>0</v>
      </c>
      <c r="T775" s="56" t="s">
        <v>3562</v>
      </c>
      <c r="V775" s="56" t="s">
        <v>3612</v>
      </c>
      <c r="W775" s="56" t="s">
        <v>3548</v>
      </c>
      <c r="X775" s="56" t="s">
        <v>3611</v>
      </c>
      <c r="Z775" s="56" t="s">
        <v>3546</v>
      </c>
      <c r="AA775" s="56" t="s">
        <v>5769</v>
      </c>
      <c r="AB775" s="56" t="s">
        <v>5768</v>
      </c>
      <c r="AC775" s="56" t="s">
        <v>3543</v>
      </c>
      <c r="AD775" s="56" t="s">
        <v>24</v>
      </c>
      <c r="AE775" s="56" t="s">
        <v>4530</v>
      </c>
      <c r="AF775" s="56" t="s">
        <v>5767</v>
      </c>
      <c r="AH775" s="56" t="s">
        <v>3542</v>
      </c>
      <c r="AI775" s="56" t="s">
        <v>3723</v>
      </c>
    </row>
    <row r="776" spans="1:35" ht="33" customHeight="1">
      <c r="A776" s="56" t="s">
        <v>5772</v>
      </c>
      <c r="B776" s="57">
        <v>44361.386273148149</v>
      </c>
      <c r="C776" s="56" t="s">
        <v>4512</v>
      </c>
      <c r="D776" s="56" t="s">
        <v>4511</v>
      </c>
      <c r="E776" s="56" t="s">
        <v>5771</v>
      </c>
      <c r="F776" s="56" t="s">
        <v>5770</v>
      </c>
      <c r="G776" s="58" t="s">
        <v>3551</v>
      </c>
      <c r="H776" s="56">
        <v>1</v>
      </c>
      <c r="I776" s="56" t="s">
        <v>3550</v>
      </c>
      <c r="J776" s="56">
        <v>0</v>
      </c>
      <c r="K776" s="56">
        <v>0</v>
      </c>
      <c r="P776" s="56">
        <v>0</v>
      </c>
      <c r="S776" s="56">
        <v>0</v>
      </c>
      <c r="T776" s="56" t="s">
        <v>3562</v>
      </c>
      <c r="V776" s="56" t="s">
        <v>3612</v>
      </c>
      <c r="W776" s="56" t="s">
        <v>3548</v>
      </c>
      <c r="X776" s="56" t="s">
        <v>3611</v>
      </c>
      <c r="Z776" s="56" t="s">
        <v>3546</v>
      </c>
      <c r="AA776" s="56" t="s">
        <v>5769</v>
      </c>
      <c r="AB776" s="56" t="s">
        <v>5768</v>
      </c>
      <c r="AC776" s="56" t="s">
        <v>3543</v>
      </c>
      <c r="AD776" s="56" t="s">
        <v>24</v>
      </c>
      <c r="AE776" s="56" t="s">
        <v>4530</v>
      </c>
      <c r="AF776" s="56" t="s">
        <v>5767</v>
      </c>
      <c r="AH776" s="56" t="s">
        <v>3542</v>
      </c>
      <c r="AI776" s="56" t="s">
        <v>3723</v>
      </c>
    </row>
    <row r="777" spans="1:35" ht="33" customHeight="1">
      <c r="A777" s="56" t="s">
        <v>5772</v>
      </c>
      <c r="B777" s="57">
        <v>44361.386273148149</v>
      </c>
      <c r="C777" s="56" t="s">
        <v>4512</v>
      </c>
      <c r="D777" s="56" t="s">
        <v>4511</v>
      </c>
      <c r="E777" s="56" t="s">
        <v>5771</v>
      </c>
      <c r="F777" s="56" t="s">
        <v>5770</v>
      </c>
      <c r="G777" s="58" t="s">
        <v>1498</v>
      </c>
      <c r="H777" s="56">
        <v>1</v>
      </c>
      <c r="I777" s="56" t="s">
        <v>4016</v>
      </c>
      <c r="J777" s="56">
        <v>0</v>
      </c>
      <c r="K777" s="56">
        <v>0</v>
      </c>
      <c r="P777" s="56">
        <v>0</v>
      </c>
      <c r="S777" s="56">
        <v>0</v>
      </c>
      <c r="T777" s="56" t="s">
        <v>3562</v>
      </c>
      <c r="V777" s="56" t="s">
        <v>3612</v>
      </c>
      <c r="W777" s="56" t="s">
        <v>3548</v>
      </c>
      <c r="X777" s="56" t="s">
        <v>3611</v>
      </c>
      <c r="Z777" s="56" t="s">
        <v>3546</v>
      </c>
      <c r="AA777" s="56" t="s">
        <v>5769</v>
      </c>
      <c r="AB777" s="56" t="s">
        <v>5768</v>
      </c>
      <c r="AC777" s="56" t="s">
        <v>3543</v>
      </c>
      <c r="AD777" s="56" t="s">
        <v>24</v>
      </c>
      <c r="AE777" s="56" t="s">
        <v>4530</v>
      </c>
      <c r="AF777" s="56" t="s">
        <v>5767</v>
      </c>
      <c r="AH777" s="56" t="s">
        <v>3542</v>
      </c>
      <c r="AI777" s="56" t="s">
        <v>3723</v>
      </c>
    </row>
    <row r="778" spans="1:35" ht="33" customHeight="1">
      <c r="A778" s="56" t="s">
        <v>5766</v>
      </c>
      <c r="B778" s="57">
        <v>44361.394247685188</v>
      </c>
      <c r="C778" s="56" t="s">
        <v>3803</v>
      </c>
      <c r="D778" s="56" t="s">
        <v>3802</v>
      </c>
      <c r="E778" s="56" t="s">
        <v>5765</v>
      </c>
      <c r="F778" s="56" t="s">
        <v>5764</v>
      </c>
      <c r="G778" s="58" t="s">
        <v>3654</v>
      </c>
      <c r="H778" s="56">
        <v>1</v>
      </c>
      <c r="I778" s="56" t="s">
        <v>3653</v>
      </c>
      <c r="J778" s="56">
        <v>447</v>
      </c>
      <c r="K778" s="56">
        <v>430</v>
      </c>
      <c r="L778" s="56">
        <v>1186</v>
      </c>
      <c r="M778" s="56">
        <v>0</v>
      </c>
      <c r="N778" s="56">
        <v>0</v>
      </c>
      <c r="O778" s="56">
        <v>100</v>
      </c>
      <c r="P778" s="56">
        <v>0</v>
      </c>
      <c r="Q778" s="56">
        <v>1086</v>
      </c>
      <c r="R778" s="56">
        <v>0</v>
      </c>
      <c r="S778" s="56">
        <v>0</v>
      </c>
      <c r="T778" s="56" t="s">
        <v>27</v>
      </c>
      <c r="U778" s="56">
        <v>1086</v>
      </c>
      <c r="V778" s="56" t="s">
        <v>3736</v>
      </c>
      <c r="W778" s="56" t="s">
        <v>3548</v>
      </c>
      <c r="X778" s="56" t="s">
        <v>3735</v>
      </c>
      <c r="Y778" s="56" t="s">
        <v>4066</v>
      </c>
      <c r="Z778" s="56" t="s">
        <v>5763</v>
      </c>
      <c r="AC778" s="56" t="s">
        <v>3543</v>
      </c>
      <c r="AH778" s="56" t="s">
        <v>3542</v>
      </c>
      <c r="AI778" s="56" t="s">
        <v>3541</v>
      </c>
    </row>
    <row r="779" spans="1:35" ht="33" customHeight="1">
      <c r="A779" s="56" t="s">
        <v>5766</v>
      </c>
      <c r="B779" s="57">
        <v>44361.394247685188</v>
      </c>
      <c r="C779" s="56" t="s">
        <v>3803</v>
      </c>
      <c r="D779" s="56" t="s">
        <v>3802</v>
      </c>
      <c r="E779" s="56" t="s">
        <v>5765</v>
      </c>
      <c r="F779" s="56" t="s">
        <v>5764</v>
      </c>
      <c r="G779" s="58" t="s">
        <v>1510</v>
      </c>
      <c r="H779" s="56">
        <v>1</v>
      </c>
      <c r="I779" s="56" t="s">
        <v>3696</v>
      </c>
      <c r="J779" s="56">
        <v>299</v>
      </c>
      <c r="K779" s="56">
        <v>299</v>
      </c>
      <c r="P779" s="56">
        <v>0</v>
      </c>
      <c r="S779" s="56">
        <v>0</v>
      </c>
      <c r="T779" s="56" t="s">
        <v>27</v>
      </c>
      <c r="V779" s="56" t="s">
        <v>3736</v>
      </c>
      <c r="W779" s="56" t="s">
        <v>3548</v>
      </c>
      <c r="X779" s="56" t="s">
        <v>3735</v>
      </c>
      <c r="Y779" s="56" t="s">
        <v>4066</v>
      </c>
      <c r="Z779" s="56" t="s">
        <v>5763</v>
      </c>
      <c r="AC779" s="56" t="s">
        <v>3543</v>
      </c>
      <c r="AH779" s="56" t="s">
        <v>3542</v>
      </c>
      <c r="AI779" s="56" t="s">
        <v>3541</v>
      </c>
    </row>
    <row r="780" spans="1:35" ht="33" customHeight="1">
      <c r="A780" s="56" t="s">
        <v>5766</v>
      </c>
      <c r="B780" s="57">
        <v>44361.394247685188</v>
      </c>
      <c r="C780" s="56" t="s">
        <v>3803</v>
      </c>
      <c r="D780" s="56" t="s">
        <v>3802</v>
      </c>
      <c r="E780" s="56" t="s">
        <v>5765</v>
      </c>
      <c r="F780" s="56" t="s">
        <v>5764</v>
      </c>
      <c r="G780" s="58" t="s">
        <v>3174</v>
      </c>
      <c r="H780" s="56">
        <v>1</v>
      </c>
      <c r="I780" s="56" t="s">
        <v>3791</v>
      </c>
      <c r="J780" s="56">
        <v>299</v>
      </c>
      <c r="K780" s="56">
        <v>299</v>
      </c>
      <c r="P780" s="56">
        <v>0</v>
      </c>
      <c r="S780" s="56">
        <v>0</v>
      </c>
      <c r="T780" s="56" t="s">
        <v>27</v>
      </c>
      <c r="V780" s="56" t="s">
        <v>3736</v>
      </c>
      <c r="W780" s="56" t="s">
        <v>3548</v>
      </c>
      <c r="X780" s="56" t="s">
        <v>3735</v>
      </c>
      <c r="Y780" s="56" t="s">
        <v>4066</v>
      </c>
      <c r="Z780" s="56" t="s">
        <v>5763</v>
      </c>
      <c r="AC780" s="56" t="s">
        <v>3543</v>
      </c>
      <c r="AH780" s="56" t="s">
        <v>3542</v>
      </c>
      <c r="AI780" s="56" t="s">
        <v>3541</v>
      </c>
    </row>
    <row r="781" spans="1:35" ht="33" customHeight="1">
      <c r="A781" s="56" t="s">
        <v>5766</v>
      </c>
      <c r="B781" s="57">
        <v>44361.394247685188</v>
      </c>
      <c r="C781" s="56" t="s">
        <v>3803</v>
      </c>
      <c r="D781" s="56" t="s">
        <v>3802</v>
      </c>
      <c r="E781" s="56" t="s">
        <v>5765</v>
      </c>
      <c r="F781" s="56" t="s">
        <v>5764</v>
      </c>
      <c r="G781" s="58" t="s">
        <v>3199</v>
      </c>
      <c r="H781" s="56">
        <v>1</v>
      </c>
      <c r="I781" s="56" t="s">
        <v>3834</v>
      </c>
      <c r="J781" s="56">
        <v>119</v>
      </c>
      <c r="K781" s="56">
        <v>99</v>
      </c>
      <c r="P781" s="56">
        <v>0</v>
      </c>
      <c r="S781" s="56">
        <v>0</v>
      </c>
      <c r="T781" s="56" t="s">
        <v>27</v>
      </c>
      <c r="V781" s="56" t="s">
        <v>3736</v>
      </c>
      <c r="W781" s="56" t="s">
        <v>3548</v>
      </c>
      <c r="X781" s="56" t="s">
        <v>3735</v>
      </c>
      <c r="Y781" s="56" t="s">
        <v>4066</v>
      </c>
      <c r="Z781" s="56" t="s">
        <v>5763</v>
      </c>
      <c r="AC781" s="56" t="s">
        <v>3543</v>
      </c>
      <c r="AH781" s="56" t="s">
        <v>3542</v>
      </c>
      <c r="AI781" s="56" t="s">
        <v>3541</v>
      </c>
    </row>
    <row r="782" spans="1:35" ht="33" customHeight="1">
      <c r="A782" s="56" t="s">
        <v>5766</v>
      </c>
      <c r="B782" s="57">
        <v>44361.394247685188</v>
      </c>
      <c r="C782" s="56" t="s">
        <v>3803</v>
      </c>
      <c r="D782" s="56" t="s">
        <v>3802</v>
      </c>
      <c r="E782" s="56" t="s">
        <v>5765</v>
      </c>
      <c r="F782" s="56" t="s">
        <v>5764</v>
      </c>
      <c r="G782" s="58" t="s">
        <v>3217</v>
      </c>
      <c r="H782" s="56">
        <v>1</v>
      </c>
      <c r="I782" s="56" t="s">
        <v>3720</v>
      </c>
      <c r="J782" s="56">
        <v>59</v>
      </c>
      <c r="K782" s="56">
        <v>59</v>
      </c>
      <c r="P782" s="56">
        <v>0</v>
      </c>
      <c r="S782" s="56">
        <v>0</v>
      </c>
      <c r="T782" s="56" t="s">
        <v>27</v>
      </c>
      <c r="V782" s="56" t="s">
        <v>3736</v>
      </c>
      <c r="W782" s="56" t="s">
        <v>3548</v>
      </c>
      <c r="X782" s="56" t="s">
        <v>3735</v>
      </c>
      <c r="Y782" s="56" t="s">
        <v>4066</v>
      </c>
      <c r="Z782" s="56" t="s">
        <v>5763</v>
      </c>
      <c r="AC782" s="56" t="s">
        <v>3543</v>
      </c>
      <c r="AH782" s="56" t="s">
        <v>3542</v>
      </c>
      <c r="AI782" s="56" t="s">
        <v>3541</v>
      </c>
    </row>
    <row r="783" spans="1:35" ht="33" customHeight="1">
      <c r="A783" s="56" t="s">
        <v>5766</v>
      </c>
      <c r="B783" s="57">
        <v>44361.394247685188</v>
      </c>
      <c r="C783" s="56" t="s">
        <v>3803</v>
      </c>
      <c r="D783" s="56" t="s">
        <v>3802</v>
      </c>
      <c r="E783" s="56" t="s">
        <v>5765</v>
      </c>
      <c r="F783" s="56" t="s">
        <v>5764</v>
      </c>
      <c r="G783" s="58" t="s">
        <v>3551</v>
      </c>
      <c r="H783" s="56">
        <v>1</v>
      </c>
      <c r="I783" s="56" t="s">
        <v>3550</v>
      </c>
      <c r="J783" s="56">
        <v>0</v>
      </c>
      <c r="K783" s="56">
        <v>0</v>
      </c>
      <c r="P783" s="56">
        <v>0</v>
      </c>
      <c r="S783" s="56">
        <v>0</v>
      </c>
      <c r="T783" s="56" t="s">
        <v>27</v>
      </c>
      <c r="V783" s="56" t="s">
        <v>3736</v>
      </c>
      <c r="W783" s="56" t="s">
        <v>3548</v>
      </c>
      <c r="X783" s="56" t="s">
        <v>3735</v>
      </c>
      <c r="Y783" s="56" t="s">
        <v>4066</v>
      </c>
      <c r="Z783" s="56" t="s">
        <v>5763</v>
      </c>
      <c r="AC783" s="56" t="s">
        <v>3543</v>
      </c>
      <c r="AH783" s="56" t="s">
        <v>3542</v>
      </c>
      <c r="AI783" s="56" t="s">
        <v>3541</v>
      </c>
    </row>
    <row r="784" spans="1:35" ht="33" customHeight="1">
      <c r="A784" s="56" t="s">
        <v>5766</v>
      </c>
      <c r="B784" s="57">
        <v>44361.394247685188</v>
      </c>
      <c r="C784" s="56" t="s">
        <v>3803</v>
      </c>
      <c r="D784" s="56" t="s">
        <v>3802</v>
      </c>
      <c r="E784" s="56" t="s">
        <v>5765</v>
      </c>
      <c r="F784" s="56" t="s">
        <v>5764</v>
      </c>
      <c r="G784" s="58" t="s">
        <v>1498</v>
      </c>
      <c r="H784" s="56">
        <v>1</v>
      </c>
      <c r="I784" s="56" t="s">
        <v>4016</v>
      </c>
      <c r="J784" s="56">
        <v>0</v>
      </c>
      <c r="K784" s="56">
        <v>0</v>
      </c>
      <c r="P784" s="56">
        <v>0</v>
      </c>
      <c r="S784" s="56">
        <v>0</v>
      </c>
      <c r="T784" s="56" t="s">
        <v>27</v>
      </c>
      <c r="V784" s="56" t="s">
        <v>3736</v>
      </c>
      <c r="W784" s="56" t="s">
        <v>3548</v>
      </c>
      <c r="X784" s="56" t="s">
        <v>3735</v>
      </c>
      <c r="Y784" s="56" t="s">
        <v>4066</v>
      </c>
      <c r="Z784" s="56" t="s">
        <v>5763</v>
      </c>
      <c r="AC784" s="56" t="s">
        <v>3543</v>
      </c>
      <c r="AH784" s="56" t="s">
        <v>3542</v>
      </c>
      <c r="AI784" s="56" t="s">
        <v>3541</v>
      </c>
    </row>
    <row r="785" spans="1:35" ht="33" customHeight="1">
      <c r="A785" s="56" t="s">
        <v>5761</v>
      </c>
      <c r="B785" s="57">
        <v>44361.410856481481</v>
      </c>
      <c r="C785" s="56" t="s">
        <v>3803</v>
      </c>
      <c r="D785" s="56" t="s">
        <v>3802</v>
      </c>
      <c r="E785" s="56" t="s">
        <v>5760</v>
      </c>
      <c r="F785" s="56" t="s">
        <v>5759</v>
      </c>
      <c r="G785" s="58" t="s">
        <v>3934</v>
      </c>
      <c r="H785" s="56">
        <v>2</v>
      </c>
      <c r="I785" s="56" t="s">
        <v>3602</v>
      </c>
      <c r="J785" s="56">
        <v>447</v>
      </c>
      <c r="K785" s="56">
        <v>399</v>
      </c>
      <c r="L785" s="56">
        <v>1315</v>
      </c>
      <c r="M785" s="56">
        <v>0</v>
      </c>
      <c r="N785" s="56">
        <v>0</v>
      </c>
      <c r="O785" s="56">
        <v>132</v>
      </c>
      <c r="P785" s="56">
        <v>0</v>
      </c>
      <c r="Q785" s="56">
        <v>1183</v>
      </c>
      <c r="R785" s="56">
        <v>0</v>
      </c>
      <c r="S785" s="56">
        <v>0</v>
      </c>
      <c r="T785" s="56" t="s">
        <v>3562</v>
      </c>
      <c r="U785" s="56">
        <v>1183</v>
      </c>
      <c r="V785" s="56" t="s">
        <v>3561</v>
      </c>
      <c r="W785" s="56" t="s">
        <v>3548</v>
      </c>
      <c r="X785" s="56" t="s">
        <v>39</v>
      </c>
      <c r="Y785" s="56" t="s">
        <v>5456</v>
      </c>
      <c r="Z785" s="56" t="s">
        <v>5758</v>
      </c>
      <c r="AC785" s="56" t="s">
        <v>3543</v>
      </c>
      <c r="AD785" s="56" t="s">
        <v>24</v>
      </c>
      <c r="AE785" s="56" t="s">
        <v>5673</v>
      </c>
      <c r="AF785" s="56" t="s">
        <v>5757</v>
      </c>
      <c r="AH785" s="56" t="s">
        <v>3542</v>
      </c>
      <c r="AI785" s="56" t="s">
        <v>3723</v>
      </c>
    </row>
    <row r="786" spans="1:35" ht="33" customHeight="1">
      <c r="A786" s="56" t="s">
        <v>5761</v>
      </c>
      <c r="B786" s="57">
        <v>44361.410856481481</v>
      </c>
      <c r="C786" s="56" t="s">
        <v>3803</v>
      </c>
      <c r="D786" s="56" t="s">
        <v>3802</v>
      </c>
      <c r="E786" s="56" t="s">
        <v>5760</v>
      </c>
      <c r="F786" s="56" t="s">
        <v>5759</v>
      </c>
      <c r="G786" s="58" t="s">
        <v>5762</v>
      </c>
      <c r="H786" s="56">
        <v>1</v>
      </c>
      <c r="I786" s="56" t="s">
        <v>3602</v>
      </c>
      <c r="J786" s="56">
        <v>447</v>
      </c>
      <c r="K786" s="56">
        <v>399</v>
      </c>
      <c r="P786" s="56">
        <v>0</v>
      </c>
      <c r="S786" s="56">
        <v>0</v>
      </c>
      <c r="T786" s="56" t="s">
        <v>3562</v>
      </c>
      <c r="V786" s="56" t="s">
        <v>3561</v>
      </c>
      <c r="W786" s="56" t="s">
        <v>3548</v>
      </c>
      <c r="X786" s="56" t="s">
        <v>39</v>
      </c>
      <c r="Y786" s="56" t="s">
        <v>5456</v>
      </c>
      <c r="Z786" s="56" t="s">
        <v>5758</v>
      </c>
      <c r="AC786" s="56" t="s">
        <v>3543</v>
      </c>
      <c r="AD786" s="56" t="s">
        <v>24</v>
      </c>
      <c r="AE786" s="56" t="s">
        <v>5673</v>
      </c>
      <c r="AF786" s="56" t="s">
        <v>5757</v>
      </c>
      <c r="AH786" s="56" t="s">
        <v>3542</v>
      </c>
      <c r="AI786" s="56" t="s">
        <v>3723</v>
      </c>
    </row>
    <row r="787" spans="1:35" ht="33" customHeight="1">
      <c r="A787" s="56" t="s">
        <v>5761</v>
      </c>
      <c r="B787" s="57">
        <v>44361.410856481481</v>
      </c>
      <c r="C787" s="56" t="s">
        <v>3803</v>
      </c>
      <c r="D787" s="56" t="s">
        <v>3802</v>
      </c>
      <c r="E787" s="56" t="s">
        <v>5760</v>
      </c>
      <c r="F787" s="56" t="s">
        <v>5759</v>
      </c>
      <c r="G787" s="58" t="s">
        <v>3217</v>
      </c>
      <c r="H787" s="56">
        <v>1</v>
      </c>
      <c r="I787" s="56" t="s">
        <v>3720</v>
      </c>
      <c r="J787" s="56">
        <v>59</v>
      </c>
      <c r="K787" s="56">
        <v>59</v>
      </c>
      <c r="P787" s="56">
        <v>0</v>
      </c>
      <c r="S787" s="56">
        <v>0</v>
      </c>
      <c r="T787" s="56" t="s">
        <v>3562</v>
      </c>
      <c r="V787" s="56" t="s">
        <v>3561</v>
      </c>
      <c r="W787" s="56" t="s">
        <v>3548</v>
      </c>
      <c r="X787" s="56" t="s">
        <v>39</v>
      </c>
      <c r="Y787" s="56" t="s">
        <v>5456</v>
      </c>
      <c r="Z787" s="56" t="s">
        <v>5758</v>
      </c>
      <c r="AC787" s="56" t="s">
        <v>3543</v>
      </c>
      <c r="AD787" s="56" t="s">
        <v>24</v>
      </c>
      <c r="AE787" s="56" t="s">
        <v>5673</v>
      </c>
      <c r="AF787" s="56" t="s">
        <v>5757</v>
      </c>
      <c r="AH787" s="56" t="s">
        <v>3542</v>
      </c>
      <c r="AI787" s="56" t="s">
        <v>3723</v>
      </c>
    </row>
    <row r="788" spans="1:35" ht="33" customHeight="1">
      <c r="A788" s="56" t="s">
        <v>5761</v>
      </c>
      <c r="B788" s="57">
        <v>44361.410856481481</v>
      </c>
      <c r="C788" s="56" t="s">
        <v>3803</v>
      </c>
      <c r="D788" s="56" t="s">
        <v>3802</v>
      </c>
      <c r="E788" s="56" t="s">
        <v>5760</v>
      </c>
      <c r="F788" s="56" t="s">
        <v>5759</v>
      </c>
      <c r="G788" s="58" t="s">
        <v>3222</v>
      </c>
      <c r="H788" s="56">
        <v>1</v>
      </c>
      <c r="I788" s="56" t="s">
        <v>3712</v>
      </c>
      <c r="J788" s="56">
        <v>59</v>
      </c>
      <c r="K788" s="56">
        <v>59</v>
      </c>
      <c r="P788" s="56">
        <v>0</v>
      </c>
      <c r="S788" s="56">
        <v>0</v>
      </c>
      <c r="T788" s="56" t="s">
        <v>3562</v>
      </c>
      <c r="V788" s="56" t="s">
        <v>3561</v>
      </c>
      <c r="W788" s="56" t="s">
        <v>3548</v>
      </c>
      <c r="X788" s="56" t="s">
        <v>39</v>
      </c>
      <c r="Y788" s="56" t="s">
        <v>5456</v>
      </c>
      <c r="Z788" s="56" t="s">
        <v>5758</v>
      </c>
      <c r="AC788" s="56" t="s">
        <v>3543</v>
      </c>
      <c r="AD788" s="56" t="s">
        <v>24</v>
      </c>
      <c r="AE788" s="56" t="s">
        <v>5673</v>
      </c>
      <c r="AF788" s="56" t="s">
        <v>5757</v>
      </c>
      <c r="AH788" s="56" t="s">
        <v>3542</v>
      </c>
      <c r="AI788" s="56" t="s">
        <v>3723</v>
      </c>
    </row>
    <row r="789" spans="1:35" ht="33" customHeight="1">
      <c r="A789" s="56" t="s">
        <v>5761</v>
      </c>
      <c r="B789" s="57">
        <v>44361.410856481481</v>
      </c>
      <c r="C789" s="56" t="s">
        <v>3803</v>
      </c>
      <c r="D789" s="56" t="s">
        <v>3802</v>
      </c>
      <c r="E789" s="56" t="s">
        <v>5760</v>
      </c>
      <c r="F789" s="56" t="s">
        <v>5759</v>
      </c>
      <c r="G789" s="58" t="s">
        <v>3551</v>
      </c>
      <c r="H789" s="56">
        <v>1</v>
      </c>
      <c r="I789" s="56" t="s">
        <v>3550</v>
      </c>
      <c r="J789" s="56">
        <v>0</v>
      </c>
      <c r="K789" s="56">
        <v>0</v>
      </c>
      <c r="P789" s="56">
        <v>0</v>
      </c>
      <c r="S789" s="56">
        <v>0</v>
      </c>
      <c r="T789" s="56" t="s">
        <v>3562</v>
      </c>
      <c r="V789" s="56" t="s">
        <v>3561</v>
      </c>
      <c r="W789" s="56" t="s">
        <v>3548</v>
      </c>
      <c r="X789" s="56" t="s">
        <v>39</v>
      </c>
      <c r="Y789" s="56" t="s">
        <v>5456</v>
      </c>
      <c r="Z789" s="56" t="s">
        <v>5758</v>
      </c>
      <c r="AC789" s="56" t="s">
        <v>3543</v>
      </c>
      <c r="AD789" s="56" t="s">
        <v>24</v>
      </c>
      <c r="AE789" s="56" t="s">
        <v>5673</v>
      </c>
      <c r="AF789" s="56" t="s">
        <v>5757</v>
      </c>
      <c r="AH789" s="56" t="s">
        <v>3542</v>
      </c>
      <c r="AI789" s="56" t="s">
        <v>3723</v>
      </c>
    </row>
    <row r="790" spans="1:35" ht="33" customHeight="1">
      <c r="A790" s="56" t="s">
        <v>5761</v>
      </c>
      <c r="B790" s="57">
        <v>44361.410856481481</v>
      </c>
      <c r="C790" s="56" t="s">
        <v>3803</v>
      </c>
      <c r="D790" s="56" t="s">
        <v>3802</v>
      </c>
      <c r="E790" s="56" t="s">
        <v>5760</v>
      </c>
      <c r="F790" s="56" t="s">
        <v>5759</v>
      </c>
      <c r="G790" s="58" t="s">
        <v>1498</v>
      </c>
      <c r="H790" s="56">
        <v>1</v>
      </c>
      <c r="I790" s="56" t="s">
        <v>4016</v>
      </c>
      <c r="J790" s="56">
        <v>0</v>
      </c>
      <c r="K790" s="56">
        <v>0</v>
      </c>
      <c r="P790" s="56">
        <v>0</v>
      </c>
      <c r="S790" s="56">
        <v>0</v>
      </c>
      <c r="T790" s="56" t="s">
        <v>3562</v>
      </c>
      <c r="V790" s="56" t="s">
        <v>3561</v>
      </c>
      <c r="W790" s="56" t="s">
        <v>3548</v>
      </c>
      <c r="X790" s="56" t="s">
        <v>39</v>
      </c>
      <c r="Y790" s="56" t="s">
        <v>5456</v>
      </c>
      <c r="Z790" s="56" t="s">
        <v>5758</v>
      </c>
      <c r="AC790" s="56" t="s">
        <v>3543</v>
      </c>
      <c r="AD790" s="56" t="s">
        <v>24</v>
      </c>
      <c r="AE790" s="56" t="s">
        <v>5673</v>
      </c>
      <c r="AF790" s="56" t="s">
        <v>5757</v>
      </c>
      <c r="AH790" s="56" t="s">
        <v>3542</v>
      </c>
      <c r="AI790" s="56" t="s">
        <v>3723</v>
      </c>
    </row>
    <row r="791" spans="1:35" ht="33" customHeight="1">
      <c r="A791" s="56" t="s">
        <v>5756</v>
      </c>
      <c r="B791" s="57">
        <v>44361.416747685187</v>
      </c>
      <c r="C791" s="56" t="s">
        <v>4512</v>
      </c>
      <c r="D791" s="56" t="s">
        <v>4511</v>
      </c>
      <c r="E791" s="56" t="s">
        <v>5755</v>
      </c>
      <c r="F791" s="56" t="s">
        <v>5754</v>
      </c>
      <c r="G791" s="58" t="s">
        <v>3681</v>
      </c>
      <c r="H791" s="56">
        <v>2</v>
      </c>
      <c r="I791" s="56" t="s">
        <v>3569</v>
      </c>
      <c r="J791" s="56">
        <v>894</v>
      </c>
      <c r="K791" s="56">
        <v>750</v>
      </c>
      <c r="L791" s="56">
        <v>1500</v>
      </c>
      <c r="M791" s="56">
        <v>0</v>
      </c>
      <c r="N791" s="56">
        <v>0</v>
      </c>
      <c r="O791" s="56">
        <v>100</v>
      </c>
      <c r="P791" s="56">
        <v>0</v>
      </c>
      <c r="Q791" s="56">
        <v>1400</v>
      </c>
      <c r="R791" s="56">
        <v>0</v>
      </c>
      <c r="S791" s="56">
        <v>0</v>
      </c>
      <c r="T791" s="56" t="s">
        <v>3562</v>
      </c>
      <c r="U791" s="56">
        <v>1400</v>
      </c>
      <c r="V791" s="56" t="s">
        <v>3549</v>
      </c>
      <c r="W791" s="56" t="s">
        <v>3548</v>
      </c>
      <c r="X791" s="56" t="s">
        <v>3547</v>
      </c>
      <c r="Z791" s="56" t="s">
        <v>3546</v>
      </c>
      <c r="AA791" s="56" t="s">
        <v>5753</v>
      </c>
      <c r="AB791" s="56" t="s">
        <v>5752</v>
      </c>
      <c r="AC791" s="56" t="s">
        <v>3543</v>
      </c>
      <c r="AD791" s="56" t="s">
        <v>24</v>
      </c>
      <c r="AE791" s="56" t="s">
        <v>4530</v>
      </c>
      <c r="AF791" s="56" t="s">
        <v>5751</v>
      </c>
      <c r="AH791" s="56" t="s">
        <v>3542</v>
      </c>
      <c r="AI791" s="56" t="s">
        <v>3723</v>
      </c>
    </row>
    <row r="792" spans="1:35" ht="33" customHeight="1">
      <c r="A792" s="56" t="s">
        <v>5756</v>
      </c>
      <c r="B792" s="57">
        <v>44361.416747685187</v>
      </c>
      <c r="C792" s="56" t="s">
        <v>4512</v>
      </c>
      <c r="D792" s="56" t="s">
        <v>4511</v>
      </c>
      <c r="E792" s="56" t="s">
        <v>5755</v>
      </c>
      <c r="F792" s="56" t="s">
        <v>5754</v>
      </c>
      <c r="G792" s="58" t="s">
        <v>3551</v>
      </c>
      <c r="H792" s="56">
        <v>1</v>
      </c>
      <c r="I792" s="56" t="s">
        <v>3550</v>
      </c>
      <c r="J792" s="56">
        <v>0</v>
      </c>
      <c r="K792" s="56">
        <v>0</v>
      </c>
      <c r="P792" s="56">
        <v>0</v>
      </c>
      <c r="S792" s="56">
        <v>0</v>
      </c>
      <c r="T792" s="56" t="s">
        <v>3562</v>
      </c>
      <c r="V792" s="56" t="s">
        <v>3549</v>
      </c>
      <c r="W792" s="56" t="s">
        <v>3548</v>
      </c>
      <c r="X792" s="56" t="s">
        <v>3547</v>
      </c>
      <c r="Z792" s="56" t="s">
        <v>3546</v>
      </c>
      <c r="AA792" s="56" t="s">
        <v>5753</v>
      </c>
      <c r="AB792" s="56" t="s">
        <v>5752</v>
      </c>
      <c r="AC792" s="56" t="s">
        <v>3543</v>
      </c>
      <c r="AD792" s="56" t="s">
        <v>24</v>
      </c>
      <c r="AE792" s="56" t="s">
        <v>4530</v>
      </c>
      <c r="AF792" s="56" t="s">
        <v>5751</v>
      </c>
      <c r="AH792" s="56" t="s">
        <v>3542</v>
      </c>
      <c r="AI792" s="56" t="s">
        <v>3723</v>
      </c>
    </row>
    <row r="793" spans="1:35" ht="33" customHeight="1">
      <c r="A793" s="56" t="s">
        <v>5756</v>
      </c>
      <c r="B793" s="57">
        <v>44361.416747685187</v>
      </c>
      <c r="C793" s="56" t="s">
        <v>4512</v>
      </c>
      <c r="D793" s="56" t="s">
        <v>4511</v>
      </c>
      <c r="E793" s="56" t="s">
        <v>5755</v>
      </c>
      <c r="F793" s="56" t="s">
        <v>5754</v>
      </c>
      <c r="G793" s="58" t="s">
        <v>1713</v>
      </c>
      <c r="H793" s="56">
        <v>1</v>
      </c>
      <c r="I793" s="56" t="s">
        <v>3568</v>
      </c>
      <c r="J793" s="56">
        <v>0</v>
      </c>
      <c r="K793" s="56">
        <v>0</v>
      </c>
      <c r="P793" s="56">
        <v>0</v>
      </c>
      <c r="S793" s="56">
        <v>0</v>
      </c>
      <c r="T793" s="56" t="s">
        <v>3562</v>
      </c>
      <c r="V793" s="56" t="s">
        <v>3549</v>
      </c>
      <c r="W793" s="56" t="s">
        <v>3548</v>
      </c>
      <c r="X793" s="56" t="s">
        <v>3547</v>
      </c>
      <c r="Z793" s="56" t="s">
        <v>3546</v>
      </c>
      <c r="AA793" s="56" t="s">
        <v>5753</v>
      </c>
      <c r="AB793" s="56" t="s">
        <v>5752</v>
      </c>
      <c r="AC793" s="56" t="s">
        <v>3543</v>
      </c>
      <c r="AD793" s="56" t="s">
        <v>24</v>
      </c>
      <c r="AE793" s="56" t="s">
        <v>4530</v>
      </c>
      <c r="AF793" s="56" t="s">
        <v>5751</v>
      </c>
      <c r="AH793" s="56" t="s">
        <v>3542</v>
      </c>
      <c r="AI793" s="56" t="s">
        <v>3723</v>
      </c>
    </row>
    <row r="794" spans="1:35" ht="33" customHeight="1">
      <c r="A794" s="56" t="s">
        <v>5756</v>
      </c>
      <c r="B794" s="57">
        <v>44361.416747685187</v>
      </c>
      <c r="C794" s="56" t="s">
        <v>4512</v>
      </c>
      <c r="D794" s="56" t="s">
        <v>4511</v>
      </c>
      <c r="E794" s="56" t="s">
        <v>5755</v>
      </c>
      <c r="F794" s="56" t="s">
        <v>5754</v>
      </c>
      <c r="G794" s="58" t="s">
        <v>1498</v>
      </c>
      <c r="H794" s="56">
        <v>1</v>
      </c>
      <c r="I794" s="56" t="s">
        <v>4016</v>
      </c>
      <c r="J794" s="56">
        <v>0</v>
      </c>
      <c r="K794" s="56">
        <v>0</v>
      </c>
      <c r="P794" s="56">
        <v>0</v>
      </c>
      <c r="S794" s="56">
        <v>0</v>
      </c>
      <c r="T794" s="56" t="s">
        <v>3562</v>
      </c>
      <c r="V794" s="56" t="s">
        <v>3549</v>
      </c>
      <c r="W794" s="56" t="s">
        <v>3548</v>
      </c>
      <c r="X794" s="56" t="s">
        <v>3547</v>
      </c>
      <c r="Z794" s="56" t="s">
        <v>3546</v>
      </c>
      <c r="AA794" s="56" t="s">
        <v>5753</v>
      </c>
      <c r="AB794" s="56" t="s">
        <v>5752</v>
      </c>
      <c r="AC794" s="56" t="s">
        <v>3543</v>
      </c>
      <c r="AD794" s="56" t="s">
        <v>24</v>
      </c>
      <c r="AE794" s="56" t="s">
        <v>4530</v>
      </c>
      <c r="AF794" s="56" t="s">
        <v>5751</v>
      </c>
      <c r="AH794" s="56" t="s">
        <v>3542</v>
      </c>
      <c r="AI794" s="56" t="s">
        <v>3723</v>
      </c>
    </row>
    <row r="795" spans="1:35" ht="33" customHeight="1">
      <c r="A795" s="56" t="s">
        <v>5749</v>
      </c>
      <c r="B795" s="57">
        <v>44361.454201388886</v>
      </c>
      <c r="C795" s="56" t="s">
        <v>3803</v>
      </c>
      <c r="D795" s="56" t="s">
        <v>3802</v>
      </c>
      <c r="E795" s="56" t="s">
        <v>5748</v>
      </c>
      <c r="F795" s="56" t="s">
        <v>5747</v>
      </c>
      <c r="G795" s="58" t="s">
        <v>5750</v>
      </c>
      <c r="H795" s="56">
        <v>1</v>
      </c>
      <c r="I795" s="56" t="s">
        <v>3753</v>
      </c>
      <c r="J795" s="56">
        <v>997</v>
      </c>
      <c r="K795" s="56">
        <v>960</v>
      </c>
      <c r="L795" s="56">
        <v>960</v>
      </c>
      <c r="M795" s="56">
        <v>0</v>
      </c>
      <c r="N795" s="56">
        <v>0</v>
      </c>
      <c r="O795" s="56">
        <v>0</v>
      </c>
      <c r="P795" s="56">
        <v>0</v>
      </c>
      <c r="Q795" s="56">
        <v>960</v>
      </c>
      <c r="R795" s="56">
        <v>0</v>
      </c>
      <c r="S795" s="56">
        <v>0</v>
      </c>
      <c r="T795" s="56" t="s">
        <v>3562</v>
      </c>
      <c r="U795" s="56">
        <v>960</v>
      </c>
      <c r="V795" s="56" t="s">
        <v>59</v>
      </c>
      <c r="W795" s="56" t="s">
        <v>3548</v>
      </c>
      <c r="X795" s="56" t="s">
        <v>39</v>
      </c>
      <c r="Y795" s="56" t="s">
        <v>4205</v>
      </c>
      <c r="Z795" s="56" t="s">
        <v>5746</v>
      </c>
      <c r="AC795" s="56" t="s">
        <v>3543</v>
      </c>
      <c r="AD795" s="56" t="s">
        <v>24</v>
      </c>
      <c r="AE795" s="56" t="s">
        <v>5673</v>
      </c>
      <c r="AF795" s="56" t="s">
        <v>5745</v>
      </c>
      <c r="AH795" s="56" t="s">
        <v>3542</v>
      </c>
      <c r="AI795" s="56" t="s">
        <v>3723</v>
      </c>
    </row>
    <row r="796" spans="1:35" ht="33" customHeight="1">
      <c r="A796" s="56" t="s">
        <v>5749</v>
      </c>
      <c r="B796" s="57">
        <v>44361.454201388886</v>
      </c>
      <c r="C796" s="56" t="s">
        <v>3803</v>
      </c>
      <c r="D796" s="56" t="s">
        <v>3802</v>
      </c>
      <c r="E796" s="56" t="s">
        <v>5748</v>
      </c>
      <c r="F796" s="56" t="s">
        <v>5747</v>
      </c>
      <c r="G796" s="58" t="s">
        <v>3551</v>
      </c>
      <c r="H796" s="56">
        <v>1</v>
      </c>
      <c r="I796" s="56" t="s">
        <v>3550</v>
      </c>
      <c r="J796" s="56">
        <v>0</v>
      </c>
      <c r="K796" s="56">
        <v>0</v>
      </c>
      <c r="P796" s="56">
        <v>0</v>
      </c>
      <c r="S796" s="56">
        <v>0</v>
      </c>
      <c r="T796" s="56" t="s">
        <v>3562</v>
      </c>
      <c r="V796" s="56" t="s">
        <v>59</v>
      </c>
      <c r="W796" s="56" t="s">
        <v>3548</v>
      </c>
      <c r="X796" s="56" t="s">
        <v>39</v>
      </c>
      <c r="Y796" s="56" t="s">
        <v>4205</v>
      </c>
      <c r="Z796" s="56" t="s">
        <v>5746</v>
      </c>
      <c r="AC796" s="56" t="s">
        <v>3543</v>
      </c>
      <c r="AD796" s="56" t="s">
        <v>24</v>
      </c>
      <c r="AE796" s="56" t="s">
        <v>5673</v>
      </c>
      <c r="AF796" s="56" t="s">
        <v>5745</v>
      </c>
      <c r="AH796" s="56" t="s">
        <v>3542</v>
      </c>
      <c r="AI796" s="56" t="s">
        <v>3723</v>
      </c>
    </row>
    <row r="797" spans="1:35" ht="33" customHeight="1">
      <c r="A797" s="56" t="s">
        <v>5749</v>
      </c>
      <c r="B797" s="57">
        <v>44361.454201388886</v>
      </c>
      <c r="C797" s="56" t="s">
        <v>3803</v>
      </c>
      <c r="D797" s="56" t="s">
        <v>3802</v>
      </c>
      <c r="E797" s="56" t="s">
        <v>5748</v>
      </c>
      <c r="F797" s="56" t="s">
        <v>5747</v>
      </c>
      <c r="G797" s="58" t="s">
        <v>1498</v>
      </c>
      <c r="H797" s="56">
        <v>1</v>
      </c>
      <c r="I797" s="56" t="s">
        <v>4016</v>
      </c>
      <c r="J797" s="56">
        <v>0</v>
      </c>
      <c r="K797" s="56">
        <v>0</v>
      </c>
      <c r="P797" s="56">
        <v>0</v>
      </c>
      <c r="S797" s="56">
        <v>0</v>
      </c>
      <c r="T797" s="56" t="s">
        <v>3562</v>
      </c>
      <c r="V797" s="56" t="s">
        <v>59</v>
      </c>
      <c r="W797" s="56" t="s">
        <v>3548</v>
      </c>
      <c r="X797" s="56" t="s">
        <v>39</v>
      </c>
      <c r="Y797" s="56" t="s">
        <v>4205</v>
      </c>
      <c r="Z797" s="56" t="s">
        <v>5746</v>
      </c>
      <c r="AC797" s="56" t="s">
        <v>3543</v>
      </c>
      <c r="AD797" s="56" t="s">
        <v>24</v>
      </c>
      <c r="AE797" s="56" t="s">
        <v>5673</v>
      </c>
      <c r="AF797" s="56" t="s">
        <v>5745</v>
      </c>
      <c r="AH797" s="56" t="s">
        <v>3542</v>
      </c>
      <c r="AI797" s="56" t="s">
        <v>3723</v>
      </c>
    </row>
    <row r="798" spans="1:35" ht="33" customHeight="1">
      <c r="A798" s="56" t="s">
        <v>5744</v>
      </c>
      <c r="B798" s="57">
        <v>44361.492534722223</v>
      </c>
      <c r="C798" s="56" t="s">
        <v>4512</v>
      </c>
      <c r="D798" s="56" t="s">
        <v>4511</v>
      </c>
      <c r="E798" s="56" t="s">
        <v>5743</v>
      </c>
      <c r="F798" s="56" t="s">
        <v>5742</v>
      </c>
      <c r="G798" s="58" t="s">
        <v>3199</v>
      </c>
      <c r="H798" s="56">
        <v>1</v>
      </c>
      <c r="I798" s="56" t="s">
        <v>3834</v>
      </c>
      <c r="J798" s="56">
        <v>119</v>
      </c>
      <c r="K798" s="56">
        <v>99</v>
      </c>
      <c r="L798" s="56">
        <v>217</v>
      </c>
      <c r="M798" s="56">
        <v>65</v>
      </c>
      <c r="N798" s="56">
        <v>0</v>
      </c>
      <c r="O798" s="56">
        <v>0</v>
      </c>
      <c r="P798" s="56">
        <v>0</v>
      </c>
      <c r="Q798" s="56">
        <v>282</v>
      </c>
      <c r="R798" s="56">
        <v>0</v>
      </c>
      <c r="S798" s="56">
        <v>0</v>
      </c>
      <c r="T798" s="56" t="s">
        <v>3562</v>
      </c>
      <c r="U798" s="56">
        <v>282</v>
      </c>
      <c r="V798" s="56" t="s">
        <v>3612</v>
      </c>
      <c r="W798" s="56" t="s">
        <v>3548</v>
      </c>
      <c r="X798" s="56" t="s">
        <v>3611</v>
      </c>
      <c r="Z798" s="56" t="s">
        <v>3546</v>
      </c>
      <c r="AA798" s="56" t="s">
        <v>5416</v>
      </c>
      <c r="AB798" s="56" t="s">
        <v>5415</v>
      </c>
      <c r="AC798" s="56" t="s">
        <v>3543</v>
      </c>
      <c r="AD798" s="56" t="s">
        <v>24</v>
      </c>
      <c r="AE798" s="56" t="s">
        <v>3862</v>
      </c>
      <c r="AF798" s="56" t="s">
        <v>5741</v>
      </c>
      <c r="AH798" s="56" t="s">
        <v>3542</v>
      </c>
      <c r="AI798" s="56" t="s">
        <v>3723</v>
      </c>
    </row>
    <row r="799" spans="1:35" ht="33" customHeight="1">
      <c r="A799" s="56" t="s">
        <v>5744</v>
      </c>
      <c r="B799" s="57">
        <v>44361.492534722223</v>
      </c>
      <c r="C799" s="56" t="s">
        <v>4512</v>
      </c>
      <c r="D799" s="56" t="s">
        <v>4511</v>
      </c>
      <c r="E799" s="56" t="s">
        <v>5743</v>
      </c>
      <c r="F799" s="56" t="s">
        <v>5742</v>
      </c>
      <c r="G799" s="58" t="s">
        <v>1354</v>
      </c>
      <c r="H799" s="56">
        <v>2</v>
      </c>
      <c r="I799" s="56" t="s">
        <v>4037</v>
      </c>
      <c r="J799" s="56">
        <v>59</v>
      </c>
      <c r="K799" s="56">
        <v>59</v>
      </c>
      <c r="P799" s="56">
        <v>0</v>
      </c>
      <c r="S799" s="56">
        <v>0</v>
      </c>
      <c r="T799" s="56" t="s">
        <v>3562</v>
      </c>
      <c r="V799" s="56" t="s">
        <v>3612</v>
      </c>
      <c r="W799" s="56" t="s">
        <v>3548</v>
      </c>
      <c r="X799" s="56" t="s">
        <v>3611</v>
      </c>
      <c r="Z799" s="56" t="s">
        <v>3546</v>
      </c>
      <c r="AA799" s="56" t="s">
        <v>5416</v>
      </c>
      <c r="AB799" s="56" t="s">
        <v>5415</v>
      </c>
      <c r="AC799" s="56" t="s">
        <v>3543</v>
      </c>
      <c r="AD799" s="56" t="s">
        <v>24</v>
      </c>
      <c r="AE799" s="56" t="s">
        <v>3862</v>
      </c>
      <c r="AF799" s="56" t="s">
        <v>5741</v>
      </c>
      <c r="AH799" s="56" t="s">
        <v>3542</v>
      </c>
      <c r="AI799" s="56" t="s">
        <v>3723</v>
      </c>
    </row>
    <row r="800" spans="1:35" ht="33" customHeight="1">
      <c r="A800" s="56" t="s">
        <v>5744</v>
      </c>
      <c r="B800" s="57">
        <v>44361.492534722223</v>
      </c>
      <c r="C800" s="56" t="s">
        <v>4512</v>
      </c>
      <c r="D800" s="56" t="s">
        <v>4511</v>
      </c>
      <c r="E800" s="56" t="s">
        <v>5743</v>
      </c>
      <c r="F800" s="56" t="s">
        <v>5742</v>
      </c>
      <c r="G800" s="58" t="s">
        <v>3551</v>
      </c>
      <c r="H800" s="56">
        <v>1</v>
      </c>
      <c r="I800" s="56" t="s">
        <v>3550</v>
      </c>
      <c r="J800" s="56">
        <v>0</v>
      </c>
      <c r="K800" s="56">
        <v>0</v>
      </c>
      <c r="P800" s="56">
        <v>0</v>
      </c>
      <c r="S800" s="56">
        <v>0</v>
      </c>
      <c r="T800" s="56" t="s">
        <v>3562</v>
      </c>
      <c r="V800" s="56" t="s">
        <v>3612</v>
      </c>
      <c r="W800" s="56" t="s">
        <v>3548</v>
      </c>
      <c r="X800" s="56" t="s">
        <v>3611</v>
      </c>
      <c r="Z800" s="56" t="s">
        <v>3546</v>
      </c>
      <c r="AA800" s="56" t="s">
        <v>5416</v>
      </c>
      <c r="AB800" s="56" t="s">
        <v>5415</v>
      </c>
      <c r="AC800" s="56" t="s">
        <v>3543</v>
      </c>
      <c r="AD800" s="56" t="s">
        <v>24</v>
      </c>
      <c r="AE800" s="56" t="s">
        <v>3862</v>
      </c>
      <c r="AF800" s="56" t="s">
        <v>5741</v>
      </c>
      <c r="AH800" s="56" t="s">
        <v>3542</v>
      </c>
      <c r="AI800" s="56" t="s">
        <v>3723</v>
      </c>
    </row>
    <row r="801" spans="1:35" ht="33" customHeight="1">
      <c r="A801" s="56" t="s">
        <v>5740</v>
      </c>
      <c r="B801" s="57">
        <v>44361.516134259262</v>
      </c>
      <c r="C801" s="56" t="s">
        <v>3803</v>
      </c>
      <c r="D801" s="56" t="s">
        <v>3802</v>
      </c>
      <c r="E801" s="56" t="s">
        <v>5739</v>
      </c>
      <c r="F801" s="56" t="s">
        <v>5738</v>
      </c>
      <c r="G801" s="58" t="s">
        <v>1531</v>
      </c>
      <c r="H801" s="56">
        <v>1</v>
      </c>
      <c r="I801" s="56" t="s">
        <v>3696</v>
      </c>
      <c r="J801" s="56">
        <v>299</v>
      </c>
      <c r="K801" s="56">
        <v>299</v>
      </c>
      <c r="L801" s="56">
        <v>598</v>
      </c>
      <c r="M801" s="56">
        <v>60</v>
      </c>
      <c r="N801" s="56">
        <v>0</v>
      </c>
      <c r="O801" s="56">
        <v>0</v>
      </c>
      <c r="P801" s="56">
        <v>0</v>
      </c>
      <c r="Q801" s="56">
        <v>658</v>
      </c>
      <c r="R801" s="56">
        <v>0</v>
      </c>
      <c r="S801" s="56">
        <v>0</v>
      </c>
      <c r="T801" s="56" t="s">
        <v>3562</v>
      </c>
      <c r="U801" s="56">
        <v>658</v>
      </c>
      <c r="V801" s="56" t="s">
        <v>3561</v>
      </c>
      <c r="W801" s="56" t="s">
        <v>3548</v>
      </c>
      <c r="X801" s="56" t="s">
        <v>39</v>
      </c>
      <c r="Y801" s="56" t="s">
        <v>3597</v>
      </c>
      <c r="Z801" s="56" t="s">
        <v>5737</v>
      </c>
      <c r="AC801" s="56" t="s">
        <v>3543</v>
      </c>
      <c r="AD801" s="56" t="s">
        <v>24</v>
      </c>
      <c r="AE801" s="56" t="s">
        <v>5673</v>
      </c>
      <c r="AF801" s="56" t="s">
        <v>5736</v>
      </c>
      <c r="AH801" s="56" t="s">
        <v>3542</v>
      </c>
      <c r="AI801" s="56" t="s">
        <v>3723</v>
      </c>
    </row>
    <row r="802" spans="1:35" ht="33" customHeight="1">
      <c r="A802" s="56" t="s">
        <v>5740</v>
      </c>
      <c r="B802" s="57">
        <v>44361.516134259262</v>
      </c>
      <c r="C802" s="56" t="s">
        <v>3803</v>
      </c>
      <c r="D802" s="56" t="s">
        <v>3802</v>
      </c>
      <c r="E802" s="56" t="s">
        <v>5739</v>
      </c>
      <c r="F802" s="56" t="s">
        <v>5738</v>
      </c>
      <c r="G802" s="58" t="s">
        <v>1508</v>
      </c>
      <c r="H802" s="56">
        <v>1</v>
      </c>
      <c r="I802" s="56" t="s">
        <v>3696</v>
      </c>
      <c r="J802" s="56">
        <v>299</v>
      </c>
      <c r="K802" s="56">
        <v>299</v>
      </c>
      <c r="P802" s="56">
        <v>0</v>
      </c>
      <c r="S802" s="56">
        <v>0</v>
      </c>
      <c r="T802" s="56" t="s">
        <v>3562</v>
      </c>
      <c r="V802" s="56" t="s">
        <v>3561</v>
      </c>
      <c r="W802" s="56" t="s">
        <v>3548</v>
      </c>
      <c r="X802" s="56" t="s">
        <v>39</v>
      </c>
      <c r="Y802" s="56" t="s">
        <v>3597</v>
      </c>
      <c r="Z802" s="56" t="s">
        <v>5737</v>
      </c>
      <c r="AC802" s="56" t="s">
        <v>3543</v>
      </c>
      <c r="AD802" s="56" t="s">
        <v>24</v>
      </c>
      <c r="AE802" s="56" t="s">
        <v>5673</v>
      </c>
      <c r="AF802" s="56" t="s">
        <v>5736</v>
      </c>
      <c r="AH802" s="56" t="s">
        <v>3542</v>
      </c>
      <c r="AI802" s="56" t="s">
        <v>3723</v>
      </c>
    </row>
    <row r="803" spans="1:35" ht="33" customHeight="1">
      <c r="A803" s="56" t="s">
        <v>5740</v>
      </c>
      <c r="B803" s="57">
        <v>44361.516134259262</v>
      </c>
      <c r="C803" s="56" t="s">
        <v>3803</v>
      </c>
      <c r="D803" s="56" t="s">
        <v>3802</v>
      </c>
      <c r="E803" s="56" t="s">
        <v>5739</v>
      </c>
      <c r="F803" s="56" t="s">
        <v>5738</v>
      </c>
      <c r="G803" s="58" t="s">
        <v>3551</v>
      </c>
      <c r="H803" s="56">
        <v>1</v>
      </c>
      <c r="I803" s="56" t="s">
        <v>3550</v>
      </c>
      <c r="J803" s="56">
        <v>0</v>
      </c>
      <c r="K803" s="56">
        <v>0</v>
      </c>
      <c r="P803" s="56">
        <v>0</v>
      </c>
      <c r="S803" s="56">
        <v>0</v>
      </c>
      <c r="T803" s="56" t="s">
        <v>3562</v>
      </c>
      <c r="V803" s="56" t="s">
        <v>3561</v>
      </c>
      <c r="W803" s="56" t="s">
        <v>3548</v>
      </c>
      <c r="X803" s="56" t="s">
        <v>39</v>
      </c>
      <c r="Y803" s="56" t="s">
        <v>3597</v>
      </c>
      <c r="Z803" s="56" t="s">
        <v>5737</v>
      </c>
      <c r="AC803" s="56" t="s">
        <v>3543</v>
      </c>
      <c r="AD803" s="56" t="s">
        <v>24</v>
      </c>
      <c r="AE803" s="56" t="s">
        <v>5673</v>
      </c>
      <c r="AF803" s="56" t="s">
        <v>5736</v>
      </c>
      <c r="AH803" s="56" t="s">
        <v>3542</v>
      </c>
      <c r="AI803" s="56" t="s">
        <v>3723</v>
      </c>
    </row>
    <row r="804" spans="1:35" ht="33" customHeight="1">
      <c r="A804" s="56" t="s">
        <v>5735</v>
      </c>
      <c r="B804" s="57">
        <v>44361.527881944443</v>
      </c>
      <c r="C804" s="56" t="s">
        <v>3803</v>
      </c>
      <c r="D804" s="56" t="s">
        <v>4511</v>
      </c>
      <c r="E804" s="56" t="s">
        <v>5734</v>
      </c>
      <c r="F804" s="56" t="s">
        <v>5733</v>
      </c>
      <c r="G804" s="58" t="s">
        <v>3747</v>
      </c>
      <c r="H804" s="56">
        <v>3</v>
      </c>
      <c r="I804" s="56" t="s">
        <v>3746</v>
      </c>
      <c r="J804" s="56">
        <v>660</v>
      </c>
      <c r="K804" s="56">
        <v>450</v>
      </c>
      <c r="L804" s="56">
        <v>1645</v>
      </c>
      <c r="M804" s="56">
        <v>0</v>
      </c>
      <c r="N804" s="56">
        <v>0</v>
      </c>
      <c r="O804" s="56">
        <v>100</v>
      </c>
      <c r="P804" s="56">
        <v>0</v>
      </c>
      <c r="Q804" s="56">
        <v>1545</v>
      </c>
      <c r="R804" s="56">
        <v>0</v>
      </c>
      <c r="S804" s="56">
        <v>0</v>
      </c>
      <c r="T804" s="56" t="s">
        <v>3562</v>
      </c>
      <c r="U804" s="56">
        <v>1545</v>
      </c>
      <c r="V804" s="56" t="s">
        <v>3561</v>
      </c>
      <c r="W804" s="56" t="s">
        <v>3548</v>
      </c>
      <c r="X804" s="56" t="s">
        <v>3716</v>
      </c>
      <c r="Z804" s="56" t="s">
        <v>3546</v>
      </c>
      <c r="AA804" s="56" t="s">
        <v>5732</v>
      </c>
      <c r="AB804" s="56" t="s">
        <v>5731</v>
      </c>
      <c r="AC804" s="56" t="s">
        <v>3543</v>
      </c>
      <c r="AD804" s="56" t="s">
        <v>24</v>
      </c>
      <c r="AE804" s="56" t="s">
        <v>5673</v>
      </c>
      <c r="AF804" s="56" t="s">
        <v>5730</v>
      </c>
      <c r="AH804" s="56" t="s">
        <v>3542</v>
      </c>
      <c r="AI804" s="56" t="s">
        <v>3723</v>
      </c>
    </row>
    <row r="805" spans="1:35" ht="33" customHeight="1">
      <c r="A805" s="56" t="s">
        <v>5735</v>
      </c>
      <c r="B805" s="57">
        <v>44361.527881944443</v>
      </c>
      <c r="C805" s="56" t="s">
        <v>3803</v>
      </c>
      <c r="D805" s="56" t="s">
        <v>4511</v>
      </c>
      <c r="E805" s="56" t="s">
        <v>5734</v>
      </c>
      <c r="F805" s="56" t="s">
        <v>5733</v>
      </c>
      <c r="G805" s="58" t="s">
        <v>1510</v>
      </c>
      <c r="H805" s="56">
        <v>1</v>
      </c>
      <c r="I805" s="56" t="s">
        <v>359</v>
      </c>
      <c r="J805" s="56">
        <v>295</v>
      </c>
      <c r="K805" s="56">
        <v>295</v>
      </c>
      <c r="P805" s="56">
        <v>0</v>
      </c>
      <c r="S805" s="56">
        <v>0</v>
      </c>
      <c r="T805" s="56" t="s">
        <v>3562</v>
      </c>
      <c r="V805" s="56" t="s">
        <v>3561</v>
      </c>
      <c r="W805" s="56" t="s">
        <v>3548</v>
      </c>
      <c r="X805" s="56" t="s">
        <v>3716</v>
      </c>
      <c r="Z805" s="56" t="s">
        <v>3546</v>
      </c>
      <c r="AA805" s="56" t="s">
        <v>5732</v>
      </c>
      <c r="AB805" s="56" t="s">
        <v>5731</v>
      </c>
      <c r="AC805" s="56" t="s">
        <v>3543</v>
      </c>
      <c r="AD805" s="56" t="s">
        <v>24</v>
      </c>
      <c r="AE805" s="56" t="s">
        <v>5673</v>
      </c>
      <c r="AF805" s="56" t="s">
        <v>5730</v>
      </c>
      <c r="AH805" s="56" t="s">
        <v>3542</v>
      </c>
      <c r="AI805" s="56" t="s">
        <v>3723</v>
      </c>
    </row>
    <row r="806" spans="1:35" ht="33" customHeight="1">
      <c r="A806" s="56" t="s">
        <v>5735</v>
      </c>
      <c r="B806" s="57">
        <v>44361.527881944443</v>
      </c>
      <c r="C806" s="56" t="s">
        <v>3803</v>
      </c>
      <c r="D806" s="56" t="s">
        <v>4511</v>
      </c>
      <c r="E806" s="56" t="s">
        <v>5734</v>
      </c>
      <c r="F806" s="56" t="s">
        <v>5733</v>
      </c>
      <c r="G806" s="58" t="s">
        <v>3551</v>
      </c>
      <c r="H806" s="56">
        <v>1</v>
      </c>
      <c r="I806" s="56" t="s">
        <v>3550</v>
      </c>
      <c r="J806" s="56">
        <v>0</v>
      </c>
      <c r="K806" s="56">
        <v>0</v>
      </c>
      <c r="P806" s="56">
        <v>0</v>
      </c>
      <c r="S806" s="56">
        <v>0</v>
      </c>
      <c r="T806" s="56" t="s">
        <v>3562</v>
      </c>
      <c r="V806" s="56" t="s">
        <v>3561</v>
      </c>
      <c r="W806" s="56" t="s">
        <v>3548</v>
      </c>
      <c r="X806" s="56" t="s">
        <v>3716</v>
      </c>
      <c r="Z806" s="56" t="s">
        <v>3546</v>
      </c>
      <c r="AA806" s="56" t="s">
        <v>5732</v>
      </c>
      <c r="AB806" s="56" t="s">
        <v>5731</v>
      </c>
      <c r="AC806" s="56" t="s">
        <v>3543</v>
      </c>
      <c r="AD806" s="56" t="s">
        <v>24</v>
      </c>
      <c r="AE806" s="56" t="s">
        <v>5673</v>
      </c>
      <c r="AF806" s="56" t="s">
        <v>5730</v>
      </c>
      <c r="AH806" s="56" t="s">
        <v>3542</v>
      </c>
      <c r="AI806" s="56" t="s">
        <v>3723</v>
      </c>
    </row>
    <row r="807" spans="1:35" ht="33" customHeight="1">
      <c r="A807" s="56" t="s">
        <v>5735</v>
      </c>
      <c r="B807" s="57">
        <v>44361.527881944443</v>
      </c>
      <c r="C807" s="56" t="s">
        <v>3803</v>
      </c>
      <c r="D807" s="56" t="s">
        <v>4511</v>
      </c>
      <c r="E807" s="56" t="s">
        <v>5734</v>
      </c>
      <c r="F807" s="56" t="s">
        <v>5733</v>
      </c>
      <c r="G807" s="58" t="s">
        <v>1713</v>
      </c>
      <c r="H807" s="56">
        <v>1</v>
      </c>
      <c r="I807" s="56" t="s">
        <v>3568</v>
      </c>
      <c r="J807" s="56">
        <v>0</v>
      </c>
      <c r="K807" s="56">
        <v>0</v>
      </c>
      <c r="P807" s="56">
        <v>0</v>
      </c>
      <c r="S807" s="56">
        <v>0</v>
      </c>
      <c r="T807" s="56" t="s">
        <v>3562</v>
      </c>
      <c r="V807" s="56" t="s">
        <v>3561</v>
      </c>
      <c r="W807" s="56" t="s">
        <v>3548</v>
      </c>
      <c r="X807" s="56" t="s">
        <v>3716</v>
      </c>
      <c r="Z807" s="56" t="s">
        <v>3546</v>
      </c>
      <c r="AA807" s="56" t="s">
        <v>5732</v>
      </c>
      <c r="AB807" s="56" t="s">
        <v>5731</v>
      </c>
      <c r="AC807" s="56" t="s">
        <v>3543</v>
      </c>
      <c r="AD807" s="56" t="s">
        <v>24</v>
      </c>
      <c r="AE807" s="56" t="s">
        <v>5673</v>
      </c>
      <c r="AF807" s="56" t="s">
        <v>5730</v>
      </c>
      <c r="AH807" s="56" t="s">
        <v>3542</v>
      </c>
      <c r="AI807" s="56" t="s">
        <v>3723</v>
      </c>
    </row>
    <row r="808" spans="1:35" ht="33" customHeight="1">
      <c r="A808" s="56" t="s">
        <v>5735</v>
      </c>
      <c r="B808" s="57">
        <v>44361.527881944443</v>
      </c>
      <c r="C808" s="56" t="s">
        <v>3803</v>
      </c>
      <c r="D808" s="56" t="s">
        <v>4511</v>
      </c>
      <c r="E808" s="56" t="s">
        <v>5734</v>
      </c>
      <c r="F808" s="56" t="s">
        <v>5733</v>
      </c>
      <c r="G808" s="58" t="s">
        <v>1498</v>
      </c>
      <c r="H808" s="56">
        <v>1</v>
      </c>
      <c r="I808" s="56" t="s">
        <v>4016</v>
      </c>
      <c r="J808" s="56">
        <v>0</v>
      </c>
      <c r="K808" s="56">
        <v>0</v>
      </c>
      <c r="P808" s="56">
        <v>0</v>
      </c>
      <c r="S808" s="56">
        <v>0</v>
      </c>
      <c r="T808" s="56" t="s">
        <v>3562</v>
      </c>
      <c r="V808" s="56" t="s">
        <v>3561</v>
      </c>
      <c r="W808" s="56" t="s">
        <v>3548</v>
      </c>
      <c r="X808" s="56" t="s">
        <v>3716</v>
      </c>
      <c r="Z808" s="56" t="s">
        <v>3546</v>
      </c>
      <c r="AA808" s="56" t="s">
        <v>5732</v>
      </c>
      <c r="AB808" s="56" t="s">
        <v>5731</v>
      </c>
      <c r="AC808" s="56" t="s">
        <v>3543</v>
      </c>
      <c r="AD808" s="56" t="s">
        <v>24</v>
      </c>
      <c r="AE808" s="56" t="s">
        <v>5673</v>
      </c>
      <c r="AF808" s="56" t="s">
        <v>5730</v>
      </c>
      <c r="AH808" s="56" t="s">
        <v>3542</v>
      </c>
      <c r="AI808" s="56" t="s">
        <v>3723</v>
      </c>
    </row>
    <row r="809" spans="1:35" ht="33" customHeight="1">
      <c r="A809" s="56" t="s">
        <v>5729</v>
      </c>
      <c r="B809" s="57">
        <v>44361.538958333331</v>
      </c>
      <c r="C809" s="56" t="s">
        <v>4512</v>
      </c>
      <c r="D809" s="56" t="s">
        <v>4511</v>
      </c>
      <c r="E809" s="56" t="s">
        <v>5728</v>
      </c>
      <c r="F809" s="56" t="s">
        <v>5727</v>
      </c>
      <c r="G809" s="58" t="s">
        <v>1506</v>
      </c>
      <c r="H809" s="56">
        <v>2</v>
      </c>
      <c r="I809" s="56" t="s">
        <v>3696</v>
      </c>
      <c r="J809" s="56">
        <v>299</v>
      </c>
      <c r="K809" s="56">
        <v>299</v>
      </c>
      <c r="L809" s="56">
        <v>1196</v>
      </c>
      <c r="M809" s="56">
        <v>0</v>
      </c>
      <c r="N809" s="56">
        <v>0</v>
      </c>
      <c r="O809" s="56">
        <v>100</v>
      </c>
      <c r="P809" s="56">
        <v>0</v>
      </c>
      <c r="Q809" s="56">
        <v>1096</v>
      </c>
      <c r="R809" s="56">
        <v>0</v>
      </c>
      <c r="S809" s="56">
        <v>0</v>
      </c>
      <c r="T809" s="56" t="s">
        <v>3562</v>
      </c>
      <c r="U809" s="56">
        <v>1096</v>
      </c>
      <c r="V809" s="56" t="s">
        <v>3549</v>
      </c>
      <c r="W809" s="56" t="s">
        <v>3548</v>
      </c>
      <c r="X809" s="56" t="s">
        <v>3547</v>
      </c>
      <c r="Z809" s="56" t="s">
        <v>3546</v>
      </c>
      <c r="AA809" s="56" t="s">
        <v>5726</v>
      </c>
      <c r="AB809" s="56" t="s">
        <v>5725</v>
      </c>
      <c r="AC809" s="56" t="s">
        <v>3543</v>
      </c>
      <c r="AD809" s="56" t="s">
        <v>24</v>
      </c>
      <c r="AE809" s="56" t="s">
        <v>3862</v>
      </c>
      <c r="AF809" s="56" t="s">
        <v>5724</v>
      </c>
      <c r="AH809" s="56" t="s">
        <v>3542</v>
      </c>
      <c r="AI809" s="56" t="s">
        <v>3723</v>
      </c>
    </row>
    <row r="810" spans="1:35" ht="33" customHeight="1">
      <c r="A810" s="56" t="s">
        <v>5729</v>
      </c>
      <c r="B810" s="57">
        <v>44361.538958333331</v>
      </c>
      <c r="C810" s="56" t="s">
        <v>4512</v>
      </c>
      <c r="D810" s="56" t="s">
        <v>4511</v>
      </c>
      <c r="E810" s="56" t="s">
        <v>5728</v>
      </c>
      <c r="F810" s="56" t="s">
        <v>5727</v>
      </c>
      <c r="G810" s="58" t="s">
        <v>1510</v>
      </c>
      <c r="H810" s="56">
        <v>1</v>
      </c>
      <c r="I810" s="56" t="s">
        <v>3696</v>
      </c>
      <c r="J810" s="56">
        <v>299</v>
      </c>
      <c r="K810" s="56">
        <v>299</v>
      </c>
      <c r="P810" s="56">
        <v>0</v>
      </c>
      <c r="S810" s="56">
        <v>0</v>
      </c>
      <c r="T810" s="56" t="s">
        <v>3562</v>
      </c>
      <c r="V810" s="56" t="s">
        <v>3549</v>
      </c>
      <c r="W810" s="56" t="s">
        <v>3548</v>
      </c>
      <c r="X810" s="56" t="s">
        <v>3547</v>
      </c>
      <c r="Z810" s="56" t="s">
        <v>3546</v>
      </c>
      <c r="AA810" s="56" t="s">
        <v>5726</v>
      </c>
      <c r="AB810" s="56" t="s">
        <v>5725</v>
      </c>
      <c r="AC810" s="56" t="s">
        <v>3543</v>
      </c>
      <c r="AD810" s="56" t="s">
        <v>24</v>
      </c>
      <c r="AE810" s="56" t="s">
        <v>3862</v>
      </c>
      <c r="AF810" s="56" t="s">
        <v>5724</v>
      </c>
      <c r="AH810" s="56" t="s">
        <v>3542</v>
      </c>
      <c r="AI810" s="56" t="s">
        <v>3723</v>
      </c>
    </row>
    <row r="811" spans="1:35" ht="33" customHeight="1">
      <c r="A811" s="56" t="s">
        <v>5729</v>
      </c>
      <c r="B811" s="57">
        <v>44361.538958333331</v>
      </c>
      <c r="C811" s="56" t="s">
        <v>4512</v>
      </c>
      <c r="D811" s="56" t="s">
        <v>4511</v>
      </c>
      <c r="E811" s="56" t="s">
        <v>5728</v>
      </c>
      <c r="F811" s="56" t="s">
        <v>5727</v>
      </c>
      <c r="G811" s="58" t="s">
        <v>1531</v>
      </c>
      <c r="H811" s="56">
        <v>1</v>
      </c>
      <c r="I811" s="56" t="s">
        <v>3696</v>
      </c>
      <c r="J811" s="56">
        <v>299</v>
      </c>
      <c r="K811" s="56">
        <v>299</v>
      </c>
      <c r="P811" s="56">
        <v>0</v>
      </c>
      <c r="S811" s="56">
        <v>0</v>
      </c>
      <c r="T811" s="56" t="s">
        <v>3562</v>
      </c>
      <c r="V811" s="56" t="s">
        <v>3549</v>
      </c>
      <c r="W811" s="56" t="s">
        <v>3548</v>
      </c>
      <c r="X811" s="56" t="s">
        <v>3547</v>
      </c>
      <c r="Z811" s="56" t="s">
        <v>3546</v>
      </c>
      <c r="AA811" s="56" t="s">
        <v>5726</v>
      </c>
      <c r="AB811" s="56" t="s">
        <v>5725</v>
      </c>
      <c r="AC811" s="56" t="s">
        <v>3543</v>
      </c>
      <c r="AD811" s="56" t="s">
        <v>24</v>
      </c>
      <c r="AE811" s="56" t="s">
        <v>3862</v>
      </c>
      <c r="AF811" s="56" t="s">
        <v>5724</v>
      </c>
      <c r="AH811" s="56" t="s">
        <v>3542</v>
      </c>
      <c r="AI811" s="56" t="s">
        <v>3723</v>
      </c>
    </row>
    <row r="812" spans="1:35" ht="33" customHeight="1">
      <c r="A812" s="56" t="s">
        <v>5729</v>
      </c>
      <c r="B812" s="57">
        <v>44361.538958333331</v>
      </c>
      <c r="C812" s="56" t="s">
        <v>4512</v>
      </c>
      <c r="D812" s="56" t="s">
        <v>4511</v>
      </c>
      <c r="E812" s="56" t="s">
        <v>5728</v>
      </c>
      <c r="F812" s="56" t="s">
        <v>5727</v>
      </c>
      <c r="G812" s="58" t="s">
        <v>3551</v>
      </c>
      <c r="H812" s="56">
        <v>1</v>
      </c>
      <c r="I812" s="56" t="s">
        <v>3550</v>
      </c>
      <c r="J812" s="56">
        <v>0</v>
      </c>
      <c r="K812" s="56">
        <v>0</v>
      </c>
      <c r="P812" s="56">
        <v>0</v>
      </c>
      <c r="S812" s="56">
        <v>0</v>
      </c>
      <c r="T812" s="56" t="s">
        <v>3562</v>
      </c>
      <c r="V812" s="56" t="s">
        <v>3549</v>
      </c>
      <c r="W812" s="56" t="s">
        <v>3548</v>
      </c>
      <c r="X812" s="56" t="s">
        <v>3547</v>
      </c>
      <c r="Z812" s="56" t="s">
        <v>3546</v>
      </c>
      <c r="AA812" s="56" t="s">
        <v>5726</v>
      </c>
      <c r="AB812" s="56" t="s">
        <v>5725</v>
      </c>
      <c r="AC812" s="56" t="s">
        <v>3543</v>
      </c>
      <c r="AD812" s="56" t="s">
        <v>24</v>
      </c>
      <c r="AE812" s="56" t="s">
        <v>3862</v>
      </c>
      <c r="AF812" s="56" t="s">
        <v>5724</v>
      </c>
      <c r="AH812" s="56" t="s">
        <v>3542</v>
      </c>
      <c r="AI812" s="56" t="s">
        <v>3723</v>
      </c>
    </row>
    <row r="813" spans="1:35" ht="33" customHeight="1">
      <c r="A813" s="56" t="s">
        <v>5729</v>
      </c>
      <c r="B813" s="57">
        <v>44361.538958333331</v>
      </c>
      <c r="C813" s="56" t="s">
        <v>4512</v>
      </c>
      <c r="D813" s="56" t="s">
        <v>4511</v>
      </c>
      <c r="E813" s="56" t="s">
        <v>5728</v>
      </c>
      <c r="F813" s="56" t="s">
        <v>5727</v>
      </c>
      <c r="G813" s="58" t="s">
        <v>1498</v>
      </c>
      <c r="H813" s="56">
        <v>1</v>
      </c>
      <c r="I813" s="56" t="s">
        <v>4016</v>
      </c>
      <c r="J813" s="56">
        <v>0</v>
      </c>
      <c r="K813" s="56">
        <v>0</v>
      </c>
      <c r="P813" s="56">
        <v>0</v>
      </c>
      <c r="S813" s="56">
        <v>0</v>
      </c>
      <c r="T813" s="56" t="s">
        <v>3562</v>
      </c>
      <c r="V813" s="56" t="s">
        <v>3549</v>
      </c>
      <c r="W813" s="56" t="s">
        <v>3548</v>
      </c>
      <c r="X813" s="56" t="s">
        <v>3547</v>
      </c>
      <c r="Z813" s="56" t="s">
        <v>3546</v>
      </c>
      <c r="AA813" s="56" t="s">
        <v>5726</v>
      </c>
      <c r="AB813" s="56" t="s">
        <v>5725</v>
      </c>
      <c r="AC813" s="56" t="s">
        <v>3543</v>
      </c>
      <c r="AD813" s="56" t="s">
        <v>24</v>
      </c>
      <c r="AE813" s="56" t="s">
        <v>3862</v>
      </c>
      <c r="AF813" s="56" t="s">
        <v>5724</v>
      </c>
      <c r="AH813" s="56" t="s">
        <v>3542</v>
      </c>
      <c r="AI813" s="56" t="s">
        <v>3723</v>
      </c>
    </row>
    <row r="814" spans="1:35" ht="33" customHeight="1">
      <c r="A814" s="56" t="s">
        <v>5722</v>
      </c>
      <c r="B814" s="57">
        <v>44361.57167824074</v>
      </c>
      <c r="C814" s="56" t="s">
        <v>4512</v>
      </c>
      <c r="D814" s="56" t="s">
        <v>4511</v>
      </c>
      <c r="E814" s="56" t="s">
        <v>5721</v>
      </c>
      <c r="F814" s="56" t="s">
        <v>5720</v>
      </c>
      <c r="G814" s="58" t="s">
        <v>3681</v>
      </c>
      <c r="H814" s="56">
        <v>1</v>
      </c>
      <c r="I814" s="56" t="s">
        <v>3569</v>
      </c>
      <c r="J814" s="56">
        <v>894</v>
      </c>
      <c r="K814" s="56">
        <v>750</v>
      </c>
      <c r="L814" s="56">
        <v>2065</v>
      </c>
      <c r="M814" s="56">
        <v>0</v>
      </c>
      <c r="N814" s="56">
        <v>0</v>
      </c>
      <c r="O814" s="56">
        <v>100</v>
      </c>
      <c r="P814" s="56">
        <v>0</v>
      </c>
      <c r="Q814" s="56">
        <v>1965</v>
      </c>
      <c r="R814" s="56">
        <v>0</v>
      </c>
      <c r="S814" s="56">
        <v>0</v>
      </c>
      <c r="T814" s="56" t="s">
        <v>3562</v>
      </c>
      <c r="U814" s="56">
        <v>1965</v>
      </c>
      <c r="V814" s="56" t="s">
        <v>3549</v>
      </c>
      <c r="W814" s="56" t="s">
        <v>3548</v>
      </c>
      <c r="X814" s="56" t="s">
        <v>3547</v>
      </c>
      <c r="Z814" s="56" t="s">
        <v>3546</v>
      </c>
      <c r="AA814" s="56" t="s">
        <v>5719</v>
      </c>
      <c r="AB814" s="56" t="s">
        <v>5718</v>
      </c>
      <c r="AC814" s="56" t="s">
        <v>3543</v>
      </c>
      <c r="AD814" s="56" t="s">
        <v>24</v>
      </c>
      <c r="AE814" s="56" t="s">
        <v>4530</v>
      </c>
      <c r="AF814" s="56" t="s">
        <v>5717</v>
      </c>
      <c r="AH814" s="56" t="s">
        <v>3542</v>
      </c>
      <c r="AI814" s="56" t="s">
        <v>3723</v>
      </c>
    </row>
    <row r="815" spans="1:35" ht="33" customHeight="1">
      <c r="A815" s="56" t="s">
        <v>5722</v>
      </c>
      <c r="B815" s="57">
        <v>44361.57167824074</v>
      </c>
      <c r="C815" s="56" t="s">
        <v>4512</v>
      </c>
      <c r="D815" s="56" t="s">
        <v>4511</v>
      </c>
      <c r="E815" s="56" t="s">
        <v>5721</v>
      </c>
      <c r="F815" s="56" t="s">
        <v>5720</v>
      </c>
      <c r="G815" s="58" t="s">
        <v>3693</v>
      </c>
      <c r="H815" s="56">
        <v>2</v>
      </c>
      <c r="I815" s="56" t="s">
        <v>3692</v>
      </c>
      <c r="J815" s="56">
        <v>207</v>
      </c>
      <c r="K815" s="56">
        <v>199</v>
      </c>
      <c r="P815" s="56">
        <v>0</v>
      </c>
      <c r="S815" s="56">
        <v>0</v>
      </c>
      <c r="T815" s="56" t="s">
        <v>3562</v>
      </c>
      <c r="V815" s="56" t="s">
        <v>3549</v>
      </c>
      <c r="W815" s="56" t="s">
        <v>3548</v>
      </c>
      <c r="X815" s="56" t="s">
        <v>3547</v>
      </c>
      <c r="Z815" s="56" t="s">
        <v>3546</v>
      </c>
      <c r="AA815" s="56" t="s">
        <v>5719</v>
      </c>
      <c r="AB815" s="56" t="s">
        <v>5718</v>
      </c>
      <c r="AC815" s="56" t="s">
        <v>3543</v>
      </c>
      <c r="AD815" s="56" t="s">
        <v>24</v>
      </c>
      <c r="AE815" s="56" t="s">
        <v>4530</v>
      </c>
      <c r="AF815" s="56" t="s">
        <v>5717</v>
      </c>
      <c r="AH815" s="56" t="s">
        <v>3542</v>
      </c>
      <c r="AI815" s="56" t="s">
        <v>3723</v>
      </c>
    </row>
    <row r="816" spans="1:35" ht="33" customHeight="1">
      <c r="A816" s="56" t="s">
        <v>5722</v>
      </c>
      <c r="B816" s="57">
        <v>44361.57167824074</v>
      </c>
      <c r="C816" s="56" t="s">
        <v>4512</v>
      </c>
      <c r="D816" s="56" t="s">
        <v>4511</v>
      </c>
      <c r="E816" s="56" t="s">
        <v>5721</v>
      </c>
      <c r="F816" s="56" t="s">
        <v>5720</v>
      </c>
      <c r="G816" s="58" t="s">
        <v>3217</v>
      </c>
      <c r="H816" s="56">
        <v>1</v>
      </c>
      <c r="I816" s="56" t="s">
        <v>3720</v>
      </c>
      <c r="J816" s="56">
        <v>59</v>
      </c>
      <c r="K816" s="56">
        <v>59</v>
      </c>
      <c r="P816" s="56">
        <v>0</v>
      </c>
      <c r="S816" s="56">
        <v>0</v>
      </c>
      <c r="T816" s="56" t="s">
        <v>3562</v>
      </c>
      <c r="V816" s="56" t="s">
        <v>3549</v>
      </c>
      <c r="W816" s="56" t="s">
        <v>3548</v>
      </c>
      <c r="X816" s="56" t="s">
        <v>3547</v>
      </c>
      <c r="Z816" s="56" t="s">
        <v>3546</v>
      </c>
      <c r="AA816" s="56" t="s">
        <v>5719</v>
      </c>
      <c r="AB816" s="56" t="s">
        <v>5718</v>
      </c>
      <c r="AC816" s="56" t="s">
        <v>3543</v>
      </c>
      <c r="AD816" s="56" t="s">
        <v>24</v>
      </c>
      <c r="AE816" s="56" t="s">
        <v>4530</v>
      </c>
      <c r="AF816" s="56" t="s">
        <v>5717</v>
      </c>
      <c r="AH816" s="56" t="s">
        <v>3542</v>
      </c>
      <c r="AI816" s="56" t="s">
        <v>3723</v>
      </c>
    </row>
    <row r="817" spans="1:35" ht="33" customHeight="1">
      <c r="A817" s="56" t="s">
        <v>5722</v>
      </c>
      <c r="B817" s="57">
        <v>44361.57167824074</v>
      </c>
      <c r="C817" s="56" t="s">
        <v>4512</v>
      </c>
      <c r="D817" s="56" t="s">
        <v>4511</v>
      </c>
      <c r="E817" s="56" t="s">
        <v>5721</v>
      </c>
      <c r="F817" s="56" t="s">
        <v>5720</v>
      </c>
      <c r="G817" s="58" t="s">
        <v>5723</v>
      </c>
      <c r="H817" s="56">
        <v>1</v>
      </c>
      <c r="I817" s="56" t="s">
        <v>3655</v>
      </c>
      <c r="J817" s="56">
        <v>1107</v>
      </c>
      <c r="K817" s="56">
        <v>799</v>
      </c>
      <c r="P817" s="56">
        <v>0</v>
      </c>
      <c r="S817" s="56">
        <v>0</v>
      </c>
      <c r="T817" s="56" t="s">
        <v>3562</v>
      </c>
      <c r="V817" s="56" t="s">
        <v>3549</v>
      </c>
      <c r="W817" s="56" t="s">
        <v>3548</v>
      </c>
      <c r="X817" s="56" t="s">
        <v>3547</v>
      </c>
      <c r="Z817" s="56" t="s">
        <v>3546</v>
      </c>
      <c r="AA817" s="56" t="s">
        <v>5719</v>
      </c>
      <c r="AB817" s="56" t="s">
        <v>5718</v>
      </c>
      <c r="AC817" s="56" t="s">
        <v>3543</v>
      </c>
      <c r="AD817" s="56" t="s">
        <v>24</v>
      </c>
      <c r="AE817" s="56" t="s">
        <v>4530</v>
      </c>
      <c r="AF817" s="56" t="s">
        <v>5717</v>
      </c>
      <c r="AH817" s="56" t="s">
        <v>3542</v>
      </c>
      <c r="AI817" s="56" t="s">
        <v>3723</v>
      </c>
    </row>
    <row r="818" spans="1:35" ht="33" customHeight="1">
      <c r="A818" s="56" t="s">
        <v>5722</v>
      </c>
      <c r="B818" s="57">
        <v>44361.57167824074</v>
      </c>
      <c r="C818" s="56" t="s">
        <v>4512</v>
      </c>
      <c r="D818" s="56" t="s">
        <v>4511</v>
      </c>
      <c r="E818" s="56" t="s">
        <v>5721</v>
      </c>
      <c r="F818" s="56" t="s">
        <v>5720</v>
      </c>
      <c r="G818" s="58" t="s">
        <v>3222</v>
      </c>
      <c r="H818" s="56">
        <v>1</v>
      </c>
      <c r="I818" s="56" t="s">
        <v>3712</v>
      </c>
      <c r="J818" s="56">
        <v>59</v>
      </c>
      <c r="K818" s="56">
        <v>59</v>
      </c>
      <c r="P818" s="56">
        <v>0</v>
      </c>
      <c r="S818" s="56">
        <v>0</v>
      </c>
      <c r="T818" s="56" t="s">
        <v>3562</v>
      </c>
      <c r="V818" s="56" t="s">
        <v>3549</v>
      </c>
      <c r="W818" s="56" t="s">
        <v>3548</v>
      </c>
      <c r="X818" s="56" t="s">
        <v>3547</v>
      </c>
      <c r="Z818" s="56" t="s">
        <v>3546</v>
      </c>
      <c r="AA818" s="56" t="s">
        <v>5719</v>
      </c>
      <c r="AB818" s="56" t="s">
        <v>5718</v>
      </c>
      <c r="AC818" s="56" t="s">
        <v>3543</v>
      </c>
      <c r="AD818" s="56" t="s">
        <v>24</v>
      </c>
      <c r="AE818" s="56" t="s">
        <v>4530</v>
      </c>
      <c r="AF818" s="56" t="s">
        <v>5717</v>
      </c>
      <c r="AH818" s="56" t="s">
        <v>3542</v>
      </c>
      <c r="AI818" s="56" t="s">
        <v>3723</v>
      </c>
    </row>
    <row r="819" spans="1:35" ht="33" customHeight="1">
      <c r="A819" s="56" t="s">
        <v>5722</v>
      </c>
      <c r="B819" s="57">
        <v>44361.57167824074</v>
      </c>
      <c r="C819" s="56" t="s">
        <v>4512</v>
      </c>
      <c r="D819" s="56" t="s">
        <v>4511</v>
      </c>
      <c r="E819" s="56" t="s">
        <v>5721</v>
      </c>
      <c r="F819" s="56" t="s">
        <v>5720</v>
      </c>
      <c r="G819" s="58" t="s">
        <v>3551</v>
      </c>
      <c r="H819" s="56">
        <v>1</v>
      </c>
      <c r="I819" s="56" t="s">
        <v>3550</v>
      </c>
      <c r="J819" s="56">
        <v>0</v>
      </c>
      <c r="K819" s="56">
        <v>0</v>
      </c>
      <c r="P819" s="56">
        <v>0</v>
      </c>
      <c r="S819" s="56">
        <v>0</v>
      </c>
      <c r="T819" s="56" t="s">
        <v>3562</v>
      </c>
      <c r="V819" s="56" t="s">
        <v>3549</v>
      </c>
      <c r="W819" s="56" t="s">
        <v>3548</v>
      </c>
      <c r="X819" s="56" t="s">
        <v>3547</v>
      </c>
      <c r="Z819" s="56" t="s">
        <v>3546</v>
      </c>
      <c r="AA819" s="56" t="s">
        <v>5719</v>
      </c>
      <c r="AB819" s="56" t="s">
        <v>5718</v>
      </c>
      <c r="AC819" s="56" t="s">
        <v>3543</v>
      </c>
      <c r="AD819" s="56" t="s">
        <v>24</v>
      </c>
      <c r="AE819" s="56" t="s">
        <v>4530</v>
      </c>
      <c r="AF819" s="56" t="s">
        <v>5717</v>
      </c>
      <c r="AH819" s="56" t="s">
        <v>3542</v>
      </c>
      <c r="AI819" s="56" t="s">
        <v>3723</v>
      </c>
    </row>
    <row r="820" spans="1:35" ht="33" customHeight="1">
      <c r="A820" s="56" t="s">
        <v>5722</v>
      </c>
      <c r="B820" s="57">
        <v>44361.57167824074</v>
      </c>
      <c r="C820" s="56" t="s">
        <v>4512</v>
      </c>
      <c r="D820" s="56" t="s">
        <v>4511</v>
      </c>
      <c r="E820" s="56" t="s">
        <v>5721</v>
      </c>
      <c r="F820" s="56" t="s">
        <v>5720</v>
      </c>
      <c r="G820" s="58" t="s">
        <v>1713</v>
      </c>
      <c r="H820" s="56">
        <v>1</v>
      </c>
      <c r="I820" s="56" t="s">
        <v>3568</v>
      </c>
      <c r="J820" s="56">
        <v>0</v>
      </c>
      <c r="K820" s="56">
        <v>0</v>
      </c>
      <c r="P820" s="56">
        <v>0</v>
      </c>
      <c r="S820" s="56">
        <v>0</v>
      </c>
      <c r="T820" s="56" t="s">
        <v>3562</v>
      </c>
      <c r="V820" s="56" t="s">
        <v>3549</v>
      </c>
      <c r="W820" s="56" t="s">
        <v>3548</v>
      </c>
      <c r="X820" s="56" t="s">
        <v>3547</v>
      </c>
      <c r="Z820" s="56" t="s">
        <v>3546</v>
      </c>
      <c r="AA820" s="56" t="s">
        <v>5719</v>
      </c>
      <c r="AB820" s="56" t="s">
        <v>5718</v>
      </c>
      <c r="AC820" s="56" t="s">
        <v>3543</v>
      </c>
      <c r="AD820" s="56" t="s">
        <v>24</v>
      </c>
      <c r="AE820" s="56" t="s">
        <v>4530</v>
      </c>
      <c r="AF820" s="56" t="s">
        <v>5717</v>
      </c>
      <c r="AH820" s="56" t="s">
        <v>3542</v>
      </c>
      <c r="AI820" s="56" t="s">
        <v>3723</v>
      </c>
    </row>
    <row r="821" spans="1:35" ht="33" customHeight="1">
      <c r="A821" s="56" t="s">
        <v>5722</v>
      </c>
      <c r="B821" s="57">
        <v>44361.57167824074</v>
      </c>
      <c r="C821" s="56" t="s">
        <v>4512</v>
      </c>
      <c r="D821" s="56" t="s">
        <v>4511</v>
      </c>
      <c r="E821" s="56" t="s">
        <v>5721</v>
      </c>
      <c r="F821" s="56" t="s">
        <v>5720</v>
      </c>
      <c r="G821" s="58" t="s">
        <v>1498</v>
      </c>
      <c r="H821" s="56">
        <v>1</v>
      </c>
      <c r="I821" s="56" t="s">
        <v>4016</v>
      </c>
      <c r="J821" s="56">
        <v>0</v>
      </c>
      <c r="K821" s="56">
        <v>0</v>
      </c>
      <c r="P821" s="56">
        <v>0</v>
      </c>
      <c r="S821" s="56">
        <v>0</v>
      </c>
      <c r="T821" s="56" t="s">
        <v>3562</v>
      </c>
      <c r="V821" s="56" t="s">
        <v>3549</v>
      </c>
      <c r="W821" s="56" t="s">
        <v>3548</v>
      </c>
      <c r="X821" s="56" t="s">
        <v>3547</v>
      </c>
      <c r="Z821" s="56" t="s">
        <v>3546</v>
      </c>
      <c r="AA821" s="56" t="s">
        <v>5719</v>
      </c>
      <c r="AB821" s="56" t="s">
        <v>5718</v>
      </c>
      <c r="AC821" s="56" t="s">
        <v>3543</v>
      </c>
      <c r="AD821" s="56" t="s">
        <v>24</v>
      </c>
      <c r="AE821" s="56" t="s">
        <v>4530</v>
      </c>
      <c r="AF821" s="56" t="s">
        <v>5717</v>
      </c>
      <c r="AH821" s="56" t="s">
        <v>3542</v>
      </c>
      <c r="AI821" s="56" t="s">
        <v>3723</v>
      </c>
    </row>
    <row r="822" spans="1:35" ht="33" customHeight="1">
      <c r="A822" s="56" t="s">
        <v>5722</v>
      </c>
      <c r="B822" s="57">
        <v>44361.57167824074</v>
      </c>
      <c r="C822" s="56" t="s">
        <v>4512</v>
      </c>
      <c r="D822" s="56" t="s">
        <v>4511</v>
      </c>
      <c r="E822" s="56" t="s">
        <v>5721</v>
      </c>
      <c r="F822" s="56" t="s">
        <v>5720</v>
      </c>
      <c r="G822" s="58" t="s">
        <v>3564</v>
      </c>
      <c r="H822" s="56">
        <v>1</v>
      </c>
      <c r="I822" s="56" t="s">
        <v>3563</v>
      </c>
      <c r="J822" s="56">
        <v>0</v>
      </c>
      <c r="K822" s="56">
        <v>0</v>
      </c>
      <c r="P822" s="56">
        <v>0</v>
      </c>
      <c r="S822" s="56">
        <v>0</v>
      </c>
      <c r="T822" s="56" t="s">
        <v>3562</v>
      </c>
      <c r="V822" s="56" t="s">
        <v>3549</v>
      </c>
      <c r="W822" s="56" t="s">
        <v>3548</v>
      </c>
      <c r="X822" s="56" t="s">
        <v>3547</v>
      </c>
      <c r="Z822" s="56" t="s">
        <v>3546</v>
      </c>
      <c r="AA822" s="56" t="s">
        <v>5719</v>
      </c>
      <c r="AB822" s="56" t="s">
        <v>5718</v>
      </c>
      <c r="AC822" s="56" t="s">
        <v>3543</v>
      </c>
      <c r="AD822" s="56" t="s">
        <v>24</v>
      </c>
      <c r="AE822" s="56" t="s">
        <v>4530</v>
      </c>
      <c r="AF822" s="56" t="s">
        <v>5717</v>
      </c>
      <c r="AH822" s="56" t="s">
        <v>3542</v>
      </c>
      <c r="AI822" s="56" t="s">
        <v>3723</v>
      </c>
    </row>
    <row r="823" spans="1:35" ht="33" customHeight="1">
      <c r="A823" s="56" t="s">
        <v>5716</v>
      </c>
      <c r="B823" s="57">
        <v>44361.577187499999</v>
      </c>
      <c r="C823" s="56" t="s">
        <v>3803</v>
      </c>
      <c r="D823" s="56" t="s">
        <v>3802</v>
      </c>
      <c r="E823" s="56" t="s">
        <v>5715</v>
      </c>
      <c r="F823" s="56" t="s">
        <v>5714</v>
      </c>
      <c r="G823" s="58" t="s">
        <v>3811</v>
      </c>
      <c r="H823" s="56">
        <v>1</v>
      </c>
      <c r="I823" s="56" t="s">
        <v>3669</v>
      </c>
      <c r="J823" s="56">
        <v>897</v>
      </c>
      <c r="K823" s="56">
        <v>888</v>
      </c>
      <c r="L823" s="56">
        <v>1056</v>
      </c>
      <c r="M823" s="56">
        <v>0</v>
      </c>
      <c r="N823" s="56">
        <v>0</v>
      </c>
      <c r="O823" s="56">
        <v>100</v>
      </c>
      <c r="P823" s="56">
        <v>0</v>
      </c>
      <c r="Q823" s="56">
        <v>956</v>
      </c>
      <c r="R823" s="56">
        <v>0</v>
      </c>
      <c r="S823" s="56">
        <v>0</v>
      </c>
      <c r="T823" s="56" t="s">
        <v>3562</v>
      </c>
      <c r="U823" s="56">
        <v>956</v>
      </c>
      <c r="V823" s="56" t="s">
        <v>59</v>
      </c>
      <c r="W823" s="56" t="s">
        <v>3548</v>
      </c>
      <c r="X823" s="56" t="s">
        <v>39</v>
      </c>
      <c r="Y823" s="56" t="s">
        <v>4205</v>
      </c>
      <c r="Z823" s="56" t="s">
        <v>5713</v>
      </c>
      <c r="AC823" s="56" t="s">
        <v>3543</v>
      </c>
      <c r="AD823" s="56" t="s">
        <v>24</v>
      </c>
      <c r="AE823" s="56" t="s">
        <v>5673</v>
      </c>
      <c r="AF823" s="56" t="s">
        <v>5712</v>
      </c>
      <c r="AH823" s="56" t="s">
        <v>3542</v>
      </c>
      <c r="AI823" s="56" t="s">
        <v>3723</v>
      </c>
    </row>
    <row r="824" spans="1:35" ht="33" customHeight="1">
      <c r="A824" s="56" t="s">
        <v>5716</v>
      </c>
      <c r="B824" s="57">
        <v>44361.577187499999</v>
      </c>
      <c r="C824" s="56" t="s">
        <v>3803</v>
      </c>
      <c r="D824" s="56" t="s">
        <v>3802</v>
      </c>
      <c r="E824" s="56" t="s">
        <v>5715</v>
      </c>
      <c r="F824" s="56" t="s">
        <v>5714</v>
      </c>
      <c r="G824" s="58" t="s">
        <v>1517</v>
      </c>
      <c r="H824" s="56">
        <v>1</v>
      </c>
      <c r="I824" s="56" t="s">
        <v>3740</v>
      </c>
      <c r="J824" s="56">
        <v>220</v>
      </c>
      <c r="K824" s="56">
        <v>168</v>
      </c>
      <c r="P824" s="56">
        <v>0</v>
      </c>
      <c r="S824" s="56">
        <v>0</v>
      </c>
      <c r="T824" s="56" t="s">
        <v>3562</v>
      </c>
      <c r="V824" s="56" t="s">
        <v>59</v>
      </c>
      <c r="W824" s="56" t="s">
        <v>3548</v>
      </c>
      <c r="X824" s="56" t="s">
        <v>39</v>
      </c>
      <c r="Y824" s="56" t="s">
        <v>4205</v>
      </c>
      <c r="Z824" s="56" t="s">
        <v>5713</v>
      </c>
      <c r="AC824" s="56" t="s">
        <v>3543</v>
      </c>
      <c r="AD824" s="56" t="s">
        <v>24</v>
      </c>
      <c r="AE824" s="56" t="s">
        <v>5673</v>
      </c>
      <c r="AF824" s="56" t="s">
        <v>5712</v>
      </c>
      <c r="AH824" s="56" t="s">
        <v>3542</v>
      </c>
      <c r="AI824" s="56" t="s">
        <v>3723</v>
      </c>
    </row>
    <row r="825" spans="1:35" ht="33" customHeight="1">
      <c r="A825" s="56" t="s">
        <v>5716</v>
      </c>
      <c r="B825" s="57">
        <v>44361.577187499999</v>
      </c>
      <c r="C825" s="56" t="s">
        <v>3803</v>
      </c>
      <c r="D825" s="56" t="s">
        <v>3802</v>
      </c>
      <c r="E825" s="56" t="s">
        <v>5715</v>
      </c>
      <c r="F825" s="56" t="s">
        <v>5714</v>
      </c>
      <c r="G825" s="58" t="s">
        <v>3551</v>
      </c>
      <c r="H825" s="56">
        <v>1</v>
      </c>
      <c r="I825" s="56" t="s">
        <v>3550</v>
      </c>
      <c r="J825" s="56">
        <v>0</v>
      </c>
      <c r="K825" s="56">
        <v>0</v>
      </c>
      <c r="P825" s="56">
        <v>0</v>
      </c>
      <c r="S825" s="56">
        <v>0</v>
      </c>
      <c r="T825" s="56" t="s">
        <v>3562</v>
      </c>
      <c r="V825" s="56" t="s">
        <v>59</v>
      </c>
      <c r="W825" s="56" t="s">
        <v>3548</v>
      </c>
      <c r="X825" s="56" t="s">
        <v>39</v>
      </c>
      <c r="Y825" s="56" t="s">
        <v>4205</v>
      </c>
      <c r="Z825" s="56" t="s">
        <v>5713</v>
      </c>
      <c r="AC825" s="56" t="s">
        <v>3543</v>
      </c>
      <c r="AD825" s="56" t="s">
        <v>24</v>
      </c>
      <c r="AE825" s="56" t="s">
        <v>5673</v>
      </c>
      <c r="AF825" s="56" t="s">
        <v>5712</v>
      </c>
      <c r="AH825" s="56" t="s">
        <v>3542</v>
      </c>
      <c r="AI825" s="56" t="s">
        <v>3723</v>
      </c>
    </row>
    <row r="826" spans="1:35" ht="33" customHeight="1">
      <c r="A826" s="56" t="s">
        <v>5716</v>
      </c>
      <c r="B826" s="57">
        <v>44361.577187499999</v>
      </c>
      <c r="C826" s="56" t="s">
        <v>3803</v>
      </c>
      <c r="D826" s="56" t="s">
        <v>3802</v>
      </c>
      <c r="E826" s="56" t="s">
        <v>5715</v>
      </c>
      <c r="F826" s="56" t="s">
        <v>5714</v>
      </c>
      <c r="G826" s="58" t="s">
        <v>1498</v>
      </c>
      <c r="H826" s="56">
        <v>1</v>
      </c>
      <c r="I826" s="56" t="s">
        <v>4016</v>
      </c>
      <c r="J826" s="56">
        <v>0</v>
      </c>
      <c r="K826" s="56">
        <v>0</v>
      </c>
      <c r="P826" s="56">
        <v>0</v>
      </c>
      <c r="S826" s="56">
        <v>0</v>
      </c>
      <c r="T826" s="56" t="s">
        <v>3562</v>
      </c>
      <c r="V826" s="56" t="s">
        <v>59</v>
      </c>
      <c r="W826" s="56" t="s">
        <v>3548</v>
      </c>
      <c r="X826" s="56" t="s">
        <v>39</v>
      </c>
      <c r="Y826" s="56" t="s">
        <v>4205</v>
      </c>
      <c r="Z826" s="56" t="s">
        <v>5713</v>
      </c>
      <c r="AC826" s="56" t="s">
        <v>3543</v>
      </c>
      <c r="AD826" s="56" t="s">
        <v>24</v>
      </c>
      <c r="AE826" s="56" t="s">
        <v>5673</v>
      </c>
      <c r="AF826" s="56" t="s">
        <v>5712</v>
      </c>
      <c r="AH826" s="56" t="s">
        <v>3542</v>
      </c>
      <c r="AI826" s="56" t="s">
        <v>3723</v>
      </c>
    </row>
    <row r="827" spans="1:35" ht="33" customHeight="1">
      <c r="A827" s="56" t="s">
        <v>5710</v>
      </c>
      <c r="B827" s="57">
        <v>44361.65960648148</v>
      </c>
      <c r="C827" s="56" t="s">
        <v>3803</v>
      </c>
      <c r="D827" s="56" t="s">
        <v>3802</v>
      </c>
      <c r="E827" s="56" t="s">
        <v>5709</v>
      </c>
      <c r="F827" s="56" t="s">
        <v>5708</v>
      </c>
      <c r="G827" s="58" t="s">
        <v>5711</v>
      </c>
      <c r="H827" s="56">
        <v>1</v>
      </c>
      <c r="I827" s="56" t="s">
        <v>5335</v>
      </c>
      <c r="J827" s="56">
        <v>547</v>
      </c>
      <c r="K827" s="56">
        <v>460</v>
      </c>
      <c r="L827" s="56">
        <v>1075</v>
      </c>
      <c r="M827" s="56">
        <v>0</v>
      </c>
      <c r="N827" s="56">
        <v>0</v>
      </c>
      <c r="O827" s="56">
        <v>108</v>
      </c>
      <c r="P827" s="56">
        <v>0</v>
      </c>
      <c r="Q827" s="56">
        <v>967</v>
      </c>
      <c r="R827" s="56">
        <v>0</v>
      </c>
      <c r="S827" s="56">
        <v>0</v>
      </c>
      <c r="T827" s="56" t="s">
        <v>3562</v>
      </c>
      <c r="U827" s="56">
        <v>967</v>
      </c>
      <c r="V827" s="56" t="s">
        <v>59</v>
      </c>
      <c r="W827" s="56" t="s">
        <v>3548</v>
      </c>
      <c r="X827" s="56" t="s">
        <v>39</v>
      </c>
      <c r="Y827" s="56" t="s">
        <v>5707</v>
      </c>
      <c r="Z827" s="56" t="s">
        <v>5706</v>
      </c>
      <c r="AC827" s="56" t="s">
        <v>3543</v>
      </c>
      <c r="AD827" s="56" t="s">
        <v>24</v>
      </c>
      <c r="AE827" s="56" t="s">
        <v>5673</v>
      </c>
      <c r="AF827" s="56" t="s">
        <v>5705</v>
      </c>
      <c r="AH827" s="56" t="s">
        <v>3542</v>
      </c>
      <c r="AI827" s="56" t="s">
        <v>3723</v>
      </c>
    </row>
    <row r="828" spans="1:35" ht="33" customHeight="1">
      <c r="A828" s="56" t="s">
        <v>5710</v>
      </c>
      <c r="B828" s="57">
        <v>44361.65960648148</v>
      </c>
      <c r="C828" s="56" t="s">
        <v>3803</v>
      </c>
      <c r="D828" s="56" t="s">
        <v>3802</v>
      </c>
      <c r="E828" s="56" t="s">
        <v>5709</v>
      </c>
      <c r="F828" s="56" t="s">
        <v>5708</v>
      </c>
      <c r="G828" s="58" t="s">
        <v>1484</v>
      </c>
      <c r="H828" s="56">
        <v>1</v>
      </c>
      <c r="I828" s="56" t="s">
        <v>4174</v>
      </c>
      <c r="J828" s="56">
        <v>350</v>
      </c>
      <c r="K828" s="56">
        <v>350</v>
      </c>
      <c r="P828" s="56">
        <v>0</v>
      </c>
      <c r="S828" s="56">
        <v>0</v>
      </c>
      <c r="T828" s="56" t="s">
        <v>3562</v>
      </c>
      <c r="V828" s="56" t="s">
        <v>59</v>
      </c>
      <c r="W828" s="56" t="s">
        <v>3548</v>
      </c>
      <c r="X828" s="56" t="s">
        <v>39</v>
      </c>
      <c r="Y828" s="56" t="s">
        <v>5707</v>
      </c>
      <c r="Z828" s="56" t="s">
        <v>5706</v>
      </c>
      <c r="AC828" s="56" t="s">
        <v>3543</v>
      </c>
      <c r="AD828" s="56" t="s">
        <v>24</v>
      </c>
      <c r="AE828" s="56" t="s">
        <v>5673</v>
      </c>
      <c r="AF828" s="56" t="s">
        <v>5705</v>
      </c>
      <c r="AH828" s="56" t="s">
        <v>3542</v>
      </c>
      <c r="AI828" s="56" t="s">
        <v>3723</v>
      </c>
    </row>
    <row r="829" spans="1:35" ht="33" customHeight="1">
      <c r="A829" s="56" t="s">
        <v>5710</v>
      </c>
      <c r="B829" s="57">
        <v>44361.65960648148</v>
      </c>
      <c r="C829" s="56" t="s">
        <v>3803</v>
      </c>
      <c r="D829" s="56" t="s">
        <v>3802</v>
      </c>
      <c r="E829" s="56" t="s">
        <v>5709</v>
      </c>
      <c r="F829" s="56" t="s">
        <v>5708</v>
      </c>
      <c r="G829" s="58" t="s">
        <v>2156</v>
      </c>
      <c r="H829" s="56">
        <v>1</v>
      </c>
      <c r="I829" s="56" t="s">
        <v>1376</v>
      </c>
      <c r="J829" s="56">
        <v>145</v>
      </c>
      <c r="K829" s="56">
        <v>145</v>
      </c>
      <c r="P829" s="56">
        <v>0</v>
      </c>
      <c r="S829" s="56">
        <v>0</v>
      </c>
      <c r="T829" s="56" t="s">
        <v>3562</v>
      </c>
      <c r="V829" s="56" t="s">
        <v>59</v>
      </c>
      <c r="W829" s="56" t="s">
        <v>3548</v>
      </c>
      <c r="X829" s="56" t="s">
        <v>39</v>
      </c>
      <c r="Y829" s="56" t="s">
        <v>5707</v>
      </c>
      <c r="Z829" s="56" t="s">
        <v>5706</v>
      </c>
      <c r="AC829" s="56" t="s">
        <v>3543</v>
      </c>
      <c r="AD829" s="56" t="s">
        <v>24</v>
      </c>
      <c r="AE829" s="56" t="s">
        <v>5673</v>
      </c>
      <c r="AF829" s="56" t="s">
        <v>5705</v>
      </c>
      <c r="AH829" s="56" t="s">
        <v>3542</v>
      </c>
      <c r="AI829" s="56" t="s">
        <v>3723</v>
      </c>
    </row>
    <row r="830" spans="1:35" ht="33" customHeight="1">
      <c r="A830" s="56" t="s">
        <v>5710</v>
      </c>
      <c r="B830" s="57">
        <v>44361.65960648148</v>
      </c>
      <c r="C830" s="56" t="s">
        <v>3803</v>
      </c>
      <c r="D830" s="56" t="s">
        <v>3802</v>
      </c>
      <c r="E830" s="56" t="s">
        <v>5709</v>
      </c>
      <c r="F830" s="56" t="s">
        <v>5708</v>
      </c>
      <c r="G830" s="58" t="s">
        <v>3196</v>
      </c>
      <c r="H830" s="56">
        <v>1</v>
      </c>
      <c r="I830" s="56" t="s">
        <v>2550</v>
      </c>
      <c r="J830" s="56">
        <v>120</v>
      </c>
      <c r="K830" s="56">
        <v>120</v>
      </c>
      <c r="P830" s="56">
        <v>0</v>
      </c>
      <c r="S830" s="56">
        <v>0</v>
      </c>
      <c r="T830" s="56" t="s">
        <v>3562</v>
      </c>
      <c r="V830" s="56" t="s">
        <v>59</v>
      </c>
      <c r="W830" s="56" t="s">
        <v>3548</v>
      </c>
      <c r="X830" s="56" t="s">
        <v>39</v>
      </c>
      <c r="Y830" s="56" t="s">
        <v>5707</v>
      </c>
      <c r="Z830" s="56" t="s">
        <v>5706</v>
      </c>
      <c r="AC830" s="56" t="s">
        <v>3543</v>
      </c>
      <c r="AD830" s="56" t="s">
        <v>24</v>
      </c>
      <c r="AE830" s="56" t="s">
        <v>5673</v>
      </c>
      <c r="AF830" s="56" t="s">
        <v>5705</v>
      </c>
      <c r="AH830" s="56" t="s">
        <v>3542</v>
      </c>
      <c r="AI830" s="56" t="s">
        <v>3723</v>
      </c>
    </row>
    <row r="831" spans="1:35" ht="33" customHeight="1">
      <c r="A831" s="56" t="s">
        <v>5710</v>
      </c>
      <c r="B831" s="57">
        <v>44361.65960648148</v>
      </c>
      <c r="C831" s="56" t="s">
        <v>3803</v>
      </c>
      <c r="D831" s="56" t="s">
        <v>3802</v>
      </c>
      <c r="E831" s="56" t="s">
        <v>5709</v>
      </c>
      <c r="F831" s="56" t="s">
        <v>5708</v>
      </c>
      <c r="G831" s="58" t="s">
        <v>3551</v>
      </c>
      <c r="H831" s="56">
        <v>1</v>
      </c>
      <c r="I831" s="56" t="s">
        <v>3550</v>
      </c>
      <c r="J831" s="56">
        <v>0</v>
      </c>
      <c r="K831" s="56">
        <v>0</v>
      </c>
      <c r="P831" s="56">
        <v>0</v>
      </c>
      <c r="S831" s="56">
        <v>0</v>
      </c>
      <c r="T831" s="56" t="s">
        <v>3562</v>
      </c>
      <c r="V831" s="56" t="s">
        <v>59</v>
      </c>
      <c r="W831" s="56" t="s">
        <v>3548</v>
      </c>
      <c r="X831" s="56" t="s">
        <v>39</v>
      </c>
      <c r="Y831" s="56" t="s">
        <v>5707</v>
      </c>
      <c r="Z831" s="56" t="s">
        <v>5706</v>
      </c>
      <c r="AC831" s="56" t="s">
        <v>3543</v>
      </c>
      <c r="AD831" s="56" t="s">
        <v>24</v>
      </c>
      <c r="AE831" s="56" t="s">
        <v>5673</v>
      </c>
      <c r="AF831" s="56" t="s">
        <v>5705</v>
      </c>
      <c r="AH831" s="56" t="s">
        <v>3542</v>
      </c>
      <c r="AI831" s="56" t="s">
        <v>3723</v>
      </c>
    </row>
    <row r="832" spans="1:35" ht="33" customHeight="1">
      <c r="A832" s="56" t="s">
        <v>5710</v>
      </c>
      <c r="B832" s="57">
        <v>44361.65960648148</v>
      </c>
      <c r="C832" s="56" t="s">
        <v>3803</v>
      </c>
      <c r="D832" s="56" t="s">
        <v>3802</v>
      </c>
      <c r="E832" s="56" t="s">
        <v>5709</v>
      </c>
      <c r="F832" s="56" t="s">
        <v>5708</v>
      </c>
      <c r="G832" s="58" t="s">
        <v>1498</v>
      </c>
      <c r="H832" s="56">
        <v>1</v>
      </c>
      <c r="I832" s="56" t="s">
        <v>4016</v>
      </c>
      <c r="J832" s="56">
        <v>0</v>
      </c>
      <c r="K832" s="56">
        <v>0</v>
      </c>
      <c r="P832" s="56">
        <v>0</v>
      </c>
      <c r="S832" s="56">
        <v>0</v>
      </c>
      <c r="T832" s="56" t="s">
        <v>3562</v>
      </c>
      <c r="V832" s="56" t="s">
        <v>59</v>
      </c>
      <c r="W832" s="56" t="s">
        <v>3548</v>
      </c>
      <c r="X832" s="56" t="s">
        <v>39</v>
      </c>
      <c r="Y832" s="56" t="s">
        <v>5707</v>
      </c>
      <c r="Z832" s="56" t="s">
        <v>5706</v>
      </c>
      <c r="AC832" s="56" t="s">
        <v>3543</v>
      </c>
      <c r="AD832" s="56" t="s">
        <v>24</v>
      </c>
      <c r="AE832" s="56" t="s">
        <v>5673</v>
      </c>
      <c r="AF832" s="56" t="s">
        <v>5705</v>
      </c>
      <c r="AH832" s="56" t="s">
        <v>3542</v>
      </c>
      <c r="AI832" s="56" t="s">
        <v>3723</v>
      </c>
    </row>
    <row r="833" spans="1:35" ht="33" customHeight="1">
      <c r="A833" s="56" t="s">
        <v>5704</v>
      </c>
      <c r="B833" s="57">
        <v>44361.787974537037</v>
      </c>
      <c r="C833" s="56" t="s">
        <v>3803</v>
      </c>
      <c r="D833" s="56" t="s">
        <v>3802</v>
      </c>
      <c r="E833" s="56" t="s">
        <v>5703</v>
      </c>
      <c r="F833" s="56" t="s">
        <v>5702</v>
      </c>
      <c r="G833" s="58" t="s">
        <v>5608</v>
      </c>
      <c r="H833" s="56">
        <v>1</v>
      </c>
      <c r="I833" s="56" t="s">
        <v>5335</v>
      </c>
      <c r="J833" s="56">
        <v>505</v>
      </c>
      <c r="K833" s="56">
        <v>420</v>
      </c>
      <c r="L833" s="56">
        <v>1277</v>
      </c>
      <c r="M833" s="56">
        <v>0</v>
      </c>
      <c r="N833" s="56">
        <v>0</v>
      </c>
      <c r="O833" s="56">
        <v>100</v>
      </c>
      <c r="P833" s="56">
        <v>0</v>
      </c>
      <c r="Q833" s="56">
        <v>1177</v>
      </c>
      <c r="R833" s="56">
        <v>0</v>
      </c>
      <c r="S833" s="56">
        <v>0</v>
      </c>
      <c r="T833" s="56" t="s">
        <v>3562</v>
      </c>
      <c r="U833" s="56">
        <v>1177</v>
      </c>
      <c r="V833" s="56" t="s">
        <v>3561</v>
      </c>
      <c r="W833" s="56" t="s">
        <v>3548</v>
      </c>
      <c r="X833" s="56" t="s">
        <v>39</v>
      </c>
      <c r="Y833" s="56" t="s">
        <v>5233</v>
      </c>
      <c r="Z833" s="56" t="s">
        <v>5701</v>
      </c>
      <c r="AC833" s="56" t="s">
        <v>3543</v>
      </c>
      <c r="AD833" s="56" t="s">
        <v>24</v>
      </c>
      <c r="AE833" s="56" t="s">
        <v>5673</v>
      </c>
      <c r="AF833" s="56" t="s">
        <v>5700</v>
      </c>
      <c r="AH833" s="56" t="s">
        <v>3542</v>
      </c>
      <c r="AI833" s="56" t="s">
        <v>3723</v>
      </c>
    </row>
    <row r="834" spans="1:35" ht="33" customHeight="1">
      <c r="A834" s="56" t="s">
        <v>5704</v>
      </c>
      <c r="B834" s="57">
        <v>44361.787974537037</v>
      </c>
      <c r="C834" s="56" t="s">
        <v>3803</v>
      </c>
      <c r="D834" s="56" t="s">
        <v>3802</v>
      </c>
      <c r="E834" s="56" t="s">
        <v>5703</v>
      </c>
      <c r="F834" s="56" t="s">
        <v>5702</v>
      </c>
      <c r="G834" s="58" t="s">
        <v>4467</v>
      </c>
      <c r="H834" s="56">
        <v>1</v>
      </c>
      <c r="I834" s="56" t="s">
        <v>3769</v>
      </c>
      <c r="J834" s="56">
        <v>405</v>
      </c>
      <c r="K834" s="56">
        <v>390</v>
      </c>
      <c r="P834" s="56">
        <v>0</v>
      </c>
      <c r="S834" s="56">
        <v>0</v>
      </c>
      <c r="T834" s="56" t="s">
        <v>3562</v>
      </c>
      <c r="V834" s="56" t="s">
        <v>3561</v>
      </c>
      <c r="W834" s="56" t="s">
        <v>3548</v>
      </c>
      <c r="X834" s="56" t="s">
        <v>39</v>
      </c>
      <c r="Y834" s="56" t="s">
        <v>5233</v>
      </c>
      <c r="Z834" s="56" t="s">
        <v>5701</v>
      </c>
      <c r="AC834" s="56" t="s">
        <v>3543</v>
      </c>
      <c r="AD834" s="56" t="s">
        <v>24</v>
      </c>
      <c r="AE834" s="56" t="s">
        <v>5673</v>
      </c>
      <c r="AF834" s="56" t="s">
        <v>5700</v>
      </c>
      <c r="AH834" s="56" t="s">
        <v>3542</v>
      </c>
      <c r="AI834" s="56" t="s">
        <v>3723</v>
      </c>
    </row>
    <row r="835" spans="1:35" ht="33" customHeight="1">
      <c r="A835" s="56" t="s">
        <v>5704</v>
      </c>
      <c r="B835" s="57">
        <v>44361.787974537037</v>
      </c>
      <c r="C835" s="56" t="s">
        <v>3803</v>
      </c>
      <c r="D835" s="56" t="s">
        <v>3802</v>
      </c>
      <c r="E835" s="56" t="s">
        <v>5703</v>
      </c>
      <c r="F835" s="56" t="s">
        <v>5702</v>
      </c>
      <c r="G835" s="58" t="s">
        <v>1517</v>
      </c>
      <c r="H835" s="56">
        <v>1</v>
      </c>
      <c r="I835" s="56" t="s">
        <v>3740</v>
      </c>
      <c r="J835" s="56">
        <v>220</v>
      </c>
      <c r="K835" s="56">
        <v>168</v>
      </c>
      <c r="P835" s="56">
        <v>0</v>
      </c>
      <c r="S835" s="56">
        <v>0</v>
      </c>
      <c r="T835" s="56" t="s">
        <v>3562</v>
      </c>
      <c r="V835" s="56" t="s">
        <v>3561</v>
      </c>
      <c r="W835" s="56" t="s">
        <v>3548</v>
      </c>
      <c r="X835" s="56" t="s">
        <v>39</v>
      </c>
      <c r="Y835" s="56" t="s">
        <v>5233</v>
      </c>
      <c r="Z835" s="56" t="s">
        <v>5701</v>
      </c>
      <c r="AC835" s="56" t="s">
        <v>3543</v>
      </c>
      <c r="AD835" s="56" t="s">
        <v>24</v>
      </c>
      <c r="AE835" s="56" t="s">
        <v>5673</v>
      </c>
      <c r="AF835" s="56" t="s">
        <v>5700</v>
      </c>
      <c r="AH835" s="56" t="s">
        <v>3542</v>
      </c>
      <c r="AI835" s="56" t="s">
        <v>3723</v>
      </c>
    </row>
    <row r="836" spans="1:35" ht="33" customHeight="1">
      <c r="A836" s="56" t="s">
        <v>5704</v>
      </c>
      <c r="B836" s="57">
        <v>44361.787974537037</v>
      </c>
      <c r="C836" s="56" t="s">
        <v>3803</v>
      </c>
      <c r="D836" s="56" t="s">
        <v>3802</v>
      </c>
      <c r="E836" s="56" t="s">
        <v>5703</v>
      </c>
      <c r="F836" s="56" t="s">
        <v>5702</v>
      </c>
      <c r="G836" s="58" t="s">
        <v>1508</v>
      </c>
      <c r="H836" s="56">
        <v>1</v>
      </c>
      <c r="I836" s="56" t="s">
        <v>3696</v>
      </c>
      <c r="J836" s="56">
        <v>299</v>
      </c>
      <c r="K836" s="56">
        <v>299</v>
      </c>
      <c r="P836" s="56">
        <v>0</v>
      </c>
      <c r="S836" s="56">
        <v>0</v>
      </c>
      <c r="T836" s="56" t="s">
        <v>3562</v>
      </c>
      <c r="V836" s="56" t="s">
        <v>3561</v>
      </c>
      <c r="W836" s="56" t="s">
        <v>3548</v>
      </c>
      <c r="X836" s="56" t="s">
        <v>39</v>
      </c>
      <c r="Y836" s="56" t="s">
        <v>5233</v>
      </c>
      <c r="Z836" s="56" t="s">
        <v>5701</v>
      </c>
      <c r="AC836" s="56" t="s">
        <v>3543</v>
      </c>
      <c r="AD836" s="56" t="s">
        <v>24</v>
      </c>
      <c r="AE836" s="56" t="s">
        <v>5673</v>
      </c>
      <c r="AF836" s="56" t="s">
        <v>5700</v>
      </c>
      <c r="AH836" s="56" t="s">
        <v>3542</v>
      </c>
      <c r="AI836" s="56" t="s">
        <v>3723</v>
      </c>
    </row>
    <row r="837" spans="1:35" ht="33" customHeight="1">
      <c r="A837" s="56" t="s">
        <v>5704</v>
      </c>
      <c r="B837" s="57">
        <v>44361.787974537037</v>
      </c>
      <c r="C837" s="56" t="s">
        <v>3803</v>
      </c>
      <c r="D837" s="56" t="s">
        <v>3802</v>
      </c>
      <c r="E837" s="56" t="s">
        <v>5703</v>
      </c>
      <c r="F837" s="56" t="s">
        <v>5702</v>
      </c>
      <c r="G837" s="58" t="s">
        <v>3551</v>
      </c>
      <c r="H837" s="56">
        <v>1</v>
      </c>
      <c r="I837" s="56" t="s">
        <v>3550</v>
      </c>
      <c r="J837" s="56">
        <v>0</v>
      </c>
      <c r="K837" s="56">
        <v>0</v>
      </c>
      <c r="P837" s="56">
        <v>0</v>
      </c>
      <c r="S837" s="56">
        <v>0</v>
      </c>
      <c r="T837" s="56" t="s">
        <v>3562</v>
      </c>
      <c r="V837" s="56" t="s">
        <v>3561</v>
      </c>
      <c r="W837" s="56" t="s">
        <v>3548</v>
      </c>
      <c r="X837" s="56" t="s">
        <v>39</v>
      </c>
      <c r="Y837" s="56" t="s">
        <v>5233</v>
      </c>
      <c r="Z837" s="56" t="s">
        <v>5701</v>
      </c>
      <c r="AC837" s="56" t="s">
        <v>3543</v>
      </c>
      <c r="AD837" s="56" t="s">
        <v>24</v>
      </c>
      <c r="AE837" s="56" t="s">
        <v>5673</v>
      </c>
      <c r="AF837" s="56" t="s">
        <v>5700</v>
      </c>
      <c r="AH837" s="56" t="s">
        <v>3542</v>
      </c>
      <c r="AI837" s="56" t="s">
        <v>3723</v>
      </c>
    </row>
    <row r="838" spans="1:35" ht="33" customHeight="1">
      <c r="A838" s="56" t="s">
        <v>5704</v>
      </c>
      <c r="B838" s="57">
        <v>44361.787974537037</v>
      </c>
      <c r="C838" s="56" t="s">
        <v>3803</v>
      </c>
      <c r="D838" s="56" t="s">
        <v>3802</v>
      </c>
      <c r="E838" s="56" t="s">
        <v>5703</v>
      </c>
      <c r="F838" s="56" t="s">
        <v>5702</v>
      </c>
      <c r="G838" s="58" t="s">
        <v>1498</v>
      </c>
      <c r="H838" s="56">
        <v>1</v>
      </c>
      <c r="I838" s="56" t="s">
        <v>4016</v>
      </c>
      <c r="J838" s="56">
        <v>0</v>
      </c>
      <c r="K838" s="56">
        <v>0</v>
      </c>
      <c r="P838" s="56">
        <v>0</v>
      </c>
      <c r="S838" s="56">
        <v>0</v>
      </c>
      <c r="T838" s="56" t="s">
        <v>3562</v>
      </c>
      <c r="V838" s="56" t="s">
        <v>3561</v>
      </c>
      <c r="W838" s="56" t="s">
        <v>3548</v>
      </c>
      <c r="X838" s="56" t="s">
        <v>39</v>
      </c>
      <c r="Y838" s="56" t="s">
        <v>5233</v>
      </c>
      <c r="Z838" s="56" t="s">
        <v>5701</v>
      </c>
      <c r="AC838" s="56" t="s">
        <v>3543</v>
      </c>
      <c r="AD838" s="56" t="s">
        <v>24</v>
      </c>
      <c r="AE838" s="56" t="s">
        <v>5673</v>
      </c>
      <c r="AF838" s="56" t="s">
        <v>5700</v>
      </c>
      <c r="AH838" s="56" t="s">
        <v>3542</v>
      </c>
      <c r="AI838" s="56" t="s">
        <v>3723</v>
      </c>
    </row>
    <row r="839" spans="1:35" ht="33" customHeight="1">
      <c r="A839" s="56" t="s">
        <v>5699</v>
      </c>
      <c r="B839" s="57">
        <v>44361.846643518518</v>
      </c>
      <c r="C839" s="56" t="s">
        <v>4512</v>
      </c>
      <c r="D839" s="56" t="s">
        <v>4511</v>
      </c>
      <c r="E839" s="56" t="s">
        <v>5698</v>
      </c>
      <c r="F839" s="56" t="s">
        <v>5697</v>
      </c>
      <c r="G839" s="58" t="s">
        <v>3171</v>
      </c>
      <c r="H839" s="56">
        <v>1</v>
      </c>
      <c r="I839" s="56" t="s">
        <v>3695</v>
      </c>
      <c r="J839" s="56">
        <v>399</v>
      </c>
      <c r="K839" s="56">
        <v>399</v>
      </c>
      <c r="L839" s="56">
        <v>399</v>
      </c>
      <c r="M839" s="56">
        <v>65</v>
      </c>
      <c r="N839" s="56">
        <v>0</v>
      </c>
      <c r="O839" s="56">
        <v>0</v>
      </c>
      <c r="P839" s="56">
        <v>0</v>
      </c>
      <c r="Q839" s="56">
        <v>464</v>
      </c>
      <c r="R839" s="56">
        <v>0</v>
      </c>
      <c r="S839" s="56">
        <v>0</v>
      </c>
      <c r="T839" s="56" t="s">
        <v>3562</v>
      </c>
      <c r="U839" s="56">
        <v>464</v>
      </c>
      <c r="V839" s="56" t="s">
        <v>3612</v>
      </c>
      <c r="W839" s="56" t="s">
        <v>3548</v>
      </c>
      <c r="X839" s="56" t="s">
        <v>3611</v>
      </c>
      <c r="Z839" s="56" t="s">
        <v>3546</v>
      </c>
      <c r="AA839" s="56" t="s">
        <v>5696</v>
      </c>
      <c r="AB839" s="56" t="s">
        <v>5695</v>
      </c>
      <c r="AC839" s="56" t="s">
        <v>3543</v>
      </c>
      <c r="AD839" s="56" t="s">
        <v>24</v>
      </c>
      <c r="AE839" s="56" t="s">
        <v>4530</v>
      </c>
      <c r="AF839" s="56" t="s">
        <v>5694</v>
      </c>
      <c r="AH839" s="56" t="s">
        <v>3542</v>
      </c>
      <c r="AI839" s="56" t="s">
        <v>3723</v>
      </c>
    </row>
    <row r="840" spans="1:35" ht="33" customHeight="1">
      <c r="A840" s="56" t="s">
        <v>5699</v>
      </c>
      <c r="B840" s="57">
        <v>44361.846643518518</v>
      </c>
      <c r="C840" s="56" t="s">
        <v>4512</v>
      </c>
      <c r="D840" s="56" t="s">
        <v>4511</v>
      </c>
      <c r="E840" s="56" t="s">
        <v>5698</v>
      </c>
      <c r="F840" s="56" t="s">
        <v>5697</v>
      </c>
      <c r="G840" s="58" t="s">
        <v>3551</v>
      </c>
      <c r="H840" s="56">
        <v>1</v>
      </c>
      <c r="I840" s="56" t="s">
        <v>3550</v>
      </c>
      <c r="J840" s="56">
        <v>0</v>
      </c>
      <c r="K840" s="56">
        <v>0</v>
      </c>
      <c r="P840" s="56">
        <v>0</v>
      </c>
      <c r="S840" s="56">
        <v>0</v>
      </c>
      <c r="T840" s="56" t="s">
        <v>3562</v>
      </c>
      <c r="V840" s="56" t="s">
        <v>3612</v>
      </c>
      <c r="W840" s="56" t="s">
        <v>3548</v>
      </c>
      <c r="X840" s="56" t="s">
        <v>3611</v>
      </c>
      <c r="Z840" s="56" t="s">
        <v>3546</v>
      </c>
      <c r="AA840" s="56" t="s">
        <v>5696</v>
      </c>
      <c r="AB840" s="56" t="s">
        <v>5695</v>
      </c>
      <c r="AC840" s="56" t="s">
        <v>3543</v>
      </c>
      <c r="AD840" s="56" t="s">
        <v>24</v>
      </c>
      <c r="AE840" s="56" t="s">
        <v>4530</v>
      </c>
      <c r="AF840" s="56" t="s">
        <v>5694</v>
      </c>
      <c r="AH840" s="56" t="s">
        <v>3542</v>
      </c>
      <c r="AI840" s="56" t="s">
        <v>3723</v>
      </c>
    </row>
    <row r="841" spans="1:35" ht="33" customHeight="1">
      <c r="A841" s="56" t="s">
        <v>5693</v>
      </c>
      <c r="B841" s="57">
        <v>44361.852349537039</v>
      </c>
      <c r="C841" s="56" t="s">
        <v>3803</v>
      </c>
      <c r="D841" s="56" t="s">
        <v>3802</v>
      </c>
      <c r="E841" s="56" t="s">
        <v>5692</v>
      </c>
      <c r="F841" s="56" t="s">
        <v>5691</v>
      </c>
      <c r="G841" s="58" t="s">
        <v>3656</v>
      </c>
      <c r="H841" s="56">
        <v>1</v>
      </c>
      <c r="I841" s="56" t="s">
        <v>3655</v>
      </c>
      <c r="J841" s="56">
        <v>1107</v>
      </c>
      <c r="K841" s="56">
        <v>799</v>
      </c>
      <c r="L841" s="56">
        <v>944</v>
      </c>
      <c r="M841" s="56">
        <v>0</v>
      </c>
      <c r="N841" s="56">
        <v>0</v>
      </c>
      <c r="O841" s="56">
        <v>0</v>
      </c>
      <c r="P841" s="56">
        <v>0</v>
      </c>
      <c r="Q841" s="56">
        <v>944</v>
      </c>
      <c r="R841" s="56">
        <v>0</v>
      </c>
      <c r="S841" s="56">
        <v>0</v>
      </c>
      <c r="T841" s="56" t="s">
        <v>3562</v>
      </c>
      <c r="U841" s="56">
        <v>944</v>
      </c>
      <c r="V841" s="56" t="s">
        <v>3561</v>
      </c>
      <c r="W841" s="56" t="s">
        <v>3548</v>
      </c>
      <c r="X841" s="56" t="s">
        <v>39</v>
      </c>
      <c r="Y841" s="56" t="s">
        <v>4463</v>
      </c>
      <c r="Z841" s="56" t="s">
        <v>5690</v>
      </c>
      <c r="AC841" s="56" t="s">
        <v>3543</v>
      </c>
      <c r="AD841" s="56" t="s">
        <v>24</v>
      </c>
      <c r="AE841" s="56" t="s">
        <v>5673</v>
      </c>
      <c r="AF841" s="56" t="s">
        <v>5689</v>
      </c>
      <c r="AH841" s="56" t="s">
        <v>3542</v>
      </c>
      <c r="AI841" s="56" t="s">
        <v>3723</v>
      </c>
    </row>
    <row r="842" spans="1:35" ht="33" customHeight="1">
      <c r="A842" s="56" t="s">
        <v>5693</v>
      </c>
      <c r="B842" s="57">
        <v>44361.852349537039</v>
      </c>
      <c r="C842" s="56" t="s">
        <v>3803</v>
      </c>
      <c r="D842" s="56" t="s">
        <v>3802</v>
      </c>
      <c r="E842" s="56" t="s">
        <v>5692</v>
      </c>
      <c r="F842" s="56" t="s">
        <v>5691</v>
      </c>
      <c r="G842" s="58" t="s">
        <v>2156</v>
      </c>
      <c r="H842" s="56">
        <v>1</v>
      </c>
      <c r="I842" s="56" t="s">
        <v>1376</v>
      </c>
      <c r="J842" s="56">
        <v>145</v>
      </c>
      <c r="K842" s="56">
        <v>145</v>
      </c>
      <c r="P842" s="56">
        <v>0</v>
      </c>
      <c r="S842" s="56">
        <v>0</v>
      </c>
      <c r="T842" s="56" t="s">
        <v>3562</v>
      </c>
      <c r="V842" s="56" t="s">
        <v>3561</v>
      </c>
      <c r="W842" s="56" t="s">
        <v>3548</v>
      </c>
      <c r="X842" s="56" t="s">
        <v>39</v>
      </c>
      <c r="Y842" s="56" t="s">
        <v>4463</v>
      </c>
      <c r="Z842" s="56" t="s">
        <v>5690</v>
      </c>
      <c r="AC842" s="56" t="s">
        <v>3543</v>
      </c>
      <c r="AD842" s="56" t="s">
        <v>24</v>
      </c>
      <c r="AE842" s="56" t="s">
        <v>5673</v>
      </c>
      <c r="AF842" s="56" t="s">
        <v>5689</v>
      </c>
      <c r="AH842" s="56" t="s">
        <v>3542</v>
      </c>
      <c r="AI842" s="56" t="s">
        <v>3723</v>
      </c>
    </row>
    <row r="843" spans="1:35" ht="33" customHeight="1">
      <c r="A843" s="56" t="s">
        <v>5693</v>
      </c>
      <c r="B843" s="57">
        <v>44361.852349537039</v>
      </c>
      <c r="C843" s="56" t="s">
        <v>3803</v>
      </c>
      <c r="D843" s="56" t="s">
        <v>3802</v>
      </c>
      <c r="E843" s="56" t="s">
        <v>5692</v>
      </c>
      <c r="F843" s="56" t="s">
        <v>5691</v>
      </c>
      <c r="G843" s="58" t="s">
        <v>3551</v>
      </c>
      <c r="H843" s="56">
        <v>1</v>
      </c>
      <c r="I843" s="56" t="s">
        <v>3550</v>
      </c>
      <c r="J843" s="56">
        <v>0</v>
      </c>
      <c r="K843" s="56">
        <v>0</v>
      </c>
      <c r="P843" s="56">
        <v>0</v>
      </c>
      <c r="S843" s="56">
        <v>0</v>
      </c>
      <c r="T843" s="56" t="s">
        <v>3562</v>
      </c>
      <c r="V843" s="56" t="s">
        <v>3561</v>
      </c>
      <c r="W843" s="56" t="s">
        <v>3548</v>
      </c>
      <c r="X843" s="56" t="s">
        <v>39</v>
      </c>
      <c r="Y843" s="56" t="s">
        <v>4463</v>
      </c>
      <c r="Z843" s="56" t="s">
        <v>5690</v>
      </c>
      <c r="AC843" s="56" t="s">
        <v>3543</v>
      </c>
      <c r="AD843" s="56" t="s">
        <v>24</v>
      </c>
      <c r="AE843" s="56" t="s">
        <v>5673</v>
      </c>
      <c r="AF843" s="56" t="s">
        <v>5689</v>
      </c>
      <c r="AH843" s="56" t="s">
        <v>3542</v>
      </c>
      <c r="AI843" s="56" t="s">
        <v>3723</v>
      </c>
    </row>
    <row r="844" spans="1:35" ht="33" customHeight="1">
      <c r="A844" s="56" t="s">
        <v>5693</v>
      </c>
      <c r="B844" s="57">
        <v>44361.852349537039</v>
      </c>
      <c r="C844" s="56" t="s">
        <v>3803</v>
      </c>
      <c r="D844" s="56" t="s">
        <v>3802</v>
      </c>
      <c r="E844" s="56" t="s">
        <v>5692</v>
      </c>
      <c r="F844" s="56" t="s">
        <v>5691</v>
      </c>
      <c r="G844" s="58" t="s">
        <v>1498</v>
      </c>
      <c r="H844" s="56">
        <v>1</v>
      </c>
      <c r="I844" s="56" t="s">
        <v>4016</v>
      </c>
      <c r="J844" s="56">
        <v>0</v>
      </c>
      <c r="K844" s="56">
        <v>0</v>
      </c>
      <c r="P844" s="56">
        <v>0</v>
      </c>
      <c r="S844" s="56">
        <v>0</v>
      </c>
      <c r="T844" s="56" t="s">
        <v>3562</v>
      </c>
      <c r="V844" s="56" t="s">
        <v>3561</v>
      </c>
      <c r="W844" s="56" t="s">
        <v>3548</v>
      </c>
      <c r="X844" s="56" t="s">
        <v>39</v>
      </c>
      <c r="Y844" s="56" t="s">
        <v>4463</v>
      </c>
      <c r="Z844" s="56" t="s">
        <v>5690</v>
      </c>
      <c r="AC844" s="56" t="s">
        <v>3543</v>
      </c>
      <c r="AD844" s="56" t="s">
        <v>24</v>
      </c>
      <c r="AE844" s="56" t="s">
        <v>5673</v>
      </c>
      <c r="AF844" s="56" t="s">
        <v>5689</v>
      </c>
      <c r="AH844" s="56" t="s">
        <v>3542</v>
      </c>
      <c r="AI844" s="56" t="s">
        <v>3723</v>
      </c>
    </row>
    <row r="845" spans="1:35" ht="33" customHeight="1">
      <c r="A845" s="56" t="s">
        <v>5688</v>
      </c>
      <c r="B845" s="57">
        <v>44361.897812499999</v>
      </c>
      <c r="C845" s="56" t="s">
        <v>3803</v>
      </c>
      <c r="D845" s="56" t="s">
        <v>3802</v>
      </c>
      <c r="E845" s="56" t="s">
        <v>5687</v>
      </c>
      <c r="F845" s="56" t="s">
        <v>5686</v>
      </c>
      <c r="G845" s="58" t="s">
        <v>1531</v>
      </c>
      <c r="H845" s="56">
        <v>1</v>
      </c>
      <c r="I845" s="56" t="s">
        <v>3696</v>
      </c>
      <c r="J845" s="56">
        <v>299</v>
      </c>
      <c r="K845" s="56">
        <v>299</v>
      </c>
      <c r="L845" s="56">
        <v>1187</v>
      </c>
      <c r="M845" s="56">
        <v>0</v>
      </c>
      <c r="N845" s="56">
        <v>0</v>
      </c>
      <c r="O845" s="56">
        <v>100</v>
      </c>
      <c r="P845" s="56">
        <v>0</v>
      </c>
      <c r="Q845" s="56">
        <v>1087</v>
      </c>
      <c r="R845" s="56">
        <v>0</v>
      </c>
      <c r="S845" s="56">
        <v>0</v>
      </c>
      <c r="T845" s="56" t="s">
        <v>3562</v>
      </c>
      <c r="U845" s="56">
        <v>1087</v>
      </c>
      <c r="V845" s="56" t="s">
        <v>3561</v>
      </c>
      <c r="W845" s="56" t="s">
        <v>3548</v>
      </c>
      <c r="X845" s="56" t="s">
        <v>39</v>
      </c>
      <c r="Y845" s="56" t="s">
        <v>5685</v>
      </c>
      <c r="Z845" s="56" t="s">
        <v>5684</v>
      </c>
      <c r="AC845" s="56" t="s">
        <v>3543</v>
      </c>
      <c r="AD845" s="56" t="s">
        <v>24</v>
      </c>
      <c r="AE845" s="56" t="s">
        <v>5673</v>
      </c>
      <c r="AF845" s="56" t="s">
        <v>5683</v>
      </c>
      <c r="AH845" s="56" t="s">
        <v>3542</v>
      </c>
      <c r="AI845" s="56" t="s">
        <v>3723</v>
      </c>
    </row>
    <row r="846" spans="1:35" ht="33" customHeight="1">
      <c r="A846" s="56" t="s">
        <v>5688</v>
      </c>
      <c r="B846" s="57">
        <v>44361.897812499999</v>
      </c>
      <c r="C846" s="56" t="s">
        <v>3803</v>
      </c>
      <c r="D846" s="56" t="s">
        <v>3802</v>
      </c>
      <c r="E846" s="56" t="s">
        <v>5687</v>
      </c>
      <c r="F846" s="56" t="s">
        <v>5686</v>
      </c>
      <c r="G846" s="58" t="s">
        <v>3811</v>
      </c>
      <c r="H846" s="56">
        <v>1</v>
      </c>
      <c r="I846" s="56" t="s">
        <v>3669</v>
      </c>
      <c r="J846" s="56">
        <v>897</v>
      </c>
      <c r="K846" s="56">
        <v>888</v>
      </c>
      <c r="P846" s="56">
        <v>0</v>
      </c>
      <c r="S846" s="56">
        <v>0</v>
      </c>
      <c r="T846" s="56" t="s">
        <v>3562</v>
      </c>
      <c r="V846" s="56" t="s">
        <v>3561</v>
      </c>
      <c r="W846" s="56" t="s">
        <v>3548</v>
      </c>
      <c r="X846" s="56" t="s">
        <v>39</v>
      </c>
      <c r="Y846" s="56" t="s">
        <v>5685</v>
      </c>
      <c r="Z846" s="56" t="s">
        <v>5684</v>
      </c>
      <c r="AC846" s="56" t="s">
        <v>3543</v>
      </c>
      <c r="AD846" s="56" t="s">
        <v>24</v>
      </c>
      <c r="AE846" s="56" t="s">
        <v>5673</v>
      </c>
      <c r="AF846" s="56" t="s">
        <v>5683</v>
      </c>
      <c r="AH846" s="56" t="s">
        <v>3542</v>
      </c>
      <c r="AI846" s="56" t="s">
        <v>3723</v>
      </c>
    </row>
    <row r="847" spans="1:35" ht="33" customHeight="1">
      <c r="A847" s="56" t="s">
        <v>5688</v>
      </c>
      <c r="B847" s="57">
        <v>44361.897812499999</v>
      </c>
      <c r="C847" s="56" t="s">
        <v>3803</v>
      </c>
      <c r="D847" s="56" t="s">
        <v>3802</v>
      </c>
      <c r="E847" s="56" t="s">
        <v>5687</v>
      </c>
      <c r="F847" s="56" t="s">
        <v>5686</v>
      </c>
      <c r="G847" s="58" t="s">
        <v>3551</v>
      </c>
      <c r="H847" s="56">
        <v>1</v>
      </c>
      <c r="I847" s="56" t="s">
        <v>3550</v>
      </c>
      <c r="J847" s="56">
        <v>0</v>
      </c>
      <c r="K847" s="56">
        <v>0</v>
      </c>
      <c r="P847" s="56">
        <v>0</v>
      </c>
      <c r="S847" s="56">
        <v>0</v>
      </c>
      <c r="T847" s="56" t="s">
        <v>3562</v>
      </c>
      <c r="V847" s="56" t="s">
        <v>3561</v>
      </c>
      <c r="W847" s="56" t="s">
        <v>3548</v>
      </c>
      <c r="X847" s="56" t="s">
        <v>39</v>
      </c>
      <c r="Y847" s="56" t="s">
        <v>5685</v>
      </c>
      <c r="Z847" s="56" t="s">
        <v>5684</v>
      </c>
      <c r="AC847" s="56" t="s">
        <v>3543</v>
      </c>
      <c r="AD847" s="56" t="s">
        <v>24</v>
      </c>
      <c r="AE847" s="56" t="s">
        <v>5673</v>
      </c>
      <c r="AF847" s="56" t="s">
        <v>5683</v>
      </c>
      <c r="AH847" s="56" t="s">
        <v>3542</v>
      </c>
      <c r="AI847" s="56" t="s">
        <v>3723</v>
      </c>
    </row>
    <row r="848" spans="1:35" ht="33" customHeight="1">
      <c r="A848" s="56" t="s">
        <v>5688</v>
      </c>
      <c r="B848" s="57">
        <v>44361.897812499999</v>
      </c>
      <c r="C848" s="56" t="s">
        <v>3803</v>
      </c>
      <c r="D848" s="56" t="s">
        <v>3802</v>
      </c>
      <c r="E848" s="56" t="s">
        <v>5687</v>
      </c>
      <c r="F848" s="56" t="s">
        <v>5686</v>
      </c>
      <c r="G848" s="58" t="s">
        <v>1498</v>
      </c>
      <c r="H848" s="56">
        <v>1</v>
      </c>
      <c r="I848" s="56" t="s">
        <v>4016</v>
      </c>
      <c r="J848" s="56">
        <v>0</v>
      </c>
      <c r="K848" s="56">
        <v>0</v>
      </c>
      <c r="P848" s="56">
        <v>0</v>
      </c>
      <c r="S848" s="56">
        <v>0</v>
      </c>
      <c r="T848" s="56" t="s">
        <v>3562</v>
      </c>
      <c r="V848" s="56" t="s">
        <v>3561</v>
      </c>
      <c r="W848" s="56" t="s">
        <v>3548</v>
      </c>
      <c r="X848" s="56" t="s">
        <v>39</v>
      </c>
      <c r="Y848" s="56" t="s">
        <v>5685</v>
      </c>
      <c r="Z848" s="56" t="s">
        <v>5684</v>
      </c>
      <c r="AC848" s="56" t="s">
        <v>3543</v>
      </c>
      <c r="AD848" s="56" t="s">
        <v>24</v>
      </c>
      <c r="AE848" s="56" t="s">
        <v>5673</v>
      </c>
      <c r="AF848" s="56" t="s">
        <v>5683</v>
      </c>
      <c r="AH848" s="56" t="s">
        <v>3542</v>
      </c>
      <c r="AI848" s="56" t="s">
        <v>3723</v>
      </c>
    </row>
    <row r="849" spans="1:35" ht="33" customHeight="1">
      <c r="A849" s="56" t="s">
        <v>5682</v>
      </c>
      <c r="B849" s="57">
        <v>44361.907175925924</v>
      </c>
      <c r="C849" s="56" t="s">
        <v>3803</v>
      </c>
      <c r="D849" s="56" t="s">
        <v>3802</v>
      </c>
      <c r="E849" s="56" t="s">
        <v>5681</v>
      </c>
      <c r="F849" s="56" t="s">
        <v>5680</v>
      </c>
      <c r="G849" s="58" t="s">
        <v>3968</v>
      </c>
      <c r="H849" s="56">
        <v>1</v>
      </c>
      <c r="I849" s="56" t="s">
        <v>3669</v>
      </c>
      <c r="J849" s="56">
        <v>897</v>
      </c>
      <c r="K849" s="56">
        <v>888</v>
      </c>
      <c r="L849" s="56">
        <v>2204</v>
      </c>
      <c r="M849" s="56">
        <v>0</v>
      </c>
      <c r="N849" s="56">
        <v>0</v>
      </c>
      <c r="O849" s="56">
        <v>204</v>
      </c>
      <c r="P849" s="56">
        <v>0</v>
      </c>
      <c r="Q849" s="56">
        <v>2000</v>
      </c>
      <c r="R849" s="56">
        <v>0</v>
      </c>
      <c r="S849" s="56">
        <v>0</v>
      </c>
      <c r="T849" s="56" t="s">
        <v>3562</v>
      </c>
      <c r="U849" s="56">
        <v>2000</v>
      </c>
      <c r="V849" s="56" t="s">
        <v>59</v>
      </c>
      <c r="W849" s="56" t="s">
        <v>3548</v>
      </c>
      <c r="X849" s="56" t="s">
        <v>39</v>
      </c>
      <c r="Y849" s="56" t="s">
        <v>5410</v>
      </c>
      <c r="Z849" s="56" t="s">
        <v>5679</v>
      </c>
      <c r="AC849" s="56" t="s">
        <v>3543</v>
      </c>
      <c r="AD849" s="56" t="s">
        <v>24</v>
      </c>
      <c r="AE849" s="56" t="s">
        <v>5673</v>
      </c>
      <c r="AF849" s="56" t="s">
        <v>5678</v>
      </c>
      <c r="AH849" s="56" t="s">
        <v>3542</v>
      </c>
      <c r="AI849" s="56" t="s">
        <v>3723</v>
      </c>
    </row>
    <row r="850" spans="1:35" ht="33" customHeight="1">
      <c r="A850" s="56" t="s">
        <v>5682</v>
      </c>
      <c r="B850" s="57">
        <v>44361.907175925924</v>
      </c>
      <c r="C850" s="56" t="s">
        <v>3803</v>
      </c>
      <c r="D850" s="56" t="s">
        <v>3802</v>
      </c>
      <c r="E850" s="56" t="s">
        <v>5681</v>
      </c>
      <c r="F850" s="56" t="s">
        <v>5680</v>
      </c>
      <c r="G850" s="58" t="s">
        <v>3593</v>
      </c>
      <c r="H850" s="56">
        <v>1</v>
      </c>
      <c r="I850" s="56" t="s">
        <v>3577</v>
      </c>
      <c r="J850" s="56">
        <v>700</v>
      </c>
      <c r="K850" s="56">
        <v>599</v>
      </c>
      <c r="P850" s="56">
        <v>0</v>
      </c>
      <c r="S850" s="56">
        <v>0</v>
      </c>
      <c r="T850" s="56" t="s">
        <v>3562</v>
      </c>
      <c r="V850" s="56" t="s">
        <v>59</v>
      </c>
      <c r="W850" s="56" t="s">
        <v>3548</v>
      </c>
      <c r="X850" s="56" t="s">
        <v>39</v>
      </c>
      <c r="Y850" s="56" t="s">
        <v>5410</v>
      </c>
      <c r="Z850" s="56" t="s">
        <v>5679</v>
      </c>
      <c r="AC850" s="56" t="s">
        <v>3543</v>
      </c>
      <c r="AD850" s="56" t="s">
        <v>24</v>
      </c>
      <c r="AE850" s="56" t="s">
        <v>5673</v>
      </c>
      <c r="AF850" s="56" t="s">
        <v>5678</v>
      </c>
      <c r="AH850" s="56" t="s">
        <v>3542</v>
      </c>
      <c r="AI850" s="56" t="s">
        <v>3723</v>
      </c>
    </row>
    <row r="851" spans="1:35" ht="33" customHeight="1">
      <c r="A851" s="56" t="s">
        <v>5682</v>
      </c>
      <c r="B851" s="57">
        <v>44361.907175925924</v>
      </c>
      <c r="C851" s="56" t="s">
        <v>3803</v>
      </c>
      <c r="D851" s="56" t="s">
        <v>3802</v>
      </c>
      <c r="E851" s="56" t="s">
        <v>5681</v>
      </c>
      <c r="F851" s="56" t="s">
        <v>5680</v>
      </c>
      <c r="G851" s="58" t="s">
        <v>4490</v>
      </c>
      <c r="H851" s="56">
        <v>1</v>
      </c>
      <c r="I851" s="56" t="s">
        <v>3577</v>
      </c>
      <c r="J851" s="56">
        <v>700</v>
      </c>
      <c r="K851" s="56">
        <v>599</v>
      </c>
      <c r="P851" s="56">
        <v>0</v>
      </c>
      <c r="S851" s="56">
        <v>0</v>
      </c>
      <c r="T851" s="56" t="s">
        <v>3562</v>
      </c>
      <c r="V851" s="56" t="s">
        <v>59</v>
      </c>
      <c r="W851" s="56" t="s">
        <v>3548</v>
      </c>
      <c r="X851" s="56" t="s">
        <v>39</v>
      </c>
      <c r="Y851" s="56" t="s">
        <v>5410</v>
      </c>
      <c r="Z851" s="56" t="s">
        <v>5679</v>
      </c>
      <c r="AC851" s="56" t="s">
        <v>3543</v>
      </c>
      <c r="AD851" s="56" t="s">
        <v>24</v>
      </c>
      <c r="AE851" s="56" t="s">
        <v>5673</v>
      </c>
      <c r="AF851" s="56" t="s">
        <v>5678</v>
      </c>
      <c r="AH851" s="56" t="s">
        <v>3542</v>
      </c>
      <c r="AI851" s="56" t="s">
        <v>3723</v>
      </c>
    </row>
    <row r="852" spans="1:35" ht="33" customHeight="1">
      <c r="A852" s="56" t="s">
        <v>5682</v>
      </c>
      <c r="B852" s="57">
        <v>44361.907175925924</v>
      </c>
      <c r="C852" s="56" t="s">
        <v>3803</v>
      </c>
      <c r="D852" s="56" t="s">
        <v>3802</v>
      </c>
      <c r="E852" s="56" t="s">
        <v>5681</v>
      </c>
      <c r="F852" s="56" t="s">
        <v>5680</v>
      </c>
      <c r="G852" s="58" t="s">
        <v>3222</v>
      </c>
      <c r="H852" s="56">
        <v>1</v>
      </c>
      <c r="I852" s="56" t="s">
        <v>3712</v>
      </c>
      <c r="J852" s="56">
        <v>59</v>
      </c>
      <c r="K852" s="56">
        <v>59</v>
      </c>
      <c r="P852" s="56">
        <v>0</v>
      </c>
      <c r="S852" s="56">
        <v>0</v>
      </c>
      <c r="T852" s="56" t="s">
        <v>3562</v>
      </c>
      <c r="V852" s="56" t="s">
        <v>59</v>
      </c>
      <c r="W852" s="56" t="s">
        <v>3548</v>
      </c>
      <c r="X852" s="56" t="s">
        <v>39</v>
      </c>
      <c r="Y852" s="56" t="s">
        <v>5410</v>
      </c>
      <c r="Z852" s="56" t="s">
        <v>5679</v>
      </c>
      <c r="AC852" s="56" t="s">
        <v>3543</v>
      </c>
      <c r="AD852" s="56" t="s">
        <v>24</v>
      </c>
      <c r="AE852" s="56" t="s">
        <v>5673</v>
      </c>
      <c r="AF852" s="56" t="s">
        <v>5678</v>
      </c>
      <c r="AH852" s="56" t="s">
        <v>3542</v>
      </c>
      <c r="AI852" s="56" t="s">
        <v>3723</v>
      </c>
    </row>
    <row r="853" spans="1:35" ht="33" customHeight="1">
      <c r="A853" s="56" t="s">
        <v>5682</v>
      </c>
      <c r="B853" s="57">
        <v>44361.907175925924</v>
      </c>
      <c r="C853" s="56" t="s">
        <v>3803</v>
      </c>
      <c r="D853" s="56" t="s">
        <v>3802</v>
      </c>
      <c r="E853" s="56" t="s">
        <v>5681</v>
      </c>
      <c r="F853" s="56" t="s">
        <v>5680</v>
      </c>
      <c r="G853" s="58" t="s">
        <v>3217</v>
      </c>
      <c r="H853" s="56">
        <v>1</v>
      </c>
      <c r="I853" s="56" t="s">
        <v>3720</v>
      </c>
      <c r="J853" s="56">
        <v>59</v>
      </c>
      <c r="K853" s="56">
        <v>59</v>
      </c>
      <c r="P853" s="56">
        <v>0</v>
      </c>
      <c r="S853" s="56">
        <v>0</v>
      </c>
      <c r="T853" s="56" t="s">
        <v>3562</v>
      </c>
      <c r="V853" s="56" t="s">
        <v>59</v>
      </c>
      <c r="W853" s="56" t="s">
        <v>3548</v>
      </c>
      <c r="X853" s="56" t="s">
        <v>39</v>
      </c>
      <c r="Y853" s="56" t="s">
        <v>5410</v>
      </c>
      <c r="Z853" s="56" t="s">
        <v>5679</v>
      </c>
      <c r="AC853" s="56" t="s">
        <v>3543</v>
      </c>
      <c r="AD853" s="56" t="s">
        <v>24</v>
      </c>
      <c r="AE853" s="56" t="s">
        <v>5673</v>
      </c>
      <c r="AF853" s="56" t="s">
        <v>5678</v>
      </c>
      <c r="AH853" s="56" t="s">
        <v>3542</v>
      </c>
      <c r="AI853" s="56" t="s">
        <v>3723</v>
      </c>
    </row>
    <row r="854" spans="1:35" ht="33" customHeight="1">
      <c r="A854" s="56" t="s">
        <v>5682</v>
      </c>
      <c r="B854" s="57">
        <v>44361.907175925924</v>
      </c>
      <c r="C854" s="56" t="s">
        <v>3803</v>
      </c>
      <c r="D854" s="56" t="s">
        <v>3802</v>
      </c>
      <c r="E854" s="56" t="s">
        <v>5681</v>
      </c>
      <c r="F854" s="56" t="s">
        <v>5680</v>
      </c>
      <c r="G854" s="58" t="s">
        <v>3551</v>
      </c>
      <c r="H854" s="56">
        <v>1</v>
      </c>
      <c r="I854" s="56" t="s">
        <v>3550</v>
      </c>
      <c r="J854" s="56">
        <v>0</v>
      </c>
      <c r="K854" s="56">
        <v>0</v>
      </c>
      <c r="P854" s="56">
        <v>0</v>
      </c>
      <c r="S854" s="56">
        <v>0</v>
      </c>
      <c r="T854" s="56" t="s">
        <v>3562</v>
      </c>
      <c r="V854" s="56" t="s">
        <v>59</v>
      </c>
      <c r="W854" s="56" t="s">
        <v>3548</v>
      </c>
      <c r="X854" s="56" t="s">
        <v>39</v>
      </c>
      <c r="Y854" s="56" t="s">
        <v>5410</v>
      </c>
      <c r="Z854" s="56" t="s">
        <v>5679</v>
      </c>
      <c r="AC854" s="56" t="s">
        <v>3543</v>
      </c>
      <c r="AD854" s="56" t="s">
        <v>24</v>
      </c>
      <c r="AE854" s="56" t="s">
        <v>5673</v>
      </c>
      <c r="AF854" s="56" t="s">
        <v>5678</v>
      </c>
      <c r="AH854" s="56" t="s">
        <v>3542</v>
      </c>
      <c r="AI854" s="56" t="s">
        <v>3723</v>
      </c>
    </row>
    <row r="855" spans="1:35" ht="33" customHeight="1">
      <c r="A855" s="56" t="s">
        <v>5682</v>
      </c>
      <c r="B855" s="57">
        <v>44361.907175925924</v>
      </c>
      <c r="C855" s="56" t="s">
        <v>3803</v>
      </c>
      <c r="D855" s="56" t="s">
        <v>3802</v>
      </c>
      <c r="E855" s="56" t="s">
        <v>5681</v>
      </c>
      <c r="F855" s="56" t="s">
        <v>5680</v>
      </c>
      <c r="G855" s="58" t="s">
        <v>1713</v>
      </c>
      <c r="H855" s="56">
        <v>1</v>
      </c>
      <c r="I855" s="56" t="s">
        <v>3568</v>
      </c>
      <c r="J855" s="56">
        <v>0</v>
      </c>
      <c r="K855" s="56">
        <v>0</v>
      </c>
      <c r="P855" s="56">
        <v>0</v>
      </c>
      <c r="S855" s="56">
        <v>0</v>
      </c>
      <c r="T855" s="56" t="s">
        <v>3562</v>
      </c>
      <c r="V855" s="56" t="s">
        <v>59</v>
      </c>
      <c r="W855" s="56" t="s">
        <v>3548</v>
      </c>
      <c r="X855" s="56" t="s">
        <v>39</v>
      </c>
      <c r="Y855" s="56" t="s">
        <v>5410</v>
      </c>
      <c r="Z855" s="56" t="s">
        <v>5679</v>
      </c>
      <c r="AC855" s="56" t="s">
        <v>3543</v>
      </c>
      <c r="AD855" s="56" t="s">
        <v>24</v>
      </c>
      <c r="AE855" s="56" t="s">
        <v>5673</v>
      </c>
      <c r="AF855" s="56" t="s">
        <v>5678</v>
      </c>
      <c r="AH855" s="56" t="s">
        <v>3542</v>
      </c>
      <c r="AI855" s="56" t="s">
        <v>3723</v>
      </c>
    </row>
    <row r="856" spans="1:35" ht="33" customHeight="1">
      <c r="A856" s="56" t="s">
        <v>5682</v>
      </c>
      <c r="B856" s="57">
        <v>44361.907175925924</v>
      </c>
      <c r="C856" s="56" t="s">
        <v>3803</v>
      </c>
      <c r="D856" s="56" t="s">
        <v>3802</v>
      </c>
      <c r="E856" s="56" t="s">
        <v>5681</v>
      </c>
      <c r="F856" s="56" t="s">
        <v>5680</v>
      </c>
      <c r="G856" s="58" t="s">
        <v>1498</v>
      </c>
      <c r="H856" s="56">
        <v>1</v>
      </c>
      <c r="I856" s="56" t="s">
        <v>4016</v>
      </c>
      <c r="J856" s="56">
        <v>0</v>
      </c>
      <c r="K856" s="56">
        <v>0</v>
      </c>
      <c r="P856" s="56">
        <v>0</v>
      </c>
      <c r="S856" s="56">
        <v>0</v>
      </c>
      <c r="T856" s="56" t="s">
        <v>3562</v>
      </c>
      <c r="V856" s="56" t="s">
        <v>59</v>
      </c>
      <c r="W856" s="56" t="s">
        <v>3548</v>
      </c>
      <c r="X856" s="56" t="s">
        <v>39</v>
      </c>
      <c r="Y856" s="56" t="s">
        <v>5410</v>
      </c>
      <c r="Z856" s="56" t="s">
        <v>5679</v>
      </c>
      <c r="AC856" s="56" t="s">
        <v>3543</v>
      </c>
      <c r="AD856" s="56" t="s">
        <v>24</v>
      </c>
      <c r="AE856" s="56" t="s">
        <v>5673</v>
      </c>
      <c r="AF856" s="56" t="s">
        <v>5678</v>
      </c>
      <c r="AH856" s="56" t="s">
        <v>3542</v>
      </c>
      <c r="AI856" s="56" t="s">
        <v>3723</v>
      </c>
    </row>
    <row r="857" spans="1:35" ht="33" customHeight="1">
      <c r="A857" s="56" t="s">
        <v>5682</v>
      </c>
      <c r="B857" s="57">
        <v>44361.907175925924</v>
      </c>
      <c r="C857" s="56" t="s">
        <v>3803</v>
      </c>
      <c r="D857" s="56" t="s">
        <v>3802</v>
      </c>
      <c r="E857" s="56" t="s">
        <v>5681</v>
      </c>
      <c r="F857" s="56" t="s">
        <v>5680</v>
      </c>
      <c r="G857" s="58" t="s">
        <v>3564</v>
      </c>
      <c r="H857" s="56">
        <v>1</v>
      </c>
      <c r="I857" s="56" t="s">
        <v>3563</v>
      </c>
      <c r="J857" s="56">
        <v>0</v>
      </c>
      <c r="K857" s="56">
        <v>0</v>
      </c>
      <c r="P857" s="56">
        <v>0</v>
      </c>
      <c r="S857" s="56">
        <v>0</v>
      </c>
      <c r="T857" s="56" t="s">
        <v>3562</v>
      </c>
      <c r="V857" s="56" t="s">
        <v>59</v>
      </c>
      <c r="W857" s="56" t="s">
        <v>3548</v>
      </c>
      <c r="X857" s="56" t="s">
        <v>39</v>
      </c>
      <c r="Y857" s="56" t="s">
        <v>5410</v>
      </c>
      <c r="Z857" s="56" t="s">
        <v>5679</v>
      </c>
      <c r="AC857" s="56" t="s">
        <v>3543</v>
      </c>
      <c r="AD857" s="56" t="s">
        <v>24</v>
      </c>
      <c r="AE857" s="56" t="s">
        <v>5673</v>
      </c>
      <c r="AF857" s="56" t="s">
        <v>5678</v>
      </c>
      <c r="AH857" s="56" t="s">
        <v>3542</v>
      </c>
      <c r="AI857" s="56" t="s">
        <v>3723</v>
      </c>
    </row>
    <row r="858" spans="1:35" ht="33" customHeight="1">
      <c r="A858" s="56" t="s">
        <v>5677</v>
      </c>
      <c r="B858" s="57">
        <v>44361.926574074074</v>
      </c>
      <c r="C858" s="56" t="s">
        <v>3803</v>
      </c>
      <c r="D858" s="56" t="s">
        <v>3802</v>
      </c>
      <c r="E858" s="56" t="s">
        <v>5676</v>
      </c>
      <c r="F858" s="56" t="s">
        <v>5675</v>
      </c>
      <c r="G858" s="58" t="s">
        <v>3840</v>
      </c>
      <c r="H858" s="56">
        <v>1</v>
      </c>
      <c r="I858" s="56" t="s">
        <v>3602</v>
      </c>
      <c r="J858" s="56">
        <v>447</v>
      </c>
      <c r="K858" s="56">
        <v>399</v>
      </c>
      <c r="L858" s="56">
        <v>399</v>
      </c>
      <c r="M858" s="56">
        <v>60</v>
      </c>
      <c r="N858" s="56">
        <v>0</v>
      </c>
      <c r="O858" s="56">
        <v>0</v>
      </c>
      <c r="P858" s="56">
        <v>0</v>
      </c>
      <c r="Q858" s="56">
        <v>459</v>
      </c>
      <c r="R858" s="56">
        <v>0</v>
      </c>
      <c r="S858" s="56">
        <v>0</v>
      </c>
      <c r="T858" s="56" t="s">
        <v>3562</v>
      </c>
      <c r="U858" s="56">
        <v>459</v>
      </c>
      <c r="V858" s="56" t="s">
        <v>3561</v>
      </c>
      <c r="W858" s="56" t="s">
        <v>3548</v>
      </c>
      <c r="X858" s="56" t="s">
        <v>39</v>
      </c>
      <c r="Y858" s="56" t="s">
        <v>5422</v>
      </c>
      <c r="Z858" s="56" t="s">
        <v>5674</v>
      </c>
      <c r="AC858" s="56" t="s">
        <v>3543</v>
      </c>
      <c r="AD858" s="56" t="s">
        <v>24</v>
      </c>
      <c r="AE858" s="56" t="s">
        <v>5673</v>
      </c>
      <c r="AF858" s="56" t="s">
        <v>5672</v>
      </c>
      <c r="AH858" s="56" t="s">
        <v>3542</v>
      </c>
      <c r="AI858" s="56" t="s">
        <v>3723</v>
      </c>
    </row>
    <row r="859" spans="1:35" ht="33" customHeight="1">
      <c r="A859" s="56" t="s">
        <v>5677</v>
      </c>
      <c r="B859" s="57">
        <v>44361.926574074074</v>
      </c>
      <c r="C859" s="56" t="s">
        <v>3803</v>
      </c>
      <c r="D859" s="56" t="s">
        <v>3802</v>
      </c>
      <c r="E859" s="56" t="s">
        <v>5676</v>
      </c>
      <c r="F859" s="56" t="s">
        <v>5675</v>
      </c>
      <c r="G859" s="58" t="s">
        <v>3551</v>
      </c>
      <c r="H859" s="56">
        <v>1</v>
      </c>
      <c r="I859" s="56" t="s">
        <v>3550</v>
      </c>
      <c r="J859" s="56">
        <v>0</v>
      </c>
      <c r="K859" s="56">
        <v>0</v>
      </c>
      <c r="P859" s="56">
        <v>0</v>
      </c>
      <c r="S859" s="56">
        <v>0</v>
      </c>
      <c r="T859" s="56" t="s">
        <v>3562</v>
      </c>
      <c r="V859" s="56" t="s">
        <v>3561</v>
      </c>
      <c r="W859" s="56" t="s">
        <v>3548</v>
      </c>
      <c r="X859" s="56" t="s">
        <v>39</v>
      </c>
      <c r="Y859" s="56" t="s">
        <v>5422</v>
      </c>
      <c r="Z859" s="56" t="s">
        <v>5674</v>
      </c>
      <c r="AC859" s="56" t="s">
        <v>3543</v>
      </c>
      <c r="AD859" s="56" t="s">
        <v>24</v>
      </c>
      <c r="AE859" s="56" t="s">
        <v>5673</v>
      </c>
      <c r="AF859" s="56" t="s">
        <v>5672</v>
      </c>
      <c r="AH859" s="56" t="s">
        <v>3542</v>
      </c>
      <c r="AI859" s="56" t="s">
        <v>3723</v>
      </c>
    </row>
    <row r="860" spans="1:35" ht="33" customHeight="1">
      <c r="A860" s="56" t="s">
        <v>5671</v>
      </c>
      <c r="B860" s="57">
        <v>44361.927395833336</v>
      </c>
      <c r="C860" s="56" t="s">
        <v>4512</v>
      </c>
      <c r="D860" s="56" t="s">
        <v>4511</v>
      </c>
      <c r="E860" s="56" t="s">
        <v>5670</v>
      </c>
      <c r="F860" s="56" t="s">
        <v>5669</v>
      </c>
      <c r="G860" s="58" t="s">
        <v>3570</v>
      </c>
      <c r="H860" s="56">
        <v>1</v>
      </c>
      <c r="I860" s="56" t="s">
        <v>3569</v>
      </c>
      <c r="J860" s="56">
        <v>894</v>
      </c>
      <c r="K860" s="56">
        <v>750</v>
      </c>
      <c r="L860" s="56">
        <v>1500</v>
      </c>
      <c r="M860" s="56">
        <v>0</v>
      </c>
      <c r="N860" s="56">
        <v>0</v>
      </c>
      <c r="O860" s="56">
        <v>150</v>
      </c>
      <c r="P860" s="56">
        <v>0</v>
      </c>
      <c r="Q860" s="56">
        <v>1350</v>
      </c>
      <c r="R860" s="56">
        <v>0</v>
      </c>
      <c r="S860" s="56">
        <v>0</v>
      </c>
      <c r="T860" s="56" t="s">
        <v>3562</v>
      </c>
      <c r="U860" s="56">
        <v>1350</v>
      </c>
      <c r="V860" s="56" t="s">
        <v>3612</v>
      </c>
      <c r="W860" s="56" t="s">
        <v>3548</v>
      </c>
      <c r="X860" s="56" t="s">
        <v>3611</v>
      </c>
      <c r="Z860" s="56" t="s">
        <v>3546</v>
      </c>
      <c r="AA860" s="56" t="s">
        <v>5668</v>
      </c>
      <c r="AB860" s="56" t="s">
        <v>5667</v>
      </c>
      <c r="AC860" s="56" t="s">
        <v>3543</v>
      </c>
      <c r="AD860" s="56" t="s">
        <v>24</v>
      </c>
      <c r="AE860" s="56" t="s">
        <v>4530</v>
      </c>
      <c r="AF860" s="56" t="s">
        <v>5666</v>
      </c>
      <c r="AH860" s="56" t="s">
        <v>3542</v>
      </c>
      <c r="AI860" s="56" t="s">
        <v>3723</v>
      </c>
    </row>
    <row r="861" spans="1:35" ht="33" customHeight="1">
      <c r="A861" s="56" t="s">
        <v>5671</v>
      </c>
      <c r="B861" s="57">
        <v>44361.927395833336</v>
      </c>
      <c r="C861" s="56" t="s">
        <v>4512</v>
      </c>
      <c r="D861" s="56" t="s">
        <v>4511</v>
      </c>
      <c r="E861" s="56" t="s">
        <v>5670</v>
      </c>
      <c r="F861" s="56" t="s">
        <v>5669</v>
      </c>
      <c r="G861" s="58" t="s">
        <v>3922</v>
      </c>
      <c r="H861" s="56">
        <v>1</v>
      </c>
      <c r="I861" s="56" t="s">
        <v>3569</v>
      </c>
      <c r="J861" s="56">
        <v>894</v>
      </c>
      <c r="K861" s="56">
        <v>750</v>
      </c>
      <c r="P861" s="56">
        <v>0</v>
      </c>
      <c r="S861" s="56">
        <v>0</v>
      </c>
      <c r="T861" s="56" t="s">
        <v>3562</v>
      </c>
      <c r="V861" s="56" t="s">
        <v>3612</v>
      </c>
      <c r="W861" s="56" t="s">
        <v>3548</v>
      </c>
      <c r="X861" s="56" t="s">
        <v>3611</v>
      </c>
      <c r="Z861" s="56" t="s">
        <v>3546</v>
      </c>
      <c r="AA861" s="56" t="s">
        <v>5668</v>
      </c>
      <c r="AB861" s="56" t="s">
        <v>5667</v>
      </c>
      <c r="AC861" s="56" t="s">
        <v>3543</v>
      </c>
      <c r="AD861" s="56" t="s">
        <v>24</v>
      </c>
      <c r="AE861" s="56" t="s">
        <v>4530</v>
      </c>
      <c r="AF861" s="56" t="s">
        <v>5666</v>
      </c>
      <c r="AH861" s="56" t="s">
        <v>3542</v>
      </c>
      <c r="AI861" s="56" t="s">
        <v>3723</v>
      </c>
    </row>
    <row r="862" spans="1:35" ht="33" customHeight="1">
      <c r="A862" s="56" t="s">
        <v>5671</v>
      </c>
      <c r="B862" s="57">
        <v>44361.927395833336</v>
      </c>
      <c r="C862" s="56" t="s">
        <v>4512</v>
      </c>
      <c r="D862" s="56" t="s">
        <v>4511</v>
      </c>
      <c r="E862" s="56" t="s">
        <v>5670</v>
      </c>
      <c r="F862" s="56" t="s">
        <v>5669</v>
      </c>
      <c r="G862" s="58" t="s">
        <v>3551</v>
      </c>
      <c r="H862" s="56">
        <v>1</v>
      </c>
      <c r="I862" s="56" t="s">
        <v>3550</v>
      </c>
      <c r="J862" s="56">
        <v>0</v>
      </c>
      <c r="K862" s="56">
        <v>0</v>
      </c>
      <c r="P862" s="56">
        <v>0</v>
      </c>
      <c r="S862" s="56">
        <v>0</v>
      </c>
      <c r="T862" s="56" t="s">
        <v>3562</v>
      </c>
      <c r="V862" s="56" t="s">
        <v>3612</v>
      </c>
      <c r="W862" s="56" t="s">
        <v>3548</v>
      </c>
      <c r="X862" s="56" t="s">
        <v>3611</v>
      </c>
      <c r="Z862" s="56" t="s">
        <v>3546</v>
      </c>
      <c r="AA862" s="56" t="s">
        <v>5668</v>
      </c>
      <c r="AB862" s="56" t="s">
        <v>5667</v>
      </c>
      <c r="AC862" s="56" t="s">
        <v>3543</v>
      </c>
      <c r="AD862" s="56" t="s">
        <v>24</v>
      </c>
      <c r="AE862" s="56" t="s">
        <v>4530</v>
      </c>
      <c r="AF862" s="56" t="s">
        <v>5666</v>
      </c>
      <c r="AH862" s="56" t="s">
        <v>3542</v>
      </c>
      <c r="AI862" s="56" t="s">
        <v>3723</v>
      </c>
    </row>
    <row r="863" spans="1:35" ht="33" customHeight="1">
      <c r="A863" s="56" t="s">
        <v>5671</v>
      </c>
      <c r="B863" s="57">
        <v>44361.927395833336</v>
      </c>
      <c r="C863" s="56" t="s">
        <v>4512</v>
      </c>
      <c r="D863" s="56" t="s">
        <v>4511</v>
      </c>
      <c r="E863" s="56" t="s">
        <v>5670</v>
      </c>
      <c r="F863" s="56" t="s">
        <v>5669</v>
      </c>
      <c r="G863" s="58" t="s">
        <v>1713</v>
      </c>
      <c r="H863" s="56">
        <v>1</v>
      </c>
      <c r="I863" s="56" t="s">
        <v>3568</v>
      </c>
      <c r="J863" s="56">
        <v>0</v>
      </c>
      <c r="K863" s="56">
        <v>0</v>
      </c>
      <c r="P863" s="56">
        <v>0</v>
      </c>
      <c r="S863" s="56">
        <v>0</v>
      </c>
      <c r="T863" s="56" t="s">
        <v>3562</v>
      </c>
      <c r="V863" s="56" t="s">
        <v>3612</v>
      </c>
      <c r="W863" s="56" t="s">
        <v>3548</v>
      </c>
      <c r="X863" s="56" t="s">
        <v>3611</v>
      </c>
      <c r="Z863" s="56" t="s">
        <v>3546</v>
      </c>
      <c r="AA863" s="56" t="s">
        <v>5668</v>
      </c>
      <c r="AB863" s="56" t="s">
        <v>5667</v>
      </c>
      <c r="AC863" s="56" t="s">
        <v>3543</v>
      </c>
      <c r="AD863" s="56" t="s">
        <v>24</v>
      </c>
      <c r="AE863" s="56" t="s">
        <v>4530</v>
      </c>
      <c r="AF863" s="56" t="s">
        <v>5666</v>
      </c>
      <c r="AH863" s="56" t="s">
        <v>3542</v>
      </c>
      <c r="AI863" s="56" t="s">
        <v>3723</v>
      </c>
    </row>
    <row r="864" spans="1:35" ht="33" customHeight="1">
      <c r="A864" s="56" t="s">
        <v>5671</v>
      </c>
      <c r="B864" s="57">
        <v>44361.927395833336</v>
      </c>
      <c r="C864" s="56" t="s">
        <v>4512</v>
      </c>
      <c r="D864" s="56" t="s">
        <v>4511</v>
      </c>
      <c r="E864" s="56" t="s">
        <v>5670</v>
      </c>
      <c r="F864" s="56" t="s">
        <v>5669</v>
      </c>
      <c r="G864" s="58" t="s">
        <v>1498</v>
      </c>
      <c r="H864" s="56">
        <v>1</v>
      </c>
      <c r="I864" s="56" t="s">
        <v>4016</v>
      </c>
      <c r="J864" s="56">
        <v>0</v>
      </c>
      <c r="K864" s="56">
        <v>0</v>
      </c>
      <c r="P864" s="56">
        <v>0</v>
      </c>
      <c r="S864" s="56">
        <v>0</v>
      </c>
      <c r="T864" s="56" t="s">
        <v>3562</v>
      </c>
      <c r="V864" s="56" t="s">
        <v>3612</v>
      </c>
      <c r="W864" s="56" t="s">
        <v>3548</v>
      </c>
      <c r="X864" s="56" t="s">
        <v>3611</v>
      </c>
      <c r="Z864" s="56" t="s">
        <v>3546</v>
      </c>
      <c r="AA864" s="56" t="s">
        <v>5668</v>
      </c>
      <c r="AB864" s="56" t="s">
        <v>5667</v>
      </c>
      <c r="AC864" s="56" t="s">
        <v>3543</v>
      </c>
      <c r="AD864" s="56" t="s">
        <v>24</v>
      </c>
      <c r="AE864" s="56" t="s">
        <v>4530</v>
      </c>
      <c r="AF864" s="56" t="s">
        <v>5666</v>
      </c>
      <c r="AH864" s="56" t="s">
        <v>3542</v>
      </c>
      <c r="AI864" s="56" t="s">
        <v>3723</v>
      </c>
    </row>
    <row r="865" spans="1:35" ht="33" customHeight="1">
      <c r="A865" s="56" t="s">
        <v>5665</v>
      </c>
      <c r="B865" s="57">
        <v>44361.938750000001</v>
      </c>
      <c r="C865" s="56" t="s">
        <v>4512</v>
      </c>
      <c r="D865" s="56" t="s">
        <v>4511</v>
      </c>
      <c r="E865" s="56" t="s">
        <v>5664</v>
      </c>
      <c r="F865" s="56" t="s">
        <v>5663</v>
      </c>
      <c r="G865" s="58" t="s">
        <v>1531</v>
      </c>
      <c r="H865" s="56">
        <v>1</v>
      </c>
      <c r="I865" s="56" t="s">
        <v>3696</v>
      </c>
      <c r="J865" s="56">
        <v>299</v>
      </c>
      <c r="K865" s="56">
        <v>299</v>
      </c>
      <c r="L865" s="56">
        <v>1107</v>
      </c>
      <c r="M865" s="56">
        <v>0</v>
      </c>
      <c r="N865" s="56">
        <v>22</v>
      </c>
      <c r="O865" s="56">
        <v>109</v>
      </c>
      <c r="P865" s="56">
        <v>0</v>
      </c>
      <c r="Q865" s="56">
        <v>976</v>
      </c>
      <c r="R865" s="56">
        <v>0</v>
      </c>
      <c r="S865" s="56">
        <v>0</v>
      </c>
      <c r="T865" s="56" t="s">
        <v>3562</v>
      </c>
      <c r="U865" s="56">
        <v>976</v>
      </c>
      <c r="V865" s="56" t="s">
        <v>3549</v>
      </c>
      <c r="W865" s="56" t="s">
        <v>3548</v>
      </c>
      <c r="X865" s="56" t="s">
        <v>3547</v>
      </c>
      <c r="Z865" s="56" t="s">
        <v>3546</v>
      </c>
      <c r="AA865" s="56" t="s">
        <v>5662</v>
      </c>
      <c r="AB865" s="56" t="s">
        <v>5661</v>
      </c>
      <c r="AC865" s="56" t="s">
        <v>3543</v>
      </c>
      <c r="AD865" s="56" t="s">
        <v>24</v>
      </c>
      <c r="AE865" s="56" t="s">
        <v>4530</v>
      </c>
      <c r="AF865" s="56" t="s">
        <v>5660</v>
      </c>
      <c r="AH865" s="56" t="s">
        <v>3542</v>
      </c>
      <c r="AI865" s="56" t="s">
        <v>3723</v>
      </c>
    </row>
    <row r="866" spans="1:35" ht="33" customHeight="1">
      <c r="A866" s="56" t="s">
        <v>5665</v>
      </c>
      <c r="B866" s="57">
        <v>44361.938750000001</v>
      </c>
      <c r="C866" s="56" t="s">
        <v>4512</v>
      </c>
      <c r="D866" s="56" t="s">
        <v>4511</v>
      </c>
      <c r="E866" s="56" t="s">
        <v>5664</v>
      </c>
      <c r="F866" s="56" t="s">
        <v>5663</v>
      </c>
      <c r="G866" s="58" t="s">
        <v>3196</v>
      </c>
      <c r="H866" s="56">
        <v>3</v>
      </c>
      <c r="I866" s="56" t="s">
        <v>2550</v>
      </c>
      <c r="J866" s="56">
        <v>120</v>
      </c>
      <c r="K866" s="56">
        <v>120</v>
      </c>
      <c r="P866" s="56">
        <v>0</v>
      </c>
      <c r="S866" s="56">
        <v>0</v>
      </c>
      <c r="T866" s="56" t="s">
        <v>3562</v>
      </c>
      <c r="V866" s="56" t="s">
        <v>3549</v>
      </c>
      <c r="W866" s="56" t="s">
        <v>3548</v>
      </c>
      <c r="X866" s="56" t="s">
        <v>3547</v>
      </c>
      <c r="Z866" s="56" t="s">
        <v>3546</v>
      </c>
      <c r="AA866" s="56" t="s">
        <v>5662</v>
      </c>
      <c r="AB866" s="56" t="s">
        <v>5661</v>
      </c>
      <c r="AC866" s="56" t="s">
        <v>3543</v>
      </c>
      <c r="AD866" s="56" t="s">
        <v>24</v>
      </c>
      <c r="AE866" s="56" t="s">
        <v>4530</v>
      </c>
      <c r="AF866" s="56" t="s">
        <v>5660</v>
      </c>
      <c r="AH866" s="56" t="s">
        <v>3542</v>
      </c>
      <c r="AI866" s="56" t="s">
        <v>3723</v>
      </c>
    </row>
    <row r="867" spans="1:35" ht="33" customHeight="1">
      <c r="A867" s="56" t="s">
        <v>5665</v>
      </c>
      <c r="B867" s="57">
        <v>44361.938750000001</v>
      </c>
      <c r="C867" s="56" t="s">
        <v>4512</v>
      </c>
      <c r="D867" s="56" t="s">
        <v>4511</v>
      </c>
      <c r="E867" s="56" t="s">
        <v>5664</v>
      </c>
      <c r="F867" s="56" t="s">
        <v>5663</v>
      </c>
      <c r="G867" s="58" t="s">
        <v>2156</v>
      </c>
      <c r="H867" s="56">
        <v>1</v>
      </c>
      <c r="I867" s="56" t="s">
        <v>1376</v>
      </c>
      <c r="J867" s="56">
        <v>149</v>
      </c>
      <c r="K867" s="56">
        <v>149</v>
      </c>
      <c r="P867" s="56">
        <v>0</v>
      </c>
      <c r="S867" s="56">
        <v>0</v>
      </c>
      <c r="T867" s="56" t="s">
        <v>3562</v>
      </c>
      <c r="V867" s="56" t="s">
        <v>3549</v>
      </c>
      <c r="W867" s="56" t="s">
        <v>3548</v>
      </c>
      <c r="X867" s="56" t="s">
        <v>3547</v>
      </c>
      <c r="Z867" s="56" t="s">
        <v>3546</v>
      </c>
      <c r="AA867" s="56" t="s">
        <v>5662</v>
      </c>
      <c r="AB867" s="56" t="s">
        <v>5661</v>
      </c>
      <c r="AC867" s="56" t="s">
        <v>3543</v>
      </c>
      <c r="AD867" s="56" t="s">
        <v>24</v>
      </c>
      <c r="AE867" s="56" t="s">
        <v>4530</v>
      </c>
      <c r="AF867" s="56" t="s">
        <v>5660</v>
      </c>
      <c r="AH867" s="56" t="s">
        <v>3542</v>
      </c>
      <c r="AI867" s="56" t="s">
        <v>3723</v>
      </c>
    </row>
    <row r="868" spans="1:35" ht="33" customHeight="1">
      <c r="A868" s="56" t="s">
        <v>5665</v>
      </c>
      <c r="B868" s="57">
        <v>44361.938750000001</v>
      </c>
      <c r="C868" s="56" t="s">
        <v>4512</v>
      </c>
      <c r="D868" s="56" t="s">
        <v>4511</v>
      </c>
      <c r="E868" s="56" t="s">
        <v>5664</v>
      </c>
      <c r="F868" s="56" t="s">
        <v>5663</v>
      </c>
      <c r="G868" s="58" t="s">
        <v>1510</v>
      </c>
      <c r="H868" s="56">
        <v>1</v>
      </c>
      <c r="I868" s="56" t="s">
        <v>3696</v>
      </c>
      <c r="J868" s="56">
        <v>299</v>
      </c>
      <c r="K868" s="56">
        <v>299</v>
      </c>
      <c r="P868" s="56">
        <v>0</v>
      </c>
      <c r="S868" s="56">
        <v>0</v>
      </c>
      <c r="T868" s="56" t="s">
        <v>3562</v>
      </c>
      <c r="V868" s="56" t="s">
        <v>3549</v>
      </c>
      <c r="W868" s="56" t="s">
        <v>3548</v>
      </c>
      <c r="X868" s="56" t="s">
        <v>3547</v>
      </c>
      <c r="Z868" s="56" t="s">
        <v>3546</v>
      </c>
      <c r="AA868" s="56" t="s">
        <v>5662</v>
      </c>
      <c r="AB868" s="56" t="s">
        <v>5661</v>
      </c>
      <c r="AC868" s="56" t="s">
        <v>3543</v>
      </c>
      <c r="AD868" s="56" t="s">
        <v>24</v>
      </c>
      <c r="AE868" s="56" t="s">
        <v>4530</v>
      </c>
      <c r="AF868" s="56" t="s">
        <v>5660</v>
      </c>
      <c r="AH868" s="56" t="s">
        <v>3542</v>
      </c>
      <c r="AI868" s="56" t="s">
        <v>3723</v>
      </c>
    </row>
    <row r="869" spans="1:35" ht="33" customHeight="1">
      <c r="A869" s="56" t="s">
        <v>5665</v>
      </c>
      <c r="B869" s="57">
        <v>44361.938750000001</v>
      </c>
      <c r="C869" s="56" t="s">
        <v>4512</v>
      </c>
      <c r="D869" s="56" t="s">
        <v>4511</v>
      </c>
      <c r="E869" s="56" t="s">
        <v>5664</v>
      </c>
      <c r="F869" s="56" t="s">
        <v>5663</v>
      </c>
      <c r="G869" s="58" t="s">
        <v>3551</v>
      </c>
      <c r="H869" s="56">
        <v>1</v>
      </c>
      <c r="I869" s="56" t="s">
        <v>3550</v>
      </c>
      <c r="J869" s="56">
        <v>0</v>
      </c>
      <c r="K869" s="56">
        <v>0</v>
      </c>
      <c r="P869" s="56">
        <v>0</v>
      </c>
      <c r="S869" s="56">
        <v>0</v>
      </c>
      <c r="T869" s="56" t="s">
        <v>3562</v>
      </c>
      <c r="V869" s="56" t="s">
        <v>3549</v>
      </c>
      <c r="W869" s="56" t="s">
        <v>3548</v>
      </c>
      <c r="X869" s="56" t="s">
        <v>3547</v>
      </c>
      <c r="Z869" s="56" t="s">
        <v>3546</v>
      </c>
      <c r="AA869" s="56" t="s">
        <v>5662</v>
      </c>
      <c r="AB869" s="56" t="s">
        <v>5661</v>
      </c>
      <c r="AC869" s="56" t="s">
        <v>3543</v>
      </c>
      <c r="AD869" s="56" t="s">
        <v>24</v>
      </c>
      <c r="AE869" s="56" t="s">
        <v>4530</v>
      </c>
      <c r="AF869" s="56" t="s">
        <v>5660</v>
      </c>
      <c r="AH869" s="56" t="s">
        <v>3542</v>
      </c>
      <c r="AI869" s="56" t="s">
        <v>3723</v>
      </c>
    </row>
    <row r="870" spans="1:35" ht="33" customHeight="1">
      <c r="A870" s="56" t="s">
        <v>5665</v>
      </c>
      <c r="B870" s="57">
        <v>44361.938750000001</v>
      </c>
      <c r="C870" s="56" t="s">
        <v>4512</v>
      </c>
      <c r="D870" s="56" t="s">
        <v>4511</v>
      </c>
      <c r="E870" s="56" t="s">
        <v>5664</v>
      </c>
      <c r="F870" s="56" t="s">
        <v>5663</v>
      </c>
      <c r="G870" s="58" t="s">
        <v>1498</v>
      </c>
      <c r="H870" s="56">
        <v>1</v>
      </c>
      <c r="I870" s="56" t="s">
        <v>4016</v>
      </c>
      <c r="J870" s="56">
        <v>0</v>
      </c>
      <c r="K870" s="56">
        <v>0</v>
      </c>
      <c r="P870" s="56">
        <v>0</v>
      </c>
      <c r="S870" s="56">
        <v>0</v>
      </c>
      <c r="T870" s="56" t="s">
        <v>3562</v>
      </c>
      <c r="V870" s="56" t="s">
        <v>3549</v>
      </c>
      <c r="W870" s="56" t="s">
        <v>3548</v>
      </c>
      <c r="X870" s="56" t="s">
        <v>3547</v>
      </c>
      <c r="Z870" s="56" t="s">
        <v>3546</v>
      </c>
      <c r="AA870" s="56" t="s">
        <v>5662</v>
      </c>
      <c r="AB870" s="56" t="s">
        <v>5661</v>
      </c>
      <c r="AC870" s="56" t="s">
        <v>3543</v>
      </c>
      <c r="AD870" s="56" t="s">
        <v>24</v>
      </c>
      <c r="AE870" s="56" t="s">
        <v>4530</v>
      </c>
      <c r="AF870" s="56" t="s">
        <v>5660</v>
      </c>
      <c r="AH870" s="56" t="s">
        <v>3542</v>
      </c>
      <c r="AI870" s="56" t="s">
        <v>3723</v>
      </c>
    </row>
    <row r="871" spans="1:35" ht="33" customHeight="1">
      <c r="A871" s="56" t="s">
        <v>5659</v>
      </c>
      <c r="B871" s="57">
        <v>44362.011250000003</v>
      </c>
      <c r="C871" s="56" t="s">
        <v>3803</v>
      </c>
      <c r="D871" s="56" t="s">
        <v>4426</v>
      </c>
      <c r="E871" s="56" t="s">
        <v>5658</v>
      </c>
      <c r="F871" s="56" t="s">
        <v>5657</v>
      </c>
      <c r="G871" s="58" t="s">
        <v>1508</v>
      </c>
      <c r="H871" s="56">
        <v>1</v>
      </c>
      <c r="I871" s="56" t="s">
        <v>3696</v>
      </c>
      <c r="J871" s="56">
        <v>299</v>
      </c>
      <c r="K871" s="56">
        <v>299</v>
      </c>
      <c r="L871" s="56">
        <v>299</v>
      </c>
      <c r="M871" s="56">
        <v>65</v>
      </c>
      <c r="N871" s="56">
        <v>0</v>
      </c>
      <c r="O871" s="56">
        <v>0</v>
      </c>
      <c r="P871" s="56">
        <v>0</v>
      </c>
      <c r="Q871" s="56">
        <v>364</v>
      </c>
      <c r="R871" s="56">
        <v>0</v>
      </c>
      <c r="S871" s="56">
        <v>0</v>
      </c>
      <c r="T871" s="56" t="s">
        <v>27</v>
      </c>
      <c r="U871" s="56">
        <v>364</v>
      </c>
      <c r="V871" s="56" t="s">
        <v>3612</v>
      </c>
      <c r="W871" s="56" t="s">
        <v>3548</v>
      </c>
      <c r="X871" s="56" t="s">
        <v>3611</v>
      </c>
      <c r="Z871" s="56" t="s">
        <v>3546</v>
      </c>
      <c r="AA871" s="56" t="s">
        <v>5656</v>
      </c>
      <c r="AB871" s="56" t="s">
        <v>5655</v>
      </c>
      <c r="AC871" s="56" t="s">
        <v>3543</v>
      </c>
      <c r="AH871" s="56" t="s">
        <v>3542</v>
      </c>
      <c r="AI871" s="56" t="s">
        <v>3541</v>
      </c>
    </row>
    <row r="872" spans="1:35" ht="33" customHeight="1">
      <c r="A872" s="56" t="s">
        <v>5659</v>
      </c>
      <c r="B872" s="57">
        <v>44362.011250000003</v>
      </c>
      <c r="C872" s="56" t="s">
        <v>3803</v>
      </c>
      <c r="D872" s="56" t="s">
        <v>4426</v>
      </c>
      <c r="E872" s="56" t="s">
        <v>5658</v>
      </c>
      <c r="F872" s="56" t="s">
        <v>5657</v>
      </c>
      <c r="G872" s="58" t="s">
        <v>3551</v>
      </c>
      <c r="H872" s="56">
        <v>1</v>
      </c>
      <c r="I872" s="56" t="s">
        <v>3550</v>
      </c>
      <c r="J872" s="56">
        <v>0</v>
      </c>
      <c r="K872" s="56">
        <v>0</v>
      </c>
      <c r="P872" s="56">
        <v>0</v>
      </c>
      <c r="S872" s="56">
        <v>0</v>
      </c>
      <c r="T872" s="56" t="s">
        <v>27</v>
      </c>
      <c r="V872" s="56" t="s">
        <v>3612</v>
      </c>
      <c r="W872" s="56" t="s">
        <v>3548</v>
      </c>
      <c r="X872" s="56" t="s">
        <v>3611</v>
      </c>
      <c r="Z872" s="56" t="s">
        <v>3546</v>
      </c>
      <c r="AA872" s="56" t="s">
        <v>5656</v>
      </c>
      <c r="AB872" s="56" t="s">
        <v>5655</v>
      </c>
      <c r="AC872" s="56" t="s">
        <v>3543</v>
      </c>
      <c r="AH872" s="56" t="s">
        <v>3542</v>
      </c>
      <c r="AI872" s="56" t="s">
        <v>3541</v>
      </c>
    </row>
    <row r="873" spans="1:35" ht="33" customHeight="1">
      <c r="A873" s="56" t="s">
        <v>5654</v>
      </c>
      <c r="B873" s="57">
        <v>44362.027546296296</v>
      </c>
      <c r="C873" s="56" t="s">
        <v>3803</v>
      </c>
      <c r="D873" s="56" t="s">
        <v>3802</v>
      </c>
      <c r="E873" s="56" t="s">
        <v>5653</v>
      </c>
      <c r="F873" s="56" t="s">
        <v>5652</v>
      </c>
      <c r="G873" s="58" t="s">
        <v>1531</v>
      </c>
      <c r="H873" s="56">
        <v>1</v>
      </c>
      <c r="I873" s="56" t="s">
        <v>3696</v>
      </c>
      <c r="J873" s="56">
        <v>299</v>
      </c>
      <c r="K873" s="56">
        <v>299</v>
      </c>
      <c r="L873" s="56">
        <v>299</v>
      </c>
      <c r="M873" s="56">
        <v>60</v>
      </c>
      <c r="N873" s="56">
        <v>0</v>
      </c>
      <c r="O873" s="56">
        <v>0</v>
      </c>
      <c r="P873" s="56">
        <v>0</v>
      </c>
      <c r="Q873" s="56">
        <v>359</v>
      </c>
      <c r="R873" s="56">
        <v>0</v>
      </c>
      <c r="S873" s="56">
        <v>0</v>
      </c>
      <c r="T873" s="56" t="s">
        <v>3562</v>
      </c>
      <c r="U873" s="56">
        <v>359</v>
      </c>
      <c r="V873" s="56" t="s">
        <v>3865</v>
      </c>
      <c r="W873" s="56" t="s">
        <v>3548</v>
      </c>
      <c r="X873" s="56" t="s">
        <v>39</v>
      </c>
      <c r="Y873" s="56" t="s">
        <v>5651</v>
      </c>
      <c r="Z873" s="56" t="s">
        <v>5650</v>
      </c>
      <c r="AC873" s="56" t="s">
        <v>3543</v>
      </c>
      <c r="AD873" s="56" t="s">
        <v>24</v>
      </c>
      <c r="AE873" s="56" t="s">
        <v>5367</v>
      </c>
      <c r="AF873" s="56" t="s">
        <v>5649</v>
      </c>
      <c r="AH873" s="56" t="s">
        <v>3542</v>
      </c>
      <c r="AI873" s="56" t="s">
        <v>3723</v>
      </c>
    </row>
    <row r="874" spans="1:35" ht="33" customHeight="1">
      <c r="A874" s="56" t="s">
        <v>5654</v>
      </c>
      <c r="B874" s="57">
        <v>44362.027546296296</v>
      </c>
      <c r="C874" s="56" t="s">
        <v>3803</v>
      </c>
      <c r="D874" s="56" t="s">
        <v>3802</v>
      </c>
      <c r="E874" s="56" t="s">
        <v>5653</v>
      </c>
      <c r="F874" s="56" t="s">
        <v>5652</v>
      </c>
      <c r="G874" s="58" t="s">
        <v>3551</v>
      </c>
      <c r="H874" s="56">
        <v>1</v>
      </c>
      <c r="I874" s="56" t="s">
        <v>3550</v>
      </c>
      <c r="J874" s="56">
        <v>0</v>
      </c>
      <c r="K874" s="56">
        <v>0</v>
      </c>
      <c r="P874" s="56">
        <v>0</v>
      </c>
      <c r="S874" s="56">
        <v>0</v>
      </c>
      <c r="T874" s="56" t="s">
        <v>3562</v>
      </c>
      <c r="V874" s="56" t="s">
        <v>3865</v>
      </c>
      <c r="W874" s="56" t="s">
        <v>3548</v>
      </c>
      <c r="X874" s="56" t="s">
        <v>39</v>
      </c>
      <c r="Y874" s="56" t="s">
        <v>5651</v>
      </c>
      <c r="Z874" s="56" t="s">
        <v>5650</v>
      </c>
      <c r="AC874" s="56" t="s">
        <v>3543</v>
      </c>
      <c r="AD874" s="56" t="s">
        <v>24</v>
      </c>
      <c r="AE874" s="56" t="s">
        <v>5367</v>
      </c>
      <c r="AF874" s="56" t="s">
        <v>5649</v>
      </c>
      <c r="AH874" s="56" t="s">
        <v>3542</v>
      </c>
      <c r="AI874" s="56" t="s">
        <v>3723</v>
      </c>
    </row>
    <row r="875" spans="1:35" ht="33" customHeight="1">
      <c r="A875" s="56" t="s">
        <v>5648</v>
      </c>
      <c r="B875" s="57">
        <v>44362.045023148145</v>
      </c>
      <c r="C875" s="56" t="s">
        <v>3803</v>
      </c>
      <c r="D875" s="56" t="s">
        <v>3802</v>
      </c>
      <c r="E875" s="56" t="s">
        <v>5647</v>
      </c>
      <c r="F875" s="56" t="s">
        <v>5646</v>
      </c>
      <c r="G875" s="58" t="s">
        <v>5576</v>
      </c>
      <c r="H875" s="56">
        <v>1</v>
      </c>
      <c r="I875" s="56" t="s">
        <v>3577</v>
      </c>
      <c r="J875" s="56">
        <v>700</v>
      </c>
      <c r="K875" s="56">
        <v>599</v>
      </c>
      <c r="L875" s="56">
        <v>1198</v>
      </c>
      <c r="M875" s="56">
        <v>0</v>
      </c>
      <c r="N875" s="56">
        <v>0</v>
      </c>
      <c r="O875" s="56">
        <v>100</v>
      </c>
      <c r="P875" s="56">
        <v>0</v>
      </c>
      <c r="Q875" s="56">
        <v>1098</v>
      </c>
      <c r="R875" s="56">
        <v>0</v>
      </c>
      <c r="S875" s="56">
        <v>0</v>
      </c>
      <c r="T875" s="56" t="s">
        <v>3562</v>
      </c>
      <c r="U875" s="56">
        <v>1098</v>
      </c>
      <c r="V875" s="56" t="s">
        <v>59</v>
      </c>
      <c r="W875" s="56" t="s">
        <v>3548</v>
      </c>
      <c r="X875" s="56" t="s">
        <v>39</v>
      </c>
      <c r="Y875" s="56" t="s">
        <v>5645</v>
      </c>
      <c r="Z875" s="56" t="s">
        <v>5644</v>
      </c>
      <c r="AC875" s="56" t="s">
        <v>3543</v>
      </c>
      <c r="AD875" s="56" t="s">
        <v>24</v>
      </c>
      <c r="AE875" s="56" t="s">
        <v>5367</v>
      </c>
      <c r="AF875" s="56" t="s">
        <v>5643</v>
      </c>
      <c r="AH875" s="56" t="s">
        <v>3542</v>
      </c>
      <c r="AI875" s="56" t="s">
        <v>3723</v>
      </c>
    </row>
    <row r="876" spans="1:35" ht="33" customHeight="1">
      <c r="A876" s="56" t="s">
        <v>5648</v>
      </c>
      <c r="B876" s="57">
        <v>44362.045023148145</v>
      </c>
      <c r="C876" s="56" t="s">
        <v>3803</v>
      </c>
      <c r="D876" s="56" t="s">
        <v>3802</v>
      </c>
      <c r="E876" s="56" t="s">
        <v>5647</v>
      </c>
      <c r="F876" s="56" t="s">
        <v>5646</v>
      </c>
      <c r="G876" s="58" t="s">
        <v>3668</v>
      </c>
      <c r="H876" s="56">
        <v>1</v>
      </c>
      <c r="I876" s="56" t="s">
        <v>3577</v>
      </c>
      <c r="J876" s="56">
        <v>700</v>
      </c>
      <c r="K876" s="56">
        <v>599</v>
      </c>
      <c r="P876" s="56">
        <v>0</v>
      </c>
      <c r="S876" s="56">
        <v>0</v>
      </c>
      <c r="T876" s="56" t="s">
        <v>3562</v>
      </c>
      <c r="V876" s="56" t="s">
        <v>59</v>
      </c>
      <c r="W876" s="56" t="s">
        <v>3548</v>
      </c>
      <c r="X876" s="56" t="s">
        <v>39</v>
      </c>
      <c r="Y876" s="56" t="s">
        <v>5645</v>
      </c>
      <c r="Z876" s="56" t="s">
        <v>5644</v>
      </c>
      <c r="AC876" s="56" t="s">
        <v>3543</v>
      </c>
      <c r="AD876" s="56" t="s">
        <v>24</v>
      </c>
      <c r="AE876" s="56" t="s">
        <v>5367</v>
      </c>
      <c r="AF876" s="56" t="s">
        <v>5643</v>
      </c>
      <c r="AH876" s="56" t="s">
        <v>3542</v>
      </c>
      <c r="AI876" s="56" t="s">
        <v>3723</v>
      </c>
    </row>
    <row r="877" spans="1:35" ht="33" customHeight="1">
      <c r="A877" s="56" t="s">
        <v>5648</v>
      </c>
      <c r="B877" s="57">
        <v>44362.045023148145</v>
      </c>
      <c r="C877" s="56" t="s">
        <v>3803</v>
      </c>
      <c r="D877" s="56" t="s">
        <v>3802</v>
      </c>
      <c r="E877" s="56" t="s">
        <v>5647</v>
      </c>
      <c r="F877" s="56" t="s">
        <v>5646</v>
      </c>
      <c r="G877" s="58" t="s">
        <v>3551</v>
      </c>
      <c r="H877" s="56">
        <v>1</v>
      </c>
      <c r="I877" s="56" t="s">
        <v>3550</v>
      </c>
      <c r="J877" s="56">
        <v>0</v>
      </c>
      <c r="K877" s="56">
        <v>0</v>
      </c>
      <c r="P877" s="56">
        <v>0</v>
      </c>
      <c r="S877" s="56">
        <v>0</v>
      </c>
      <c r="T877" s="56" t="s">
        <v>3562</v>
      </c>
      <c r="V877" s="56" t="s">
        <v>59</v>
      </c>
      <c r="W877" s="56" t="s">
        <v>3548</v>
      </c>
      <c r="X877" s="56" t="s">
        <v>39</v>
      </c>
      <c r="Y877" s="56" t="s">
        <v>5645</v>
      </c>
      <c r="Z877" s="56" t="s">
        <v>5644</v>
      </c>
      <c r="AC877" s="56" t="s">
        <v>3543</v>
      </c>
      <c r="AD877" s="56" t="s">
        <v>24</v>
      </c>
      <c r="AE877" s="56" t="s">
        <v>5367</v>
      </c>
      <c r="AF877" s="56" t="s">
        <v>5643</v>
      </c>
      <c r="AH877" s="56" t="s">
        <v>3542</v>
      </c>
      <c r="AI877" s="56" t="s">
        <v>3723</v>
      </c>
    </row>
    <row r="878" spans="1:35" ht="33" customHeight="1">
      <c r="A878" s="56" t="s">
        <v>5648</v>
      </c>
      <c r="B878" s="57">
        <v>44362.045023148145</v>
      </c>
      <c r="C878" s="56" t="s">
        <v>3803</v>
      </c>
      <c r="D878" s="56" t="s">
        <v>3802</v>
      </c>
      <c r="E878" s="56" t="s">
        <v>5647</v>
      </c>
      <c r="F878" s="56" t="s">
        <v>5646</v>
      </c>
      <c r="G878" s="58" t="s">
        <v>1498</v>
      </c>
      <c r="H878" s="56">
        <v>1</v>
      </c>
      <c r="I878" s="56" t="s">
        <v>4016</v>
      </c>
      <c r="J878" s="56">
        <v>0</v>
      </c>
      <c r="K878" s="56">
        <v>0</v>
      </c>
      <c r="P878" s="56">
        <v>0</v>
      </c>
      <c r="S878" s="56">
        <v>0</v>
      </c>
      <c r="T878" s="56" t="s">
        <v>3562</v>
      </c>
      <c r="V878" s="56" t="s">
        <v>59</v>
      </c>
      <c r="W878" s="56" t="s">
        <v>3548</v>
      </c>
      <c r="X878" s="56" t="s">
        <v>39</v>
      </c>
      <c r="Y878" s="56" t="s">
        <v>5645</v>
      </c>
      <c r="Z878" s="56" t="s">
        <v>5644</v>
      </c>
      <c r="AC878" s="56" t="s">
        <v>3543</v>
      </c>
      <c r="AD878" s="56" t="s">
        <v>24</v>
      </c>
      <c r="AE878" s="56" t="s">
        <v>5367</v>
      </c>
      <c r="AF878" s="56" t="s">
        <v>5643</v>
      </c>
      <c r="AH878" s="56" t="s">
        <v>3542</v>
      </c>
      <c r="AI878" s="56" t="s">
        <v>3723</v>
      </c>
    </row>
    <row r="879" spans="1:35" ht="33" customHeight="1">
      <c r="A879" s="56" t="s">
        <v>5642</v>
      </c>
      <c r="B879" s="57">
        <v>44362.047500000001</v>
      </c>
      <c r="C879" s="56" t="s">
        <v>4512</v>
      </c>
      <c r="D879" s="56" t="s">
        <v>4511</v>
      </c>
      <c r="E879" s="56" t="s">
        <v>5641</v>
      </c>
      <c r="F879" s="56" t="s">
        <v>5640</v>
      </c>
      <c r="G879" s="58" t="s">
        <v>4231</v>
      </c>
      <c r="H879" s="56">
        <v>1</v>
      </c>
      <c r="I879" s="56" t="s">
        <v>3753</v>
      </c>
      <c r="J879" s="56">
        <v>997</v>
      </c>
      <c r="K879" s="56">
        <v>960</v>
      </c>
      <c r="L879" s="56">
        <v>1259</v>
      </c>
      <c r="M879" s="56">
        <v>0</v>
      </c>
      <c r="N879" s="56">
        <v>0</v>
      </c>
      <c r="O879" s="56">
        <v>126</v>
      </c>
      <c r="P879" s="56">
        <v>0</v>
      </c>
      <c r="Q879" s="56">
        <v>1133</v>
      </c>
      <c r="R879" s="56">
        <v>0</v>
      </c>
      <c r="S879" s="56">
        <v>0</v>
      </c>
      <c r="T879" s="56" t="s">
        <v>3562</v>
      </c>
      <c r="U879" s="56">
        <v>1133</v>
      </c>
      <c r="V879" s="56" t="s">
        <v>3612</v>
      </c>
      <c r="W879" s="56" t="s">
        <v>3548</v>
      </c>
      <c r="X879" s="56" t="s">
        <v>3611</v>
      </c>
      <c r="Z879" s="56" t="s">
        <v>3546</v>
      </c>
      <c r="AA879" s="56" t="s">
        <v>5639</v>
      </c>
      <c r="AB879" s="56" t="s">
        <v>5638</v>
      </c>
      <c r="AC879" s="56" t="s">
        <v>3543</v>
      </c>
      <c r="AD879" s="56" t="s">
        <v>24</v>
      </c>
      <c r="AE879" s="56" t="s">
        <v>4530</v>
      </c>
      <c r="AF879" s="56" t="s">
        <v>5637</v>
      </c>
      <c r="AH879" s="56" t="s">
        <v>3542</v>
      </c>
      <c r="AI879" s="56" t="s">
        <v>3723</v>
      </c>
    </row>
    <row r="880" spans="1:35" ht="33" customHeight="1">
      <c r="A880" s="56" t="s">
        <v>5642</v>
      </c>
      <c r="B880" s="57">
        <v>44362.047500000001</v>
      </c>
      <c r="C880" s="56" t="s">
        <v>4512</v>
      </c>
      <c r="D880" s="56" t="s">
        <v>4511</v>
      </c>
      <c r="E880" s="56" t="s">
        <v>5641</v>
      </c>
      <c r="F880" s="56" t="s">
        <v>5640</v>
      </c>
      <c r="G880" s="58" t="s">
        <v>1510</v>
      </c>
      <c r="H880" s="56">
        <v>1</v>
      </c>
      <c r="I880" s="56" t="s">
        <v>3696</v>
      </c>
      <c r="J880" s="56">
        <v>299</v>
      </c>
      <c r="K880" s="56">
        <v>299</v>
      </c>
      <c r="P880" s="56">
        <v>0</v>
      </c>
      <c r="S880" s="56">
        <v>0</v>
      </c>
      <c r="T880" s="56" t="s">
        <v>3562</v>
      </c>
      <c r="V880" s="56" t="s">
        <v>3612</v>
      </c>
      <c r="W880" s="56" t="s">
        <v>3548</v>
      </c>
      <c r="X880" s="56" t="s">
        <v>3611</v>
      </c>
      <c r="Z880" s="56" t="s">
        <v>3546</v>
      </c>
      <c r="AA880" s="56" t="s">
        <v>5639</v>
      </c>
      <c r="AB880" s="56" t="s">
        <v>5638</v>
      </c>
      <c r="AC880" s="56" t="s">
        <v>3543</v>
      </c>
      <c r="AD880" s="56" t="s">
        <v>24</v>
      </c>
      <c r="AE880" s="56" t="s">
        <v>4530</v>
      </c>
      <c r="AF880" s="56" t="s">
        <v>5637</v>
      </c>
      <c r="AH880" s="56" t="s">
        <v>3542</v>
      </c>
      <c r="AI880" s="56" t="s">
        <v>3723</v>
      </c>
    </row>
    <row r="881" spans="1:35" ht="33" customHeight="1">
      <c r="A881" s="56" t="s">
        <v>5642</v>
      </c>
      <c r="B881" s="57">
        <v>44362.047500000001</v>
      </c>
      <c r="C881" s="56" t="s">
        <v>4512</v>
      </c>
      <c r="D881" s="56" t="s">
        <v>4511</v>
      </c>
      <c r="E881" s="56" t="s">
        <v>5641</v>
      </c>
      <c r="F881" s="56" t="s">
        <v>5640</v>
      </c>
      <c r="G881" s="58" t="s">
        <v>3551</v>
      </c>
      <c r="H881" s="56">
        <v>1</v>
      </c>
      <c r="I881" s="56" t="s">
        <v>3550</v>
      </c>
      <c r="J881" s="56">
        <v>0</v>
      </c>
      <c r="K881" s="56">
        <v>0</v>
      </c>
      <c r="P881" s="56">
        <v>0</v>
      </c>
      <c r="S881" s="56">
        <v>0</v>
      </c>
      <c r="T881" s="56" t="s">
        <v>3562</v>
      </c>
      <c r="V881" s="56" t="s">
        <v>3612</v>
      </c>
      <c r="W881" s="56" t="s">
        <v>3548</v>
      </c>
      <c r="X881" s="56" t="s">
        <v>3611</v>
      </c>
      <c r="Z881" s="56" t="s">
        <v>3546</v>
      </c>
      <c r="AA881" s="56" t="s">
        <v>5639</v>
      </c>
      <c r="AB881" s="56" t="s">
        <v>5638</v>
      </c>
      <c r="AC881" s="56" t="s">
        <v>3543</v>
      </c>
      <c r="AD881" s="56" t="s">
        <v>24</v>
      </c>
      <c r="AE881" s="56" t="s">
        <v>4530</v>
      </c>
      <c r="AF881" s="56" t="s">
        <v>5637</v>
      </c>
      <c r="AH881" s="56" t="s">
        <v>3542</v>
      </c>
      <c r="AI881" s="56" t="s">
        <v>3723</v>
      </c>
    </row>
    <row r="882" spans="1:35" ht="33" customHeight="1">
      <c r="A882" s="56" t="s">
        <v>5642</v>
      </c>
      <c r="B882" s="57">
        <v>44362.047500000001</v>
      </c>
      <c r="C882" s="56" t="s">
        <v>4512</v>
      </c>
      <c r="D882" s="56" t="s">
        <v>4511</v>
      </c>
      <c r="E882" s="56" t="s">
        <v>5641</v>
      </c>
      <c r="F882" s="56" t="s">
        <v>5640</v>
      </c>
      <c r="G882" s="58" t="s">
        <v>1498</v>
      </c>
      <c r="H882" s="56">
        <v>1</v>
      </c>
      <c r="I882" s="56" t="s">
        <v>4016</v>
      </c>
      <c r="J882" s="56">
        <v>0</v>
      </c>
      <c r="K882" s="56">
        <v>0</v>
      </c>
      <c r="P882" s="56">
        <v>0</v>
      </c>
      <c r="S882" s="56">
        <v>0</v>
      </c>
      <c r="T882" s="56" t="s">
        <v>3562</v>
      </c>
      <c r="V882" s="56" t="s">
        <v>3612</v>
      </c>
      <c r="W882" s="56" t="s">
        <v>3548</v>
      </c>
      <c r="X882" s="56" t="s">
        <v>3611</v>
      </c>
      <c r="Z882" s="56" t="s">
        <v>3546</v>
      </c>
      <c r="AA882" s="56" t="s">
        <v>5639</v>
      </c>
      <c r="AB882" s="56" t="s">
        <v>5638</v>
      </c>
      <c r="AC882" s="56" t="s">
        <v>3543</v>
      </c>
      <c r="AD882" s="56" t="s">
        <v>24</v>
      </c>
      <c r="AE882" s="56" t="s">
        <v>4530</v>
      </c>
      <c r="AF882" s="56" t="s">
        <v>5637</v>
      </c>
      <c r="AH882" s="56" t="s">
        <v>3542</v>
      </c>
      <c r="AI882" s="56" t="s">
        <v>3723</v>
      </c>
    </row>
    <row r="883" spans="1:35" ht="33" customHeight="1">
      <c r="A883" s="56" t="s">
        <v>5636</v>
      </c>
      <c r="B883" s="57">
        <v>44362.04886574074</v>
      </c>
      <c r="C883" s="56" t="s">
        <v>3803</v>
      </c>
      <c r="D883" s="56" t="s">
        <v>3802</v>
      </c>
      <c r="E883" s="56" t="s">
        <v>5635</v>
      </c>
      <c r="F883" s="56" t="s">
        <v>5634</v>
      </c>
      <c r="G883" s="58" t="s">
        <v>3811</v>
      </c>
      <c r="H883" s="56">
        <v>1</v>
      </c>
      <c r="I883" s="56" t="s">
        <v>3669</v>
      </c>
      <c r="J883" s="56">
        <v>897</v>
      </c>
      <c r="K883" s="56">
        <v>888</v>
      </c>
      <c r="L883" s="56">
        <v>1023</v>
      </c>
      <c r="M883" s="56">
        <v>0</v>
      </c>
      <c r="N883" s="56">
        <v>0</v>
      </c>
      <c r="O883" s="56">
        <v>100</v>
      </c>
      <c r="P883" s="56">
        <v>0</v>
      </c>
      <c r="Q883" s="56">
        <v>923</v>
      </c>
      <c r="R883" s="56">
        <v>0</v>
      </c>
      <c r="S883" s="56">
        <v>0</v>
      </c>
      <c r="T883" s="56" t="s">
        <v>3562</v>
      </c>
      <c r="U883" s="56">
        <v>923</v>
      </c>
      <c r="V883" s="56" t="s">
        <v>3561</v>
      </c>
      <c r="W883" s="56" t="s">
        <v>3548</v>
      </c>
      <c r="X883" s="56" t="s">
        <v>39</v>
      </c>
      <c r="Y883" s="56" t="s">
        <v>5633</v>
      </c>
      <c r="Z883" s="56" t="s">
        <v>5632</v>
      </c>
      <c r="AC883" s="56" t="s">
        <v>3543</v>
      </c>
      <c r="AD883" s="56" t="s">
        <v>24</v>
      </c>
      <c r="AE883" s="56" t="s">
        <v>5367</v>
      </c>
      <c r="AF883" s="56" t="s">
        <v>5631</v>
      </c>
      <c r="AH883" s="56" t="s">
        <v>3542</v>
      </c>
      <c r="AI883" s="56" t="s">
        <v>3723</v>
      </c>
    </row>
    <row r="884" spans="1:35" ht="33" customHeight="1">
      <c r="A884" s="56" t="s">
        <v>5636</v>
      </c>
      <c r="B884" s="57">
        <v>44362.04886574074</v>
      </c>
      <c r="C884" s="56" t="s">
        <v>3803</v>
      </c>
      <c r="D884" s="56" t="s">
        <v>3802</v>
      </c>
      <c r="E884" s="56" t="s">
        <v>5635</v>
      </c>
      <c r="F884" s="56" t="s">
        <v>5634</v>
      </c>
      <c r="G884" s="58" t="s">
        <v>1491</v>
      </c>
      <c r="H884" s="56">
        <v>1</v>
      </c>
      <c r="I884" s="56" t="s">
        <v>3771</v>
      </c>
      <c r="J884" s="56">
        <v>135</v>
      </c>
      <c r="K884" s="56">
        <v>135</v>
      </c>
      <c r="P884" s="56">
        <v>0</v>
      </c>
      <c r="S884" s="56">
        <v>0</v>
      </c>
      <c r="T884" s="56" t="s">
        <v>3562</v>
      </c>
      <c r="V884" s="56" t="s">
        <v>3561</v>
      </c>
      <c r="W884" s="56" t="s">
        <v>3548</v>
      </c>
      <c r="X884" s="56" t="s">
        <v>39</v>
      </c>
      <c r="Y884" s="56" t="s">
        <v>5633</v>
      </c>
      <c r="Z884" s="56" t="s">
        <v>5632</v>
      </c>
      <c r="AC884" s="56" t="s">
        <v>3543</v>
      </c>
      <c r="AD884" s="56" t="s">
        <v>24</v>
      </c>
      <c r="AE884" s="56" t="s">
        <v>5367</v>
      </c>
      <c r="AF884" s="56" t="s">
        <v>5631</v>
      </c>
      <c r="AH884" s="56" t="s">
        <v>3542</v>
      </c>
      <c r="AI884" s="56" t="s">
        <v>3723</v>
      </c>
    </row>
    <row r="885" spans="1:35" ht="33" customHeight="1">
      <c r="A885" s="56" t="s">
        <v>5636</v>
      </c>
      <c r="B885" s="57">
        <v>44362.04886574074</v>
      </c>
      <c r="C885" s="56" t="s">
        <v>3803</v>
      </c>
      <c r="D885" s="56" t="s">
        <v>3802</v>
      </c>
      <c r="E885" s="56" t="s">
        <v>5635</v>
      </c>
      <c r="F885" s="56" t="s">
        <v>5634</v>
      </c>
      <c r="G885" s="58" t="s">
        <v>3551</v>
      </c>
      <c r="H885" s="56">
        <v>1</v>
      </c>
      <c r="I885" s="56" t="s">
        <v>3550</v>
      </c>
      <c r="J885" s="56">
        <v>0</v>
      </c>
      <c r="K885" s="56">
        <v>0</v>
      </c>
      <c r="P885" s="56">
        <v>0</v>
      </c>
      <c r="S885" s="56">
        <v>0</v>
      </c>
      <c r="T885" s="56" t="s">
        <v>3562</v>
      </c>
      <c r="V885" s="56" t="s">
        <v>3561</v>
      </c>
      <c r="W885" s="56" t="s">
        <v>3548</v>
      </c>
      <c r="X885" s="56" t="s">
        <v>39</v>
      </c>
      <c r="Y885" s="56" t="s">
        <v>5633</v>
      </c>
      <c r="Z885" s="56" t="s">
        <v>5632</v>
      </c>
      <c r="AC885" s="56" t="s">
        <v>3543</v>
      </c>
      <c r="AD885" s="56" t="s">
        <v>24</v>
      </c>
      <c r="AE885" s="56" t="s">
        <v>5367</v>
      </c>
      <c r="AF885" s="56" t="s">
        <v>5631</v>
      </c>
      <c r="AH885" s="56" t="s">
        <v>3542</v>
      </c>
      <c r="AI885" s="56" t="s">
        <v>3723</v>
      </c>
    </row>
    <row r="886" spans="1:35" ht="33" customHeight="1">
      <c r="A886" s="56" t="s">
        <v>5636</v>
      </c>
      <c r="B886" s="57">
        <v>44362.04886574074</v>
      </c>
      <c r="C886" s="56" t="s">
        <v>3803</v>
      </c>
      <c r="D886" s="56" t="s">
        <v>3802</v>
      </c>
      <c r="E886" s="56" t="s">
        <v>5635</v>
      </c>
      <c r="F886" s="56" t="s">
        <v>5634</v>
      </c>
      <c r="G886" s="58" t="s">
        <v>1498</v>
      </c>
      <c r="H886" s="56">
        <v>1</v>
      </c>
      <c r="I886" s="56" t="s">
        <v>4016</v>
      </c>
      <c r="J886" s="56">
        <v>0</v>
      </c>
      <c r="K886" s="56">
        <v>0</v>
      </c>
      <c r="P886" s="56">
        <v>0</v>
      </c>
      <c r="S886" s="56">
        <v>0</v>
      </c>
      <c r="T886" s="56" t="s">
        <v>3562</v>
      </c>
      <c r="V886" s="56" t="s">
        <v>3561</v>
      </c>
      <c r="W886" s="56" t="s">
        <v>3548</v>
      </c>
      <c r="X886" s="56" t="s">
        <v>39</v>
      </c>
      <c r="Y886" s="56" t="s">
        <v>5633</v>
      </c>
      <c r="Z886" s="56" t="s">
        <v>5632</v>
      </c>
      <c r="AC886" s="56" t="s">
        <v>3543</v>
      </c>
      <c r="AD886" s="56" t="s">
        <v>24</v>
      </c>
      <c r="AE886" s="56" t="s">
        <v>5367</v>
      </c>
      <c r="AF886" s="56" t="s">
        <v>5631</v>
      </c>
      <c r="AH886" s="56" t="s">
        <v>3542</v>
      </c>
      <c r="AI886" s="56" t="s">
        <v>3723</v>
      </c>
    </row>
    <row r="887" spans="1:35" ht="33" customHeight="1">
      <c r="A887" s="56" t="s">
        <v>5629</v>
      </c>
      <c r="B887" s="57">
        <v>44362.078483796293</v>
      </c>
      <c r="C887" s="56" t="s">
        <v>4512</v>
      </c>
      <c r="D887" s="56" t="s">
        <v>4511</v>
      </c>
      <c r="E887" s="56" t="s">
        <v>5628</v>
      </c>
      <c r="F887" s="56" t="s">
        <v>5627</v>
      </c>
      <c r="G887" s="58" t="s">
        <v>3656</v>
      </c>
      <c r="H887" s="56">
        <v>1</v>
      </c>
      <c r="I887" s="56" t="s">
        <v>3655</v>
      </c>
      <c r="J887" s="56">
        <v>1107</v>
      </c>
      <c r="K887" s="56">
        <v>799</v>
      </c>
      <c r="L887" s="56">
        <v>1189</v>
      </c>
      <c r="M887" s="56">
        <v>0</v>
      </c>
      <c r="N887" s="56">
        <v>0</v>
      </c>
      <c r="O887" s="56">
        <v>100</v>
      </c>
      <c r="P887" s="56">
        <v>0</v>
      </c>
      <c r="Q887" s="56">
        <v>1089</v>
      </c>
      <c r="R887" s="56">
        <v>0</v>
      </c>
      <c r="S887" s="56">
        <v>0</v>
      </c>
      <c r="T887" s="56" t="s">
        <v>3562</v>
      </c>
      <c r="U887" s="56">
        <v>1089</v>
      </c>
      <c r="V887" s="56" t="s">
        <v>3549</v>
      </c>
      <c r="W887" s="56" t="s">
        <v>3548</v>
      </c>
      <c r="X887" s="56" t="s">
        <v>3547</v>
      </c>
      <c r="Z887" s="56" t="s">
        <v>3546</v>
      </c>
      <c r="AA887" s="56" t="s">
        <v>5626</v>
      </c>
      <c r="AB887" s="56" t="s">
        <v>5625</v>
      </c>
      <c r="AC887" s="56" t="s">
        <v>3543</v>
      </c>
      <c r="AD887" s="56" t="s">
        <v>24</v>
      </c>
      <c r="AE887" s="56" t="s">
        <v>4530</v>
      </c>
      <c r="AF887" s="56" t="s">
        <v>5624</v>
      </c>
      <c r="AH887" s="56" t="s">
        <v>3542</v>
      </c>
      <c r="AI887" s="56" t="s">
        <v>3723</v>
      </c>
    </row>
    <row r="888" spans="1:35" ht="33" customHeight="1">
      <c r="A888" s="56" t="s">
        <v>5629</v>
      </c>
      <c r="B888" s="57">
        <v>44362.078483796293</v>
      </c>
      <c r="C888" s="56" t="s">
        <v>4512</v>
      </c>
      <c r="D888" s="56" t="s">
        <v>4511</v>
      </c>
      <c r="E888" s="56" t="s">
        <v>5628</v>
      </c>
      <c r="F888" s="56" t="s">
        <v>5627</v>
      </c>
      <c r="G888" s="58" t="s">
        <v>5630</v>
      </c>
      <c r="H888" s="56">
        <v>1</v>
      </c>
      <c r="I888" s="56" t="s">
        <v>3769</v>
      </c>
      <c r="J888" s="56">
        <v>405</v>
      </c>
      <c r="K888" s="56">
        <v>390</v>
      </c>
      <c r="P888" s="56">
        <v>0</v>
      </c>
      <c r="S888" s="56">
        <v>0</v>
      </c>
      <c r="T888" s="56" t="s">
        <v>3562</v>
      </c>
      <c r="V888" s="56" t="s">
        <v>3549</v>
      </c>
      <c r="W888" s="56" t="s">
        <v>3548</v>
      </c>
      <c r="X888" s="56" t="s">
        <v>3547</v>
      </c>
      <c r="Z888" s="56" t="s">
        <v>3546</v>
      </c>
      <c r="AA888" s="56" t="s">
        <v>5626</v>
      </c>
      <c r="AB888" s="56" t="s">
        <v>5625</v>
      </c>
      <c r="AC888" s="56" t="s">
        <v>3543</v>
      </c>
      <c r="AD888" s="56" t="s">
        <v>24</v>
      </c>
      <c r="AE888" s="56" t="s">
        <v>4530</v>
      </c>
      <c r="AF888" s="56" t="s">
        <v>5624</v>
      </c>
      <c r="AH888" s="56" t="s">
        <v>3542</v>
      </c>
      <c r="AI888" s="56" t="s">
        <v>3723</v>
      </c>
    </row>
    <row r="889" spans="1:35" ht="33" customHeight="1">
      <c r="A889" s="56" t="s">
        <v>5629</v>
      </c>
      <c r="B889" s="57">
        <v>44362.078483796293</v>
      </c>
      <c r="C889" s="56" t="s">
        <v>4512</v>
      </c>
      <c r="D889" s="56" t="s">
        <v>4511</v>
      </c>
      <c r="E889" s="56" t="s">
        <v>5628</v>
      </c>
      <c r="F889" s="56" t="s">
        <v>5627</v>
      </c>
      <c r="G889" s="58" t="s">
        <v>3551</v>
      </c>
      <c r="H889" s="56">
        <v>1</v>
      </c>
      <c r="I889" s="56" t="s">
        <v>3550</v>
      </c>
      <c r="J889" s="56">
        <v>0</v>
      </c>
      <c r="K889" s="56">
        <v>0</v>
      </c>
      <c r="P889" s="56">
        <v>0</v>
      </c>
      <c r="S889" s="56">
        <v>0</v>
      </c>
      <c r="T889" s="56" t="s">
        <v>3562</v>
      </c>
      <c r="V889" s="56" t="s">
        <v>3549</v>
      </c>
      <c r="W889" s="56" t="s">
        <v>3548</v>
      </c>
      <c r="X889" s="56" t="s">
        <v>3547</v>
      </c>
      <c r="Z889" s="56" t="s">
        <v>3546</v>
      </c>
      <c r="AA889" s="56" t="s">
        <v>5626</v>
      </c>
      <c r="AB889" s="56" t="s">
        <v>5625</v>
      </c>
      <c r="AC889" s="56" t="s">
        <v>3543</v>
      </c>
      <c r="AD889" s="56" t="s">
        <v>24</v>
      </c>
      <c r="AE889" s="56" t="s">
        <v>4530</v>
      </c>
      <c r="AF889" s="56" t="s">
        <v>5624</v>
      </c>
      <c r="AH889" s="56" t="s">
        <v>3542</v>
      </c>
      <c r="AI889" s="56" t="s">
        <v>3723</v>
      </c>
    </row>
    <row r="890" spans="1:35" ht="33" customHeight="1">
      <c r="A890" s="56" t="s">
        <v>5629</v>
      </c>
      <c r="B890" s="57">
        <v>44362.078483796293</v>
      </c>
      <c r="C890" s="56" t="s">
        <v>4512</v>
      </c>
      <c r="D890" s="56" t="s">
        <v>4511</v>
      </c>
      <c r="E890" s="56" t="s">
        <v>5628</v>
      </c>
      <c r="F890" s="56" t="s">
        <v>5627</v>
      </c>
      <c r="G890" s="58" t="s">
        <v>1498</v>
      </c>
      <c r="H890" s="56">
        <v>1</v>
      </c>
      <c r="I890" s="56" t="s">
        <v>4016</v>
      </c>
      <c r="J890" s="56">
        <v>0</v>
      </c>
      <c r="K890" s="56">
        <v>0</v>
      </c>
      <c r="P890" s="56">
        <v>0</v>
      </c>
      <c r="S890" s="56">
        <v>0</v>
      </c>
      <c r="T890" s="56" t="s">
        <v>3562</v>
      </c>
      <c r="V890" s="56" t="s">
        <v>3549</v>
      </c>
      <c r="W890" s="56" t="s">
        <v>3548</v>
      </c>
      <c r="X890" s="56" t="s">
        <v>3547</v>
      </c>
      <c r="Z890" s="56" t="s">
        <v>3546</v>
      </c>
      <c r="AA890" s="56" t="s">
        <v>5626</v>
      </c>
      <c r="AB890" s="56" t="s">
        <v>5625</v>
      </c>
      <c r="AC890" s="56" t="s">
        <v>3543</v>
      </c>
      <c r="AD890" s="56" t="s">
        <v>24</v>
      </c>
      <c r="AE890" s="56" t="s">
        <v>4530</v>
      </c>
      <c r="AF890" s="56" t="s">
        <v>5624</v>
      </c>
      <c r="AH890" s="56" t="s">
        <v>3542</v>
      </c>
      <c r="AI890" s="56" t="s">
        <v>3723</v>
      </c>
    </row>
    <row r="891" spans="1:35" ht="33" customHeight="1">
      <c r="A891" s="56" t="s">
        <v>5623</v>
      </c>
      <c r="B891" s="57">
        <v>44362.097800925927</v>
      </c>
      <c r="C891" s="56" t="s">
        <v>4512</v>
      </c>
      <c r="D891" s="56" t="s">
        <v>4511</v>
      </c>
      <c r="E891" s="56" t="s">
        <v>5622</v>
      </c>
      <c r="F891" s="56" t="s">
        <v>5621</v>
      </c>
      <c r="G891" s="58" t="s">
        <v>3570</v>
      </c>
      <c r="H891" s="56">
        <v>2</v>
      </c>
      <c r="I891" s="56" t="s">
        <v>3569</v>
      </c>
      <c r="J891" s="56">
        <v>894</v>
      </c>
      <c r="K891" s="56">
        <v>750</v>
      </c>
      <c r="L891" s="56">
        <v>1500</v>
      </c>
      <c r="M891" s="56">
        <v>0</v>
      </c>
      <c r="N891" s="56">
        <v>0</v>
      </c>
      <c r="O891" s="56">
        <v>100</v>
      </c>
      <c r="P891" s="56">
        <v>0</v>
      </c>
      <c r="Q891" s="56">
        <v>1400</v>
      </c>
      <c r="R891" s="56">
        <v>0</v>
      </c>
      <c r="S891" s="56">
        <v>0</v>
      </c>
      <c r="T891" s="56" t="s">
        <v>3562</v>
      </c>
      <c r="U891" s="56">
        <v>1400</v>
      </c>
      <c r="V891" s="56" t="s">
        <v>3612</v>
      </c>
      <c r="W891" s="56" t="s">
        <v>3548</v>
      </c>
      <c r="X891" s="56" t="s">
        <v>3611</v>
      </c>
      <c r="Z891" s="56" t="s">
        <v>3546</v>
      </c>
      <c r="AA891" s="56" t="s">
        <v>4170</v>
      </c>
      <c r="AB891" s="56" t="s">
        <v>4169</v>
      </c>
      <c r="AC891" s="56" t="s">
        <v>3842</v>
      </c>
      <c r="AD891" s="56" t="s">
        <v>24</v>
      </c>
      <c r="AE891" s="56" t="s">
        <v>3862</v>
      </c>
      <c r="AF891" s="56" t="s">
        <v>5620</v>
      </c>
      <c r="AH891" s="56" t="s">
        <v>3542</v>
      </c>
      <c r="AI891" s="56" t="s">
        <v>3723</v>
      </c>
    </row>
    <row r="892" spans="1:35" ht="33" customHeight="1">
      <c r="A892" s="56" t="s">
        <v>5623</v>
      </c>
      <c r="B892" s="57">
        <v>44362.097800925927</v>
      </c>
      <c r="C892" s="56" t="s">
        <v>4512</v>
      </c>
      <c r="D892" s="56" t="s">
        <v>4511</v>
      </c>
      <c r="E892" s="56" t="s">
        <v>5622</v>
      </c>
      <c r="F892" s="56" t="s">
        <v>5621</v>
      </c>
      <c r="G892" s="58" t="s">
        <v>3551</v>
      </c>
      <c r="H892" s="56">
        <v>1</v>
      </c>
      <c r="I892" s="56" t="s">
        <v>3550</v>
      </c>
      <c r="J892" s="56">
        <v>0</v>
      </c>
      <c r="K892" s="56">
        <v>0</v>
      </c>
      <c r="P892" s="56">
        <v>0</v>
      </c>
      <c r="S892" s="56">
        <v>0</v>
      </c>
      <c r="T892" s="56" t="s">
        <v>3562</v>
      </c>
      <c r="V892" s="56" t="s">
        <v>3612</v>
      </c>
      <c r="W892" s="56" t="s">
        <v>3548</v>
      </c>
      <c r="X892" s="56" t="s">
        <v>3611</v>
      </c>
      <c r="Z892" s="56" t="s">
        <v>3546</v>
      </c>
      <c r="AA892" s="56" t="s">
        <v>4170</v>
      </c>
      <c r="AB892" s="56" t="s">
        <v>4169</v>
      </c>
      <c r="AC892" s="56" t="s">
        <v>3842</v>
      </c>
      <c r="AD892" s="56" t="s">
        <v>24</v>
      </c>
      <c r="AE892" s="56" t="s">
        <v>3862</v>
      </c>
      <c r="AF892" s="56" t="s">
        <v>5620</v>
      </c>
      <c r="AH892" s="56" t="s">
        <v>3542</v>
      </c>
      <c r="AI892" s="56" t="s">
        <v>3723</v>
      </c>
    </row>
    <row r="893" spans="1:35" ht="33" customHeight="1">
      <c r="A893" s="56" t="s">
        <v>5623</v>
      </c>
      <c r="B893" s="57">
        <v>44362.097800925927</v>
      </c>
      <c r="C893" s="56" t="s">
        <v>4512</v>
      </c>
      <c r="D893" s="56" t="s">
        <v>4511</v>
      </c>
      <c r="E893" s="56" t="s">
        <v>5622</v>
      </c>
      <c r="F893" s="56" t="s">
        <v>5621</v>
      </c>
      <c r="G893" s="58" t="s">
        <v>1713</v>
      </c>
      <c r="H893" s="56">
        <v>1</v>
      </c>
      <c r="I893" s="56" t="s">
        <v>3568</v>
      </c>
      <c r="J893" s="56">
        <v>0</v>
      </c>
      <c r="K893" s="56">
        <v>0</v>
      </c>
      <c r="P893" s="56">
        <v>0</v>
      </c>
      <c r="S893" s="56">
        <v>0</v>
      </c>
      <c r="T893" s="56" t="s">
        <v>3562</v>
      </c>
      <c r="V893" s="56" t="s">
        <v>3612</v>
      </c>
      <c r="W893" s="56" t="s">
        <v>3548</v>
      </c>
      <c r="X893" s="56" t="s">
        <v>3611</v>
      </c>
      <c r="Z893" s="56" t="s">
        <v>3546</v>
      </c>
      <c r="AA893" s="56" t="s">
        <v>4170</v>
      </c>
      <c r="AB893" s="56" t="s">
        <v>4169</v>
      </c>
      <c r="AC893" s="56" t="s">
        <v>3842</v>
      </c>
      <c r="AD893" s="56" t="s">
        <v>24</v>
      </c>
      <c r="AE893" s="56" t="s">
        <v>3862</v>
      </c>
      <c r="AF893" s="56" t="s">
        <v>5620</v>
      </c>
      <c r="AH893" s="56" t="s">
        <v>3542</v>
      </c>
      <c r="AI893" s="56" t="s">
        <v>3723</v>
      </c>
    </row>
    <row r="894" spans="1:35" ht="33" customHeight="1">
      <c r="A894" s="56" t="s">
        <v>5623</v>
      </c>
      <c r="B894" s="57">
        <v>44362.097800925927</v>
      </c>
      <c r="C894" s="56" t="s">
        <v>4512</v>
      </c>
      <c r="D894" s="56" t="s">
        <v>4511</v>
      </c>
      <c r="E894" s="56" t="s">
        <v>5622</v>
      </c>
      <c r="F894" s="56" t="s">
        <v>5621</v>
      </c>
      <c r="G894" s="58" t="s">
        <v>1498</v>
      </c>
      <c r="H894" s="56">
        <v>1</v>
      </c>
      <c r="I894" s="56" t="s">
        <v>4016</v>
      </c>
      <c r="J894" s="56">
        <v>0</v>
      </c>
      <c r="K894" s="56">
        <v>0</v>
      </c>
      <c r="P894" s="56">
        <v>0</v>
      </c>
      <c r="S894" s="56">
        <v>0</v>
      </c>
      <c r="T894" s="56" t="s">
        <v>3562</v>
      </c>
      <c r="V894" s="56" t="s">
        <v>3612</v>
      </c>
      <c r="W894" s="56" t="s">
        <v>3548</v>
      </c>
      <c r="X894" s="56" t="s">
        <v>3611</v>
      </c>
      <c r="Z894" s="56" t="s">
        <v>3546</v>
      </c>
      <c r="AA894" s="56" t="s">
        <v>4170</v>
      </c>
      <c r="AB894" s="56" t="s">
        <v>4169</v>
      </c>
      <c r="AC894" s="56" t="s">
        <v>3842</v>
      </c>
      <c r="AD894" s="56" t="s">
        <v>24</v>
      </c>
      <c r="AE894" s="56" t="s">
        <v>3862</v>
      </c>
      <c r="AF894" s="56" t="s">
        <v>5620</v>
      </c>
      <c r="AH894" s="56" t="s">
        <v>3542</v>
      </c>
      <c r="AI894" s="56" t="s">
        <v>3723</v>
      </c>
    </row>
    <row r="895" spans="1:35" ht="33" customHeight="1">
      <c r="A895" s="56" t="s">
        <v>5619</v>
      </c>
      <c r="B895" s="57">
        <v>44362.125243055554</v>
      </c>
      <c r="C895" s="56" t="s">
        <v>3803</v>
      </c>
      <c r="D895" s="56" t="s">
        <v>3802</v>
      </c>
      <c r="E895" s="56" t="s">
        <v>5618</v>
      </c>
      <c r="F895" s="56" t="s">
        <v>5617</v>
      </c>
      <c r="G895" s="58" t="s">
        <v>3984</v>
      </c>
      <c r="H895" s="56">
        <v>1</v>
      </c>
      <c r="I895" s="56" t="s">
        <v>3954</v>
      </c>
      <c r="J895" s="56">
        <v>499</v>
      </c>
      <c r="K895" s="56">
        <v>480</v>
      </c>
      <c r="L895" s="56">
        <v>2116</v>
      </c>
      <c r="M895" s="56">
        <v>0</v>
      </c>
      <c r="N895" s="56">
        <v>0</v>
      </c>
      <c r="O895" s="56">
        <v>100</v>
      </c>
      <c r="P895" s="56">
        <v>0</v>
      </c>
      <c r="Q895" s="56">
        <v>2016</v>
      </c>
      <c r="R895" s="56">
        <v>0</v>
      </c>
      <c r="S895" s="56">
        <v>0</v>
      </c>
      <c r="T895" s="56" t="s">
        <v>3562</v>
      </c>
      <c r="U895" s="56">
        <v>2016</v>
      </c>
      <c r="V895" s="56" t="s">
        <v>3561</v>
      </c>
      <c r="W895" s="56" t="s">
        <v>3548</v>
      </c>
      <c r="X895" s="56" t="s">
        <v>39</v>
      </c>
      <c r="Y895" s="56" t="s">
        <v>4887</v>
      </c>
      <c r="Z895" s="56" t="s">
        <v>5616</v>
      </c>
      <c r="AC895" s="56" t="s">
        <v>3543</v>
      </c>
      <c r="AD895" s="56" t="s">
        <v>24</v>
      </c>
      <c r="AE895" s="56" t="s">
        <v>5367</v>
      </c>
      <c r="AF895" s="56" t="s">
        <v>5615</v>
      </c>
      <c r="AH895" s="56" t="s">
        <v>3542</v>
      </c>
      <c r="AI895" s="56" t="s">
        <v>3723</v>
      </c>
    </row>
    <row r="896" spans="1:35" ht="33" customHeight="1">
      <c r="A896" s="56" t="s">
        <v>5619</v>
      </c>
      <c r="B896" s="57">
        <v>44362.125243055554</v>
      </c>
      <c r="C896" s="56" t="s">
        <v>3803</v>
      </c>
      <c r="D896" s="56" t="s">
        <v>3802</v>
      </c>
      <c r="E896" s="56" t="s">
        <v>5618</v>
      </c>
      <c r="F896" s="56" t="s">
        <v>5617</v>
      </c>
      <c r="G896" s="58" t="s">
        <v>3299</v>
      </c>
      <c r="H896" s="56">
        <v>1</v>
      </c>
      <c r="I896" s="56" t="s">
        <v>3576</v>
      </c>
      <c r="J896" s="56">
        <v>260</v>
      </c>
      <c r="K896" s="56">
        <v>260</v>
      </c>
      <c r="P896" s="56">
        <v>0</v>
      </c>
      <c r="S896" s="56">
        <v>0</v>
      </c>
      <c r="T896" s="56" t="s">
        <v>3562</v>
      </c>
      <c r="V896" s="56" t="s">
        <v>3561</v>
      </c>
      <c r="W896" s="56" t="s">
        <v>3548</v>
      </c>
      <c r="X896" s="56" t="s">
        <v>39</v>
      </c>
      <c r="Y896" s="56" t="s">
        <v>4887</v>
      </c>
      <c r="Z896" s="56" t="s">
        <v>5616</v>
      </c>
      <c r="AC896" s="56" t="s">
        <v>3543</v>
      </c>
      <c r="AD896" s="56" t="s">
        <v>24</v>
      </c>
      <c r="AE896" s="56" t="s">
        <v>5367</v>
      </c>
      <c r="AF896" s="56" t="s">
        <v>5615</v>
      </c>
      <c r="AH896" s="56" t="s">
        <v>3542</v>
      </c>
      <c r="AI896" s="56" t="s">
        <v>3723</v>
      </c>
    </row>
    <row r="897" spans="1:35" ht="33" customHeight="1">
      <c r="A897" s="56" t="s">
        <v>5619</v>
      </c>
      <c r="B897" s="57">
        <v>44362.125243055554</v>
      </c>
      <c r="C897" s="56" t="s">
        <v>3803</v>
      </c>
      <c r="D897" s="56" t="s">
        <v>3802</v>
      </c>
      <c r="E897" s="56" t="s">
        <v>5618</v>
      </c>
      <c r="F897" s="56" t="s">
        <v>5617</v>
      </c>
      <c r="G897" s="58" t="s">
        <v>3171</v>
      </c>
      <c r="H897" s="56">
        <v>2</v>
      </c>
      <c r="I897" s="56" t="s">
        <v>3695</v>
      </c>
      <c r="J897" s="56">
        <v>399</v>
      </c>
      <c r="K897" s="56">
        <v>399</v>
      </c>
      <c r="P897" s="56">
        <v>0</v>
      </c>
      <c r="S897" s="56">
        <v>0</v>
      </c>
      <c r="T897" s="56" t="s">
        <v>3562</v>
      </c>
      <c r="V897" s="56" t="s">
        <v>3561</v>
      </c>
      <c r="W897" s="56" t="s">
        <v>3548</v>
      </c>
      <c r="X897" s="56" t="s">
        <v>39</v>
      </c>
      <c r="Y897" s="56" t="s">
        <v>4887</v>
      </c>
      <c r="Z897" s="56" t="s">
        <v>5616</v>
      </c>
      <c r="AC897" s="56" t="s">
        <v>3543</v>
      </c>
      <c r="AD897" s="56" t="s">
        <v>24</v>
      </c>
      <c r="AE897" s="56" t="s">
        <v>5367</v>
      </c>
      <c r="AF897" s="56" t="s">
        <v>5615</v>
      </c>
      <c r="AH897" s="56" t="s">
        <v>3542</v>
      </c>
      <c r="AI897" s="56" t="s">
        <v>3723</v>
      </c>
    </row>
    <row r="898" spans="1:35" ht="33" customHeight="1">
      <c r="A898" s="56" t="s">
        <v>5619</v>
      </c>
      <c r="B898" s="57">
        <v>44362.125243055554</v>
      </c>
      <c r="C898" s="56" t="s">
        <v>3803</v>
      </c>
      <c r="D898" s="56" t="s">
        <v>3802</v>
      </c>
      <c r="E898" s="56" t="s">
        <v>5618</v>
      </c>
      <c r="F898" s="56" t="s">
        <v>5617</v>
      </c>
      <c r="G898" s="58" t="s">
        <v>2163</v>
      </c>
      <c r="H898" s="56">
        <v>1</v>
      </c>
      <c r="I898" s="56" t="s">
        <v>3694</v>
      </c>
      <c r="J898" s="56">
        <v>128</v>
      </c>
      <c r="K898" s="56">
        <v>128</v>
      </c>
      <c r="P898" s="56">
        <v>0</v>
      </c>
      <c r="S898" s="56">
        <v>0</v>
      </c>
      <c r="T898" s="56" t="s">
        <v>3562</v>
      </c>
      <c r="V898" s="56" t="s">
        <v>3561</v>
      </c>
      <c r="W898" s="56" t="s">
        <v>3548</v>
      </c>
      <c r="X898" s="56" t="s">
        <v>39</v>
      </c>
      <c r="Y898" s="56" t="s">
        <v>4887</v>
      </c>
      <c r="Z898" s="56" t="s">
        <v>5616</v>
      </c>
      <c r="AC898" s="56" t="s">
        <v>3543</v>
      </c>
      <c r="AD898" s="56" t="s">
        <v>24</v>
      </c>
      <c r="AE898" s="56" t="s">
        <v>5367</v>
      </c>
      <c r="AF898" s="56" t="s">
        <v>5615</v>
      </c>
      <c r="AH898" s="56" t="s">
        <v>3542</v>
      </c>
      <c r="AI898" s="56" t="s">
        <v>3723</v>
      </c>
    </row>
    <row r="899" spans="1:35" ht="33" customHeight="1">
      <c r="A899" s="56" t="s">
        <v>5619</v>
      </c>
      <c r="B899" s="57">
        <v>44362.125243055554</v>
      </c>
      <c r="C899" s="56" t="s">
        <v>3803</v>
      </c>
      <c r="D899" s="56" t="s">
        <v>3802</v>
      </c>
      <c r="E899" s="56" t="s">
        <v>5618</v>
      </c>
      <c r="F899" s="56" t="s">
        <v>5617</v>
      </c>
      <c r="G899" s="58" t="s">
        <v>5138</v>
      </c>
      <c r="H899" s="56">
        <v>1</v>
      </c>
      <c r="I899" s="56" t="s">
        <v>3746</v>
      </c>
      <c r="J899" s="56">
        <v>660</v>
      </c>
      <c r="K899" s="56">
        <v>450</v>
      </c>
      <c r="P899" s="56">
        <v>0</v>
      </c>
      <c r="S899" s="56">
        <v>0</v>
      </c>
      <c r="T899" s="56" t="s">
        <v>3562</v>
      </c>
      <c r="V899" s="56" t="s">
        <v>3561</v>
      </c>
      <c r="W899" s="56" t="s">
        <v>3548</v>
      </c>
      <c r="X899" s="56" t="s">
        <v>39</v>
      </c>
      <c r="Y899" s="56" t="s">
        <v>4887</v>
      </c>
      <c r="Z899" s="56" t="s">
        <v>5616</v>
      </c>
      <c r="AC899" s="56" t="s">
        <v>3543</v>
      </c>
      <c r="AD899" s="56" t="s">
        <v>24</v>
      </c>
      <c r="AE899" s="56" t="s">
        <v>5367</v>
      </c>
      <c r="AF899" s="56" t="s">
        <v>5615</v>
      </c>
      <c r="AH899" s="56" t="s">
        <v>3542</v>
      </c>
      <c r="AI899" s="56" t="s">
        <v>3723</v>
      </c>
    </row>
    <row r="900" spans="1:35" ht="33" customHeight="1">
      <c r="A900" s="56" t="s">
        <v>5619</v>
      </c>
      <c r="B900" s="57">
        <v>44362.125243055554</v>
      </c>
      <c r="C900" s="56" t="s">
        <v>3803</v>
      </c>
      <c r="D900" s="56" t="s">
        <v>3802</v>
      </c>
      <c r="E900" s="56" t="s">
        <v>5618</v>
      </c>
      <c r="F900" s="56" t="s">
        <v>5617</v>
      </c>
      <c r="G900" s="58" t="s">
        <v>3551</v>
      </c>
      <c r="H900" s="56">
        <v>1</v>
      </c>
      <c r="I900" s="56" t="s">
        <v>3550</v>
      </c>
      <c r="J900" s="56">
        <v>0</v>
      </c>
      <c r="K900" s="56">
        <v>0</v>
      </c>
      <c r="P900" s="56">
        <v>0</v>
      </c>
      <c r="S900" s="56">
        <v>0</v>
      </c>
      <c r="T900" s="56" t="s">
        <v>3562</v>
      </c>
      <c r="V900" s="56" t="s">
        <v>3561</v>
      </c>
      <c r="W900" s="56" t="s">
        <v>3548</v>
      </c>
      <c r="X900" s="56" t="s">
        <v>39</v>
      </c>
      <c r="Y900" s="56" t="s">
        <v>4887</v>
      </c>
      <c r="Z900" s="56" t="s">
        <v>5616</v>
      </c>
      <c r="AC900" s="56" t="s">
        <v>3543</v>
      </c>
      <c r="AD900" s="56" t="s">
        <v>24</v>
      </c>
      <c r="AE900" s="56" t="s">
        <v>5367</v>
      </c>
      <c r="AF900" s="56" t="s">
        <v>5615</v>
      </c>
      <c r="AH900" s="56" t="s">
        <v>3542</v>
      </c>
      <c r="AI900" s="56" t="s">
        <v>3723</v>
      </c>
    </row>
    <row r="901" spans="1:35" ht="33" customHeight="1">
      <c r="A901" s="56" t="s">
        <v>5619</v>
      </c>
      <c r="B901" s="57">
        <v>44362.125243055554</v>
      </c>
      <c r="C901" s="56" t="s">
        <v>3803</v>
      </c>
      <c r="D901" s="56" t="s">
        <v>3802</v>
      </c>
      <c r="E901" s="56" t="s">
        <v>5618</v>
      </c>
      <c r="F901" s="56" t="s">
        <v>5617</v>
      </c>
      <c r="G901" s="58" t="s">
        <v>1713</v>
      </c>
      <c r="H901" s="56">
        <v>1</v>
      </c>
      <c r="I901" s="56" t="s">
        <v>3568</v>
      </c>
      <c r="J901" s="56">
        <v>0</v>
      </c>
      <c r="K901" s="56">
        <v>0</v>
      </c>
      <c r="P901" s="56">
        <v>0</v>
      </c>
      <c r="S901" s="56">
        <v>0</v>
      </c>
      <c r="T901" s="56" t="s">
        <v>3562</v>
      </c>
      <c r="V901" s="56" t="s">
        <v>3561</v>
      </c>
      <c r="W901" s="56" t="s">
        <v>3548</v>
      </c>
      <c r="X901" s="56" t="s">
        <v>39</v>
      </c>
      <c r="Y901" s="56" t="s">
        <v>4887</v>
      </c>
      <c r="Z901" s="56" t="s">
        <v>5616</v>
      </c>
      <c r="AC901" s="56" t="s">
        <v>3543</v>
      </c>
      <c r="AD901" s="56" t="s">
        <v>24</v>
      </c>
      <c r="AE901" s="56" t="s">
        <v>5367</v>
      </c>
      <c r="AF901" s="56" t="s">
        <v>5615</v>
      </c>
      <c r="AH901" s="56" t="s">
        <v>3542</v>
      </c>
      <c r="AI901" s="56" t="s">
        <v>3723</v>
      </c>
    </row>
    <row r="902" spans="1:35" ht="33" customHeight="1">
      <c r="A902" s="56" t="s">
        <v>5619</v>
      </c>
      <c r="B902" s="57">
        <v>44362.125243055554</v>
      </c>
      <c r="C902" s="56" t="s">
        <v>3803</v>
      </c>
      <c r="D902" s="56" t="s">
        <v>3802</v>
      </c>
      <c r="E902" s="56" t="s">
        <v>5618</v>
      </c>
      <c r="F902" s="56" t="s">
        <v>5617</v>
      </c>
      <c r="G902" s="58" t="s">
        <v>1498</v>
      </c>
      <c r="H902" s="56">
        <v>1</v>
      </c>
      <c r="I902" s="56" t="s">
        <v>4016</v>
      </c>
      <c r="J902" s="56">
        <v>0</v>
      </c>
      <c r="K902" s="56">
        <v>0</v>
      </c>
      <c r="P902" s="56">
        <v>0</v>
      </c>
      <c r="S902" s="56">
        <v>0</v>
      </c>
      <c r="T902" s="56" t="s">
        <v>3562</v>
      </c>
      <c r="V902" s="56" t="s">
        <v>3561</v>
      </c>
      <c r="W902" s="56" t="s">
        <v>3548</v>
      </c>
      <c r="X902" s="56" t="s">
        <v>39</v>
      </c>
      <c r="Y902" s="56" t="s">
        <v>4887</v>
      </c>
      <c r="Z902" s="56" t="s">
        <v>5616</v>
      </c>
      <c r="AC902" s="56" t="s">
        <v>3543</v>
      </c>
      <c r="AD902" s="56" t="s">
        <v>24</v>
      </c>
      <c r="AE902" s="56" t="s">
        <v>5367</v>
      </c>
      <c r="AF902" s="56" t="s">
        <v>5615</v>
      </c>
      <c r="AH902" s="56" t="s">
        <v>3542</v>
      </c>
      <c r="AI902" s="56" t="s">
        <v>3723</v>
      </c>
    </row>
    <row r="903" spans="1:35" ht="33" customHeight="1">
      <c r="A903" s="56" t="s">
        <v>5619</v>
      </c>
      <c r="B903" s="57">
        <v>44362.125243055554</v>
      </c>
      <c r="C903" s="56" t="s">
        <v>3803</v>
      </c>
      <c r="D903" s="56" t="s">
        <v>3802</v>
      </c>
      <c r="E903" s="56" t="s">
        <v>5618</v>
      </c>
      <c r="F903" s="56" t="s">
        <v>5617</v>
      </c>
      <c r="G903" s="58" t="s">
        <v>3564</v>
      </c>
      <c r="H903" s="56">
        <v>1</v>
      </c>
      <c r="I903" s="56" t="s">
        <v>3563</v>
      </c>
      <c r="J903" s="56">
        <v>0</v>
      </c>
      <c r="K903" s="56">
        <v>0</v>
      </c>
      <c r="P903" s="56">
        <v>0</v>
      </c>
      <c r="S903" s="56">
        <v>0</v>
      </c>
      <c r="T903" s="56" t="s">
        <v>3562</v>
      </c>
      <c r="V903" s="56" t="s">
        <v>3561</v>
      </c>
      <c r="W903" s="56" t="s">
        <v>3548</v>
      </c>
      <c r="X903" s="56" t="s">
        <v>39</v>
      </c>
      <c r="Y903" s="56" t="s">
        <v>4887</v>
      </c>
      <c r="Z903" s="56" t="s">
        <v>5616</v>
      </c>
      <c r="AC903" s="56" t="s">
        <v>3543</v>
      </c>
      <c r="AD903" s="56" t="s">
        <v>24</v>
      </c>
      <c r="AE903" s="56" t="s">
        <v>5367</v>
      </c>
      <c r="AF903" s="56" t="s">
        <v>5615</v>
      </c>
      <c r="AH903" s="56" t="s">
        <v>3542</v>
      </c>
      <c r="AI903" s="56" t="s">
        <v>3723</v>
      </c>
    </row>
    <row r="904" spans="1:35" ht="33" customHeight="1">
      <c r="A904" s="56" t="s">
        <v>5614</v>
      </c>
      <c r="B904" s="57">
        <v>44362.364618055559</v>
      </c>
      <c r="C904" s="56" t="s">
        <v>4512</v>
      </c>
      <c r="D904" s="56" t="s">
        <v>4511</v>
      </c>
      <c r="E904" s="56" t="s">
        <v>5613</v>
      </c>
      <c r="F904" s="56" t="s">
        <v>5612</v>
      </c>
      <c r="G904" s="58" t="s">
        <v>5323</v>
      </c>
      <c r="H904" s="56">
        <v>1</v>
      </c>
      <c r="I904" s="56" t="s">
        <v>3848</v>
      </c>
      <c r="J904" s="56">
        <v>1396</v>
      </c>
      <c r="K904" s="56">
        <v>1320</v>
      </c>
      <c r="L904" s="56">
        <v>1379</v>
      </c>
      <c r="M904" s="56">
        <v>0</v>
      </c>
      <c r="N904" s="56">
        <v>0</v>
      </c>
      <c r="O904" s="56">
        <v>138</v>
      </c>
      <c r="P904" s="56">
        <v>0</v>
      </c>
      <c r="Q904" s="56">
        <v>1241</v>
      </c>
      <c r="R904" s="56">
        <v>0</v>
      </c>
      <c r="S904" s="56">
        <v>0</v>
      </c>
      <c r="T904" s="56" t="s">
        <v>3562</v>
      </c>
      <c r="U904" s="56">
        <v>1241</v>
      </c>
      <c r="V904" s="56" t="s">
        <v>3549</v>
      </c>
      <c r="W904" s="56" t="s">
        <v>3548</v>
      </c>
      <c r="X904" s="56" t="s">
        <v>3547</v>
      </c>
      <c r="Z904" s="56" t="s">
        <v>3546</v>
      </c>
      <c r="AA904" s="56" t="s">
        <v>5611</v>
      </c>
      <c r="AB904" s="56" t="s">
        <v>5610</v>
      </c>
      <c r="AC904" s="56" t="s">
        <v>3543</v>
      </c>
      <c r="AD904" s="56" t="s">
        <v>24</v>
      </c>
      <c r="AE904" s="56" t="s">
        <v>3862</v>
      </c>
      <c r="AF904" s="56" t="s">
        <v>5609</v>
      </c>
      <c r="AH904" s="56" t="s">
        <v>3542</v>
      </c>
      <c r="AI904" s="56" t="s">
        <v>3723</v>
      </c>
    </row>
    <row r="905" spans="1:35" ht="33" customHeight="1">
      <c r="A905" s="56" t="s">
        <v>5614</v>
      </c>
      <c r="B905" s="57">
        <v>44362.364618055559</v>
      </c>
      <c r="C905" s="56" t="s">
        <v>4512</v>
      </c>
      <c r="D905" s="56" t="s">
        <v>4511</v>
      </c>
      <c r="E905" s="56" t="s">
        <v>5613</v>
      </c>
      <c r="F905" s="56" t="s">
        <v>5612</v>
      </c>
      <c r="G905" s="58" t="s">
        <v>3217</v>
      </c>
      <c r="H905" s="56">
        <v>1</v>
      </c>
      <c r="I905" s="56" t="s">
        <v>3720</v>
      </c>
      <c r="J905" s="56">
        <v>59</v>
      </c>
      <c r="K905" s="56">
        <v>59</v>
      </c>
      <c r="P905" s="56">
        <v>0</v>
      </c>
      <c r="S905" s="56">
        <v>0</v>
      </c>
      <c r="T905" s="56" t="s">
        <v>3562</v>
      </c>
      <c r="V905" s="56" t="s">
        <v>3549</v>
      </c>
      <c r="W905" s="56" t="s">
        <v>3548</v>
      </c>
      <c r="X905" s="56" t="s">
        <v>3547</v>
      </c>
      <c r="Z905" s="56" t="s">
        <v>3546</v>
      </c>
      <c r="AA905" s="56" t="s">
        <v>5611</v>
      </c>
      <c r="AB905" s="56" t="s">
        <v>5610</v>
      </c>
      <c r="AC905" s="56" t="s">
        <v>3543</v>
      </c>
      <c r="AD905" s="56" t="s">
        <v>24</v>
      </c>
      <c r="AE905" s="56" t="s">
        <v>3862</v>
      </c>
      <c r="AF905" s="56" t="s">
        <v>5609</v>
      </c>
      <c r="AH905" s="56" t="s">
        <v>3542</v>
      </c>
      <c r="AI905" s="56" t="s">
        <v>3723</v>
      </c>
    </row>
    <row r="906" spans="1:35" ht="33" customHeight="1">
      <c r="A906" s="56" t="s">
        <v>5614</v>
      </c>
      <c r="B906" s="57">
        <v>44362.364618055559</v>
      </c>
      <c r="C906" s="56" t="s">
        <v>4512</v>
      </c>
      <c r="D906" s="56" t="s">
        <v>4511</v>
      </c>
      <c r="E906" s="56" t="s">
        <v>5613</v>
      </c>
      <c r="F906" s="56" t="s">
        <v>5612</v>
      </c>
      <c r="G906" s="58" t="s">
        <v>3551</v>
      </c>
      <c r="H906" s="56">
        <v>1</v>
      </c>
      <c r="I906" s="56" t="s">
        <v>3550</v>
      </c>
      <c r="J906" s="56">
        <v>0</v>
      </c>
      <c r="K906" s="56">
        <v>0</v>
      </c>
      <c r="P906" s="56">
        <v>0</v>
      </c>
      <c r="S906" s="56">
        <v>0</v>
      </c>
      <c r="T906" s="56" t="s">
        <v>3562</v>
      </c>
      <c r="V906" s="56" t="s">
        <v>3549</v>
      </c>
      <c r="W906" s="56" t="s">
        <v>3548</v>
      </c>
      <c r="X906" s="56" t="s">
        <v>3547</v>
      </c>
      <c r="Z906" s="56" t="s">
        <v>3546</v>
      </c>
      <c r="AA906" s="56" t="s">
        <v>5611</v>
      </c>
      <c r="AB906" s="56" t="s">
        <v>5610</v>
      </c>
      <c r="AC906" s="56" t="s">
        <v>3543</v>
      </c>
      <c r="AD906" s="56" t="s">
        <v>24</v>
      </c>
      <c r="AE906" s="56" t="s">
        <v>3862</v>
      </c>
      <c r="AF906" s="56" t="s">
        <v>5609</v>
      </c>
      <c r="AH906" s="56" t="s">
        <v>3542</v>
      </c>
      <c r="AI906" s="56" t="s">
        <v>3723</v>
      </c>
    </row>
    <row r="907" spans="1:35" ht="33" customHeight="1">
      <c r="A907" s="56" t="s">
        <v>5614</v>
      </c>
      <c r="B907" s="57">
        <v>44362.364618055559</v>
      </c>
      <c r="C907" s="56" t="s">
        <v>4512</v>
      </c>
      <c r="D907" s="56" t="s">
        <v>4511</v>
      </c>
      <c r="E907" s="56" t="s">
        <v>5613</v>
      </c>
      <c r="F907" s="56" t="s">
        <v>5612</v>
      </c>
      <c r="G907" s="58" t="s">
        <v>1498</v>
      </c>
      <c r="H907" s="56">
        <v>1</v>
      </c>
      <c r="I907" s="56" t="s">
        <v>4016</v>
      </c>
      <c r="J907" s="56">
        <v>0</v>
      </c>
      <c r="K907" s="56">
        <v>0</v>
      </c>
      <c r="P907" s="56">
        <v>0</v>
      </c>
      <c r="S907" s="56">
        <v>0</v>
      </c>
      <c r="T907" s="56" t="s">
        <v>3562</v>
      </c>
      <c r="V907" s="56" t="s">
        <v>3549</v>
      </c>
      <c r="W907" s="56" t="s">
        <v>3548</v>
      </c>
      <c r="X907" s="56" t="s">
        <v>3547</v>
      </c>
      <c r="Z907" s="56" t="s">
        <v>3546</v>
      </c>
      <c r="AA907" s="56" t="s">
        <v>5611</v>
      </c>
      <c r="AB907" s="56" t="s">
        <v>5610</v>
      </c>
      <c r="AC907" s="56" t="s">
        <v>3543</v>
      </c>
      <c r="AD907" s="56" t="s">
        <v>24</v>
      </c>
      <c r="AE907" s="56" t="s">
        <v>3862</v>
      </c>
      <c r="AF907" s="56" t="s">
        <v>5609</v>
      </c>
      <c r="AH907" s="56" t="s">
        <v>3542</v>
      </c>
      <c r="AI907" s="56" t="s">
        <v>3723</v>
      </c>
    </row>
    <row r="908" spans="1:35" ht="33" customHeight="1">
      <c r="A908" s="56" t="s">
        <v>5607</v>
      </c>
      <c r="B908" s="57">
        <v>44362.366006944445</v>
      </c>
      <c r="C908" s="56" t="s">
        <v>3803</v>
      </c>
      <c r="D908" s="56" t="s">
        <v>3802</v>
      </c>
      <c r="E908" s="56" t="s">
        <v>5606</v>
      </c>
      <c r="F908" s="56" t="s">
        <v>5605</v>
      </c>
      <c r="G908" s="58" t="s">
        <v>4137</v>
      </c>
      <c r="H908" s="56">
        <v>1</v>
      </c>
      <c r="I908" s="56" t="s">
        <v>3577</v>
      </c>
      <c r="J908" s="56">
        <v>700</v>
      </c>
      <c r="K908" s="56">
        <v>599</v>
      </c>
      <c r="L908" s="56">
        <v>2029</v>
      </c>
      <c r="M908" s="56">
        <v>0</v>
      </c>
      <c r="N908" s="56">
        <v>0</v>
      </c>
      <c r="O908" s="56">
        <v>203</v>
      </c>
      <c r="P908" s="56">
        <v>0</v>
      </c>
      <c r="Q908" s="56">
        <v>1826</v>
      </c>
      <c r="R908" s="56">
        <v>0</v>
      </c>
      <c r="S908" s="56">
        <v>0</v>
      </c>
      <c r="T908" s="56" t="s">
        <v>3562</v>
      </c>
      <c r="U908" s="56">
        <v>1826</v>
      </c>
      <c r="V908" s="56" t="s">
        <v>3561</v>
      </c>
      <c r="W908" s="56" t="s">
        <v>3548</v>
      </c>
      <c r="X908" s="56" t="s">
        <v>39</v>
      </c>
      <c r="Y908" s="56" t="s">
        <v>4370</v>
      </c>
      <c r="Z908" s="56" t="s">
        <v>5604</v>
      </c>
      <c r="AC908" s="56" t="s">
        <v>3543</v>
      </c>
      <c r="AD908" s="56" t="s">
        <v>24</v>
      </c>
      <c r="AE908" s="56" t="s">
        <v>5367</v>
      </c>
      <c r="AF908" s="56" t="s">
        <v>5603</v>
      </c>
      <c r="AH908" s="56" t="s">
        <v>3542</v>
      </c>
      <c r="AI908" s="56" t="s">
        <v>3723</v>
      </c>
    </row>
    <row r="909" spans="1:35" ht="33" customHeight="1">
      <c r="A909" s="56" t="s">
        <v>5607</v>
      </c>
      <c r="B909" s="57">
        <v>44362.366006944445</v>
      </c>
      <c r="C909" s="56" t="s">
        <v>3803</v>
      </c>
      <c r="D909" s="56" t="s">
        <v>3802</v>
      </c>
      <c r="E909" s="56" t="s">
        <v>5606</v>
      </c>
      <c r="F909" s="56" t="s">
        <v>5605</v>
      </c>
      <c r="G909" s="58" t="s">
        <v>3681</v>
      </c>
      <c r="H909" s="56">
        <v>1</v>
      </c>
      <c r="I909" s="56" t="s">
        <v>3569</v>
      </c>
      <c r="J909" s="56">
        <v>894</v>
      </c>
      <c r="K909" s="56">
        <v>750</v>
      </c>
      <c r="P909" s="56">
        <v>0</v>
      </c>
      <c r="S909" s="56">
        <v>0</v>
      </c>
      <c r="T909" s="56" t="s">
        <v>3562</v>
      </c>
      <c r="V909" s="56" t="s">
        <v>3561</v>
      </c>
      <c r="W909" s="56" t="s">
        <v>3548</v>
      </c>
      <c r="X909" s="56" t="s">
        <v>39</v>
      </c>
      <c r="Y909" s="56" t="s">
        <v>4370</v>
      </c>
      <c r="Z909" s="56" t="s">
        <v>5604</v>
      </c>
      <c r="AC909" s="56" t="s">
        <v>3543</v>
      </c>
      <c r="AD909" s="56" t="s">
        <v>24</v>
      </c>
      <c r="AE909" s="56" t="s">
        <v>5367</v>
      </c>
      <c r="AF909" s="56" t="s">
        <v>5603</v>
      </c>
      <c r="AH909" s="56" t="s">
        <v>3542</v>
      </c>
      <c r="AI909" s="56" t="s">
        <v>3723</v>
      </c>
    </row>
    <row r="910" spans="1:35" ht="33" customHeight="1">
      <c r="A910" s="56" t="s">
        <v>5607</v>
      </c>
      <c r="B910" s="57">
        <v>44362.366006944445</v>
      </c>
      <c r="C910" s="56" t="s">
        <v>3803</v>
      </c>
      <c r="D910" s="56" t="s">
        <v>3802</v>
      </c>
      <c r="E910" s="56" t="s">
        <v>5606</v>
      </c>
      <c r="F910" s="56" t="s">
        <v>5605</v>
      </c>
      <c r="G910" s="58" t="s">
        <v>5608</v>
      </c>
      <c r="H910" s="56">
        <v>1</v>
      </c>
      <c r="I910" s="56" t="s">
        <v>5335</v>
      </c>
      <c r="J910" s="56">
        <v>505</v>
      </c>
      <c r="K910" s="56">
        <v>420</v>
      </c>
      <c r="P910" s="56">
        <v>0</v>
      </c>
      <c r="S910" s="56">
        <v>0</v>
      </c>
      <c r="T910" s="56" t="s">
        <v>3562</v>
      </c>
      <c r="V910" s="56" t="s">
        <v>3561</v>
      </c>
      <c r="W910" s="56" t="s">
        <v>3548</v>
      </c>
      <c r="X910" s="56" t="s">
        <v>39</v>
      </c>
      <c r="Y910" s="56" t="s">
        <v>4370</v>
      </c>
      <c r="Z910" s="56" t="s">
        <v>5604</v>
      </c>
      <c r="AC910" s="56" t="s">
        <v>3543</v>
      </c>
      <c r="AD910" s="56" t="s">
        <v>24</v>
      </c>
      <c r="AE910" s="56" t="s">
        <v>5367</v>
      </c>
      <c r="AF910" s="56" t="s">
        <v>5603</v>
      </c>
      <c r="AH910" s="56" t="s">
        <v>3542</v>
      </c>
      <c r="AI910" s="56" t="s">
        <v>3723</v>
      </c>
    </row>
    <row r="911" spans="1:35" ht="33" customHeight="1">
      <c r="A911" s="56" t="s">
        <v>5607</v>
      </c>
      <c r="B911" s="57">
        <v>44362.366006944445</v>
      </c>
      <c r="C911" s="56" t="s">
        <v>3803</v>
      </c>
      <c r="D911" s="56" t="s">
        <v>3802</v>
      </c>
      <c r="E911" s="56" t="s">
        <v>5606</v>
      </c>
      <c r="F911" s="56" t="s">
        <v>5605</v>
      </c>
      <c r="G911" s="58" t="s">
        <v>3299</v>
      </c>
      <c r="H911" s="56">
        <v>1</v>
      </c>
      <c r="I911" s="56" t="s">
        <v>3576</v>
      </c>
      <c r="J911" s="56">
        <v>260</v>
      </c>
      <c r="K911" s="56">
        <v>260</v>
      </c>
      <c r="P911" s="56">
        <v>0</v>
      </c>
      <c r="S911" s="56">
        <v>0</v>
      </c>
      <c r="T911" s="56" t="s">
        <v>3562</v>
      </c>
      <c r="V911" s="56" t="s">
        <v>3561</v>
      </c>
      <c r="W911" s="56" t="s">
        <v>3548</v>
      </c>
      <c r="X911" s="56" t="s">
        <v>39</v>
      </c>
      <c r="Y911" s="56" t="s">
        <v>4370</v>
      </c>
      <c r="Z911" s="56" t="s">
        <v>5604</v>
      </c>
      <c r="AC911" s="56" t="s">
        <v>3543</v>
      </c>
      <c r="AD911" s="56" t="s">
        <v>24</v>
      </c>
      <c r="AE911" s="56" t="s">
        <v>5367</v>
      </c>
      <c r="AF911" s="56" t="s">
        <v>5603</v>
      </c>
      <c r="AH911" s="56" t="s">
        <v>3542</v>
      </c>
      <c r="AI911" s="56" t="s">
        <v>3723</v>
      </c>
    </row>
    <row r="912" spans="1:35" ht="33" customHeight="1">
      <c r="A912" s="56" t="s">
        <v>5607</v>
      </c>
      <c r="B912" s="57">
        <v>44362.366006944445</v>
      </c>
      <c r="C912" s="56" t="s">
        <v>3803</v>
      </c>
      <c r="D912" s="56" t="s">
        <v>3802</v>
      </c>
      <c r="E912" s="56" t="s">
        <v>5606</v>
      </c>
      <c r="F912" s="56" t="s">
        <v>5605</v>
      </c>
      <c r="G912" s="58" t="s">
        <v>3551</v>
      </c>
      <c r="H912" s="56">
        <v>1</v>
      </c>
      <c r="I912" s="56" t="s">
        <v>3550</v>
      </c>
      <c r="J912" s="56">
        <v>0</v>
      </c>
      <c r="K912" s="56">
        <v>0</v>
      </c>
      <c r="P912" s="56">
        <v>0</v>
      </c>
      <c r="S912" s="56">
        <v>0</v>
      </c>
      <c r="T912" s="56" t="s">
        <v>3562</v>
      </c>
      <c r="V912" s="56" t="s">
        <v>3561</v>
      </c>
      <c r="W912" s="56" t="s">
        <v>3548</v>
      </c>
      <c r="X912" s="56" t="s">
        <v>39</v>
      </c>
      <c r="Y912" s="56" t="s">
        <v>4370</v>
      </c>
      <c r="Z912" s="56" t="s">
        <v>5604</v>
      </c>
      <c r="AC912" s="56" t="s">
        <v>3543</v>
      </c>
      <c r="AD912" s="56" t="s">
        <v>24</v>
      </c>
      <c r="AE912" s="56" t="s">
        <v>5367</v>
      </c>
      <c r="AF912" s="56" t="s">
        <v>5603</v>
      </c>
      <c r="AH912" s="56" t="s">
        <v>3542</v>
      </c>
      <c r="AI912" s="56" t="s">
        <v>3723</v>
      </c>
    </row>
    <row r="913" spans="1:35" ht="33" customHeight="1">
      <c r="A913" s="56" t="s">
        <v>5607</v>
      </c>
      <c r="B913" s="57">
        <v>44362.366006944445</v>
      </c>
      <c r="C913" s="56" t="s">
        <v>3803</v>
      </c>
      <c r="D913" s="56" t="s">
        <v>3802</v>
      </c>
      <c r="E913" s="56" t="s">
        <v>5606</v>
      </c>
      <c r="F913" s="56" t="s">
        <v>5605</v>
      </c>
      <c r="G913" s="58" t="s">
        <v>1713</v>
      </c>
      <c r="H913" s="56">
        <v>1</v>
      </c>
      <c r="I913" s="56" t="s">
        <v>3568</v>
      </c>
      <c r="J913" s="56">
        <v>0</v>
      </c>
      <c r="K913" s="56">
        <v>0</v>
      </c>
      <c r="P913" s="56">
        <v>0</v>
      </c>
      <c r="S913" s="56">
        <v>0</v>
      </c>
      <c r="T913" s="56" t="s">
        <v>3562</v>
      </c>
      <c r="V913" s="56" t="s">
        <v>3561</v>
      </c>
      <c r="W913" s="56" t="s">
        <v>3548</v>
      </c>
      <c r="X913" s="56" t="s">
        <v>39</v>
      </c>
      <c r="Y913" s="56" t="s">
        <v>4370</v>
      </c>
      <c r="Z913" s="56" t="s">
        <v>5604</v>
      </c>
      <c r="AC913" s="56" t="s">
        <v>3543</v>
      </c>
      <c r="AD913" s="56" t="s">
        <v>24</v>
      </c>
      <c r="AE913" s="56" t="s">
        <v>5367</v>
      </c>
      <c r="AF913" s="56" t="s">
        <v>5603</v>
      </c>
      <c r="AH913" s="56" t="s">
        <v>3542</v>
      </c>
      <c r="AI913" s="56" t="s">
        <v>3723</v>
      </c>
    </row>
    <row r="914" spans="1:35" ht="33" customHeight="1">
      <c r="A914" s="56" t="s">
        <v>5607</v>
      </c>
      <c r="B914" s="57">
        <v>44362.366006944445</v>
      </c>
      <c r="C914" s="56" t="s">
        <v>3803</v>
      </c>
      <c r="D914" s="56" t="s">
        <v>3802</v>
      </c>
      <c r="E914" s="56" t="s">
        <v>5606</v>
      </c>
      <c r="F914" s="56" t="s">
        <v>5605</v>
      </c>
      <c r="G914" s="58" t="s">
        <v>1498</v>
      </c>
      <c r="H914" s="56">
        <v>1</v>
      </c>
      <c r="I914" s="56" t="s">
        <v>4016</v>
      </c>
      <c r="J914" s="56">
        <v>0</v>
      </c>
      <c r="K914" s="56">
        <v>0</v>
      </c>
      <c r="P914" s="56">
        <v>0</v>
      </c>
      <c r="S914" s="56">
        <v>0</v>
      </c>
      <c r="T914" s="56" t="s">
        <v>3562</v>
      </c>
      <c r="V914" s="56" t="s">
        <v>3561</v>
      </c>
      <c r="W914" s="56" t="s">
        <v>3548</v>
      </c>
      <c r="X914" s="56" t="s">
        <v>39</v>
      </c>
      <c r="Y914" s="56" t="s">
        <v>4370</v>
      </c>
      <c r="Z914" s="56" t="s">
        <v>5604</v>
      </c>
      <c r="AC914" s="56" t="s">
        <v>3543</v>
      </c>
      <c r="AD914" s="56" t="s">
        <v>24</v>
      </c>
      <c r="AE914" s="56" t="s">
        <v>5367</v>
      </c>
      <c r="AF914" s="56" t="s">
        <v>5603</v>
      </c>
      <c r="AH914" s="56" t="s">
        <v>3542</v>
      </c>
      <c r="AI914" s="56" t="s">
        <v>3723</v>
      </c>
    </row>
    <row r="915" spans="1:35" ht="33" customHeight="1">
      <c r="A915" s="56" t="s">
        <v>5607</v>
      </c>
      <c r="B915" s="57">
        <v>44362.366006944445</v>
      </c>
      <c r="C915" s="56" t="s">
        <v>3803</v>
      </c>
      <c r="D915" s="56" t="s">
        <v>3802</v>
      </c>
      <c r="E915" s="56" t="s">
        <v>5606</v>
      </c>
      <c r="F915" s="56" t="s">
        <v>5605</v>
      </c>
      <c r="G915" s="58" t="s">
        <v>3564</v>
      </c>
      <c r="H915" s="56">
        <v>1</v>
      </c>
      <c r="I915" s="56" t="s">
        <v>3563</v>
      </c>
      <c r="J915" s="56">
        <v>0</v>
      </c>
      <c r="K915" s="56">
        <v>0</v>
      </c>
      <c r="P915" s="56">
        <v>0</v>
      </c>
      <c r="S915" s="56">
        <v>0</v>
      </c>
      <c r="T915" s="56" t="s">
        <v>3562</v>
      </c>
      <c r="V915" s="56" t="s">
        <v>3561</v>
      </c>
      <c r="W915" s="56" t="s">
        <v>3548</v>
      </c>
      <c r="X915" s="56" t="s">
        <v>39</v>
      </c>
      <c r="Y915" s="56" t="s">
        <v>4370</v>
      </c>
      <c r="Z915" s="56" t="s">
        <v>5604</v>
      </c>
      <c r="AC915" s="56" t="s">
        <v>3543</v>
      </c>
      <c r="AD915" s="56" t="s">
        <v>24</v>
      </c>
      <c r="AE915" s="56" t="s">
        <v>5367</v>
      </c>
      <c r="AF915" s="56" t="s">
        <v>5603</v>
      </c>
      <c r="AH915" s="56" t="s">
        <v>3542</v>
      </c>
      <c r="AI915" s="56" t="s">
        <v>3723</v>
      </c>
    </row>
    <row r="916" spans="1:35" ht="33" customHeight="1">
      <c r="A916" s="56" t="s">
        <v>5602</v>
      </c>
      <c r="B916" s="57">
        <v>44362.402094907404</v>
      </c>
      <c r="C916" s="56" t="s">
        <v>3803</v>
      </c>
      <c r="D916" s="56" t="s">
        <v>3802</v>
      </c>
      <c r="E916" s="56" t="s">
        <v>5601</v>
      </c>
      <c r="F916" s="56" t="s">
        <v>5600</v>
      </c>
      <c r="G916" s="58" t="s">
        <v>3968</v>
      </c>
      <c r="H916" s="56">
        <v>1</v>
      </c>
      <c r="I916" s="56" t="s">
        <v>3669</v>
      </c>
      <c r="J916" s="56">
        <v>897</v>
      </c>
      <c r="K916" s="56">
        <v>888</v>
      </c>
      <c r="L916" s="56">
        <v>1155</v>
      </c>
      <c r="M916" s="56">
        <v>0</v>
      </c>
      <c r="N916" s="56">
        <v>0</v>
      </c>
      <c r="O916" s="56">
        <v>100</v>
      </c>
      <c r="P916" s="56">
        <v>0</v>
      </c>
      <c r="Q916" s="56">
        <v>1055</v>
      </c>
      <c r="R916" s="56">
        <v>0</v>
      </c>
      <c r="S916" s="56">
        <v>0</v>
      </c>
      <c r="T916" s="56" t="s">
        <v>3562</v>
      </c>
      <c r="U916" s="56">
        <v>1055</v>
      </c>
      <c r="V916" s="56" t="s">
        <v>3561</v>
      </c>
      <c r="W916" s="56" t="s">
        <v>3548</v>
      </c>
      <c r="X916" s="56" t="s">
        <v>39</v>
      </c>
      <c r="Y916" s="56" t="s">
        <v>3629</v>
      </c>
      <c r="Z916" s="56" t="s">
        <v>5599</v>
      </c>
      <c r="AC916" s="56" t="s">
        <v>3543</v>
      </c>
      <c r="AD916" s="56" t="s">
        <v>24</v>
      </c>
      <c r="AE916" s="56" t="s">
        <v>5367</v>
      </c>
      <c r="AF916" s="56" t="s">
        <v>5598</v>
      </c>
      <c r="AH916" s="56" t="s">
        <v>3542</v>
      </c>
      <c r="AI916" s="56" t="s">
        <v>3723</v>
      </c>
    </row>
    <row r="917" spans="1:35" ht="33" customHeight="1">
      <c r="A917" s="56" t="s">
        <v>5602</v>
      </c>
      <c r="B917" s="57">
        <v>44362.402094907404</v>
      </c>
      <c r="C917" s="56" t="s">
        <v>3803</v>
      </c>
      <c r="D917" s="56" t="s">
        <v>3802</v>
      </c>
      <c r="E917" s="56" t="s">
        <v>5601</v>
      </c>
      <c r="F917" s="56" t="s">
        <v>5600</v>
      </c>
      <c r="G917" s="58" t="s">
        <v>3222</v>
      </c>
      <c r="H917" s="56">
        <v>1</v>
      </c>
      <c r="I917" s="56" t="s">
        <v>3712</v>
      </c>
      <c r="J917" s="56">
        <v>59</v>
      </c>
      <c r="K917" s="56">
        <v>59</v>
      </c>
      <c r="P917" s="56">
        <v>0</v>
      </c>
      <c r="S917" s="56">
        <v>0</v>
      </c>
      <c r="T917" s="56" t="s">
        <v>3562</v>
      </c>
      <c r="V917" s="56" t="s">
        <v>3561</v>
      </c>
      <c r="W917" s="56" t="s">
        <v>3548</v>
      </c>
      <c r="X917" s="56" t="s">
        <v>39</v>
      </c>
      <c r="Y917" s="56" t="s">
        <v>3629</v>
      </c>
      <c r="Z917" s="56" t="s">
        <v>5599</v>
      </c>
      <c r="AC917" s="56" t="s">
        <v>3543</v>
      </c>
      <c r="AD917" s="56" t="s">
        <v>24</v>
      </c>
      <c r="AE917" s="56" t="s">
        <v>5367</v>
      </c>
      <c r="AF917" s="56" t="s">
        <v>5598</v>
      </c>
      <c r="AH917" s="56" t="s">
        <v>3542</v>
      </c>
      <c r="AI917" s="56" t="s">
        <v>3723</v>
      </c>
    </row>
    <row r="918" spans="1:35" ht="33" customHeight="1">
      <c r="A918" s="56" t="s">
        <v>5602</v>
      </c>
      <c r="B918" s="57">
        <v>44362.402094907404</v>
      </c>
      <c r="C918" s="56" t="s">
        <v>3803</v>
      </c>
      <c r="D918" s="56" t="s">
        <v>3802</v>
      </c>
      <c r="E918" s="56" t="s">
        <v>5601</v>
      </c>
      <c r="F918" s="56" t="s">
        <v>5600</v>
      </c>
      <c r="G918" s="58" t="s">
        <v>3217</v>
      </c>
      <c r="H918" s="56">
        <v>1</v>
      </c>
      <c r="I918" s="56" t="s">
        <v>3720</v>
      </c>
      <c r="J918" s="56">
        <v>59</v>
      </c>
      <c r="K918" s="56">
        <v>59</v>
      </c>
      <c r="P918" s="56">
        <v>0</v>
      </c>
      <c r="S918" s="56">
        <v>0</v>
      </c>
      <c r="T918" s="56" t="s">
        <v>3562</v>
      </c>
      <c r="V918" s="56" t="s">
        <v>3561</v>
      </c>
      <c r="W918" s="56" t="s">
        <v>3548</v>
      </c>
      <c r="X918" s="56" t="s">
        <v>39</v>
      </c>
      <c r="Y918" s="56" t="s">
        <v>3629</v>
      </c>
      <c r="Z918" s="56" t="s">
        <v>5599</v>
      </c>
      <c r="AC918" s="56" t="s">
        <v>3543</v>
      </c>
      <c r="AD918" s="56" t="s">
        <v>24</v>
      </c>
      <c r="AE918" s="56" t="s">
        <v>5367</v>
      </c>
      <c r="AF918" s="56" t="s">
        <v>5598</v>
      </c>
      <c r="AH918" s="56" t="s">
        <v>3542</v>
      </c>
      <c r="AI918" s="56" t="s">
        <v>3723</v>
      </c>
    </row>
    <row r="919" spans="1:35" ht="33" customHeight="1">
      <c r="A919" s="56" t="s">
        <v>5602</v>
      </c>
      <c r="B919" s="57">
        <v>44362.402094907404</v>
      </c>
      <c r="C919" s="56" t="s">
        <v>3803</v>
      </c>
      <c r="D919" s="56" t="s">
        <v>3802</v>
      </c>
      <c r="E919" s="56" t="s">
        <v>5601</v>
      </c>
      <c r="F919" s="56" t="s">
        <v>5600</v>
      </c>
      <c r="G919" s="58" t="s">
        <v>1713</v>
      </c>
      <c r="H919" s="56">
        <v>1</v>
      </c>
      <c r="I919" s="56" t="s">
        <v>3587</v>
      </c>
      <c r="J919" s="56">
        <v>149</v>
      </c>
      <c r="K919" s="56">
        <v>149</v>
      </c>
      <c r="P919" s="56">
        <v>0</v>
      </c>
      <c r="S919" s="56">
        <v>0</v>
      </c>
      <c r="T919" s="56" t="s">
        <v>3562</v>
      </c>
      <c r="V919" s="56" t="s">
        <v>3561</v>
      </c>
      <c r="W919" s="56" t="s">
        <v>3548</v>
      </c>
      <c r="X919" s="56" t="s">
        <v>39</v>
      </c>
      <c r="Y919" s="56" t="s">
        <v>3629</v>
      </c>
      <c r="Z919" s="56" t="s">
        <v>5599</v>
      </c>
      <c r="AC919" s="56" t="s">
        <v>3543</v>
      </c>
      <c r="AD919" s="56" t="s">
        <v>24</v>
      </c>
      <c r="AE919" s="56" t="s">
        <v>5367</v>
      </c>
      <c r="AF919" s="56" t="s">
        <v>5598</v>
      </c>
      <c r="AH919" s="56" t="s">
        <v>3542</v>
      </c>
      <c r="AI919" s="56" t="s">
        <v>3723</v>
      </c>
    </row>
    <row r="920" spans="1:35" ht="33" customHeight="1">
      <c r="A920" s="56" t="s">
        <v>5602</v>
      </c>
      <c r="B920" s="57">
        <v>44362.402094907404</v>
      </c>
      <c r="C920" s="56" t="s">
        <v>3803</v>
      </c>
      <c r="D920" s="56" t="s">
        <v>3802</v>
      </c>
      <c r="E920" s="56" t="s">
        <v>5601</v>
      </c>
      <c r="F920" s="56" t="s">
        <v>5600</v>
      </c>
      <c r="G920" s="58" t="s">
        <v>3551</v>
      </c>
      <c r="H920" s="56">
        <v>1</v>
      </c>
      <c r="I920" s="56" t="s">
        <v>3550</v>
      </c>
      <c r="J920" s="56">
        <v>0</v>
      </c>
      <c r="K920" s="56">
        <v>0</v>
      </c>
      <c r="P920" s="56">
        <v>0</v>
      </c>
      <c r="S920" s="56">
        <v>0</v>
      </c>
      <c r="T920" s="56" t="s">
        <v>3562</v>
      </c>
      <c r="V920" s="56" t="s">
        <v>3561</v>
      </c>
      <c r="W920" s="56" t="s">
        <v>3548</v>
      </c>
      <c r="X920" s="56" t="s">
        <v>39</v>
      </c>
      <c r="Y920" s="56" t="s">
        <v>3629</v>
      </c>
      <c r="Z920" s="56" t="s">
        <v>5599</v>
      </c>
      <c r="AC920" s="56" t="s">
        <v>3543</v>
      </c>
      <c r="AD920" s="56" t="s">
        <v>24</v>
      </c>
      <c r="AE920" s="56" t="s">
        <v>5367</v>
      </c>
      <c r="AF920" s="56" t="s">
        <v>5598</v>
      </c>
      <c r="AH920" s="56" t="s">
        <v>3542</v>
      </c>
      <c r="AI920" s="56" t="s">
        <v>3723</v>
      </c>
    </row>
    <row r="921" spans="1:35" ht="33" customHeight="1">
      <c r="A921" s="56" t="s">
        <v>5602</v>
      </c>
      <c r="B921" s="57">
        <v>44362.402094907404</v>
      </c>
      <c r="C921" s="56" t="s">
        <v>3803</v>
      </c>
      <c r="D921" s="56" t="s">
        <v>3802</v>
      </c>
      <c r="E921" s="56" t="s">
        <v>5601</v>
      </c>
      <c r="F921" s="56" t="s">
        <v>5600</v>
      </c>
      <c r="G921" s="58" t="s">
        <v>1498</v>
      </c>
      <c r="H921" s="56">
        <v>1</v>
      </c>
      <c r="I921" s="56" t="s">
        <v>4016</v>
      </c>
      <c r="J921" s="56">
        <v>0</v>
      </c>
      <c r="K921" s="56">
        <v>0</v>
      </c>
      <c r="P921" s="56">
        <v>0</v>
      </c>
      <c r="S921" s="56">
        <v>0</v>
      </c>
      <c r="T921" s="56" t="s">
        <v>3562</v>
      </c>
      <c r="V921" s="56" t="s">
        <v>3561</v>
      </c>
      <c r="W921" s="56" t="s">
        <v>3548</v>
      </c>
      <c r="X921" s="56" t="s">
        <v>39</v>
      </c>
      <c r="Y921" s="56" t="s">
        <v>3629</v>
      </c>
      <c r="Z921" s="56" t="s">
        <v>5599</v>
      </c>
      <c r="AC921" s="56" t="s">
        <v>3543</v>
      </c>
      <c r="AD921" s="56" t="s">
        <v>24</v>
      </c>
      <c r="AE921" s="56" t="s">
        <v>5367</v>
      </c>
      <c r="AF921" s="56" t="s">
        <v>5598</v>
      </c>
      <c r="AH921" s="56" t="s">
        <v>3542</v>
      </c>
      <c r="AI921" s="56" t="s">
        <v>3723</v>
      </c>
    </row>
    <row r="922" spans="1:35" ht="33" customHeight="1">
      <c r="A922" s="56" t="s">
        <v>5597</v>
      </c>
      <c r="B922" s="57">
        <v>44362.415358796294</v>
      </c>
      <c r="C922" s="56" t="s">
        <v>3803</v>
      </c>
      <c r="D922" s="56" t="s">
        <v>3802</v>
      </c>
      <c r="E922" s="56" t="s">
        <v>5596</v>
      </c>
      <c r="F922" s="56" t="s">
        <v>5595</v>
      </c>
      <c r="G922" s="58" t="s">
        <v>3656</v>
      </c>
      <c r="H922" s="56">
        <v>1</v>
      </c>
      <c r="I922" s="56" t="s">
        <v>3655</v>
      </c>
      <c r="J922" s="56">
        <v>1107</v>
      </c>
      <c r="K922" s="56">
        <v>799</v>
      </c>
      <c r="L922" s="56">
        <v>2437</v>
      </c>
      <c r="M922" s="56">
        <v>0</v>
      </c>
      <c r="N922" s="56">
        <v>0</v>
      </c>
      <c r="O922" s="56">
        <v>0</v>
      </c>
      <c r="P922" s="56">
        <v>0</v>
      </c>
      <c r="Q922" s="56">
        <v>2437</v>
      </c>
      <c r="R922" s="56">
        <v>0</v>
      </c>
      <c r="S922" s="56">
        <v>0</v>
      </c>
      <c r="T922" s="56" t="s">
        <v>3562</v>
      </c>
      <c r="U922" s="56">
        <v>2437</v>
      </c>
      <c r="V922" s="56" t="s">
        <v>59</v>
      </c>
      <c r="W922" s="56" t="s">
        <v>3548</v>
      </c>
      <c r="X922" s="56" t="s">
        <v>39</v>
      </c>
      <c r="Y922" s="56" t="s">
        <v>3597</v>
      </c>
      <c r="Z922" s="56" t="s">
        <v>5594</v>
      </c>
      <c r="AC922" s="56" t="s">
        <v>3543</v>
      </c>
      <c r="AD922" s="56" t="s">
        <v>24</v>
      </c>
      <c r="AE922" s="56" t="s">
        <v>5367</v>
      </c>
      <c r="AF922" s="56" t="s">
        <v>5593</v>
      </c>
      <c r="AH922" s="56" t="s">
        <v>3542</v>
      </c>
      <c r="AI922" s="56" t="s">
        <v>3723</v>
      </c>
    </row>
    <row r="923" spans="1:35" ht="33" customHeight="1">
      <c r="A923" s="56" t="s">
        <v>5597</v>
      </c>
      <c r="B923" s="57">
        <v>44362.415358796294</v>
      </c>
      <c r="C923" s="56" t="s">
        <v>3803</v>
      </c>
      <c r="D923" s="56" t="s">
        <v>3802</v>
      </c>
      <c r="E923" s="56" t="s">
        <v>5596</v>
      </c>
      <c r="F923" s="56" t="s">
        <v>5595</v>
      </c>
      <c r="G923" s="58" t="s">
        <v>3811</v>
      </c>
      <c r="H923" s="56">
        <v>1</v>
      </c>
      <c r="I923" s="56" t="s">
        <v>3669</v>
      </c>
      <c r="J923" s="56">
        <v>897</v>
      </c>
      <c r="K923" s="56">
        <v>888</v>
      </c>
      <c r="P923" s="56">
        <v>0</v>
      </c>
      <c r="S923" s="56">
        <v>0</v>
      </c>
      <c r="T923" s="56" t="s">
        <v>3562</v>
      </c>
      <c r="V923" s="56" t="s">
        <v>59</v>
      </c>
      <c r="W923" s="56" t="s">
        <v>3548</v>
      </c>
      <c r="X923" s="56" t="s">
        <v>39</v>
      </c>
      <c r="Y923" s="56" t="s">
        <v>3597</v>
      </c>
      <c r="Z923" s="56" t="s">
        <v>5594</v>
      </c>
      <c r="AC923" s="56" t="s">
        <v>3543</v>
      </c>
      <c r="AD923" s="56" t="s">
        <v>24</v>
      </c>
      <c r="AE923" s="56" t="s">
        <v>5367</v>
      </c>
      <c r="AF923" s="56" t="s">
        <v>5593</v>
      </c>
      <c r="AH923" s="56" t="s">
        <v>3542</v>
      </c>
      <c r="AI923" s="56" t="s">
        <v>3723</v>
      </c>
    </row>
    <row r="924" spans="1:35" ht="33" customHeight="1">
      <c r="A924" s="56" t="s">
        <v>5597</v>
      </c>
      <c r="B924" s="57">
        <v>44362.415358796294</v>
      </c>
      <c r="C924" s="56" t="s">
        <v>3803</v>
      </c>
      <c r="D924" s="56" t="s">
        <v>3802</v>
      </c>
      <c r="E924" s="56" t="s">
        <v>5596</v>
      </c>
      <c r="F924" s="56" t="s">
        <v>5595</v>
      </c>
      <c r="G924" s="58" t="s">
        <v>3681</v>
      </c>
      <c r="H924" s="56">
        <v>1</v>
      </c>
      <c r="I924" s="56" t="s">
        <v>3569</v>
      </c>
      <c r="J924" s="56">
        <v>894</v>
      </c>
      <c r="K924" s="56">
        <v>750</v>
      </c>
      <c r="P924" s="56">
        <v>0</v>
      </c>
      <c r="S924" s="56">
        <v>0</v>
      </c>
      <c r="T924" s="56" t="s">
        <v>3562</v>
      </c>
      <c r="V924" s="56" t="s">
        <v>59</v>
      </c>
      <c r="W924" s="56" t="s">
        <v>3548</v>
      </c>
      <c r="X924" s="56" t="s">
        <v>39</v>
      </c>
      <c r="Y924" s="56" t="s">
        <v>3597</v>
      </c>
      <c r="Z924" s="56" t="s">
        <v>5594</v>
      </c>
      <c r="AC924" s="56" t="s">
        <v>3543</v>
      </c>
      <c r="AD924" s="56" t="s">
        <v>24</v>
      </c>
      <c r="AE924" s="56" t="s">
        <v>5367</v>
      </c>
      <c r="AF924" s="56" t="s">
        <v>5593</v>
      </c>
      <c r="AH924" s="56" t="s">
        <v>3542</v>
      </c>
      <c r="AI924" s="56" t="s">
        <v>3723</v>
      </c>
    </row>
    <row r="925" spans="1:35" ht="33" customHeight="1">
      <c r="A925" s="56" t="s">
        <v>5597</v>
      </c>
      <c r="B925" s="57">
        <v>44362.415358796294</v>
      </c>
      <c r="C925" s="56" t="s">
        <v>3803</v>
      </c>
      <c r="D925" s="56" t="s">
        <v>3802</v>
      </c>
      <c r="E925" s="56" t="s">
        <v>5596</v>
      </c>
      <c r="F925" s="56" t="s">
        <v>5595</v>
      </c>
      <c r="G925" s="58" t="s">
        <v>3551</v>
      </c>
      <c r="H925" s="56">
        <v>1</v>
      </c>
      <c r="I925" s="56" t="s">
        <v>3550</v>
      </c>
      <c r="J925" s="56">
        <v>0</v>
      </c>
      <c r="K925" s="56">
        <v>0</v>
      </c>
      <c r="P925" s="56">
        <v>0</v>
      </c>
      <c r="S925" s="56">
        <v>0</v>
      </c>
      <c r="T925" s="56" t="s">
        <v>3562</v>
      </c>
      <c r="V925" s="56" t="s">
        <v>59</v>
      </c>
      <c r="W925" s="56" t="s">
        <v>3548</v>
      </c>
      <c r="X925" s="56" t="s">
        <v>39</v>
      </c>
      <c r="Y925" s="56" t="s">
        <v>3597</v>
      </c>
      <c r="Z925" s="56" t="s">
        <v>5594</v>
      </c>
      <c r="AC925" s="56" t="s">
        <v>3543</v>
      </c>
      <c r="AD925" s="56" t="s">
        <v>24</v>
      </c>
      <c r="AE925" s="56" t="s">
        <v>5367</v>
      </c>
      <c r="AF925" s="56" t="s">
        <v>5593</v>
      </c>
      <c r="AH925" s="56" t="s">
        <v>3542</v>
      </c>
      <c r="AI925" s="56" t="s">
        <v>3723</v>
      </c>
    </row>
    <row r="926" spans="1:35" ht="33" customHeight="1">
      <c r="A926" s="56" t="s">
        <v>5597</v>
      </c>
      <c r="B926" s="57">
        <v>44362.415358796294</v>
      </c>
      <c r="C926" s="56" t="s">
        <v>3803</v>
      </c>
      <c r="D926" s="56" t="s">
        <v>3802</v>
      </c>
      <c r="E926" s="56" t="s">
        <v>5596</v>
      </c>
      <c r="F926" s="56" t="s">
        <v>5595</v>
      </c>
      <c r="G926" s="58" t="s">
        <v>1713</v>
      </c>
      <c r="H926" s="56">
        <v>1</v>
      </c>
      <c r="I926" s="56" t="s">
        <v>3568</v>
      </c>
      <c r="J926" s="56">
        <v>0</v>
      </c>
      <c r="K926" s="56">
        <v>0</v>
      </c>
      <c r="P926" s="56">
        <v>0</v>
      </c>
      <c r="S926" s="56">
        <v>0</v>
      </c>
      <c r="T926" s="56" t="s">
        <v>3562</v>
      </c>
      <c r="V926" s="56" t="s">
        <v>59</v>
      </c>
      <c r="W926" s="56" t="s">
        <v>3548</v>
      </c>
      <c r="X926" s="56" t="s">
        <v>39</v>
      </c>
      <c r="Y926" s="56" t="s">
        <v>3597</v>
      </c>
      <c r="Z926" s="56" t="s">
        <v>5594</v>
      </c>
      <c r="AC926" s="56" t="s">
        <v>3543</v>
      </c>
      <c r="AD926" s="56" t="s">
        <v>24</v>
      </c>
      <c r="AE926" s="56" t="s">
        <v>5367</v>
      </c>
      <c r="AF926" s="56" t="s">
        <v>5593</v>
      </c>
      <c r="AH926" s="56" t="s">
        <v>3542</v>
      </c>
      <c r="AI926" s="56" t="s">
        <v>3723</v>
      </c>
    </row>
    <row r="927" spans="1:35" ht="33" customHeight="1">
      <c r="A927" s="56" t="s">
        <v>5597</v>
      </c>
      <c r="B927" s="57">
        <v>44362.415358796294</v>
      </c>
      <c r="C927" s="56" t="s">
        <v>3803</v>
      </c>
      <c r="D927" s="56" t="s">
        <v>3802</v>
      </c>
      <c r="E927" s="56" t="s">
        <v>5596</v>
      </c>
      <c r="F927" s="56" t="s">
        <v>5595</v>
      </c>
      <c r="G927" s="58" t="s">
        <v>1498</v>
      </c>
      <c r="H927" s="56">
        <v>1</v>
      </c>
      <c r="I927" s="56" t="s">
        <v>4016</v>
      </c>
      <c r="J927" s="56">
        <v>0</v>
      </c>
      <c r="K927" s="56">
        <v>0</v>
      </c>
      <c r="P927" s="56">
        <v>0</v>
      </c>
      <c r="S927" s="56">
        <v>0</v>
      </c>
      <c r="T927" s="56" t="s">
        <v>3562</v>
      </c>
      <c r="V927" s="56" t="s">
        <v>59</v>
      </c>
      <c r="W927" s="56" t="s">
        <v>3548</v>
      </c>
      <c r="X927" s="56" t="s">
        <v>39</v>
      </c>
      <c r="Y927" s="56" t="s">
        <v>3597</v>
      </c>
      <c r="Z927" s="56" t="s">
        <v>5594</v>
      </c>
      <c r="AC927" s="56" t="s">
        <v>3543</v>
      </c>
      <c r="AD927" s="56" t="s">
        <v>24</v>
      </c>
      <c r="AE927" s="56" t="s">
        <v>5367</v>
      </c>
      <c r="AF927" s="56" t="s">
        <v>5593</v>
      </c>
      <c r="AH927" s="56" t="s">
        <v>3542</v>
      </c>
      <c r="AI927" s="56" t="s">
        <v>3723</v>
      </c>
    </row>
    <row r="928" spans="1:35" ht="33" customHeight="1">
      <c r="A928" s="56" t="s">
        <v>5597</v>
      </c>
      <c r="B928" s="57">
        <v>44362.415358796294</v>
      </c>
      <c r="C928" s="56" t="s">
        <v>3803</v>
      </c>
      <c r="D928" s="56" t="s">
        <v>3802</v>
      </c>
      <c r="E928" s="56" t="s">
        <v>5596</v>
      </c>
      <c r="F928" s="56" t="s">
        <v>5595</v>
      </c>
      <c r="G928" s="58" t="s">
        <v>3564</v>
      </c>
      <c r="H928" s="56">
        <v>1</v>
      </c>
      <c r="I928" s="56" t="s">
        <v>3563</v>
      </c>
      <c r="J928" s="56">
        <v>0</v>
      </c>
      <c r="K928" s="56">
        <v>0</v>
      </c>
      <c r="P928" s="56">
        <v>0</v>
      </c>
      <c r="S928" s="56">
        <v>0</v>
      </c>
      <c r="T928" s="56" t="s">
        <v>3562</v>
      </c>
      <c r="V928" s="56" t="s">
        <v>59</v>
      </c>
      <c r="W928" s="56" t="s">
        <v>3548</v>
      </c>
      <c r="X928" s="56" t="s">
        <v>39</v>
      </c>
      <c r="Y928" s="56" t="s">
        <v>3597</v>
      </c>
      <c r="Z928" s="56" t="s">
        <v>5594</v>
      </c>
      <c r="AC928" s="56" t="s">
        <v>3543</v>
      </c>
      <c r="AD928" s="56" t="s">
        <v>24</v>
      </c>
      <c r="AE928" s="56" t="s">
        <v>5367</v>
      </c>
      <c r="AF928" s="56" t="s">
        <v>5593</v>
      </c>
      <c r="AH928" s="56" t="s">
        <v>3542</v>
      </c>
      <c r="AI928" s="56" t="s">
        <v>3723</v>
      </c>
    </row>
    <row r="929" spans="1:35" ht="33" customHeight="1">
      <c r="A929" s="56" t="s">
        <v>5592</v>
      </c>
      <c r="B929" s="57">
        <v>44362.450162037036</v>
      </c>
      <c r="C929" s="56" t="s">
        <v>3803</v>
      </c>
      <c r="D929" s="56" t="s">
        <v>3802</v>
      </c>
      <c r="E929" s="56" t="s">
        <v>5591</v>
      </c>
      <c r="F929" s="56" t="s">
        <v>5590</v>
      </c>
      <c r="G929" s="58" t="s">
        <v>3656</v>
      </c>
      <c r="H929" s="56">
        <v>1</v>
      </c>
      <c r="I929" s="56" t="s">
        <v>3655</v>
      </c>
      <c r="J929" s="56">
        <v>1107</v>
      </c>
      <c r="K929" s="56">
        <v>799</v>
      </c>
      <c r="L929" s="56">
        <v>948</v>
      </c>
      <c r="M929" s="56">
        <v>0</v>
      </c>
      <c r="N929" s="56">
        <v>0</v>
      </c>
      <c r="O929" s="56">
        <v>0</v>
      </c>
      <c r="P929" s="56">
        <v>0</v>
      </c>
      <c r="Q929" s="56">
        <v>948</v>
      </c>
      <c r="R929" s="56">
        <v>0</v>
      </c>
      <c r="S929" s="56">
        <v>0</v>
      </c>
      <c r="T929" s="56" t="s">
        <v>3562</v>
      </c>
      <c r="U929" s="56">
        <v>948</v>
      </c>
      <c r="V929" s="56" t="s">
        <v>59</v>
      </c>
      <c r="W929" s="56" t="s">
        <v>3548</v>
      </c>
      <c r="X929" s="56" t="s">
        <v>39</v>
      </c>
      <c r="Y929" s="56" t="s">
        <v>5422</v>
      </c>
      <c r="Z929" s="56" t="s">
        <v>5589</v>
      </c>
      <c r="AC929" s="56" t="s">
        <v>3543</v>
      </c>
      <c r="AD929" s="56" t="s">
        <v>24</v>
      </c>
      <c r="AE929" s="56" t="s">
        <v>5367</v>
      </c>
      <c r="AF929" s="56" t="s">
        <v>5588</v>
      </c>
      <c r="AH929" s="56" t="s">
        <v>3542</v>
      </c>
      <c r="AI929" s="56" t="s">
        <v>3723</v>
      </c>
    </row>
    <row r="930" spans="1:35" ht="33" customHeight="1">
      <c r="A930" s="56" t="s">
        <v>5592</v>
      </c>
      <c r="B930" s="57">
        <v>44362.450162037036</v>
      </c>
      <c r="C930" s="56" t="s">
        <v>3803</v>
      </c>
      <c r="D930" s="56" t="s">
        <v>3802</v>
      </c>
      <c r="E930" s="56" t="s">
        <v>5591</v>
      </c>
      <c r="F930" s="56" t="s">
        <v>5590</v>
      </c>
      <c r="G930" s="58" t="s">
        <v>1713</v>
      </c>
      <c r="H930" s="56">
        <v>1</v>
      </c>
      <c r="I930" s="56" t="s">
        <v>3587</v>
      </c>
      <c r="J930" s="56">
        <v>149</v>
      </c>
      <c r="K930" s="56">
        <v>149</v>
      </c>
      <c r="P930" s="56">
        <v>0</v>
      </c>
      <c r="S930" s="56">
        <v>0</v>
      </c>
      <c r="T930" s="56" t="s">
        <v>3562</v>
      </c>
      <c r="V930" s="56" t="s">
        <v>59</v>
      </c>
      <c r="W930" s="56" t="s">
        <v>3548</v>
      </c>
      <c r="X930" s="56" t="s">
        <v>39</v>
      </c>
      <c r="Y930" s="56" t="s">
        <v>5422</v>
      </c>
      <c r="Z930" s="56" t="s">
        <v>5589</v>
      </c>
      <c r="AC930" s="56" t="s">
        <v>3543</v>
      </c>
      <c r="AD930" s="56" t="s">
        <v>24</v>
      </c>
      <c r="AE930" s="56" t="s">
        <v>5367</v>
      </c>
      <c r="AF930" s="56" t="s">
        <v>5588</v>
      </c>
      <c r="AH930" s="56" t="s">
        <v>3542</v>
      </c>
      <c r="AI930" s="56" t="s">
        <v>3723</v>
      </c>
    </row>
    <row r="931" spans="1:35" ht="33" customHeight="1">
      <c r="A931" s="56" t="s">
        <v>5592</v>
      </c>
      <c r="B931" s="57">
        <v>44362.450162037036</v>
      </c>
      <c r="C931" s="56" t="s">
        <v>3803</v>
      </c>
      <c r="D931" s="56" t="s">
        <v>3802</v>
      </c>
      <c r="E931" s="56" t="s">
        <v>5591</v>
      </c>
      <c r="F931" s="56" t="s">
        <v>5590</v>
      </c>
      <c r="G931" s="58" t="s">
        <v>3551</v>
      </c>
      <c r="H931" s="56">
        <v>1</v>
      </c>
      <c r="I931" s="56" t="s">
        <v>3550</v>
      </c>
      <c r="J931" s="56">
        <v>0</v>
      </c>
      <c r="K931" s="56">
        <v>0</v>
      </c>
      <c r="P931" s="56">
        <v>0</v>
      </c>
      <c r="S931" s="56">
        <v>0</v>
      </c>
      <c r="T931" s="56" t="s">
        <v>3562</v>
      </c>
      <c r="V931" s="56" t="s">
        <v>59</v>
      </c>
      <c r="W931" s="56" t="s">
        <v>3548</v>
      </c>
      <c r="X931" s="56" t="s">
        <v>39</v>
      </c>
      <c r="Y931" s="56" t="s">
        <v>5422</v>
      </c>
      <c r="Z931" s="56" t="s">
        <v>5589</v>
      </c>
      <c r="AC931" s="56" t="s">
        <v>3543</v>
      </c>
      <c r="AD931" s="56" t="s">
        <v>24</v>
      </c>
      <c r="AE931" s="56" t="s">
        <v>5367</v>
      </c>
      <c r="AF931" s="56" t="s">
        <v>5588</v>
      </c>
      <c r="AH931" s="56" t="s">
        <v>3542</v>
      </c>
      <c r="AI931" s="56" t="s">
        <v>3723</v>
      </c>
    </row>
    <row r="932" spans="1:35" ht="33" customHeight="1">
      <c r="A932" s="56" t="s">
        <v>5592</v>
      </c>
      <c r="B932" s="57">
        <v>44362.450162037036</v>
      </c>
      <c r="C932" s="56" t="s">
        <v>3803</v>
      </c>
      <c r="D932" s="56" t="s">
        <v>3802</v>
      </c>
      <c r="E932" s="56" t="s">
        <v>5591</v>
      </c>
      <c r="F932" s="56" t="s">
        <v>5590</v>
      </c>
      <c r="G932" s="58" t="s">
        <v>1498</v>
      </c>
      <c r="H932" s="56">
        <v>1</v>
      </c>
      <c r="I932" s="56" t="s">
        <v>4016</v>
      </c>
      <c r="J932" s="56">
        <v>0</v>
      </c>
      <c r="K932" s="56">
        <v>0</v>
      </c>
      <c r="P932" s="56">
        <v>0</v>
      </c>
      <c r="S932" s="56">
        <v>0</v>
      </c>
      <c r="T932" s="56" t="s">
        <v>3562</v>
      </c>
      <c r="V932" s="56" t="s">
        <v>59</v>
      </c>
      <c r="W932" s="56" t="s">
        <v>3548</v>
      </c>
      <c r="X932" s="56" t="s">
        <v>39</v>
      </c>
      <c r="Y932" s="56" t="s">
        <v>5422</v>
      </c>
      <c r="Z932" s="56" t="s">
        <v>5589</v>
      </c>
      <c r="AC932" s="56" t="s">
        <v>3543</v>
      </c>
      <c r="AD932" s="56" t="s">
        <v>24</v>
      </c>
      <c r="AE932" s="56" t="s">
        <v>5367</v>
      </c>
      <c r="AF932" s="56" t="s">
        <v>5588</v>
      </c>
      <c r="AH932" s="56" t="s">
        <v>3542</v>
      </c>
      <c r="AI932" s="56" t="s">
        <v>3723</v>
      </c>
    </row>
    <row r="933" spans="1:35" ht="33" customHeight="1">
      <c r="A933" s="56" t="s">
        <v>5587</v>
      </c>
      <c r="B933" s="57">
        <v>44362.453298611108</v>
      </c>
      <c r="C933" s="56" t="s">
        <v>4512</v>
      </c>
      <c r="D933" s="56" t="s">
        <v>4511</v>
      </c>
      <c r="E933" s="56" t="s">
        <v>5586</v>
      </c>
      <c r="F933" s="56" t="s">
        <v>5585</v>
      </c>
      <c r="G933" s="58" t="s">
        <v>3968</v>
      </c>
      <c r="H933" s="56">
        <v>1</v>
      </c>
      <c r="I933" s="56" t="s">
        <v>3669</v>
      </c>
      <c r="J933" s="56">
        <v>897</v>
      </c>
      <c r="K933" s="56">
        <v>888</v>
      </c>
      <c r="L933" s="56">
        <v>1187</v>
      </c>
      <c r="M933" s="56">
        <v>0</v>
      </c>
      <c r="N933" s="56">
        <v>0</v>
      </c>
      <c r="O933" s="56">
        <v>100</v>
      </c>
      <c r="P933" s="56">
        <v>0</v>
      </c>
      <c r="Q933" s="56">
        <v>1087</v>
      </c>
      <c r="R933" s="56">
        <v>0</v>
      </c>
      <c r="S933" s="56">
        <v>0</v>
      </c>
      <c r="T933" s="56" t="s">
        <v>3562</v>
      </c>
      <c r="U933" s="56">
        <v>1087</v>
      </c>
      <c r="V933" s="56" t="s">
        <v>3549</v>
      </c>
      <c r="W933" s="56" t="s">
        <v>3548</v>
      </c>
      <c r="X933" s="56" t="s">
        <v>3547</v>
      </c>
      <c r="Z933" s="56" t="s">
        <v>3546</v>
      </c>
      <c r="AA933" s="56" t="s">
        <v>5584</v>
      </c>
      <c r="AB933" s="56" t="s">
        <v>5583</v>
      </c>
      <c r="AC933" s="56" t="s">
        <v>3543</v>
      </c>
      <c r="AD933" s="56" t="s">
        <v>24</v>
      </c>
      <c r="AE933" s="56" t="s">
        <v>4145</v>
      </c>
      <c r="AF933" s="56" t="s">
        <v>5582</v>
      </c>
      <c r="AH933" s="56" t="s">
        <v>3542</v>
      </c>
      <c r="AI933" s="56" t="s">
        <v>3723</v>
      </c>
    </row>
    <row r="934" spans="1:35" ht="33" customHeight="1">
      <c r="A934" s="56" t="s">
        <v>5587</v>
      </c>
      <c r="B934" s="57">
        <v>44362.453298611108</v>
      </c>
      <c r="C934" s="56" t="s">
        <v>4512</v>
      </c>
      <c r="D934" s="56" t="s">
        <v>4511</v>
      </c>
      <c r="E934" s="56" t="s">
        <v>5586</v>
      </c>
      <c r="F934" s="56" t="s">
        <v>5585</v>
      </c>
      <c r="G934" s="58" t="s">
        <v>3174</v>
      </c>
      <c r="H934" s="56">
        <v>1</v>
      </c>
      <c r="I934" s="56" t="s">
        <v>3791</v>
      </c>
      <c r="J934" s="56">
        <v>299</v>
      </c>
      <c r="K934" s="56">
        <v>299</v>
      </c>
      <c r="P934" s="56">
        <v>0</v>
      </c>
      <c r="S934" s="56">
        <v>0</v>
      </c>
      <c r="T934" s="56" t="s">
        <v>3562</v>
      </c>
      <c r="V934" s="56" t="s">
        <v>3549</v>
      </c>
      <c r="W934" s="56" t="s">
        <v>3548</v>
      </c>
      <c r="X934" s="56" t="s">
        <v>3547</v>
      </c>
      <c r="Z934" s="56" t="s">
        <v>3546</v>
      </c>
      <c r="AA934" s="56" t="s">
        <v>5584</v>
      </c>
      <c r="AB934" s="56" t="s">
        <v>5583</v>
      </c>
      <c r="AC934" s="56" t="s">
        <v>3543</v>
      </c>
      <c r="AD934" s="56" t="s">
        <v>24</v>
      </c>
      <c r="AE934" s="56" t="s">
        <v>4145</v>
      </c>
      <c r="AF934" s="56" t="s">
        <v>5582</v>
      </c>
      <c r="AH934" s="56" t="s">
        <v>3542</v>
      </c>
      <c r="AI934" s="56" t="s">
        <v>3723</v>
      </c>
    </row>
    <row r="935" spans="1:35" ht="33" customHeight="1">
      <c r="A935" s="56" t="s">
        <v>5587</v>
      </c>
      <c r="B935" s="57">
        <v>44362.453298611108</v>
      </c>
      <c r="C935" s="56" t="s">
        <v>4512</v>
      </c>
      <c r="D935" s="56" t="s">
        <v>4511</v>
      </c>
      <c r="E935" s="56" t="s">
        <v>5586</v>
      </c>
      <c r="F935" s="56" t="s">
        <v>5585</v>
      </c>
      <c r="G935" s="58" t="s">
        <v>3551</v>
      </c>
      <c r="H935" s="56">
        <v>1</v>
      </c>
      <c r="I935" s="56" t="s">
        <v>3550</v>
      </c>
      <c r="J935" s="56">
        <v>0</v>
      </c>
      <c r="K935" s="56">
        <v>0</v>
      </c>
      <c r="P935" s="56">
        <v>0</v>
      </c>
      <c r="S935" s="56">
        <v>0</v>
      </c>
      <c r="T935" s="56" t="s">
        <v>3562</v>
      </c>
      <c r="V935" s="56" t="s">
        <v>3549</v>
      </c>
      <c r="W935" s="56" t="s">
        <v>3548</v>
      </c>
      <c r="X935" s="56" t="s">
        <v>3547</v>
      </c>
      <c r="Z935" s="56" t="s">
        <v>3546</v>
      </c>
      <c r="AA935" s="56" t="s">
        <v>5584</v>
      </c>
      <c r="AB935" s="56" t="s">
        <v>5583</v>
      </c>
      <c r="AC935" s="56" t="s">
        <v>3543</v>
      </c>
      <c r="AD935" s="56" t="s">
        <v>24</v>
      </c>
      <c r="AE935" s="56" t="s">
        <v>4145</v>
      </c>
      <c r="AF935" s="56" t="s">
        <v>5582</v>
      </c>
      <c r="AH935" s="56" t="s">
        <v>3542</v>
      </c>
      <c r="AI935" s="56" t="s">
        <v>3723</v>
      </c>
    </row>
    <row r="936" spans="1:35" ht="33" customHeight="1">
      <c r="A936" s="56" t="s">
        <v>5587</v>
      </c>
      <c r="B936" s="57">
        <v>44362.453298611108</v>
      </c>
      <c r="C936" s="56" t="s">
        <v>4512</v>
      </c>
      <c r="D936" s="56" t="s">
        <v>4511</v>
      </c>
      <c r="E936" s="56" t="s">
        <v>5586</v>
      </c>
      <c r="F936" s="56" t="s">
        <v>5585</v>
      </c>
      <c r="G936" s="58" t="s">
        <v>1498</v>
      </c>
      <c r="H936" s="56">
        <v>1</v>
      </c>
      <c r="I936" s="56" t="s">
        <v>4016</v>
      </c>
      <c r="J936" s="56">
        <v>0</v>
      </c>
      <c r="K936" s="56">
        <v>0</v>
      </c>
      <c r="P936" s="56">
        <v>0</v>
      </c>
      <c r="S936" s="56">
        <v>0</v>
      </c>
      <c r="T936" s="56" t="s">
        <v>3562</v>
      </c>
      <c r="V936" s="56" t="s">
        <v>3549</v>
      </c>
      <c r="W936" s="56" t="s">
        <v>3548</v>
      </c>
      <c r="X936" s="56" t="s">
        <v>3547</v>
      </c>
      <c r="Z936" s="56" t="s">
        <v>3546</v>
      </c>
      <c r="AA936" s="56" t="s">
        <v>5584</v>
      </c>
      <c r="AB936" s="56" t="s">
        <v>5583</v>
      </c>
      <c r="AC936" s="56" t="s">
        <v>3543</v>
      </c>
      <c r="AD936" s="56" t="s">
        <v>24</v>
      </c>
      <c r="AE936" s="56" t="s">
        <v>4145</v>
      </c>
      <c r="AF936" s="56" t="s">
        <v>5582</v>
      </c>
      <c r="AH936" s="56" t="s">
        <v>3542</v>
      </c>
      <c r="AI936" s="56" t="s">
        <v>3723</v>
      </c>
    </row>
    <row r="937" spans="1:35" ht="33" customHeight="1">
      <c r="A937" s="56" t="s">
        <v>5581</v>
      </c>
      <c r="B937" s="57">
        <v>44362.469687500001</v>
      </c>
      <c r="C937" s="56" t="s">
        <v>3803</v>
      </c>
      <c r="D937" s="56" t="s">
        <v>3802</v>
      </c>
      <c r="E937" s="56" t="s">
        <v>5580</v>
      </c>
      <c r="F937" s="56" t="s">
        <v>5579</v>
      </c>
      <c r="G937" s="58" t="s">
        <v>3732</v>
      </c>
      <c r="H937" s="56">
        <v>1</v>
      </c>
      <c r="I937" s="56" t="s">
        <v>3731</v>
      </c>
      <c r="J937" s="56">
        <v>867</v>
      </c>
      <c r="K937" s="56">
        <v>550</v>
      </c>
      <c r="L937" s="56">
        <v>1558</v>
      </c>
      <c r="M937" s="56">
        <v>0</v>
      </c>
      <c r="N937" s="56">
        <v>31</v>
      </c>
      <c r="O937" s="56">
        <v>153</v>
      </c>
      <c r="P937" s="56">
        <v>0</v>
      </c>
      <c r="Q937" s="56">
        <v>1374</v>
      </c>
      <c r="R937" s="56">
        <v>0</v>
      </c>
      <c r="S937" s="56">
        <v>0</v>
      </c>
      <c r="T937" s="56" t="s">
        <v>3562</v>
      </c>
      <c r="U937" s="56">
        <v>1374</v>
      </c>
      <c r="V937" s="56" t="s">
        <v>3561</v>
      </c>
      <c r="W937" s="56" t="s">
        <v>3548</v>
      </c>
      <c r="X937" s="56" t="s">
        <v>39</v>
      </c>
      <c r="Y937" s="56" t="s">
        <v>4569</v>
      </c>
      <c r="Z937" s="56" t="s">
        <v>5578</v>
      </c>
      <c r="AC937" s="56" t="s">
        <v>3543</v>
      </c>
      <c r="AD937" s="56" t="s">
        <v>24</v>
      </c>
      <c r="AE937" s="56" t="s">
        <v>5367</v>
      </c>
      <c r="AF937" s="56" t="s">
        <v>5577</v>
      </c>
      <c r="AH937" s="56" t="s">
        <v>3542</v>
      </c>
      <c r="AI937" s="56" t="s">
        <v>3723</v>
      </c>
    </row>
    <row r="938" spans="1:35" ht="33" customHeight="1">
      <c r="A938" s="56" t="s">
        <v>5581</v>
      </c>
      <c r="B938" s="57">
        <v>44362.469687500001</v>
      </c>
      <c r="C938" s="56" t="s">
        <v>3803</v>
      </c>
      <c r="D938" s="56" t="s">
        <v>3802</v>
      </c>
      <c r="E938" s="56" t="s">
        <v>5580</v>
      </c>
      <c r="F938" s="56" t="s">
        <v>5579</v>
      </c>
      <c r="G938" s="58" t="s">
        <v>3811</v>
      </c>
      <c r="H938" s="56">
        <v>1</v>
      </c>
      <c r="I938" s="56" t="s">
        <v>3669</v>
      </c>
      <c r="J938" s="56">
        <v>897</v>
      </c>
      <c r="K938" s="56">
        <v>888</v>
      </c>
      <c r="P938" s="56">
        <v>0</v>
      </c>
      <c r="S938" s="56">
        <v>0</v>
      </c>
      <c r="T938" s="56" t="s">
        <v>3562</v>
      </c>
      <c r="V938" s="56" t="s">
        <v>3561</v>
      </c>
      <c r="W938" s="56" t="s">
        <v>3548</v>
      </c>
      <c r="X938" s="56" t="s">
        <v>39</v>
      </c>
      <c r="Y938" s="56" t="s">
        <v>4569</v>
      </c>
      <c r="Z938" s="56" t="s">
        <v>5578</v>
      </c>
      <c r="AC938" s="56" t="s">
        <v>3543</v>
      </c>
      <c r="AD938" s="56" t="s">
        <v>24</v>
      </c>
      <c r="AE938" s="56" t="s">
        <v>5367</v>
      </c>
      <c r="AF938" s="56" t="s">
        <v>5577</v>
      </c>
      <c r="AH938" s="56" t="s">
        <v>3542</v>
      </c>
      <c r="AI938" s="56" t="s">
        <v>3723</v>
      </c>
    </row>
    <row r="939" spans="1:35" ht="33" customHeight="1">
      <c r="A939" s="56" t="s">
        <v>5581</v>
      </c>
      <c r="B939" s="57">
        <v>44362.469687500001</v>
      </c>
      <c r="C939" s="56" t="s">
        <v>3803</v>
      </c>
      <c r="D939" s="56" t="s">
        <v>3802</v>
      </c>
      <c r="E939" s="56" t="s">
        <v>5580</v>
      </c>
      <c r="F939" s="56" t="s">
        <v>5579</v>
      </c>
      <c r="G939" s="58" t="s">
        <v>3196</v>
      </c>
      <c r="H939" s="56">
        <v>1</v>
      </c>
      <c r="I939" s="56" t="s">
        <v>2550</v>
      </c>
      <c r="J939" s="56">
        <v>120</v>
      </c>
      <c r="K939" s="56">
        <v>120</v>
      </c>
      <c r="P939" s="56">
        <v>0</v>
      </c>
      <c r="S939" s="56">
        <v>0</v>
      </c>
      <c r="T939" s="56" t="s">
        <v>3562</v>
      </c>
      <c r="V939" s="56" t="s">
        <v>3561</v>
      </c>
      <c r="W939" s="56" t="s">
        <v>3548</v>
      </c>
      <c r="X939" s="56" t="s">
        <v>39</v>
      </c>
      <c r="Y939" s="56" t="s">
        <v>4569</v>
      </c>
      <c r="Z939" s="56" t="s">
        <v>5578</v>
      </c>
      <c r="AC939" s="56" t="s">
        <v>3543</v>
      </c>
      <c r="AD939" s="56" t="s">
        <v>24</v>
      </c>
      <c r="AE939" s="56" t="s">
        <v>5367</v>
      </c>
      <c r="AF939" s="56" t="s">
        <v>5577</v>
      </c>
      <c r="AH939" s="56" t="s">
        <v>3542</v>
      </c>
      <c r="AI939" s="56" t="s">
        <v>3723</v>
      </c>
    </row>
    <row r="940" spans="1:35" ht="33" customHeight="1">
      <c r="A940" s="56" t="s">
        <v>5581</v>
      </c>
      <c r="B940" s="57">
        <v>44362.469687500001</v>
      </c>
      <c r="C940" s="56" t="s">
        <v>3803</v>
      </c>
      <c r="D940" s="56" t="s">
        <v>3802</v>
      </c>
      <c r="E940" s="56" t="s">
        <v>5580</v>
      </c>
      <c r="F940" s="56" t="s">
        <v>5579</v>
      </c>
      <c r="G940" s="58" t="s">
        <v>3551</v>
      </c>
      <c r="H940" s="56">
        <v>1</v>
      </c>
      <c r="I940" s="56" t="s">
        <v>3550</v>
      </c>
      <c r="J940" s="56">
        <v>0</v>
      </c>
      <c r="K940" s="56">
        <v>0</v>
      </c>
      <c r="P940" s="56">
        <v>0</v>
      </c>
      <c r="S940" s="56">
        <v>0</v>
      </c>
      <c r="T940" s="56" t="s">
        <v>3562</v>
      </c>
      <c r="V940" s="56" t="s">
        <v>3561</v>
      </c>
      <c r="W940" s="56" t="s">
        <v>3548</v>
      </c>
      <c r="X940" s="56" t="s">
        <v>39</v>
      </c>
      <c r="Y940" s="56" t="s">
        <v>4569</v>
      </c>
      <c r="Z940" s="56" t="s">
        <v>5578</v>
      </c>
      <c r="AC940" s="56" t="s">
        <v>3543</v>
      </c>
      <c r="AD940" s="56" t="s">
        <v>24</v>
      </c>
      <c r="AE940" s="56" t="s">
        <v>5367</v>
      </c>
      <c r="AF940" s="56" t="s">
        <v>5577</v>
      </c>
      <c r="AH940" s="56" t="s">
        <v>3542</v>
      </c>
      <c r="AI940" s="56" t="s">
        <v>3723</v>
      </c>
    </row>
    <row r="941" spans="1:35" ht="33" customHeight="1">
      <c r="A941" s="56" t="s">
        <v>5581</v>
      </c>
      <c r="B941" s="57">
        <v>44362.469687500001</v>
      </c>
      <c r="C941" s="56" t="s">
        <v>3803</v>
      </c>
      <c r="D941" s="56" t="s">
        <v>3802</v>
      </c>
      <c r="E941" s="56" t="s">
        <v>5580</v>
      </c>
      <c r="F941" s="56" t="s">
        <v>5579</v>
      </c>
      <c r="G941" s="58" t="s">
        <v>1713</v>
      </c>
      <c r="H941" s="56">
        <v>1</v>
      </c>
      <c r="I941" s="56" t="s">
        <v>3568</v>
      </c>
      <c r="J941" s="56">
        <v>0</v>
      </c>
      <c r="K941" s="56">
        <v>0</v>
      </c>
      <c r="P941" s="56">
        <v>0</v>
      </c>
      <c r="S941" s="56">
        <v>0</v>
      </c>
      <c r="T941" s="56" t="s">
        <v>3562</v>
      </c>
      <c r="V941" s="56" t="s">
        <v>3561</v>
      </c>
      <c r="W941" s="56" t="s">
        <v>3548</v>
      </c>
      <c r="X941" s="56" t="s">
        <v>39</v>
      </c>
      <c r="Y941" s="56" t="s">
        <v>4569</v>
      </c>
      <c r="Z941" s="56" t="s">
        <v>5578</v>
      </c>
      <c r="AC941" s="56" t="s">
        <v>3543</v>
      </c>
      <c r="AD941" s="56" t="s">
        <v>24</v>
      </c>
      <c r="AE941" s="56" t="s">
        <v>5367</v>
      </c>
      <c r="AF941" s="56" t="s">
        <v>5577</v>
      </c>
      <c r="AH941" s="56" t="s">
        <v>3542</v>
      </c>
      <c r="AI941" s="56" t="s">
        <v>3723</v>
      </c>
    </row>
    <row r="942" spans="1:35" ht="33" customHeight="1">
      <c r="A942" s="56" t="s">
        <v>5581</v>
      </c>
      <c r="B942" s="57">
        <v>44362.469687500001</v>
      </c>
      <c r="C942" s="56" t="s">
        <v>3803</v>
      </c>
      <c r="D942" s="56" t="s">
        <v>3802</v>
      </c>
      <c r="E942" s="56" t="s">
        <v>5580</v>
      </c>
      <c r="F942" s="56" t="s">
        <v>5579</v>
      </c>
      <c r="G942" s="58" t="s">
        <v>1498</v>
      </c>
      <c r="H942" s="56">
        <v>1</v>
      </c>
      <c r="I942" s="56" t="s">
        <v>4016</v>
      </c>
      <c r="J942" s="56">
        <v>0</v>
      </c>
      <c r="K942" s="56">
        <v>0</v>
      </c>
      <c r="P942" s="56">
        <v>0</v>
      </c>
      <c r="S942" s="56">
        <v>0</v>
      </c>
      <c r="T942" s="56" t="s">
        <v>3562</v>
      </c>
      <c r="V942" s="56" t="s">
        <v>3561</v>
      </c>
      <c r="W942" s="56" t="s">
        <v>3548</v>
      </c>
      <c r="X942" s="56" t="s">
        <v>39</v>
      </c>
      <c r="Y942" s="56" t="s">
        <v>4569</v>
      </c>
      <c r="Z942" s="56" t="s">
        <v>5578</v>
      </c>
      <c r="AC942" s="56" t="s">
        <v>3543</v>
      </c>
      <c r="AD942" s="56" t="s">
        <v>24</v>
      </c>
      <c r="AE942" s="56" t="s">
        <v>5367</v>
      </c>
      <c r="AF942" s="56" t="s">
        <v>5577</v>
      </c>
      <c r="AH942" s="56" t="s">
        <v>3542</v>
      </c>
      <c r="AI942" s="56" t="s">
        <v>3723</v>
      </c>
    </row>
    <row r="943" spans="1:35" ht="33" customHeight="1">
      <c r="A943" s="56" t="s">
        <v>5575</v>
      </c>
      <c r="B943" s="57">
        <v>44362.480150462965</v>
      </c>
      <c r="C943" s="56" t="s">
        <v>3803</v>
      </c>
      <c r="D943" s="56" t="s">
        <v>4426</v>
      </c>
      <c r="E943" s="56" t="s">
        <v>5574</v>
      </c>
      <c r="F943" s="56" t="s">
        <v>5573</v>
      </c>
      <c r="G943" s="58" t="s">
        <v>3578</v>
      </c>
      <c r="H943" s="56">
        <v>1</v>
      </c>
      <c r="I943" s="56" t="s">
        <v>3577</v>
      </c>
      <c r="J943" s="56">
        <v>700</v>
      </c>
      <c r="K943" s="56">
        <v>599</v>
      </c>
      <c r="L943" s="56">
        <v>1496</v>
      </c>
      <c r="M943" s="56">
        <v>0</v>
      </c>
      <c r="N943" s="56">
        <v>0</v>
      </c>
      <c r="O943" s="56">
        <v>111</v>
      </c>
      <c r="P943" s="56">
        <v>0</v>
      </c>
      <c r="Q943" s="56">
        <v>1385</v>
      </c>
      <c r="R943" s="56">
        <v>0</v>
      </c>
      <c r="S943" s="56">
        <v>0</v>
      </c>
      <c r="T943" s="56" t="s">
        <v>27</v>
      </c>
      <c r="U943" s="56">
        <v>1385</v>
      </c>
      <c r="V943" s="56" t="s">
        <v>3612</v>
      </c>
      <c r="W943" s="56" t="s">
        <v>3548</v>
      </c>
      <c r="X943" s="56" t="s">
        <v>3611</v>
      </c>
      <c r="Z943" s="56" t="s">
        <v>3546</v>
      </c>
      <c r="AA943" s="56" t="s">
        <v>5572</v>
      </c>
      <c r="AB943" s="56" t="s">
        <v>5571</v>
      </c>
      <c r="AC943" s="56" t="s">
        <v>3543</v>
      </c>
      <c r="AH943" s="56" t="s">
        <v>3542</v>
      </c>
      <c r="AI943" s="56" t="s">
        <v>3541</v>
      </c>
    </row>
    <row r="944" spans="1:35" ht="33" customHeight="1">
      <c r="A944" s="56" t="s">
        <v>5575</v>
      </c>
      <c r="B944" s="57">
        <v>44362.480150462965</v>
      </c>
      <c r="C944" s="56" t="s">
        <v>3803</v>
      </c>
      <c r="D944" s="56" t="s">
        <v>4426</v>
      </c>
      <c r="E944" s="56" t="s">
        <v>5574</v>
      </c>
      <c r="F944" s="56" t="s">
        <v>5573</v>
      </c>
      <c r="G944" s="58" t="s">
        <v>1713</v>
      </c>
      <c r="H944" s="56">
        <v>2</v>
      </c>
      <c r="I944" s="56" t="s">
        <v>3587</v>
      </c>
      <c r="J944" s="56">
        <v>149</v>
      </c>
      <c r="K944" s="56">
        <v>149</v>
      </c>
      <c r="P944" s="56">
        <v>0</v>
      </c>
      <c r="S944" s="56">
        <v>0</v>
      </c>
      <c r="T944" s="56" t="s">
        <v>27</v>
      </c>
      <c r="V944" s="56" t="s">
        <v>3612</v>
      </c>
      <c r="W944" s="56" t="s">
        <v>3548</v>
      </c>
      <c r="X944" s="56" t="s">
        <v>3611</v>
      </c>
      <c r="Z944" s="56" t="s">
        <v>3546</v>
      </c>
      <c r="AA944" s="56" t="s">
        <v>5572</v>
      </c>
      <c r="AB944" s="56" t="s">
        <v>5571</v>
      </c>
      <c r="AC944" s="56" t="s">
        <v>3543</v>
      </c>
      <c r="AH944" s="56" t="s">
        <v>3542</v>
      </c>
      <c r="AI944" s="56" t="s">
        <v>3541</v>
      </c>
    </row>
    <row r="945" spans="1:35" ht="33" customHeight="1">
      <c r="A945" s="56" t="s">
        <v>5575</v>
      </c>
      <c r="B945" s="57">
        <v>44362.480150462965</v>
      </c>
      <c r="C945" s="56" t="s">
        <v>3803</v>
      </c>
      <c r="D945" s="56" t="s">
        <v>4426</v>
      </c>
      <c r="E945" s="56" t="s">
        <v>5574</v>
      </c>
      <c r="F945" s="56" t="s">
        <v>5573</v>
      </c>
      <c r="G945" s="58" t="s">
        <v>5576</v>
      </c>
      <c r="H945" s="56">
        <v>1</v>
      </c>
      <c r="I945" s="56" t="s">
        <v>3577</v>
      </c>
      <c r="J945" s="56">
        <v>700</v>
      </c>
      <c r="K945" s="56">
        <v>599</v>
      </c>
      <c r="P945" s="56">
        <v>0</v>
      </c>
      <c r="S945" s="56">
        <v>0</v>
      </c>
      <c r="T945" s="56" t="s">
        <v>27</v>
      </c>
      <c r="V945" s="56" t="s">
        <v>3612</v>
      </c>
      <c r="W945" s="56" t="s">
        <v>3548</v>
      </c>
      <c r="X945" s="56" t="s">
        <v>3611</v>
      </c>
      <c r="Z945" s="56" t="s">
        <v>3546</v>
      </c>
      <c r="AA945" s="56" t="s">
        <v>5572</v>
      </c>
      <c r="AB945" s="56" t="s">
        <v>5571</v>
      </c>
      <c r="AC945" s="56" t="s">
        <v>3543</v>
      </c>
      <c r="AH945" s="56" t="s">
        <v>3542</v>
      </c>
      <c r="AI945" s="56" t="s">
        <v>3541</v>
      </c>
    </row>
    <row r="946" spans="1:35" ht="33" customHeight="1">
      <c r="A946" s="56" t="s">
        <v>5575</v>
      </c>
      <c r="B946" s="57">
        <v>44362.480150462965</v>
      </c>
      <c r="C946" s="56" t="s">
        <v>3803</v>
      </c>
      <c r="D946" s="56" t="s">
        <v>4426</v>
      </c>
      <c r="E946" s="56" t="s">
        <v>5574</v>
      </c>
      <c r="F946" s="56" t="s">
        <v>5573</v>
      </c>
      <c r="G946" s="58" t="s">
        <v>3551</v>
      </c>
      <c r="H946" s="56">
        <v>1</v>
      </c>
      <c r="I946" s="56" t="s">
        <v>3550</v>
      </c>
      <c r="J946" s="56">
        <v>0</v>
      </c>
      <c r="K946" s="56">
        <v>0</v>
      </c>
      <c r="P946" s="56">
        <v>0</v>
      </c>
      <c r="S946" s="56">
        <v>0</v>
      </c>
      <c r="T946" s="56" t="s">
        <v>27</v>
      </c>
      <c r="V946" s="56" t="s">
        <v>3612</v>
      </c>
      <c r="W946" s="56" t="s">
        <v>3548</v>
      </c>
      <c r="X946" s="56" t="s">
        <v>3611</v>
      </c>
      <c r="Z946" s="56" t="s">
        <v>3546</v>
      </c>
      <c r="AA946" s="56" t="s">
        <v>5572</v>
      </c>
      <c r="AB946" s="56" t="s">
        <v>5571</v>
      </c>
      <c r="AC946" s="56" t="s">
        <v>3543</v>
      </c>
      <c r="AH946" s="56" t="s">
        <v>3542</v>
      </c>
      <c r="AI946" s="56" t="s">
        <v>3541</v>
      </c>
    </row>
    <row r="947" spans="1:35" ht="33" customHeight="1">
      <c r="A947" s="56" t="s">
        <v>5575</v>
      </c>
      <c r="B947" s="57">
        <v>44362.480150462965</v>
      </c>
      <c r="C947" s="56" t="s">
        <v>3803</v>
      </c>
      <c r="D947" s="56" t="s">
        <v>4426</v>
      </c>
      <c r="E947" s="56" t="s">
        <v>5574</v>
      </c>
      <c r="F947" s="56" t="s">
        <v>5573</v>
      </c>
      <c r="G947" s="58" t="s">
        <v>1498</v>
      </c>
      <c r="H947" s="56">
        <v>1</v>
      </c>
      <c r="I947" s="56" t="s">
        <v>4016</v>
      </c>
      <c r="J947" s="56">
        <v>0</v>
      </c>
      <c r="K947" s="56">
        <v>0</v>
      </c>
      <c r="P947" s="56">
        <v>0</v>
      </c>
      <c r="S947" s="56">
        <v>0</v>
      </c>
      <c r="T947" s="56" t="s">
        <v>27</v>
      </c>
      <c r="V947" s="56" t="s">
        <v>3612</v>
      </c>
      <c r="W947" s="56" t="s">
        <v>3548</v>
      </c>
      <c r="X947" s="56" t="s">
        <v>3611</v>
      </c>
      <c r="Z947" s="56" t="s">
        <v>3546</v>
      </c>
      <c r="AA947" s="56" t="s">
        <v>5572</v>
      </c>
      <c r="AB947" s="56" t="s">
        <v>5571</v>
      </c>
      <c r="AC947" s="56" t="s">
        <v>3543</v>
      </c>
      <c r="AH947" s="56" t="s">
        <v>3542</v>
      </c>
      <c r="AI947" s="56" t="s">
        <v>3541</v>
      </c>
    </row>
    <row r="948" spans="1:35" ht="33" customHeight="1">
      <c r="A948" s="56" t="s">
        <v>5570</v>
      </c>
      <c r="B948" s="57">
        <v>44362.485381944447</v>
      </c>
      <c r="C948" s="56" t="s">
        <v>3803</v>
      </c>
      <c r="D948" s="56" t="s">
        <v>3802</v>
      </c>
      <c r="E948" s="56" t="s">
        <v>5569</v>
      </c>
      <c r="F948" s="56" t="s">
        <v>5568</v>
      </c>
      <c r="G948" s="58" t="s">
        <v>3968</v>
      </c>
      <c r="H948" s="56">
        <v>1</v>
      </c>
      <c r="I948" s="56" t="s">
        <v>3669</v>
      </c>
      <c r="J948" s="56">
        <v>897</v>
      </c>
      <c r="K948" s="56">
        <v>888</v>
      </c>
      <c r="L948" s="56">
        <v>2126</v>
      </c>
      <c r="M948" s="56">
        <v>0</v>
      </c>
      <c r="N948" s="56">
        <v>43</v>
      </c>
      <c r="O948" s="56">
        <v>209</v>
      </c>
      <c r="P948" s="56">
        <v>0</v>
      </c>
      <c r="Q948" s="56">
        <v>1874</v>
      </c>
      <c r="R948" s="56">
        <v>0</v>
      </c>
      <c r="S948" s="56">
        <v>0</v>
      </c>
      <c r="T948" s="56" t="s">
        <v>3562</v>
      </c>
      <c r="U948" s="56">
        <v>1874</v>
      </c>
      <c r="V948" s="56" t="s">
        <v>3865</v>
      </c>
      <c r="W948" s="56" t="s">
        <v>3548</v>
      </c>
      <c r="X948" s="56" t="s">
        <v>39</v>
      </c>
      <c r="Y948" s="56" t="s">
        <v>5567</v>
      </c>
      <c r="Z948" s="56" t="s">
        <v>5566</v>
      </c>
      <c r="AC948" s="56" t="s">
        <v>3543</v>
      </c>
      <c r="AD948" s="56" t="s">
        <v>24</v>
      </c>
      <c r="AE948" s="56" t="s">
        <v>5127</v>
      </c>
      <c r="AF948" s="56" t="s">
        <v>5565</v>
      </c>
      <c r="AH948" s="56" t="s">
        <v>3542</v>
      </c>
      <c r="AI948" s="56" t="s">
        <v>3723</v>
      </c>
    </row>
    <row r="949" spans="1:35" ht="33" customHeight="1">
      <c r="A949" s="56" t="s">
        <v>5570</v>
      </c>
      <c r="B949" s="57">
        <v>44362.485381944447</v>
      </c>
      <c r="C949" s="56" t="s">
        <v>3803</v>
      </c>
      <c r="D949" s="56" t="s">
        <v>3802</v>
      </c>
      <c r="E949" s="56" t="s">
        <v>5569</v>
      </c>
      <c r="F949" s="56" t="s">
        <v>5568</v>
      </c>
      <c r="G949" s="58" t="s">
        <v>3811</v>
      </c>
      <c r="H949" s="56">
        <v>1</v>
      </c>
      <c r="I949" s="56" t="s">
        <v>3669</v>
      </c>
      <c r="J949" s="56">
        <v>897</v>
      </c>
      <c r="K949" s="56">
        <v>888</v>
      </c>
      <c r="P949" s="56">
        <v>0</v>
      </c>
      <c r="S949" s="56">
        <v>0</v>
      </c>
      <c r="T949" s="56" t="s">
        <v>3562</v>
      </c>
      <c r="V949" s="56" t="s">
        <v>3865</v>
      </c>
      <c r="W949" s="56" t="s">
        <v>3548</v>
      </c>
      <c r="X949" s="56" t="s">
        <v>39</v>
      </c>
      <c r="Y949" s="56" t="s">
        <v>5567</v>
      </c>
      <c r="Z949" s="56" t="s">
        <v>5566</v>
      </c>
      <c r="AC949" s="56" t="s">
        <v>3543</v>
      </c>
      <c r="AD949" s="56" t="s">
        <v>24</v>
      </c>
      <c r="AE949" s="56" t="s">
        <v>5127</v>
      </c>
      <c r="AF949" s="56" t="s">
        <v>5565</v>
      </c>
      <c r="AH949" s="56" t="s">
        <v>3542</v>
      </c>
      <c r="AI949" s="56" t="s">
        <v>3723</v>
      </c>
    </row>
    <row r="950" spans="1:35" ht="33" customHeight="1">
      <c r="A950" s="56" t="s">
        <v>5570</v>
      </c>
      <c r="B950" s="57">
        <v>44362.485381944447</v>
      </c>
      <c r="C950" s="56" t="s">
        <v>3803</v>
      </c>
      <c r="D950" s="56" t="s">
        <v>3802</v>
      </c>
      <c r="E950" s="56" t="s">
        <v>5569</v>
      </c>
      <c r="F950" s="56" t="s">
        <v>5568</v>
      </c>
      <c r="G950" s="58" t="s">
        <v>2171</v>
      </c>
      <c r="H950" s="56">
        <v>1</v>
      </c>
      <c r="I950" s="56" t="s">
        <v>3762</v>
      </c>
      <c r="J950" s="56">
        <v>350</v>
      </c>
      <c r="K950" s="56">
        <v>350</v>
      </c>
      <c r="P950" s="56">
        <v>0</v>
      </c>
      <c r="S950" s="56">
        <v>0</v>
      </c>
      <c r="T950" s="56" t="s">
        <v>3562</v>
      </c>
      <c r="V950" s="56" t="s">
        <v>3865</v>
      </c>
      <c r="W950" s="56" t="s">
        <v>3548</v>
      </c>
      <c r="X950" s="56" t="s">
        <v>39</v>
      </c>
      <c r="Y950" s="56" t="s">
        <v>5567</v>
      </c>
      <c r="Z950" s="56" t="s">
        <v>5566</v>
      </c>
      <c r="AC950" s="56" t="s">
        <v>3543</v>
      </c>
      <c r="AD950" s="56" t="s">
        <v>24</v>
      </c>
      <c r="AE950" s="56" t="s">
        <v>5127</v>
      </c>
      <c r="AF950" s="56" t="s">
        <v>5565</v>
      </c>
      <c r="AH950" s="56" t="s">
        <v>3542</v>
      </c>
      <c r="AI950" s="56" t="s">
        <v>3723</v>
      </c>
    </row>
    <row r="951" spans="1:35" ht="33" customHeight="1">
      <c r="A951" s="56" t="s">
        <v>5570</v>
      </c>
      <c r="B951" s="57">
        <v>44362.485381944447</v>
      </c>
      <c r="C951" s="56" t="s">
        <v>3803</v>
      </c>
      <c r="D951" s="56" t="s">
        <v>3802</v>
      </c>
      <c r="E951" s="56" t="s">
        <v>5569</v>
      </c>
      <c r="F951" s="56" t="s">
        <v>5568</v>
      </c>
      <c r="G951" s="58" t="s">
        <v>3551</v>
      </c>
      <c r="H951" s="56">
        <v>1</v>
      </c>
      <c r="I951" s="56" t="s">
        <v>3550</v>
      </c>
      <c r="J951" s="56">
        <v>0</v>
      </c>
      <c r="K951" s="56">
        <v>0</v>
      </c>
      <c r="P951" s="56">
        <v>0</v>
      </c>
      <c r="S951" s="56">
        <v>0</v>
      </c>
      <c r="T951" s="56" t="s">
        <v>3562</v>
      </c>
      <c r="V951" s="56" t="s">
        <v>3865</v>
      </c>
      <c r="W951" s="56" t="s">
        <v>3548</v>
      </c>
      <c r="X951" s="56" t="s">
        <v>39</v>
      </c>
      <c r="Y951" s="56" t="s">
        <v>5567</v>
      </c>
      <c r="Z951" s="56" t="s">
        <v>5566</v>
      </c>
      <c r="AC951" s="56" t="s">
        <v>3543</v>
      </c>
      <c r="AD951" s="56" t="s">
        <v>24</v>
      </c>
      <c r="AE951" s="56" t="s">
        <v>5127</v>
      </c>
      <c r="AF951" s="56" t="s">
        <v>5565</v>
      </c>
      <c r="AH951" s="56" t="s">
        <v>3542</v>
      </c>
      <c r="AI951" s="56" t="s">
        <v>3723</v>
      </c>
    </row>
    <row r="952" spans="1:35" ht="33" customHeight="1">
      <c r="A952" s="56" t="s">
        <v>5570</v>
      </c>
      <c r="B952" s="57">
        <v>44362.485381944447</v>
      </c>
      <c r="C952" s="56" t="s">
        <v>3803</v>
      </c>
      <c r="D952" s="56" t="s">
        <v>3802</v>
      </c>
      <c r="E952" s="56" t="s">
        <v>5569</v>
      </c>
      <c r="F952" s="56" t="s">
        <v>5568</v>
      </c>
      <c r="G952" s="58" t="s">
        <v>1713</v>
      </c>
      <c r="H952" s="56">
        <v>1</v>
      </c>
      <c r="I952" s="56" t="s">
        <v>3568</v>
      </c>
      <c r="J952" s="56">
        <v>0</v>
      </c>
      <c r="K952" s="56">
        <v>0</v>
      </c>
      <c r="P952" s="56">
        <v>0</v>
      </c>
      <c r="S952" s="56">
        <v>0</v>
      </c>
      <c r="T952" s="56" t="s">
        <v>3562</v>
      </c>
      <c r="V952" s="56" t="s">
        <v>3865</v>
      </c>
      <c r="W952" s="56" t="s">
        <v>3548</v>
      </c>
      <c r="X952" s="56" t="s">
        <v>39</v>
      </c>
      <c r="Y952" s="56" t="s">
        <v>5567</v>
      </c>
      <c r="Z952" s="56" t="s">
        <v>5566</v>
      </c>
      <c r="AC952" s="56" t="s">
        <v>3543</v>
      </c>
      <c r="AD952" s="56" t="s">
        <v>24</v>
      </c>
      <c r="AE952" s="56" t="s">
        <v>5127</v>
      </c>
      <c r="AF952" s="56" t="s">
        <v>5565</v>
      </c>
      <c r="AH952" s="56" t="s">
        <v>3542</v>
      </c>
      <c r="AI952" s="56" t="s">
        <v>3723</v>
      </c>
    </row>
    <row r="953" spans="1:35" ht="33" customHeight="1">
      <c r="A953" s="56" t="s">
        <v>5570</v>
      </c>
      <c r="B953" s="57">
        <v>44362.485381944447</v>
      </c>
      <c r="C953" s="56" t="s">
        <v>3803</v>
      </c>
      <c r="D953" s="56" t="s">
        <v>3802</v>
      </c>
      <c r="E953" s="56" t="s">
        <v>5569</v>
      </c>
      <c r="F953" s="56" t="s">
        <v>5568</v>
      </c>
      <c r="G953" s="58" t="s">
        <v>1498</v>
      </c>
      <c r="H953" s="56">
        <v>1</v>
      </c>
      <c r="I953" s="56" t="s">
        <v>4016</v>
      </c>
      <c r="J953" s="56">
        <v>0</v>
      </c>
      <c r="K953" s="56">
        <v>0</v>
      </c>
      <c r="P953" s="56">
        <v>0</v>
      </c>
      <c r="S953" s="56">
        <v>0</v>
      </c>
      <c r="T953" s="56" t="s">
        <v>3562</v>
      </c>
      <c r="V953" s="56" t="s">
        <v>3865</v>
      </c>
      <c r="W953" s="56" t="s">
        <v>3548</v>
      </c>
      <c r="X953" s="56" t="s">
        <v>39</v>
      </c>
      <c r="Y953" s="56" t="s">
        <v>5567</v>
      </c>
      <c r="Z953" s="56" t="s">
        <v>5566</v>
      </c>
      <c r="AC953" s="56" t="s">
        <v>3543</v>
      </c>
      <c r="AD953" s="56" t="s">
        <v>24</v>
      </c>
      <c r="AE953" s="56" t="s">
        <v>5127</v>
      </c>
      <c r="AF953" s="56" t="s">
        <v>5565</v>
      </c>
      <c r="AH953" s="56" t="s">
        <v>3542</v>
      </c>
      <c r="AI953" s="56" t="s">
        <v>3723</v>
      </c>
    </row>
    <row r="954" spans="1:35" ht="33" customHeight="1">
      <c r="A954" s="56" t="s">
        <v>5570</v>
      </c>
      <c r="B954" s="57">
        <v>44362.485381944447</v>
      </c>
      <c r="C954" s="56" t="s">
        <v>3803</v>
      </c>
      <c r="D954" s="56" t="s">
        <v>3802</v>
      </c>
      <c r="E954" s="56" t="s">
        <v>5569</v>
      </c>
      <c r="F954" s="56" t="s">
        <v>5568</v>
      </c>
      <c r="G954" s="58" t="s">
        <v>3564</v>
      </c>
      <c r="H954" s="56">
        <v>1</v>
      </c>
      <c r="I954" s="56" t="s">
        <v>3563</v>
      </c>
      <c r="J954" s="56">
        <v>0</v>
      </c>
      <c r="K954" s="56">
        <v>0</v>
      </c>
      <c r="P954" s="56">
        <v>0</v>
      </c>
      <c r="S954" s="56">
        <v>0</v>
      </c>
      <c r="T954" s="56" t="s">
        <v>3562</v>
      </c>
      <c r="V954" s="56" t="s">
        <v>3865</v>
      </c>
      <c r="W954" s="56" t="s">
        <v>3548</v>
      </c>
      <c r="X954" s="56" t="s">
        <v>39</v>
      </c>
      <c r="Y954" s="56" t="s">
        <v>5567</v>
      </c>
      <c r="Z954" s="56" t="s">
        <v>5566</v>
      </c>
      <c r="AC954" s="56" t="s">
        <v>3543</v>
      </c>
      <c r="AD954" s="56" t="s">
        <v>24</v>
      </c>
      <c r="AE954" s="56" t="s">
        <v>5127</v>
      </c>
      <c r="AF954" s="56" t="s">
        <v>5565</v>
      </c>
      <c r="AH954" s="56" t="s">
        <v>3542</v>
      </c>
      <c r="AI954" s="56" t="s">
        <v>3723</v>
      </c>
    </row>
    <row r="955" spans="1:35" ht="33" customHeight="1">
      <c r="A955" s="56" t="s">
        <v>5564</v>
      </c>
      <c r="B955" s="57">
        <v>44362.495497685188</v>
      </c>
      <c r="C955" s="56" t="s">
        <v>3803</v>
      </c>
      <c r="D955" s="56" t="s">
        <v>3802</v>
      </c>
      <c r="E955" s="56" t="s">
        <v>5563</v>
      </c>
      <c r="F955" s="56" t="s">
        <v>5562</v>
      </c>
      <c r="G955" s="58" t="s">
        <v>3681</v>
      </c>
      <c r="H955" s="56">
        <v>1</v>
      </c>
      <c r="I955" s="56" t="s">
        <v>3569</v>
      </c>
      <c r="J955" s="56">
        <v>894</v>
      </c>
      <c r="K955" s="56">
        <v>750</v>
      </c>
      <c r="L955" s="56">
        <v>1549</v>
      </c>
      <c r="M955" s="56">
        <v>0</v>
      </c>
      <c r="N955" s="56">
        <v>0</v>
      </c>
      <c r="O955" s="56">
        <v>100</v>
      </c>
      <c r="P955" s="56">
        <v>0</v>
      </c>
      <c r="Q955" s="56">
        <v>1449</v>
      </c>
      <c r="R955" s="56">
        <v>0</v>
      </c>
      <c r="S955" s="56">
        <v>0</v>
      </c>
      <c r="T955" s="56" t="s">
        <v>3562</v>
      </c>
      <c r="U955" s="56">
        <v>1449</v>
      </c>
      <c r="V955" s="56" t="s">
        <v>3865</v>
      </c>
      <c r="W955" s="56" t="s">
        <v>3548</v>
      </c>
      <c r="X955" s="56" t="s">
        <v>39</v>
      </c>
      <c r="Y955" s="56" t="s">
        <v>5561</v>
      </c>
      <c r="Z955" s="56" t="s">
        <v>5560</v>
      </c>
      <c r="AC955" s="56" t="s">
        <v>3543</v>
      </c>
      <c r="AD955" s="56" t="s">
        <v>24</v>
      </c>
      <c r="AE955" s="56" t="s">
        <v>4834</v>
      </c>
      <c r="AF955" s="56" t="s">
        <v>5559</v>
      </c>
      <c r="AH955" s="56" t="s">
        <v>3542</v>
      </c>
      <c r="AI955" s="56" t="s">
        <v>3723</v>
      </c>
    </row>
    <row r="956" spans="1:35" ht="33" customHeight="1">
      <c r="A956" s="56" t="s">
        <v>5564</v>
      </c>
      <c r="B956" s="57">
        <v>44362.495497685188</v>
      </c>
      <c r="C956" s="56" t="s">
        <v>3803</v>
      </c>
      <c r="D956" s="56" t="s">
        <v>3802</v>
      </c>
      <c r="E956" s="56" t="s">
        <v>5563</v>
      </c>
      <c r="F956" s="56" t="s">
        <v>5562</v>
      </c>
      <c r="G956" s="58" t="s">
        <v>3656</v>
      </c>
      <c r="H956" s="56">
        <v>1</v>
      </c>
      <c r="I956" s="56" t="s">
        <v>3655</v>
      </c>
      <c r="J956" s="56">
        <v>1107</v>
      </c>
      <c r="K956" s="56">
        <v>799</v>
      </c>
      <c r="P956" s="56">
        <v>0</v>
      </c>
      <c r="S956" s="56">
        <v>0</v>
      </c>
      <c r="T956" s="56" t="s">
        <v>3562</v>
      </c>
      <c r="V956" s="56" t="s">
        <v>3865</v>
      </c>
      <c r="W956" s="56" t="s">
        <v>3548</v>
      </c>
      <c r="X956" s="56" t="s">
        <v>39</v>
      </c>
      <c r="Y956" s="56" t="s">
        <v>5561</v>
      </c>
      <c r="Z956" s="56" t="s">
        <v>5560</v>
      </c>
      <c r="AC956" s="56" t="s">
        <v>3543</v>
      </c>
      <c r="AD956" s="56" t="s">
        <v>24</v>
      </c>
      <c r="AE956" s="56" t="s">
        <v>4834</v>
      </c>
      <c r="AF956" s="56" t="s">
        <v>5559</v>
      </c>
      <c r="AH956" s="56" t="s">
        <v>3542</v>
      </c>
      <c r="AI956" s="56" t="s">
        <v>3723</v>
      </c>
    </row>
    <row r="957" spans="1:35" ht="33" customHeight="1">
      <c r="A957" s="56" t="s">
        <v>5564</v>
      </c>
      <c r="B957" s="57">
        <v>44362.495497685188</v>
      </c>
      <c r="C957" s="56" t="s">
        <v>3803</v>
      </c>
      <c r="D957" s="56" t="s">
        <v>3802</v>
      </c>
      <c r="E957" s="56" t="s">
        <v>5563</v>
      </c>
      <c r="F957" s="56" t="s">
        <v>5562</v>
      </c>
      <c r="G957" s="58" t="s">
        <v>3551</v>
      </c>
      <c r="H957" s="56">
        <v>1</v>
      </c>
      <c r="I957" s="56" t="s">
        <v>3550</v>
      </c>
      <c r="J957" s="56">
        <v>0</v>
      </c>
      <c r="K957" s="56">
        <v>0</v>
      </c>
      <c r="P957" s="56">
        <v>0</v>
      </c>
      <c r="S957" s="56">
        <v>0</v>
      </c>
      <c r="T957" s="56" t="s">
        <v>3562</v>
      </c>
      <c r="V957" s="56" t="s">
        <v>3865</v>
      </c>
      <c r="W957" s="56" t="s">
        <v>3548</v>
      </c>
      <c r="X957" s="56" t="s">
        <v>39</v>
      </c>
      <c r="Y957" s="56" t="s">
        <v>5561</v>
      </c>
      <c r="Z957" s="56" t="s">
        <v>5560</v>
      </c>
      <c r="AC957" s="56" t="s">
        <v>3543</v>
      </c>
      <c r="AD957" s="56" t="s">
        <v>24</v>
      </c>
      <c r="AE957" s="56" t="s">
        <v>4834</v>
      </c>
      <c r="AF957" s="56" t="s">
        <v>5559</v>
      </c>
      <c r="AH957" s="56" t="s">
        <v>3542</v>
      </c>
      <c r="AI957" s="56" t="s">
        <v>3723</v>
      </c>
    </row>
    <row r="958" spans="1:35" ht="33" customHeight="1">
      <c r="A958" s="56" t="s">
        <v>5564</v>
      </c>
      <c r="B958" s="57">
        <v>44362.495497685188</v>
      </c>
      <c r="C958" s="56" t="s">
        <v>3803</v>
      </c>
      <c r="D958" s="56" t="s">
        <v>3802</v>
      </c>
      <c r="E958" s="56" t="s">
        <v>5563</v>
      </c>
      <c r="F958" s="56" t="s">
        <v>5562</v>
      </c>
      <c r="G958" s="58" t="s">
        <v>1713</v>
      </c>
      <c r="H958" s="56">
        <v>1</v>
      </c>
      <c r="I958" s="56" t="s">
        <v>3568</v>
      </c>
      <c r="J958" s="56">
        <v>0</v>
      </c>
      <c r="K958" s="56">
        <v>0</v>
      </c>
      <c r="P958" s="56">
        <v>0</v>
      </c>
      <c r="S958" s="56">
        <v>0</v>
      </c>
      <c r="T958" s="56" t="s">
        <v>3562</v>
      </c>
      <c r="V958" s="56" t="s">
        <v>3865</v>
      </c>
      <c r="W958" s="56" t="s">
        <v>3548</v>
      </c>
      <c r="X958" s="56" t="s">
        <v>39</v>
      </c>
      <c r="Y958" s="56" t="s">
        <v>5561</v>
      </c>
      <c r="Z958" s="56" t="s">
        <v>5560</v>
      </c>
      <c r="AC958" s="56" t="s">
        <v>3543</v>
      </c>
      <c r="AD958" s="56" t="s">
        <v>24</v>
      </c>
      <c r="AE958" s="56" t="s">
        <v>4834</v>
      </c>
      <c r="AF958" s="56" t="s">
        <v>5559</v>
      </c>
      <c r="AH958" s="56" t="s">
        <v>3542</v>
      </c>
      <c r="AI958" s="56" t="s">
        <v>3723</v>
      </c>
    </row>
    <row r="959" spans="1:35" ht="33" customHeight="1">
      <c r="A959" s="56" t="s">
        <v>5564</v>
      </c>
      <c r="B959" s="57">
        <v>44362.495497685188</v>
      </c>
      <c r="C959" s="56" t="s">
        <v>3803</v>
      </c>
      <c r="D959" s="56" t="s">
        <v>3802</v>
      </c>
      <c r="E959" s="56" t="s">
        <v>5563</v>
      </c>
      <c r="F959" s="56" t="s">
        <v>5562</v>
      </c>
      <c r="G959" s="58" t="s">
        <v>1498</v>
      </c>
      <c r="H959" s="56">
        <v>1</v>
      </c>
      <c r="I959" s="56" t="s">
        <v>4016</v>
      </c>
      <c r="J959" s="56">
        <v>0</v>
      </c>
      <c r="K959" s="56">
        <v>0</v>
      </c>
      <c r="P959" s="56">
        <v>0</v>
      </c>
      <c r="S959" s="56">
        <v>0</v>
      </c>
      <c r="T959" s="56" t="s">
        <v>3562</v>
      </c>
      <c r="V959" s="56" t="s">
        <v>3865</v>
      </c>
      <c r="W959" s="56" t="s">
        <v>3548</v>
      </c>
      <c r="X959" s="56" t="s">
        <v>39</v>
      </c>
      <c r="Y959" s="56" t="s">
        <v>5561</v>
      </c>
      <c r="Z959" s="56" t="s">
        <v>5560</v>
      </c>
      <c r="AC959" s="56" t="s">
        <v>3543</v>
      </c>
      <c r="AD959" s="56" t="s">
        <v>24</v>
      </c>
      <c r="AE959" s="56" t="s">
        <v>4834</v>
      </c>
      <c r="AF959" s="56" t="s">
        <v>5559</v>
      </c>
      <c r="AH959" s="56" t="s">
        <v>3542</v>
      </c>
      <c r="AI959" s="56" t="s">
        <v>3723</v>
      </c>
    </row>
    <row r="960" spans="1:35" ht="33" customHeight="1">
      <c r="A960" s="56" t="s">
        <v>5558</v>
      </c>
      <c r="B960" s="57">
        <v>44362.519548611112</v>
      </c>
      <c r="C960" s="56" t="s">
        <v>3803</v>
      </c>
      <c r="D960" s="56" t="s">
        <v>3802</v>
      </c>
      <c r="E960" s="56" t="s">
        <v>5557</v>
      </c>
      <c r="F960" s="56" t="s">
        <v>5556</v>
      </c>
      <c r="G960" s="58" t="s">
        <v>3747</v>
      </c>
      <c r="H960" s="56">
        <v>1</v>
      </c>
      <c r="I960" s="56" t="s">
        <v>3746</v>
      </c>
      <c r="J960" s="56">
        <v>660</v>
      </c>
      <c r="K960" s="56">
        <v>450</v>
      </c>
      <c r="L960" s="56">
        <v>960</v>
      </c>
      <c r="M960" s="56">
        <v>0</v>
      </c>
      <c r="N960" s="56">
        <v>0</v>
      </c>
      <c r="O960" s="56">
        <v>0</v>
      </c>
      <c r="P960" s="56">
        <v>0</v>
      </c>
      <c r="Q960" s="56">
        <v>960</v>
      </c>
      <c r="R960" s="56">
        <v>0</v>
      </c>
      <c r="S960" s="56">
        <v>0</v>
      </c>
      <c r="T960" s="56" t="s">
        <v>3562</v>
      </c>
      <c r="U960" s="56">
        <v>960</v>
      </c>
      <c r="V960" s="56" t="s">
        <v>3865</v>
      </c>
      <c r="W960" s="56" t="s">
        <v>3548</v>
      </c>
      <c r="X960" s="56" t="s">
        <v>39</v>
      </c>
      <c r="Y960" s="56" t="s">
        <v>4066</v>
      </c>
      <c r="Z960" s="56" t="s">
        <v>5555</v>
      </c>
      <c r="AC960" s="56" t="s">
        <v>3543</v>
      </c>
      <c r="AD960" s="56" t="s">
        <v>24</v>
      </c>
      <c r="AE960" s="56" t="s">
        <v>5367</v>
      </c>
      <c r="AF960" s="56" t="s">
        <v>5554</v>
      </c>
      <c r="AH960" s="56" t="s">
        <v>3542</v>
      </c>
      <c r="AI960" s="56" t="s">
        <v>3723</v>
      </c>
    </row>
    <row r="961" spans="1:35" ht="33" customHeight="1">
      <c r="A961" s="56" t="s">
        <v>5558</v>
      </c>
      <c r="B961" s="57">
        <v>44362.519548611112</v>
      </c>
      <c r="C961" s="56" t="s">
        <v>3803</v>
      </c>
      <c r="D961" s="56" t="s">
        <v>3802</v>
      </c>
      <c r="E961" s="56" t="s">
        <v>5557</v>
      </c>
      <c r="F961" s="56" t="s">
        <v>5556</v>
      </c>
      <c r="G961" s="58" t="s">
        <v>4467</v>
      </c>
      <c r="H961" s="56">
        <v>1</v>
      </c>
      <c r="I961" s="56" t="s">
        <v>3769</v>
      </c>
      <c r="J961" s="56">
        <v>405</v>
      </c>
      <c r="K961" s="56">
        <v>390</v>
      </c>
      <c r="P961" s="56">
        <v>0</v>
      </c>
      <c r="S961" s="56">
        <v>0</v>
      </c>
      <c r="T961" s="56" t="s">
        <v>3562</v>
      </c>
      <c r="V961" s="56" t="s">
        <v>3865</v>
      </c>
      <c r="W961" s="56" t="s">
        <v>3548</v>
      </c>
      <c r="X961" s="56" t="s">
        <v>39</v>
      </c>
      <c r="Y961" s="56" t="s">
        <v>4066</v>
      </c>
      <c r="Z961" s="56" t="s">
        <v>5555</v>
      </c>
      <c r="AC961" s="56" t="s">
        <v>3543</v>
      </c>
      <c r="AD961" s="56" t="s">
        <v>24</v>
      </c>
      <c r="AE961" s="56" t="s">
        <v>5367</v>
      </c>
      <c r="AF961" s="56" t="s">
        <v>5554</v>
      </c>
      <c r="AH961" s="56" t="s">
        <v>3542</v>
      </c>
      <c r="AI961" s="56" t="s">
        <v>3723</v>
      </c>
    </row>
    <row r="962" spans="1:35" ht="33" customHeight="1">
      <c r="A962" s="56" t="s">
        <v>5558</v>
      </c>
      <c r="B962" s="57">
        <v>44362.519548611112</v>
      </c>
      <c r="C962" s="56" t="s">
        <v>3803</v>
      </c>
      <c r="D962" s="56" t="s">
        <v>3802</v>
      </c>
      <c r="E962" s="56" t="s">
        <v>5557</v>
      </c>
      <c r="F962" s="56" t="s">
        <v>5556</v>
      </c>
      <c r="G962" s="58" t="s">
        <v>3196</v>
      </c>
      <c r="H962" s="56">
        <v>1</v>
      </c>
      <c r="I962" s="56" t="s">
        <v>2550</v>
      </c>
      <c r="J962" s="56">
        <v>120</v>
      </c>
      <c r="K962" s="56">
        <v>120</v>
      </c>
      <c r="P962" s="56">
        <v>0</v>
      </c>
      <c r="S962" s="56">
        <v>0</v>
      </c>
      <c r="T962" s="56" t="s">
        <v>3562</v>
      </c>
      <c r="V962" s="56" t="s">
        <v>3865</v>
      </c>
      <c r="W962" s="56" t="s">
        <v>3548</v>
      </c>
      <c r="X962" s="56" t="s">
        <v>39</v>
      </c>
      <c r="Y962" s="56" t="s">
        <v>4066</v>
      </c>
      <c r="Z962" s="56" t="s">
        <v>5555</v>
      </c>
      <c r="AC962" s="56" t="s">
        <v>3543</v>
      </c>
      <c r="AD962" s="56" t="s">
        <v>24</v>
      </c>
      <c r="AE962" s="56" t="s">
        <v>5367</v>
      </c>
      <c r="AF962" s="56" t="s">
        <v>5554</v>
      </c>
      <c r="AH962" s="56" t="s">
        <v>3542</v>
      </c>
      <c r="AI962" s="56" t="s">
        <v>3723</v>
      </c>
    </row>
    <row r="963" spans="1:35" ht="33" customHeight="1">
      <c r="A963" s="56" t="s">
        <v>5558</v>
      </c>
      <c r="B963" s="57">
        <v>44362.519548611112</v>
      </c>
      <c r="C963" s="56" t="s">
        <v>3803</v>
      </c>
      <c r="D963" s="56" t="s">
        <v>3802</v>
      </c>
      <c r="E963" s="56" t="s">
        <v>5557</v>
      </c>
      <c r="F963" s="56" t="s">
        <v>5556</v>
      </c>
      <c r="G963" s="58" t="s">
        <v>3551</v>
      </c>
      <c r="H963" s="56">
        <v>1</v>
      </c>
      <c r="I963" s="56" t="s">
        <v>3550</v>
      </c>
      <c r="J963" s="56">
        <v>0</v>
      </c>
      <c r="K963" s="56">
        <v>0</v>
      </c>
      <c r="P963" s="56">
        <v>0</v>
      </c>
      <c r="S963" s="56">
        <v>0</v>
      </c>
      <c r="T963" s="56" t="s">
        <v>3562</v>
      </c>
      <c r="V963" s="56" t="s">
        <v>3865</v>
      </c>
      <c r="W963" s="56" t="s">
        <v>3548</v>
      </c>
      <c r="X963" s="56" t="s">
        <v>39</v>
      </c>
      <c r="Y963" s="56" t="s">
        <v>4066</v>
      </c>
      <c r="Z963" s="56" t="s">
        <v>5555</v>
      </c>
      <c r="AC963" s="56" t="s">
        <v>3543</v>
      </c>
      <c r="AD963" s="56" t="s">
        <v>24</v>
      </c>
      <c r="AE963" s="56" t="s">
        <v>5367</v>
      </c>
      <c r="AF963" s="56" t="s">
        <v>5554</v>
      </c>
      <c r="AH963" s="56" t="s">
        <v>3542</v>
      </c>
      <c r="AI963" s="56" t="s">
        <v>3723</v>
      </c>
    </row>
    <row r="964" spans="1:35" ht="33" customHeight="1">
      <c r="A964" s="56" t="s">
        <v>5558</v>
      </c>
      <c r="B964" s="57">
        <v>44362.519548611112</v>
      </c>
      <c r="C964" s="56" t="s">
        <v>3803</v>
      </c>
      <c r="D964" s="56" t="s">
        <v>3802</v>
      </c>
      <c r="E964" s="56" t="s">
        <v>5557</v>
      </c>
      <c r="F964" s="56" t="s">
        <v>5556</v>
      </c>
      <c r="G964" s="58" t="s">
        <v>1498</v>
      </c>
      <c r="H964" s="56">
        <v>1</v>
      </c>
      <c r="I964" s="56" t="s">
        <v>4016</v>
      </c>
      <c r="J964" s="56">
        <v>0</v>
      </c>
      <c r="K964" s="56">
        <v>0</v>
      </c>
      <c r="P964" s="56">
        <v>0</v>
      </c>
      <c r="S964" s="56">
        <v>0</v>
      </c>
      <c r="T964" s="56" t="s">
        <v>3562</v>
      </c>
      <c r="V964" s="56" t="s">
        <v>3865</v>
      </c>
      <c r="W964" s="56" t="s">
        <v>3548</v>
      </c>
      <c r="X964" s="56" t="s">
        <v>39</v>
      </c>
      <c r="Y964" s="56" t="s">
        <v>4066</v>
      </c>
      <c r="Z964" s="56" t="s">
        <v>5555</v>
      </c>
      <c r="AC964" s="56" t="s">
        <v>3543</v>
      </c>
      <c r="AD964" s="56" t="s">
        <v>24</v>
      </c>
      <c r="AE964" s="56" t="s">
        <v>5367</v>
      </c>
      <c r="AF964" s="56" t="s">
        <v>5554</v>
      </c>
      <c r="AH964" s="56" t="s">
        <v>3542</v>
      </c>
      <c r="AI964" s="56" t="s">
        <v>3723</v>
      </c>
    </row>
    <row r="965" spans="1:35" ht="33" customHeight="1">
      <c r="A965" s="56" t="s">
        <v>5553</v>
      </c>
      <c r="B965" s="57">
        <v>44362.530509259261</v>
      </c>
      <c r="C965" s="56" t="s">
        <v>3803</v>
      </c>
      <c r="D965" s="56" t="s">
        <v>3802</v>
      </c>
      <c r="E965" s="56" t="s">
        <v>5552</v>
      </c>
      <c r="F965" s="56" t="s">
        <v>5551</v>
      </c>
      <c r="G965" s="58" t="s">
        <v>3754</v>
      </c>
      <c r="H965" s="56">
        <v>1</v>
      </c>
      <c r="I965" s="56" t="s">
        <v>3753</v>
      </c>
      <c r="J965" s="56">
        <v>997</v>
      </c>
      <c r="K965" s="56">
        <v>960</v>
      </c>
      <c r="L965" s="56">
        <v>2108</v>
      </c>
      <c r="M965" s="56">
        <v>0</v>
      </c>
      <c r="N965" s="56">
        <v>0</v>
      </c>
      <c r="O965" s="56">
        <v>100</v>
      </c>
      <c r="P965" s="56">
        <v>0</v>
      </c>
      <c r="Q965" s="56">
        <v>2008</v>
      </c>
      <c r="R965" s="56">
        <v>0</v>
      </c>
      <c r="S965" s="56">
        <v>0</v>
      </c>
      <c r="T965" s="56" t="s">
        <v>3562</v>
      </c>
      <c r="U965" s="56">
        <v>2008</v>
      </c>
      <c r="V965" s="56" t="s">
        <v>3561</v>
      </c>
      <c r="W965" s="56" t="s">
        <v>3548</v>
      </c>
      <c r="X965" s="56" t="s">
        <v>39</v>
      </c>
      <c r="Y965" s="56" t="s">
        <v>5546</v>
      </c>
      <c r="Z965" s="56" t="s">
        <v>5545</v>
      </c>
      <c r="AC965" s="56" t="s">
        <v>3543</v>
      </c>
      <c r="AD965" s="56" t="s">
        <v>24</v>
      </c>
      <c r="AE965" s="56" t="s">
        <v>5367</v>
      </c>
      <c r="AF965" s="56" t="s">
        <v>5550</v>
      </c>
      <c r="AH965" s="56" t="s">
        <v>3542</v>
      </c>
      <c r="AI965" s="56" t="s">
        <v>3723</v>
      </c>
    </row>
    <row r="966" spans="1:35" ht="33" customHeight="1">
      <c r="A966" s="56" t="s">
        <v>5553</v>
      </c>
      <c r="B966" s="57">
        <v>44362.530509259261</v>
      </c>
      <c r="C966" s="56" t="s">
        <v>3803</v>
      </c>
      <c r="D966" s="56" t="s">
        <v>3802</v>
      </c>
      <c r="E966" s="56" t="s">
        <v>5552</v>
      </c>
      <c r="F966" s="56" t="s">
        <v>5551</v>
      </c>
      <c r="G966" s="58" t="s">
        <v>4918</v>
      </c>
      <c r="H966" s="56">
        <v>1</v>
      </c>
      <c r="I966" s="56" t="s">
        <v>3569</v>
      </c>
      <c r="J966" s="56">
        <v>894</v>
      </c>
      <c r="K966" s="56">
        <v>750</v>
      </c>
      <c r="P966" s="56">
        <v>0</v>
      </c>
      <c r="S966" s="56">
        <v>0</v>
      </c>
      <c r="T966" s="56" t="s">
        <v>3562</v>
      </c>
      <c r="V966" s="56" t="s">
        <v>3561</v>
      </c>
      <c r="W966" s="56" t="s">
        <v>3548</v>
      </c>
      <c r="X966" s="56" t="s">
        <v>39</v>
      </c>
      <c r="Y966" s="56" t="s">
        <v>5546</v>
      </c>
      <c r="Z966" s="56" t="s">
        <v>5545</v>
      </c>
      <c r="AC966" s="56" t="s">
        <v>3543</v>
      </c>
      <c r="AD966" s="56" t="s">
        <v>24</v>
      </c>
      <c r="AE966" s="56" t="s">
        <v>5367</v>
      </c>
      <c r="AF966" s="56" t="s">
        <v>5550</v>
      </c>
      <c r="AH966" s="56" t="s">
        <v>3542</v>
      </c>
      <c r="AI966" s="56" t="s">
        <v>3723</v>
      </c>
    </row>
    <row r="967" spans="1:35" ht="33" customHeight="1">
      <c r="A967" s="56" t="s">
        <v>5553</v>
      </c>
      <c r="B967" s="57">
        <v>44362.530509259261</v>
      </c>
      <c r="C967" s="56" t="s">
        <v>3803</v>
      </c>
      <c r="D967" s="56" t="s">
        <v>3802</v>
      </c>
      <c r="E967" s="56" t="s">
        <v>5552</v>
      </c>
      <c r="F967" s="56" t="s">
        <v>5551</v>
      </c>
      <c r="G967" s="58" t="s">
        <v>2156</v>
      </c>
      <c r="H967" s="56">
        <v>1</v>
      </c>
      <c r="I967" s="56" t="s">
        <v>1376</v>
      </c>
      <c r="J967" s="56">
        <v>145</v>
      </c>
      <c r="K967" s="56">
        <v>145</v>
      </c>
      <c r="P967" s="56">
        <v>0</v>
      </c>
      <c r="S967" s="56">
        <v>0</v>
      </c>
      <c r="T967" s="56" t="s">
        <v>3562</v>
      </c>
      <c r="V967" s="56" t="s">
        <v>3561</v>
      </c>
      <c r="W967" s="56" t="s">
        <v>3548</v>
      </c>
      <c r="X967" s="56" t="s">
        <v>39</v>
      </c>
      <c r="Y967" s="56" t="s">
        <v>5546</v>
      </c>
      <c r="Z967" s="56" t="s">
        <v>5545</v>
      </c>
      <c r="AC967" s="56" t="s">
        <v>3543</v>
      </c>
      <c r="AD967" s="56" t="s">
        <v>24</v>
      </c>
      <c r="AE967" s="56" t="s">
        <v>5367</v>
      </c>
      <c r="AF967" s="56" t="s">
        <v>5550</v>
      </c>
      <c r="AH967" s="56" t="s">
        <v>3542</v>
      </c>
      <c r="AI967" s="56" t="s">
        <v>3723</v>
      </c>
    </row>
    <row r="968" spans="1:35" ht="33" customHeight="1">
      <c r="A968" s="56" t="s">
        <v>5553</v>
      </c>
      <c r="B968" s="57">
        <v>44362.530509259261</v>
      </c>
      <c r="C968" s="56" t="s">
        <v>3803</v>
      </c>
      <c r="D968" s="56" t="s">
        <v>3802</v>
      </c>
      <c r="E968" s="56" t="s">
        <v>5552</v>
      </c>
      <c r="F968" s="56" t="s">
        <v>5551</v>
      </c>
      <c r="G968" s="58" t="s">
        <v>1493</v>
      </c>
      <c r="H968" s="56">
        <v>1</v>
      </c>
      <c r="I968" s="56" t="s">
        <v>3601</v>
      </c>
      <c r="J968" s="56">
        <v>135</v>
      </c>
      <c r="K968" s="56">
        <v>135</v>
      </c>
      <c r="P968" s="56">
        <v>0</v>
      </c>
      <c r="S968" s="56">
        <v>0</v>
      </c>
      <c r="T968" s="56" t="s">
        <v>3562</v>
      </c>
      <c r="V968" s="56" t="s">
        <v>3561</v>
      </c>
      <c r="W968" s="56" t="s">
        <v>3548</v>
      </c>
      <c r="X968" s="56" t="s">
        <v>39</v>
      </c>
      <c r="Y968" s="56" t="s">
        <v>5546</v>
      </c>
      <c r="Z968" s="56" t="s">
        <v>5545</v>
      </c>
      <c r="AC968" s="56" t="s">
        <v>3543</v>
      </c>
      <c r="AD968" s="56" t="s">
        <v>24</v>
      </c>
      <c r="AE968" s="56" t="s">
        <v>5367</v>
      </c>
      <c r="AF968" s="56" t="s">
        <v>5550</v>
      </c>
      <c r="AH968" s="56" t="s">
        <v>3542</v>
      </c>
      <c r="AI968" s="56" t="s">
        <v>3723</v>
      </c>
    </row>
    <row r="969" spans="1:35" ht="33" customHeight="1">
      <c r="A969" s="56" t="s">
        <v>5553</v>
      </c>
      <c r="B969" s="57">
        <v>44362.530509259261</v>
      </c>
      <c r="C969" s="56" t="s">
        <v>3803</v>
      </c>
      <c r="D969" s="56" t="s">
        <v>3802</v>
      </c>
      <c r="E969" s="56" t="s">
        <v>5552</v>
      </c>
      <c r="F969" s="56" t="s">
        <v>5551</v>
      </c>
      <c r="G969" s="58" t="s">
        <v>3217</v>
      </c>
      <c r="H969" s="56">
        <v>1</v>
      </c>
      <c r="I969" s="56" t="s">
        <v>3720</v>
      </c>
      <c r="J969" s="56">
        <v>59</v>
      </c>
      <c r="K969" s="56">
        <v>59</v>
      </c>
      <c r="P969" s="56">
        <v>0</v>
      </c>
      <c r="S969" s="56">
        <v>0</v>
      </c>
      <c r="T969" s="56" t="s">
        <v>3562</v>
      </c>
      <c r="V969" s="56" t="s">
        <v>3561</v>
      </c>
      <c r="W969" s="56" t="s">
        <v>3548</v>
      </c>
      <c r="X969" s="56" t="s">
        <v>39</v>
      </c>
      <c r="Y969" s="56" t="s">
        <v>5546</v>
      </c>
      <c r="Z969" s="56" t="s">
        <v>5545</v>
      </c>
      <c r="AC969" s="56" t="s">
        <v>3543</v>
      </c>
      <c r="AD969" s="56" t="s">
        <v>24</v>
      </c>
      <c r="AE969" s="56" t="s">
        <v>5367</v>
      </c>
      <c r="AF969" s="56" t="s">
        <v>5550</v>
      </c>
      <c r="AH969" s="56" t="s">
        <v>3542</v>
      </c>
      <c r="AI969" s="56" t="s">
        <v>3723</v>
      </c>
    </row>
    <row r="970" spans="1:35" ht="33" customHeight="1">
      <c r="A970" s="56" t="s">
        <v>5553</v>
      </c>
      <c r="B970" s="57">
        <v>44362.530509259261</v>
      </c>
      <c r="C970" s="56" t="s">
        <v>3803</v>
      </c>
      <c r="D970" s="56" t="s">
        <v>3802</v>
      </c>
      <c r="E970" s="56" t="s">
        <v>5552</v>
      </c>
      <c r="F970" s="56" t="s">
        <v>5551</v>
      </c>
      <c r="G970" s="58" t="s">
        <v>3222</v>
      </c>
      <c r="H970" s="56">
        <v>1</v>
      </c>
      <c r="I970" s="56" t="s">
        <v>3712</v>
      </c>
      <c r="J970" s="56">
        <v>59</v>
      </c>
      <c r="K970" s="56">
        <v>59</v>
      </c>
      <c r="P970" s="56">
        <v>0</v>
      </c>
      <c r="S970" s="56">
        <v>0</v>
      </c>
      <c r="T970" s="56" t="s">
        <v>3562</v>
      </c>
      <c r="V970" s="56" t="s">
        <v>3561</v>
      </c>
      <c r="W970" s="56" t="s">
        <v>3548</v>
      </c>
      <c r="X970" s="56" t="s">
        <v>39</v>
      </c>
      <c r="Y970" s="56" t="s">
        <v>5546</v>
      </c>
      <c r="Z970" s="56" t="s">
        <v>5545</v>
      </c>
      <c r="AC970" s="56" t="s">
        <v>3543</v>
      </c>
      <c r="AD970" s="56" t="s">
        <v>24</v>
      </c>
      <c r="AE970" s="56" t="s">
        <v>5367</v>
      </c>
      <c r="AF970" s="56" t="s">
        <v>5550</v>
      </c>
      <c r="AH970" s="56" t="s">
        <v>3542</v>
      </c>
      <c r="AI970" s="56" t="s">
        <v>3723</v>
      </c>
    </row>
    <row r="971" spans="1:35" ht="33" customHeight="1">
      <c r="A971" s="56" t="s">
        <v>5553</v>
      </c>
      <c r="B971" s="57">
        <v>44362.530509259261</v>
      </c>
      <c r="C971" s="56" t="s">
        <v>3803</v>
      </c>
      <c r="D971" s="56" t="s">
        <v>3802</v>
      </c>
      <c r="E971" s="56" t="s">
        <v>5552</v>
      </c>
      <c r="F971" s="56" t="s">
        <v>5551</v>
      </c>
      <c r="G971" s="58" t="s">
        <v>3551</v>
      </c>
      <c r="H971" s="56">
        <v>1</v>
      </c>
      <c r="I971" s="56" t="s">
        <v>3550</v>
      </c>
      <c r="J971" s="56">
        <v>0</v>
      </c>
      <c r="K971" s="56">
        <v>0</v>
      </c>
      <c r="P971" s="56">
        <v>0</v>
      </c>
      <c r="S971" s="56">
        <v>0</v>
      </c>
      <c r="T971" s="56" t="s">
        <v>3562</v>
      </c>
      <c r="V971" s="56" t="s">
        <v>3561</v>
      </c>
      <c r="W971" s="56" t="s">
        <v>3548</v>
      </c>
      <c r="X971" s="56" t="s">
        <v>39</v>
      </c>
      <c r="Y971" s="56" t="s">
        <v>5546</v>
      </c>
      <c r="Z971" s="56" t="s">
        <v>5545</v>
      </c>
      <c r="AC971" s="56" t="s">
        <v>3543</v>
      </c>
      <c r="AD971" s="56" t="s">
        <v>24</v>
      </c>
      <c r="AE971" s="56" t="s">
        <v>5367</v>
      </c>
      <c r="AF971" s="56" t="s">
        <v>5550</v>
      </c>
      <c r="AH971" s="56" t="s">
        <v>3542</v>
      </c>
      <c r="AI971" s="56" t="s">
        <v>3723</v>
      </c>
    </row>
    <row r="972" spans="1:35" ht="33" customHeight="1">
      <c r="A972" s="56" t="s">
        <v>5553</v>
      </c>
      <c r="B972" s="57">
        <v>44362.530509259261</v>
      </c>
      <c r="C972" s="56" t="s">
        <v>3803</v>
      </c>
      <c r="D972" s="56" t="s">
        <v>3802</v>
      </c>
      <c r="E972" s="56" t="s">
        <v>5552</v>
      </c>
      <c r="F972" s="56" t="s">
        <v>5551</v>
      </c>
      <c r="G972" s="58" t="s">
        <v>1713</v>
      </c>
      <c r="H972" s="56">
        <v>1</v>
      </c>
      <c r="I972" s="56" t="s">
        <v>3568</v>
      </c>
      <c r="J972" s="56">
        <v>0</v>
      </c>
      <c r="K972" s="56">
        <v>0</v>
      </c>
      <c r="P972" s="56">
        <v>0</v>
      </c>
      <c r="S972" s="56">
        <v>0</v>
      </c>
      <c r="T972" s="56" t="s">
        <v>3562</v>
      </c>
      <c r="V972" s="56" t="s">
        <v>3561</v>
      </c>
      <c r="W972" s="56" t="s">
        <v>3548</v>
      </c>
      <c r="X972" s="56" t="s">
        <v>39</v>
      </c>
      <c r="Y972" s="56" t="s">
        <v>5546</v>
      </c>
      <c r="Z972" s="56" t="s">
        <v>5545</v>
      </c>
      <c r="AC972" s="56" t="s">
        <v>3543</v>
      </c>
      <c r="AD972" s="56" t="s">
        <v>24</v>
      </c>
      <c r="AE972" s="56" t="s">
        <v>5367</v>
      </c>
      <c r="AF972" s="56" t="s">
        <v>5550</v>
      </c>
      <c r="AH972" s="56" t="s">
        <v>3542</v>
      </c>
      <c r="AI972" s="56" t="s">
        <v>3723</v>
      </c>
    </row>
    <row r="973" spans="1:35" ht="33" customHeight="1">
      <c r="A973" s="56" t="s">
        <v>5553</v>
      </c>
      <c r="B973" s="57">
        <v>44362.530509259261</v>
      </c>
      <c r="C973" s="56" t="s">
        <v>3803</v>
      </c>
      <c r="D973" s="56" t="s">
        <v>3802</v>
      </c>
      <c r="E973" s="56" t="s">
        <v>5552</v>
      </c>
      <c r="F973" s="56" t="s">
        <v>5551</v>
      </c>
      <c r="G973" s="58" t="s">
        <v>1498</v>
      </c>
      <c r="H973" s="56">
        <v>1</v>
      </c>
      <c r="I973" s="56" t="s">
        <v>4016</v>
      </c>
      <c r="J973" s="56">
        <v>0</v>
      </c>
      <c r="K973" s="56">
        <v>0</v>
      </c>
      <c r="P973" s="56">
        <v>0</v>
      </c>
      <c r="S973" s="56">
        <v>0</v>
      </c>
      <c r="T973" s="56" t="s">
        <v>3562</v>
      </c>
      <c r="V973" s="56" t="s">
        <v>3561</v>
      </c>
      <c r="W973" s="56" t="s">
        <v>3548</v>
      </c>
      <c r="X973" s="56" t="s">
        <v>39</v>
      </c>
      <c r="Y973" s="56" t="s">
        <v>5546</v>
      </c>
      <c r="Z973" s="56" t="s">
        <v>5545</v>
      </c>
      <c r="AC973" s="56" t="s">
        <v>3543</v>
      </c>
      <c r="AD973" s="56" t="s">
        <v>24</v>
      </c>
      <c r="AE973" s="56" t="s">
        <v>5367</v>
      </c>
      <c r="AF973" s="56" t="s">
        <v>5550</v>
      </c>
      <c r="AH973" s="56" t="s">
        <v>3542</v>
      </c>
      <c r="AI973" s="56" t="s">
        <v>3723</v>
      </c>
    </row>
    <row r="974" spans="1:35" ht="33" customHeight="1">
      <c r="A974" s="56" t="s">
        <v>5553</v>
      </c>
      <c r="B974" s="57">
        <v>44362.530509259261</v>
      </c>
      <c r="C974" s="56" t="s">
        <v>3803</v>
      </c>
      <c r="D974" s="56" t="s">
        <v>3802</v>
      </c>
      <c r="E974" s="56" t="s">
        <v>5552</v>
      </c>
      <c r="F974" s="56" t="s">
        <v>5551</v>
      </c>
      <c r="G974" s="58" t="s">
        <v>3564</v>
      </c>
      <c r="H974" s="56">
        <v>1</v>
      </c>
      <c r="I974" s="56" t="s">
        <v>3563</v>
      </c>
      <c r="J974" s="56">
        <v>0</v>
      </c>
      <c r="K974" s="56">
        <v>0</v>
      </c>
      <c r="P974" s="56">
        <v>0</v>
      </c>
      <c r="S974" s="56">
        <v>0</v>
      </c>
      <c r="T974" s="56" t="s">
        <v>3562</v>
      </c>
      <c r="V974" s="56" t="s">
        <v>3561</v>
      </c>
      <c r="W974" s="56" t="s">
        <v>3548</v>
      </c>
      <c r="X974" s="56" t="s">
        <v>39</v>
      </c>
      <c r="Y974" s="56" t="s">
        <v>5546</v>
      </c>
      <c r="Z974" s="56" t="s">
        <v>5545</v>
      </c>
      <c r="AC974" s="56" t="s">
        <v>3543</v>
      </c>
      <c r="AD974" s="56" t="s">
        <v>24</v>
      </c>
      <c r="AE974" s="56" t="s">
        <v>5367</v>
      </c>
      <c r="AF974" s="56" t="s">
        <v>5550</v>
      </c>
      <c r="AH974" s="56" t="s">
        <v>3542</v>
      </c>
      <c r="AI974" s="56" t="s">
        <v>3723</v>
      </c>
    </row>
    <row r="975" spans="1:35" ht="33" customHeight="1">
      <c r="A975" s="56" t="s">
        <v>5549</v>
      </c>
      <c r="B975" s="57">
        <v>44362.535729166666</v>
      </c>
      <c r="C975" s="56" t="s">
        <v>3803</v>
      </c>
      <c r="D975" s="56" t="s">
        <v>3802</v>
      </c>
      <c r="E975" s="56" t="s">
        <v>5548</v>
      </c>
      <c r="F975" s="56" t="s">
        <v>5547</v>
      </c>
      <c r="G975" s="58" t="s">
        <v>3656</v>
      </c>
      <c r="H975" s="56">
        <v>2</v>
      </c>
      <c r="I975" s="56" t="s">
        <v>3655</v>
      </c>
      <c r="J975" s="56">
        <v>1107</v>
      </c>
      <c r="K975" s="56">
        <v>799</v>
      </c>
      <c r="L975" s="56">
        <v>2180</v>
      </c>
      <c r="M975" s="56">
        <v>0</v>
      </c>
      <c r="N975" s="56">
        <v>0</v>
      </c>
      <c r="O975" s="56">
        <v>131</v>
      </c>
      <c r="P975" s="56">
        <v>0</v>
      </c>
      <c r="Q975" s="56">
        <v>2049</v>
      </c>
      <c r="R975" s="56">
        <v>0</v>
      </c>
      <c r="S975" s="56">
        <v>0</v>
      </c>
      <c r="T975" s="56" t="s">
        <v>3562</v>
      </c>
      <c r="U975" s="56">
        <v>2049</v>
      </c>
      <c r="V975" s="56" t="s">
        <v>3561</v>
      </c>
      <c r="W975" s="56" t="s">
        <v>3548</v>
      </c>
      <c r="X975" s="56" t="s">
        <v>39</v>
      </c>
      <c r="Y975" s="56" t="s">
        <v>5546</v>
      </c>
      <c r="Z975" s="56" t="s">
        <v>5545</v>
      </c>
      <c r="AC975" s="56" t="s">
        <v>3543</v>
      </c>
      <c r="AD975" s="56" t="s">
        <v>24</v>
      </c>
      <c r="AE975" s="56" t="s">
        <v>5367</v>
      </c>
      <c r="AF975" s="56" t="s">
        <v>5544</v>
      </c>
      <c r="AH975" s="56" t="s">
        <v>3542</v>
      </c>
      <c r="AI975" s="56" t="s">
        <v>3723</v>
      </c>
    </row>
    <row r="976" spans="1:35" ht="33" customHeight="1">
      <c r="A976" s="56" t="s">
        <v>5549</v>
      </c>
      <c r="B976" s="57">
        <v>44362.535729166666</v>
      </c>
      <c r="C976" s="56" t="s">
        <v>3803</v>
      </c>
      <c r="D976" s="56" t="s">
        <v>3802</v>
      </c>
      <c r="E976" s="56" t="s">
        <v>5548</v>
      </c>
      <c r="F976" s="56" t="s">
        <v>5547</v>
      </c>
      <c r="G976" s="58" t="s">
        <v>3217</v>
      </c>
      <c r="H976" s="56">
        <v>1</v>
      </c>
      <c r="I976" s="56" t="s">
        <v>3720</v>
      </c>
      <c r="J976" s="56">
        <v>59</v>
      </c>
      <c r="K976" s="56">
        <v>59</v>
      </c>
      <c r="P976" s="56">
        <v>0</v>
      </c>
      <c r="S976" s="56">
        <v>0</v>
      </c>
      <c r="T976" s="56" t="s">
        <v>3562</v>
      </c>
      <c r="V976" s="56" t="s">
        <v>3561</v>
      </c>
      <c r="W976" s="56" t="s">
        <v>3548</v>
      </c>
      <c r="X976" s="56" t="s">
        <v>39</v>
      </c>
      <c r="Y976" s="56" t="s">
        <v>5546</v>
      </c>
      <c r="Z976" s="56" t="s">
        <v>5545</v>
      </c>
      <c r="AC976" s="56" t="s">
        <v>3543</v>
      </c>
      <c r="AD976" s="56" t="s">
        <v>24</v>
      </c>
      <c r="AE976" s="56" t="s">
        <v>5367</v>
      </c>
      <c r="AF976" s="56" t="s">
        <v>5544</v>
      </c>
      <c r="AH976" s="56" t="s">
        <v>3542</v>
      </c>
      <c r="AI976" s="56" t="s">
        <v>3723</v>
      </c>
    </row>
    <row r="977" spans="1:35" ht="33" customHeight="1">
      <c r="A977" s="56" t="s">
        <v>5549</v>
      </c>
      <c r="B977" s="57">
        <v>44362.535729166666</v>
      </c>
      <c r="C977" s="56" t="s">
        <v>3803</v>
      </c>
      <c r="D977" s="56" t="s">
        <v>3802</v>
      </c>
      <c r="E977" s="56" t="s">
        <v>5548</v>
      </c>
      <c r="F977" s="56" t="s">
        <v>5547</v>
      </c>
      <c r="G977" s="58" t="s">
        <v>3222</v>
      </c>
      <c r="H977" s="56">
        <v>1</v>
      </c>
      <c r="I977" s="56" t="s">
        <v>3712</v>
      </c>
      <c r="J977" s="56">
        <v>59</v>
      </c>
      <c r="K977" s="56">
        <v>59</v>
      </c>
      <c r="P977" s="56">
        <v>0</v>
      </c>
      <c r="S977" s="56">
        <v>0</v>
      </c>
      <c r="T977" s="56" t="s">
        <v>3562</v>
      </c>
      <c r="V977" s="56" t="s">
        <v>3561</v>
      </c>
      <c r="W977" s="56" t="s">
        <v>3548</v>
      </c>
      <c r="X977" s="56" t="s">
        <v>39</v>
      </c>
      <c r="Y977" s="56" t="s">
        <v>5546</v>
      </c>
      <c r="Z977" s="56" t="s">
        <v>5545</v>
      </c>
      <c r="AC977" s="56" t="s">
        <v>3543</v>
      </c>
      <c r="AD977" s="56" t="s">
        <v>24</v>
      </c>
      <c r="AE977" s="56" t="s">
        <v>5367</v>
      </c>
      <c r="AF977" s="56" t="s">
        <v>5544</v>
      </c>
      <c r="AH977" s="56" t="s">
        <v>3542</v>
      </c>
      <c r="AI977" s="56" t="s">
        <v>3723</v>
      </c>
    </row>
    <row r="978" spans="1:35" ht="33" customHeight="1">
      <c r="A978" s="56" t="s">
        <v>5549</v>
      </c>
      <c r="B978" s="57">
        <v>44362.535729166666</v>
      </c>
      <c r="C978" s="56" t="s">
        <v>3803</v>
      </c>
      <c r="D978" s="56" t="s">
        <v>3802</v>
      </c>
      <c r="E978" s="56" t="s">
        <v>5548</v>
      </c>
      <c r="F978" s="56" t="s">
        <v>5547</v>
      </c>
      <c r="G978" s="58" t="s">
        <v>1506</v>
      </c>
      <c r="H978" s="56">
        <v>1</v>
      </c>
      <c r="I978" s="56" t="s">
        <v>3696</v>
      </c>
      <c r="J978" s="56">
        <v>299</v>
      </c>
      <c r="K978" s="56">
        <v>299</v>
      </c>
      <c r="P978" s="56">
        <v>0</v>
      </c>
      <c r="S978" s="56">
        <v>0</v>
      </c>
      <c r="T978" s="56" t="s">
        <v>3562</v>
      </c>
      <c r="V978" s="56" t="s">
        <v>3561</v>
      </c>
      <c r="W978" s="56" t="s">
        <v>3548</v>
      </c>
      <c r="X978" s="56" t="s">
        <v>39</v>
      </c>
      <c r="Y978" s="56" t="s">
        <v>5546</v>
      </c>
      <c r="Z978" s="56" t="s">
        <v>5545</v>
      </c>
      <c r="AC978" s="56" t="s">
        <v>3543</v>
      </c>
      <c r="AD978" s="56" t="s">
        <v>24</v>
      </c>
      <c r="AE978" s="56" t="s">
        <v>5367</v>
      </c>
      <c r="AF978" s="56" t="s">
        <v>5544</v>
      </c>
      <c r="AH978" s="56" t="s">
        <v>3542</v>
      </c>
      <c r="AI978" s="56" t="s">
        <v>3723</v>
      </c>
    </row>
    <row r="979" spans="1:35" ht="33" customHeight="1">
      <c r="A979" s="56" t="s">
        <v>5549</v>
      </c>
      <c r="B979" s="57">
        <v>44362.535729166666</v>
      </c>
      <c r="C979" s="56" t="s">
        <v>3803</v>
      </c>
      <c r="D979" s="56" t="s">
        <v>3802</v>
      </c>
      <c r="E979" s="56" t="s">
        <v>5548</v>
      </c>
      <c r="F979" s="56" t="s">
        <v>5547</v>
      </c>
      <c r="G979" s="58" t="s">
        <v>1514</v>
      </c>
      <c r="H979" s="56">
        <v>1</v>
      </c>
      <c r="I979" s="56" t="s">
        <v>3797</v>
      </c>
      <c r="J979" s="56">
        <v>165</v>
      </c>
      <c r="K979" s="56">
        <v>165</v>
      </c>
      <c r="P979" s="56">
        <v>0</v>
      </c>
      <c r="S979" s="56">
        <v>0</v>
      </c>
      <c r="T979" s="56" t="s">
        <v>3562</v>
      </c>
      <c r="V979" s="56" t="s">
        <v>3561</v>
      </c>
      <c r="W979" s="56" t="s">
        <v>3548</v>
      </c>
      <c r="X979" s="56" t="s">
        <v>39</v>
      </c>
      <c r="Y979" s="56" t="s">
        <v>5546</v>
      </c>
      <c r="Z979" s="56" t="s">
        <v>5545</v>
      </c>
      <c r="AC979" s="56" t="s">
        <v>3543</v>
      </c>
      <c r="AD979" s="56" t="s">
        <v>24</v>
      </c>
      <c r="AE979" s="56" t="s">
        <v>5367</v>
      </c>
      <c r="AF979" s="56" t="s">
        <v>5544</v>
      </c>
      <c r="AH979" s="56" t="s">
        <v>3542</v>
      </c>
      <c r="AI979" s="56" t="s">
        <v>3723</v>
      </c>
    </row>
    <row r="980" spans="1:35" ht="33" customHeight="1">
      <c r="A980" s="56" t="s">
        <v>5549</v>
      </c>
      <c r="B980" s="57">
        <v>44362.535729166666</v>
      </c>
      <c r="C980" s="56" t="s">
        <v>3803</v>
      </c>
      <c r="D980" s="56" t="s">
        <v>3802</v>
      </c>
      <c r="E980" s="56" t="s">
        <v>5548</v>
      </c>
      <c r="F980" s="56" t="s">
        <v>5547</v>
      </c>
      <c r="G980" s="58" t="s">
        <v>3551</v>
      </c>
      <c r="H980" s="56">
        <v>1</v>
      </c>
      <c r="I980" s="56" t="s">
        <v>3550</v>
      </c>
      <c r="J980" s="56">
        <v>0</v>
      </c>
      <c r="K980" s="56">
        <v>0</v>
      </c>
      <c r="P980" s="56">
        <v>0</v>
      </c>
      <c r="S980" s="56">
        <v>0</v>
      </c>
      <c r="T980" s="56" t="s">
        <v>3562</v>
      </c>
      <c r="V980" s="56" t="s">
        <v>3561</v>
      </c>
      <c r="W980" s="56" t="s">
        <v>3548</v>
      </c>
      <c r="X980" s="56" t="s">
        <v>39</v>
      </c>
      <c r="Y980" s="56" t="s">
        <v>5546</v>
      </c>
      <c r="Z980" s="56" t="s">
        <v>5545</v>
      </c>
      <c r="AC980" s="56" t="s">
        <v>3543</v>
      </c>
      <c r="AD980" s="56" t="s">
        <v>24</v>
      </c>
      <c r="AE980" s="56" t="s">
        <v>5367</v>
      </c>
      <c r="AF980" s="56" t="s">
        <v>5544</v>
      </c>
      <c r="AH980" s="56" t="s">
        <v>3542</v>
      </c>
      <c r="AI980" s="56" t="s">
        <v>3723</v>
      </c>
    </row>
    <row r="981" spans="1:35" ht="33" customHeight="1">
      <c r="A981" s="56" t="s">
        <v>5549</v>
      </c>
      <c r="B981" s="57">
        <v>44362.535729166666</v>
      </c>
      <c r="C981" s="56" t="s">
        <v>3803</v>
      </c>
      <c r="D981" s="56" t="s">
        <v>3802</v>
      </c>
      <c r="E981" s="56" t="s">
        <v>5548</v>
      </c>
      <c r="F981" s="56" t="s">
        <v>5547</v>
      </c>
      <c r="G981" s="58" t="s">
        <v>1713</v>
      </c>
      <c r="H981" s="56">
        <v>1</v>
      </c>
      <c r="I981" s="56" t="s">
        <v>3568</v>
      </c>
      <c r="J981" s="56">
        <v>0</v>
      </c>
      <c r="K981" s="56">
        <v>0</v>
      </c>
      <c r="P981" s="56">
        <v>0</v>
      </c>
      <c r="S981" s="56">
        <v>0</v>
      </c>
      <c r="T981" s="56" t="s">
        <v>3562</v>
      </c>
      <c r="V981" s="56" t="s">
        <v>3561</v>
      </c>
      <c r="W981" s="56" t="s">
        <v>3548</v>
      </c>
      <c r="X981" s="56" t="s">
        <v>39</v>
      </c>
      <c r="Y981" s="56" t="s">
        <v>5546</v>
      </c>
      <c r="Z981" s="56" t="s">
        <v>5545</v>
      </c>
      <c r="AC981" s="56" t="s">
        <v>3543</v>
      </c>
      <c r="AD981" s="56" t="s">
        <v>24</v>
      </c>
      <c r="AE981" s="56" t="s">
        <v>5367</v>
      </c>
      <c r="AF981" s="56" t="s">
        <v>5544</v>
      </c>
      <c r="AH981" s="56" t="s">
        <v>3542</v>
      </c>
      <c r="AI981" s="56" t="s">
        <v>3723</v>
      </c>
    </row>
    <row r="982" spans="1:35" ht="33" customHeight="1">
      <c r="A982" s="56" t="s">
        <v>5549</v>
      </c>
      <c r="B982" s="57">
        <v>44362.535729166666</v>
      </c>
      <c r="C982" s="56" t="s">
        <v>3803</v>
      </c>
      <c r="D982" s="56" t="s">
        <v>3802</v>
      </c>
      <c r="E982" s="56" t="s">
        <v>5548</v>
      </c>
      <c r="F982" s="56" t="s">
        <v>5547</v>
      </c>
      <c r="G982" s="58" t="s">
        <v>1498</v>
      </c>
      <c r="H982" s="56">
        <v>1</v>
      </c>
      <c r="I982" s="56" t="s">
        <v>4016</v>
      </c>
      <c r="J982" s="56">
        <v>0</v>
      </c>
      <c r="K982" s="56">
        <v>0</v>
      </c>
      <c r="P982" s="56">
        <v>0</v>
      </c>
      <c r="S982" s="56">
        <v>0</v>
      </c>
      <c r="T982" s="56" t="s">
        <v>3562</v>
      </c>
      <c r="V982" s="56" t="s">
        <v>3561</v>
      </c>
      <c r="W982" s="56" t="s">
        <v>3548</v>
      </c>
      <c r="X982" s="56" t="s">
        <v>39</v>
      </c>
      <c r="Y982" s="56" t="s">
        <v>5546</v>
      </c>
      <c r="Z982" s="56" t="s">
        <v>5545</v>
      </c>
      <c r="AC982" s="56" t="s">
        <v>3543</v>
      </c>
      <c r="AD982" s="56" t="s">
        <v>24</v>
      </c>
      <c r="AE982" s="56" t="s">
        <v>5367</v>
      </c>
      <c r="AF982" s="56" t="s">
        <v>5544</v>
      </c>
      <c r="AH982" s="56" t="s">
        <v>3542</v>
      </c>
      <c r="AI982" s="56" t="s">
        <v>3723</v>
      </c>
    </row>
    <row r="983" spans="1:35" ht="33" customHeight="1">
      <c r="A983" s="56" t="s">
        <v>5549</v>
      </c>
      <c r="B983" s="57">
        <v>44362.535729166666</v>
      </c>
      <c r="C983" s="56" t="s">
        <v>3803</v>
      </c>
      <c r="D983" s="56" t="s">
        <v>3802</v>
      </c>
      <c r="E983" s="56" t="s">
        <v>5548</v>
      </c>
      <c r="F983" s="56" t="s">
        <v>5547</v>
      </c>
      <c r="G983" s="58" t="s">
        <v>3564</v>
      </c>
      <c r="H983" s="56">
        <v>1</v>
      </c>
      <c r="I983" s="56" t="s">
        <v>3563</v>
      </c>
      <c r="J983" s="56">
        <v>0</v>
      </c>
      <c r="K983" s="56">
        <v>0</v>
      </c>
      <c r="P983" s="56">
        <v>0</v>
      </c>
      <c r="S983" s="56">
        <v>0</v>
      </c>
      <c r="T983" s="56" t="s">
        <v>3562</v>
      </c>
      <c r="V983" s="56" t="s">
        <v>3561</v>
      </c>
      <c r="W983" s="56" t="s">
        <v>3548</v>
      </c>
      <c r="X983" s="56" t="s">
        <v>39</v>
      </c>
      <c r="Y983" s="56" t="s">
        <v>5546</v>
      </c>
      <c r="Z983" s="56" t="s">
        <v>5545</v>
      </c>
      <c r="AC983" s="56" t="s">
        <v>3543</v>
      </c>
      <c r="AD983" s="56" t="s">
        <v>24</v>
      </c>
      <c r="AE983" s="56" t="s">
        <v>5367</v>
      </c>
      <c r="AF983" s="56" t="s">
        <v>5544</v>
      </c>
      <c r="AH983" s="56" t="s">
        <v>3542</v>
      </c>
      <c r="AI983" s="56" t="s">
        <v>3723</v>
      </c>
    </row>
    <row r="984" spans="1:35" ht="33" customHeight="1">
      <c r="A984" s="56" t="s">
        <v>5543</v>
      </c>
      <c r="B984" s="57">
        <v>44362.536134259259</v>
      </c>
      <c r="C984" s="56" t="s">
        <v>3803</v>
      </c>
      <c r="D984" s="56" t="s">
        <v>3802</v>
      </c>
      <c r="E984" s="56" t="s">
        <v>5542</v>
      </c>
      <c r="F984" s="56" t="s">
        <v>5541</v>
      </c>
      <c r="G984" s="58" t="s">
        <v>3299</v>
      </c>
      <c r="H984" s="56">
        <v>3</v>
      </c>
      <c r="I984" s="56" t="s">
        <v>3576</v>
      </c>
      <c r="J984" s="56">
        <v>299</v>
      </c>
      <c r="K984" s="56">
        <v>299</v>
      </c>
      <c r="L984" s="56">
        <v>2691</v>
      </c>
      <c r="M984" s="56">
        <v>0</v>
      </c>
      <c r="N984" s="56">
        <v>0</v>
      </c>
      <c r="O984" s="56">
        <v>255</v>
      </c>
      <c r="P984" s="56">
        <v>0</v>
      </c>
      <c r="Q984" s="56">
        <v>2436</v>
      </c>
      <c r="R984" s="56">
        <v>0</v>
      </c>
      <c r="S984" s="56">
        <v>0</v>
      </c>
      <c r="T984" s="56" t="s">
        <v>3562</v>
      </c>
      <c r="U984" s="56">
        <v>2436</v>
      </c>
      <c r="V984" s="56" t="s">
        <v>3561</v>
      </c>
      <c r="W984" s="56" t="s">
        <v>3548</v>
      </c>
      <c r="X984" s="56" t="s">
        <v>39</v>
      </c>
      <c r="Y984" s="56" t="s">
        <v>3742</v>
      </c>
      <c r="Z984" s="56" t="s">
        <v>5540</v>
      </c>
      <c r="AC984" s="56" t="s">
        <v>3543</v>
      </c>
      <c r="AD984" s="56" t="s">
        <v>24</v>
      </c>
      <c r="AE984" s="56" t="s">
        <v>5367</v>
      </c>
      <c r="AF984" s="56" t="s">
        <v>5539</v>
      </c>
      <c r="AH984" s="56" t="s">
        <v>3542</v>
      </c>
      <c r="AI984" s="56" t="s">
        <v>3723</v>
      </c>
    </row>
    <row r="985" spans="1:35" ht="33" customHeight="1">
      <c r="A985" s="56" t="s">
        <v>5543</v>
      </c>
      <c r="B985" s="57">
        <v>44362.536134259259</v>
      </c>
      <c r="C985" s="56" t="s">
        <v>3803</v>
      </c>
      <c r="D985" s="56" t="s">
        <v>3802</v>
      </c>
      <c r="E985" s="56" t="s">
        <v>5542</v>
      </c>
      <c r="F985" s="56" t="s">
        <v>5541</v>
      </c>
      <c r="G985" s="58" t="s">
        <v>1493</v>
      </c>
      <c r="H985" s="56">
        <v>4</v>
      </c>
      <c r="I985" s="56" t="s">
        <v>3586</v>
      </c>
      <c r="J985" s="56">
        <v>149</v>
      </c>
      <c r="K985" s="56">
        <v>149</v>
      </c>
      <c r="P985" s="56">
        <v>0</v>
      </c>
      <c r="S985" s="56">
        <v>0</v>
      </c>
      <c r="T985" s="56" t="s">
        <v>3562</v>
      </c>
      <c r="V985" s="56" t="s">
        <v>3561</v>
      </c>
      <c r="W985" s="56" t="s">
        <v>3548</v>
      </c>
      <c r="X985" s="56" t="s">
        <v>39</v>
      </c>
      <c r="Y985" s="56" t="s">
        <v>3742</v>
      </c>
      <c r="Z985" s="56" t="s">
        <v>5540</v>
      </c>
      <c r="AC985" s="56" t="s">
        <v>3543</v>
      </c>
      <c r="AD985" s="56" t="s">
        <v>24</v>
      </c>
      <c r="AE985" s="56" t="s">
        <v>5367</v>
      </c>
      <c r="AF985" s="56" t="s">
        <v>5539</v>
      </c>
      <c r="AH985" s="56" t="s">
        <v>3542</v>
      </c>
      <c r="AI985" s="56" t="s">
        <v>3723</v>
      </c>
    </row>
    <row r="986" spans="1:35" ht="33" customHeight="1">
      <c r="A986" s="56" t="s">
        <v>5543</v>
      </c>
      <c r="B986" s="57">
        <v>44362.536134259259</v>
      </c>
      <c r="C986" s="56" t="s">
        <v>3803</v>
      </c>
      <c r="D986" s="56" t="s">
        <v>3802</v>
      </c>
      <c r="E986" s="56" t="s">
        <v>5542</v>
      </c>
      <c r="F986" s="56" t="s">
        <v>5541</v>
      </c>
      <c r="G986" s="58" t="s">
        <v>4137</v>
      </c>
      <c r="H986" s="56">
        <v>2</v>
      </c>
      <c r="I986" s="56" t="s">
        <v>3577</v>
      </c>
      <c r="J986" s="56">
        <v>700</v>
      </c>
      <c r="K986" s="56">
        <v>599</v>
      </c>
      <c r="P986" s="56">
        <v>0</v>
      </c>
      <c r="S986" s="56">
        <v>0</v>
      </c>
      <c r="T986" s="56" t="s">
        <v>3562</v>
      </c>
      <c r="V986" s="56" t="s">
        <v>3561</v>
      </c>
      <c r="W986" s="56" t="s">
        <v>3548</v>
      </c>
      <c r="X986" s="56" t="s">
        <v>39</v>
      </c>
      <c r="Y986" s="56" t="s">
        <v>3742</v>
      </c>
      <c r="Z986" s="56" t="s">
        <v>5540</v>
      </c>
      <c r="AC986" s="56" t="s">
        <v>3543</v>
      </c>
      <c r="AD986" s="56" t="s">
        <v>24</v>
      </c>
      <c r="AE986" s="56" t="s">
        <v>5367</v>
      </c>
      <c r="AF986" s="56" t="s">
        <v>5539</v>
      </c>
      <c r="AH986" s="56" t="s">
        <v>3542</v>
      </c>
      <c r="AI986" s="56" t="s">
        <v>3723</v>
      </c>
    </row>
    <row r="987" spans="1:35" ht="33" customHeight="1">
      <c r="A987" s="56" t="s">
        <v>5543</v>
      </c>
      <c r="B987" s="57">
        <v>44362.536134259259</v>
      </c>
      <c r="C987" s="56" t="s">
        <v>3803</v>
      </c>
      <c r="D987" s="56" t="s">
        <v>3802</v>
      </c>
      <c r="E987" s="56" t="s">
        <v>5542</v>
      </c>
      <c r="F987" s="56" t="s">
        <v>5541</v>
      </c>
      <c r="G987" s="58" t="s">
        <v>3551</v>
      </c>
      <c r="H987" s="56">
        <v>1</v>
      </c>
      <c r="I987" s="56" t="s">
        <v>3550</v>
      </c>
      <c r="J987" s="56">
        <v>0</v>
      </c>
      <c r="K987" s="56">
        <v>0</v>
      </c>
      <c r="P987" s="56">
        <v>0</v>
      </c>
      <c r="S987" s="56">
        <v>0</v>
      </c>
      <c r="T987" s="56" t="s">
        <v>3562</v>
      </c>
      <c r="V987" s="56" t="s">
        <v>3561</v>
      </c>
      <c r="W987" s="56" t="s">
        <v>3548</v>
      </c>
      <c r="X987" s="56" t="s">
        <v>39</v>
      </c>
      <c r="Y987" s="56" t="s">
        <v>3742</v>
      </c>
      <c r="Z987" s="56" t="s">
        <v>5540</v>
      </c>
      <c r="AC987" s="56" t="s">
        <v>3543</v>
      </c>
      <c r="AD987" s="56" t="s">
        <v>24</v>
      </c>
      <c r="AE987" s="56" t="s">
        <v>5367</v>
      </c>
      <c r="AF987" s="56" t="s">
        <v>5539</v>
      </c>
      <c r="AH987" s="56" t="s">
        <v>3542</v>
      </c>
      <c r="AI987" s="56" t="s">
        <v>3723</v>
      </c>
    </row>
    <row r="988" spans="1:35" ht="33" customHeight="1">
      <c r="A988" s="56" t="s">
        <v>5543</v>
      </c>
      <c r="B988" s="57">
        <v>44362.536134259259</v>
      </c>
      <c r="C988" s="56" t="s">
        <v>3803</v>
      </c>
      <c r="D988" s="56" t="s">
        <v>3802</v>
      </c>
      <c r="E988" s="56" t="s">
        <v>5542</v>
      </c>
      <c r="F988" s="56" t="s">
        <v>5541</v>
      </c>
      <c r="G988" s="58" t="s">
        <v>1713</v>
      </c>
      <c r="H988" s="56">
        <v>1</v>
      </c>
      <c r="I988" s="56" t="s">
        <v>3568</v>
      </c>
      <c r="J988" s="56">
        <v>0</v>
      </c>
      <c r="K988" s="56">
        <v>0</v>
      </c>
      <c r="P988" s="56">
        <v>0</v>
      </c>
      <c r="S988" s="56">
        <v>0</v>
      </c>
      <c r="T988" s="56" t="s">
        <v>3562</v>
      </c>
      <c r="V988" s="56" t="s">
        <v>3561</v>
      </c>
      <c r="W988" s="56" t="s">
        <v>3548</v>
      </c>
      <c r="X988" s="56" t="s">
        <v>39</v>
      </c>
      <c r="Y988" s="56" t="s">
        <v>3742</v>
      </c>
      <c r="Z988" s="56" t="s">
        <v>5540</v>
      </c>
      <c r="AC988" s="56" t="s">
        <v>3543</v>
      </c>
      <c r="AD988" s="56" t="s">
        <v>24</v>
      </c>
      <c r="AE988" s="56" t="s">
        <v>5367</v>
      </c>
      <c r="AF988" s="56" t="s">
        <v>5539</v>
      </c>
      <c r="AH988" s="56" t="s">
        <v>3542</v>
      </c>
      <c r="AI988" s="56" t="s">
        <v>3723</v>
      </c>
    </row>
    <row r="989" spans="1:35" ht="33" customHeight="1">
      <c r="A989" s="56" t="s">
        <v>5543</v>
      </c>
      <c r="B989" s="57">
        <v>44362.536134259259</v>
      </c>
      <c r="C989" s="56" t="s">
        <v>3803</v>
      </c>
      <c r="D989" s="56" t="s">
        <v>3802</v>
      </c>
      <c r="E989" s="56" t="s">
        <v>5542</v>
      </c>
      <c r="F989" s="56" t="s">
        <v>5541</v>
      </c>
      <c r="G989" s="58" t="s">
        <v>1498</v>
      </c>
      <c r="H989" s="56">
        <v>1</v>
      </c>
      <c r="I989" s="56" t="s">
        <v>4016</v>
      </c>
      <c r="J989" s="56">
        <v>0</v>
      </c>
      <c r="K989" s="56">
        <v>0</v>
      </c>
      <c r="P989" s="56">
        <v>0</v>
      </c>
      <c r="S989" s="56">
        <v>0</v>
      </c>
      <c r="T989" s="56" t="s">
        <v>3562</v>
      </c>
      <c r="V989" s="56" t="s">
        <v>3561</v>
      </c>
      <c r="W989" s="56" t="s">
        <v>3548</v>
      </c>
      <c r="X989" s="56" t="s">
        <v>39</v>
      </c>
      <c r="Y989" s="56" t="s">
        <v>3742</v>
      </c>
      <c r="Z989" s="56" t="s">
        <v>5540</v>
      </c>
      <c r="AC989" s="56" t="s">
        <v>3543</v>
      </c>
      <c r="AD989" s="56" t="s">
        <v>24</v>
      </c>
      <c r="AE989" s="56" t="s">
        <v>5367</v>
      </c>
      <c r="AF989" s="56" t="s">
        <v>5539</v>
      </c>
      <c r="AH989" s="56" t="s">
        <v>3542</v>
      </c>
      <c r="AI989" s="56" t="s">
        <v>3723</v>
      </c>
    </row>
    <row r="990" spans="1:35" ht="33" customHeight="1">
      <c r="A990" s="56" t="s">
        <v>5543</v>
      </c>
      <c r="B990" s="57">
        <v>44362.536134259259</v>
      </c>
      <c r="C990" s="56" t="s">
        <v>3803</v>
      </c>
      <c r="D990" s="56" t="s">
        <v>3802</v>
      </c>
      <c r="E990" s="56" t="s">
        <v>5542</v>
      </c>
      <c r="F990" s="56" t="s">
        <v>5541</v>
      </c>
      <c r="G990" s="58" t="s">
        <v>3564</v>
      </c>
      <c r="H990" s="56">
        <v>1</v>
      </c>
      <c r="I990" s="56" t="s">
        <v>3563</v>
      </c>
      <c r="J990" s="56">
        <v>0</v>
      </c>
      <c r="K990" s="56">
        <v>0</v>
      </c>
      <c r="P990" s="56">
        <v>0</v>
      </c>
      <c r="S990" s="56">
        <v>0</v>
      </c>
      <c r="T990" s="56" t="s">
        <v>3562</v>
      </c>
      <c r="V990" s="56" t="s">
        <v>3561</v>
      </c>
      <c r="W990" s="56" t="s">
        <v>3548</v>
      </c>
      <c r="X990" s="56" t="s">
        <v>39</v>
      </c>
      <c r="Y990" s="56" t="s">
        <v>3742</v>
      </c>
      <c r="Z990" s="56" t="s">
        <v>5540</v>
      </c>
      <c r="AC990" s="56" t="s">
        <v>3543</v>
      </c>
      <c r="AD990" s="56" t="s">
        <v>24</v>
      </c>
      <c r="AE990" s="56" t="s">
        <v>5367</v>
      </c>
      <c r="AF990" s="56" t="s">
        <v>5539</v>
      </c>
      <c r="AH990" s="56" t="s">
        <v>3542</v>
      </c>
      <c r="AI990" s="56" t="s">
        <v>3723</v>
      </c>
    </row>
    <row r="991" spans="1:35" ht="33" customHeight="1">
      <c r="A991" s="56" t="s">
        <v>5538</v>
      </c>
      <c r="B991" s="57">
        <v>44362.538680555554</v>
      </c>
      <c r="C991" s="56" t="s">
        <v>4512</v>
      </c>
      <c r="D991" s="56" t="s">
        <v>4511</v>
      </c>
      <c r="E991" s="56" t="s">
        <v>5537</v>
      </c>
      <c r="F991" s="56" t="s">
        <v>5536</v>
      </c>
      <c r="G991" s="58" t="s">
        <v>3656</v>
      </c>
      <c r="H991" s="56">
        <v>1</v>
      </c>
      <c r="I991" s="56" t="s">
        <v>3655</v>
      </c>
      <c r="J991" s="56">
        <v>1107</v>
      </c>
      <c r="K991" s="56">
        <v>799</v>
      </c>
      <c r="L991" s="56">
        <v>799</v>
      </c>
      <c r="M991" s="56">
        <v>65</v>
      </c>
      <c r="N991" s="56">
        <v>0</v>
      </c>
      <c r="O991" s="56">
        <v>0</v>
      </c>
      <c r="P991" s="56">
        <v>0</v>
      </c>
      <c r="Q991" s="56">
        <v>864</v>
      </c>
      <c r="R991" s="56">
        <v>0</v>
      </c>
      <c r="S991" s="56">
        <v>0</v>
      </c>
      <c r="T991" s="56" t="s">
        <v>3562</v>
      </c>
      <c r="U991" s="56">
        <v>864</v>
      </c>
      <c r="V991" s="56" t="s">
        <v>3549</v>
      </c>
      <c r="W991" s="56" t="s">
        <v>3548</v>
      </c>
      <c r="X991" s="56" t="s">
        <v>3547</v>
      </c>
      <c r="Z991" s="56" t="s">
        <v>3546</v>
      </c>
      <c r="AA991" s="56" t="s">
        <v>5535</v>
      </c>
      <c r="AB991" s="56" t="s">
        <v>5534</v>
      </c>
      <c r="AC991" s="56" t="s">
        <v>3543</v>
      </c>
      <c r="AD991" s="56" t="s">
        <v>24</v>
      </c>
      <c r="AE991" s="56" t="s">
        <v>4145</v>
      </c>
      <c r="AF991" s="56" t="s">
        <v>5533</v>
      </c>
      <c r="AH991" s="56" t="s">
        <v>3542</v>
      </c>
      <c r="AI991" s="56" t="s">
        <v>3723</v>
      </c>
    </row>
    <row r="992" spans="1:35" ht="33" customHeight="1">
      <c r="A992" s="56" t="s">
        <v>5538</v>
      </c>
      <c r="B992" s="57">
        <v>44362.538680555554</v>
      </c>
      <c r="C992" s="56" t="s">
        <v>4512</v>
      </c>
      <c r="D992" s="56" t="s">
        <v>4511</v>
      </c>
      <c r="E992" s="56" t="s">
        <v>5537</v>
      </c>
      <c r="F992" s="56" t="s">
        <v>5536</v>
      </c>
      <c r="G992" s="58" t="s">
        <v>3551</v>
      </c>
      <c r="H992" s="56">
        <v>1</v>
      </c>
      <c r="I992" s="56" t="s">
        <v>3550</v>
      </c>
      <c r="J992" s="56">
        <v>0</v>
      </c>
      <c r="K992" s="56">
        <v>0</v>
      </c>
      <c r="P992" s="56">
        <v>0</v>
      </c>
      <c r="S992" s="56">
        <v>0</v>
      </c>
      <c r="T992" s="56" t="s">
        <v>3562</v>
      </c>
      <c r="V992" s="56" t="s">
        <v>3549</v>
      </c>
      <c r="W992" s="56" t="s">
        <v>3548</v>
      </c>
      <c r="X992" s="56" t="s">
        <v>3547</v>
      </c>
      <c r="Z992" s="56" t="s">
        <v>3546</v>
      </c>
      <c r="AA992" s="56" t="s">
        <v>5535</v>
      </c>
      <c r="AB992" s="56" t="s">
        <v>5534</v>
      </c>
      <c r="AC992" s="56" t="s">
        <v>3543</v>
      </c>
      <c r="AD992" s="56" t="s">
        <v>24</v>
      </c>
      <c r="AE992" s="56" t="s">
        <v>4145</v>
      </c>
      <c r="AF992" s="56" t="s">
        <v>5533</v>
      </c>
      <c r="AH992" s="56" t="s">
        <v>3542</v>
      </c>
      <c r="AI992" s="56" t="s">
        <v>3723</v>
      </c>
    </row>
    <row r="993" spans="1:35" ht="33" customHeight="1">
      <c r="A993" s="56" t="s">
        <v>5532</v>
      </c>
      <c r="B993" s="57">
        <v>44362.543842592589</v>
      </c>
      <c r="C993" s="56" t="s">
        <v>3803</v>
      </c>
      <c r="D993" s="56" t="s">
        <v>3802</v>
      </c>
      <c r="E993" s="56" t="s">
        <v>5531</v>
      </c>
      <c r="F993" s="56" t="s">
        <v>5530</v>
      </c>
      <c r="G993" s="58" t="s">
        <v>3654</v>
      </c>
      <c r="H993" s="56">
        <v>1</v>
      </c>
      <c r="I993" s="56" t="s">
        <v>3653</v>
      </c>
      <c r="J993" s="56">
        <v>447</v>
      </c>
      <c r="K993" s="56">
        <v>430</v>
      </c>
      <c r="L993" s="56">
        <v>1064</v>
      </c>
      <c r="M993" s="56">
        <v>0</v>
      </c>
      <c r="N993" s="56">
        <v>0</v>
      </c>
      <c r="O993" s="56">
        <v>100</v>
      </c>
      <c r="P993" s="56">
        <v>0</v>
      </c>
      <c r="Q993" s="56">
        <v>964</v>
      </c>
      <c r="R993" s="56">
        <v>0</v>
      </c>
      <c r="S993" s="56">
        <v>0</v>
      </c>
      <c r="T993" s="56" t="s">
        <v>3562</v>
      </c>
      <c r="U993" s="56">
        <v>964</v>
      </c>
      <c r="V993" s="56" t="s">
        <v>3561</v>
      </c>
      <c r="W993" s="56" t="s">
        <v>3548</v>
      </c>
      <c r="X993" s="56" t="s">
        <v>39</v>
      </c>
      <c r="Y993" s="56" t="s">
        <v>4279</v>
      </c>
      <c r="Z993" s="56" t="s">
        <v>5529</v>
      </c>
      <c r="AC993" s="56" t="s">
        <v>3842</v>
      </c>
      <c r="AD993" s="56" t="s">
        <v>24</v>
      </c>
      <c r="AE993" s="56" t="s">
        <v>5367</v>
      </c>
      <c r="AF993" s="56" t="s">
        <v>5528</v>
      </c>
      <c r="AH993" s="56" t="s">
        <v>3542</v>
      </c>
      <c r="AI993" s="56" t="s">
        <v>3723</v>
      </c>
    </row>
    <row r="994" spans="1:35" ht="33" customHeight="1">
      <c r="A994" s="56" t="s">
        <v>5532</v>
      </c>
      <c r="B994" s="57">
        <v>44362.543842592589</v>
      </c>
      <c r="C994" s="56" t="s">
        <v>3803</v>
      </c>
      <c r="D994" s="56" t="s">
        <v>3802</v>
      </c>
      <c r="E994" s="56" t="s">
        <v>5531</v>
      </c>
      <c r="F994" s="56" t="s">
        <v>5530</v>
      </c>
      <c r="G994" s="58" t="s">
        <v>1484</v>
      </c>
      <c r="H994" s="56">
        <v>1</v>
      </c>
      <c r="I994" s="56" t="s">
        <v>4174</v>
      </c>
      <c r="J994" s="56">
        <v>350</v>
      </c>
      <c r="K994" s="56">
        <v>350</v>
      </c>
      <c r="P994" s="56">
        <v>0</v>
      </c>
      <c r="S994" s="56">
        <v>0</v>
      </c>
      <c r="T994" s="56" t="s">
        <v>3562</v>
      </c>
      <c r="V994" s="56" t="s">
        <v>3561</v>
      </c>
      <c r="W994" s="56" t="s">
        <v>3548</v>
      </c>
      <c r="X994" s="56" t="s">
        <v>39</v>
      </c>
      <c r="Y994" s="56" t="s">
        <v>4279</v>
      </c>
      <c r="Z994" s="56" t="s">
        <v>5529</v>
      </c>
      <c r="AC994" s="56" t="s">
        <v>3842</v>
      </c>
      <c r="AD994" s="56" t="s">
        <v>24</v>
      </c>
      <c r="AE994" s="56" t="s">
        <v>5367</v>
      </c>
      <c r="AF994" s="56" t="s">
        <v>5528</v>
      </c>
      <c r="AH994" s="56" t="s">
        <v>3542</v>
      </c>
      <c r="AI994" s="56" t="s">
        <v>3723</v>
      </c>
    </row>
    <row r="995" spans="1:35" ht="33" customHeight="1">
      <c r="A995" s="56" t="s">
        <v>5532</v>
      </c>
      <c r="B995" s="57">
        <v>44362.543842592589</v>
      </c>
      <c r="C995" s="56" t="s">
        <v>3803</v>
      </c>
      <c r="D995" s="56" t="s">
        <v>3802</v>
      </c>
      <c r="E995" s="56" t="s">
        <v>5531</v>
      </c>
      <c r="F995" s="56" t="s">
        <v>5530</v>
      </c>
      <c r="G995" s="58" t="s">
        <v>2156</v>
      </c>
      <c r="H995" s="56">
        <v>1</v>
      </c>
      <c r="I995" s="56" t="s">
        <v>1376</v>
      </c>
      <c r="J995" s="56">
        <v>149</v>
      </c>
      <c r="K995" s="56">
        <v>149</v>
      </c>
      <c r="P995" s="56">
        <v>0</v>
      </c>
      <c r="S995" s="56">
        <v>0</v>
      </c>
      <c r="T995" s="56" t="s">
        <v>3562</v>
      </c>
      <c r="V995" s="56" t="s">
        <v>3561</v>
      </c>
      <c r="W995" s="56" t="s">
        <v>3548</v>
      </c>
      <c r="X995" s="56" t="s">
        <v>39</v>
      </c>
      <c r="Y995" s="56" t="s">
        <v>4279</v>
      </c>
      <c r="Z995" s="56" t="s">
        <v>5529</v>
      </c>
      <c r="AC995" s="56" t="s">
        <v>3842</v>
      </c>
      <c r="AD995" s="56" t="s">
        <v>24</v>
      </c>
      <c r="AE995" s="56" t="s">
        <v>5367</v>
      </c>
      <c r="AF995" s="56" t="s">
        <v>5528</v>
      </c>
      <c r="AH995" s="56" t="s">
        <v>3542</v>
      </c>
      <c r="AI995" s="56" t="s">
        <v>3723</v>
      </c>
    </row>
    <row r="996" spans="1:35" ht="33" customHeight="1">
      <c r="A996" s="56" t="s">
        <v>5532</v>
      </c>
      <c r="B996" s="57">
        <v>44362.543842592589</v>
      </c>
      <c r="C996" s="56" t="s">
        <v>3803</v>
      </c>
      <c r="D996" s="56" t="s">
        <v>3802</v>
      </c>
      <c r="E996" s="56" t="s">
        <v>5531</v>
      </c>
      <c r="F996" s="56" t="s">
        <v>5530</v>
      </c>
      <c r="G996" s="58" t="s">
        <v>1493</v>
      </c>
      <c r="H996" s="56">
        <v>1</v>
      </c>
      <c r="I996" s="56" t="s">
        <v>3601</v>
      </c>
      <c r="J996" s="56">
        <v>135</v>
      </c>
      <c r="K996" s="56">
        <v>135</v>
      </c>
      <c r="P996" s="56">
        <v>0</v>
      </c>
      <c r="S996" s="56">
        <v>0</v>
      </c>
      <c r="T996" s="56" t="s">
        <v>3562</v>
      </c>
      <c r="V996" s="56" t="s">
        <v>3561</v>
      </c>
      <c r="W996" s="56" t="s">
        <v>3548</v>
      </c>
      <c r="X996" s="56" t="s">
        <v>39</v>
      </c>
      <c r="Y996" s="56" t="s">
        <v>4279</v>
      </c>
      <c r="Z996" s="56" t="s">
        <v>5529</v>
      </c>
      <c r="AC996" s="56" t="s">
        <v>3842</v>
      </c>
      <c r="AD996" s="56" t="s">
        <v>24</v>
      </c>
      <c r="AE996" s="56" t="s">
        <v>5367</v>
      </c>
      <c r="AF996" s="56" t="s">
        <v>5528</v>
      </c>
      <c r="AH996" s="56" t="s">
        <v>3542</v>
      </c>
      <c r="AI996" s="56" t="s">
        <v>3723</v>
      </c>
    </row>
    <row r="997" spans="1:35" ht="33" customHeight="1">
      <c r="A997" s="56" t="s">
        <v>5532</v>
      </c>
      <c r="B997" s="57">
        <v>44362.543842592589</v>
      </c>
      <c r="C997" s="56" t="s">
        <v>3803</v>
      </c>
      <c r="D997" s="56" t="s">
        <v>3802</v>
      </c>
      <c r="E997" s="56" t="s">
        <v>5531</v>
      </c>
      <c r="F997" s="56" t="s">
        <v>5530</v>
      </c>
      <c r="G997" s="58" t="s">
        <v>3551</v>
      </c>
      <c r="H997" s="56">
        <v>1</v>
      </c>
      <c r="I997" s="56" t="s">
        <v>3550</v>
      </c>
      <c r="J997" s="56">
        <v>0</v>
      </c>
      <c r="K997" s="56">
        <v>0</v>
      </c>
      <c r="P997" s="56">
        <v>0</v>
      </c>
      <c r="S997" s="56">
        <v>0</v>
      </c>
      <c r="T997" s="56" t="s">
        <v>3562</v>
      </c>
      <c r="V997" s="56" t="s">
        <v>3561</v>
      </c>
      <c r="W997" s="56" t="s">
        <v>3548</v>
      </c>
      <c r="X997" s="56" t="s">
        <v>39</v>
      </c>
      <c r="Y997" s="56" t="s">
        <v>4279</v>
      </c>
      <c r="Z997" s="56" t="s">
        <v>5529</v>
      </c>
      <c r="AC997" s="56" t="s">
        <v>3842</v>
      </c>
      <c r="AD997" s="56" t="s">
        <v>24</v>
      </c>
      <c r="AE997" s="56" t="s">
        <v>5367</v>
      </c>
      <c r="AF997" s="56" t="s">
        <v>5528</v>
      </c>
      <c r="AH997" s="56" t="s">
        <v>3542</v>
      </c>
      <c r="AI997" s="56" t="s">
        <v>3723</v>
      </c>
    </row>
    <row r="998" spans="1:35" ht="33" customHeight="1">
      <c r="A998" s="56" t="s">
        <v>5532</v>
      </c>
      <c r="B998" s="57">
        <v>44362.543842592589</v>
      </c>
      <c r="C998" s="56" t="s">
        <v>3803</v>
      </c>
      <c r="D998" s="56" t="s">
        <v>3802</v>
      </c>
      <c r="E998" s="56" t="s">
        <v>5531</v>
      </c>
      <c r="F998" s="56" t="s">
        <v>5530</v>
      </c>
      <c r="G998" s="58" t="s">
        <v>1498</v>
      </c>
      <c r="H998" s="56">
        <v>1</v>
      </c>
      <c r="I998" s="56" t="s">
        <v>4016</v>
      </c>
      <c r="J998" s="56">
        <v>0</v>
      </c>
      <c r="K998" s="56">
        <v>0</v>
      </c>
      <c r="P998" s="56">
        <v>0</v>
      </c>
      <c r="S998" s="56">
        <v>0</v>
      </c>
      <c r="T998" s="56" t="s">
        <v>3562</v>
      </c>
      <c r="V998" s="56" t="s">
        <v>3561</v>
      </c>
      <c r="W998" s="56" t="s">
        <v>3548</v>
      </c>
      <c r="X998" s="56" t="s">
        <v>39</v>
      </c>
      <c r="Y998" s="56" t="s">
        <v>4279</v>
      </c>
      <c r="Z998" s="56" t="s">
        <v>5529</v>
      </c>
      <c r="AC998" s="56" t="s">
        <v>3842</v>
      </c>
      <c r="AD998" s="56" t="s">
        <v>24</v>
      </c>
      <c r="AE998" s="56" t="s">
        <v>5367</v>
      </c>
      <c r="AF998" s="56" t="s">
        <v>5528</v>
      </c>
      <c r="AH998" s="56" t="s">
        <v>3542</v>
      </c>
      <c r="AI998" s="56" t="s">
        <v>3723</v>
      </c>
    </row>
    <row r="999" spans="1:35" ht="33" customHeight="1">
      <c r="A999" s="56" t="s">
        <v>5527</v>
      </c>
      <c r="B999" s="57">
        <v>44362.569085648145</v>
      </c>
      <c r="C999" s="56" t="s">
        <v>4512</v>
      </c>
      <c r="D999" s="56" t="s">
        <v>4511</v>
      </c>
      <c r="E999" s="56" t="s">
        <v>4613</v>
      </c>
      <c r="F999" s="56" t="s">
        <v>5526</v>
      </c>
      <c r="G999" s="58" t="s">
        <v>3811</v>
      </c>
      <c r="H999" s="56">
        <v>1</v>
      </c>
      <c r="I999" s="56" t="s">
        <v>3669</v>
      </c>
      <c r="J999" s="56">
        <v>897</v>
      </c>
      <c r="K999" s="56">
        <v>888</v>
      </c>
      <c r="L999" s="56">
        <v>1056</v>
      </c>
      <c r="M999" s="56">
        <v>0</v>
      </c>
      <c r="N999" s="56">
        <v>0</v>
      </c>
      <c r="O999" s="56">
        <v>100</v>
      </c>
      <c r="P999" s="56">
        <v>0</v>
      </c>
      <c r="Q999" s="56">
        <v>956</v>
      </c>
      <c r="R999" s="56">
        <v>0</v>
      </c>
      <c r="S999" s="56">
        <v>0</v>
      </c>
      <c r="T999" s="56" t="s">
        <v>3562</v>
      </c>
      <c r="U999" s="56">
        <v>956</v>
      </c>
      <c r="V999" s="56" t="s">
        <v>3549</v>
      </c>
      <c r="W999" s="56" t="s">
        <v>3548</v>
      </c>
      <c r="X999" s="56" t="s">
        <v>3547</v>
      </c>
      <c r="Z999" s="56" t="s">
        <v>3546</v>
      </c>
      <c r="AA999" s="56" t="s">
        <v>5525</v>
      </c>
      <c r="AB999" s="56" t="s">
        <v>5524</v>
      </c>
      <c r="AC999" s="56" t="s">
        <v>3543</v>
      </c>
      <c r="AD999" s="56" t="s">
        <v>24</v>
      </c>
      <c r="AE999" s="56" t="s">
        <v>4145</v>
      </c>
      <c r="AF999" s="56" t="s">
        <v>5523</v>
      </c>
      <c r="AH999" s="56" t="s">
        <v>3542</v>
      </c>
      <c r="AI999" s="56" t="s">
        <v>3723</v>
      </c>
    </row>
    <row r="1000" spans="1:35" ht="33" customHeight="1">
      <c r="A1000" s="56" t="s">
        <v>5527</v>
      </c>
      <c r="B1000" s="57">
        <v>44362.569085648145</v>
      </c>
      <c r="C1000" s="56" t="s">
        <v>4512</v>
      </c>
      <c r="D1000" s="56" t="s">
        <v>4511</v>
      </c>
      <c r="E1000" s="56" t="s">
        <v>4613</v>
      </c>
      <c r="F1000" s="56" t="s">
        <v>5526</v>
      </c>
      <c r="G1000" s="58" t="s">
        <v>1514</v>
      </c>
      <c r="H1000" s="56">
        <v>1</v>
      </c>
      <c r="I1000" s="56" t="s">
        <v>3740</v>
      </c>
      <c r="J1000" s="56">
        <v>220</v>
      </c>
      <c r="K1000" s="56">
        <v>168</v>
      </c>
      <c r="P1000" s="56">
        <v>0</v>
      </c>
      <c r="S1000" s="56">
        <v>0</v>
      </c>
      <c r="T1000" s="56" t="s">
        <v>3562</v>
      </c>
      <c r="V1000" s="56" t="s">
        <v>3549</v>
      </c>
      <c r="W1000" s="56" t="s">
        <v>3548</v>
      </c>
      <c r="X1000" s="56" t="s">
        <v>3547</v>
      </c>
      <c r="Z1000" s="56" t="s">
        <v>3546</v>
      </c>
      <c r="AA1000" s="56" t="s">
        <v>5525</v>
      </c>
      <c r="AB1000" s="56" t="s">
        <v>5524</v>
      </c>
      <c r="AC1000" s="56" t="s">
        <v>3543</v>
      </c>
      <c r="AD1000" s="56" t="s">
        <v>24</v>
      </c>
      <c r="AE1000" s="56" t="s">
        <v>4145</v>
      </c>
      <c r="AF1000" s="56" t="s">
        <v>5523</v>
      </c>
      <c r="AH1000" s="56" t="s">
        <v>3542</v>
      </c>
      <c r="AI1000" s="56" t="s">
        <v>3723</v>
      </c>
    </row>
    <row r="1001" spans="1:35" ht="33" customHeight="1">
      <c r="A1001" s="56" t="s">
        <v>5527</v>
      </c>
      <c r="B1001" s="57">
        <v>44362.569085648145</v>
      </c>
      <c r="C1001" s="56" t="s">
        <v>4512</v>
      </c>
      <c r="D1001" s="56" t="s">
        <v>4511</v>
      </c>
      <c r="E1001" s="56" t="s">
        <v>4613</v>
      </c>
      <c r="F1001" s="56" t="s">
        <v>5526</v>
      </c>
      <c r="G1001" s="58" t="s">
        <v>3551</v>
      </c>
      <c r="H1001" s="56">
        <v>1</v>
      </c>
      <c r="I1001" s="56" t="s">
        <v>3550</v>
      </c>
      <c r="J1001" s="56">
        <v>0</v>
      </c>
      <c r="K1001" s="56">
        <v>0</v>
      </c>
      <c r="P1001" s="56">
        <v>0</v>
      </c>
      <c r="S1001" s="56">
        <v>0</v>
      </c>
      <c r="T1001" s="56" t="s">
        <v>3562</v>
      </c>
      <c r="V1001" s="56" t="s">
        <v>3549</v>
      </c>
      <c r="W1001" s="56" t="s">
        <v>3548</v>
      </c>
      <c r="X1001" s="56" t="s">
        <v>3547</v>
      </c>
      <c r="Z1001" s="56" t="s">
        <v>3546</v>
      </c>
      <c r="AA1001" s="56" t="s">
        <v>5525</v>
      </c>
      <c r="AB1001" s="56" t="s">
        <v>5524</v>
      </c>
      <c r="AC1001" s="56" t="s">
        <v>3543</v>
      </c>
      <c r="AD1001" s="56" t="s">
        <v>24</v>
      </c>
      <c r="AE1001" s="56" t="s">
        <v>4145</v>
      </c>
      <c r="AF1001" s="56" t="s">
        <v>5523</v>
      </c>
      <c r="AH1001" s="56" t="s">
        <v>3542</v>
      </c>
      <c r="AI1001" s="56" t="s">
        <v>3723</v>
      </c>
    </row>
    <row r="1002" spans="1:35" ht="33" customHeight="1">
      <c r="A1002" s="56" t="s">
        <v>5527</v>
      </c>
      <c r="B1002" s="57">
        <v>44362.569085648145</v>
      </c>
      <c r="C1002" s="56" t="s">
        <v>4512</v>
      </c>
      <c r="D1002" s="56" t="s">
        <v>4511</v>
      </c>
      <c r="E1002" s="56" t="s">
        <v>4613</v>
      </c>
      <c r="F1002" s="56" t="s">
        <v>5526</v>
      </c>
      <c r="G1002" s="58" t="s">
        <v>1498</v>
      </c>
      <c r="H1002" s="56">
        <v>1</v>
      </c>
      <c r="I1002" s="56" t="s">
        <v>4016</v>
      </c>
      <c r="J1002" s="56">
        <v>0</v>
      </c>
      <c r="K1002" s="56">
        <v>0</v>
      </c>
      <c r="P1002" s="56">
        <v>0</v>
      </c>
      <c r="S1002" s="56">
        <v>0</v>
      </c>
      <c r="T1002" s="56" t="s">
        <v>3562</v>
      </c>
      <c r="V1002" s="56" t="s">
        <v>3549</v>
      </c>
      <c r="W1002" s="56" t="s">
        <v>3548</v>
      </c>
      <c r="X1002" s="56" t="s">
        <v>3547</v>
      </c>
      <c r="Z1002" s="56" t="s">
        <v>3546</v>
      </c>
      <c r="AA1002" s="56" t="s">
        <v>5525</v>
      </c>
      <c r="AB1002" s="56" t="s">
        <v>5524</v>
      </c>
      <c r="AC1002" s="56" t="s">
        <v>3543</v>
      </c>
      <c r="AD1002" s="56" t="s">
        <v>24</v>
      </c>
      <c r="AE1002" s="56" t="s">
        <v>4145</v>
      </c>
      <c r="AF1002" s="56" t="s">
        <v>5523</v>
      </c>
      <c r="AH1002" s="56" t="s">
        <v>3542</v>
      </c>
      <c r="AI1002" s="56" t="s">
        <v>3723</v>
      </c>
    </row>
    <row r="1003" spans="1:35" ht="33" customHeight="1">
      <c r="A1003" s="56" t="s">
        <v>5522</v>
      </c>
      <c r="B1003" s="57">
        <v>44362.585405092592</v>
      </c>
      <c r="C1003" s="56" t="s">
        <v>3803</v>
      </c>
      <c r="D1003" s="56" t="s">
        <v>3802</v>
      </c>
      <c r="E1003" s="56" t="s">
        <v>5521</v>
      </c>
      <c r="F1003" s="56" t="s">
        <v>5520</v>
      </c>
      <c r="G1003" s="58" t="s">
        <v>5138</v>
      </c>
      <c r="H1003" s="56">
        <v>1</v>
      </c>
      <c r="I1003" s="56" t="s">
        <v>3746</v>
      </c>
      <c r="J1003" s="56">
        <v>660</v>
      </c>
      <c r="K1003" s="56">
        <v>450</v>
      </c>
      <c r="L1003" s="56">
        <v>1338</v>
      </c>
      <c r="M1003" s="56">
        <v>0</v>
      </c>
      <c r="N1003" s="56">
        <v>0</v>
      </c>
      <c r="O1003" s="56">
        <v>100</v>
      </c>
      <c r="P1003" s="56">
        <v>0</v>
      </c>
      <c r="Q1003" s="56">
        <v>1238</v>
      </c>
      <c r="R1003" s="56">
        <v>0</v>
      </c>
      <c r="S1003" s="56">
        <v>0</v>
      </c>
      <c r="T1003" s="56" t="s">
        <v>3562</v>
      </c>
      <c r="U1003" s="56">
        <v>1238</v>
      </c>
      <c r="V1003" s="56" t="s">
        <v>3561</v>
      </c>
      <c r="W1003" s="56" t="s">
        <v>3548</v>
      </c>
      <c r="X1003" s="56" t="s">
        <v>39</v>
      </c>
      <c r="Y1003" s="56" t="s">
        <v>3787</v>
      </c>
      <c r="Z1003" s="56" t="s">
        <v>5519</v>
      </c>
      <c r="AC1003" s="56" t="s">
        <v>3543</v>
      </c>
      <c r="AD1003" s="56" t="s">
        <v>24</v>
      </c>
      <c r="AE1003" s="56" t="s">
        <v>5367</v>
      </c>
      <c r="AF1003" s="56" t="s">
        <v>5518</v>
      </c>
      <c r="AH1003" s="56" t="s">
        <v>3542</v>
      </c>
      <c r="AI1003" s="56" t="s">
        <v>3723</v>
      </c>
    </row>
    <row r="1004" spans="1:35" ht="33" customHeight="1">
      <c r="A1004" s="56" t="s">
        <v>5522</v>
      </c>
      <c r="B1004" s="57">
        <v>44362.585405092592</v>
      </c>
      <c r="C1004" s="56" t="s">
        <v>3803</v>
      </c>
      <c r="D1004" s="56" t="s">
        <v>3802</v>
      </c>
      <c r="E1004" s="56" t="s">
        <v>5521</v>
      </c>
      <c r="F1004" s="56" t="s">
        <v>5520</v>
      </c>
      <c r="G1004" s="58" t="s">
        <v>3953</v>
      </c>
      <c r="H1004" s="56">
        <v>1</v>
      </c>
      <c r="I1004" s="56" t="s">
        <v>3669</v>
      </c>
      <c r="J1004" s="56">
        <v>897</v>
      </c>
      <c r="K1004" s="56">
        <v>888</v>
      </c>
      <c r="P1004" s="56">
        <v>0</v>
      </c>
      <c r="S1004" s="56">
        <v>0</v>
      </c>
      <c r="T1004" s="56" t="s">
        <v>3562</v>
      </c>
      <c r="V1004" s="56" t="s">
        <v>3561</v>
      </c>
      <c r="W1004" s="56" t="s">
        <v>3548</v>
      </c>
      <c r="X1004" s="56" t="s">
        <v>39</v>
      </c>
      <c r="Y1004" s="56" t="s">
        <v>3787</v>
      </c>
      <c r="Z1004" s="56" t="s">
        <v>5519</v>
      </c>
      <c r="AC1004" s="56" t="s">
        <v>3543</v>
      </c>
      <c r="AD1004" s="56" t="s">
        <v>24</v>
      </c>
      <c r="AE1004" s="56" t="s">
        <v>5367</v>
      </c>
      <c r="AF1004" s="56" t="s">
        <v>5518</v>
      </c>
      <c r="AH1004" s="56" t="s">
        <v>3542</v>
      </c>
      <c r="AI1004" s="56" t="s">
        <v>3723</v>
      </c>
    </row>
    <row r="1005" spans="1:35" ht="33" customHeight="1">
      <c r="A1005" s="56" t="s">
        <v>5522</v>
      </c>
      <c r="B1005" s="57">
        <v>44362.585405092592</v>
      </c>
      <c r="C1005" s="56" t="s">
        <v>3803</v>
      </c>
      <c r="D1005" s="56" t="s">
        <v>3802</v>
      </c>
      <c r="E1005" s="56" t="s">
        <v>5521</v>
      </c>
      <c r="F1005" s="56" t="s">
        <v>5520</v>
      </c>
      <c r="G1005" s="58" t="s">
        <v>3551</v>
      </c>
      <c r="H1005" s="56">
        <v>1</v>
      </c>
      <c r="I1005" s="56" t="s">
        <v>3550</v>
      </c>
      <c r="J1005" s="56">
        <v>0</v>
      </c>
      <c r="K1005" s="56">
        <v>0</v>
      </c>
      <c r="P1005" s="56">
        <v>0</v>
      </c>
      <c r="S1005" s="56">
        <v>0</v>
      </c>
      <c r="T1005" s="56" t="s">
        <v>3562</v>
      </c>
      <c r="V1005" s="56" t="s">
        <v>3561</v>
      </c>
      <c r="W1005" s="56" t="s">
        <v>3548</v>
      </c>
      <c r="X1005" s="56" t="s">
        <v>39</v>
      </c>
      <c r="Y1005" s="56" t="s">
        <v>3787</v>
      </c>
      <c r="Z1005" s="56" t="s">
        <v>5519</v>
      </c>
      <c r="AC1005" s="56" t="s">
        <v>3543</v>
      </c>
      <c r="AD1005" s="56" t="s">
        <v>24</v>
      </c>
      <c r="AE1005" s="56" t="s">
        <v>5367</v>
      </c>
      <c r="AF1005" s="56" t="s">
        <v>5518</v>
      </c>
      <c r="AH1005" s="56" t="s">
        <v>3542</v>
      </c>
      <c r="AI1005" s="56" t="s">
        <v>3723</v>
      </c>
    </row>
    <row r="1006" spans="1:35" ht="33" customHeight="1">
      <c r="A1006" s="56" t="s">
        <v>5522</v>
      </c>
      <c r="B1006" s="57">
        <v>44362.585405092592</v>
      </c>
      <c r="C1006" s="56" t="s">
        <v>3803</v>
      </c>
      <c r="D1006" s="56" t="s">
        <v>3802</v>
      </c>
      <c r="E1006" s="56" t="s">
        <v>5521</v>
      </c>
      <c r="F1006" s="56" t="s">
        <v>5520</v>
      </c>
      <c r="G1006" s="58" t="s">
        <v>1498</v>
      </c>
      <c r="H1006" s="56">
        <v>1</v>
      </c>
      <c r="I1006" s="56" t="s">
        <v>4016</v>
      </c>
      <c r="J1006" s="56">
        <v>0</v>
      </c>
      <c r="K1006" s="56">
        <v>0</v>
      </c>
      <c r="P1006" s="56">
        <v>0</v>
      </c>
      <c r="S1006" s="56">
        <v>0</v>
      </c>
      <c r="T1006" s="56" t="s">
        <v>3562</v>
      </c>
      <c r="V1006" s="56" t="s">
        <v>3561</v>
      </c>
      <c r="W1006" s="56" t="s">
        <v>3548</v>
      </c>
      <c r="X1006" s="56" t="s">
        <v>39</v>
      </c>
      <c r="Y1006" s="56" t="s">
        <v>3787</v>
      </c>
      <c r="Z1006" s="56" t="s">
        <v>5519</v>
      </c>
      <c r="AC1006" s="56" t="s">
        <v>3543</v>
      </c>
      <c r="AD1006" s="56" t="s">
        <v>24</v>
      </c>
      <c r="AE1006" s="56" t="s">
        <v>5367</v>
      </c>
      <c r="AF1006" s="56" t="s">
        <v>5518</v>
      </c>
      <c r="AH1006" s="56" t="s">
        <v>3542</v>
      </c>
      <c r="AI1006" s="56" t="s">
        <v>3723</v>
      </c>
    </row>
    <row r="1007" spans="1:35" ht="33" customHeight="1">
      <c r="A1007" s="56" t="s">
        <v>5517</v>
      </c>
      <c r="B1007" s="57">
        <v>44362.596168981479</v>
      </c>
      <c r="C1007" s="56" t="s">
        <v>4512</v>
      </c>
      <c r="D1007" s="56" t="s">
        <v>4511</v>
      </c>
      <c r="E1007" s="56" t="s">
        <v>5516</v>
      </c>
      <c r="F1007" s="56" t="s">
        <v>5515</v>
      </c>
      <c r="G1007" s="58" t="s">
        <v>5336</v>
      </c>
      <c r="H1007" s="56">
        <v>1</v>
      </c>
      <c r="I1007" s="56" t="s">
        <v>5335</v>
      </c>
      <c r="J1007" s="56">
        <v>505</v>
      </c>
      <c r="K1007" s="56">
        <v>420</v>
      </c>
      <c r="L1007" s="56">
        <v>2052</v>
      </c>
      <c r="M1007" s="56">
        <v>0</v>
      </c>
      <c r="N1007" s="56">
        <v>0</v>
      </c>
      <c r="O1007" s="56">
        <v>100</v>
      </c>
      <c r="P1007" s="56">
        <v>0</v>
      </c>
      <c r="Q1007" s="56">
        <v>1952</v>
      </c>
      <c r="R1007" s="56">
        <v>0</v>
      </c>
      <c r="S1007" s="56">
        <v>0</v>
      </c>
      <c r="T1007" s="56" t="s">
        <v>3562</v>
      </c>
      <c r="U1007" s="56">
        <v>1952</v>
      </c>
      <c r="V1007" s="56" t="s">
        <v>3549</v>
      </c>
      <c r="W1007" s="56" t="s">
        <v>3548</v>
      </c>
      <c r="X1007" s="56" t="s">
        <v>3547</v>
      </c>
      <c r="Z1007" s="56" t="s">
        <v>3546</v>
      </c>
      <c r="AA1007" s="56" t="s">
        <v>5514</v>
      </c>
      <c r="AB1007" s="56" t="s">
        <v>5513</v>
      </c>
      <c r="AC1007" s="56" t="s">
        <v>3543</v>
      </c>
      <c r="AD1007" s="56" t="s">
        <v>24</v>
      </c>
      <c r="AE1007" s="56" t="s">
        <v>4145</v>
      </c>
      <c r="AF1007" s="56" t="s">
        <v>5512</v>
      </c>
      <c r="AH1007" s="56" t="s">
        <v>3542</v>
      </c>
      <c r="AI1007" s="56" t="s">
        <v>3723</v>
      </c>
    </row>
    <row r="1008" spans="1:35" ht="33" customHeight="1">
      <c r="A1008" s="56" t="s">
        <v>5517</v>
      </c>
      <c r="B1008" s="57">
        <v>44362.596168981479</v>
      </c>
      <c r="C1008" s="56" t="s">
        <v>4512</v>
      </c>
      <c r="D1008" s="56" t="s">
        <v>4511</v>
      </c>
      <c r="E1008" s="56" t="s">
        <v>5516</v>
      </c>
      <c r="F1008" s="56" t="s">
        <v>5515</v>
      </c>
      <c r="G1008" s="58" t="s">
        <v>4490</v>
      </c>
      <c r="H1008" s="56">
        <v>1</v>
      </c>
      <c r="I1008" s="56" t="s">
        <v>3577</v>
      </c>
      <c r="J1008" s="56">
        <v>700</v>
      </c>
      <c r="K1008" s="56">
        <v>599</v>
      </c>
      <c r="P1008" s="56">
        <v>0</v>
      </c>
      <c r="S1008" s="56">
        <v>0</v>
      </c>
      <c r="T1008" s="56" t="s">
        <v>3562</v>
      </c>
      <c r="V1008" s="56" t="s">
        <v>3549</v>
      </c>
      <c r="W1008" s="56" t="s">
        <v>3548</v>
      </c>
      <c r="X1008" s="56" t="s">
        <v>3547</v>
      </c>
      <c r="Z1008" s="56" t="s">
        <v>3546</v>
      </c>
      <c r="AA1008" s="56" t="s">
        <v>5514</v>
      </c>
      <c r="AB1008" s="56" t="s">
        <v>5513</v>
      </c>
      <c r="AC1008" s="56" t="s">
        <v>3543</v>
      </c>
      <c r="AD1008" s="56" t="s">
        <v>24</v>
      </c>
      <c r="AE1008" s="56" t="s">
        <v>4145</v>
      </c>
      <c r="AF1008" s="56" t="s">
        <v>5512</v>
      </c>
      <c r="AH1008" s="56" t="s">
        <v>3542</v>
      </c>
      <c r="AI1008" s="56" t="s">
        <v>3723</v>
      </c>
    </row>
    <row r="1009" spans="1:35" ht="33" customHeight="1">
      <c r="A1009" s="56" t="s">
        <v>5517</v>
      </c>
      <c r="B1009" s="57">
        <v>44362.596168981479</v>
      </c>
      <c r="C1009" s="56" t="s">
        <v>4512</v>
      </c>
      <c r="D1009" s="56" t="s">
        <v>4511</v>
      </c>
      <c r="E1009" s="56" t="s">
        <v>5516</v>
      </c>
      <c r="F1009" s="56" t="s">
        <v>5515</v>
      </c>
      <c r="G1009" s="58" t="s">
        <v>2156</v>
      </c>
      <c r="H1009" s="56">
        <v>1</v>
      </c>
      <c r="I1009" s="56" t="s">
        <v>1376</v>
      </c>
      <c r="J1009" s="56">
        <v>145</v>
      </c>
      <c r="K1009" s="56">
        <v>145</v>
      </c>
      <c r="P1009" s="56">
        <v>0</v>
      </c>
      <c r="S1009" s="56">
        <v>0</v>
      </c>
      <c r="T1009" s="56" t="s">
        <v>3562</v>
      </c>
      <c r="V1009" s="56" t="s">
        <v>3549</v>
      </c>
      <c r="W1009" s="56" t="s">
        <v>3548</v>
      </c>
      <c r="X1009" s="56" t="s">
        <v>3547</v>
      </c>
      <c r="Z1009" s="56" t="s">
        <v>3546</v>
      </c>
      <c r="AA1009" s="56" t="s">
        <v>5514</v>
      </c>
      <c r="AB1009" s="56" t="s">
        <v>5513</v>
      </c>
      <c r="AC1009" s="56" t="s">
        <v>3543</v>
      </c>
      <c r="AD1009" s="56" t="s">
        <v>24</v>
      </c>
      <c r="AE1009" s="56" t="s">
        <v>4145</v>
      </c>
      <c r="AF1009" s="56" t="s">
        <v>5512</v>
      </c>
      <c r="AH1009" s="56" t="s">
        <v>3542</v>
      </c>
      <c r="AI1009" s="56" t="s">
        <v>3723</v>
      </c>
    </row>
    <row r="1010" spans="1:35" ht="33" customHeight="1">
      <c r="A1010" s="56" t="s">
        <v>5517</v>
      </c>
      <c r="B1010" s="57">
        <v>44362.596168981479</v>
      </c>
      <c r="C1010" s="56" t="s">
        <v>4512</v>
      </c>
      <c r="D1010" s="56" t="s">
        <v>4511</v>
      </c>
      <c r="E1010" s="56" t="s">
        <v>5516</v>
      </c>
      <c r="F1010" s="56" t="s">
        <v>5515</v>
      </c>
      <c r="G1010" s="58" t="s">
        <v>3811</v>
      </c>
      <c r="H1010" s="56">
        <v>1</v>
      </c>
      <c r="I1010" s="56" t="s">
        <v>3669</v>
      </c>
      <c r="J1010" s="56">
        <v>897</v>
      </c>
      <c r="K1010" s="56">
        <v>888</v>
      </c>
      <c r="P1010" s="56">
        <v>0</v>
      </c>
      <c r="S1010" s="56">
        <v>0</v>
      </c>
      <c r="T1010" s="56" t="s">
        <v>3562</v>
      </c>
      <c r="V1010" s="56" t="s">
        <v>3549</v>
      </c>
      <c r="W1010" s="56" t="s">
        <v>3548</v>
      </c>
      <c r="X1010" s="56" t="s">
        <v>3547</v>
      </c>
      <c r="Z1010" s="56" t="s">
        <v>3546</v>
      </c>
      <c r="AA1010" s="56" t="s">
        <v>5514</v>
      </c>
      <c r="AB1010" s="56" t="s">
        <v>5513</v>
      </c>
      <c r="AC1010" s="56" t="s">
        <v>3543</v>
      </c>
      <c r="AD1010" s="56" t="s">
        <v>24</v>
      </c>
      <c r="AE1010" s="56" t="s">
        <v>4145</v>
      </c>
      <c r="AF1010" s="56" t="s">
        <v>5512</v>
      </c>
      <c r="AH1010" s="56" t="s">
        <v>3542</v>
      </c>
      <c r="AI1010" s="56" t="s">
        <v>3723</v>
      </c>
    </row>
    <row r="1011" spans="1:35" ht="33" customHeight="1">
      <c r="A1011" s="56" t="s">
        <v>5517</v>
      </c>
      <c r="B1011" s="57">
        <v>44362.596168981479</v>
      </c>
      <c r="C1011" s="56" t="s">
        <v>4512</v>
      </c>
      <c r="D1011" s="56" t="s">
        <v>4511</v>
      </c>
      <c r="E1011" s="56" t="s">
        <v>5516</v>
      </c>
      <c r="F1011" s="56" t="s">
        <v>5515</v>
      </c>
      <c r="G1011" s="58" t="s">
        <v>3551</v>
      </c>
      <c r="H1011" s="56">
        <v>1</v>
      </c>
      <c r="I1011" s="56" t="s">
        <v>3550</v>
      </c>
      <c r="J1011" s="56">
        <v>0</v>
      </c>
      <c r="K1011" s="56">
        <v>0</v>
      </c>
      <c r="P1011" s="56">
        <v>0</v>
      </c>
      <c r="S1011" s="56">
        <v>0</v>
      </c>
      <c r="T1011" s="56" t="s">
        <v>3562</v>
      </c>
      <c r="V1011" s="56" t="s">
        <v>3549</v>
      </c>
      <c r="W1011" s="56" t="s">
        <v>3548</v>
      </c>
      <c r="X1011" s="56" t="s">
        <v>3547</v>
      </c>
      <c r="Z1011" s="56" t="s">
        <v>3546</v>
      </c>
      <c r="AA1011" s="56" t="s">
        <v>5514</v>
      </c>
      <c r="AB1011" s="56" t="s">
        <v>5513</v>
      </c>
      <c r="AC1011" s="56" t="s">
        <v>3543</v>
      </c>
      <c r="AD1011" s="56" t="s">
        <v>24</v>
      </c>
      <c r="AE1011" s="56" t="s">
        <v>4145</v>
      </c>
      <c r="AF1011" s="56" t="s">
        <v>5512</v>
      </c>
      <c r="AH1011" s="56" t="s">
        <v>3542</v>
      </c>
      <c r="AI1011" s="56" t="s">
        <v>3723</v>
      </c>
    </row>
    <row r="1012" spans="1:35" ht="33" customHeight="1">
      <c r="A1012" s="56" t="s">
        <v>5517</v>
      </c>
      <c r="B1012" s="57">
        <v>44362.596168981479</v>
      </c>
      <c r="C1012" s="56" t="s">
        <v>4512</v>
      </c>
      <c r="D1012" s="56" t="s">
        <v>4511</v>
      </c>
      <c r="E1012" s="56" t="s">
        <v>5516</v>
      </c>
      <c r="F1012" s="56" t="s">
        <v>5515</v>
      </c>
      <c r="G1012" s="58" t="s">
        <v>1713</v>
      </c>
      <c r="H1012" s="56">
        <v>1</v>
      </c>
      <c r="I1012" s="56" t="s">
        <v>3568</v>
      </c>
      <c r="J1012" s="56">
        <v>0</v>
      </c>
      <c r="K1012" s="56">
        <v>0</v>
      </c>
      <c r="P1012" s="56">
        <v>0</v>
      </c>
      <c r="S1012" s="56">
        <v>0</v>
      </c>
      <c r="T1012" s="56" t="s">
        <v>3562</v>
      </c>
      <c r="V1012" s="56" t="s">
        <v>3549</v>
      </c>
      <c r="W1012" s="56" t="s">
        <v>3548</v>
      </c>
      <c r="X1012" s="56" t="s">
        <v>3547</v>
      </c>
      <c r="Z1012" s="56" t="s">
        <v>3546</v>
      </c>
      <c r="AA1012" s="56" t="s">
        <v>5514</v>
      </c>
      <c r="AB1012" s="56" t="s">
        <v>5513</v>
      </c>
      <c r="AC1012" s="56" t="s">
        <v>3543</v>
      </c>
      <c r="AD1012" s="56" t="s">
        <v>24</v>
      </c>
      <c r="AE1012" s="56" t="s">
        <v>4145</v>
      </c>
      <c r="AF1012" s="56" t="s">
        <v>5512</v>
      </c>
      <c r="AH1012" s="56" t="s">
        <v>3542</v>
      </c>
      <c r="AI1012" s="56" t="s">
        <v>3723</v>
      </c>
    </row>
    <row r="1013" spans="1:35" ht="33" customHeight="1">
      <c r="A1013" s="56" t="s">
        <v>5517</v>
      </c>
      <c r="B1013" s="57">
        <v>44362.596168981479</v>
      </c>
      <c r="C1013" s="56" t="s">
        <v>4512</v>
      </c>
      <c r="D1013" s="56" t="s">
        <v>4511</v>
      </c>
      <c r="E1013" s="56" t="s">
        <v>5516</v>
      </c>
      <c r="F1013" s="56" t="s">
        <v>5515</v>
      </c>
      <c r="G1013" s="58" t="s">
        <v>1498</v>
      </c>
      <c r="H1013" s="56">
        <v>1</v>
      </c>
      <c r="I1013" s="56" t="s">
        <v>4016</v>
      </c>
      <c r="J1013" s="56">
        <v>0</v>
      </c>
      <c r="K1013" s="56">
        <v>0</v>
      </c>
      <c r="P1013" s="56">
        <v>0</v>
      </c>
      <c r="S1013" s="56">
        <v>0</v>
      </c>
      <c r="T1013" s="56" t="s">
        <v>3562</v>
      </c>
      <c r="V1013" s="56" t="s">
        <v>3549</v>
      </c>
      <c r="W1013" s="56" t="s">
        <v>3548</v>
      </c>
      <c r="X1013" s="56" t="s">
        <v>3547</v>
      </c>
      <c r="Z1013" s="56" t="s">
        <v>3546</v>
      </c>
      <c r="AA1013" s="56" t="s">
        <v>5514</v>
      </c>
      <c r="AB1013" s="56" t="s">
        <v>5513</v>
      </c>
      <c r="AC1013" s="56" t="s">
        <v>3543</v>
      </c>
      <c r="AD1013" s="56" t="s">
        <v>24</v>
      </c>
      <c r="AE1013" s="56" t="s">
        <v>4145</v>
      </c>
      <c r="AF1013" s="56" t="s">
        <v>5512</v>
      </c>
      <c r="AH1013" s="56" t="s">
        <v>3542</v>
      </c>
      <c r="AI1013" s="56" t="s">
        <v>3723</v>
      </c>
    </row>
    <row r="1014" spans="1:35" ht="33" customHeight="1">
      <c r="A1014" s="56" t="s">
        <v>5517</v>
      </c>
      <c r="B1014" s="57">
        <v>44362.596168981479</v>
      </c>
      <c r="C1014" s="56" t="s">
        <v>4512</v>
      </c>
      <c r="D1014" s="56" t="s">
        <v>4511</v>
      </c>
      <c r="E1014" s="56" t="s">
        <v>5516</v>
      </c>
      <c r="F1014" s="56" t="s">
        <v>5515</v>
      </c>
      <c r="G1014" s="58" t="s">
        <v>3564</v>
      </c>
      <c r="H1014" s="56">
        <v>1</v>
      </c>
      <c r="I1014" s="56" t="s">
        <v>3563</v>
      </c>
      <c r="J1014" s="56">
        <v>0</v>
      </c>
      <c r="K1014" s="56">
        <v>0</v>
      </c>
      <c r="P1014" s="56">
        <v>0</v>
      </c>
      <c r="S1014" s="56">
        <v>0</v>
      </c>
      <c r="T1014" s="56" t="s">
        <v>3562</v>
      </c>
      <c r="V1014" s="56" t="s">
        <v>3549</v>
      </c>
      <c r="W1014" s="56" t="s">
        <v>3548</v>
      </c>
      <c r="X1014" s="56" t="s">
        <v>3547</v>
      </c>
      <c r="Z1014" s="56" t="s">
        <v>3546</v>
      </c>
      <c r="AA1014" s="56" t="s">
        <v>5514</v>
      </c>
      <c r="AB1014" s="56" t="s">
        <v>5513</v>
      </c>
      <c r="AC1014" s="56" t="s">
        <v>3543</v>
      </c>
      <c r="AD1014" s="56" t="s">
        <v>24</v>
      </c>
      <c r="AE1014" s="56" t="s">
        <v>4145</v>
      </c>
      <c r="AF1014" s="56" t="s">
        <v>5512</v>
      </c>
      <c r="AH1014" s="56" t="s">
        <v>3542</v>
      </c>
      <c r="AI1014" s="56" t="s">
        <v>3723</v>
      </c>
    </row>
    <row r="1015" spans="1:35" ht="33" customHeight="1">
      <c r="A1015" s="56" t="s">
        <v>5511</v>
      </c>
      <c r="B1015" s="57">
        <v>44362.614201388889</v>
      </c>
      <c r="C1015" s="56" t="s">
        <v>3803</v>
      </c>
      <c r="D1015" s="56" t="s">
        <v>3802</v>
      </c>
      <c r="E1015" s="56" t="s">
        <v>5510</v>
      </c>
      <c r="F1015" s="56" t="s">
        <v>5509</v>
      </c>
      <c r="G1015" s="58" t="s">
        <v>3681</v>
      </c>
      <c r="H1015" s="56">
        <v>2</v>
      </c>
      <c r="I1015" s="56" t="s">
        <v>3569</v>
      </c>
      <c r="J1015" s="56">
        <v>894</v>
      </c>
      <c r="K1015" s="56">
        <v>750</v>
      </c>
      <c r="L1015" s="56">
        <v>1500</v>
      </c>
      <c r="M1015" s="56">
        <v>0</v>
      </c>
      <c r="N1015" s="56">
        <v>0</v>
      </c>
      <c r="O1015" s="56">
        <v>150</v>
      </c>
      <c r="P1015" s="56">
        <v>0</v>
      </c>
      <c r="Q1015" s="56">
        <v>1350</v>
      </c>
      <c r="R1015" s="56">
        <v>0</v>
      </c>
      <c r="S1015" s="56">
        <v>0</v>
      </c>
      <c r="T1015" s="56" t="s">
        <v>3562</v>
      </c>
      <c r="U1015" s="56">
        <v>1350</v>
      </c>
      <c r="V1015" s="56" t="s">
        <v>3561</v>
      </c>
      <c r="W1015" s="56" t="s">
        <v>3548</v>
      </c>
      <c r="X1015" s="56" t="s">
        <v>39</v>
      </c>
      <c r="Y1015" s="56" t="s">
        <v>4475</v>
      </c>
      <c r="Z1015" s="56" t="s">
        <v>5508</v>
      </c>
      <c r="AC1015" s="56" t="s">
        <v>3543</v>
      </c>
      <c r="AD1015" s="56" t="s">
        <v>24</v>
      </c>
      <c r="AE1015" s="56" t="s">
        <v>5367</v>
      </c>
      <c r="AF1015" s="56" t="s">
        <v>5507</v>
      </c>
      <c r="AH1015" s="56" t="s">
        <v>3542</v>
      </c>
      <c r="AI1015" s="56" t="s">
        <v>3723</v>
      </c>
    </row>
    <row r="1016" spans="1:35" ht="33" customHeight="1">
      <c r="A1016" s="56" t="s">
        <v>5511</v>
      </c>
      <c r="B1016" s="57">
        <v>44362.614201388889</v>
      </c>
      <c r="C1016" s="56" t="s">
        <v>3803</v>
      </c>
      <c r="D1016" s="56" t="s">
        <v>3802</v>
      </c>
      <c r="E1016" s="56" t="s">
        <v>5510</v>
      </c>
      <c r="F1016" s="56" t="s">
        <v>5509</v>
      </c>
      <c r="G1016" s="58" t="s">
        <v>3551</v>
      </c>
      <c r="H1016" s="56">
        <v>1</v>
      </c>
      <c r="I1016" s="56" t="s">
        <v>3550</v>
      </c>
      <c r="J1016" s="56">
        <v>0</v>
      </c>
      <c r="K1016" s="56">
        <v>0</v>
      </c>
      <c r="P1016" s="56">
        <v>0</v>
      </c>
      <c r="S1016" s="56">
        <v>0</v>
      </c>
      <c r="T1016" s="56" t="s">
        <v>3562</v>
      </c>
      <c r="V1016" s="56" t="s">
        <v>3561</v>
      </c>
      <c r="W1016" s="56" t="s">
        <v>3548</v>
      </c>
      <c r="X1016" s="56" t="s">
        <v>39</v>
      </c>
      <c r="Y1016" s="56" t="s">
        <v>4475</v>
      </c>
      <c r="Z1016" s="56" t="s">
        <v>5508</v>
      </c>
      <c r="AC1016" s="56" t="s">
        <v>3543</v>
      </c>
      <c r="AD1016" s="56" t="s">
        <v>24</v>
      </c>
      <c r="AE1016" s="56" t="s">
        <v>5367</v>
      </c>
      <c r="AF1016" s="56" t="s">
        <v>5507</v>
      </c>
      <c r="AH1016" s="56" t="s">
        <v>3542</v>
      </c>
      <c r="AI1016" s="56" t="s">
        <v>3723</v>
      </c>
    </row>
    <row r="1017" spans="1:35" ht="33" customHeight="1">
      <c r="A1017" s="56" t="s">
        <v>5511</v>
      </c>
      <c r="B1017" s="57">
        <v>44362.614201388889</v>
      </c>
      <c r="C1017" s="56" t="s">
        <v>3803</v>
      </c>
      <c r="D1017" s="56" t="s">
        <v>3802</v>
      </c>
      <c r="E1017" s="56" t="s">
        <v>5510</v>
      </c>
      <c r="F1017" s="56" t="s">
        <v>5509</v>
      </c>
      <c r="G1017" s="58" t="s">
        <v>1713</v>
      </c>
      <c r="H1017" s="56">
        <v>1</v>
      </c>
      <c r="I1017" s="56" t="s">
        <v>3568</v>
      </c>
      <c r="J1017" s="56">
        <v>0</v>
      </c>
      <c r="K1017" s="56">
        <v>0</v>
      </c>
      <c r="P1017" s="56">
        <v>0</v>
      </c>
      <c r="S1017" s="56">
        <v>0</v>
      </c>
      <c r="T1017" s="56" t="s">
        <v>3562</v>
      </c>
      <c r="V1017" s="56" t="s">
        <v>3561</v>
      </c>
      <c r="W1017" s="56" t="s">
        <v>3548</v>
      </c>
      <c r="X1017" s="56" t="s">
        <v>39</v>
      </c>
      <c r="Y1017" s="56" t="s">
        <v>4475</v>
      </c>
      <c r="Z1017" s="56" t="s">
        <v>5508</v>
      </c>
      <c r="AC1017" s="56" t="s">
        <v>3543</v>
      </c>
      <c r="AD1017" s="56" t="s">
        <v>24</v>
      </c>
      <c r="AE1017" s="56" t="s">
        <v>5367</v>
      </c>
      <c r="AF1017" s="56" t="s">
        <v>5507</v>
      </c>
      <c r="AH1017" s="56" t="s">
        <v>3542</v>
      </c>
      <c r="AI1017" s="56" t="s">
        <v>3723</v>
      </c>
    </row>
    <row r="1018" spans="1:35" ht="33" customHeight="1">
      <c r="A1018" s="56" t="s">
        <v>5511</v>
      </c>
      <c r="B1018" s="57">
        <v>44362.614201388889</v>
      </c>
      <c r="C1018" s="56" t="s">
        <v>3803</v>
      </c>
      <c r="D1018" s="56" t="s">
        <v>3802</v>
      </c>
      <c r="E1018" s="56" t="s">
        <v>5510</v>
      </c>
      <c r="F1018" s="56" t="s">
        <v>5509</v>
      </c>
      <c r="G1018" s="58" t="s">
        <v>1498</v>
      </c>
      <c r="H1018" s="56">
        <v>1</v>
      </c>
      <c r="I1018" s="56" t="s">
        <v>4016</v>
      </c>
      <c r="J1018" s="56">
        <v>0</v>
      </c>
      <c r="K1018" s="56">
        <v>0</v>
      </c>
      <c r="P1018" s="56">
        <v>0</v>
      </c>
      <c r="S1018" s="56">
        <v>0</v>
      </c>
      <c r="T1018" s="56" t="s">
        <v>3562</v>
      </c>
      <c r="V1018" s="56" t="s">
        <v>3561</v>
      </c>
      <c r="W1018" s="56" t="s">
        <v>3548</v>
      </c>
      <c r="X1018" s="56" t="s">
        <v>39</v>
      </c>
      <c r="Y1018" s="56" t="s">
        <v>4475</v>
      </c>
      <c r="Z1018" s="56" t="s">
        <v>5508</v>
      </c>
      <c r="AC1018" s="56" t="s">
        <v>3543</v>
      </c>
      <c r="AD1018" s="56" t="s">
        <v>24</v>
      </c>
      <c r="AE1018" s="56" t="s">
        <v>5367</v>
      </c>
      <c r="AF1018" s="56" t="s">
        <v>5507</v>
      </c>
      <c r="AH1018" s="56" t="s">
        <v>3542</v>
      </c>
      <c r="AI1018" s="56" t="s">
        <v>3723</v>
      </c>
    </row>
    <row r="1019" spans="1:35" ht="33" customHeight="1">
      <c r="A1019" s="56" t="s">
        <v>5506</v>
      </c>
      <c r="B1019" s="57">
        <v>44362.622523148151</v>
      </c>
      <c r="C1019" s="56" t="s">
        <v>3803</v>
      </c>
      <c r="D1019" s="56" t="s">
        <v>3802</v>
      </c>
      <c r="E1019" s="56" t="s">
        <v>5505</v>
      </c>
      <c r="F1019" s="56" t="s">
        <v>5504</v>
      </c>
      <c r="G1019" s="58" t="s">
        <v>3570</v>
      </c>
      <c r="H1019" s="56">
        <v>1</v>
      </c>
      <c r="I1019" s="56" t="s">
        <v>3569</v>
      </c>
      <c r="J1019" s="56">
        <v>894</v>
      </c>
      <c r="K1019" s="56">
        <v>750</v>
      </c>
      <c r="L1019" s="56">
        <v>1169</v>
      </c>
      <c r="M1019" s="56">
        <v>0</v>
      </c>
      <c r="N1019" s="56">
        <v>0</v>
      </c>
      <c r="O1019" s="56">
        <v>100</v>
      </c>
      <c r="P1019" s="56">
        <v>0</v>
      </c>
      <c r="Q1019" s="56">
        <v>1069</v>
      </c>
      <c r="R1019" s="56">
        <v>0</v>
      </c>
      <c r="S1019" s="56">
        <v>0</v>
      </c>
      <c r="T1019" s="56" t="s">
        <v>3562</v>
      </c>
      <c r="U1019" s="56">
        <v>1069</v>
      </c>
      <c r="V1019" s="56" t="s">
        <v>59</v>
      </c>
      <c r="W1019" s="56" t="s">
        <v>3548</v>
      </c>
      <c r="X1019" s="56" t="s">
        <v>39</v>
      </c>
      <c r="Y1019" s="56" t="s">
        <v>3629</v>
      </c>
      <c r="Z1019" s="56" t="s">
        <v>5503</v>
      </c>
      <c r="AC1019" s="56" t="s">
        <v>3543</v>
      </c>
      <c r="AD1019" s="56" t="s">
        <v>24</v>
      </c>
      <c r="AE1019" s="56" t="s">
        <v>5367</v>
      </c>
      <c r="AF1019" s="56" t="s">
        <v>5502</v>
      </c>
      <c r="AH1019" s="56" t="s">
        <v>3542</v>
      </c>
      <c r="AI1019" s="56" t="s">
        <v>3723</v>
      </c>
    </row>
    <row r="1020" spans="1:35" ht="33" customHeight="1">
      <c r="A1020" s="56" t="s">
        <v>5506</v>
      </c>
      <c r="B1020" s="57">
        <v>44362.622523148151</v>
      </c>
      <c r="C1020" s="56" t="s">
        <v>3803</v>
      </c>
      <c r="D1020" s="56" t="s">
        <v>3802</v>
      </c>
      <c r="E1020" s="56" t="s">
        <v>5505</v>
      </c>
      <c r="F1020" s="56" t="s">
        <v>5504</v>
      </c>
      <c r="G1020" s="58" t="s">
        <v>1493</v>
      </c>
      <c r="H1020" s="56">
        <v>1</v>
      </c>
      <c r="I1020" s="56" t="s">
        <v>3601</v>
      </c>
      <c r="J1020" s="56">
        <v>135</v>
      </c>
      <c r="K1020" s="56">
        <v>135</v>
      </c>
      <c r="P1020" s="56">
        <v>0</v>
      </c>
      <c r="S1020" s="56">
        <v>0</v>
      </c>
      <c r="T1020" s="56" t="s">
        <v>3562</v>
      </c>
      <c r="V1020" s="56" t="s">
        <v>59</v>
      </c>
      <c r="W1020" s="56" t="s">
        <v>3548</v>
      </c>
      <c r="X1020" s="56" t="s">
        <v>39</v>
      </c>
      <c r="Y1020" s="56" t="s">
        <v>3629</v>
      </c>
      <c r="Z1020" s="56" t="s">
        <v>5503</v>
      </c>
      <c r="AC1020" s="56" t="s">
        <v>3543</v>
      </c>
      <c r="AD1020" s="56" t="s">
        <v>24</v>
      </c>
      <c r="AE1020" s="56" t="s">
        <v>5367</v>
      </c>
      <c r="AF1020" s="56" t="s">
        <v>5502</v>
      </c>
      <c r="AH1020" s="56" t="s">
        <v>3542</v>
      </c>
      <c r="AI1020" s="56" t="s">
        <v>3723</v>
      </c>
    </row>
    <row r="1021" spans="1:35" ht="33" customHeight="1">
      <c r="A1021" s="56" t="s">
        <v>5506</v>
      </c>
      <c r="B1021" s="57">
        <v>44362.622523148151</v>
      </c>
      <c r="C1021" s="56" t="s">
        <v>3803</v>
      </c>
      <c r="D1021" s="56" t="s">
        <v>3802</v>
      </c>
      <c r="E1021" s="56" t="s">
        <v>5505</v>
      </c>
      <c r="F1021" s="56" t="s">
        <v>5504</v>
      </c>
      <c r="G1021" s="58" t="s">
        <v>1491</v>
      </c>
      <c r="H1021" s="56">
        <v>1</v>
      </c>
      <c r="I1021" s="56" t="s">
        <v>3586</v>
      </c>
      <c r="J1021" s="56">
        <v>149</v>
      </c>
      <c r="K1021" s="56">
        <v>149</v>
      </c>
      <c r="P1021" s="56">
        <v>0</v>
      </c>
      <c r="S1021" s="56">
        <v>0</v>
      </c>
      <c r="T1021" s="56" t="s">
        <v>3562</v>
      </c>
      <c r="V1021" s="56" t="s">
        <v>59</v>
      </c>
      <c r="W1021" s="56" t="s">
        <v>3548</v>
      </c>
      <c r="X1021" s="56" t="s">
        <v>39</v>
      </c>
      <c r="Y1021" s="56" t="s">
        <v>3629</v>
      </c>
      <c r="Z1021" s="56" t="s">
        <v>5503</v>
      </c>
      <c r="AC1021" s="56" t="s">
        <v>3543</v>
      </c>
      <c r="AD1021" s="56" t="s">
        <v>24</v>
      </c>
      <c r="AE1021" s="56" t="s">
        <v>5367</v>
      </c>
      <c r="AF1021" s="56" t="s">
        <v>5502</v>
      </c>
      <c r="AH1021" s="56" t="s">
        <v>3542</v>
      </c>
      <c r="AI1021" s="56" t="s">
        <v>3723</v>
      </c>
    </row>
    <row r="1022" spans="1:35" ht="33" customHeight="1">
      <c r="A1022" s="56" t="s">
        <v>5506</v>
      </c>
      <c r="B1022" s="57">
        <v>44362.622523148151</v>
      </c>
      <c r="C1022" s="56" t="s">
        <v>3803</v>
      </c>
      <c r="D1022" s="56" t="s">
        <v>3802</v>
      </c>
      <c r="E1022" s="56" t="s">
        <v>5505</v>
      </c>
      <c r="F1022" s="56" t="s">
        <v>5504</v>
      </c>
      <c r="G1022" s="58" t="s">
        <v>1493</v>
      </c>
      <c r="H1022" s="56">
        <v>1</v>
      </c>
      <c r="I1022" s="56" t="s">
        <v>3601</v>
      </c>
      <c r="J1022" s="56">
        <v>135</v>
      </c>
      <c r="K1022" s="56">
        <v>135</v>
      </c>
      <c r="P1022" s="56">
        <v>0</v>
      </c>
      <c r="S1022" s="56">
        <v>0</v>
      </c>
      <c r="T1022" s="56" t="s">
        <v>3562</v>
      </c>
      <c r="V1022" s="56" t="s">
        <v>59</v>
      </c>
      <c r="W1022" s="56" t="s">
        <v>3548</v>
      </c>
      <c r="X1022" s="56" t="s">
        <v>39</v>
      </c>
      <c r="Y1022" s="56" t="s">
        <v>3629</v>
      </c>
      <c r="Z1022" s="56" t="s">
        <v>5503</v>
      </c>
      <c r="AC1022" s="56" t="s">
        <v>3543</v>
      </c>
      <c r="AD1022" s="56" t="s">
        <v>24</v>
      </c>
      <c r="AE1022" s="56" t="s">
        <v>5367</v>
      </c>
      <c r="AF1022" s="56" t="s">
        <v>5502</v>
      </c>
      <c r="AH1022" s="56" t="s">
        <v>3542</v>
      </c>
      <c r="AI1022" s="56" t="s">
        <v>3723</v>
      </c>
    </row>
    <row r="1023" spans="1:35" ht="33" customHeight="1">
      <c r="A1023" s="56" t="s">
        <v>5506</v>
      </c>
      <c r="B1023" s="57">
        <v>44362.622523148151</v>
      </c>
      <c r="C1023" s="56" t="s">
        <v>3803</v>
      </c>
      <c r="D1023" s="56" t="s">
        <v>3802</v>
      </c>
      <c r="E1023" s="56" t="s">
        <v>5505</v>
      </c>
      <c r="F1023" s="56" t="s">
        <v>5504</v>
      </c>
      <c r="G1023" s="58" t="s">
        <v>3551</v>
      </c>
      <c r="H1023" s="56">
        <v>1</v>
      </c>
      <c r="I1023" s="56" t="s">
        <v>3550</v>
      </c>
      <c r="J1023" s="56">
        <v>0</v>
      </c>
      <c r="K1023" s="56">
        <v>0</v>
      </c>
      <c r="P1023" s="56">
        <v>0</v>
      </c>
      <c r="S1023" s="56">
        <v>0</v>
      </c>
      <c r="T1023" s="56" t="s">
        <v>3562</v>
      </c>
      <c r="V1023" s="56" t="s">
        <v>59</v>
      </c>
      <c r="W1023" s="56" t="s">
        <v>3548</v>
      </c>
      <c r="X1023" s="56" t="s">
        <v>39</v>
      </c>
      <c r="Y1023" s="56" t="s">
        <v>3629</v>
      </c>
      <c r="Z1023" s="56" t="s">
        <v>5503</v>
      </c>
      <c r="AC1023" s="56" t="s">
        <v>3543</v>
      </c>
      <c r="AD1023" s="56" t="s">
        <v>24</v>
      </c>
      <c r="AE1023" s="56" t="s">
        <v>5367</v>
      </c>
      <c r="AF1023" s="56" t="s">
        <v>5502</v>
      </c>
      <c r="AH1023" s="56" t="s">
        <v>3542</v>
      </c>
      <c r="AI1023" s="56" t="s">
        <v>3723</v>
      </c>
    </row>
    <row r="1024" spans="1:35" ht="33" customHeight="1">
      <c r="A1024" s="56" t="s">
        <v>5506</v>
      </c>
      <c r="B1024" s="57">
        <v>44362.622523148151</v>
      </c>
      <c r="C1024" s="56" t="s">
        <v>3803</v>
      </c>
      <c r="D1024" s="56" t="s">
        <v>3802</v>
      </c>
      <c r="E1024" s="56" t="s">
        <v>5505</v>
      </c>
      <c r="F1024" s="56" t="s">
        <v>5504</v>
      </c>
      <c r="G1024" s="58" t="s">
        <v>1498</v>
      </c>
      <c r="H1024" s="56">
        <v>1</v>
      </c>
      <c r="I1024" s="56" t="s">
        <v>4016</v>
      </c>
      <c r="J1024" s="56">
        <v>0</v>
      </c>
      <c r="K1024" s="56">
        <v>0</v>
      </c>
      <c r="P1024" s="56">
        <v>0</v>
      </c>
      <c r="S1024" s="56">
        <v>0</v>
      </c>
      <c r="T1024" s="56" t="s">
        <v>3562</v>
      </c>
      <c r="V1024" s="56" t="s">
        <v>59</v>
      </c>
      <c r="W1024" s="56" t="s">
        <v>3548</v>
      </c>
      <c r="X1024" s="56" t="s">
        <v>39</v>
      </c>
      <c r="Y1024" s="56" t="s">
        <v>3629</v>
      </c>
      <c r="Z1024" s="56" t="s">
        <v>5503</v>
      </c>
      <c r="AC1024" s="56" t="s">
        <v>3543</v>
      </c>
      <c r="AD1024" s="56" t="s">
        <v>24</v>
      </c>
      <c r="AE1024" s="56" t="s">
        <v>5367</v>
      </c>
      <c r="AF1024" s="56" t="s">
        <v>5502</v>
      </c>
      <c r="AH1024" s="56" t="s">
        <v>3542</v>
      </c>
      <c r="AI1024" s="56" t="s">
        <v>3723</v>
      </c>
    </row>
    <row r="1025" spans="1:35" ht="33" customHeight="1">
      <c r="A1025" s="56" t="s">
        <v>5501</v>
      </c>
      <c r="B1025" s="57">
        <v>44362.62427083333</v>
      </c>
      <c r="C1025" s="56" t="s">
        <v>3803</v>
      </c>
      <c r="D1025" s="56" t="s">
        <v>4511</v>
      </c>
      <c r="E1025" s="56" t="s">
        <v>5500</v>
      </c>
      <c r="F1025" s="56" t="s">
        <v>5499</v>
      </c>
      <c r="G1025" s="58" t="s">
        <v>3681</v>
      </c>
      <c r="H1025" s="56">
        <v>1</v>
      </c>
      <c r="I1025" s="56" t="s">
        <v>3569</v>
      </c>
      <c r="J1025" s="56">
        <v>894</v>
      </c>
      <c r="K1025" s="56">
        <v>750</v>
      </c>
      <c r="L1025" s="56">
        <v>1760</v>
      </c>
      <c r="M1025" s="56">
        <v>0</v>
      </c>
      <c r="N1025" s="56">
        <v>0</v>
      </c>
      <c r="O1025" s="56">
        <v>100</v>
      </c>
      <c r="P1025" s="56">
        <v>0</v>
      </c>
      <c r="Q1025" s="56">
        <v>1660</v>
      </c>
      <c r="R1025" s="56">
        <v>0</v>
      </c>
      <c r="S1025" s="56">
        <v>0</v>
      </c>
      <c r="T1025" s="56" t="s">
        <v>3562</v>
      </c>
      <c r="U1025" s="56">
        <v>1660</v>
      </c>
      <c r="V1025" s="56" t="s">
        <v>3561</v>
      </c>
      <c r="W1025" s="56" t="s">
        <v>3548</v>
      </c>
      <c r="X1025" s="56" t="s">
        <v>3716</v>
      </c>
      <c r="Z1025" s="56" t="s">
        <v>3546</v>
      </c>
      <c r="AA1025" s="56" t="s">
        <v>5498</v>
      </c>
      <c r="AB1025" s="56" t="s">
        <v>5497</v>
      </c>
      <c r="AC1025" s="56" t="s">
        <v>3543</v>
      </c>
      <c r="AD1025" s="56" t="s">
        <v>24</v>
      </c>
      <c r="AE1025" s="56" t="s">
        <v>5367</v>
      </c>
      <c r="AF1025" s="56" t="s">
        <v>5496</v>
      </c>
      <c r="AH1025" s="56" t="s">
        <v>3542</v>
      </c>
      <c r="AI1025" s="56" t="s">
        <v>3723</v>
      </c>
    </row>
    <row r="1026" spans="1:35" ht="33" customHeight="1">
      <c r="A1026" s="56" t="s">
        <v>5501</v>
      </c>
      <c r="B1026" s="57">
        <v>44362.62427083333</v>
      </c>
      <c r="C1026" s="56" t="s">
        <v>3803</v>
      </c>
      <c r="D1026" s="56" t="s">
        <v>4511</v>
      </c>
      <c r="E1026" s="56" t="s">
        <v>5500</v>
      </c>
      <c r="F1026" s="56" t="s">
        <v>5499</v>
      </c>
      <c r="G1026" s="58" t="s">
        <v>5349</v>
      </c>
      <c r="H1026" s="56">
        <v>1</v>
      </c>
      <c r="I1026" s="56" t="s">
        <v>5335</v>
      </c>
      <c r="J1026" s="56">
        <v>547</v>
      </c>
      <c r="K1026" s="56">
        <v>460</v>
      </c>
      <c r="P1026" s="56">
        <v>0</v>
      </c>
      <c r="S1026" s="56">
        <v>0</v>
      </c>
      <c r="T1026" s="56" t="s">
        <v>3562</v>
      </c>
      <c r="V1026" s="56" t="s">
        <v>3561</v>
      </c>
      <c r="W1026" s="56" t="s">
        <v>3548</v>
      </c>
      <c r="X1026" s="56" t="s">
        <v>3716</v>
      </c>
      <c r="Z1026" s="56" t="s">
        <v>3546</v>
      </c>
      <c r="AA1026" s="56" t="s">
        <v>5498</v>
      </c>
      <c r="AB1026" s="56" t="s">
        <v>5497</v>
      </c>
      <c r="AC1026" s="56" t="s">
        <v>3543</v>
      </c>
      <c r="AD1026" s="56" t="s">
        <v>24</v>
      </c>
      <c r="AE1026" s="56" t="s">
        <v>5367</v>
      </c>
      <c r="AF1026" s="56" t="s">
        <v>5496</v>
      </c>
      <c r="AH1026" s="56" t="s">
        <v>3542</v>
      </c>
      <c r="AI1026" s="56" t="s">
        <v>3723</v>
      </c>
    </row>
    <row r="1027" spans="1:35" ht="33" customHeight="1">
      <c r="A1027" s="56" t="s">
        <v>5501</v>
      </c>
      <c r="B1027" s="57">
        <v>44362.62427083333</v>
      </c>
      <c r="C1027" s="56" t="s">
        <v>3803</v>
      </c>
      <c r="D1027" s="56" t="s">
        <v>4511</v>
      </c>
      <c r="E1027" s="56" t="s">
        <v>5500</v>
      </c>
      <c r="F1027" s="56" t="s">
        <v>5499</v>
      </c>
      <c r="G1027" s="58" t="s">
        <v>3732</v>
      </c>
      <c r="H1027" s="56">
        <v>1</v>
      </c>
      <c r="I1027" s="56" t="s">
        <v>3731</v>
      </c>
      <c r="J1027" s="56">
        <v>867</v>
      </c>
      <c r="K1027" s="56">
        <v>550</v>
      </c>
      <c r="P1027" s="56">
        <v>0</v>
      </c>
      <c r="S1027" s="56">
        <v>0</v>
      </c>
      <c r="T1027" s="56" t="s">
        <v>3562</v>
      </c>
      <c r="V1027" s="56" t="s">
        <v>3561</v>
      </c>
      <c r="W1027" s="56" t="s">
        <v>3548</v>
      </c>
      <c r="X1027" s="56" t="s">
        <v>3716</v>
      </c>
      <c r="Z1027" s="56" t="s">
        <v>3546</v>
      </c>
      <c r="AA1027" s="56" t="s">
        <v>5498</v>
      </c>
      <c r="AB1027" s="56" t="s">
        <v>5497</v>
      </c>
      <c r="AC1027" s="56" t="s">
        <v>3543</v>
      </c>
      <c r="AD1027" s="56" t="s">
        <v>24</v>
      </c>
      <c r="AE1027" s="56" t="s">
        <v>5367</v>
      </c>
      <c r="AF1027" s="56" t="s">
        <v>5496</v>
      </c>
      <c r="AH1027" s="56" t="s">
        <v>3542</v>
      </c>
      <c r="AI1027" s="56" t="s">
        <v>3723</v>
      </c>
    </row>
    <row r="1028" spans="1:35" ht="33" customHeight="1">
      <c r="A1028" s="56" t="s">
        <v>5501</v>
      </c>
      <c r="B1028" s="57">
        <v>44362.62427083333</v>
      </c>
      <c r="C1028" s="56" t="s">
        <v>3803</v>
      </c>
      <c r="D1028" s="56" t="s">
        <v>4511</v>
      </c>
      <c r="E1028" s="56" t="s">
        <v>5500</v>
      </c>
      <c r="F1028" s="56" t="s">
        <v>5499</v>
      </c>
      <c r="G1028" s="58" t="s">
        <v>3551</v>
      </c>
      <c r="H1028" s="56">
        <v>1</v>
      </c>
      <c r="I1028" s="56" t="s">
        <v>3550</v>
      </c>
      <c r="J1028" s="56">
        <v>0</v>
      </c>
      <c r="K1028" s="56">
        <v>0</v>
      </c>
      <c r="P1028" s="56">
        <v>0</v>
      </c>
      <c r="S1028" s="56">
        <v>0</v>
      </c>
      <c r="T1028" s="56" t="s">
        <v>3562</v>
      </c>
      <c r="V1028" s="56" t="s">
        <v>3561</v>
      </c>
      <c r="W1028" s="56" t="s">
        <v>3548</v>
      </c>
      <c r="X1028" s="56" t="s">
        <v>3716</v>
      </c>
      <c r="Z1028" s="56" t="s">
        <v>3546</v>
      </c>
      <c r="AA1028" s="56" t="s">
        <v>5498</v>
      </c>
      <c r="AB1028" s="56" t="s">
        <v>5497</v>
      </c>
      <c r="AC1028" s="56" t="s">
        <v>3543</v>
      </c>
      <c r="AD1028" s="56" t="s">
        <v>24</v>
      </c>
      <c r="AE1028" s="56" t="s">
        <v>5367</v>
      </c>
      <c r="AF1028" s="56" t="s">
        <v>5496</v>
      </c>
      <c r="AH1028" s="56" t="s">
        <v>3542</v>
      </c>
      <c r="AI1028" s="56" t="s">
        <v>3723</v>
      </c>
    </row>
    <row r="1029" spans="1:35" ht="33" customHeight="1">
      <c r="A1029" s="56" t="s">
        <v>5501</v>
      </c>
      <c r="B1029" s="57">
        <v>44362.62427083333</v>
      </c>
      <c r="C1029" s="56" t="s">
        <v>3803</v>
      </c>
      <c r="D1029" s="56" t="s">
        <v>4511</v>
      </c>
      <c r="E1029" s="56" t="s">
        <v>5500</v>
      </c>
      <c r="F1029" s="56" t="s">
        <v>5499</v>
      </c>
      <c r="G1029" s="58" t="s">
        <v>1713</v>
      </c>
      <c r="H1029" s="56">
        <v>1</v>
      </c>
      <c r="I1029" s="56" t="s">
        <v>3568</v>
      </c>
      <c r="J1029" s="56">
        <v>0</v>
      </c>
      <c r="K1029" s="56">
        <v>0</v>
      </c>
      <c r="P1029" s="56">
        <v>0</v>
      </c>
      <c r="S1029" s="56">
        <v>0</v>
      </c>
      <c r="T1029" s="56" t="s">
        <v>3562</v>
      </c>
      <c r="V1029" s="56" t="s">
        <v>3561</v>
      </c>
      <c r="W1029" s="56" t="s">
        <v>3548</v>
      </c>
      <c r="X1029" s="56" t="s">
        <v>3716</v>
      </c>
      <c r="Z1029" s="56" t="s">
        <v>3546</v>
      </c>
      <c r="AA1029" s="56" t="s">
        <v>5498</v>
      </c>
      <c r="AB1029" s="56" t="s">
        <v>5497</v>
      </c>
      <c r="AC1029" s="56" t="s">
        <v>3543</v>
      </c>
      <c r="AD1029" s="56" t="s">
        <v>24</v>
      </c>
      <c r="AE1029" s="56" t="s">
        <v>5367</v>
      </c>
      <c r="AF1029" s="56" t="s">
        <v>5496</v>
      </c>
      <c r="AH1029" s="56" t="s">
        <v>3542</v>
      </c>
      <c r="AI1029" s="56" t="s">
        <v>3723</v>
      </c>
    </row>
    <row r="1030" spans="1:35" ht="33" customHeight="1">
      <c r="A1030" s="56" t="s">
        <v>5501</v>
      </c>
      <c r="B1030" s="57">
        <v>44362.62427083333</v>
      </c>
      <c r="C1030" s="56" t="s">
        <v>3803</v>
      </c>
      <c r="D1030" s="56" t="s">
        <v>4511</v>
      </c>
      <c r="E1030" s="56" t="s">
        <v>5500</v>
      </c>
      <c r="F1030" s="56" t="s">
        <v>5499</v>
      </c>
      <c r="G1030" s="58" t="s">
        <v>1498</v>
      </c>
      <c r="H1030" s="56">
        <v>1</v>
      </c>
      <c r="I1030" s="56" t="s">
        <v>4016</v>
      </c>
      <c r="J1030" s="56">
        <v>0</v>
      </c>
      <c r="K1030" s="56">
        <v>0</v>
      </c>
      <c r="P1030" s="56">
        <v>0</v>
      </c>
      <c r="S1030" s="56">
        <v>0</v>
      </c>
      <c r="T1030" s="56" t="s">
        <v>3562</v>
      </c>
      <c r="V1030" s="56" t="s">
        <v>3561</v>
      </c>
      <c r="W1030" s="56" t="s">
        <v>3548</v>
      </c>
      <c r="X1030" s="56" t="s">
        <v>3716</v>
      </c>
      <c r="Z1030" s="56" t="s">
        <v>3546</v>
      </c>
      <c r="AA1030" s="56" t="s">
        <v>5498</v>
      </c>
      <c r="AB1030" s="56" t="s">
        <v>5497</v>
      </c>
      <c r="AC1030" s="56" t="s">
        <v>3543</v>
      </c>
      <c r="AD1030" s="56" t="s">
        <v>24</v>
      </c>
      <c r="AE1030" s="56" t="s">
        <v>5367</v>
      </c>
      <c r="AF1030" s="56" t="s">
        <v>5496</v>
      </c>
      <c r="AH1030" s="56" t="s">
        <v>3542</v>
      </c>
      <c r="AI1030" s="56" t="s">
        <v>3723</v>
      </c>
    </row>
    <row r="1031" spans="1:35" ht="33" customHeight="1">
      <c r="A1031" s="56" t="s">
        <v>5495</v>
      </c>
      <c r="B1031" s="57">
        <v>44362.624988425923</v>
      </c>
      <c r="C1031" s="56" t="s">
        <v>3803</v>
      </c>
      <c r="D1031" s="56" t="s">
        <v>3802</v>
      </c>
      <c r="E1031" s="56" t="s">
        <v>5494</v>
      </c>
      <c r="F1031" s="56" t="s">
        <v>5493</v>
      </c>
      <c r="G1031" s="58" t="s">
        <v>3656</v>
      </c>
      <c r="H1031" s="56">
        <v>2</v>
      </c>
      <c r="I1031" s="56" t="s">
        <v>3655</v>
      </c>
      <c r="J1031" s="56">
        <v>1107</v>
      </c>
      <c r="K1031" s="56">
        <v>799</v>
      </c>
      <c r="L1031" s="56">
        <v>2148</v>
      </c>
      <c r="M1031" s="56">
        <v>0</v>
      </c>
      <c r="N1031" s="56">
        <v>0</v>
      </c>
      <c r="O1031" s="56">
        <v>100</v>
      </c>
      <c r="P1031" s="56">
        <v>0</v>
      </c>
      <c r="Q1031" s="56">
        <v>2048</v>
      </c>
      <c r="R1031" s="56">
        <v>0</v>
      </c>
      <c r="S1031" s="56">
        <v>0</v>
      </c>
      <c r="T1031" s="56" t="s">
        <v>3562</v>
      </c>
      <c r="U1031" s="56">
        <v>2048</v>
      </c>
      <c r="V1031" s="56" t="s">
        <v>3561</v>
      </c>
      <c r="W1031" s="56" t="s">
        <v>3548</v>
      </c>
      <c r="X1031" s="56" t="s">
        <v>39</v>
      </c>
      <c r="Y1031" s="56" t="s">
        <v>5492</v>
      </c>
      <c r="Z1031" s="56" t="s">
        <v>5491</v>
      </c>
      <c r="AC1031" s="56" t="s">
        <v>3543</v>
      </c>
      <c r="AD1031" s="56" t="s">
        <v>24</v>
      </c>
      <c r="AE1031" s="56" t="s">
        <v>5367</v>
      </c>
      <c r="AF1031" s="56" t="s">
        <v>5490</v>
      </c>
      <c r="AH1031" s="56" t="s">
        <v>3542</v>
      </c>
      <c r="AI1031" s="56" t="s">
        <v>3723</v>
      </c>
    </row>
    <row r="1032" spans="1:35" ht="33" customHeight="1">
      <c r="A1032" s="56" t="s">
        <v>5495</v>
      </c>
      <c r="B1032" s="57">
        <v>44362.624988425923</v>
      </c>
      <c r="C1032" s="56" t="s">
        <v>3803</v>
      </c>
      <c r="D1032" s="56" t="s">
        <v>3802</v>
      </c>
      <c r="E1032" s="56" t="s">
        <v>5494</v>
      </c>
      <c r="F1032" s="56" t="s">
        <v>5493</v>
      </c>
      <c r="G1032" s="58" t="s">
        <v>3732</v>
      </c>
      <c r="H1032" s="56">
        <v>1</v>
      </c>
      <c r="I1032" s="56" t="s">
        <v>3731</v>
      </c>
      <c r="J1032" s="56">
        <v>867</v>
      </c>
      <c r="K1032" s="56">
        <v>550</v>
      </c>
      <c r="P1032" s="56">
        <v>0</v>
      </c>
      <c r="S1032" s="56">
        <v>0</v>
      </c>
      <c r="T1032" s="56" t="s">
        <v>3562</v>
      </c>
      <c r="V1032" s="56" t="s">
        <v>3561</v>
      </c>
      <c r="W1032" s="56" t="s">
        <v>3548</v>
      </c>
      <c r="X1032" s="56" t="s">
        <v>39</v>
      </c>
      <c r="Y1032" s="56" t="s">
        <v>5492</v>
      </c>
      <c r="Z1032" s="56" t="s">
        <v>5491</v>
      </c>
      <c r="AC1032" s="56" t="s">
        <v>3543</v>
      </c>
      <c r="AD1032" s="56" t="s">
        <v>24</v>
      </c>
      <c r="AE1032" s="56" t="s">
        <v>5367</v>
      </c>
      <c r="AF1032" s="56" t="s">
        <v>5490</v>
      </c>
      <c r="AH1032" s="56" t="s">
        <v>3542</v>
      </c>
      <c r="AI1032" s="56" t="s">
        <v>3723</v>
      </c>
    </row>
    <row r="1033" spans="1:35" ht="33" customHeight="1">
      <c r="A1033" s="56" t="s">
        <v>5495</v>
      </c>
      <c r="B1033" s="57">
        <v>44362.624988425923</v>
      </c>
      <c r="C1033" s="56" t="s">
        <v>3803</v>
      </c>
      <c r="D1033" s="56" t="s">
        <v>3802</v>
      </c>
      <c r="E1033" s="56" t="s">
        <v>5494</v>
      </c>
      <c r="F1033" s="56" t="s">
        <v>5493</v>
      </c>
      <c r="G1033" s="58" t="s">
        <v>3551</v>
      </c>
      <c r="H1033" s="56">
        <v>1</v>
      </c>
      <c r="I1033" s="56" t="s">
        <v>3550</v>
      </c>
      <c r="J1033" s="56">
        <v>0</v>
      </c>
      <c r="K1033" s="56">
        <v>0</v>
      </c>
      <c r="P1033" s="56">
        <v>0</v>
      </c>
      <c r="S1033" s="56">
        <v>0</v>
      </c>
      <c r="T1033" s="56" t="s">
        <v>3562</v>
      </c>
      <c r="V1033" s="56" t="s">
        <v>3561</v>
      </c>
      <c r="W1033" s="56" t="s">
        <v>3548</v>
      </c>
      <c r="X1033" s="56" t="s">
        <v>39</v>
      </c>
      <c r="Y1033" s="56" t="s">
        <v>5492</v>
      </c>
      <c r="Z1033" s="56" t="s">
        <v>5491</v>
      </c>
      <c r="AC1033" s="56" t="s">
        <v>3543</v>
      </c>
      <c r="AD1033" s="56" t="s">
        <v>24</v>
      </c>
      <c r="AE1033" s="56" t="s">
        <v>5367</v>
      </c>
      <c r="AF1033" s="56" t="s">
        <v>5490</v>
      </c>
      <c r="AH1033" s="56" t="s">
        <v>3542</v>
      </c>
      <c r="AI1033" s="56" t="s">
        <v>3723</v>
      </c>
    </row>
    <row r="1034" spans="1:35" ht="33" customHeight="1">
      <c r="A1034" s="56" t="s">
        <v>5495</v>
      </c>
      <c r="B1034" s="57">
        <v>44362.624988425923</v>
      </c>
      <c r="C1034" s="56" t="s">
        <v>3803</v>
      </c>
      <c r="D1034" s="56" t="s">
        <v>3802</v>
      </c>
      <c r="E1034" s="56" t="s">
        <v>5494</v>
      </c>
      <c r="F1034" s="56" t="s">
        <v>5493</v>
      </c>
      <c r="G1034" s="58" t="s">
        <v>1713</v>
      </c>
      <c r="H1034" s="56">
        <v>1</v>
      </c>
      <c r="I1034" s="56" t="s">
        <v>3568</v>
      </c>
      <c r="J1034" s="56">
        <v>0</v>
      </c>
      <c r="K1034" s="56">
        <v>0</v>
      </c>
      <c r="P1034" s="56">
        <v>0</v>
      </c>
      <c r="S1034" s="56">
        <v>0</v>
      </c>
      <c r="T1034" s="56" t="s">
        <v>3562</v>
      </c>
      <c r="V1034" s="56" t="s">
        <v>3561</v>
      </c>
      <c r="W1034" s="56" t="s">
        <v>3548</v>
      </c>
      <c r="X1034" s="56" t="s">
        <v>39</v>
      </c>
      <c r="Y1034" s="56" t="s">
        <v>5492</v>
      </c>
      <c r="Z1034" s="56" t="s">
        <v>5491</v>
      </c>
      <c r="AC1034" s="56" t="s">
        <v>3543</v>
      </c>
      <c r="AD1034" s="56" t="s">
        <v>24</v>
      </c>
      <c r="AE1034" s="56" t="s">
        <v>5367</v>
      </c>
      <c r="AF1034" s="56" t="s">
        <v>5490</v>
      </c>
      <c r="AH1034" s="56" t="s">
        <v>3542</v>
      </c>
      <c r="AI1034" s="56" t="s">
        <v>3723</v>
      </c>
    </row>
    <row r="1035" spans="1:35" ht="33" customHeight="1">
      <c r="A1035" s="56" t="s">
        <v>5495</v>
      </c>
      <c r="B1035" s="57">
        <v>44362.624988425923</v>
      </c>
      <c r="C1035" s="56" t="s">
        <v>3803</v>
      </c>
      <c r="D1035" s="56" t="s">
        <v>3802</v>
      </c>
      <c r="E1035" s="56" t="s">
        <v>5494</v>
      </c>
      <c r="F1035" s="56" t="s">
        <v>5493</v>
      </c>
      <c r="G1035" s="58" t="s">
        <v>1498</v>
      </c>
      <c r="H1035" s="56">
        <v>1</v>
      </c>
      <c r="I1035" s="56" t="s">
        <v>4016</v>
      </c>
      <c r="J1035" s="56">
        <v>0</v>
      </c>
      <c r="K1035" s="56">
        <v>0</v>
      </c>
      <c r="P1035" s="56">
        <v>0</v>
      </c>
      <c r="S1035" s="56">
        <v>0</v>
      </c>
      <c r="T1035" s="56" t="s">
        <v>3562</v>
      </c>
      <c r="V1035" s="56" t="s">
        <v>3561</v>
      </c>
      <c r="W1035" s="56" t="s">
        <v>3548</v>
      </c>
      <c r="X1035" s="56" t="s">
        <v>39</v>
      </c>
      <c r="Y1035" s="56" t="s">
        <v>5492</v>
      </c>
      <c r="Z1035" s="56" t="s">
        <v>5491</v>
      </c>
      <c r="AC1035" s="56" t="s">
        <v>3543</v>
      </c>
      <c r="AD1035" s="56" t="s">
        <v>24</v>
      </c>
      <c r="AE1035" s="56" t="s">
        <v>5367</v>
      </c>
      <c r="AF1035" s="56" t="s">
        <v>5490</v>
      </c>
      <c r="AH1035" s="56" t="s">
        <v>3542</v>
      </c>
      <c r="AI1035" s="56" t="s">
        <v>3723</v>
      </c>
    </row>
    <row r="1036" spans="1:35" ht="33" customHeight="1">
      <c r="A1036" s="56" t="s">
        <v>5495</v>
      </c>
      <c r="B1036" s="57">
        <v>44362.624988425923</v>
      </c>
      <c r="C1036" s="56" t="s">
        <v>3803</v>
      </c>
      <c r="D1036" s="56" t="s">
        <v>3802</v>
      </c>
      <c r="E1036" s="56" t="s">
        <v>5494</v>
      </c>
      <c r="F1036" s="56" t="s">
        <v>5493</v>
      </c>
      <c r="G1036" s="58" t="s">
        <v>3564</v>
      </c>
      <c r="H1036" s="56">
        <v>1</v>
      </c>
      <c r="I1036" s="56" t="s">
        <v>3563</v>
      </c>
      <c r="J1036" s="56">
        <v>0</v>
      </c>
      <c r="K1036" s="56">
        <v>0</v>
      </c>
      <c r="P1036" s="56">
        <v>0</v>
      </c>
      <c r="S1036" s="56">
        <v>0</v>
      </c>
      <c r="T1036" s="56" t="s">
        <v>3562</v>
      </c>
      <c r="V1036" s="56" t="s">
        <v>3561</v>
      </c>
      <c r="W1036" s="56" t="s">
        <v>3548</v>
      </c>
      <c r="X1036" s="56" t="s">
        <v>39</v>
      </c>
      <c r="Y1036" s="56" t="s">
        <v>5492</v>
      </c>
      <c r="Z1036" s="56" t="s">
        <v>5491</v>
      </c>
      <c r="AC1036" s="56" t="s">
        <v>3543</v>
      </c>
      <c r="AD1036" s="56" t="s">
        <v>24</v>
      </c>
      <c r="AE1036" s="56" t="s">
        <v>5367</v>
      </c>
      <c r="AF1036" s="56" t="s">
        <v>5490</v>
      </c>
      <c r="AH1036" s="56" t="s">
        <v>3542</v>
      </c>
      <c r="AI1036" s="56" t="s">
        <v>3723</v>
      </c>
    </row>
    <row r="1037" spans="1:35" ht="33" customHeight="1">
      <c r="A1037" s="56" t="s">
        <v>5489</v>
      </c>
      <c r="B1037" s="57">
        <v>44362.626331018517</v>
      </c>
      <c r="C1037" s="56" t="s">
        <v>3803</v>
      </c>
      <c r="D1037" s="56" t="s">
        <v>3802</v>
      </c>
      <c r="E1037" s="56" t="s">
        <v>5488</v>
      </c>
      <c r="F1037" s="56" t="s">
        <v>5487</v>
      </c>
      <c r="G1037" s="58" t="s">
        <v>4137</v>
      </c>
      <c r="H1037" s="56">
        <v>2</v>
      </c>
      <c r="I1037" s="56" t="s">
        <v>3577</v>
      </c>
      <c r="J1037" s="56">
        <v>700</v>
      </c>
      <c r="K1037" s="56">
        <v>599</v>
      </c>
      <c r="L1037" s="56">
        <v>1577</v>
      </c>
      <c r="M1037" s="56">
        <v>0</v>
      </c>
      <c r="N1037" s="56">
        <v>0</v>
      </c>
      <c r="O1037" s="56">
        <v>158</v>
      </c>
      <c r="P1037" s="56">
        <v>0</v>
      </c>
      <c r="Q1037" s="56">
        <v>1419</v>
      </c>
      <c r="R1037" s="56">
        <v>0</v>
      </c>
      <c r="S1037" s="56">
        <v>0</v>
      </c>
      <c r="T1037" s="56" t="s">
        <v>3562</v>
      </c>
      <c r="U1037" s="56">
        <v>1419</v>
      </c>
      <c r="V1037" s="56" t="s">
        <v>3561</v>
      </c>
      <c r="W1037" s="56" t="s">
        <v>3548</v>
      </c>
      <c r="X1037" s="56" t="s">
        <v>39</v>
      </c>
      <c r="Y1037" s="56" t="s">
        <v>5486</v>
      </c>
      <c r="Z1037" s="56" t="s">
        <v>5485</v>
      </c>
      <c r="AC1037" s="56" t="s">
        <v>3543</v>
      </c>
      <c r="AD1037" s="56" t="s">
        <v>24</v>
      </c>
      <c r="AE1037" s="56" t="s">
        <v>5367</v>
      </c>
      <c r="AF1037" s="56" t="s">
        <v>5484</v>
      </c>
      <c r="AH1037" s="56" t="s">
        <v>3542</v>
      </c>
      <c r="AI1037" s="56" t="s">
        <v>3723</v>
      </c>
    </row>
    <row r="1038" spans="1:35" ht="33" customHeight="1">
      <c r="A1038" s="56" t="s">
        <v>5489</v>
      </c>
      <c r="B1038" s="57">
        <v>44362.626331018517</v>
      </c>
      <c r="C1038" s="56" t="s">
        <v>3803</v>
      </c>
      <c r="D1038" s="56" t="s">
        <v>3802</v>
      </c>
      <c r="E1038" s="56" t="s">
        <v>5488</v>
      </c>
      <c r="F1038" s="56" t="s">
        <v>5487</v>
      </c>
      <c r="G1038" s="58" t="s">
        <v>1493</v>
      </c>
      <c r="H1038" s="56">
        <v>2</v>
      </c>
      <c r="I1038" s="56" t="s">
        <v>3601</v>
      </c>
      <c r="J1038" s="56">
        <v>135</v>
      </c>
      <c r="K1038" s="56">
        <v>135</v>
      </c>
      <c r="P1038" s="56">
        <v>0</v>
      </c>
      <c r="S1038" s="56">
        <v>0</v>
      </c>
      <c r="T1038" s="56" t="s">
        <v>3562</v>
      </c>
      <c r="V1038" s="56" t="s">
        <v>3561</v>
      </c>
      <c r="W1038" s="56" t="s">
        <v>3548</v>
      </c>
      <c r="X1038" s="56" t="s">
        <v>39</v>
      </c>
      <c r="Y1038" s="56" t="s">
        <v>5486</v>
      </c>
      <c r="Z1038" s="56" t="s">
        <v>5485</v>
      </c>
      <c r="AC1038" s="56" t="s">
        <v>3543</v>
      </c>
      <c r="AD1038" s="56" t="s">
        <v>24</v>
      </c>
      <c r="AE1038" s="56" t="s">
        <v>5367</v>
      </c>
      <c r="AF1038" s="56" t="s">
        <v>5484</v>
      </c>
      <c r="AH1038" s="56" t="s">
        <v>3542</v>
      </c>
      <c r="AI1038" s="56" t="s">
        <v>3723</v>
      </c>
    </row>
    <row r="1039" spans="1:35" ht="33" customHeight="1">
      <c r="A1039" s="56" t="s">
        <v>5489</v>
      </c>
      <c r="B1039" s="57">
        <v>44362.626331018517</v>
      </c>
      <c r="C1039" s="56" t="s">
        <v>3803</v>
      </c>
      <c r="D1039" s="56" t="s">
        <v>3802</v>
      </c>
      <c r="E1039" s="56" t="s">
        <v>5488</v>
      </c>
      <c r="F1039" s="56" t="s">
        <v>5487</v>
      </c>
      <c r="G1039" s="58" t="s">
        <v>2165</v>
      </c>
      <c r="H1039" s="56">
        <v>1</v>
      </c>
      <c r="I1039" s="56" t="s">
        <v>3721</v>
      </c>
      <c r="J1039" s="56">
        <v>109</v>
      </c>
      <c r="K1039" s="56">
        <v>109</v>
      </c>
      <c r="P1039" s="56">
        <v>0</v>
      </c>
      <c r="S1039" s="56">
        <v>0</v>
      </c>
      <c r="T1039" s="56" t="s">
        <v>3562</v>
      </c>
      <c r="V1039" s="56" t="s">
        <v>3561</v>
      </c>
      <c r="W1039" s="56" t="s">
        <v>3548</v>
      </c>
      <c r="X1039" s="56" t="s">
        <v>39</v>
      </c>
      <c r="Y1039" s="56" t="s">
        <v>5486</v>
      </c>
      <c r="Z1039" s="56" t="s">
        <v>5485</v>
      </c>
      <c r="AC1039" s="56" t="s">
        <v>3543</v>
      </c>
      <c r="AD1039" s="56" t="s">
        <v>24</v>
      </c>
      <c r="AE1039" s="56" t="s">
        <v>5367</v>
      </c>
      <c r="AF1039" s="56" t="s">
        <v>5484</v>
      </c>
      <c r="AH1039" s="56" t="s">
        <v>3542</v>
      </c>
      <c r="AI1039" s="56" t="s">
        <v>3723</v>
      </c>
    </row>
    <row r="1040" spans="1:35" ht="33" customHeight="1">
      <c r="A1040" s="56" t="s">
        <v>5489</v>
      </c>
      <c r="B1040" s="57">
        <v>44362.626331018517</v>
      </c>
      <c r="C1040" s="56" t="s">
        <v>3803</v>
      </c>
      <c r="D1040" s="56" t="s">
        <v>3802</v>
      </c>
      <c r="E1040" s="56" t="s">
        <v>5488</v>
      </c>
      <c r="F1040" s="56" t="s">
        <v>5487</v>
      </c>
      <c r="G1040" s="58" t="s">
        <v>3551</v>
      </c>
      <c r="H1040" s="56">
        <v>1</v>
      </c>
      <c r="I1040" s="56" t="s">
        <v>3550</v>
      </c>
      <c r="J1040" s="56">
        <v>0</v>
      </c>
      <c r="K1040" s="56">
        <v>0</v>
      </c>
      <c r="P1040" s="56">
        <v>0</v>
      </c>
      <c r="S1040" s="56">
        <v>0</v>
      </c>
      <c r="T1040" s="56" t="s">
        <v>3562</v>
      </c>
      <c r="V1040" s="56" t="s">
        <v>3561</v>
      </c>
      <c r="W1040" s="56" t="s">
        <v>3548</v>
      </c>
      <c r="X1040" s="56" t="s">
        <v>39</v>
      </c>
      <c r="Y1040" s="56" t="s">
        <v>5486</v>
      </c>
      <c r="Z1040" s="56" t="s">
        <v>5485</v>
      </c>
      <c r="AC1040" s="56" t="s">
        <v>3543</v>
      </c>
      <c r="AD1040" s="56" t="s">
        <v>24</v>
      </c>
      <c r="AE1040" s="56" t="s">
        <v>5367</v>
      </c>
      <c r="AF1040" s="56" t="s">
        <v>5484</v>
      </c>
      <c r="AH1040" s="56" t="s">
        <v>3542</v>
      </c>
      <c r="AI1040" s="56" t="s">
        <v>3723</v>
      </c>
    </row>
    <row r="1041" spans="1:35" ht="33" customHeight="1">
      <c r="A1041" s="56" t="s">
        <v>5489</v>
      </c>
      <c r="B1041" s="57">
        <v>44362.626331018517</v>
      </c>
      <c r="C1041" s="56" t="s">
        <v>3803</v>
      </c>
      <c r="D1041" s="56" t="s">
        <v>3802</v>
      </c>
      <c r="E1041" s="56" t="s">
        <v>5488</v>
      </c>
      <c r="F1041" s="56" t="s">
        <v>5487</v>
      </c>
      <c r="G1041" s="58" t="s">
        <v>1713</v>
      </c>
      <c r="H1041" s="56">
        <v>1</v>
      </c>
      <c r="I1041" s="56" t="s">
        <v>3568</v>
      </c>
      <c r="J1041" s="56">
        <v>0</v>
      </c>
      <c r="K1041" s="56">
        <v>0</v>
      </c>
      <c r="P1041" s="56">
        <v>0</v>
      </c>
      <c r="S1041" s="56">
        <v>0</v>
      </c>
      <c r="T1041" s="56" t="s">
        <v>3562</v>
      </c>
      <c r="V1041" s="56" t="s">
        <v>3561</v>
      </c>
      <c r="W1041" s="56" t="s">
        <v>3548</v>
      </c>
      <c r="X1041" s="56" t="s">
        <v>39</v>
      </c>
      <c r="Y1041" s="56" t="s">
        <v>5486</v>
      </c>
      <c r="Z1041" s="56" t="s">
        <v>5485</v>
      </c>
      <c r="AC1041" s="56" t="s">
        <v>3543</v>
      </c>
      <c r="AD1041" s="56" t="s">
        <v>24</v>
      </c>
      <c r="AE1041" s="56" t="s">
        <v>5367</v>
      </c>
      <c r="AF1041" s="56" t="s">
        <v>5484</v>
      </c>
      <c r="AH1041" s="56" t="s">
        <v>3542</v>
      </c>
      <c r="AI1041" s="56" t="s">
        <v>3723</v>
      </c>
    </row>
    <row r="1042" spans="1:35" ht="33" customHeight="1">
      <c r="A1042" s="56" t="s">
        <v>5489</v>
      </c>
      <c r="B1042" s="57">
        <v>44362.626331018517</v>
      </c>
      <c r="C1042" s="56" t="s">
        <v>3803</v>
      </c>
      <c r="D1042" s="56" t="s">
        <v>3802</v>
      </c>
      <c r="E1042" s="56" t="s">
        <v>5488</v>
      </c>
      <c r="F1042" s="56" t="s">
        <v>5487</v>
      </c>
      <c r="G1042" s="58" t="s">
        <v>1498</v>
      </c>
      <c r="H1042" s="56">
        <v>1</v>
      </c>
      <c r="I1042" s="56" t="s">
        <v>4016</v>
      </c>
      <c r="J1042" s="56">
        <v>0</v>
      </c>
      <c r="K1042" s="56">
        <v>0</v>
      </c>
      <c r="P1042" s="56">
        <v>0</v>
      </c>
      <c r="S1042" s="56">
        <v>0</v>
      </c>
      <c r="T1042" s="56" t="s">
        <v>3562</v>
      </c>
      <c r="V1042" s="56" t="s">
        <v>3561</v>
      </c>
      <c r="W1042" s="56" t="s">
        <v>3548</v>
      </c>
      <c r="X1042" s="56" t="s">
        <v>39</v>
      </c>
      <c r="Y1042" s="56" t="s">
        <v>5486</v>
      </c>
      <c r="Z1042" s="56" t="s">
        <v>5485</v>
      </c>
      <c r="AC1042" s="56" t="s">
        <v>3543</v>
      </c>
      <c r="AD1042" s="56" t="s">
        <v>24</v>
      </c>
      <c r="AE1042" s="56" t="s">
        <v>5367</v>
      </c>
      <c r="AF1042" s="56" t="s">
        <v>5484</v>
      </c>
      <c r="AH1042" s="56" t="s">
        <v>3542</v>
      </c>
      <c r="AI1042" s="56" t="s">
        <v>3723</v>
      </c>
    </row>
    <row r="1043" spans="1:35" ht="33" customHeight="1">
      <c r="A1043" s="56" t="s">
        <v>5483</v>
      </c>
      <c r="B1043" s="57">
        <v>44362.648784722223</v>
      </c>
      <c r="C1043" s="56" t="s">
        <v>4512</v>
      </c>
      <c r="D1043" s="56" t="s">
        <v>4511</v>
      </c>
      <c r="E1043" s="56" t="s">
        <v>5482</v>
      </c>
      <c r="F1043" s="56" t="s">
        <v>5481</v>
      </c>
      <c r="G1043" s="58" t="s">
        <v>3196</v>
      </c>
      <c r="H1043" s="56">
        <v>1</v>
      </c>
      <c r="I1043" s="56" t="s">
        <v>2550</v>
      </c>
      <c r="J1043" s="56">
        <v>120</v>
      </c>
      <c r="K1043" s="56">
        <v>120</v>
      </c>
      <c r="L1043" s="56">
        <v>718</v>
      </c>
      <c r="M1043" s="56">
        <v>65</v>
      </c>
      <c r="N1043" s="56">
        <v>0</v>
      </c>
      <c r="O1043" s="56">
        <v>0</v>
      </c>
      <c r="P1043" s="56">
        <v>0</v>
      </c>
      <c r="Q1043" s="56">
        <v>783</v>
      </c>
      <c r="R1043" s="56">
        <v>0</v>
      </c>
      <c r="S1043" s="56">
        <v>0</v>
      </c>
      <c r="T1043" s="56" t="s">
        <v>3562</v>
      </c>
      <c r="U1043" s="56">
        <v>783</v>
      </c>
      <c r="V1043" s="56" t="s">
        <v>3549</v>
      </c>
      <c r="W1043" s="56" t="s">
        <v>3548</v>
      </c>
      <c r="X1043" s="56" t="s">
        <v>3547</v>
      </c>
      <c r="Z1043" s="56" t="s">
        <v>3546</v>
      </c>
      <c r="AA1043" s="56" t="s">
        <v>5480</v>
      </c>
      <c r="AB1043" s="56" t="s">
        <v>5479</v>
      </c>
      <c r="AC1043" s="56" t="s">
        <v>3543</v>
      </c>
      <c r="AD1043" s="56" t="s">
        <v>24</v>
      </c>
      <c r="AE1043" s="56" t="s">
        <v>4145</v>
      </c>
      <c r="AF1043" s="56" t="s">
        <v>5478</v>
      </c>
      <c r="AH1043" s="56" t="s">
        <v>3542</v>
      </c>
      <c r="AI1043" s="56" t="s">
        <v>3723</v>
      </c>
    </row>
    <row r="1044" spans="1:35" ht="33" customHeight="1">
      <c r="A1044" s="56" t="s">
        <v>5483</v>
      </c>
      <c r="B1044" s="57">
        <v>44362.648784722223</v>
      </c>
      <c r="C1044" s="56" t="s">
        <v>4512</v>
      </c>
      <c r="D1044" s="56" t="s">
        <v>4511</v>
      </c>
      <c r="E1044" s="56" t="s">
        <v>5482</v>
      </c>
      <c r="F1044" s="56" t="s">
        <v>5481</v>
      </c>
      <c r="G1044" s="58" t="s">
        <v>1531</v>
      </c>
      <c r="H1044" s="56">
        <v>1</v>
      </c>
      <c r="I1044" s="56" t="s">
        <v>3696</v>
      </c>
      <c r="J1044" s="56">
        <v>299</v>
      </c>
      <c r="K1044" s="56">
        <v>299</v>
      </c>
      <c r="P1044" s="56">
        <v>0</v>
      </c>
      <c r="S1044" s="56">
        <v>0</v>
      </c>
      <c r="T1044" s="56" t="s">
        <v>3562</v>
      </c>
      <c r="V1044" s="56" t="s">
        <v>3549</v>
      </c>
      <c r="W1044" s="56" t="s">
        <v>3548</v>
      </c>
      <c r="X1044" s="56" t="s">
        <v>3547</v>
      </c>
      <c r="Z1044" s="56" t="s">
        <v>3546</v>
      </c>
      <c r="AA1044" s="56" t="s">
        <v>5480</v>
      </c>
      <c r="AB1044" s="56" t="s">
        <v>5479</v>
      </c>
      <c r="AC1044" s="56" t="s">
        <v>3543</v>
      </c>
      <c r="AD1044" s="56" t="s">
        <v>24</v>
      </c>
      <c r="AE1044" s="56" t="s">
        <v>4145</v>
      </c>
      <c r="AF1044" s="56" t="s">
        <v>5478</v>
      </c>
      <c r="AH1044" s="56" t="s">
        <v>3542</v>
      </c>
      <c r="AI1044" s="56" t="s">
        <v>3723</v>
      </c>
    </row>
    <row r="1045" spans="1:35" ht="33" customHeight="1">
      <c r="A1045" s="56" t="s">
        <v>5483</v>
      </c>
      <c r="B1045" s="57">
        <v>44362.648784722223</v>
      </c>
      <c r="C1045" s="56" t="s">
        <v>4512</v>
      </c>
      <c r="D1045" s="56" t="s">
        <v>4511</v>
      </c>
      <c r="E1045" s="56" t="s">
        <v>5482</v>
      </c>
      <c r="F1045" s="56" t="s">
        <v>5481</v>
      </c>
      <c r="G1045" s="58" t="s">
        <v>1510</v>
      </c>
      <c r="H1045" s="56">
        <v>1</v>
      </c>
      <c r="I1045" s="56" t="s">
        <v>3696</v>
      </c>
      <c r="J1045" s="56">
        <v>299</v>
      </c>
      <c r="K1045" s="56">
        <v>299</v>
      </c>
      <c r="P1045" s="56">
        <v>0</v>
      </c>
      <c r="S1045" s="56">
        <v>0</v>
      </c>
      <c r="T1045" s="56" t="s">
        <v>3562</v>
      </c>
      <c r="V1045" s="56" t="s">
        <v>3549</v>
      </c>
      <c r="W1045" s="56" t="s">
        <v>3548</v>
      </c>
      <c r="X1045" s="56" t="s">
        <v>3547</v>
      </c>
      <c r="Z1045" s="56" t="s">
        <v>3546</v>
      </c>
      <c r="AA1045" s="56" t="s">
        <v>5480</v>
      </c>
      <c r="AB1045" s="56" t="s">
        <v>5479</v>
      </c>
      <c r="AC1045" s="56" t="s">
        <v>3543</v>
      </c>
      <c r="AD1045" s="56" t="s">
        <v>24</v>
      </c>
      <c r="AE1045" s="56" t="s">
        <v>4145</v>
      </c>
      <c r="AF1045" s="56" t="s">
        <v>5478</v>
      </c>
      <c r="AH1045" s="56" t="s">
        <v>3542</v>
      </c>
      <c r="AI1045" s="56" t="s">
        <v>3723</v>
      </c>
    </row>
    <row r="1046" spans="1:35" ht="33" customHeight="1">
      <c r="A1046" s="56" t="s">
        <v>5483</v>
      </c>
      <c r="B1046" s="57">
        <v>44362.648784722223</v>
      </c>
      <c r="C1046" s="56" t="s">
        <v>4512</v>
      </c>
      <c r="D1046" s="56" t="s">
        <v>4511</v>
      </c>
      <c r="E1046" s="56" t="s">
        <v>5482</v>
      </c>
      <c r="F1046" s="56" t="s">
        <v>5481</v>
      </c>
      <c r="G1046" s="58" t="s">
        <v>3551</v>
      </c>
      <c r="H1046" s="56">
        <v>1</v>
      </c>
      <c r="I1046" s="56" t="s">
        <v>3550</v>
      </c>
      <c r="J1046" s="56">
        <v>0</v>
      </c>
      <c r="K1046" s="56">
        <v>0</v>
      </c>
      <c r="P1046" s="56">
        <v>0</v>
      </c>
      <c r="S1046" s="56">
        <v>0</v>
      </c>
      <c r="T1046" s="56" t="s">
        <v>3562</v>
      </c>
      <c r="V1046" s="56" t="s">
        <v>3549</v>
      </c>
      <c r="W1046" s="56" t="s">
        <v>3548</v>
      </c>
      <c r="X1046" s="56" t="s">
        <v>3547</v>
      </c>
      <c r="Z1046" s="56" t="s">
        <v>3546</v>
      </c>
      <c r="AA1046" s="56" t="s">
        <v>5480</v>
      </c>
      <c r="AB1046" s="56" t="s">
        <v>5479</v>
      </c>
      <c r="AC1046" s="56" t="s">
        <v>3543</v>
      </c>
      <c r="AD1046" s="56" t="s">
        <v>24</v>
      </c>
      <c r="AE1046" s="56" t="s">
        <v>4145</v>
      </c>
      <c r="AF1046" s="56" t="s">
        <v>5478</v>
      </c>
      <c r="AH1046" s="56" t="s">
        <v>3542</v>
      </c>
      <c r="AI1046" s="56" t="s">
        <v>3723</v>
      </c>
    </row>
    <row r="1047" spans="1:35" ht="33" customHeight="1">
      <c r="A1047" s="56" t="s">
        <v>5476</v>
      </c>
      <c r="B1047" s="57">
        <v>44362.653645833336</v>
      </c>
      <c r="C1047" s="56" t="s">
        <v>3803</v>
      </c>
      <c r="D1047" s="56" t="s">
        <v>3802</v>
      </c>
      <c r="E1047" s="56" t="s">
        <v>5475</v>
      </c>
      <c r="F1047" s="56" t="s">
        <v>5474</v>
      </c>
      <c r="G1047" s="58" t="s">
        <v>5477</v>
      </c>
      <c r="H1047" s="56">
        <v>1</v>
      </c>
      <c r="I1047" s="56" t="s">
        <v>3848</v>
      </c>
      <c r="J1047" s="56">
        <v>1396</v>
      </c>
      <c r="K1047" s="56">
        <v>1320</v>
      </c>
      <c r="L1047" s="56">
        <v>2208</v>
      </c>
      <c r="M1047" s="56">
        <v>0</v>
      </c>
      <c r="N1047" s="56">
        <v>44</v>
      </c>
      <c r="O1047" s="56">
        <v>217</v>
      </c>
      <c r="P1047" s="56">
        <v>0</v>
      </c>
      <c r="Q1047" s="56">
        <v>1947</v>
      </c>
      <c r="R1047" s="56">
        <v>0</v>
      </c>
      <c r="S1047" s="56">
        <v>0</v>
      </c>
      <c r="T1047" s="56" t="s">
        <v>3562</v>
      </c>
      <c r="U1047" s="56">
        <v>1947</v>
      </c>
      <c r="V1047" s="56" t="s">
        <v>3561</v>
      </c>
      <c r="W1047" s="56" t="s">
        <v>3548</v>
      </c>
      <c r="X1047" s="56" t="s">
        <v>39</v>
      </c>
      <c r="Y1047" s="56" t="s">
        <v>4393</v>
      </c>
      <c r="Z1047" s="56" t="s">
        <v>5473</v>
      </c>
      <c r="AC1047" s="56" t="s">
        <v>3543</v>
      </c>
      <c r="AD1047" s="56" t="s">
        <v>24</v>
      </c>
      <c r="AE1047" s="56" t="s">
        <v>5367</v>
      </c>
      <c r="AF1047" s="56" t="s">
        <v>5472</v>
      </c>
      <c r="AH1047" s="56" t="s">
        <v>3542</v>
      </c>
      <c r="AI1047" s="56" t="s">
        <v>3723</v>
      </c>
    </row>
    <row r="1048" spans="1:35" ht="33" customHeight="1">
      <c r="A1048" s="56" t="s">
        <v>5476</v>
      </c>
      <c r="B1048" s="57">
        <v>44362.653645833336</v>
      </c>
      <c r="C1048" s="56" t="s">
        <v>3803</v>
      </c>
      <c r="D1048" s="56" t="s">
        <v>3802</v>
      </c>
      <c r="E1048" s="56" t="s">
        <v>5475</v>
      </c>
      <c r="F1048" s="56" t="s">
        <v>5474</v>
      </c>
      <c r="G1048" s="58" t="s">
        <v>4162</v>
      </c>
      <c r="H1048" s="56">
        <v>1</v>
      </c>
      <c r="I1048" s="56" t="s">
        <v>3669</v>
      </c>
      <c r="J1048" s="56">
        <v>897</v>
      </c>
      <c r="K1048" s="56">
        <v>888</v>
      </c>
      <c r="P1048" s="56">
        <v>0</v>
      </c>
      <c r="S1048" s="56">
        <v>0</v>
      </c>
      <c r="T1048" s="56" t="s">
        <v>3562</v>
      </c>
      <c r="V1048" s="56" t="s">
        <v>3561</v>
      </c>
      <c r="W1048" s="56" t="s">
        <v>3548</v>
      </c>
      <c r="X1048" s="56" t="s">
        <v>39</v>
      </c>
      <c r="Y1048" s="56" t="s">
        <v>4393</v>
      </c>
      <c r="Z1048" s="56" t="s">
        <v>5473</v>
      </c>
      <c r="AC1048" s="56" t="s">
        <v>3543</v>
      </c>
      <c r="AD1048" s="56" t="s">
        <v>24</v>
      </c>
      <c r="AE1048" s="56" t="s">
        <v>5367</v>
      </c>
      <c r="AF1048" s="56" t="s">
        <v>5472</v>
      </c>
      <c r="AH1048" s="56" t="s">
        <v>3542</v>
      </c>
      <c r="AI1048" s="56" t="s">
        <v>3723</v>
      </c>
    </row>
    <row r="1049" spans="1:35" ht="33" customHeight="1">
      <c r="A1049" s="56" t="s">
        <v>5476</v>
      </c>
      <c r="B1049" s="57">
        <v>44362.653645833336</v>
      </c>
      <c r="C1049" s="56" t="s">
        <v>3803</v>
      </c>
      <c r="D1049" s="56" t="s">
        <v>3802</v>
      </c>
      <c r="E1049" s="56" t="s">
        <v>5475</v>
      </c>
      <c r="F1049" s="56" t="s">
        <v>5474</v>
      </c>
      <c r="G1049" s="58" t="s">
        <v>3551</v>
      </c>
      <c r="H1049" s="56">
        <v>1</v>
      </c>
      <c r="I1049" s="56" t="s">
        <v>3550</v>
      </c>
      <c r="J1049" s="56">
        <v>0</v>
      </c>
      <c r="K1049" s="56">
        <v>0</v>
      </c>
      <c r="P1049" s="56">
        <v>0</v>
      </c>
      <c r="S1049" s="56">
        <v>0</v>
      </c>
      <c r="T1049" s="56" t="s">
        <v>3562</v>
      </c>
      <c r="V1049" s="56" t="s">
        <v>3561</v>
      </c>
      <c r="W1049" s="56" t="s">
        <v>3548</v>
      </c>
      <c r="X1049" s="56" t="s">
        <v>39</v>
      </c>
      <c r="Y1049" s="56" t="s">
        <v>4393</v>
      </c>
      <c r="Z1049" s="56" t="s">
        <v>5473</v>
      </c>
      <c r="AC1049" s="56" t="s">
        <v>3543</v>
      </c>
      <c r="AD1049" s="56" t="s">
        <v>24</v>
      </c>
      <c r="AE1049" s="56" t="s">
        <v>5367</v>
      </c>
      <c r="AF1049" s="56" t="s">
        <v>5472</v>
      </c>
      <c r="AH1049" s="56" t="s">
        <v>3542</v>
      </c>
      <c r="AI1049" s="56" t="s">
        <v>3723</v>
      </c>
    </row>
    <row r="1050" spans="1:35" ht="33" customHeight="1">
      <c r="A1050" s="56" t="s">
        <v>5476</v>
      </c>
      <c r="B1050" s="57">
        <v>44362.653645833336</v>
      </c>
      <c r="C1050" s="56" t="s">
        <v>3803</v>
      </c>
      <c r="D1050" s="56" t="s">
        <v>3802</v>
      </c>
      <c r="E1050" s="56" t="s">
        <v>5475</v>
      </c>
      <c r="F1050" s="56" t="s">
        <v>5474</v>
      </c>
      <c r="G1050" s="58" t="s">
        <v>1713</v>
      </c>
      <c r="H1050" s="56">
        <v>1</v>
      </c>
      <c r="I1050" s="56" t="s">
        <v>3568</v>
      </c>
      <c r="J1050" s="56">
        <v>0</v>
      </c>
      <c r="K1050" s="56">
        <v>0</v>
      </c>
      <c r="P1050" s="56">
        <v>0</v>
      </c>
      <c r="S1050" s="56">
        <v>0</v>
      </c>
      <c r="T1050" s="56" t="s">
        <v>3562</v>
      </c>
      <c r="V1050" s="56" t="s">
        <v>3561</v>
      </c>
      <c r="W1050" s="56" t="s">
        <v>3548</v>
      </c>
      <c r="X1050" s="56" t="s">
        <v>39</v>
      </c>
      <c r="Y1050" s="56" t="s">
        <v>4393</v>
      </c>
      <c r="Z1050" s="56" t="s">
        <v>5473</v>
      </c>
      <c r="AC1050" s="56" t="s">
        <v>3543</v>
      </c>
      <c r="AD1050" s="56" t="s">
        <v>24</v>
      </c>
      <c r="AE1050" s="56" t="s">
        <v>5367</v>
      </c>
      <c r="AF1050" s="56" t="s">
        <v>5472</v>
      </c>
      <c r="AH1050" s="56" t="s">
        <v>3542</v>
      </c>
      <c r="AI1050" s="56" t="s">
        <v>3723</v>
      </c>
    </row>
    <row r="1051" spans="1:35" ht="33" customHeight="1">
      <c r="A1051" s="56" t="s">
        <v>5476</v>
      </c>
      <c r="B1051" s="57">
        <v>44362.653645833336</v>
      </c>
      <c r="C1051" s="56" t="s">
        <v>3803</v>
      </c>
      <c r="D1051" s="56" t="s">
        <v>3802</v>
      </c>
      <c r="E1051" s="56" t="s">
        <v>5475</v>
      </c>
      <c r="F1051" s="56" t="s">
        <v>5474</v>
      </c>
      <c r="G1051" s="58" t="s">
        <v>1498</v>
      </c>
      <c r="H1051" s="56">
        <v>1</v>
      </c>
      <c r="I1051" s="56" t="s">
        <v>4016</v>
      </c>
      <c r="J1051" s="56">
        <v>0</v>
      </c>
      <c r="K1051" s="56">
        <v>0</v>
      </c>
      <c r="P1051" s="56">
        <v>0</v>
      </c>
      <c r="S1051" s="56">
        <v>0</v>
      </c>
      <c r="T1051" s="56" t="s">
        <v>3562</v>
      </c>
      <c r="V1051" s="56" t="s">
        <v>3561</v>
      </c>
      <c r="W1051" s="56" t="s">
        <v>3548</v>
      </c>
      <c r="X1051" s="56" t="s">
        <v>39</v>
      </c>
      <c r="Y1051" s="56" t="s">
        <v>4393</v>
      </c>
      <c r="Z1051" s="56" t="s">
        <v>5473</v>
      </c>
      <c r="AC1051" s="56" t="s">
        <v>3543</v>
      </c>
      <c r="AD1051" s="56" t="s">
        <v>24</v>
      </c>
      <c r="AE1051" s="56" t="s">
        <v>5367</v>
      </c>
      <c r="AF1051" s="56" t="s">
        <v>5472</v>
      </c>
      <c r="AH1051" s="56" t="s">
        <v>3542</v>
      </c>
      <c r="AI1051" s="56" t="s">
        <v>3723</v>
      </c>
    </row>
    <row r="1052" spans="1:35" ht="33" customHeight="1">
      <c r="A1052" s="56" t="s">
        <v>5476</v>
      </c>
      <c r="B1052" s="57">
        <v>44362.653645833336</v>
      </c>
      <c r="C1052" s="56" t="s">
        <v>3803</v>
      </c>
      <c r="D1052" s="56" t="s">
        <v>3802</v>
      </c>
      <c r="E1052" s="56" t="s">
        <v>5475</v>
      </c>
      <c r="F1052" s="56" t="s">
        <v>5474</v>
      </c>
      <c r="G1052" s="58" t="s">
        <v>3564</v>
      </c>
      <c r="H1052" s="56">
        <v>1</v>
      </c>
      <c r="I1052" s="56" t="s">
        <v>3563</v>
      </c>
      <c r="J1052" s="56">
        <v>0</v>
      </c>
      <c r="K1052" s="56">
        <v>0</v>
      </c>
      <c r="P1052" s="56">
        <v>0</v>
      </c>
      <c r="S1052" s="56">
        <v>0</v>
      </c>
      <c r="T1052" s="56" t="s">
        <v>3562</v>
      </c>
      <c r="V1052" s="56" t="s">
        <v>3561</v>
      </c>
      <c r="W1052" s="56" t="s">
        <v>3548</v>
      </c>
      <c r="X1052" s="56" t="s">
        <v>39</v>
      </c>
      <c r="Y1052" s="56" t="s">
        <v>4393</v>
      </c>
      <c r="Z1052" s="56" t="s">
        <v>5473</v>
      </c>
      <c r="AC1052" s="56" t="s">
        <v>3543</v>
      </c>
      <c r="AD1052" s="56" t="s">
        <v>24</v>
      </c>
      <c r="AE1052" s="56" t="s">
        <v>5367</v>
      </c>
      <c r="AF1052" s="56" t="s">
        <v>5472</v>
      </c>
      <c r="AH1052" s="56" t="s">
        <v>3542</v>
      </c>
      <c r="AI1052" s="56" t="s">
        <v>3723</v>
      </c>
    </row>
    <row r="1053" spans="1:35" ht="33" customHeight="1">
      <c r="A1053" s="56" t="s">
        <v>5471</v>
      </c>
      <c r="B1053" s="57">
        <v>44362.67832175926</v>
      </c>
      <c r="C1053" s="56" t="s">
        <v>3803</v>
      </c>
      <c r="D1053" s="56" t="s">
        <v>3802</v>
      </c>
      <c r="E1053" s="56" t="s">
        <v>5470</v>
      </c>
      <c r="F1053" s="56" t="s">
        <v>5469</v>
      </c>
      <c r="G1053" s="58" t="s">
        <v>3593</v>
      </c>
      <c r="H1053" s="56">
        <v>1</v>
      </c>
      <c r="I1053" s="56" t="s">
        <v>3577</v>
      </c>
      <c r="J1053" s="56">
        <v>700</v>
      </c>
      <c r="K1053" s="56">
        <v>599</v>
      </c>
      <c r="L1053" s="56">
        <v>1410</v>
      </c>
      <c r="M1053" s="56">
        <v>0</v>
      </c>
      <c r="N1053" s="56">
        <v>0</v>
      </c>
      <c r="O1053" s="56">
        <v>141</v>
      </c>
      <c r="P1053" s="56">
        <v>0</v>
      </c>
      <c r="Q1053" s="56">
        <v>1269</v>
      </c>
      <c r="R1053" s="56">
        <v>0</v>
      </c>
      <c r="S1053" s="56">
        <v>0</v>
      </c>
      <c r="T1053" s="56" t="s">
        <v>3562</v>
      </c>
      <c r="U1053" s="56">
        <v>1269</v>
      </c>
      <c r="V1053" s="56" t="s">
        <v>3561</v>
      </c>
      <c r="W1053" s="56" t="s">
        <v>3548</v>
      </c>
      <c r="X1053" s="56" t="s">
        <v>39</v>
      </c>
      <c r="Y1053" s="56" t="s">
        <v>5468</v>
      </c>
      <c r="Z1053" s="56" t="s">
        <v>5467</v>
      </c>
      <c r="AC1053" s="56" t="s">
        <v>3543</v>
      </c>
      <c r="AD1053" s="56" t="s">
        <v>24</v>
      </c>
      <c r="AE1053" s="56" t="s">
        <v>5367</v>
      </c>
      <c r="AF1053" s="56" t="s">
        <v>5466</v>
      </c>
      <c r="AH1053" s="56" t="s">
        <v>3542</v>
      </c>
      <c r="AI1053" s="56" t="s">
        <v>3723</v>
      </c>
    </row>
    <row r="1054" spans="1:35" ht="33" customHeight="1">
      <c r="A1054" s="56" t="s">
        <v>5471</v>
      </c>
      <c r="B1054" s="57">
        <v>44362.67832175926</v>
      </c>
      <c r="C1054" s="56" t="s">
        <v>3803</v>
      </c>
      <c r="D1054" s="56" t="s">
        <v>3802</v>
      </c>
      <c r="E1054" s="56" t="s">
        <v>5470</v>
      </c>
      <c r="F1054" s="56" t="s">
        <v>5469</v>
      </c>
      <c r="G1054" s="58" t="s">
        <v>2156</v>
      </c>
      <c r="H1054" s="56">
        <v>1</v>
      </c>
      <c r="I1054" s="56" t="s">
        <v>1376</v>
      </c>
      <c r="J1054" s="56">
        <v>145</v>
      </c>
      <c r="K1054" s="56">
        <v>145</v>
      </c>
      <c r="P1054" s="56">
        <v>0</v>
      </c>
      <c r="S1054" s="56">
        <v>0</v>
      </c>
      <c r="T1054" s="56" t="s">
        <v>3562</v>
      </c>
      <c r="V1054" s="56" t="s">
        <v>3561</v>
      </c>
      <c r="W1054" s="56" t="s">
        <v>3548</v>
      </c>
      <c r="X1054" s="56" t="s">
        <v>39</v>
      </c>
      <c r="Y1054" s="56" t="s">
        <v>5468</v>
      </c>
      <c r="Z1054" s="56" t="s">
        <v>5467</v>
      </c>
      <c r="AC1054" s="56" t="s">
        <v>3543</v>
      </c>
      <c r="AD1054" s="56" t="s">
        <v>24</v>
      </c>
      <c r="AE1054" s="56" t="s">
        <v>5367</v>
      </c>
      <c r="AF1054" s="56" t="s">
        <v>5466</v>
      </c>
      <c r="AH1054" s="56" t="s">
        <v>3542</v>
      </c>
      <c r="AI1054" s="56" t="s">
        <v>3723</v>
      </c>
    </row>
    <row r="1055" spans="1:35" ht="33" customHeight="1">
      <c r="A1055" s="56" t="s">
        <v>5471</v>
      </c>
      <c r="B1055" s="57">
        <v>44362.67832175926</v>
      </c>
      <c r="C1055" s="56" t="s">
        <v>3803</v>
      </c>
      <c r="D1055" s="56" t="s">
        <v>3802</v>
      </c>
      <c r="E1055" s="56" t="s">
        <v>5470</v>
      </c>
      <c r="F1055" s="56" t="s">
        <v>5469</v>
      </c>
      <c r="G1055" s="58" t="s">
        <v>3222</v>
      </c>
      <c r="H1055" s="56">
        <v>2</v>
      </c>
      <c r="I1055" s="56" t="s">
        <v>3712</v>
      </c>
      <c r="J1055" s="56">
        <v>59</v>
      </c>
      <c r="K1055" s="56">
        <v>59</v>
      </c>
      <c r="P1055" s="56">
        <v>0</v>
      </c>
      <c r="S1055" s="56">
        <v>0</v>
      </c>
      <c r="T1055" s="56" t="s">
        <v>3562</v>
      </c>
      <c r="V1055" s="56" t="s">
        <v>3561</v>
      </c>
      <c r="W1055" s="56" t="s">
        <v>3548</v>
      </c>
      <c r="X1055" s="56" t="s">
        <v>39</v>
      </c>
      <c r="Y1055" s="56" t="s">
        <v>5468</v>
      </c>
      <c r="Z1055" s="56" t="s">
        <v>5467</v>
      </c>
      <c r="AC1055" s="56" t="s">
        <v>3543</v>
      </c>
      <c r="AD1055" s="56" t="s">
        <v>24</v>
      </c>
      <c r="AE1055" s="56" t="s">
        <v>5367</v>
      </c>
      <c r="AF1055" s="56" t="s">
        <v>5466</v>
      </c>
      <c r="AH1055" s="56" t="s">
        <v>3542</v>
      </c>
      <c r="AI1055" s="56" t="s">
        <v>3723</v>
      </c>
    </row>
    <row r="1056" spans="1:35" ht="33" customHeight="1">
      <c r="A1056" s="56" t="s">
        <v>5471</v>
      </c>
      <c r="B1056" s="57">
        <v>44362.67832175926</v>
      </c>
      <c r="C1056" s="56" t="s">
        <v>3803</v>
      </c>
      <c r="D1056" s="56" t="s">
        <v>3802</v>
      </c>
      <c r="E1056" s="56" t="s">
        <v>5470</v>
      </c>
      <c r="F1056" s="56" t="s">
        <v>5469</v>
      </c>
      <c r="G1056" s="58" t="s">
        <v>3217</v>
      </c>
      <c r="H1056" s="56">
        <v>2</v>
      </c>
      <c r="I1056" s="56" t="s">
        <v>3720</v>
      </c>
      <c r="J1056" s="56">
        <v>59</v>
      </c>
      <c r="K1056" s="56">
        <v>59</v>
      </c>
      <c r="P1056" s="56">
        <v>0</v>
      </c>
      <c r="S1056" s="56">
        <v>0</v>
      </c>
      <c r="T1056" s="56" t="s">
        <v>3562</v>
      </c>
      <c r="V1056" s="56" t="s">
        <v>3561</v>
      </c>
      <c r="W1056" s="56" t="s">
        <v>3548</v>
      </c>
      <c r="X1056" s="56" t="s">
        <v>39</v>
      </c>
      <c r="Y1056" s="56" t="s">
        <v>5468</v>
      </c>
      <c r="Z1056" s="56" t="s">
        <v>5467</v>
      </c>
      <c r="AC1056" s="56" t="s">
        <v>3543</v>
      </c>
      <c r="AD1056" s="56" t="s">
        <v>24</v>
      </c>
      <c r="AE1056" s="56" t="s">
        <v>5367</v>
      </c>
      <c r="AF1056" s="56" t="s">
        <v>5466</v>
      </c>
      <c r="AH1056" s="56" t="s">
        <v>3542</v>
      </c>
      <c r="AI1056" s="56" t="s">
        <v>3723</v>
      </c>
    </row>
    <row r="1057" spans="1:35" ht="33" customHeight="1">
      <c r="A1057" s="56" t="s">
        <v>5471</v>
      </c>
      <c r="B1057" s="57">
        <v>44362.67832175926</v>
      </c>
      <c r="C1057" s="56" t="s">
        <v>3803</v>
      </c>
      <c r="D1057" s="56" t="s">
        <v>3802</v>
      </c>
      <c r="E1057" s="56" t="s">
        <v>5470</v>
      </c>
      <c r="F1057" s="56" t="s">
        <v>5469</v>
      </c>
      <c r="G1057" s="58" t="s">
        <v>3654</v>
      </c>
      <c r="H1057" s="56">
        <v>1</v>
      </c>
      <c r="I1057" s="56" t="s">
        <v>3653</v>
      </c>
      <c r="J1057" s="56">
        <v>447</v>
      </c>
      <c r="K1057" s="56">
        <v>430</v>
      </c>
      <c r="P1057" s="56">
        <v>0</v>
      </c>
      <c r="S1057" s="56">
        <v>0</v>
      </c>
      <c r="T1057" s="56" t="s">
        <v>3562</v>
      </c>
      <c r="V1057" s="56" t="s">
        <v>3561</v>
      </c>
      <c r="W1057" s="56" t="s">
        <v>3548</v>
      </c>
      <c r="X1057" s="56" t="s">
        <v>39</v>
      </c>
      <c r="Y1057" s="56" t="s">
        <v>5468</v>
      </c>
      <c r="Z1057" s="56" t="s">
        <v>5467</v>
      </c>
      <c r="AC1057" s="56" t="s">
        <v>3543</v>
      </c>
      <c r="AD1057" s="56" t="s">
        <v>24</v>
      </c>
      <c r="AE1057" s="56" t="s">
        <v>5367</v>
      </c>
      <c r="AF1057" s="56" t="s">
        <v>5466</v>
      </c>
      <c r="AH1057" s="56" t="s">
        <v>3542</v>
      </c>
      <c r="AI1057" s="56" t="s">
        <v>3723</v>
      </c>
    </row>
    <row r="1058" spans="1:35" ht="33" customHeight="1">
      <c r="A1058" s="56" t="s">
        <v>5471</v>
      </c>
      <c r="B1058" s="57">
        <v>44362.67832175926</v>
      </c>
      <c r="C1058" s="56" t="s">
        <v>3803</v>
      </c>
      <c r="D1058" s="56" t="s">
        <v>3802</v>
      </c>
      <c r="E1058" s="56" t="s">
        <v>5470</v>
      </c>
      <c r="F1058" s="56" t="s">
        <v>5469</v>
      </c>
      <c r="G1058" s="58" t="s">
        <v>3551</v>
      </c>
      <c r="H1058" s="56">
        <v>1</v>
      </c>
      <c r="I1058" s="56" t="s">
        <v>3550</v>
      </c>
      <c r="J1058" s="56">
        <v>0</v>
      </c>
      <c r="K1058" s="56">
        <v>0</v>
      </c>
      <c r="P1058" s="56">
        <v>0</v>
      </c>
      <c r="S1058" s="56">
        <v>0</v>
      </c>
      <c r="T1058" s="56" t="s">
        <v>3562</v>
      </c>
      <c r="V1058" s="56" t="s">
        <v>3561</v>
      </c>
      <c r="W1058" s="56" t="s">
        <v>3548</v>
      </c>
      <c r="X1058" s="56" t="s">
        <v>39</v>
      </c>
      <c r="Y1058" s="56" t="s">
        <v>5468</v>
      </c>
      <c r="Z1058" s="56" t="s">
        <v>5467</v>
      </c>
      <c r="AC1058" s="56" t="s">
        <v>3543</v>
      </c>
      <c r="AD1058" s="56" t="s">
        <v>24</v>
      </c>
      <c r="AE1058" s="56" t="s">
        <v>5367</v>
      </c>
      <c r="AF1058" s="56" t="s">
        <v>5466</v>
      </c>
      <c r="AH1058" s="56" t="s">
        <v>3542</v>
      </c>
      <c r="AI1058" s="56" t="s">
        <v>3723</v>
      </c>
    </row>
    <row r="1059" spans="1:35" ht="33" customHeight="1">
      <c r="A1059" s="56" t="s">
        <v>5471</v>
      </c>
      <c r="B1059" s="57">
        <v>44362.67832175926</v>
      </c>
      <c r="C1059" s="56" t="s">
        <v>3803</v>
      </c>
      <c r="D1059" s="56" t="s">
        <v>3802</v>
      </c>
      <c r="E1059" s="56" t="s">
        <v>5470</v>
      </c>
      <c r="F1059" s="56" t="s">
        <v>5469</v>
      </c>
      <c r="G1059" s="58" t="s">
        <v>1498</v>
      </c>
      <c r="H1059" s="56">
        <v>1</v>
      </c>
      <c r="I1059" s="56" t="s">
        <v>4016</v>
      </c>
      <c r="J1059" s="56">
        <v>0</v>
      </c>
      <c r="K1059" s="56">
        <v>0</v>
      </c>
      <c r="P1059" s="56">
        <v>0</v>
      </c>
      <c r="S1059" s="56">
        <v>0</v>
      </c>
      <c r="T1059" s="56" t="s">
        <v>3562</v>
      </c>
      <c r="V1059" s="56" t="s">
        <v>3561</v>
      </c>
      <c r="W1059" s="56" t="s">
        <v>3548</v>
      </c>
      <c r="X1059" s="56" t="s">
        <v>39</v>
      </c>
      <c r="Y1059" s="56" t="s">
        <v>5468</v>
      </c>
      <c r="Z1059" s="56" t="s">
        <v>5467</v>
      </c>
      <c r="AC1059" s="56" t="s">
        <v>3543</v>
      </c>
      <c r="AD1059" s="56" t="s">
        <v>24</v>
      </c>
      <c r="AE1059" s="56" t="s">
        <v>5367</v>
      </c>
      <c r="AF1059" s="56" t="s">
        <v>5466</v>
      </c>
      <c r="AH1059" s="56" t="s">
        <v>3542</v>
      </c>
      <c r="AI1059" s="56" t="s">
        <v>3723</v>
      </c>
    </row>
    <row r="1060" spans="1:35" ht="33" customHeight="1">
      <c r="A1060" s="56" t="s">
        <v>5465</v>
      </c>
      <c r="B1060" s="57">
        <v>44362.710960648146</v>
      </c>
      <c r="C1060" s="56" t="s">
        <v>3803</v>
      </c>
      <c r="D1060" s="56" t="s">
        <v>3802</v>
      </c>
      <c r="E1060" s="56" t="s">
        <v>5464</v>
      </c>
      <c r="F1060" s="56" t="s">
        <v>5463</v>
      </c>
      <c r="G1060" s="58" t="s">
        <v>3955</v>
      </c>
      <c r="H1060" s="56">
        <v>1</v>
      </c>
      <c r="I1060" s="56" t="s">
        <v>3954</v>
      </c>
      <c r="J1060" s="56">
        <v>499</v>
      </c>
      <c r="K1060" s="56">
        <v>480</v>
      </c>
      <c r="L1060" s="56">
        <v>480</v>
      </c>
      <c r="M1060" s="56">
        <v>60</v>
      </c>
      <c r="N1060" s="56">
        <v>0</v>
      </c>
      <c r="O1060" s="56">
        <v>0</v>
      </c>
      <c r="P1060" s="56">
        <v>0</v>
      </c>
      <c r="Q1060" s="56">
        <v>540</v>
      </c>
      <c r="R1060" s="56">
        <v>0</v>
      </c>
      <c r="S1060" s="56">
        <v>0</v>
      </c>
      <c r="T1060" s="56" t="s">
        <v>3562</v>
      </c>
      <c r="U1060" s="56">
        <v>540</v>
      </c>
      <c r="V1060" s="56" t="s">
        <v>3561</v>
      </c>
      <c r="W1060" s="56" t="s">
        <v>3548</v>
      </c>
      <c r="X1060" s="56" t="s">
        <v>39</v>
      </c>
      <c r="Y1060" s="56" t="s">
        <v>5462</v>
      </c>
      <c r="Z1060" s="56" t="s">
        <v>5461</v>
      </c>
      <c r="AC1060" s="56" t="s">
        <v>3543</v>
      </c>
      <c r="AD1060" s="56" t="s">
        <v>24</v>
      </c>
      <c r="AE1060" s="56" t="s">
        <v>5367</v>
      </c>
      <c r="AF1060" s="56" t="s">
        <v>5460</v>
      </c>
      <c r="AH1060" s="56" t="s">
        <v>3542</v>
      </c>
      <c r="AI1060" s="56" t="s">
        <v>3723</v>
      </c>
    </row>
    <row r="1061" spans="1:35" ht="33" customHeight="1">
      <c r="A1061" s="56" t="s">
        <v>5465</v>
      </c>
      <c r="B1061" s="57">
        <v>44362.710960648146</v>
      </c>
      <c r="C1061" s="56" t="s">
        <v>3803</v>
      </c>
      <c r="D1061" s="56" t="s">
        <v>3802</v>
      </c>
      <c r="E1061" s="56" t="s">
        <v>5464</v>
      </c>
      <c r="F1061" s="56" t="s">
        <v>5463</v>
      </c>
      <c r="G1061" s="58" t="s">
        <v>3551</v>
      </c>
      <c r="H1061" s="56">
        <v>1</v>
      </c>
      <c r="I1061" s="56" t="s">
        <v>3550</v>
      </c>
      <c r="J1061" s="56">
        <v>0</v>
      </c>
      <c r="K1061" s="56">
        <v>0</v>
      </c>
      <c r="P1061" s="56">
        <v>0</v>
      </c>
      <c r="S1061" s="56">
        <v>0</v>
      </c>
      <c r="T1061" s="56" t="s">
        <v>3562</v>
      </c>
      <c r="V1061" s="56" t="s">
        <v>3561</v>
      </c>
      <c r="W1061" s="56" t="s">
        <v>3548</v>
      </c>
      <c r="X1061" s="56" t="s">
        <v>39</v>
      </c>
      <c r="Y1061" s="56" t="s">
        <v>5462</v>
      </c>
      <c r="Z1061" s="56" t="s">
        <v>5461</v>
      </c>
      <c r="AC1061" s="56" t="s">
        <v>3543</v>
      </c>
      <c r="AD1061" s="56" t="s">
        <v>24</v>
      </c>
      <c r="AE1061" s="56" t="s">
        <v>5367</v>
      </c>
      <c r="AF1061" s="56" t="s">
        <v>5460</v>
      </c>
      <c r="AH1061" s="56" t="s">
        <v>3542</v>
      </c>
      <c r="AI1061" s="56" t="s">
        <v>3723</v>
      </c>
    </row>
    <row r="1062" spans="1:35" ht="33" customHeight="1">
      <c r="A1062" s="56" t="s">
        <v>5459</v>
      </c>
      <c r="B1062" s="57">
        <v>44362.717152777775</v>
      </c>
      <c r="C1062" s="56" t="s">
        <v>3803</v>
      </c>
      <c r="D1062" s="56" t="s">
        <v>3802</v>
      </c>
      <c r="E1062" s="56" t="s">
        <v>5458</v>
      </c>
      <c r="F1062" s="56" t="s">
        <v>5457</v>
      </c>
      <c r="G1062" s="58" t="s">
        <v>3570</v>
      </c>
      <c r="H1062" s="56">
        <v>1</v>
      </c>
      <c r="I1062" s="56" t="s">
        <v>3569</v>
      </c>
      <c r="J1062" s="56">
        <v>894</v>
      </c>
      <c r="K1062" s="56">
        <v>750</v>
      </c>
      <c r="L1062" s="56">
        <v>750</v>
      </c>
      <c r="M1062" s="56">
        <v>60</v>
      </c>
      <c r="N1062" s="56">
        <v>0</v>
      </c>
      <c r="O1062" s="56">
        <v>0</v>
      </c>
      <c r="P1062" s="56">
        <v>0</v>
      </c>
      <c r="Q1062" s="56">
        <v>810</v>
      </c>
      <c r="R1062" s="56">
        <v>0</v>
      </c>
      <c r="S1062" s="56">
        <v>0</v>
      </c>
      <c r="T1062" s="56" t="s">
        <v>3562</v>
      </c>
      <c r="U1062" s="56">
        <v>810</v>
      </c>
      <c r="V1062" s="56" t="s">
        <v>59</v>
      </c>
      <c r="W1062" s="56" t="s">
        <v>3548</v>
      </c>
      <c r="X1062" s="56" t="s">
        <v>39</v>
      </c>
      <c r="Y1062" s="56" t="s">
        <v>5456</v>
      </c>
      <c r="Z1062" s="56" t="s">
        <v>5455</v>
      </c>
      <c r="AC1062" s="56" t="s">
        <v>3543</v>
      </c>
      <c r="AD1062" s="56" t="s">
        <v>24</v>
      </c>
      <c r="AE1062" s="56" t="s">
        <v>5367</v>
      </c>
      <c r="AF1062" s="56" t="s">
        <v>5454</v>
      </c>
      <c r="AH1062" s="56" t="s">
        <v>3542</v>
      </c>
      <c r="AI1062" s="56" t="s">
        <v>3723</v>
      </c>
    </row>
    <row r="1063" spans="1:35" ht="33" customHeight="1">
      <c r="A1063" s="56" t="s">
        <v>5459</v>
      </c>
      <c r="B1063" s="57">
        <v>44362.717152777775</v>
      </c>
      <c r="C1063" s="56" t="s">
        <v>3803</v>
      </c>
      <c r="D1063" s="56" t="s">
        <v>3802</v>
      </c>
      <c r="E1063" s="56" t="s">
        <v>5458</v>
      </c>
      <c r="F1063" s="56" t="s">
        <v>5457</v>
      </c>
      <c r="G1063" s="58" t="s">
        <v>3551</v>
      </c>
      <c r="H1063" s="56">
        <v>1</v>
      </c>
      <c r="I1063" s="56" t="s">
        <v>3550</v>
      </c>
      <c r="J1063" s="56">
        <v>0</v>
      </c>
      <c r="K1063" s="56">
        <v>0</v>
      </c>
      <c r="P1063" s="56">
        <v>0</v>
      </c>
      <c r="S1063" s="56">
        <v>0</v>
      </c>
      <c r="T1063" s="56" t="s">
        <v>3562</v>
      </c>
      <c r="V1063" s="56" t="s">
        <v>59</v>
      </c>
      <c r="W1063" s="56" t="s">
        <v>3548</v>
      </c>
      <c r="X1063" s="56" t="s">
        <v>39</v>
      </c>
      <c r="Y1063" s="56" t="s">
        <v>5456</v>
      </c>
      <c r="Z1063" s="56" t="s">
        <v>5455</v>
      </c>
      <c r="AC1063" s="56" t="s">
        <v>3543</v>
      </c>
      <c r="AD1063" s="56" t="s">
        <v>24</v>
      </c>
      <c r="AE1063" s="56" t="s">
        <v>5367</v>
      </c>
      <c r="AF1063" s="56" t="s">
        <v>5454</v>
      </c>
      <c r="AH1063" s="56" t="s">
        <v>3542</v>
      </c>
      <c r="AI1063" s="56" t="s">
        <v>3723</v>
      </c>
    </row>
    <row r="1064" spans="1:35" ht="33" customHeight="1">
      <c r="A1064" s="56" t="s">
        <v>5453</v>
      </c>
      <c r="B1064" s="57">
        <v>44362.722581018519</v>
      </c>
      <c r="C1064" s="56" t="s">
        <v>3803</v>
      </c>
      <c r="D1064" s="56" t="s">
        <v>4426</v>
      </c>
      <c r="E1064" s="56" t="s">
        <v>5452</v>
      </c>
      <c r="F1064" s="56" t="s">
        <v>5451</v>
      </c>
      <c r="G1064" s="58" t="s">
        <v>4594</v>
      </c>
      <c r="H1064" s="56">
        <v>1</v>
      </c>
      <c r="I1064" s="56" t="s">
        <v>3577</v>
      </c>
      <c r="J1064" s="56">
        <v>700</v>
      </c>
      <c r="K1064" s="56">
        <v>599</v>
      </c>
      <c r="L1064" s="56">
        <v>599</v>
      </c>
      <c r="M1064" s="56">
        <v>65</v>
      </c>
      <c r="N1064" s="56">
        <v>0</v>
      </c>
      <c r="O1064" s="56">
        <v>0</v>
      </c>
      <c r="P1064" s="56">
        <v>0</v>
      </c>
      <c r="Q1064" s="56">
        <v>664</v>
      </c>
      <c r="R1064" s="56">
        <v>0</v>
      </c>
      <c r="S1064" s="56">
        <v>0</v>
      </c>
      <c r="T1064" s="56" t="s">
        <v>27</v>
      </c>
      <c r="U1064" s="56">
        <v>664</v>
      </c>
      <c r="V1064" s="56" t="s">
        <v>3549</v>
      </c>
      <c r="W1064" s="56" t="s">
        <v>3548</v>
      </c>
      <c r="X1064" s="56" t="s">
        <v>3547</v>
      </c>
      <c r="Z1064" s="56" t="s">
        <v>3546</v>
      </c>
      <c r="AA1064" s="56" t="s">
        <v>5450</v>
      </c>
      <c r="AB1064" s="56" t="s">
        <v>5449</v>
      </c>
      <c r="AC1064" s="56" t="s">
        <v>3543</v>
      </c>
      <c r="AH1064" s="56" t="s">
        <v>3542</v>
      </c>
      <c r="AI1064" s="56" t="s">
        <v>3541</v>
      </c>
    </row>
    <row r="1065" spans="1:35" ht="33" customHeight="1">
      <c r="A1065" s="56" t="s">
        <v>5453</v>
      </c>
      <c r="B1065" s="57">
        <v>44362.722581018519</v>
      </c>
      <c r="C1065" s="56" t="s">
        <v>3803</v>
      </c>
      <c r="D1065" s="56" t="s">
        <v>4426</v>
      </c>
      <c r="E1065" s="56" t="s">
        <v>5452</v>
      </c>
      <c r="F1065" s="56" t="s">
        <v>5451</v>
      </c>
      <c r="G1065" s="58" t="s">
        <v>3551</v>
      </c>
      <c r="H1065" s="56">
        <v>1</v>
      </c>
      <c r="I1065" s="56" t="s">
        <v>3550</v>
      </c>
      <c r="J1065" s="56">
        <v>0</v>
      </c>
      <c r="K1065" s="56">
        <v>0</v>
      </c>
      <c r="P1065" s="56">
        <v>0</v>
      </c>
      <c r="S1065" s="56">
        <v>0</v>
      </c>
      <c r="T1065" s="56" t="s">
        <v>27</v>
      </c>
      <c r="V1065" s="56" t="s">
        <v>3549</v>
      </c>
      <c r="W1065" s="56" t="s">
        <v>3548</v>
      </c>
      <c r="X1065" s="56" t="s">
        <v>3547</v>
      </c>
      <c r="Z1065" s="56" t="s">
        <v>3546</v>
      </c>
      <c r="AA1065" s="56" t="s">
        <v>5450</v>
      </c>
      <c r="AB1065" s="56" t="s">
        <v>5449</v>
      </c>
      <c r="AC1065" s="56" t="s">
        <v>3543</v>
      </c>
      <c r="AH1065" s="56" t="s">
        <v>3542</v>
      </c>
      <c r="AI1065" s="56" t="s">
        <v>3541</v>
      </c>
    </row>
    <row r="1066" spans="1:35" ht="33" customHeight="1">
      <c r="A1066" s="56" t="s">
        <v>5448</v>
      </c>
      <c r="B1066" s="57">
        <v>44362.773611111108</v>
      </c>
      <c r="C1066" s="56" t="s">
        <v>3803</v>
      </c>
      <c r="D1066" s="56" t="s">
        <v>4426</v>
      </c>
      <c r="E1066" s="56" t="s">
        <v>5447</v>
      </c>
      <c r="F1066" s="56" t="s">
        <v>5446</v>
      </c>
      <c r="G1066" s="58" t="s">
        <v>4698</v>
      </c>
      <c r="H1066" s="56">
        <v>1</v>
      </c>
      <c r="I1066" s="56" t="s">
        <v>3746</v>
      </c>
      <c r="J1066" s="56">
        <v>660</v>
      </c>
      <c r="K1066" s="56">
        <v>450</v>
      </c>
      <c r="L1066" s="56">
        <v>1566</v>
      </c>
      <c r="M1066" s="56">
        <v>0</v>
      </c>
      <c r="N1066" s="56">
        <v>0</v>
      </c>
      <c r="O1066" s="56">
        <v>100</v>
      </c>
      <c r="P1066" s="56">
        <v>0</v>
      </c>
      <c r="Q1066" s="56">
        <v>1466</v>
      </c>
      <c r="R1066" s="56">
        <v>0</v>
      </c>
      <c r="S1066" s="56">
        <v>0</v>
      </c>
      <c r="T1066" s="56" t="s">
        <v>27</v>
      </c>
      <c r="U1066" s="56">
        <v>1466</v>
      </c>
      <c r="V1066" s="56" t="s">
        <v>3549</v>
      </c>
      <c r="W1066" s="56" t="s">
        <v>3548</v>
      </c>
      <c r="X1066" s="56" t="s">
        <v>3547</v>
      </c>
      <c r="Z1066" s="56" t="s">
        <v>3546</v>
      </c>
      <c r="AA1066" s="56" t="s">
        <v>5445</v>
      </c>
      <c r="AB1066" s="56" t="s">
        <v>5444</v>
      </c>
      <c r="AC1066" s="56" t="s">
        <v>3543</v>
      </c>
      <c r="AH1066" s="56" t="s">
        <v>3542</v>
      </c>
      <c r="AI1066" s="56" t="s">
        <v>3541</v>
      </c>
    </row>
    <row r="1067" spans="1:35" ht="33" customHeight="1">
      <c r="A1067" s="56" t="s">
        <v>5448</v>
      </c>
      <c r="B1067" s="57">
        <v>44362.773611111108</v>
      </c>
      <c r="C1067" s="56" t="s">
        <v>3803</v>
      </c>
      <c r="D1067" s="56" t="s">
        <v>4426</v>
      </c>
      <c r="E1067" s="56" t="s">
        <v>5447</v>
      </c>
      <c r="F1067" s="56" t="s">
        <v>5446</v>
      </c>
      <c r="G1067" s="58" t="s">
        <v>1491</v>
      </c>
      <c r="H1067" s="56">
        <v>4</v>
      </c>
      <c r="I1067" s="56" t="s">
        <v>3586</v>
      </c>
      <c r="J1067" s="56">
        <v>149</v>
      </c>
      <c r="K1067" s="56">
        <v>149</v>
      </c>
      <c r="P1067" s="56">
        <v>0</v>
      </c>
      <c r="S1067" s="56">
        <v>0</v>
      </c>
      <c r="T1067" s="56" t="s">
        <v>27</v>
      </c>
      <c r="V1067" s="56" t="s">
        <v>3549</v>
      </c>
      <c r="W1067" s="56" t="s">
        <v>3548</v>
      </c>
      <c r="X1067" s="56" t="s">
        <v>3547</v>
      </c>
      <c r="Z1067" s="56" t="s">
        <v>3546</v>
      </c>
      <c r="AA1067" s="56" t="s">
        <v>5445</v>
      </c>
      <c r="AB1067" s="56" t="s">
        <v>5444</v>
      </c>
      <c r="AC1067" s="56" t="s">
        <v>3543</v>
      </c>
      <c r="AH1067" s="56" t="s">
        <v>3542</v>
      </c>
      <c r="AI1067" s="56" t="s">
        <v>3541</v>
      </c>
    </row>
    <row r="1068" spans="1:35" ht="33" customHeight="1">
      <c r="A1068" s="56" t="s">
        <v>5448</v>
      </c>
      <c r="B1068" s="57">
        <v>44362.773611111108</v>
      </c>
      <c r="C1068" s="56" t="s">
        <v>3803</v>
      </c>
      <c r="D1068" s="56" t="s">
        <v>4426</v>
      </c>
      <c r="E1068" s="56" t="s">
        <v>5447</v>
      </c>
      <c r="F1068" s="56" t="s">
        <v>5446</v>
      </c>
      <c r="G1068" s="58" t="s">
        <v>3299</v>
      </c>
      <c r="H1068" s="56">
        <v>2</v>
      </c>
      <c r="I1068" s="56" t="s">
        <v>3576</v>
      </c>
      <c r="J1068" s="56">
        <v>260</v>
      </c>
      <c r="K1068" s="56">
        <v>260</v>
      </c>
      <c r="P1068" s="56">
        <v>0</v>
      </c>
      <c r="S1068" s="56">
        <v>0</v>
      </c>
      <c r="T1068" s="56" t="s">
        <v>27</v>
      </c>
      <c r="V1068" s="56" t="s">
        <v>3549</v>
      </c>
      <c r="W1068" s="56" t="s">
        <v>3548</v>
      </c>
      <c r="X1068" s="56" t="s">
        <v>3547</v>
      </c>
      <c r="Z1068" s="56" t="s">
        <v>3546</v>
      </c>
      <c r="AA1068" s="56" t="s">
        <v>5445</v>
      </c>
      <c r="AB1068" s="56" t="s">
        <v>5444</v>
      </c>
      <c r="AC1068" s="56" t="s">
        <v>3543</v>
      </c>
      <c r="AH1068" s="56" t="s">
        <v>3542</v>
      </c>
      <c r="AI1068" s="56" t="s">
        <v>3541</v>
      </c>
    </row>
    <row r="1069" spans="1:35" ht="33" customHeight="1">
      <c r="A1069" s="56" t="s">
        <v>5448</v>
      </c>
      <c r="B1069" s="57">
        <v>44362.773611111108</v>
      </c>
      <c r="C1069" s="56" t="s">
        <v>3803</v>
      </c>
      <c r="D1069" s="56" t="s">
        <v>4426</v>
      </c>
      <c r="E1069" s="56" t="s">
        <v>5447</v>
      </c>
      <c r="F1069" s="56" t="s">
        <v>5446</v>
      </c>
      <c r="G1069" s="58" t="s">
        <v>3551</v>
      </c>
      <c r="H1069" s="56">
        <v>1</v>
      </c>
      <c r="I1069" s="56" t="s">
        <v>3550</v>
      </c>
      <c r="J1069" s="56">
        <v>0</v>
      </c>
      <c r="K1069" s="56">
        <v>0</v>
      </c>
      <c r="P1069" s="56">
        <v>0</v>
      </c>
      <c r="S1069" s="56">
        <v>0</v>
      </c>
      <c r="T1069" s="56" t="s">
        <v>27</v>
      </c>
      <c r="V1069" s="56" t="s">
        <v>3549</v>
      </c>
      <c r="W1069" s="56" t="s">
        <v>3548</v>
      </c>
      <c r="X1069" s="56" t="s">
        <v>3547</v>
      </c>
      <c r="Z1069" s="56" t="s">
        <v>3546</v>
      </c>
      <c r="AA1069" s="56" t="s">
        <v>5445</v>
      </c>
      <c r="AB1069" s="56" t="s">
        <v>5444</v>
      </c>
      <c r="AC1069" s="56" t="s">
        <v>3543</v>
      </c>
      <c r="AH1069" s="56" t="s">
        <v>3542</v>
      </c>
      <c r="AI1069" s="56" t="s">
        <v>3541</v>
      </c>
    </row>
    <row r="1070" spans="1:35" ht="33" customHeight="1">
      <c r="A1070" s="56" t="s">
        <v>5448</v>
      </c>
      <c r="B1070" s="57">
        <v>44362.773611111108</v>
      </c>
      <c r="C1070" s="56" t="s">
        <v>3803</v>
      </c>
      <c r="D1070" s="56" t="s">
        <v>4426</v>
      </c>
      <c r="E1070" s="56" t="s">
        <v>5447</v>
      </c>
      <c r="F1070" s="56" t="s">
        <v>5446</v>
      </c>
      <c r="G1070" s="58" t="s">
        <v>1713</v>
      </c>
      <c r="H1070" s="56">
        <v>1</v>
      </c>
      <c r="I1070" s="56" t="s">
        <v>3568</v>
      </c>
      <c r="J1070" s="56">
        <v>0</v>
      </c>
      <c r="K1070" s="56">
        <v>0</v>
      </c>
      <c r="P1070" s="56">
        <v>0</v>
      </c>
      <c r="S1070" s="56">
        <v>0</v>
      </c>
      <c r="T1070" s="56" t="s">
        <v>27</v>
      </c>
      <c r="V1070" s="56" t="s">
        <v>3549</v>
      </c>
      <c r="W1070" s="56" t="s">
        <v>3548</v>
      </c>
      <c r="X1070" s="56" t="s">
        <v>3547</v>
      </c>
      <c r="Z1070" s="56" t="s">
        <v>3546</v>
      </c>
      <c r="AA1070" s="56" t="s">
        <v>5445</v>
      </c>
      <c r="AB1070" s="56" t="s">
        <v>5444</v>
      </c>
      <c r="AC1070" s="56" t="s">
        <v>3543</v>
      </c>
      <c r="AH1070" s="56" t="s">
        <v>3542</v>
      </c>
      <c r="AI1070" s="56" t="s">
        <v>3541</v>
      </c>
    </row>
    <row r="1071" spans="1:35" ht="33" customHeight="1">
      <c r="A1071" s="56" t="s">
        <v>5448</v>
      </c>
      <c r="B1071" s="57">
        <v>44362.773611111108</v>
      </c>
      <c r="C1071" s="56" t="s">
        <v>3803</v>
      </c>
      <c r="D1071" s="56" t="s">
        <v>4426</v>
      </c>
      <c r="E1071" s="56" t="s">
        <v>5447</v>
      </c>
      <c r="F1071" s="56" t="s">
        <v>5446</v>
      </c>
      <c r="G1071" s="58" t="s">
        <v>1498</v>
      </c>
      <c r="H1071" s="56">
        <v>1</v>
      </c>
      <c r="I1071" s="56" t="s">
        <v>4016</v>
      </c>
      <c r="J1071" s="56">
        <v>0</v>
      </c>
      <c r="K1071" s="56">
        <v>0</v>
      </c>
      <c r="P1071" s="56">
        <v>0</v>
      </c>
      <c r="S1071" s="56">
        <v>0</v>
      </c>
      <c r="T1071" s="56" t="s">
        <v>27</v>
      </c>
      <c r="V1071" s="56" t="s">
        <v>3549</v>
      </c>
      <c r="W1071" s="56" t="s">
        <v>3548</v>
      </c>
      <c r="X1071" s="56" t="s">
        <v>3547</v>
      </c>
      <c r="Z1071" s="56" t="s">
        <v>3546</v>
      </c>
      <c r="AA1071" s="56" t="s">
        <v>5445</v>
      </c>
      <c r="AB1071" s="56" t="s">
        <v>5444</v>
      </c>
      <c r="AC1071" s="56" t="s">
        <v>3543</v>
      </c>
      <c r="AH1071" s="56" t="s">
        <v>3542</v>
      </c>
      <c r="AI1071" s="56" t="s">
        <v>3541</v>
      </c>
    </row>
    <row r="1072" spans="1:35" ht="33" customHeight="1">
      <c r="A1072" s="56" t="s">
        <v>5443</v>
      </c>
      <c r="B1072" s="57">
        <v>44362.783437500002</v>
      </c>
      <c r="C1072" s="56" t="s">
        <v>3803</v>
      </c>
      <c r="D1072" s="56" t="s">
        <v>3802</v>
      </c>
      <c r="E1072" s="56" t="s">
        <v>5442</v>
      </c>
      <c r="F1072" s="56" t="s">
        <v>5441</v>
      </c>
      <c r="G1072" s="58" t="s">
        <v>4439</v>
      </c>
      <c r="H1072" s="56">
        <v>1</v>
      </c>
      <c r="I1072" s="56" t="s">
        <v>3655</v>
      </c>
      <c r="J1072" s="56">
        <v>1107</v>
      </c>
      <c r="K1072" s="56">
        <v>799</v>
      </c>
      <c r="L1072" s="56">
        <v>1249</v>
      </c>
      <c r="M1072" s="56">
        <v>0</v>
      </c>
      <c r="N1072" s="56">
        <v>50</v>
      </c>
      <c r="O1072" s="56">
        <v>100</v>
      </c>
      <c r="P1072" s="56">
        <v>0</v>
      </c>
      <c r="Q1072" s="56">
        <v>1099</v>
      </c>
      <c r="R1072" s="56">
        <v>0</v>
      </c>
      <c r="S1072" s="56">
        <v>0</v>
      </c>
      <c r="T1072" s="56" t="s">
        <v>3562</v>
      </c>
      <c r="U1072" s="56">
        <v>1099</v>
      </c>
      <c r="V1072" s="56" t="s">
        <v>3561</v>
      </c>
      <c r="W1072" s="56" t="s">
        <v>3548</v>
      </c>
      <c r="X1072" s="56" t="s">
        <v>39</v>
      </c>
      <c r="Y1072" s="56" t="s">
        <v>5440</v>
      </c>
      <c r="Z1072" s="56" t="s">
        <v>5439</v>
      </c>
      <c r="AC1072" s="56" t="s">
        <v>3543</v>
      </c>
      <c r="AD1072" s="56" t="s">
        <v>24</v>
      </c>
      <c r="AE1072" s="56" t="s">
        <v>5367</v>
      </c>
      <c r="AF1072" s="56" t="s">
        <v>5438</v>
      </c>
      <c r="AH1072" s="56" t="s">
        <v>3542</v>
      </c>
      <c r="AI1072" s="56" t="s">
        <v>3723</v>
      </c>
    </row>
    <row r="1073" spans="1:35" ht="33" customHeight="1">
      <c r="A1073" s="56" t="s">
        <v>5443</v>
      </c>
      <c r="B1073" s="57">
        <v>44362.783437500002</v>
      </c>
      <c r="C1073" s="56" t="s">
        <v>3803</v>
      </c>
      <c r="D1073" s="56" t="s">
        <v>3802</v>
      </c>
      <c r="E1073" s="56" t="s">
        <v>5442</v>
      </c>
      <c r="F1073" s="56" t="s">
        <v>5441</v>
      </c>
      <c r="G1073" s="58" t="s">
        <v>3747</v>
      </c>
      <c r="H1073" s="56">
        <v>1</v>
      </c>
      <c r="I1073" s="56" t="s">
        <v>3746</v>
      </c>
      <c r="J1073" s="56">
        <v>660</v>
      </c>
      <c r="K1073" s="56">
        <v>450</v>
      </c>
      <c r="P1073" s="56">
        <v>0</v>
      </c>
      <c r="S1073" s="56">
        <v>0</v>
      </c>
      <c r="T1073" s="56" t="s">
        <v>3562</v>
      </c>
      <c r="V1073" s="56" t="s">
        <v>3561</v>
      </c>
      <c r="W1073" s="56" t="s">
        <v>3548</v>
      </c>
      <c r="X1073" s="56" t="s">
        <v>39</v>
      </c>
      <c r="Y1073" s="56" t="s">
        <v>5440</v>
      </c>
      <c r="Z1073" s="56" t="s">
        <v>5439</v>
      </c>
      <c r="AC1073" s="56" t="s">
        <v>3543</v>
      </c>
      <c r="AD1073" s="56" t="s">
        <v>24</v>
      </c>
      <c r="AE1073" s="56" t="s">
        <v>5367</v>
      </c>
      <c r="AF1073" s="56" t="s">
        <v>5438</v>
      </c>
      <c r="AH1073" s="56" t="s">
        <v>3542</v>
      </c>
      <c r="AI1073" s="56" t="s">
        <v>3723</v>
      </c>
    </row>
    <row r="1074" spans="1:35" ht="33" customHeight="1">
      <c r="A1074" s="56" t="s">
        <v>5443</v>
      </c>
      <c r="B1074" s="57">
        <v>44362.783437500002</v>
      </c>
      <c r="C1074" s="56" t="s">
        <v>3803</v>
      </c>
      <c r="D1074" s="56" t="s">
        <v>3802</v>
      </c>
      <c r="E1074" s="56" t="s">
        <v>5442</v>
      </c>
      <c r="F1074" s="56" t="s">
        <v>5441</v>
      </c>
      <c r="G1074" s="58" t="s">
        <v>3551</v>
      </c>
      <c r="H1074" s="56">
        <v>1</v>
      </c>
      <c r="I1074" s="56" t="s">
        <v>3550</v>
      </c>
      <c r="J1074" s="56">
        <v>0</v>
      </c>
      <c r="K1074" s="56">
        <v>0</v>
      </c>
      <c r="P1074" s="56">
        <v>0</v>
      </c>
      <c r="S1074" s="56">
        <v>0</v>
      </c>
      <c r="T1074" s="56" t="s">
        <v>3562</v>
      </c>
      <c r="V1074" s="56" t="s">
        <v>3561</v>
      </c>
      <c r="W1074" s="56" t="s">
        <v>3548</v>
      </c>
      <c r="X1074" s="56" t="s">
        <v>39</v>
      </c>
      <c r="Y1074" s="56" t="s">
        <v>5440</v>
      </c>
      <c r="Z1074" s="56" t="s">
        <v>5439</v>
      </c>
      <c r="AC1074" s="56" t="s">
        <v>3543</v>
      </c>
      <c r="AD1074" s="56" t="s">
        <v>24</v>
      </c>
      <c r="AE1074" s="56" t="s">
        <v>5367</v>
      </c>
      <c r="AF1074" s="56" t="s">
        <v>5438</v>
      </c>
      <c r="AH1074" s="56" t="s">
        <v>3542</v>
      </c>
      <c r="AI1074" s="56" t="s">
        <v>3723</v>
      </c>
    </row>
    <row r="1075" spans="1:35" ht="33" customHeight="1">
      <c r="A1075" s="56" t="s">
        <v>5443</v>
      </c>
      <c r="B1075" s="57">
        <v>44362.783437500002</v>
      </c>
      <c r="C1075" s="56" t="s">
        <v>3803</v>
      </c>
      <c r="D1075" s="56" t="s">
        <v>3802</v>
      </c>
      <c r="E1075" s="56" t="s">
        <v>5442</v>
      </c>
      <c r="F1075" s="56" t="s">
        <v>5441</v>
      </c>
      <c r="G1075" s="58" t="s">
        <v>1498</v>
      </c>
      <c r="H1075" s="56">
        <v>1</v>
      </c>
      <c r="I1075" s="56" t="s">
        <v>4016</v>
      </c>
      <c r="J1075" s="56">
        <v>0</v>
      </c>
      <c r="K1075" s="56">
        <v>0</v>
      </c>
      <c r="P1075" s="56">
        <v>0</v>
      </c>
      <c r="S1075" s="56">
        <v>0</v>
      </c>
      <c r="T1075" s="56" t="s">
        <v>3562</v>
      </c>
      <c r="V1075" s="56" t="s">
        <v>3561</v>
      </c>
      <c r="W1075" s="56" t="s">
        <v>3548</v>
      </c>
      <c r="X1075" s="56" t="s">
        <v>39</v>
      </c>
      <c r="Y1075" s="56" t="s">
        <v>5440</v>
      </c>
      <c r="Z1075" s="56" t="s">
        <v>5439</v>
      </c>
      <c r="AC1075" s="56" t="s">
        <v>3543</v>
      </c>
      <c r="AD1075" s="56" t="s">
        <v>24</v>
      </c>
      <c r="AE1075" s="56" t="s">
        <v>5367</v>
      </c>
      <c r="AF1075" s="56" t="s">
        <v>5438</v>
      </c>
      <c r="AH1075" s="56" t="s">
        <v>3542</v>
      </c>
      <c r="AI1075" s="56" t="s">
        <v>3723</v>
      </c>
    </row>
    <row r="1076" spans="1:35" ht="33" customHeight="1">
      <c r="A1076" s="56" t="s">
        <v>5437</v>
      </c>
      <c r="B1076" s="57">
        <v>44362.800717592596</v>
      </c>
      <c r="C1076" s="56" t="s">
        <v>4512</v>
      </c>
      <c r="D1076" s="56" t="s">
        <v>4511</v>
      </c>
      <c r="E1076" s="56" t="s">
        <v>5436</v>
      </c>
      <c r="F1076" s="56" t="s">
        <v>5435</v>
      </c>
      <c r="G1076" s="58" t="s">
        <v>2156</v>
      </c>
      <c r="H1076" s="56">
        <v>1</v>
      </c>
      <c r="I1076" s="56" t="s">
        <v>1376</v>
      </c>
      <c r="J1076" s="56">
        <v>149</v>
      </c>
      <c r="K1076" s="56">
        <v>149</v>
      </c>
      <c r="L1076" s="56">
        <v>1037</v>
      </c>
      <c r="M1076" s="56">
        <v>0</v>
      </c>
      <c r="N1076" s="56">
        <v>0</v>
      </c>
      <c r="O1076" s="56">
        <v>100</v>
      </c>
      <c r="P1076" s="56">
        <v>0</v>
      </c>
      <c r="Q1076" s="56">
        <v>937</v>
      </c>
      <c r="R1076" s="56">
        <v>0</v>
      </c>
      <c r="S1076" s="56">
        <v>0</v>
      </c>
      <c r="T1076" s="56" t="s">
        <v>3562</v>
      </c>
      <c r="U1076" s="56">
        <v>937</v>
      </c>
      <c r="V1076" s="56" t="s">
        <v>3549</v>
      </c>
      <c r="W1076" s="56" t="s">
        <v>3548</v>
      </c>
      <c r="X1076" s="56" t="s">
        <v>3547</v>
      </c>
      <c r="Z1076" s="56" t="s">
        <v>3546</v>
      </c>
      <c r="AA1076" s="56" t="s">
        <v>5434</v>
      </c>
      <c r="AB1076" s="56" t="s">
        <v>5433</v>
      </c>
      <c r="AC1076" s="56" t="s">
        <v>3543</v>
      </c>
      <c r="AD1076" s="56" t="s">
        <v>24</v>
      </c>
      <c r="AE1076" s="56" t="s">
        <v>4145</v>
      </c>
      <c r="AF1076" s="56" t="s">
        <v>5432</v>
      </c>
      <c r="AH1076" s="56" t="s">
        <v>3542</v>
      </c>
      <c r="AI1076" s="56" t="s">
        <v>3723</v>
      </c>
    </row>
    <row r="1077" spans="1:35" ht="33" customHeight="1">
      <c r="A1077" s="56" t="s">
        <v>5437</v>
      </c>
      <c r="B1077" s="57">
        <v>44362.800717592596</v>
      </c>
      <c r="C1077" s="56" t="s">
        <v>4512</v>
      </c>
      <c r="D1077" s="56" t="s">
        <v>4511</v>
      </c>
      <c r="E1077" s="56" t="s">
        <v>5436</v>
      </c>
      <c r="F1077" s="56" t="s">
        <v>5435</v>
      </c>
      <c r="G1077" s="58" t="s">
        <v>3811</v>
      </c>
      <c r="H1077" s="56">
        <v>1</v>
      </c>
      <c r="I1077" s="56" t="s">
        <v>3669</v>
      </c>
      <c r="J1077" s="56">
        <v>897</v>
      </c>
      <c r="K1077" s="56">
        <v>888</v>
      </c>
      <c r="P1077" s="56">
        <v>0</v>
      </c>
      <c r="S1077" s="56">
        <v>0</v>
      </c>
      <c r="T1077" s="56" t="s">
        <v>3562</v>
      </c>
      <c r="V1077" s="56" t="s">
        <v>3549</v>
      </c>
      <c r="W1077" s="56" t="s">
        <v>3548</v>
      </c>
      <c r="X1077" s="56" t="s">
        <v>3547</v>
      </c>
      <c r="Z1077" s="56" t="s">
        <v>3546</v>
      </c>
      <c r="AA1077" s="56" t="s">
        <v>5434</v>
      </c>
      <c r="AB1077" s="56" t="s">
        <v>5433</v>
      </c>
      <c r="AC1077" s="56" t="s">
        <v>3543</v>
      </c>
      <c r="AD1077" s="56" t="s">
        <v>24</v>
      </c>
      <c r="AE1077" s="56" t="s">
        <v>4145</v>
      </c>
      <c r="AF1077" s="56" t="s">
        <v>5432</v>
      </c>
      <c r="AH1077" s="56" t="s">
        <v>3542</v>
      </c>
      <c r="AI1077" s="56" t="s">
        <v>3723</v>
      </c>
    </row>
    <row r="1078" spans="1:35" ht="33" customHeight="1">
      <c r="A1078" s="56" t="s">
        <v>5437</v>
      </c>
      <c r="B1078" s="57">
        <v>44362.800717592596</v>
      </c>
      <c r="C1078" s="56" t="s">
        <v>4512</v>
      </c>
      <c r="D1078" s="56" t="s">
        <v>4511</v>
      </c>
      <c r="E1078" s="56" t="s">
        <v>5436</v>
      </c>
      <c r="F1078" s="56" t="s">
        <v>5435</v>
      </c>
      <c r="G1078" s="58" t="s">
        <v>3551</v>
      </c>
      <c r="H1078" s="56">
        <v>1</v>
      </c>
      <c r="I1078" s="56" t="s">
        <v>3550</v>
      </c>
      <c r="J1078" s="56">
        <v>0</v>
      </c>
      <c r="K1078" s="56">
        <v>0</v>
      </c>
      <c r="P1078" s="56">
        <v>0</v>
      </c>
      <c r="S1078" s="56">
        <v>0</v>
      </c>
      <c r="T1078" s="56" t="s">
        <v>3562</v>
      </c>
      <c r="V1078" s="56" t="s">
        <v>3549</v>
      </c>
      <c r="W1078" s="56" t="s">
        <v>3548</v>
      </c>
      <c r="X1078" s="56" t="s">
        <v>3547</v>
      </c>
      <c r="Z1078" s="56" t="s">
        <v>3546</v>
      </c>
      <c r="AA1078" s="56" t="s">
        <v>5434</v>
      </c>
      <c r="AB1078" s="56" t="s">
        <v>5433</v>
      </c>
      <c r="AC1078" s="56" t="s">
        <v>3543</v>
      </c>
      <c r="AD1078" s="56" t="s">
        <v>24</v>
      </c>
      <c r="AE1078" s="56" t="s">
        <v>4145</v>
      </c>
      <c r="AF1078" s="56" t="s">
        <v>5432</v>
      </c>
      <c r="AH1078" s="56" t="s">
        <v>3542</v>
      </c>
      <c r="AI1078" s="56" t="s">
        <v>3723</v>
      </c>
    </row>
    <row r="1079" spans="1:35" ht="33" customHeight="1">
      <c r="A1079" s="56" t="s">
        <v>5437</v>
      </c>
      <c r="B1079" s="57">
        <v>44362.800717592596</v>
      </c>
      <c r="C1079" s="56" t="s">
        <v>4512</v>
      </c>
      <c r="D1079" s="56" t="s">
        <v>4511</v>
      </c>
      <c r="E1079" s="56" t="s">
        <v>5436</v>
      </c>
      <c r="F1079" s="56" t="s">
        <v>5435</v>
      </c>
      <c r="G1079" s="58" t="s">
        <v>1498</v>
      </c>
      <c r="H1079" s="56">
        <v>1</v>
      </c>
      <c r="I1079" s="56" t="s">
        <v>4016</v>
      </c>
      <c r="J1079" s="56">
        <v>0</v>
      </c>
      <c r="K1079" s="56">
        <v>0</v>
      </c>
      <c r="P1079" s="56">
        <v>0</v>
      </c>
      <c r="S1079" s="56">
        <v>0</v>
      </c>
      <c r="T1079" s="56" t="s">
        <v>3562</v>
      </c>
      <c r="V1079" s="56" t="s">
        <v>3549</v>
      </c>
      <c r="W1079" s="56" t="s">
        <v>3548</v>
      </c>
      <c r="X1079" s="56" t="s">
        <v>3547</v>
      </c>
      <c r="Z1079" s="56" t="s">
        <v>3546</v>
      </c>
      <c r="AA1079" s="56" t="s">
        <v>5434</v>
      </c>
      <c r="AB1079" s="56" t="s">
        <v>5433</v>
      </c>
      <c r="AC1079" s="56" t="s">
        <v>3543</v>
      </c>
      <c r="AD1079" s="56" t="s">
        <v>24</v>
      </c>
      <c r="AE1079" s="56" t="s">
        <v>4145</v>
      </c>
      <c r="AF1079" s="56" t="s">
        <v>5432</v>
      </c>
      <c r="AH1079" s="56" t="s">
        <v>3542</v>
      </c>
      <c r="AI1079" s="56" t="s">
        <v>3723</v>
      </c>
    </row>
    <row r="1080" spans="1:35" ht="33" customHeight="1">
      <c r="A1080" s="56" t="s">
        <v>5431</v>
      </c>
      <c r="B1080" s="57">
        <v>44362.857777777775</v>
      </c>
      <c r="C1080" s="56" t="s">
        <v>4512</v>
      </c>
      <c r="D1080" s="56" t="s">
        <v>4511</v>
      </c>
      <c r="E1080" s="56" t="s">
        <v>5430</v>
      </c>
      <c r="F1080" s="56" t="s">
        <v>5429</v>
      </c>
      <c r="G1080" s="58" t="s">
        <v>3196</v>
      </c>
      <c r="H1080" s="56">
        <v>3</v>
      </c>
      <c r="I1080" s="56" t="s">
        <v>2550</v>
      </c>
      <c r="J1080" s="56">
        <v>120</v>
      </c>
      <c r="K1080" s="56">
        <v>120</v>
      </c>
      <c r="L1080" s="56">
        <v>360</v>
      </c>
      <c r="M1080" s="56">
        <v>65</v>
      </c>
      <c r="N1080" s="56">
        <v>0</v>
      </c>
      <c r="O1080" s="56">
        <v>0</v>
      </c>
      <c r="P1080" s="56">
        <v>0</v>
      </c>
      <c r="Q1080" s="56">
        <v>425</v>
      </c>
      <c r="R1080" s="56">
        <v>0</v>
      </c>
      <c r="S1080" s="56">
        <v>0</v>
      </c>
      <c r="T1080" s="56" t="s">
        <v>3562</v>
      </c>
      <c r="U1080" s="56">
        <v>425</v>
      </c>
      <c r="V1080" s="56" t="s">
        <v>3549</v>
      </c>
      <c r="W1080" s="56" t="s">
        <v>3548</v>
      </c>
      <c r="X1080" s="56" t="s">
        <v>3547</v>
      </c>
      <c r="Z1080" s="56" t="s">
        <v>3546</v>
      </c>
      <c r="AA1080" s="56" t="s">
        <v>5428</v>
      </c>
      <c r="AB1080" s="56" t="s">
        <v>5427</v>
      </c>
      <c r="AC1080" s="56" t="s">
        <v>3543</v>
      </c>
      <c r="AD1080" s="56" t="s">
        <v>24</v>
      </c>
      <c r="AE1080" s="56" t="s">
        <v>4145</v>
      </c>
      <c r="AF1080" s="56" t="s">
        <v>5426</v>
      </c>
      <c r="AH1080" s="56" t="s">
        <v>3542</v>
      </c>
      <c r="AI1080" s="56" t="s">
        <v>3723</v>
      </c>
    </row>
    <row r="1081" spans="1:35" ht="33" customHeight="1">
      <c r="A1081" s="56" t="s">
        <v>5431</v>
      </c>
      <c r="B1081" s="57">
        <v>44362.857777777775</v>
      </c>
      <c r="C1081" s="56" t="s">
        <v>4512</v>
      </c>
      <c r="D1081" s="56" t="s">
        <v>4511</v>
      </c>
      <c r="E1081" s="56" t="s">
        <v>5430</v>
      </c>
      <c r="F1081" s="56" t="s">
        <v>5429</v>
      </c>
      <c r="G1081" s="58" t="s">
        <v>3551</v>
      </c>
      <c r="H1081" s="56">
        <v>1</v>
      </c>
      <c r="I1081" s="56" t="s">
        <v>3550</v>
      </c>
      <c r="J1081" s="56">
        <v>0</v>
      </c>
      <c r="K1081" s="56">
        <v>0</v>
      </c>
      <c r="P1081" s="56">
        <v>0</v>
      </c>
      <c r="S1081" s="56">
        <v>0</v>
      </c>
      <c r="T1081" s="56" t="s">
        <v>3562</v>
      </c>
      <c r="V1081" s="56" t="s">
        <v>3549</v>
      </c>
      <c r="W1081" s="56" t="s">
        <v>3548</v>
      </c>
      <c r="X1081" s="56" t="s">
        <v>3547</v>
      </c>
      <c r="Z1081" s="56" t="s">
        <v>3546</v>
      </c>
      <c r="AA1081" s="56" t="s">
        <v>5428</v>
      </c>
      <c r="AB1081" s="56" t="s">
        <v>5427</v>
      </c>
      <c r="AC1081" s="56" t="s">
        <v>3543</v>
      </c>
      <c r="AD1081" s="56" t="s">
        <v>24</v>
      </c>
      <c r="AE1081" s="56" t="s">
        <v>4145</v>
      </c>
      <c r="AF1081" s="56" t="s">
        <v>5426</v>
      </c>
      <c r="AH1081" s="56" t="s">
        <v>3542</v>
      </c>
      <c r="AI1081" s="56" t="s">
        <v>3723</v>
      </c>
    </row>
    <row r="1082" spans="1:35" ht="33" customHeight="1">
      <c r="A1082" s="56" t="s">
        <v>5425</v>
      </c>
      <c r="B1082" s="57">
        <v>44362.859629629631</v>
      </c>
      <c r="C1082" s="56" t="s">
        <v>3803</v>
      </c>
      <c r="D1082" s="56" t="s">
        <v>3802</v>
      </c>
      <c r="E1082" s="56" t="s">
        <v>5424</v>
      </c>
      <c r="F1082" s="56" t="s">
        <v>5423</v>
      </c>
      <c r="G1082" s="58" t="s">
        <v>3693</v>
      </c>
      <c r="H1082" s="56">
        <v>1</v>
      </c>
      <c r="I1082" s="56" t="s">
        <v>3692</v>
      </c>
      <c r="J1082" s="56">
        <v>207</v>
      </c>
      <c r="K1082" s="56">
        <v>199</v>
      </c>
      <c r="L1082" s="56">
        <v>679</v>
      </c>
      <c r="M1082" s="56">
        <v>60</v>
      </c>
      <c r="N1082" s="56">
        <v>0</v>
      </c>
      <c r="O1082" s="56">
        <v>0</v>
      </c>
      <c r="P1082" s="56">
        <v>0</v>
      </c>
      <c r="Q1082" s="56">
        <v>739</v>
      </c>
      <c r="R1082" s="56">
        <v>0</v>
      </c>
      <c r="S1082" s="56">
        <v>0</v>
      </c>
      <c r="T1082" s="56" t="s">
        <v>3562</v>
      </c>
      <c r="U1082" s="56">
        <v>739</v>
      </c>
      <c r="V1082" s="56" t="s">
        <v>59</v>
      </c>
      <c r="W1082" s="56" t="s">
        <v>3548</v>
      </c>
      <c r="X1082" s="56" t="s">
        <v>39</v>
      </c>
      <c r="Y1082" s="56" t="s">
        <v>5422</v>
      </c>
      <c r="Z1082" s="56" t="s">
        <v>5421</v>
      </c>
      <c r="AC1082" s="56" t="s">
        <v>3543</v>
      </c>
      <c r="AD1082" s="56" t="s">
        <v>24</v>
      </c>
      <c r="AE1082" s="56" t="s">
        <v>5367</v>
      </c>
      <c r="AF1082" s="56" t="s">
        <v>5420</v>
      </c>
      <c r="AH1082" s="56" t="s">
        <v>3542</v>
      </c>
      <c r="AI1082" s="56" t="s">
        <v>3723</v>
      </c>
    </row>
    <row r="1083" spans="1:35" ht="33" customHeight="1">
      <c r="A1083" s="56" t="s">
        <v>5425</v>
      </c>
      <c r="B1083" s="57">
        <v>44362.859629629631</v>
      </c>
      <c r="C1083" s="56" t="s">
        <v>3803</v>
      </c>
      <c r="D1083" s="56" t="s">
        <v>3802</v>
      </c>
      <c r="E1083" s="56" t="s">
        <v>5424</v>
      </c>
      <c r="F1083" s="56" t="s">
        <v>5423</v>
      </c>
      <c r="G1083" s="58" t="s">
        <v>3955</v>
      </c>
      <c r="H1083" s="56">
        <v>1</v>
      </c>
      <c r="I1083" s="56" t="s">
        <v>3954</v>
      </c>
      <c r="J1083" s="56">
        <v>499</v>
      </c>
      <c r="K1083" s="56">
        <v>480</v>
      </c>
      <c r="P1083" s="56">
        <v>0</v>
      </c>
      <c r="S1083" s="56">
        <v>0</v>
      </c>
      <c r="T1083" s="56" t="s">
        <v>3562</v>
      </c>
      <c r="V1083" s="56" t="s">
        <v>59</v>
      </c>
      <c r="W1083" s="56" t="s">
        <v>3548</v>
      </c>
      <c r="X1083" s="56" t="s">
        <v>39</v>
      </c>
      <c r="Y1083" s="56" t="s">
        <v>5422</v>
      </c>
      <c r="Z1083" s="56" t="s">
        <v>5421</v>
      </c>
      <c r="AC1083" s="56" t="s">
        <v>3543</v>
      </c>
      <c r="AD1083" s="56" t="s">
        <v>24</v>
      </c>
      <c r="AE1083" s="56" t="s">
        <v>5367</v>
      </c>
      <c r="AF1083" s="56" t="s">
        <v>5420</v>
      </c>
      <c r="AH1083" s="56" t="s">
        <v>3542</v>
      </c>
      <c r="AI1083" s="56" t="s">
        <v>3723</v>
      </c>
    </row>
    <row r="1084" spans="1:35" ht="33" customHeight="1">
      <c r="A1084" s="56" t="s">
        <v>5425</v>
      </c>
      <c r="B1084" s="57">
        <v>44362.859629629631</v>
      </c>
      <c r="C1084" s="56" t="s">
        <v>3803</v>
      </c>
      <c r="D1084" s="56" t="s">
        <v>3802</v>
      </c>
      <c r="E1084" s="56" t="s">
        <v>5424</v>
      </c>
      <c r="F1084" s="56" t="s">
        <v>5423</v>
      </c>
      <c r="G1084" s="58" t="s">
        <v>3551</v>
      </c>
      <c r="H1084" s="56">
        <v>1</v>
      </c>
      <c r="I1084" s="56" t="s">
        <v>3550</v>
      </c>
      <c r="J1084" s="56">
        <v>0</v>
      </c>
      <c r="K1084" s="56">
        <v>0</v>
      </c>
      <c r="P1084" s="56">
        <v>0</v>
      </c>
      <c r="S1084" s="56">
        <v>0</v>
      </c>
      <c r="T1084" s="56" t="s">
        <v>3562</v>
      </c>
      <c r="V1084" s="56" t="s">
        <v>59</v>
      </c>
      <c r="W1084" s="56" t="s">
        <v>3548</v>
      </c>
      <c r="X1084" s="56" t="s">
        <v>39</v>
      </c>
      <c r="Y1084" s="56" t="s">
        <v>5422</v>
      </c>
      <c r="Z1084" s="56" t="s">
        <v>5421</v>
      </c>
      <c r="AC1084" s="56" t="s">
        <v>3543</v>
      </c>
      <c r="AD1084" s="56" t="s">
        <v>24</v>
      </c>
      <c r="AE1084" s="56" t="s">
        <v>5367</v>
      </c>
      <c r="AF1084" s="56" t="s">
        <v>5420</v>
      </c>
      <c r="AH1084" s="56" t="s">
        <v>3542</v>
      </c>
      <c r="AI1084" s="56" t="s">
        <v>3723</v>
      </c>
    </row>
    <row r="1085" spans="1:35" ht="33" customHeight="1">
      <c r="A1085" s="56" t="s">
        <v>5419</v>
      </c>
      <c r="B1085" s="57">
        <v>44362.875335648147</v>
      </c>
      <c r="C1085" s="56" t="s">
        <v>4512</v>
      </c>
      <c r="D1085" s="56" t="s">
        <v>4511</v>
      </c>
      <c r="E1085" s="56" t="s">
        <v>5418</v>
      </c>
      <c r="F1085" s="56" t="s">
        <v>5417</v>
      </c>
      <c r="G1085" s="58" t="s">
        <v>4231</v>
      </c>
      <c r="H1085" s="56">
        <v>1</v>
      </c>
      <c r="I1085" s="56" t="s">
        <v>3753</v>
      </c>
      <c r="J1085" s="56">
        <v>997</v>
      </c>
      <c r="K1085" s="56">
        <v>960</v>
      </c>
      <c r="L1085" s="56">
        <v>1019</v>
      </c>
      <c r="M1085" s="56">
        <v>0</v>
      </c>
      <c r="N1085" s="56">
        <v>0</v>
      </c>
      <c r="O1085" s="56">
        <v>100</v>
      </c>
      <c r="P1085" s="56">
        <v>0</v>
      </c>
      <c r="Q1085" s="56">
        <v>919</v>
      </c>
      <c r="R1085" s="56">
        <v>0</v>
      </c>
      <c r="S1085" s="56">
        <v>0</v>
      </c>
      <c r="T1085" s="56" t="s">
        <v>3562</v>
      </c>
      <c r="U1085" s="56">
        <v>919</v>
      </c>
      <c r="V1085" s="56" t="s">
        <v>3612</v>
      </c>
      <c r="W1085" s="56" t="s">
        <v>3548</v>
      </c>
      <c r="X1085" s="56" t="s">
        <v>3611</v>
      </c>
      <c r="Z1085" s="56" t="s">
        <v>3546</v>
      </c>
      <c r="AA1085" s="56" t="s">
        <v>5416</v>
      </c>
      <c r="AB1085" s="56" t="s">
        <v>5415</v>
      </c>
      <c r="AC1085" s="56" t="s">
        <v>3543</v>
      </c>
      <c r="AD1085" s="56" t="s">
        <v>24</v>
      </c>
      <c r="AE1085" s="56" t="s">
        <v>3862</v>
      </c>
      <c r="AF1085" s="56" t="s">
        <v>5414</v>
      </c>
      <c r="AH1085" s="56" t="s">
        <v>3542</v>
      </c>
      <c r="AI1085" s="56" t="s">
        <v>3723</v>
      </c>
    </row>
    <row r="1086" spans="1:35" ht="33" customHeight="1">
      <c r="A1086" s="56" t="s">
        <v>5419</v>
      </c>
      <c r="B1086" s="57">
        <v>44362.875335648147</v>
      </c>
      <c r="C1086" s="56" t="s">
        <v>4512</v>
      </c>
      <c r="D1086" s="56" t="s">
        <v>4511</v>
      </c>
      <c r="E1086" s="56" t="s">
        <v>5418</v>
      </c>
      <c r="F1086" s="56" t="s">
        <v>5417</v>
      </c>
      <c r="G1086" s="58" t="s">
        <v>3217</v>
      </c>
      <c r="H1086" s="56">
        <v>1</v>
      </c>
      <c r="I1086" s="56" t="s">
        <v>3720</v>
      </c>
      <c r="J1086" s="56">
        <v>59</v>
      </c>
      <c r="K1086" s="56">
        <v>59</v>
      </c>
      <c r="P1086" s="56">
        <v>0</v>
      </c>
      <c r="S1086" s="56">
        <v>0</v>
      </c>
      <c r="T1086" s="56" t="s">
        <v>3562</v>
      </c>
      <c r="V1086" s="56" t="s">
        <v>3612</v>
      </c>
      <c r="W1086" s="56" t="s">
        <v>3548</v>
      </c>
      <c r="X1086" s="56" t="s">
        <v>3611</v>
      </c>
      <c r="Z1086" s="56" t="s">
        <v>3546</v>
      </c>
      <c r="AA1086" s="56" t="s">
        <v>5416</v>
      </c>
      <c r="AB1086" s="56" t="s">
        <v>5415</v>
      </c>
      <c r="AC1086" s="56" t="s">
        <v>3543</v>
      </c>
      <c r="AD1086" s="56" t="s">
        <v>24</v>
      </c>
      <c r="AE1086" s="56" t="s">
        <v>3862</v>
      </c>
      <c r="AF1086" s="56" t="s">
        <v>5414</v>
      </c>
      <c r="AH1086" s="56" t="s">
        <v>3542</v>
      </c>
      <c r="AI1086" s="56" t="s">
        <v>3723</v>
      </c>
    </row>
    <row r="1087" spans="1:35" ht="33" customHeight="1">
      <c r="A1087" s="56" t="s">
        <v>5419</v>
      </c>
      <c r="B1087" s="57">
        <v>44362.875335648147</v>
      </c>
      <c r="C1087" s="56" t="s">
        <v>4512</v>
      </c>
      <c r="D1087" s="56" t="s">
        <v>4511</v>
      </c>
      <c r="E1087" s="56" t="s">
        <v>5418</v>
      </c>
      <c r="F1087" s="56" t="s">
        <v>5417</v>
      </c>
      <c r="G1087" s="58" t="s">
        <v>3551</v>
      </c>
      <c r="H1087" s="56">
        <v>1</v>
      </c>
      <c r="I1087" s="56" t="s">
        <v>3550</v>
      </c>
      <c r="J1087" s="56">
        <v>0</v>
      </c>
      <c r="K1087" s="56">
        <v>0</v>
      </c>
      <c r="P1087" s="56">
        <v>0</v>
      </c>
      <c r="S1087" s="56">
        <v>0</v>
      </c>
      <c r="T1087" s="56" t="s">
        <v>3562</v>
      </c>
      <c r="V1087" s="56" t="s">
        <v>3612</v>
      </c>
      <c r="W1087" s="56" t="s">
        <v>3548</v>
      </c>
      <c r="X1087" s="56" t="s">
        <v>3611</v>
      </c>
      <c r="Z1087" s="56" t="s">
        <v>3546</v>
      </c>
      <c r="AA1087" s="56" t="s">
        <v>5416</v>
      </c>
      <c r="AB1087" s="56" t="s">
        <v>5415</v>
      </c>
      <c r="AC1087" s="56" t="s">
        <v>3543</v>
      </c>
      <c r="AD1087" s="56" t="s">
        <v>24</v>
      </c>
      <c r="AE1087" s="56" t="s">
        <v>3862</v>
      </c>
      <c r="AF1087" s="56" t="s">
        <v>5414</v>
      </c>
      <c r="AH1087" s="56" t="s">
        <v>3542</v>
      </c>
      <c r="AI1087" s="56" t="s">
        <v>3723</v>
      </c>
    </row>
    <row r="1088" spans="1:35" ht="33" customHeight="1">
      <c r="A1088" s="56" t="s">
        <v>5419</v>
      </c>
      <c r="B1088" s="57">
        <v>44362.875335648147</v>
      </c>
      <c r="C1088" s="56" t="s">
        <v>4512</v>
      </c>
      <c r="D1088" s="56" t="s">
        <v>4511</v>
      </c>
      <c r="E1088" s="56" t="s">
        <v>5418</v>
      </c>
      <c r="F1088" s="56" t="s">
        <v>5417</v>
      </c>
      <c r="G1088" s="58" t="s">
        <v>1498</v>
      </c>
      <c r="H1088" s="56">
        <v>1</v>
      </c>
      <c r="I1088" s="56" t="s">
        <v>4016</v>
      </c>
      <c r="J1088" s="56">
        <v>0</v>
      </c>
      <c r="K1088" s="56">
        <v>0</v>
      </c>
      <c r="P1088" s="56">
        <v>0</v>
      </c>
      <c r="S1088" s="56">
        <v>0</v>
      </c>
      <c r="T1088" s="56" t="s">
        <v>3562</v>
      </c>
      <c r="V1088" s="56" t="s">
        <v>3612</v>
      </c>
      <c r="W1088" s="56" t="s">
        <v>3548</v>
      </c>
      <c r="X1088" s="56" t="s">
        <v>3611</v>
      </c>
      <c r="Z1088" s="56" t="s">
        <v>3546</v>
      </c>
      <c r="AA1088" s="56" t="s">
        <v>5416</v>
      </c>
      <c r="AB1088" s="56" t="s">
        <v>5415</v>
      </c>
      <c r="AC1088" s="56" t="s">
        <v>3543</v>
      </c>
      <c r="AD1088" s="56" t="s">
        <v>24</v>
      </c>
      <c r="AE1088" s="56" t="s">
        <v>3862</v>
      </c>
      <c r="AF1088" s="56" t="s">
        <v>5414</v>
      </c>
      <c r="AH1088" s="56" t="s">
        <v>3542</v>
      </c>
      <c r="AI1088" s="56" t="s">
        <v>3723</v>
      </c>
    </row>
    <row r="1089" spans="1:35" ht="33" customHeight="1">
      <c r="A1089" s="56" t="s">
        <v>5413</v>
      </c>
      <c r="B1089" s="57">
        <v>44362.887800925928</v>
      </c>
      <c r="C1089" s="56" t="s">
        <v>3803</v>
      </c>
      <c r="D1089" s="56" t="s">
        <v>3802</v>
      </c>
      <c r="E1089" s="56" t="s">
        <v>5412</v>
      </c>
      <c r="F1089" s="56" t="s">
        <v>5411</v>
      </c>
      <c r="G1089" s="58" t="s">
        <v>3811</v>
      </c>
      <c r="H1089" s="56">
        <v>1</v>
      </c>
      <c r="I1089" s="56" t="s">
        <v>3669</v>
      </c>
      <c r="J1089" s="56">
        <v>897</v>
      </c>
      <c r="K1089" s="56">
        <v>888</v>
      </c>
      <c r="L1089" s="56">
        <v>1087</v>
      </c>
      <c r="M1089" s="56">
        <v>0</v>
      </c>
      <c r="N1089" s="56">
        <v>22</v>
      </c>
      <c r="O1089" s="56">
        <v>107</v>
      </c>
      <c r="P1089" s="56">
        <v>0</v>
      </c>
      <c r="Q1089" s="56">
        <v>958</v>
      </c>
      <c r="R1089" s="56">
        <v>0</v>
      </c>
      <c r="S1089" s="56">
        <v>0</v>
      </c>
      <c r="T1089" s="56" t="s">
        <v>3562</v>
      </c>
      <c r="U1089" s="56">
        <v>958</v>
      </c>
      <c r="V1089" s="56" t="s">
        <v>3561</v>
      </c>
      <c r="W1089" s="56" t="s">
        <v>3548</v>
      </c>
      <c r="X1089" s="56" t="s">
        <v>39</v>
      </c>
      <c r="Y1089" s="56" t="s">
        <v>5410</v>
      </c>
      <c r="Z1089" s="56" t="s">
        <v>5409</v>
      </c>
      <c r="AC1089" s="56" t="s">
        <v>3543</v>
      </c>
      <c r="AD1089" s="56" t="s">
        <v>24</v>
      </c>
      <c r="AE1089" s="56" t="s">
        <v>5367</v>
      </c>
      <c r="AF1089" s="56" t="s">
        <v>5408</v>
      </c>
      <c r="AH1089" s="56" t="s">
        <v>3542</v>
      </c>
      <c r="AI1089" s="56" t="s">
        <v>3723</v>
      </c>
    </row>
    <row r="1090" spans="1:35" ht="33" customHeight="1">
      <c r="A1090" s="56" t="s">
        <v>5413</v>
      </c>
      <c r="B1090" s="57">
        <v>44362.887800925928</v>
      </c>
      <c r="C1090" s="56" t="s">
        <v>3803</v>
      </c>
      <c r="D1090" s="56" t="s">
        <v>3802</v>
      </c>
      <c r="E1090" s="56" t="s">
        <v>5412</v>
      </c>
      <c r="F1090" s="56" t="s">
        <v>5411</v>
      </c>
      <c r="G1090" s="58" t="s">
        <v>3693</v>
      </c>
      <c r="H1090" s="56">
        <v>1</v>
      </c>
      <c r="I1090" s="56" t="s">
        <v>3692</v>
      </c>
      <c r="J1090" s="56">
        <v>207</v>
      </c>
      <c r="K1090" s="56">
        <v>199</v>
      </c>
      <c r="P1090" s="56">
        <v>0</v>
      </c>
      <c r="S1090" s="56">
        <v>0</v>
      </c>
      <c r="T1090" s="56" t="s">
        <v>3562</v>
      </c>
      <c r="V1090" s="56" t="s">
        <v>3561</v>
      </c>
      <c r="W1090" s="56" t="s">
        <v>3548</v>
      </c>
      <c r="X1090" s="56" t="s">
        <v>39</v>
      </c>
      <c r="Y1090" s="56" t="s">
        <v>5410</v>
      </c>
      <c r="Z1090" s="56" t="s">
        <v>5409</v>
      </c>
      <c r="AC1090" s="56" t="s">
        <v>3543</v>
      </c>
      <c r="AD1090" s="56" t="s">
        <v>24</v>
      </c>
      <c r="AE1090" s="56" t="s">
        <v>5367</v>
      </c>
      <c r="AF1090" s="56" t="s">
        <v>5408</v>
      </c>
      <c r="AH1090" s="56" t="s">
        <v>3542</v>
      </c>
      <c r="AI1090" s="56" t="s">
        <v>3723</v>
      </c>
    </row>
    <row r="1091" spans="1:35" ht="33" customHeight="1">
      <c r="A1091" s="56" t="s">
        <v>5413</v>
      </c>
      <c r="B1091" s="57">
        <v>44362.887800925928</v>
      </c>
      <c r="C1091" s="56" t="s">
        <v>3803</v>
      </c>
      <c r="D1091" s="56" t="s">
        <v>3802</v>
      </c>
      <c r="E1091" s="56" t="s">
        <v>5412</v>
      </c>
      <c r="F1091" s="56" t="s">
        <v>5411</v>
      </c>
      <c r="G1091" s="58" t="s">
        <v>3551</v>
      </c>
      <c r="H1091" s="56">
        <v>1</v>
      </c>
      <c r="I1091" s="56" t="s">
        <v>3550</v>
      </c>
      <c r="J1091" s="56">
        <v>0</v>
      </c>
      <c r="K1091" s="56">
        <v>0</v>
      </c>
      <c r="P1091" s="56">
        <v>0</v>
      </c>
      <c r="S1091" s="56">
        <v>0</v>
      </c>
      <c r="T1091" s="56" t="s">
        <v>3562</v>
      </c>
      <c r="V1091" s="56" t="s">
        <v>3561</v>
      </c>
      <c r="W1091" s="56" t="s">
        <v>3548</v>
      </c>
      <c r="X1091" s="56" t="s">
        <v>39</v>
      </c>
      <c r="Y1091" s="56" t="s">
        <v>5410</v>
      </c>
      <c r="Z1091" s="56" t="s">
        <v>5409</v>
      </c>
      <c r="AC1091" s="56" t="s">
        <v>3543</v>
      </c>
      <c r="AD1091" s="56" t="s">
        <v>24</v>
      </c>
      <c r="AE1091" s="56" t="s">
        <v>5367</v>
      </c>
      <c r="AF1091" s="56" t="s">
        <v>5408</v>
      </c>
      <c r="AH1091" s="56" t="s">
        <v>3542</v>
      </c>
      <c r="AI1091" s="56" t="s">
        <v>3723</v>
      </c>
    </row>
    <row r="1092" spans="1:35" ht="33" customHeight="1">
      <c r="A1092" s="56" t="s">
        <v>5413</v>
      </c>
      <c r="B1092" s="57">
        <v>44362.887800925928</v>
      </c>
      <c r="C1092" s="56" t="s">
        <v>3803</v>
      </c>
      <c r="D1092" s="56" t="s">
        <v>3802</v>
      </c>
      <c r="E1092" s="56" t="s">
        <v>5412</v>
      </c>
      <c r="F1092" s="56" t="s">
        <v>5411</v>
      </c>
      <c r="G1092" s="58" t="s">
        <v>1498</v>
      </c>
      <c r="H1092" s="56">
        <v>1</v>
      </c>
      <c r="I1092" s="56" t="s">
        <v>4016</v>
      </c>
      <c r="J1092" s="56">
        <v>0</v>
      </c>
      <c r="K1092" s="56">
        <v>0</v>
      </c>
      <c r="P1092" s="56">
        <v>0</v>
      </c>
      <c r="S1092" s="56">
        <v>0</v>
      </c>
      <c r="T1092" s="56" t="s">
        <v>3562</v>
      </c>
      <c r="V1092" s="56" t="s">
        <v>3561</v>
      </c>
      <c r="W1092" s="56" t="s">
        <v>3548</v>
      </c>
      <c r="X1092" s="56" t="s">
        <v>39</v>
      </c>
      <c r="Y1092" s="56" t="s">
        <v>5410</v>
      </c>
      <c r="Z1092" s="56" t="s">
        <v>5409</v>
      </c>
      <c r="AC1092" s="56" t="s">
        <v>3543</v>
      </c>
      <c r="AD1092" s="56" t="s">
        <v>24</v>
      </c>
      <c r="AE1092" s="56" t="s">
        <v>5367</v>
      </c>
      <c r="AF1092" s="56" t="s">
        <v>5408</v>
      </c>
      <c r="AH1092" s="56" t="s">
        <v>3542</v>
      </c>
      <c r="AI1092" s="56" t="s">
        <v>3723</v>
      </c>
    </row>
    <row r="1093" spans="1:35" ht="33" customHeight="1">
      <c r="A1093" s="56" t="s">
        <v>5407</v>
      </c>
      <c r="B1093" s="57">
        <v>44362.888460648152</v>
      </c>
      <c r="C1093" s="56" t="s">
        <v>4512</v>
      </c>
      <c r="D1093" s="56" t="s">
        <v>4511</v>
      </c>
      <c r="E1093" s="56" t="s">
        <v>5406</v>
      </c>
      <c r="F1093" s="56" t="s">
        <v>5405</v>
      </c>
      <c r="G1093" s="58" t="s">
        <v>3811</v>
      </c>
      <c r="H1093" s="56">
        <v>1</v>
      </c>
      <c r="I1093" s="56" t="s">
        <v>3669</v>
      </c>
      <c r="J1093" s="56">
        <v>897</v>
      </c>
      <c r="K1093" s="56">
        <v>888</v>
      </c>
      <c r="L1093" s="56">
        <v>888</v>
      </c>
      <c r="M1093" s="56">
        <v>65</v>
      </c>
      <c r="N1093" s="56">
        <v>0</v>
      </c>
      <c r="O1093" s="56">
        <v>0</v>
      </c>
      <c r="P1093" s="56">
        <v>0</v>
      </c>
      <c r="Q1093" s="56">
        <v>953</v>
      </c>
      <c r="R1093" s="56">
        <v>0</v>
      </c>
      <c r="S1093" s="56">
        <v>0</v>
      </c>
      <c r="T1093" s="56" t="s">
        <v>3562</v>
      </c>
      <c r="U1093" s="56">
        <v>953</v>
      </c>
      <c r="V1093" s="56" t="s">
        <v>3549</v>
      </c>
      <c r="W1093" s="56" t="s">
        <v>3548</v>
      </c>
      <c r="X1093" s="56" t="s">
        <v>3547</v>
      </c>
      <c r="Z1093" s="56" t="s">
        <v>3546</v>
      </c>
      <c r="AA1093" s="56" t="s">
        <v>5404</v>
      </c>
      <c r="AB1093" s="56" t="s">
        <v>5403</v>
      </c>
      <c r="AC1093" s="56" t="s">
        <v>3543</v>
      </c>
      <c r="AD1093" s="56" t="s">
        <v>24</v>
      </c>
      <c r="AE1093" s="56" t="s">
        <v>4145</v>
      </c>
      <c r="AF1093" s="56" t="s">
        <v>5402</v>
      </c>
      <c r="AH1093" s="56" t="s">
        <v>3542</v>
      </c>
      <c r="AI1093" s="56" t="s">
        <v>3723</v>
      </c>
    </row>
    <row r="1094" spans="1:35" ht="33" customHeight="1">
      <c r="A1094" s="56" t="s">
        <v>5407</v>
      </c>
      <c r="B1094" s="57">
        <v>44362.888460648152</v>
      </c>
      <c r="C1094" s="56" t="s">
        <v>4512</v>
      </c>
      <c r="D1094" s="56" t="s">
        <v>4511</v>
      </c>
      <c r="E1094" s="56" t="s">
        <v>5406</v>
      </c>
      <c r="F1094" s="56" t="s">
        <v>5405</v>
      </c>
      <c r="G1094" s="58" t="s">
        <v>3551</v>
      </c>
      <c r="H1094" s="56">
        <v>1</v>
      </c>
      <c r="I1094" s="56" t="s">
        <v>3550</v>
      </c>
      <c r="J1094" s="56">
        <v>0</v>
      </c>
      <c r="K1094" s="56">
        <v>0</v>
      </c>
      <c r="P1094" s="56">
        <v>0</v>
      </c>
      <c r="S1094" s="56">
        <v>0</v>
      </c>
      <c r="T1094" s="56" t="s">
        <v>3562</v>
      </c>
      <c r="V1094" s="56" t="s">
        <v>3549</v>
      </c>
      <c r="W1094" s="56" t="s">
        <v>3548</v>
      </c>
      <c r="X1094" s="56" t="s">
        <v>3547</v>
      </c>
      <c r="Z1094" s="56" t="s">
        <v>3546</v>
      </c>
      <c r="AA1094" s="56" t="s">
        <v>5404</v>
      </c>
      <c r="AB1094" s="56" t="s">
        <v>5403</v>
      </c>
      <c r="AC1094" s="56" t="s">
        <v>3543</v>
      </c>
      <c r="AD1094" s="56" t="s">
        <v>24</v>
      </c>
      <c r="AE1094" s="56" t="s">
        <v>4145</v>
      </c>
      <c r="AF1094" s="56" t="s">
        <v>5402</v>
      </c>
      <c r="AH1094" s="56" t="s">
        <v>3542</v>
      </c>
      <c r="AI1094" s="56" t="s">
        <v>3723</v>
      </c>
    </row>
    <row r="1095" spans="1:35" ht="33" customHeight="1">
      <c r="A1095" s="56" t="s">
        <v>5407</v>
      </c>
      <c r="B1095" s="57">
        <v>44362.888460648152</v>
      </c>
      <c r="C1095" s="56" t="s">
        <v>4512</v>
      </c>
      <c r="D1095" s="56" t="s">
        <v>4511</v>
      </c>
      <c r="E1095" s="56" t="s">
        <v>5406</v>
      </c>
      <c r="F1095" s="56" t="s">
        <v>5405</v>
      </c>
      <c r="G1095" s="58" t="s">
        <v>1498</v>
      </c>
      <c r="H1095" s="56">
        <v>1</v>
      </c>
      <c r="I1095" s="56" t="s">
        <v>4016</v>
      </c>
      <c r="J1095" s="56">
        <v>0</v>
      </c>
      <c r="K1095" s="56">
        <v>0</v>
      </c>
      <c r="P1095" s="56">
        <v>0</v>
      </c>
      <c r="S1095" s="56">
        <v>0</v>
      </c>
      <c r="T1095" s="56" t="s">
        <v>3562</v>
      </c>
      <c r="V1095" s="56" t="s">
        <v>3549</v>
      </c>
      <c r="W1095" s="56" t="s">
        <v>3548</v>
      </c>
      <c r="X1095" s="56" t="s">
        <v>3547</v>
      </c>
      <c r="Z1095" s="56" t="s">
        <v>3546</v>
      </c>
      <c r="AA1095" s="56" t="s">
        <v>5404</v>
      </c>
      <c r="AB1095" s="56" t="s">
        <v>5403</v>
      </c>
      <c r="AC1095" s="56" t="s">
        <v>3543</v>
      </c>
      <c r="AD1095" s="56" t="s">
        <v>24</v>
      </c>
      <c r="AE1095" s="56" t="s">
        <v>4145</v>
      </c>
      <c r="AF1095" s="56" t="s">
        <v>5402</v>
      </c>
      <c r="AH1095" s="56" t="s">
        <v>3542</v>
      </c>
      <c r="AI1095" s="56" t="s">
        <v>3723</v>
      </c>
    </row>
    <row r="1096" spans="1:35" ht="33" customHeight="1">
      <c r="A1096" s="56" t="s">
        <v>5401</v>
      </c>
      <c r="B1096" s="57">
        <v>44362.891180555554</v>
      </c>
      <c r="C1096" s="56" t="s">
        <v>4512</v>
      </c>
      <c r="D1096" s="56" t="s">
        <v>4511</v>
      </c>
      <c r="E1096" s="56" t="s">
        <v>5400</v>
      </c>
      <c r="F1096" s="56" t="s">
        <v>5399</v>
      </c>
      <c r="G1096" s="58" t="s">
        <v>3811</v>
      </c>
      <c r="H1096" s="56">
        <v>1</v>
      </c>
      <c r="I1096" s="56" t="s">
        <v>3669</v>
      </c>
      <c r="J1096" s="56">
        <v>897</v>
      </c>
      <c r="K1096" s="56">
        <v>888</v>
      </c>
      <c r="L1096" s="56">
        <v>1776</v>
      </c>
      <c r="M1096" s="56">
        <v>0</v>
      </c>
      <c r="N1096" s="56">
        <v>36</v>
      </c>
      <c r="O1096" s="56">
        <v>174</v>
      </c>
      <c r="P1096" s="56">
        <v>0</v>
      </c>
      <c r="Q1096" s="56">
        <v>1566</v>
      </c>
      <c r="R1096" s="56">
        <v>0</v>
      </c>
      <c r="S1096" s="56">
        <v>0</v>
      </c>
      <c r="T1096" s="56" t="s">
        <v>3562</v>
      </c>
      <c r="U1096" s="56">
        <v>1566</v>
      </c>
      <c r="V1096" s="56" t="s">
        <v>3549</v>
      </c>
      <c r="W1096" s="56" t="s">
        <v>3548</v>
      </c>
      <c r="X1096" s="56" t="s">
        <v>3547</v>
      </c>
      <c r="Z1096" s="56" t="s">
        <v>3546</v>
      </c>
      <c r="AA1096" s="56" t="s">
        <v>5398</v>
      </c>
      <c r="AB1096" s="56" t="s">
        <v>5397</v>
      </c>
      <c r="AC1096" s="56" t="s">
        <v>3543</v>
      </c>
      <c r="AD1096" s="56" t="s">
        <v>24</v>
      </c>
      <c r="AE1096" s="56" t="s">
        <v>3725</v>
      </c>
      <c r="AF1096" s="56" t="s">
        <v>5396</v>
      </c>
      <c r="AH1096" s="56" t="s">
        <v>3542</v>
      </c>
      <c r="AI1096" s="56" t="s">
        <v>3723</v>
      </c>
    </row>
    <row r="1097" spans="1:35" ht="33" customHeight="1">
      <c r="A1097" s="56" t="s">
        <v>5401</v>
      </c>
      <c r="B1097" s="57">
        <v>44362.891180555554</v>
      </c>
      <c r="C1097" s="56" t="s">
        <v>4512</v>
      </c>
      <c r="D1097" s="56" t="s">
        <v>4511</v>
      </c>
      <c r="E1097" s="56" t="s">
        <v>5400</v>
      </c>
      <c r="F1097" s="56" t="s">
        <v>5399</v>
      </c>
      <c r="G1097" s="58" t="s">
        <v>3670</v>
      </c>
      <c r="H1097" s="56">
        <v>1</v>
      </c>
      <c r="I1097" s="56" t="s">
        <v>3669</v>
      </c>
      <c r="J1097" s="56">
        <v>897</v>
      </c>
      <c r="K1097" s="56">
        <v>888</v>
      </c>
      <c r="P1097" s="56">
        <v>0</v>
      </c>
      <c r="S1097" s="56">
        <v>0</v>
      </c>
      <c r="T1097" s="56" t="s">
        <v>3562</v>
      </c>
      <c r="V1097" s="56" t="s">
        <v>3549</v>
      </c>
      <c r="W1097" s="56" t="s">
        <v>3548</v>
      </c>
      <c r="X1097" s="56" t="s">
        <v>3547</v>
      </c>
      <c r="Z1097" s="56" t="s">
        <v>3546</v>
      </c>
      <c r="AA1097" s="56" t="s">
        <v>5398</v>
      </c>
      <c r="AB1097" s="56" t="s">
        <v>5397</v>
      </c>
      <c r="AC1097" s="56" t="s">
        <v>3543</v>
      </c>
      <c r="AD1097" s="56" t="s">
        <v>24</v>
      </c>
      <c r="AE1097" s="56" t="s">
        <v>3725</v>
      </c>
      <c r="AF1097" s="56" t="s">
        <v>5396</v>
      </c>
      <c r="AH1097" s="56" t="s">
        <v>3542</v>
      </c>
      <c r="AI1097" s="56" t="s">
        <v>3723</v>
      </c>
    </row>
    <row r="1098" spans="1:35" ht="33" customHeight="1">
      <c r="A1098" s="56" t="s">
        <v>5401</v>
      </c>
      <c r="B1098" s="57">
        <v>44362.891180555554</v>
      </c>
      <c r="C1098" s="56" t="s">
        <v>4512</v>
      </c>
      <c r="D1098" s="56" t="s">
        <v>4511</v>
      </c>
      <c r="E1098" s="56" t="s">
        <v>5400</v>
      </c>
      <c r="F1098" s="56" t="s">
        <v>5399</v>
      </c>
      <c r="G1098" s="58" t="s">
        <v>3551</v>
      </c>
      <c r="H1098" s="56">
        <v>1</v>
      </c>
      <c r="I1098" s="56" t="s">
        <v>3550</v>
      </c>
      <c r="J1098" s="56">
        <v>0</v>
      </c>
      <c r="K1098" s="56">
        <v>0</v>
      </c>
      <c r="P1098" s="56">
        <v>0</v>
      </c>
      <c r="S1098" s="56">
        <v>0</v>
      </c>
      <c r="T1098" s="56" t="s">
        <v>3562</v>
      </c>
      <c r="V1098" s="56" t="s">
        <v>3549</v>
      </c>
      <c r="W1098" s="56" t="s">
        <v>3548</v>
      </c>
      <c r="X1098" s="56" t="s">
        <v>3547</v>
      </c>
      <c r="Z1098" s="56" t="s">
        <v>3546</v>
      </c>
      <c r="AA1098" s="56" t="s">
        <v>5398</v>
      </c>
      <c r="AB1098" s="56" t="s">
        <v>5397</v>
      </c>
      <c r="AC1098" s="56" t="s">
        <v>3543</v>
      </c>
      <c r="AD1098" s="56" t="s">
        <v>24</v>
      </c>
      <c r="AE1098" s="56" t="s">
        <v>3725</v>
      </c>
      <c r="AF1098" s="56" t="s">
        <v>5396</v>
      </c>
      <c r="AH1098" s="56" t="s">
        <v>3542</v>
      </c>
      <c r="AI1098" s="56" t="s">
        <v>3723</v>
      </c>
    </row>
    <row r="1099" spans="1:35" ht="33" customHeight="1">
      <c r="A1099" s="56" t="s">
        <v>5401</v>
      </c>
      <c r="B1099" s="57">
        <v>44362.891180555554</v>
      </c>
      <c r="C1099" s="56" t="s">
        <v>4512</v>
      </c>
      <c r="D1099" s="56" t="s">
        <v>4511</v>
      </c>
      <c r="E1099" s="56" t="s">
        <v>5400</v>
      </c>
      <c r="F1099" s="56" t="s">
        <v>5399</v>
      </c>
      <c r="G1099" s="58" t="s">
        <v>1713</v>
      </c>
      <c r="H1099" s="56">
        <v>1</v>
      </c>
      <c r="I1099" s="56" t="s">
        <v>3568</v>
      </c>
      <c r="J1099" s="56">
        <v>0</v>
      </c>
      <c r="K1099" s="56">
        <v>0</v>
      </c>
      <c r="P1099" s="56">
        <v>0</v>
      </c>
      <c r="S1099" s="56">
        <v>0</v>
      </c>
      <c r="T1099" s="56" t="s">
        <v>3562</v>
      </c>
      <c r="V1099" s="56" t="s">
        <v>3549</v>
      </c>
      <c r="W1099" s="56" t="s">
        <v>3548</v>
      </c>
      <c r="X1099" s="56" t="s">
        <v>3547</v>
      </c>
      <c r="Z1099" s="56" t="s">
        <v>3546</v>
      </c>
      <c r="AA1099" s="56" t="s">
        <v>5398</v>
      </c>
      <c r="AB1099" s="56" t="s">
        <v>5397</v>
      </c>
      <c r="AC1099" s="56" t="s">
        <v>3543</v>
      </c>
      <c r="AD1099" s="56" t="s">
        <v>24</v>
      </c>
      <c r="AE1099" s="56" t="s">
        <v>3725</v>
      </c>
      <c r="AF1099" s="56" t="s">
        <v>5396</v>
      </c>
      <c r="AH1099" s="56" t="s">
        <v>3542</v>
      </c>
      <c r="AI1099" s="56" t="s">
        <v>3723</v>
      </c>
    </row>
    <row r="1100" spans="1:35" ht="33" customHeight="1">
      <c r="A1100" s="56" t="s">
        <v>5401</v>
      </c>
      <c r="B1100" s="57">
        <v>44362.891180555554</v>
      </c>
      <c r="C1100" s="56" t="s">
        <v>4512</v>
      </c>
      <c r="D1100" s="56" t="s">
        <v>4511</v>
      </c>
      <c r="E1100" s="56" t="s">
        <v>5400</v>
      </c>
      <c r="F1100" s="56" t="s">
        <v>5399</v>
      </c>
      <c r="G1100" s="58" t="s">
        <v>1498</v>
      </c>
      <c r="H1100" s="56">
        <v>1</v>
      </c>
      <c r="I1100" s="56" t="s">
        <v>4016</v>
      </c>
      <c r="J1100" s="56">
        <v>0</v>
      </c>
      <c r="K1100" s="56">
        <v>0</v>
      </c>
      <c r="P1100" s="56">
        <v>0</v>
      </c>
      <c r="S1100" s="56">
        <v>0</v>
      </c>
      <c r="T1100" s="56" t="s">
        <v>3562</v>
      </c>
      <c r="V1100" s="56" t="s">
        <v>3549</v>
      </c>
      <c r="W1100" s="56" t="s">
        <v>3548</v>
      </c>
      <c r="X1100" s="56" t="s">
        <v>3547</v>
      </c>
      <c r="Z1100" s="56" t="s">
        <v>3546</v>
      </c>
      <c r="AA1100" s="56" t="s">
        <v>5398</v>
      </c>
      <c r="AB1100" s="56" t="s">
        <v>5397</v>
      </c>
      <c r="AC1100" s="56" t="s">
        <v>3543</v>
      </c>
      <c r="AD1100" s="56" t="s">
        <v>24</v>
      </c>
      <c r="AE1100" s="56" t="s">
        <v>3725</v>
      </c>
      <c r="AF1100" s="56" t="s">
        <v>5396</v>
      </c>
      <c r="AH1100" s="56" t="s">
        <v>3542</v>
      </c>
      <c r="AI1100" s="56" t="s">
        <v>3723</v>
      </c>
    </row>
    <row r="1101" spans="1:35" ht="33" customHeight="1">
      <c r="A1101" s="56" t="s">
        <v>5395</v>
      </c>
      <c r="B1101" s="57">
        <v>44362.894432870373</v>
      </c>
      <c r="C1101" s="56" t="s">
        <v>4512</v>
      </c>
      <c r="D1101" s="56" t="s">
        <v>4511</v>
      </c>
      <c r="E1101" s="56" t="s">
        <v>5394</v>
      </c>
      <c r="F1101" s="56" t="s">
        <v>5393</v>
      </c>
      <c r="G1101" s="58" t="s">
        <v>3681</v>
      </c>
      <c r="H1101" s="56">
        <v>1</v>
      </c>
      <c r="I1101" s="56" t="s">
        <v>3569</v>
      </c>
      <c r="J1101" s="56">
        <v>894</v>
      </c>
      <c r="K1101" s="56">
        <v>750</v>
      </c>
      <c r="L1101" s="56">
        <v>1300</v>
      </c>
      <c r="M1101" s="56">
        <v>0</v>
      </c>
      <c r="N1101" s="56">
        <v>0</v>
      </c>
      <c r="O1101" s="56">
        <v>100</v>
      </c>
      <c r="P1101" s="56">
        <v>0</v>
      </c>
      <c r="Q1101" s="56">
        <v>1200</v>
      </c>
      <c r="R1101" s="56">
        <v>0</v>
      </c>
      <c r="S1101" s="56">
        <v>0</v>
      </c>
      <c r="T1101" s="56" t="s">
        <v>3562</v>
      </c>
      <c r="U1101" s="56">
        <v>1200</v>
      </c>
      <c r="V1101" s="56" t="s">
        <v>3549</v>
      </c>
      <c r="W1101" s="56" t="s">
        <v>3548</v>
      </c>
      <c r="X1101" s="56" t="s">
        <v>3547</v>
      </c>
      <c r="Z1101" s="56" t="s">
        <v>3546</v>
      </c>
      <c r="AA1101" s="56" t="s">
        <v>5392</v>
      </c>
      <c r="AB1101" s="56" t="s">
        <v>5391</v>
      </c>
      <c r="AC1101" s="56" t="s">
        <v>3543</v>
      </c>
      <c r="AD1101" s="56" t="s">
        <v>24</v>
      </c>
      <c r="AE1101" s="56" t="s">
        <v>3862</v>
      </c>
      <c r="AF1101" s="56" t="s">
        <v>5390</v>
      </c>
      <c r="AH1101" s="56" t="s">
        <v>3542</v>
      </c>
      <c r="AI1101" s="56" t="s">
        <v>3723</v>
      </c>
    </row>
    <row r="1102" spans="1:35" ht="33" customHeight="1">
      <c r="A1102" s="56" t="s">
        <v>5395</v>
      </c>
      <c r="B1102" s="57">
        <v>44362.894432870373</v>
      </c>
      <c r="C1102" s="56" t="s">
        <v>4512</v>
      </c>
      <c r="D1102" s="56" t="s">
        <v>4511</v>
      </c>
      <c r="E1102" s="56" t="s">
        <v>5394</v>
      </c>
      <c r="F1102" s="56" t="s">
        <v>5393</v>
      </c>
      <c r="G1102" s="58" t="s">
        <v>3732</v>
      </c>
      <c r="H1102" s="56">
        <v>1</v>
      </c>
      <c r="I1102" s="56" t="s">
        <v>3731</v>
      </c>
      <c r="J1102" s="56">
        <v>867</v>
      </c>
      <c r="K1102" s="56">
        <v>550</v>
      </c>
      <c r="P1102" s="56">
        <v>0</v>
      </c>
      <c r="S1102" s="56">
        <v>0</v>
      </c>
      <c r="T1102" s="56" t="s">
        <v>3562</v>
      </c>
      <c r="V1102" s="56" t="s">
        <v>3549</v>
      </c>
      <c r="W1102" s="56" t="s">
        <v>3548</v>
      </c>
      <c r="X1102" s="56" t="s">
        <v>3547</v>
      </c>
      <c r="Z1102" s="56" t="s">
        <v>3546</v>
      </c>
      <c r="AA1102" s="56" t="s">
        <v>5392</v>
      </c>
      <c r="AB1102" s="56" t="s">
        <v>5391</v>
      </c>
      <c r="AC1102" s="56" t="s">
        <v>3543</v>
      </c>
      <c r="AD1102" s="56" t="s">
        <v>24</v>
      </c>
      <c r="AE1102" s="56" t="s">
        <v>3862</v>
      </c>
      <c r="AF1102" s="56" t="s">
        <v>5390</v>
      </c>
      <c r="AH1102" s="56" t="s">
        <v>3542</v>
      </c>
      <c r="AI1102" s="56" t="s">
        <v>3723</v>
      </c>
    </row>
    <row r="1103" spans="1:35" ht="33" customHeight="1">
      <c r="A1103" s="56" t="s">
        <v>5395</v>
      </c>
      <c r="B1103" s="57">
        <v>44362.894432870373</v>
      </c>
      <c r="C1103" s="56" t="s">
        <v>4512</v>
      </c>
      <c r="D1103" s="56" t="s">
        <v>4511</v>
      </c>
      <c r="E1103" s="56" t="s">
        <v>5394</v>
      </c>
      <c r="F1103" s="56" t="s">
        <v>5393</v>
      </c>
      <c r="G1103" s="58" t="s">
        <v>3551</v>
      </c>
      <c r="H1103" s="56">
        <v>1</v>
      </c>
      <c r="I1103" s="56" t="s">
        <v>3550</v>
      </c>
      <c r="J1103" s="56">
        <v>0</v>
      </c>
      <c r="K1103" s="56">
        <v>0</v>
      </c>
      <c r="P1103" s="56">
        <v>0</v>
      </c>
      <c r="S1103" s="56">
        <v>0</v>
      </c>
      <c r="T1103" s="56" t="s">
        <v>3562</v>
      </c>
      <c r="V1103" s="56" t="s">
        <v>3549</v>
      </c>
      <c r="W1103" s="56" t="s">
        <v>3548</v>
      </c>
      <c r="X1103" s="56" t="s">
        <v>3547</v>
      </c>
      <c r="Z1103" s="56" t="s">
        <v>3546</v>
      </c>
      <c r="AA1103" s="56" t="s">
        <v>5392</v>
      </c>
      <c r="AB1103" s="56" t="s">
        <v>5391</v>
      </c>
      <c r="AC1103" s="56" t="s">
        <v>3543</v>
      </c>
      <c r="AD1103" s="56" t="s">
        <v>24</v>
      </c>
      <c r="AE1103" s="56" t="s">
        <v>3862</v>
      </c>
      <c r="AF1103" s="56" t="s">
        <v>5390</v>
      </c>
      <c r="AH1103" s="56" t="s">
        <v>3542</v>
      </c>
      <c r="AI1103" s="56" t="s">
        <v>3723</v>
      </c>
    </row>
    <row r="1104" spans="1:35" ht="33" customHeight="1">
      <c r="A1104" s="56" t="s">
        <v>5395</v>
      </c>
      <c r="B1104" s="57">
        <v>44362.894432870373</v>
      </c>
      <c r="C1104" s="56" t="s">
        <v>4512</v>
      </c>
      <c r="D1104" s="56" t="s">
        <v>4511</v>
      </c>
      <c r="E1104" s="56" t="s">
        <v>5394</v>
      </c>
      <c r="F1104" s="56" t="s">
        <v>5393</v>
      </c>
      <c r="G1104" s="58" t="s">
        <v>1498</v>
      </c>
      <c r="H1104" s="56">
        <v>1</v>
      </c>
      <c r="I1104" s="56" t="s">
        <v>4016</v>
      </c>
      <c r="J1104" s="56">
        <v>0</v>
      </c>
      <c r="K1104" s="56">
        <v>0</v>
      </c>
      <c r="P1104" s="56">
        <v>0</v>
      </c>
      <c r="S1104" s="56">
        <v>0</v>
      </c>
      <c r="T1104" s="56" t="s">
        <v>3562</v>
      </c>
      <c r="V1104" s="56" t="s">
        <v>3549</v>
      </c>
      <c r="W1104" s="56" t="s">
        <v>3548</v>
      </c>
      <c r="X1104" s="56" t="s">
        <v>3547</v>
      </c>
      <c r="Z1104" s="56" t="s">
        <v>3546</v>
      </c>
      <c r="AA1104" s="56" t="s">
        <v>5392</v>
      </c>
      <c r="AB1104" s="56" t="s">
        <v>5391</v>
      </c>
      <c r="AC1104" s="56" t="s">
        <v>3543</v>
      </c>
      <c r="AD1104" s="56" t="s">
        <v>24</v>
      </c>
      <c r="AE1104" s="56" t="s">
        <v>3862</v>
      </c>
      <c r="AF1104" s="56" t="s">
        <v>5390</v>
      </c>
      <c r="AH1104" s="56" t="s">
        <v>3542</v>
      </c>
      <c r="AI1104" s="56" t="s">
        <v>3723</v>
      </c>
    </row>
    <row r="1105" spans="1:35" ht="33" customHeight="1">
      <c r="A1105" s="56" t="s">
        <v>5388</v>
      </c>
      <c r="B1105" s="57">
        <v>44362.927800925929</v>
      </c>
      <c r="C1105" s="56" t="s">
        <v>3803</v>
      </c>
      <c r="D1105" s="56" t="s">
        <v>3802</v>
      </c>
      <c r="E1105" s="56" t="s">
        <v>5387</v>
      </c>
      <c r="F1105" s="56" t="s">
        <v>5386</v>
      </c>
      <c r="G1105" s="58" t="s">
        <v>5138</v>
      </c>
      <c r="H1105" s="56">
        <v>1</v>
      </c>
      <c r="I1105" s="56" t="s">
        <v>3746</v>
      </c>
      <c r="J1105" s="56">
        <v>660</v>
      </c>
      <c r="K1105" s="56">
        <v>450</v>
      </c>
      <c r="L1105" s="56">
        <v>3646</v>
      </c>
      <c r="M1105" s="56">
        <v>0</v>
      </c>
      <c r="N1105" s="56">
        <v>73</v>
      </c>
      <c r="O1105" s="56">
        <v>320</v>
      </c>
      <c r="P1105" s="56">
        <v>0</v>
      </c>
      <c r="Q1105" s="56">
        <v>3253</v>
      </c>
      <c r="R1105" s="56">
        <v>0</v>
      </c>
      <c r="S1105" s="56">
        <v>0</v>
      </c>
      <c r="T1105" s="56" t="s">
        <v>3562</v>
      </c>
      <c r="U1105" s="56">
        <v>3253</v>
      </c>
      <c r="V1105" s="56" t="s">
        <v>3561</v>
      </c>
      <c r="W1105" s="56" t="s">
        <v>3548</v>
      </c>
      <c r="X1105" s="56" t="s">
        <v>39</v>
      </c>
      <c r="Y1105" s="56" t="s">
        <v>5385</v>
      </c>
      <c r="Z1105" s="56" t="s">
        <v>5384</v>
      </c>
      <c r="AC1105" s="56" t="s">
        <v>3543</v>
      </c>
      <c r="AD1105" s="56" t="s">
        <v>24</v>
      </c>
      <c r="AE1105" s="56" t="s">
        <v>5367</v>
      </c>
      <c r="AF1105" s="56" t="s">
        <v>5383</v>
      </c>
      <c r="AH1105" s="56" t="s">
        <v>3542</v>
      </c>
      <c r="AI1105" s="56" t="s">
        <v>3723</v>
      </c>
    </row>
    <row r="1106" spans="1:35" ht="33" customHeight="1">
      <c r="A1106" s="56" t="s">
        <v>5388</v>
      </c>
      <c r="B1106" s="57">
        <v>44362.927800925929</v>
      </c>
      <c r="C1106" s="56" t="s">
        <v>3803</v>
      </c>
      <c r="D1106" s="56" t="s">
        <v>3802</v>
      </c>
      <c r="E1106" s="56" t="s">
        <v>5387</v>
      </c>
      <c r="F1106" s="56" t="s">
        <v>5386</v>
      </c>
      <c r="G1106" s="58" t="s">
        <v>3811</v>
      </c>
      <c r="H1106" s="56">
        <v>2</v>
      </c>
      <c r="I1106" s="56" t="s">
        <v>3669</v>
      </c>
      <c r="J1106" s="56">
        <v>897</v>
      </c>
      <c r="K1106" s="56">
        <v>888</v>
      </c>
      <c r="P1106" s="56">
        <v>0</v>
      </c>
      <c r="S1106" s="56">
        <v>0</v>
      </c>
      <c r="T1106" s="56" t="s">
        <v>3562</v>
      </c>
      <c r="V1106" s="56" t="s">
        <v>3561</v>
      </c>
      <c r="W1106" s="56" t="s">
        <v>3548</v>
      </c>
      <c r="X1106" s="56" t="s">
        <v>39</v>
      </c>
      <c r="Y1106" s="56" t="s">
        <v>5385</v>
      </c>
      <c r="Z1106" s="56" t="s">
        <v>5384</v>
      </c>
      <c r="AC1106" s="56" t="s">
        <v>3543</v>
      </c>
      <c r="AD1106" s="56" t="s">
        <v>24</v>
      </c>
      <c r="AE1106" s="56" t="s">
        <v>5367</v>
      </c>
      <c r="AF1106" s="56" t="s">
        <v>5383</v>
      </c>
      <c r="AH1106" s="56" t="s">
        <v>3542</v>
      </c>
      <c r="AI1106" s="56" t="s">
        <v>3723</v>
      </c>
    </row>
    <row r="1107" spans="1:35" ht="33" customHeight="1">
      <c r="A1107" s="56" t="s">
        <v>5388</v>
      </c>
      <c r="B1107" s="57">
        <v>44362.927800925929</v>
      </c>
      <c r="C1107" s="56" t="s">
        <v>3803</v>
      </c>
      <c r="D1107" s="56" t="s">
        <v>3802</v>
      </c>
      <c r="E1107" s="56" t="s">
        <v>5387</v>
      </c>
      <c r="F1107" s="56" t="s">
        <v>5386</v>
      </c>
      <c r="G1107" s="58" t="s">
        <v>5349</v>
      </c>
      <c r="H1107" s="56">
        <v>1</v>
      </c>
      <c r="I1107" s="56" t="s">
        <v>5335</v>
      </c>
      <c r="J1107" s="56">
        <v>547</v>
      </c>
      <c r="K1107" s="56">
        <v>460</v>
      </c>
      <c r="P1107" s="56">
        <v>0</v>
      </c>
      <c r="S1107" s="56">
        <v>0</v>
      </c>
      <c r="T1107" s="56" t="s">
        <v>3562</v>
      </c>
      <c r="V1107" s="56" t="s">
        <v>3561</v>
      </c>
      <c r="W1107" s="56" t="s">
        <v>3548</v>
      </c>
      <c r="X1107" s="56" t="s">
        <v>39</v>
      </c>
      <c r="Y1107" s="56" t="s">
        <v>5385</v>
      </c>
      <c r="Z1107" s="56" t="s">
        <v>5384</v>
      </c>
      <c r="AC1107" s="56" t="s">
        <v>3543</v>
      </c>
      <c r="AD1107" s="56" t="s">
        <v>24</v>
      </c>
      <c r="AE1107" s="56" t="s">
        <v>5367</v>
      </c>
      <c r="AF1107" s="56" t="s">
        <v>5383</v>
      </c>
      <c r="AH1107" s="56" t="s">
        <v>3542</v>
      </c>
      <c r="AI1107" s="56" t="s">
        <v>3723</v>
      </c>
    </row>
    <row r="1108" spans="1:35" ht="33" customHeight="1">
      <c r="A1108" s="56" t="s">
        <v>5388</v>
      </c>
      <c r="B1108" s="57">
        <v>44362.927800925929</v>
      </c>
      <c r="C1108" s="56" t="s">
        <v>3803</v>
      </c>
      <c r="D1108" s="56" t="s">
        <v>3802</v>
      </c>
      <c r="E1108" s="56" t="s">
        <v>5387</v>
      </c>
      <c r="F1108" s="56" t="s">
        <v>5386</v>
      </c>
      <c r="G1108" s="58" t="s">
        <v>5389</v>
      </c>
      <c r="H1108" s="56">
        <v>1</v>
      </c>
      <c r="I1108" s="56" t="s">
        <v>3753</v>
      </c>
      <c r="J1108" s="56">
        <v>997</v>
      </c>
      <c r="K1108" s="56">
        <v>960</v>
      </c>
      <c r="P1108" s="56">
        <v>0</v>
      </c>
      <c r="S1108" s="56">
        <v>0</v>
      </c>
      <c r="T1108" s="56" t="s">
        <v>3562</v>
      </c>
      <c r="V1108" s="56" t="s">
        <v>3561</v>
      </c>
      <c r="W1108" s="56" t="s">
        <v>3548</v>
      </c>
      <c r="X1108" s="56" t="s">
        <v>39</v>
      </c>
      <c r="Y1108" s="56" t="s">
        <v>5385</v>
      </c>
      <c r="Z1108" s="56" t="s">
        <v>5384</v>
      </c>
      <c r="AC1108" s="56" t="s">
        <v>3543</v>
      </c>
      <c r="AD1108" s="56" t="s">
        <v>24</v>
      </c>
      <c r="AE1108" s="56" t="s">
        <v>5367</v>
      </c>
      <c r="AF1108" s="56" t="s">
        <v>5383</v>
      </c>
      <c r="AH1108" s="56" t="s">
        <v>3542</v>
      </c>
      <c r="AI1108" s="56" t="s">
        <v>3723</v>
      </c>
    </row>
    <row r="1109" spans="1:35" ht="33" customHeight="1">
      <c r="A1109" s="56" t="s">
        <v>5388</v>
      </c>
      <c r="B1109" s="57">
        <v>44362.927800925929</v>
      </c>
      <c r="C1109" s="56" t="s">
        <v>3803</v>
      </c>
      <c r="D1109" s="56" t="s">
        <v>3802</v>
      </c>
      <c r="E1109" s="56" t="s">
        <v>5387</v>
      </c>
      <c r="F1109" s="56" t="s">
        <v>5386</v>
      </c>
      <c r="G1109" s="58" t="s">
        <v>3551</v>
      </c>
      <c r="H1109" s="56">
        <v>1</v>
      </c>
      <c r="I1109" s="56" t="s">
        <v>3550</v>
      </c>
      <c r="J1109" s="56">
        <v>0</v>
      </c>
      <c r="K1109" s="56">
        <v>0</v>
      </c>
      <c r="P1109" s="56">
        <v>0</v>
      </c>
      <c r="S1109" s="56">
        <v>0</v>
      </c>
      <c r="T1109" s="56" t="s">
        <v>3562</v>
      </c>
      <c r="V1109" s="56" t="s">
        <v>3561</v>
      </c>
      <c r="W1109" s="56" t="s">
        <v>3548</v>
      </c>
      <c r="X1109" s="56" t="s">
        <v>39</v>
      </c>
      <c r="Y1109" s="56" t="s">
        <v>5385</v>
      </c>
      <c r="Z1109" s="56" t="s">
        <v>5384</v>
      </c>
      <c r="AC1109" s="56" t="s">
        <v>3543</v>
      </c>
      <c r="AD1109" s="56" t="s">
        <v>24</v>
      </c>
      <c r="AE1109" s="56" t="s">
        <v>5367</v>
      </c>
      <c r="AF1109" s="56" t="s">
        <v>5383</v>
      </c>
      <c r="AH1109" s="56" t="s">
        <v>3542</v>
      </c>
      <c r="AI1109" s="56" t="s">
        <v>3723</v>
      </c>
    </row>
    <row r="1110" spans="1:35" ht="33" customHeight="1">
      <c r="A1110" s="56" t="s">
        <v>5388</v>
      </c>
      <c r="B1110" s="57">
        <v>44362.927800925929</v>
      </c>
      <c r="C1110" s="56" t="s">
        <v>3803</v>
      </c>
      <c r="D1110" s="56" t="s">
        <v>3802</v>
      </c>
      <c r="E1110" s="56" t="s">
        <v>5387</v>
      </c>
      <c r="F1110" s="56" t="s">
        <v>5386</v>
      </c>
      <c r="G1110" s="58" t="s">
        <v>1713</v>
      </c>
      <c r="H1110" s="56">
        <v>1</v>
      </c>
      <c r="I1110" s="56" t="s">
        <v>3568</v>
      </c>
      <c r="J1110" s="56">
        <v>0</v>
      </c>
      <c r="K1110" s="56">
        <v>0</v>
      </c>
      <c r="P1110" s="56">
        <v>0</v>
      </c>
      <c r="S1110" s="56">
        <v>0</v>
      </c>
      <c r="T1110" s="56" t="s">
        <v>3562</v>
      </c>
      <c r="V1110" s="56" t="s">
        <v>3561</v>
      </c>
      <c r="W1110" s="56" t="s">
        <v>3548</v>
      </c>
      <c r="X1110" s="56" t="s">
        <v>39</v>
      </c>
      <c r="Y1110" s="56" t="s">
        <v>5385</v>
      </c>
      <c r="Z1110" s="56" t="s">
        <v>5384</v>
      </c>
      <c r="AC1110" s="56" t="s">
        <v>3543</v>
      </c>
      <c r="AD1110" s="56" t="s">
        <v>24</v>
      </c>
      <c r="AE1110" s="56" t="s">
        <v>5367</v>
      </c>
      <c r="AF1110" s="56" t="s">
        <v>5383</v>
      </c>
      <c r="AH1110" s="56" t="s">
        <v>3542</v>
      </c>
      <c r="AI1110" s="56" t="s">
        <v>3723</v>
      </c>
    </row>
    <row r="1111" spans="1:35" ht="33" customHeight="1">
      <c r="A1111" s="56" t="s">
        <v>5388</v>
      </c>
      <c r="B1111" s="57">
        <v>44362.927800925929</v>
      </c>
      <c r="C1111" s="56" t="s">
        <v>3803</v>
      </c>
      <c r="D1111" s="56" t="s">
        <v>3802</v>
      </c>
      <c r="E1111" s="56" t="s">
        <v>5387</v>
      </c>
      <c r="F1111" s="56" t="s">
        <v>5386</v>
      </c>
      <c r="G1111" s="58" t="s">
        <v>1498</v>
      </c>
      <c r="H1111" s="56">
        <v>1</v>
      </c>
      <c r="I1111" s="56" t="s">
        <v>4016</v>
      </c>
      <c r="J1111" s="56">
        <v>0</v>
      </c>
      <c r="K1111" s="56">
        <v>0</v>
      </c>
      <c r="P1111" s="56">
        <v>0</v>
      </c>
      <c r="S1111" s="56">
        <v>0</v>
      </c>
      <c r="T1111" s="56" t="s">
        <v>3562</v>
      </c>
      <c r="V1111" s="56" t="s">
        <v>3561</v>
      </c>
      <c r="W1111" s="56" t="s">
        <v>3548</v>
      </c>
      <c r="X1111" s="56" t="s">
        <v>39</v>
      </c>
      <c r="Y1111" s="56" t="s">
        <v>5385</v>
      </c>
      <c r="Z1111" s="56" t="s">
        <v>5384</v>
      </c>
      <c r="AC1111" s="56" t="s">
        <v>3543</v>
      </c>
      <c r="AD1111" s="56" t="s">
        <v>24</v>
      </c>
      <c r="AE1111" s="56" t="s">
        <v>5367</v>
      </c>
      <c r="AF1111" s="56" t="s">
        <v>5383</v>
      </c>
      <c r="AH1111" s="56" t="s">
        <v>3542</v>
      </c>
      <c r="AI1111" s="56" t="s">
        <v>3723</v>
      </c>
    </row>
    <row r="1112" spans="1:35" ht="33" customHeight="1">
      <c r="A1112" s="56" t="s">
        <v>5388</v>
      </c>
      <c r="B1112" s="57">
        <v>44362.927800925929</v>
      </c>
      <c r="C1112" s="56" t="s">
        <v>3803</v>
      </c>
      <c r="D1112" s="56" t="s">
        <v>3802</v>
      </c>
      <c r="E1112" s="56" t="s">
        <v>5387</v>
      </c>
      <c r="F1112" s="56" t="s">
        <v>5386</v>
      </c>
      <c r="G1112" s="58" t="s">
        <v>3564</v>
      </c>
      <c r="H1112" s="56">
        <v>1</v>
      </c>
      <c r="I1112" s="56" t="s">
        <v>3563</v>
      </c>
      <c r="J1112" s="56">
        <v>0</v>
      </c>
      <c r="K1112" s="56">
        <v>0</v>
      </c>
      <c r="P1112" s="56">
        <v>0</v>
      </c>
      <c r="S1112" s="56">
        <v>0</v>
      </c>
      <c r="T1112" s="56" t="s">
        <v>3562</v>
      </c>
      <c r="V1112" s="56" t="s">
        <v>3561</v>
      </c>
      <c r="W1112" s="56" t="s">
        <v>3548</v>
      </c>
      <c r="X1112" s="56" t="s">
        <v>39</v>
      </c>
      <c r="Y1112" s="56" t="s">
        <v>5385</v>
      </c>
      <c r="Z1112" s="56" t="s">
        <v>5384</v>
      </c>
      <c r="AC1112" s="56" t="s">
        <v>3543</v>
      </c>
      <c r="AD1112" s="56" t="s">
        <v>24</v>
      </c>
      <c r="AE1112" s="56" t="s">
        <v>5367</v>
      </c>
      <c r="AF1112" s="56" t="s">
        <v>5383</v>
      </c>
      <c r="AH1112" s="56" t="s">
        <v>3542</v>
      </c>
      <c r="AI1112" s="56" t="s">
        <v>3723</v>
      </c>
    </row>
    <row r="1113" spans="1:35" ht="33" customHeight="1">
      <c r="A1113" s="56" t="s">
        <v>5381</v>
      </c>
      <c r="B1113" s="57">
        <v>44362.934942129628</v>
      </c>
      <c r="C1113" s="56" t="s">
        <v>3803</v>
      </c>
      <c r="D1113" s="56" t="s">
        <v>3802</v>
      </c>
      <c r="E1113" s="56" t="s">
        <v>5380</v>
      </c>
      <c r="F1113" s="56" t="s">
        <v>5379</v>
      </c>
      <c r="G1113" s="58" t="s">
        <v>5382</v>
      </c>
      <c r="H1113" s="56">
        <v>1</v>
      </c>
      <c r="I1113" s="56" t="s">
        <v>3655</v>
      </c>
      <c r="J1113" s="56">
        <v>1107</v>
      </c>
      <c r="K1113" s="56">
        <v>799</v>
      </c>
      <c r="L1113" s="56">
        <v>1098</v>
      </c>
      <c r="M1113" s="56">
        <v>0</v>
      </c>
      <c r="N1113" s="56">
        <v>0</v>
      </c>
      <c r="O1113" s="56">
        <v>100</v>
      </c>
      <c r="P1113" s="56">
        <v>0</v>
      </c>
      <c r="Q1113" s="56">
        <v>998</v>
      </c>
      <c r="R1113" s="56">
        <v>0</v>
      </c>
      <c r="S1113" s="56">
        <v>0</v>
      </c>
      <c r="T1113" s="56" t="s">
        <v>3562</v>
      </c>
      <c r="U1113" s="56">
        <v>998</v>
      </c>
      <c r="V1113" s="56" t="s">
        <v>59</v>
      </c>
      <c r="W1113" s="56" t="s">
        <v>3548</v>
      </c>
      <c r="X1113" s="56" t="s">
        <v>39</v>
      </c>
      <c r="Y1113" s="56" t="s">
        <v>3677</v>
      </c>
      <c r="Z1113" s="56" t="s">
        <v>5378</v>
      </c>
      <c r="AC1113" s="56" t="s">
        <v>3543</v>
      </c>
      <c r="AD1113" s="56" t="s">
        <v>24</v>
      </c>
      <c r="AE1113" s="56" t="s">
        <v>5127</v>
      </c>
      <c r="AF1113" s="56" t="s">
        <v>5377</v>
      </c>
      <c r="AH1113" s="56" t="s">
        <v>3542</v>
      </c>
      <c r="AI1113" s="56" t="s">
        <v>3723</v>
      </c>
    </row>
    <row r="1114" spans="1:35" ht="33" customHeight="1">
      <c r="A1114" s="56" t="s">
        <v>5381</v>
      </c>
      <c r="B1114" s="57">
        <v>44362.934942129628</v>
      </c>
      <c r="C1114" s="56" t="s">
        <v>3803</v>
      </c>
      <c r="D1114" s="56" t="s">
        <v>3802</v>
      </c>
      <c r="E1114" s="56" t="s">
        <v>5380</v>
      </c>
      <c r="F1114" s="56" t="s">
        <v>5379</v>
      </c>
      <c r="G1114" s="58" t="s">
        <v>1531</v>
      </c>
      <c r="H1114" s="56">
        <v>1</v>
      </c>
      <c r="I1114" s="56" t="s">
        <v>3696</v>
      </c>
      <c r="J1114" s="56">
        <v>299</v>
      </c>
      <c r="K1114" s="56">
        <v>299</v>
      </c>
      <c r="P1114" s="56">
        <v>0</v>
      </c>
      <c r="S1114" s="56">
        <v>0</v>
      </c>
      <c r="T1114" s="56" t="s">
        <v>3562</v>
      </c>
      <c r="V1114" s="56" t="s">
        <v>59</v>
      </c>
      <c r="W1114" s="56" t="s">
        <v>3548</v>
      </c>
      <c r="X1114" s="56" t="s">
        <v>39</v>
      </c>
      <c r="Y1114" s="56" t="s">
        <v>3677</v>
      </c>
      <c r="Z1114" s="56" t="s">
        <v>5378</v>
      </c>
      <c r="AC1114" s="56" t="s">
        <v>3543</v>
      </c>
      <c r="AD1114" s="56" t="s">
        <v>24</v>
      </c>
      <c r="AE1114" s="56" t="s">
        <v>5127</v>
      </c>
      <c r="AF1114" s="56" t="s">
        <v>5377</v>
      </c>
      <c r="AH1114" s="56" t="s">
        <v>3542</v>
      </c>
      <c r="AI1114" s="56" t="s">
        <v>3723</v>
      </c>
    </row>
    <row r="1115" spans="1:35" ht="33" customHeight="1">
      <c r="A1115" s="56" t="s">
        <v>5381</v>
      </c>
      <c r="B1115" s="57">
        <v>44362.934942129628</v>
      </c>
      <c r="C1115" s="56" t="s">
        <v>3803</v>
      </c>
      <c r="D1115" s="56" t="s">
        <v>3802</v>
      </c>
      <c r="E1115" s="56" t="s">
        <v>5380</v>
      </c>
      <c r="F1115" s="56" t="s">
        <v>5379</v>
      </c>
      <c r="G1115" s="58" t="s">
        <v>3551</v>
      </c>
      <c r="H1115" s="56">
        <v>1</v>
      </c>
      <c r="I1115" s="56" t="s">
        <v>3550</v>
      </c>
      <c r="J1115" s="56">
        <v>0</v>
      </c>
      <c r="K1115" s="56">
        <v>0</v>
      </c>
      <c r="P1115" s="56">
        <v>0</v>
      </c>
      <c r="S1115" s="56">
        <v>0</v>
      </c>
      <c r="T1115" s="56" t="s">
        <v>3562</v>
      </c>
      <c r="V1115" s="56" t="s">
        <v>59</v>
      </c>
      <c r="W1115" s="56" t="s">
        <v>3548</v>
      </c>
      <c r="X1115" s="56" t="s">
        <v>39</v>
      </c>
      <c r="Y1115" s="56" t="s">
        <v>3677</v>
      </c>
      <c r="Z1115" s="56" t="s">
        <v>5378</v>
      </c>
      <c r="AC1115" s="56" t="s">
        <v>3543</v>
      </c>
      <c r="AD1115" s="56" t="s">
        <v>24</v>
      </c>
      <c r="AE1115" s="56" t="s">
        <v>5127</v>
      </c>
      <c r="AF1115" s="56" t="s">
        <v>5377</v>
      </c>
      <c r="AH1115" s="56" t="s">
        <v>3542</v>
      </c>
      <c r="AI1115" s="56" t="s">
        <v>3723</v>
      </c>
    </row>
    <row r="1116" spans="1:35" ht="33" customHeight="1">
      <c r="A1116" s="56" t="s">
        <v>5381</v>
      </c>
      <c r="B1116" s="57">
        <v>44362.934942129628</v>
      </c>
      <c r="C1116" s="56" t="s">
        <v>3803</v>
      </c>
      <c r="D1116" s="56" t="s">
        <v>3802</v>
      </c>
      <c r="E1116" s="56" t="s">
        <v>5380</v>
      </c>
      <c r="F1116" s="56" t="s">
        <v>5379</v>
      </c>
      <c r="G1116" s="58" t="s">
        <v>1498</v>
      </c>
      <c r="H1116" s="56">
        <v>1</v>
      </c>
      <c r="I1116" s="56" t="s">
        <v>4016</v>
      </c>
      <c r="J1116" s="56">
        <v>0</v>
      </c>
      <c r="K1116" s="56">
        <v>0</v>
      </c>
      <c r="P1116" s="56">
        <v>0</v>
      </c>
      <c r="S1116" s="56">
        <v>0</v>
      </c>
      <c r="T1116" s="56" t="s">
        <v>3562</v>
      </c>
      <c r="V1116" s="56" t="s">
        <v>59</v>
      </c>
      <c r="W1116" s="56" t="s">
        <v>3548</v>
      </c>
      <c r="X1116" s="56" t="s">
        <v>39</v>
      </c>
      <c r="Y1116" s="56" t="s">
        <v>3677</v>
      </c>
      <c r="Z1116" s="56" t="s">
        <v>5378</v>
      </c>
      <c r="AC1116" s="56" t="s">
        <v>3543</v>
      </c>
      <c r="AD1116" s="56" t="s">
        <v>24</v>
      </c>
      <c r="AE1116" s="56" t="s">
        <v>5127</v>
      </c>
      <c r="AF1116" s="56" t="s">
        <v>5377</v>
      </c>
      <c r="AH1116" s="56" t="s">
        <v>3542</v>
      </c>
      <c r="AI1116" s="56" t="s">
        <v>3723</v>
      </c>
    </row>
    <row r="1117" spans="1:35" ht="33" customHeight="1">
      <c r="A1117" s="56" t="s">
        <v>5376</v>
      </c>
      <c r="B1117" s="57">
        <v>44362.945277777777</v>
      </c>
      <c r="C1117" s="56" t="s">
        <v>3803</v>
      </c>
      <c r="D1117" s="56" t="s">
        <v>4426</v>
      </c>
      <c r="E1117" s="56" t="s">
        <v>5375</v>
      </c>
      <c r="F1117" s="56" t="s">
        <v>5374</v>
      </c>
      <c r="G1117" s="58" t="s">
        <v>4654</v>
      </c>
      <c r="H1117" s="56">
        <v>1</v>
      </c>
      <c r="I1117" s="56" t="s">
        <v>3746</v>
      </c>
      <c r="J1117" s="56">
        <v>660</v>
      </c>
      <c r="K1117" s="56">
        <v>450</v>
      </c>
      <c r="L1117" s="56">
        <v>599</v>
      </c>
      <c r="M1117" s="56">
        <v>65</v>
      </c>
      <c r="N1117" s="56">
        <v>0</v>
      </c>
      <c r="O1117" s="56">
        <v>0</v>
      </c>
      <c r="P1117" s="56">
        <v>0</v>
      </c>
      <c r="Q1117" s="56">
        <v>664</v>
      </c>
      <c r="R1117" s="56">
        <v>0</v>
      </c>
      <c r="S1117" s="56">
        <v>0</v>
      </c>
      <c r="T1117" s="56" t="s">
        <v>27</v>
      </c>
      <c r="U1117" s="56">
        <v>664</v>
      </c>
      <c r="V1117" s="56" t="s">
        <v>3612</v>
      </c>
      <c r="W1117" s="56" t="s">
        <v>3548</v>
      </c>
      <c r="X1117" s="56" t="s">
        <v>3611</v>
      </c>
      <c r="Z1117" s="56" t="s">
        <v>3546</v>
      </c>
      <c r="AA1117" s="56" t="s">
        <v>5373</v>
      </c>
      <c r="AB1117" s="56" t="s">
        <v>5372</v>
      </c>
      <c r="AC1117" s="56" t="s">
        <v>3842</v>
      </c>
      <c r="AH1117" s="56" t="s">
        <v>3542</v>
      </c>
      <c r="AI1117" s="56" t="s">
        <v>3541</v>
      </c>
    </row>
    <row r="1118" spans="1:35" ht="33" customHeight="1">
      <c r="A1118" s="56" t="s">
        <v>5376</v>
      </c>
      <c r="B1118" s="57">
        <v>44362.945277777777</v>
      </c>
      <c r="C1118" s="56" t="s">
        <v>3803</v>
      </c>
      <c r="D1118" s="56" t="s">
        <v>4426</v>
      </c>
      <c r="E1118" s="56" t="s">
        <v>5375</v>
      </c>
      <c r="F1118" s="56" t="s">
        <v>5374</v>
      </c>
      <c r="G1118" s="58" t="s">
        <v>1713</v>
      </c>
      <c r="H1118" s="56">
        <v>1</v>
      </c>
      <c r="I1118" s="56" t="s">
        <v>3587</v>
      </c>
      <c r="J1118" s="56">
        <v>149</v>
      </c>
      <c r="K1118" s="56">
        <v>149</v>
      </c>
      <c r="P1118" s="56">
        <v>0</v>
      </c>
      <c r="S1118" s="56">
        <v>0</v>
      </c>
      <c r="T1118" s="56" t="s">
        <v>27</v>
      </c>
      <c r="V1118" s="56" t="s">
        <v>3612</v>
      </c>
      <c r="W1118" s="56" t="s">
        <v>3548</v>
      </c>
      <c r="X1118" s="56" t="s">
        <v>3611</v>
      </c>
      <c r="Z1118" s="56" t="s">
        <v>3546</v>
      </c>
      <c r="AA1118" s="56" t="s">
        <v>5373</v>
      </c>
      <c r="AB1118" s="56" t="s">
        <v>5372</v>
      </c>
      <c r="AC1118" s="56" t="s">
        <v>3842</v>
      </c>
      <c r="AH1118" s="56" t="s">
        <v>3542</v>
      </c>
      <c r="AI1118" s="56" t="s">
        <v>3541</v>
      </c>
    </row>
    <row r="1119" spans="1:35" ht="33" customHeight="1">
      <c r="A1119" s="56" t="s">
        <v>5376</v>
      </c>
      <c r="B1119" s="57">
        <v>44362.945277777777</v>
      </c>
      <c r="C1119" s="56" t="s">
        <v>3803</v>
      </c>
      <c r="D1119" s="56" t="s">
        <v>4426</v>
      </c>
      <c r="E1119" s="56" t="s">
        <v>5375</v>
      </c>
      <c r="F1119" s="56" t="s">
        <v>5374</v>
      </c>
      <c r="G1119" s="58" t="s">
        <v>3551</v>
      </c>
      <c r="H1119" s="56">
        <v>1</v>
      </c>
      <c r="I1119" s="56" t="s">
        <v>3550</v>
      </c>
      <c r="J1119" s="56">
        <v>0</v>
      </c>
      <c r="K1119" s="56">
        <v>0</v>
      </c>
      <c r="P1119" s="56">
        <v>0</v>
      </c>
      <c r="S1119" s="56">
        <v>0</v>
      </c>
      <c r="T1119" s="56" t="s">
        <v>27</v>
      </c>
      <c r="V1119" s="56" t="s">
        <v>3612</v>
      </c>
      <c r="W1119" s="56" t="s">
        <v>3548</v>
      </c>
      <c r="X1119" s="56" t="s">
        <v>3611</v>
      </c>
      <c r="Z1119" s="56" t="s">
        <v>3546</v>
      </c>
      <c r="AA1119" s="56" t="s">
        <v>5373</v>
      </c>
      <c r="AB1119" s="56" t="s">
        <v>5372</v>
      </c>
      <c r="AC1119" s="56" t="s">
        <v>3842</v>
      </c>
      <c r="AH1119" s="56" t="s">
        <v>3542</v>
      </c>
      <c r="AI1119" s="56" t="s">
        <v>3541</v>
      </c>
    </row>
    <row r="1120" spans="1:35" ht="33" customHeight="1">
      <c r="A1120" s="56" t="s">
        <v>5371</v>
      </c>
      <c r="B1120" s="57">
        <v>44362.955497685187</v>
      </c>
      <c r="C1120" s="56" t="s">
        <v>3803</v>
      </c>
      <c r="D1120" s="56" t="s">
        <v>3802</v>
      </c>
      <c r="E1120" s="56" t="s">
        <v>5370</v>
      </c>
      <c r="F1120" s="56" t="s">
        <v>5369</v>
      </c>
      <c r="G1120" s="58" t="s">
        <v>4953</v>
      </c>
      <c r="H1120" s="56">
        <v>1</v>
      </c>
      <c r="I1120" s="56" t="s">
        <v>3753</v>
      </c>
      <c r="J1120" s="56">
        <v>997</v>
      </c>
      <c r="K1120" s="56">
        <v>960</v>
      </c>
      <c r="L1120" s="56">
        <v>960</v>
      </c>
      <c r="M1120" s="56">
        <v>0</v>
      </c>
      <c r="N1120" s="56">
        <v>0</v>
      </c>
      <c r="O1120" s="56">
        <v>0</v>
      </c>
      <c r="P1120" s="56">
        <v>0</v>
      </c>
      <c r="Q1120" s="56">
        <v>960</v>
      </c>
      <c r="R1120" s="56">
        <v>0</v>
      </c>
      <c r="S1120" s="56">
        <v>0</v>
      </c>
      <c r="T1120" s="56" t="s">
        <v>3562</v>
      </c>
      <c r="U1120" s="56">
        <v>960</v>
      </c>
      <c r="V1120" s="56" t="s">
        <v>3561</v>
      </c>
      <c r="W1120" s="56" t="s">
        <v>3548</v>
      </c>
      <c r="X1120" s="56" t="s">
        <v>39</v>
      </c>
      <c r="Y1120" s="56" t="s">
        <v>4307</v>
      </c>
      <c r="Z1120" s="56" t="s">
        <v>5368</v>
      </c>
      <c r="AC1120" s="56" t="s">
        <v>3543</v>
      </c>
      <c r="AD1120" s="56" t="s">
        <v>24</v>
      </c>
      <c r="AE1120" s="56" t="s">
        <v>5367</v>
      </c>
      <c r="AF1120" s="56" t="s">
        <v>5366</v>
      </c>
      <c r="AH1120" s="56" t="s">
        <v>3542</v>
      </c>
      <c r="AI1120" s="56" t="s">
        <v>3723</v>
      </c>
    </row>
    <row r="1121" spans="1:35" ht="33" customHeight="1">
      <c r="A1121" s="56" t="s">
        <v>5371</v>
      </c>
      <c r="B1121" s="57">
        <v>44362.955497685187</v>
      </c>
      <c r="C1121" s="56" t="s">
        <v>3803</v>
      </c>
      <c r="D1121" s="56" t="s">
        <v>3802</v>
      </c>
      <c r="E1121" s="56" t="s">
        <v>5370</v>
      </c>
      <c r="F1121" s="56" t="s">
        <v>5369</v>
      </c>
      <c r="G1121" s="58" t="s">
        <v>3551</v>
      </c>
      <c r="H1121" s="56">
        <v>1</v>
      </c>
      <c r="I1121" s="56" t="s">
        <v>3550</v>
      </c>
      <c r="J1121" s="56">
        <v>0</v>
      </c>
      <c r="K1121" s="56">
        <v>0</v>
      </c>
      <c r="P1121" s="56">
        <v>0</v>
      </c>
      <c r="S1121" s="56">
        <v>0</v>
      </c>
      <c r="T1121" s="56" t="s">
        <v>3562</v>
      </c>
      <c r="V1121" s="56" t="s">
        <v>3561</v>
      </c>
      <c r="W1121" s="56" t="s">
        <v>3548</v>
      </c>
      <c r="X1121" s="56" t="s">
        <v>39</v>
      </c>
      <c r="Y1121" s="56" t="s">
        <v>4307</v>
      </c>
      <c r="Z1121" s="56" t="s">
        <v>5368</v>
      </c>
      <c r="AC1121" s="56" t="s">
        <v>3543</v>
      </c>
      <c r="AD1121" s="56" t="s">
        <v>24</v>
      </c>
      <c r="AE1121" s="56" t="s">
        <v>5367</v>
      </c>
      <c r="AF1121" s="56" t="s">
        <v>5366</v>
      </c>
      <c r="AH1121" s="56" t="s">
        <v>3542</v>
      </c>
      <c r="AI1121" s="56" t="s">
        <v>3723</v>
      </c>
    </row>
    <row r="1122" spans="1:35" ht="33" customHeight="1">
      <c r="A1122" s="56" t="s">
        <v>5371</v>
      </c>
      <c r="B1122" s="57">
        <v>44362.955497685187</v>
      </c>
      <c r="C1122" s="56" t="s">
        <v>3803</v>
      </c>
      <c r="D1122" s="56" t="s">
        <v>3802</v>
      </c>
      <c r="E1122" s="56" t="s">
        <v>5370</v>
      </c>
      <c r="F1122" s="56" t="s">
        <v>5369</v>
      </c>
      <c r="G1122" s="58" t="s">
        <v>1498</v>
      </c>
      <c r="H1122" s="56">
        <v>1</v>
      </c>
      <c r="I1122" s="56" t="s">
        <v>4016</v>
      </c>
      <c r="J1122" s="56">
        <v>0</v>
      </c>
      <c r="K1122" s="56">
        <v>0</v>
      </c>
      <c r="P1122" s="56">
        <v>0</v>
      </c>
      <c r="S1122" s="56">
        <v>0</v>
      </c>
      <c r="T1122" s="56" t="s">
        <v>3562</v>
      </c>
      <c r="V1122" s="56" t="s">
        <v>3561</v>
      </c>
      <c r="W1122" s="56" t="s">
        <v>3548</v>
      </c>
      <c r="X1122" s="56" t="s">
        <v>39</v>
      </c>
      <c r="Y1122" s="56" t="s">
        <v>4307</v>
      </c>
      <c r="Z1122" s="56" t="s">
        <v>5368</v>
      </c>
      <c r="AC1122" s="56" t="s">
        <v>3543</v>
      </c>
      <c r="AD1122" s="56" t="s">
        <v>24</v>
      </c>
      <c r="AE1122" s="56" t="s">
        <v>5367</v>
      </c>
      <c r="AF1122" s="56" t="s">
        <v>5366</v>
      </c>
      <c r="AH1122" s="56" t="s">
        <v>3542</v>
      </c>
      <c r="AI1122" s="56" t="s">
        <v>3723</v>
      </c>
    </row>
    <row r="1123" spans="1:35" ht="33" customHeight="1">
      <c r="A1123" s="56" t="s">
        <v>5364</v>
      </c>
      <c r="B1123" s="57">
        <v>44363.082361111112</v>
      </c>
      <c r="C1123" s="56" t="s">
        <v>3803</v>
      </c>
      <c r="D1123" s="56" t="s">
        <v>4426</v>
      </c>
      <c r="E1123" s="56" t="s">
        <v>5363</v>
      </c>
      <c r="F1123" s="56" t="s">
        <v>5362</v>
      </c>
      <c r="G1123" s="58" t="s">
        <v>4490</v>
      </c>
      <c r="H1123" s="56">
        <v>1</v>
      </c>
      <c r="I1123" s="56" t="s">
        <v>3577</v>
      </c>
      <c r="J1123" s="56">
        <v>700</v>
      </c>
      <c r="K1123" s="56">
        <v>599</v>
      </c>
      <c r="L1123" s="56">
        <v>2263</v>
      </c>
      <c r="M1123" s="56">
        <v>0</v>
      </c>
      <c r="N1123" s="56">
        <v>35</v>
      </c>
      <c r="O1123" s="56">
        <v>223</v>
      </c>
      <c r="P1123" s="56">
        <v>0</v>
      </c>
      <c r="Q1123" s="56">
        <v>2005</v>
      </c>
      <c r="R1123" s="56">
        <v>0</v>
      </c>
      <c r="S1123" s="56">
        <v>0</v>
      </c>
      <c r="T1123" s="56" t="s">
        <v>27</v>
      </c>
      <c r="U1123" s="56">
        <v>2005</v>
      </c>
      <c r="V1123" s="56" t="s">
        <v>3612</v>
      </c>
      <c r="W1123" s="56" t="s">
        <v>3548</v>
      </c>
      <c r="X1123" s="56" t="s">
        <v>3611</v>
      </c>
      <c r="Z1123" s="56" t="s">
        <v>3546</v>
      </c>
      <c r="AA1123" s="56" t="s">
        <v>5361</v>
      </c>
      <c r="AB1123" s="56" t="s">
        <v>5360</v>
      </c>
      <c r="AC1123" s="56" t="s">
        <v>3543</v>
      </c>
      <c r="AH1123" s="56" t="s">
        <v>3542</v>
      </c>
      <c r="AI1123" s="56" t="s">
        <v>3541</v>
      </c>
    </row>
    <row r="1124" spans="1:35" ht="33" customHeight="1">
      <c r="A1124" s="56" t="s">
        <v>5364</v>
      </c>
      <c r="B1124" s="57">
        <v>44363.082361111112</v>
      </c>
      <c r="C1124" s="56" t="s">
        <v>3803</v>
      </c>
      <c r="D1124" s="56" t="s">
        <v>4426</v>
      </c>
      <c r="E1124" s="56" t="s">
        <v>5363</v>
      </c>
      <c r="F1124" s="56" t="s">
        <v>5362</v>
      </c>
      <c r="G1124" s="58" t="s">
        <v>5365</v>
      </c>
      <c r="H1124" s="56">
        <v>1</v>
      </c>
      <c r="I1124" s="56" t="s">
        <v>3669</v>
      </c>
      <c r="J1124" s="56">
        <v>897</v>
      </c>
      <c r="K1124" s="56">
        <v>888</v>
      </c>
      <c r="P1124" s="56">
        <v>0</v>
      </c>
      <c r="S1124" s="56">
        <v>0</v>
      </c>
      <c r="T1124" s="56" t="s">
        <v>27</v>
      </c>
      <c r="V1124" s="56" t="s">
        <v>3612</v>
      </c>
      <c r="W1124" s="56" t="s">
        <v>3548</v>
      </c>
      <c r="X1124" s="56" t="s">
        <v>3611</v>
      </c>
      <c r="Z1124" s="56" t="s">
        <v>3546</v>
      </c>
      <c r="AA1124" s="56" t="s">
        <v>5361</v>
      </c>
      <c r="AB1124" s="56" t="s">
        <v>5360</v>
      </c>
      <c r="AC1124" s="56" t="s">
        <v>3543</v>
      </c>
      <c r="AH1124" s="56" t="s">
        <v>3542</v>
      </c>
      <c r="AI1124" s="56" t="s">
        <v>3541</v>
      </c>
    </row>
    <row r="1125" spans="1:35" ht="33" customHeight="1">
      <c r="A1125" s="56" t="s">
        <v>5364</v>
      </c>
      <c r="B1125" s="57">
        <v>44363.082361111112</v>
      </c>
      <c r="C1125" s="56" t="s">
        <v>3803</v>
      </c>
      <c r="D1125" s="56" t="s">
        <v>4426</v>
      </c>
      <c r="E1125" s="56" t="s">
        <v>5363</v>
      </c>
      <c r="F1125" s="56" t="s">
        <v>5362</v>
      </c>
      <c r="G1125" s="58" t="s">
        <v>2161</v>
      </c>
      <c r="H1125" s="56">
        <v>2</v>
      </c>
      <c r="I1125" s="56" t="s">
        <v>3694</v>
      </c>
      <c r="J1125" s="56">
        <v>128</v>
      </c>
      <c r="K1125" s="56">
        <v>128</v>
      </c>
      <c r="P1125" s="56">
        <v>0</v>
      </c>
      <c r="S1125" s="56">
        <v>0</v>
      </c>
      <c r="T1125" s="56" t="s">
        <v>27</v>
      </c>
      <c r="V1125" s="56" t="s">
        <v>3612</v>
      </c>
      <c r="W1125" s="56" t="s">
        <v>3548</v>
      </c>
      <c r="X1125" s="56" t="s">
        <v>3611</v>
      </c>
      <c r="Z1125" s="56" t="s">
        <v>3546</v>
      </c>
      <c r="AA1125" s="56" t="s">
        <v>5361</v>
      </c>
      <c r="AB1125" s="56" t="s">
        <v>5360</v>
      </c>
      <c r="AC1125" s="56" t="s">
        <v>3543</v>
      </c>
      <c r="AH1125" s="56" t="s">
        <v>3542</v>
      </c>
      <c r="AI1125" s="56" t="s">
        <v>3541</v>
      </c>
    </row>
    <row r="1126" spans="1:35" ht="33" customHeight="1">
      <c r="A1126" s="56" t="s">
        <v>5364</v>
      </c>
      <c r="B1126" s="57">
        <v>44363.082361111112</v>
      </c>
      <c r="C1126" s="56" t="s">
        <v>3803</v>
      </c>
      <c r="D1126" s="56" t="s">
        <v>4426</v>
      </c>
      <c r="E1126" s="56" t="s">
        <v>5363</v>
      </c>
      <c r="F1126" s="56" t="s">
        <v>5362</v>
      </c>
      <c r="G1126" s="58" t="s">
        <v>3299</v>
      </c>
      <c r="H1126" s="56">
        <v>2</v>
      </c>
      <c r="I1126" s="56" t="s">
        <v>3576</v>
      </c>
      <c r="J1126" s="56">
        <v>260</v>
      </c>
      <c r="K1126" s="56">
        <v>260</v>
      </c>
      <c r="P1126" s="56">
        <v>0</v>
      </c>
      <c r="S1126" s="56">
        <v>0</v>
      </c>
      <c r="T1126" s="56" t="s">
        <v>27</v>
      </c>
      <c r="V1126" s="56" t="s">
        <v>3612</v>
      </c>
      <c r="W1126" s="56" t="s">
        <v>3548</v>
      </c>
      <c r="X1126" s="56" t="s">
        <v>3611</v>
      </c>
      <c r="Z1126" s="56" t="s">
        <v>3546</v>
      </c>
      <c r="AA1126" s="56" t="s">
        <v>5361</v>
      </c>
      <c r="AB1126" s="56" t="s">
        <v>5360</v>
      </c>
      <c r="AC1126" s="56" t="s">
        <v>3543</v>
      </c>
      <c r="AH1126" s="56" t="s">
        <v>3542</v>
      </c>
      <c r="AI1126" s="56" t="s">
        <v>3541</v>
      </c>
    </row>
    <row r="1127" spans="1:35" ht="33" customHeight="1">
      <c r="A1127" s="56" t="s">
        <v>5364</v>
      </c>
      <c r="B1127" s="57">
        <v>44363.082361111112</v>
      </c>
      <c r="C1127" s="56" t="s">
        <v>3803</v>
      </c>
      <c r="D1127" s="56" t="s">
        <v>4426</v>
      </c>
      <c r="E1127" s="56" t="s">
        <v>5363</v>
      </c>
      <c r="F1127" s="56" t="s">
        <v>5362</v>
      </c>
      <c r="G1127" s="58" t="s">
        <v>3551</v>
      </c>
      <c r="H1127" s="56">
        <v>1</v>
      </c>
      <c r="I1127" s="56" t="s">
        <v>3550</v>
      </c>
      <c r="J1127" s="56">
        <v>0</v>
      </c>
      <c r="K1127" s="56">
        <v>0</v>
      </c>
      <c r="P1127" s="56">
        <v>0</v>
      </c>
      <c r="S1127" s="56">
        <v>0</v>
      </c>
      <c r="T1127" s="56" t="s">
        <v>27</v>
      </c>
      <c r="V1127" s="56" t="s">
        <v>3612</v>
      </c>
      <c r="W1127" s="56" t="s">
        <v>3548</v>
      </c>
      <c r="X1127" s="56" t="s">
        <v>3611</v>
      </c>
      <c r="Z1127" s="56" t="s">
        <v>3546</v>
      </c>
      <c r="AA1127" s="56" t="s">
        <v>5361</v>
      </c>
      <c r="AB1127" s="56" t="s">
        <v>5360</v>
      </c>
      <c r="AC1127" s="56" t="s">
        <v>3543</v>
      </c>
      <c r="AH1127" s="56" t="s">
        <v>3542</v>
      </c>
      <c r="AI1127" s="56" t="s">
        <v>3541</v>
      </c>
    </row>
    <row r="1128" spans="1:35" ht="33" customHeight="1">
      <c r="A1128" s="56" t="s">
        <v>5364</v>
      </c>
      <c r="B1128" s="57">
        <v>44363.082361111112</v>
      </c>
      <c r="C1128" s="56" t="s">
        <v>3803</v>
      </c>
      <c r="D1128" s="56" t="s">
        <v>4426</v>
      </c>
      <c r="E1128" s="56" t="s">
        <v>5363</v>
      </c>
      <c r="F1128" s="56" t="s">
        <v>5362</v>
      </c>
      <c r="G1128" s="58" t="s">
        <v>1713</v>
      </c>
      <c r="H1128" s="56">
        <v>1</v>
      </c>
      <c r="I1128" s="56" t="s">
        <v>3568</v>
      </c>
      <c r="J1128" s="56">
        <v>0</v>
      </c>
      <c r="K1128" s="56">
        <v>0</v>
      </c>
      <c r="P1128" s="56">
        <v>0</v>
      </c>
      <c r="S1128" s="56">
        <v>0</v>
      </c>
      <c r="T1128" s="56" t="s">
        <v>27</v>
      </c>
      <c r="V1128" s="56" t="s">
        <v>3612</v>
      </c>
      <c r="W1128" s="56" t="s">
        <v>3548</v>
      </c>
      <c r="X1128" s="56" t="s">
        <v>3611</v>
      </c>
      <c r="Z1128" s="56" t="s">
        <v>3546</v>
      </c>
      <c r="AA1128" s="56" t="s">
        <v>5361</v>
      </c>
      <c r="AB1128" s="56" t="s">
        <v>5360</v>
      </c>
      <c r="AC1128" s="56" t="s">
        <v>3543</v>
      </c>
      <c r="AH1128" s="56" t="s">
        <v>3542</v>
      </c>
      <c r="AI1128" s="56" t="s">
        <v>3541</v>
      </c>
    </row>
    <row r="1129" spans="1:35" ht="33" customHeight="1">
      <c r="A1129" s="56" t="s">
        <v>5364</v>
      </c>
      <c r="B1129" s="57">
        <v>44363.082361111112</v>
      </c>
      <c r="C1129" s="56" t="s">
        <v>3803</v>
      </c>
      <c r="D1129" s="56" t="s">
        <v>4426</v>
      </c>
      <c r="E1129" s="56" t="s">
        <v>5363</v>
      </c>
      <c r="F1129" s="56" t="s">
        <v>5362</v>
      </c>
      <c r="G1129" s="58" t="s">
        <v>1498</v>
      </c>
      <c r="H1129" s="56">
        <v>1</v>
      </c>
      <c r="I1129" s="56" t="s">
        <v>4016</v>
      </c>
      <c r="J1129" s="56">
        <v>0</v>
      </c>
      <c r="K1129" s="56">
        <v>0</v>
      </c>
      <c r="P1129" s="56">
        <v>0</v>
      </c>
      <c r="S1129" s="56">
        <v>0</v>
      </c>
      <c r="T1129" s="56" t="s">
        <v>27</v>
      </c>
      <c r="V1129" s="56" t="s">
        <v>3612</v>
      </c>
      <c r="W1129" s="56" t="s">
        <v>3548</v>
      </c>
      <c r="X1129" s="56" t="s">
        <v>3611</v>
      </c>
      <c r="Z1129" s="56" t="s">
        <v>3546</v>
      </c>
      <c r="AA1129" s="56" t="s">
        <v>5361</v>
      </c>
      <c r="AB1129" s="56" t="s">
        <v>5360</v>
      </c>
      <c r="AC1129" s="56" t="s">
        <v>3543</v>
      </c>
      <c r="AH1129" s="56" t="s">
        <v>3542</v>
      </c>
      <c r="AI1129" s="56" t="s">
        <v>3541</v>
      </c>
    </row>
    <row r="1130" spans="1:35" ht="33" customHeight="1">
      <c r="A1130" s="56" t="s">
        <v>5364</v>
      </c>
      <c r="B1130" s="57">
        <v>44363.082361111112</v>
      </c>
      <c r="C1130" s="56" t="s">
        <v>3803</v>
      </c>
      <c r="D1130" s="56" t="s">
        <v>4426</v>
      </c>
      <c r="E1130" s="56" t="s">
        <v>5363</v>
      </c>
      <c r="F1130" s="56" t="s">
        <v>5362</v>
      </c>
      <c r="G1130" s="58" t="s">
        <v>3564</v>
      </c>
      <c r="H1130" s="56">
        <v>1</v>
      </c>
      <c r="I1130" s="56" t="s">
        <v>3563</v>
      </c>
      <c r="J1130" s="56">
        <v>0</v>
      </c>
      <c r="K1130" s="56">
        <v>0</v>
      </c>
      <c r="P1130" s="56">
        <v>0</v>
      </c>
      <c r="S1130" s="56">
        <v>0</v>
      </c>
      <c r="T1130" s="56" t="s">
        <v>27</v>
      </c>
      <c r="V1130" s="56" t="s">
        <v>3612</v>
      </c>
      <c r="W1130" s="56" t="s">
        <v>3548</v>
      </c>
      <c r="X1130" s="56" t="s">
        <v>3611</v>
      </c>
      <c r="Z1130" s="56" t="s">
        <v>3546</v>
      </c>
      <c r="AA1130" s="56" t="s">
        <v>5361</v>
      </c>
      <c r="AB1130" s="56" t="s">
        <v>5360</v>
      </c>
      <c r="AC1130" s="56" t="s">
        <v>3543</v>
      </c>
      <c r="AH1130" s="56" t="s">
        <v>3542</v>
      </c>
      <c r="AI1130" s="56" t="s">
        <v>3541</v>
      </c>
    </row>
    <row r="1131" spans="1:35" ht="33" customHeight="1">
      <c r="A1131" s="56" t="s">
        <v>5359</v>
      </c>
      <c r="B1131" s="57">
        <v>44363.106979166667</v>
      </c>
      <c r="C1131" s="56" t="s">
        <v>3803</v>
      </c>
      <c r="D1131" s="56" t="s">
        <v>4426</v>
      </c>
      <c r="E1131" s="56" t="s">
        <v>5358</v>
      </c>
      <c r="F1131" s="56" t="s">
        <v>5357</v>
      </c>
      <c r="G1131" s="58" t="s">
        <v>3681</v>
      </c>
      <c r="H1131" s="56">
        <v>2</v>
      </c>
      <c r="I1131" s="56" t="s">
        <v>3569</v>
      </c>
      <c r="J1131" s="56">
        <v>894</v>
      </c>
      <c r="K1131" s="56">
        <v>750</v>
      </c>
      <c r="L1131" s="56">
        <v>1618</v>
      </c>
      <c r="M1131" s="56">
        <v>0</v>
      </c>
      <c r="N1131" s="56">
        <v>0</v>
      </c>
      <c r="O1131" s="56">
        <v>100</v>
      </c>
      <c r="P1131" s="56">
        <v>0</v>
      </c>
      <c r="Q1131" s="56">
        <v>1518</v>
      </c>
      <c r="R1131" s="56">
        <v>0</v>
      </c>
      <c r="S1131" s="56">
        <v>0</v>
      </c>
      <c r="T1131" s="56" t="s">
        <v>27</v>
      </c>
      <c r="U1131" s="56">
        <v>1518</v>
      </c>
      <c r="V1131" s="56" t="s">
        <v>3549</v>
      </c>
      <c r="W1131" s="56" t="s">
        <v>3548</v>
      </c>
      <c r="X1131" s="56" t="s">
        <v>3547</v>
      </c>
      <c r="Z1131" s="56" t="s">
        <v>3546</v>
      </c>
      <c r="AA1131" s="56" t="s">
        <v>5356</v>
      </c>
      <c r="AB1131" s="56" t="s">
        <v>5355</v>
      </c>
      <c r="AC1131" s="56" t="s">
        <v>3543</v>
      </c>
      <c r="AH1131" s="56" t="s">
        <v>3542</v>
      </c>
      <c r="AI1131" s="56" t="s">
        <v>3541</v>
      </c>
    </row>
    <row r="1132" spans="1:35" ht="33" customHeight="1">
      <c r="A1132" s="56" t="s">
        <v>5359</v>
      </c>
      <c r="B1132" s="57">
        <v>44363.106979166667</v>
      </c>
      <c r="C1132" s="56" t="s">
        <v>3803</v>
      </c>
      <c r="D1132" s="56" t="s">
        <v>4426</v>
      </c>
      <c r="E1132" s="56" t="s">
        <v>5358</v>
      </c>
      <c r="F1132" s="56" t="s">
        <v>5357</v>
      </c>
      <c r="G1132" s="58" t="s">
        <v>3219</v>
      </c>
      <c r="H1132" s="56">
        <v>2</v>
      </c>
      <c r="I1132" s="56" t="s">
        <v>3595</v>
      </c>
      <c r="J1132" s="56">
        <v>59</v>
      </c>
      <c r="K1132" s="56">
        <v>59</v>
      </c>
      <c r="P1132" s="56">
        <v>0</v>
      </c>
      <c r="S1132" s="56">
        <v>0</v>
      </c>
      <c r="T1132" s="56" t="s">
        <v>27</v>
      </c>
      <c r="V1132" s="56" t="s">
        <v>3549</v>
      </c>
      <c r="W1132" s="56" t="s">
        <v>3548</v>
      </c>
      <c r="X1132" s="56" t="s">
        <v>3547</v>
      </c>
      <c r="Z1132" s="56" t="s">
        <v>3546</v>
      </c>
      <c r="AA1132" s="56" t="s">
        <v>5356</v>
      </c>
      <c r="AB1132" s="56" t="s">
        <v>5355</v>
      </c>
      <c r="AC1132" s="56" t="s">
        <v>3543</v>
      </c>
      <c r="AH1132" s="56" t="s">
        <v>3542</v>
      </c>
      <c r="AI1132" s="56" t="s">
        <v>3541</v>
      </c>
    </row>
    <row r="1133" spans="1:35" ht="33" customHeight="1">
      <c r="A1133" s="56" t="s">
        <v>5359</v>
      </c>
      <c r="B1133" s="57">
        <v>44363.106979166667</v>
      </c>
      <c r="C1133" s="56" t="s">
        <v>3803</v>
      </c>
      <c r="D1133" s="56" t="s">
        <v>4426</v>
      </c>
      <c r="E1133" s="56" t="s">
        <v>5358</v>
      </c>
      <c r="F1133" s="56" t="s">
        <v>5357</v>
      </c>
      <c r="G1133" s="58" t="s">
        <v>3551</v>
      </c>
      <c r="H1133" s="56">
        <v>1</v>
      </c>
      <c r="I1133" s="56" t="s">
        <v>3550</v>
      </c>
      <c r="J1133" s="56">
        <v>0</v>
      </c>
      <c r="K1133" s="56">
        <v>0</v>
      </c>
      <c r="P1133" s="56">
        <v>0</v>
      </c>
      <c r="S1133" s="56">
        <v>0</v>
      </c>
      <c r="T1133" s="56" t="s">
        <v>27</v>
      </c>
      <c r="V1133" s="56" t="s">
        <v>3549</v>
      </c>
      <c r="W1133" s="56" t="s">
        <v>3548</v>
      </c>
      <c r="X1133" s="56" t="s">
        <v>3547</v>
      </c>
      <c r="Z1133" s="56" t="s">
        <v>3546</v>
      </c>
      <c r="AA1133" s="56" t="s">
        <v>5356</v>
      </c>
      <c r="AB1133" s="56" t="s">
        <v>5355</v>
      </c>
      <c r="AC1133" s="56" t="s">
        <v>3543</v>
      </c>
      <c r="AH1133" s="56" t="s">
        <v>3542</v>
      </c>
      <c r="AI1133" s="56" t="s">
        <v>3541</v>
      </c>
    </row>
    <row r="1134" spans="1:35" ht="33" customHeight="1">
      <c r="A1134" s="56" t="s">
        <v>5359</v>
      </c>
      <c r="B1134" s="57">
        <v>44363.106979166667</v>
      </c>
      <c r="C1134" s="56" t="s">
        <v>3803</v>
      </c>
      <c r="D1134" s="56" t="s">
        <v>4426</v>
      </c>
      <c r="E1134" s="56" t="s">
        <v>5358</v>
      </c>
      <c r="F1134" s="56" t="s">
        <v>5357</v>
      </c>
      <c r="G1134" s="58" t="s">
        <v>1713</v>
      </c>
      <c r="H1134" s="56">
        <v>1</v>
      </c>
      <c r="I1134" s="56" t="s">
        <v>3568</v>
      </c>
      <c r="J1134" s="56">
        <v>0</v>
      </c>
      <c r="K1134" s="56">
        <v>0</v>
      </c>
      <c r="P1134" s="56">
        <v>0</v>
      </c>
      <c r="S1134" s="56">
        <v>0</v>
      </c>
      <c r="T1134" s="56" t="s">
        <v>27</v>
      </c>
      <c r="V1134" s="56" t="s">
        <v>3549</v>
      </c>
      <c r="W1134" s="56" t="s">
        <v>3548</v>
      </c>
      <c r="X1134" s="56" t="s">
        <v>3547</v>
      </c>
      <c r="Z1134" s="56" t="s">
        <v>3546</v>
      </c>
      <c r="AA1134" s="56" t="s">
        <v>5356</v>
      </c>
      <c r="AB1134" s="56" t="s">
        <v>5355</v>
      </c>
      <c r="AC1134" s="56" t="s">
        <v>3543</v>
      </c>
      <c r="AH1134" s="56" t="s">
        <v>3542</v>
      </c>
      <c r="AI1134" s="56" t="s">
        <v>3541</v>
      </c>
    </row>
    <row r="1135" spans="1:35" ht="33" customHeight="1">
      <c r="A1135" s="56" t="s">
        <v>5359</v>
      </c>
      <c r="B1135" s="57">
        <v>44363.106979166667</v>
      </c>
      <c r="C1135" s="56" t="s">
        <v>3803</v>
      </c>
      <c r="D1135" s="56" t="s">
        <v>4426</v>
      </c>
      <c r="E1135" s="56" t="s">
        <v>5358</v>
      </c>
      <c r="F1135" s="56" t="s">
        <v>5357</v>
      </c>
      <c r="G1135" s="58" t="s">
        <v>1498</v>
      </c>
      <c r="H1135" s="56">
        <v>1</v>
      </c>
      <c r="I1135" s="56" t="s">
        <v>4016</v>
      </c>
      <c r="J1135" s="56">
        <v>0</v>
      </c>
      <c r="K1135" s="56">
        <v>0</v>
      </c>
      <c r="P1135" s="56">
        <v>0</v>
      </c>
      <c r="S1135" s="56">
        <v>0</v>
      </c>
      <c r="T1135" s="56" t="s">
        <v>27</v>
      </c>
      <c r="V1135" s="56" t="s">
        <v>3549</v>
      </c>
      <c r="W1135" s="56" t="s">
        <v>3548</v>
      </c>
      <c r="X1135" s="56" t="s">
        <v>3547</v>
      </c>
      <c r="Z1135" s="56" t="s">
        <v>3546</v>
      </c>
      <c r="AA1135" s="56" t="s">
        <v>5356</v>
      </c>
      <c r="AB1135" s="56" t="s">
        <v>5355</v>
      </c>
      <c r="AC1135" s="56" t="s">
        <v>3543</v>
      </c>
      <c r="AH1135" s="56" t="s">
        <v>3542</v>
      </c>
      <c r="AI1135" s="56" t="s">
        <v>3541</v>
      </c>
    </row>
    <row r="1136" spans="1:35" ht="33" customHeight="1">
      <c r="A1136" s="56" t="s">
        <v>5354</v>
      </c>
      <c r="B1136" s="57">
        <v>44363.118078703701</v>
      </c>
      <c r="C1136" s="56" t="s">
        <v>3803</v>
      </c>
      <c r="D1136" s="56" t="s">
        <v>3802</v>
      </c>
      <c r="E1136" s="56" t="s">
        <v>5353</v>
      </c>
      <c r="F1136" s="56" t="s">
        <v>5352</v>
      </c>
      <c r="G1136" s="58" t="s">
        <v>4535</v>
      </c>
      <c r="H1136" s="56">
        <v>1</v>
      </c>
      <c r="I1136" s="56" t="s">
        <v>3669</v>
      </c>
      <c r="J1136" s="56">
        <v>897</v>
      </c>
      <c r="K1136" s="56">
        <v>888</v>
      </c>
      <c r="L1136" s="56">
        <v>1188</v>
      </c>
      <c r="M1136" s="56">
        <v>0</v>
      </c>
      <c r="N1136" s="56">
        <v>0</v>
      </c>
      <c r="O1136" s="56">
        <v>119</v>
      </c>
      <c r="P1136" s="56">
        <v>0</v>
      </c>
      <c r="Q1136" s="56">
        <v>1069</v>
      </c>
      <c r="R1136" s="56">
        <v>0</v>
      </c>
      <c r="S1136" s="56">
        <v>0</v>
      </c>
      <c r="T1136" s="56" t="s">
        <v>3562</v>
      </c>
      <c r="U1136" s="56">
        <v>1069</v>
      </c>
      <c r="V1136" s="56" t="s">
        <v>3561</v>
      </c>
      <c r="W1136" s="56" t="s">
        <v>3548</v>
      </c>
      <c r="X1136" s="56" t="s">
        <v>39</v>
      </c>
      <c r="Y1136" s="56" t="s">
        <v>3629</v>
      </c>
      <c r="Z1136" s="56" t="s">
        <v>5351</v>
      </c>
      <c r="AC1136" s="56" t="s">
        <v>3543</v>
      </c>
      <c r="AD1136" s="56" t="s">
        <v>24</v>
      </c>
      <c r="AE1136" s="56" t="s">
        <v>5127</v>
      </c>
      <c r="AF1136" s="56" t="s">
        <v>5350</v>
      </c>
      <c r="AH1136" s="56" t="s">
        <v>3542</v>
      </c>
      <c r="AI1136" s="56" t="s">
        <v>3723</v>
      </c>
    </row>
    <row r="1137" spans="1:35" ht="33" customHeight="1">
      <c r="A1137" s="56" t="s">
        <v>5354</v>
      </c>
      <c r="B1137" s="57">
        <v>44363.118078703701</v>
      </c>
      <c r="C1137" s="56" t="s">
        <v>3803</v>
      </c>
      <c r="D1137" s="56" t="s">
        <v>3802</v>
      </c>
      <c r="E1137" s="56" t="s">
        <v>5353</v>
      </c>
      <c r="F1137" s="56" t="s">
        <v>5352</v>
      </c>
      <c r="G1137" s="58" t="s">
        <v>1500</v>
      </c>
      <c r="H1137" s="56">
        <v>2</v>
      </c>
      <c r="I1137" s="56" t="s">
        <v>3231</v>
      </c>
      <c r="J1137" s="56">
        <v>250</v>
      </c>
      <c r="K1137" s="56">
        <v>150</v>
      </c>
      <c r="P1137" s="56">
        <v>0</v>
      </c>
      <c r="S1137" s="56">
        <v>0</v>
      </c>
      <c r="T1137" s="56" t="s">
        <v>3562</v>
      </c>
      <c r="V1137" s="56" t="s">
        <v>3561</v>
      </c>
      <c r="W1137" s="56" t="s">
        <v>3548</v>
      </c>
      <c r="X1137" s="56" t="s">
        <v>39</v>
      </c>
      <c r="Y1137" s="56" t="s">
        <v>3629</v>
      </c>
      <c r="Z1137" s="56" t="s">
        <v>5351</v>
      </c>
      <c r="AC1137" s="56" t="s">
        <v>3543</v>
      </c>
      <c r="AD1137" s="56" t="s">
        <v>24</v>
      </c>
      <c r="AE1137" s="56" t="s">
        <v>5127</v>
      </c>
      <c r="AF1137" s="56" t="s">
        <v>5350</v>
      </c>
      <c r="AH1137" s="56" t="s">
        <v>3542</v>
      </c>
      <c r="AI1137" s="56" t="s">
        <v>3723</v>
      </c>
    </row>
    <row r="1138" spans="1:35" ht="33" customHeight="1">
      <c r="A1138" s="56" t="s">
        <v>5354</v>
      </c>
      <c r="B1138" s="57">
        <v>44363.118078703701</v>
      </c>
      <c r="C1138" s="56" t="s">
        <v>3803</v>
      </c>
      <c r="D1138" s="56" t="s">
        <v>3802</v>
      </c>
      <c r="E1138" s="56" t="s">
        <v>5353</v>
      </c>
      <c r="F1138" s="56" t="s">
        <v>5352</v>
      </c>
      <c r="G1138" s="58" t="s">
        <v>3551</v>
      </c>
      <c r="H1138" s="56">
        <v>1</v>
      </c>
      <c r="I1138" s="56" t="s">
        <v>3550</v>
      </c>
      <c r="J1138" s="56">
        <v>0</v>
      </c>
      <c r="K1138" s="56">
        <v>0</v>
      </c>
      <c r="P1138" s="56">
        <v>0</v>
      </c>
      <c r="S1138" s="56">
        <v>0</v>
      </c>
      <c r="T1138" s="56" t="s">
        <v>3562</v>
      </c>
      <c r="V1138" s="56" t="s">
        <v>3561</v>
      </c>
      <c r="W1138" s="56" t="s">
        <v>3548</v>
      </c>
      <c r="X1138" s="56" t="s">
        <v>39</v>
      </c>
      <c r="Y1138" s="56" t="s">
        <v>3629</v>
      </c>
      <c r="Z1138" s="56" t="s">
        <v>5351</v>
      </c>
      <c r="AC1138" s="56" t="s">
        <v>3543</v>
      </c>
      <c r="AD1138" s="56" t="s">
        <v>24</v>
      </c>
      <c r="AE1138" s="56" t="s">
        <v>5127</v>
      </c>
      <c r="AF1138" s="56" t="s">
        <v>5350</v>
      </c>
      <c r="AH1138" s="56" t="s">
        <v>3542</v>
      </c>
      <c r="AI1138" s="56" t="s">
        <v>3723</v>
      </c>
    </row>
    <row r="1139" spans="1:35" ht="33" customHeight="1">
      <c r="A1139" s="56" t="s">
        <v>5354</v>
      </c>
      <c r="B1139" s="57">
        <v>44363.118078703701</v>
      </c>
      <c r="C1139" s="56" t="s">
        <v>3803</v>
      </c>
      <c r="D1139" s="56" t="s">
        <v>3802</v>
      </c>
      <c r="E1139" s="56" t="s">
        <v>5353</v>
      </c>
      <c r="F1139" s="56" t="s">
        <v>5352</v>
      </c>
      <c r="G1139" s="58" t="s">
        <v>1498</v>
      </c>
      <c r="H1139" s="56">
        <v>1</v>
      </c>
      <c r="I1139" s="56" t="s">
        <v>4016</v>
      </c>
      <c r="J1139" s="56">
        <v>0</v>
      </c>
      <c r="K1139" s="56">
        <v>0</v>
      </c>
      <c r="P1139" s="56">
        <v>0</v>
      </c>
      <c r="S1139" s="56">
        <v>0</v>
      </c>
      <c r="T1139" s="56" t="s">
        <v>3562</v>
      </c>
      <c r="V1139" s="56" t="s">
        <v>3561</v>
      </c>
      <c r="W1139" s="56" t="s">
        <v>3548</v>
      </c>
      <c r="X1139" s="56" t="s">
        <v>39</v>
      </c>
      <c r="Y1139" s="56" t="s">
        <v>3629</v>
      </c>
      <c r="Z1139" s="56" t="s">
        <v>5351</v>
      </c>
      <c r="AC1139" s="56" t="s">
        <v>3543</v>
      </c>
      <c r="AD1139" s="56" t="s">
        <v>24</v>
      </c>
      <c r="AE1139" s="56" t="s">
        <v>5127</v>
      </c>
      <c r="AF1139" s="56" t="s">
        <v>5350</v>
      </c>
      <c r="AH1139" s="56" t="s">
        <v>3542</v>
      </c>
      <c r="AI1139" s="56" t="s">
        <v>3723</v>
      </c>
    </row>
    <row r="1140" spans="1:35" ht="33" customHeight="1">
      <c r="A1140" s="56" t="s">
        <v>5348</v>
      </c>
      <c r="B1140" s="57">
        <v>44363.118275462963</v>
      </c>
      <c r="C1140" s="56" t="s">
        <v>3803</v>
      </c>
      <c r="D1140" s="56" t="s">
        <v>4511</v>
      </c>
      <c r="E1140" s="56" t="s">
        <v>5347</v>
      </c>
      <c r="F1140" s="56" t="s">
        <v>5346</v>
      </c>
      <c r="G1140" s="58" t="s">
        <v>3196</v>
      </c>
      <c r="H1140" s="56">
        <v>1</v>
      </c>
      <c r="I1140" s="56" t="s">
        <v>2550</v>
      </c>
      <c r="J1140" s="56">
        <v>120</v>
      </c>
      <c r="K1140" s="56">
        <v>120</v>
      </c>
      <c r="L1140" s="56">
        <v>1439</v>
      </c>
      <c r="M1140" s="56">
        <v>0</v>
      </c>
      <c r="N1140" s="56">
        <v>0</v>
      </c>
      <c r="O1140" s="56">
        <v>144</v>
      </c>
      <c r="P1140" s="56">
        <v>0</v>
      </c>
      <c r="Q1140" s="56">
        <v>1295</v>
      </c>
      <c r="R1140" s="56">
        <v>0</v>
      </c>
      <c r="S1140" s="56">
        <v>0</v>
      </c>
      <c r="T1140" s="56" t="s">
        <v>3562</v>
      </c>
      <c r="U1140" s="56">
        <v>1295</v>
      </c>
      <c r="V1140" s="56" t="s">
        <v>59</v>
      </c>
      <c r="W1140" s="56" t="s">
        <v>3548</v>
      </c>
      <c r="X1140" s="56" t="s">
        <v>3716</v>
      </c>
      <c r="Z1140" s="56" t="s">
        <v>3546</v>
      </c>
      <c r="AA1140" s="56" t="s">
        <v>5345</v>
      </c>
      <c r="AB1140" s="56" t="s">
        <v>5344</v>
      </c>
      <c r="AC1140" s="56" t="s">
        <v>3543</v>
      </c>
      <c r="AD1140" s="56" t="s">
        <v>24</v>
      </c>
      <c r="AE1140" s="56" t="s">
        <v>5127</v>
      </c>
      <c r="AF1140" s="56" t="s">
        <v>5343</v>
      </c>
      <c r="AH1140" s="56" t="s">
        <v>3542</v>
      </c>
      <c r="AI1140" s="56" t="s">
        <v>3723</v>
      </c>
    </row>
    <row r="1141" spans="1:35" ht="33" customHeight="1">
      <c r="A1141" s="56" t="s">
        <v>5348</v>
      </c>
      <c r="B1141" s="57">
        <v>44363.118275462963</v>
      </c>
      <c r="C1141" s="56" t="s">
        <v>3803</v>
      </c>
      <c r="D1141" s="56" t="s">
        <v>4511</v>
      </c>
      <c r="E1141" s="56" t="s">
        <v>5347</v>
      </c>
      <c r="F1141" s="56" t="s">
        <v>5346</v>
      </c>
      <c r="G1141" s="58" t="s">
        <v>5349</v>
      </c>
      <c r="H1141" s="56">
        <v>1</v>
      </c>
      <c r="I1141" s="56" t="s">
        <v>5335</v>
      </c>
      <c r="J1141" s="56">
        <v>547</v>
      </c>
      <c r="K1141" s="56">
        <v>460</v>
      </c>
      <c r="P1141" s="56">
        <v>0</v>
      </c>
      <c r="S1141" s="56">
        <v>0</v>
      </c>
      <c r="T1141" s="56" t="s">
        <v>3562</v>
      </c>
      <c r="V1141" s="56" t="s">
        <v>59</v>
      </c>
      <c r="W1141" s="56" t="s">
        <v>3548</v>
      </c>
      <c r="X1141" s="56" t="s">
        <v>3716</v>
      </c>
      <c r="Z1141" s="56" t="s">
        <v>3546</v>
      </c>
      <c r="AA1141" s="56" t="s">
        <v>5345</v>
      </c>
      <c r="AB1141" s="56" t="s">
        <v>5344</v>
      </c>
      <c r="AC1141" s="56" t="s">
        <v>3543</v>
      </c>
      <c r="AD1141" s="56" t="s">
        <v>24</v>
      </c>
      <c r="AE1141" s="56" t="s">
        <v>5127</v>
      </c>
      <c r="AF1141" s="56" t="s">
        <v>5343</v>
      </c>
      <c r="AH1141" s="56" t="s">
        <v>3542</v>
      </c>
      <c r="AI1141" s="56" t="s">
        <v>3723</v>
      </c>
    </row>
    <row r="1142" spans="1:35" ht="33" customHeight="1">
      <c r="A1142" s="56" t="s">
        <v>5348</v>
      </c>
      <c r="B1142" s="57">
        <v>44363.118275462963</v>
      </c>
      <c r="C1142" s="56" t="s">
        <v>3803</v>
      </c>
      <c r="D1142" s="56" t="s">
        <v>4511</v>
      </c>
      <c r="E1142" s="56" t="s">
        <v>5347</v>
      </c>
      <c r="F1142" s="56" t="s">
        <v>5346</v>
      </c>
      <c r="G1142" s="58" t="s">
        <v>3299</v>
      </c>
      <c r="H1142" s="56">
        <v>1</v>
      </c>
      <c r="I1142" s="56" t="s">
        <v>3576</v>
      </c>
      <c r="J1142" s="56">
        <v>260</v>
      </c>
      <c r="K1142" s="56">
        <v>260</v>
      </c>
      <c r="P1142" s="56">
        <v>0</v>
      </c>
      <c r="S1142" s="56">
        <v>0</v>
      </c>
      <c r="T1142" s="56" t="s">
        <v>3562</v>
      </c>
      <c r="V1142" s="56" t="s">
        <v>59</v>
      </c>
      <c r="W1142" s="56" t="s">
        <v>3548</v>
      </c>
      <c r="X1142" s="56" t="s">
        <v>3716</v>
      </c>
      <c r="Z1142" s="56" t="s">
        <v>3546</v>
      </c>
      <c r="AA1142" s="56" t="s">
        <v>5345</v>
      </c>
      <c r="AB1142" s="56" t="s">
        <v>5344</v>
      </c>
      <c r="AC1142" s="56" t="s">
        <v>3543</v>
      </c>
      <c r="AD1142" s="56" t="s">
        <v>24</v>
      </c>
      <c r="AE1142" s="56" t="s">
        <v>5127</v>
      </c>
      <c r="AF1142" s="56" t="s">
        <v>5343</v>
      </c>
      <c r="AH1142" s="56" t="s">
        <v>3542</v>
      </c>
      <c r="AI1142" s="56" t="s">
        <v>3723</v>
      </c>
    </row>
    <row r="1143" spans="1:35" ht="33" customHeight="1">
      <c r="A1143" s="56" t="s">
        <v>5348</v>
      </c>
      <c r="B1143" s="57">
        <v>44363.118275462963</v>
      </c>
      <c r="C1143" s="56" t="s">
        <v>3803</v>
      </c>
      <c r="D1143" s="56" t="s">
        <v>4511</v>
      </c>
      <c r="E1143" s="56" t="s">
        <v>5347</v>
      </c>
      <c r="F1143" s="56" t="s">
        <v>5346</v>
      </c>
      <c r="G1143" s="58" t="s">
        <v>3593</v>
      </c>
      <c r="H1143" s="56">
        <v>1</v>
      </c>
      <c r="I1143" s="56" t="s">
        <v>3577</v>
      </c>
      <c r="J1143" s="56">
        <v>700</v>
      </c>
      <c r="K1143" s="56">
        <v>599</v>
      </c>
      <c r="P1143" s="56">
        <v>0</v>
      </c>
      <c r="S1143" s="56">
        <v>0</v>
      </c>
      <c r="T1143" s="56" t="s">
        <v>3562</v>
      </c>
      <c r="V1143" s="56" t="s">
        <v>59</v>
      </c>
      <c r="W1143" s="56" t="s">
        <v>3548</v>
      </c>
      <c r="X1143" s="56" t="s">
        <v>3716</v>
      </c>
      <c r="Z1143" s="56" t="s">
        <v>3546</v>
      </c>
      <c r="AA1143" s="56" t="s">
        <v>5345</v>
      </c>
      <c r="AB1143" s="56" t="s">
        <v>5344</v>
      </c>
      <c r="AC1143" s="56" t="s">
        <v>3543</v>
      </c>
      <c r="AD1143" s="56" t="s">
        <v>24</v>
      </c>
      <c r="AE1143" s="56" t="s">
        <v>5127</v>
      </c>
      <c r="AF1143" s="56" t="s">
        <v>5343</v>
      </c>
      <c r="AH1143" s="56" t="s">
        <v>3542</v>
      </c>
      <c r="AI1143" s="56" t="s">
        <v>3723</v>
      </c>
    </row>
    <row r="1144" spans="1:35" ht="33" customHeight="1">
      <c r="A1144" s="56" t="s">
        <v>5348</v>
      </c>
      <c r="B1144" s="57">
        <v>44363.118275462963</v>
      </c>
      <c r="C1144" s="56" t="s">
        <v>3803</v>
      </c>
      <c r="D1144" s="56" t="s">
        <v>4511</v>
      </c>
      <c r="E1144" s="56" t="s">
        <v>5347</v>
      </c>
      <c r="F1144" s="56" t="s">
        <v>5346</v>
      </c>
      <c r="G1144" s="58" t="s">
        <v>3551</v>
      </c>
      <c r="H1144" s="56">
        <v>1</v>
      </c>
      <c r="I1144" s="56" t="s">
        <v>3550</v>
      </c>
      <c r="J1144" s="56">
        <v>0</v>
      </c>
      <c r="K1144" s="56">
        <v>0</v>
      </c>
      <c r="P1144" s="56">
        <v>0</v>
      </c>
      <c r="S1144" s="56">
        <v>0</v>
      </c>
      <c r="T1144" s="56" t="s">
        <v>3562</v>
      </c>
      <c r="V1144" s="56" t="s">
        <v>59</v>
      </c>
      <c r="W1144" s="56" t="s">
        <v>3548</v>
      </c>
      <c r="X1144" s="56" t="s">
        <v>3716</v>
      </c>
      <c r="Z1144" s="56" t="s">
        <v>3546</v>
      </c>
      <c r="AA1144" s="56" t="s">
        <v>5345</v>
      </c>
      <c r="AB1144" s="56" t="s">
        <v>5344</v>
      </c>
      <c r="AC1144" s="56" t="s">
        <v>3543</v>
      </c>
      <c r="AD1144" s="56" t="s">
        <v>24</v>
      </c>
      <c r="AE1144" s="56" t="s">
        <v>5127</v>
      </c>
      <c r="AF1144" s="56" t="s">
        <v>5343</v>
      </c>
      <c r="AH1144" s="56" t="s">
        <v>3542</v>
      </c>
      <c r="AI1144" s="56" t="s">
        <v>3723</v>
      </c>
    </row>
    <row r="1145" spans="1:35" ht="33" customHeight="1">
      <c r="A1145" s="56" t="s">
        <v>5348</v>
      </c>
      <c r="B1145" s="57">
        <v>44363.118275462963</v>
      </c>
      <c r="C1145" s="56" t="s">
        <v>3803</v>
      </c>
      <c r="D1145" s="56" t="s">
        <v>4511</v>
      </c>
      <c r="E1145" s="56" t="s">
        <v>5347</v>
      </c>
      <c r="F1145" s="56" t="s">
        <v>5346</v>
      </c>
      <c r="G1145" s="58" t="s">
        <v>1498</v>
      </c>
      <c r="H1145" s="56">
        <v>1</v>
      </c>
      <c r="I1145" s="56" t="s">
        <v>4016</v>
      </c>
      <c r="J1145" s="56">
        <v>0</v>
      </c>
      <c r="K1145" s="56">
        <v>0</v>
      </c>
      <c r="P1145" s="56">
        <v>0</v>
      </c>
      <c r="S1145" s="56">
        <v>0</v>
      </c>
      <c r="T1145" s="56" t="s">
        <v>3562</v>
      </c>
      <c r="V1145" s="56" t="s">
        <v>59</v>
      </c>
      <c r="W1145" s="56" t="s">
        <v>3548</v>
      </c>
      <c r="X1145" s="56" t="s">
        <v>3716</v>
      </c>
      <c r="Z1145" s="56" t="s">
        <v>3546</v>
      </c>
      <c r="AA1145" s="56" t="s">
        <v>5345</v>
      </c>
      <c r="AB1145" s="56" t="s">
        <v>5344</v>
      </c>
      <c r="AC1145" s="56" t="s">
        <v>3543</v>
      </c>
      <c r="AD1145" s="56" t="s">
        <v>24</v>
      </c>
      <c r="AE1145" s="56" t="s">
        <v>5127</v>
      </c>
      <c r="AF1145" s="56" t="s">
        <v>5343</v>
      </c>
      <c r="AH1145" s="56" t="s">
        <v>3542</v>
      </c>
      <c r="AI1145" s="56" t="s">
        <v>3723</v>
      </c>
    </row>
    <row r="1146" spans="1:35" ht="33" customHeight="1">
      <c r="A1146" s="56" t="s">
        <v>5342</v>
      </c>
      <c r="B1146" s="57">
        <v>44363.134652777779</v>
      </c>
      <c r="C1146" s="56" t="s">
        <v>4512</v>
      </c>
      <c r="D1146" s="56" t="s">
        <v>4511</v>
      </c>
      <c r="E1146" s="56" t="s">
        <v>5341</v>
      </c>
      <c r="F1146" s="56" t="s">
        <v>5340</v>
      </c>
      <c r="G1146" s="58" t="s">
        <v>3656</v>
      </c>
      <c r="H1146" s="56">
        <v>1</v>
      </c>
      <c r="I1146" s="56" t="s">
        <v>3655</v>
      </c>
      <c r="J1146" s="56">
        <v>1107</v>
      </c>
      <c r="K1146" s="56">
        <v>799</v>
      </c>
      <c r="L1146" s="56">
        <v>1093</v>
      </c>
      <c r="M1146" s="56">
        <v>0</v>
      </c>
      <c r="N1146" s="56">
        <v>0</v>
      </c>
      <c r="O1146" s="56">
        <v>100</v>
      </c>
      <c r="P1146" s="56">
        <v>0</v>
      </c>
      <c r="Q1146" s="56">
        <v>993</v>
      </c>
      <c r="R1146" s="56">
        <v>0</v>
      </c>
      <c r="S1146" s="56">
        <v>0</v>
      </c>
      <c r="T1146" s="56" t="s">
        <v>3562</v>
      </c>
      <c r="U1146" s="56">
        <v>993</v>
      </c>
      <c r="V1146" s="56" t="s">
        <v>3549</v>
      </c>
      <c r="W1146" s="56" t="s">
        <v>3548</v>
      </c>
      <c r="X1146" s="56" t="s">
        <v>3547</v>
      </c>
      <c r="Z1146" s="56" t="s">
        <v>3546</v>
      </c>
      <c r="AA1146" s="56" t="s">
        <v>5339</v>
      </c>
      <c r="AB1146" s="56" t="s">
        <v>5338</v>
      </c>
      <c r="AC1146" s="56" t="s">
        <v>3543</v>
      </c>
      <c r="AD1146" s="56" t="s">
        <v>24</v>
      </c>
      <c r="AE1146" s="56" t="s">
        <v>4145</v>
      </c>
      <c r="AF1146" s="56" t="s">
        <v>5337</v>
      </c>
      <c r="AH1146" s="56" t="s">
        <v>3542</v>
      </c>
      <c r="AI1146" s="56" t="s">
        <v>3723</v>
      </c>
    </row>
    <row r="1147" spans="1:35" ht="33" customHeight="1">
      <c r="A1147" s="56" t="s">
        <v>5342</v>
      </c>
      <c r="B1147" s="57">
        <v>44363.134652777779</v>
      </c>
      <c r="C1147" s="56" t="s">
        <v>4512</v>
      </c>
      <c r="D1147" s="56" t="s">
        <v>4511</v>
      </c>
      <c r="E1147" s="56" t="s">
        <v>5341</v>
      </c>
      <c r="F1147" s="56" t="s">
        <v>5340</v>
      </c>
      <c r="G1147" s="58" t="s">
        <v>2156</v>
      </c>
      <c r="H1147" s="56">
        <v>1</v>
      </c>
      <c r="I1147" s="56" t="s">
        <v>1376</v>
      </c>
      <c r="J1147" s="56">
        <v>145</v>
      </c>
      <c r="K1147" s="56">
        <v>145</v>
      </c>
      <c r="P1147" s="56">
        <v>0</v>
      </c>
      <c r="S1147" s="56">
        <v>0</v>
      </c>
      <c r="T1147" s="56" t="s">
        <v>3562</v>
      </c>
      <c r="V1147" s="56" t="s">
        <v>3549</v>
      </c>
      <c r="W1147" s="56" t="s">
        <v>3548</v>
      </c>
      <c r="X1147" s="56" t="s">
        <v>3547</v>
      </c>
      <c r="Z1147" s="56" t="s">
        <v>3546</v>
      </c>
      <c r="AA1147" s="56" t="s">
        <v>5339</v>
      </c>
      <c r="AB1147" s="56" t="s">
        <v>5338</v>
      </c>
      <c r="AC1147" s="56" t="s">
        <v>3543</v>
      </c>
      <c r="AD1147" s="56" t="s">
        <v>24</v>
      </c>
      <c r="AE1147" s="56" t="s">
        <v>4145</v>
      </c>
      <c r="AF1147" s="56" t="s">
        <v>5337</v>
      </c>
      <c r="AH1147" s="56" t="s">
        <v>3542</v>
      </c>
      <c r="AI1147" s="56" t="s">
        <v>3723</v>
      </c>
    </row>
    <row r="1148" spans="1:35" ht="33" customHeight="1">
      <c r="A1148" s="56" t="s">
        <v>5342</v>
      </c>
      <c r="B1148" s="57">
        <v>44363.134652777779</v>
      </c>
      <c r="C1148" s="56" t="s">
        <v>4512</v>
      </c>
      <c r="D1148" s="56" t="s">
        <v>4511</v>
      </c>
      <c r="E1148" s="56" t="s">
        <v>5341</v>
      </c>
      <c r="F1148" s="56" t="s">
        <v>5340</v>
      </c>
      <c r="G1148" s="58" t="s">
        <v>3187</v>
      </c>
      <c r="H1148" s="56">
        <v>1</v>
      </c>
      <c r="I1148" s="56" t="s">
        <v>3761</v>
      </c>
      <c r="J1148" s="56">
        <v>149</v>
      </c>
      <c r="K1148" s="56">
        <v>149</v>
      </c>
      <c r="P1148" s="56">
        <v>0</v>
      </c>
      <c r="S1148" s="56">
        <v>0</v>
      </c>
      <c r="T1148" s="56" t="s">
        <v>3562</v>
      </c>
      <c r="V1148" s="56" t="s">
        <v>3549</v>
      </c>
      <c r="W1148" s="56" t="s">
        <v>3548</v>
      </c>
      <c r="X1148" s="56" t="s">
        <v>3547</v>
      </c>
      <c r="Z1148" s="56" t="s">
        <v>3546</v>
      </c>
      <c r="AA1148" s="56" t="s">
        <v>5339</v>
      </c>
      <c r="AB1148" s="56" t="s">
        <v>5338</v>
      </c>
      <c r="AC1148" s="56" t="s">
        <v>3543</v>
      </c>
      <c r="AD1148" s="56" t="s">
        <v>24</v>
      </c>
      <c r="AE1148" s="56" t="s">
        <v>4145</v>
      </c>
      <c r="AF1148" s="56" t="s">
        <v>5337</v>
      </c>
      <c r="AH1148" s="56" t="s">
        <v>3542</v>
      </c>
      <c r="AI1148" s="56" t="s">
        <v>3723</v>
      </c>
    </row>
    <row r="1149" spans="1:35" ht="33" customHeight="1">
      <c r="A1149" s="56" t="s">
        <v>5342</v>
      </c>
      <c r="B1149" s="57">
        <v>44363.134652777779</v>
      </c>
      <c r="C1149" s="56" t="s">
        <v>4512</v>
      </c>
      <c r="D1149" s="56" t="s">
        <v>4511</v>
      </c>
      <c r="E1149" s="56" t="s">
        <v>5341</v>
      </c>
      <c r="F1149" s="56" t="s">
        <v>5340</v>
      </c>
      <c r="G1149" s="58" t="s">
        <v>3551</v>
      </c>
      <c r="H1149" s="56">
        <v>1</v>
      </c>
      <c r="I1149" s="56" t="s">
        <v>3550</v>
      </c>
      <c r="J1149" s="56">
        <v>0</v>
      </c>
      <c r="K1149" s="56">
        <v>0</v>
      </c>
      <c r="P1149" s="56">
        <v>0</v>
      </c>
      <c r="S1149" s="56">
        <v>0</v>
      </c>
      <c r="T1149" s="56" t="s">
        <v>3562</v>
      </c>
      <c r="V1149" s="56" t="s">
        <v>3549</v>
      </c>
      <c r="W1149" s="56" t="s">
        <v>3548</v>
      </c>
      <c r="X1149" s="56" t="s">
        <v>3547</v>
      </c>
      <c r="Z1149" s="56" t="s">
        <v>3546</v>
      </c>
      <c r="AA1149" s="56" t="s">
        <v>5339</v>
      </c>
      <c r="AB1149" s="56" t="s">
        <v>5338</v>
      </c>
      <c r="AC1149" s="56" t="s">
        <v>3543</v>
      </c>
      <c r="AD1149" s="56" t="s">
        <v>24</v>
      </c>
      <c r="AE1149" s="56" t="s">
        <v>4145</v>
      </c>
      <c r="AF1149" s="56" t="s">
        <v>5337</v>
      </c>
      <c r="AH1149" s="56" t="s">
        <v>3542</v>
      </c>
      <c r="AI1149" s="56" t="s">
        <v>3723</v>
      </c>
    </row>
    <row r="1150" spans="1:35" ht="33" customHeight="1">
      <c r="A1150" s="56" t="s">
        <v>5342</v>
      </c>
      <c r="B1150" s="57">
        <v>44363.134652777779</v>
      </c>
      <c r="C1150" s="56" t="s">
        <v>4512</v>
      </c>
      <c r="D1150" s="56" t="s">
        <v>4511</v>
      </c>
      <c r="E1150" s="56" t="s">
        <v>5341</v>
      </c>
      <c r="F1150" s="56" t="s">
        <v>5340</v>
      </c>
      <c r="G1150" s="58" t="s">
        <v>1498</v>
      </c>
      <c r="H1150" s="56">
        <v>1</v>
      </c>
      <c r="I1150" s="56" t="s">
        <v>4016</v>
      </c>
      <c r="J1150" s="56">
        <v>0</v>
      </c>
      <c r="K1150" s="56">
        <v>0</v>
      </c>
      <c r="P1150" s="56">
        <v>0</v>
      </c>
      <c r="S1150" s="56">
        <v>0</v>
      </c>
      <c r="T1150" s="56" t="s">
        <v>3562</v>
      </c>
      <c r="V1150" s="56" t="s">
        <v>3549</v>
      </c>
      <c r="W1150" s="56" t="s">
        <v>3548</v>
      </c>
      <c r="X1150" s="56" t="s">
        <v>3547</v>
      </c>
      <c r="Z1150" s="56" t="s">
        <v>3546</v>
      </c>
      <c r="AA1150" s="56" t="s">
        <v>5339</v>
      </c>
      <c r="AB1150" s="56" t="s">
        <v>5338</v>
      </c>
      <c r="AC1150" s="56" t="s">
        <v>3543</v>
      </c>
      <c r="AD1150" s="56" t="s">
        <v>24</v>
      </c>
      <c r="AE1150" s="56" t="s">
        <v>4145</v>
      </c>
      <c r="AF1150" s="56" t="s">
        <v>5337</v>
      </c>
      <c r="AH1150" s="56" t="s">
        <v>3542</v>
      </c>
      <c r="AI1150" s="56" t="s">
        <v>3723</v>
      </c>
    </row>
    <row r="1151" spans="1:35" ht="33" customHeight="1">
      <c r="A1151" s="56" t="s">
        <v>5334</v>
      </c>
      <c r="B1151" s="57">
        <v>44363.319456018522</v>
      </c>
      <c r="C1151" s="56" t="s">
        <v>3803</v>
      </c>
      <c r="D1151" s="56" t="s">
        <v>4426</v>
      </c>
      <c r="E1151" s="56" t="s">
        <v>5333</v>
      </c>
      <c r="F1151" s="56" t="s">
        <v>5332</v>
      </c>
      <c r="G1151" s="58" t="s">
        <v>3174</v>
      </c>
      <c r="H1151" s="56">
        <v>1</v>
      </c>
      <c r="I1151" s="56" t="s">
        <v>3791</v>
      </c>
      <c r="J1151" s="56">
        <v>299</v>
      </c>
      <c r="K1151" s="56">
        <v>299</v>
      </c>
      <c r="L1151" s="56">
        <v>1635</v>
      </c>
      <c r="M1151" s="56">
        <v>0</v>
      </c>
      <c r="N1151" s="56">
        <v>0</v>
      </c>
      <c r="O1151" s="56">
        <v>164</v>
      </c>
      <c r="P1151" s="56">
        <v>0</v>
      </c>
      <c r="Q1151" s="56">
        <v>1471</v>
      </c>
      <c r="R1151" s="56">
        <v>0</v>
      </c>
      <c r="S1151" s="56">
        <v>0</v>
      </c>
      <c r="T1151" s="56" t="s">
        <v>27</v>
      </c>
      <c r="U1151" s="56">
        <v>1471</v>
      </c>
      <c r="V1151" s="56" t="s">
        <v>3612</v>
      </c>
      <c r="W1151" s="56" t="s">
        <v>3548</v>
      </c>
      <c r="X1151" s="56" t="s">
        <v>3611</v>
      </c>
      <c r="Z1151" s="56" t="s">
        <v>3546</v>
      </c>
      <c r="AA1151" s="56" t="s">
        <v>5331</v>
      </c>
      <c r="AB1151" s="56" t="s">
        <v>5330</v>
      </c>
      <c r="AC1151" s="56" t="s">
        <v>3543</v>
      </c>
      <c r="AH1151" s="56" t="s">
        <v>3542</v>
      </c>
      <c r="AI1151" s="56" t="s">
        <v>3541</v>
      </c>
    </row>
    <row r="1152" spans="1:35" ht="33" customHeight="1">
      <c r="A1152" s="56" t="s">
        <v>5334</v>
      </c>
      <c r="B1152" s="57">
        <v>44363.319456018522</v>
      </c>
      <c r="C1152" s="56" t="s">
        <v>3803</v>
      </c>
      <c r="D1152" s="56" t="s">
        <v>4426</v>
      </c>
      <c r="E1152" s="56" t="s">
        <v>5333</v>
      </c>
      <c r="F1152" s="56" t="s">
        <v>5332</v>
      </c>
      <c r="G1152" s="58" t="s">
        <v>3199</v>
      </c>
      <c r="H1152" s="56">
        <v>1</v>
      </c>
      <c r="I1152" s="56" t="s">
        <v>3834</v>
      </c>
      <c r="J1152" s="56">
        <v>119</v>
      </c>
      <c r="K1152" s="56">
        <v>99</v>
      </c>
      <c r="P1152" s="56">
        <v>0</v>
      </c>
      <c r="S1152" s="56">
        <v>0</v>
      </c>
      <c r="T1152" s="56" t="s">
        <v>27</v>
      </c>
      <c r="V1152" s="56" t="s">
        <v>3612</v>
      </c>
      <c r="W1152" s="56" t="s">
        <v>3548</v>
      </c>
      <c r="X1152" s="56" t="s">
        <v>3611</v>
      </c>
      <c r="Z1152" s="56" t="s">
        <v>3546</v>
      </c>
      <c r="AA1152" s="56" t="s">
        <v>5331</v>
      </c>
      <c r="AB1152" s="56" t="s">
        <v>5330</v>
      </c>
      <c r="AC1152" s="56" t="s">
        <v>3543</v>
      </c>
      <c r="AH1152" s="56" t="s">
        <v>3542</v>
      </c>
      <c r="AI1152" s="56" t="s">
        <v>3541</v>
      </c>
    </row>
    <row r="1153" spans="1:35" ht="33" customHeight="1">
      <c r="A1153" s="56" t="s">
        <v>5334</v>
      </c>
      <c r="B1153" s="57">
        <v>44363.319456018522</v>
      </c>
      <c r="C1153" s="56" t="s">
        <v>3803</v>
      </c>
      <c r="D1153" s="56" t="s">
        <v>4426</v>
      </c>
      <c r="E1153" s="56" t="s">
        <v>5333</v>
      </c>
      <c r="F1153" s="56" t="s">
        <v>5332</v>
      </c>
      <c r="G1153" s="58" t="s">
        <v>3732</v>
      </c>
      <c r="H1153" s="56">
        <v>1</v>
      </c>
      <c r="I1153" s="56" t="s">
        <v>3731</v>
      </c>
      <c r="J1153" s="56">
        <v>867</v>
      </c>
      <c r="K1153" s="56">
        <v>550</v>
      </c>
      <c r="P1153" s="56">
        <v>0</v>
      </c>
      <c r="S1153" s="56">
        <v>0</v>
      </c>
      <c r="T1153" s="56" t="s">
        <v>27</v>
      </c>
      <c r="V1153" s="56" t="s">
        <v>3612</v>
      </c>
      <c r="W1153" s="56" t="s">
        <v>3548</v>
      </c>
      <c r="X1153" s="56" t="s">
        <v>3611</v>
      </c>
      <c r="Z1153" s="56" t="s">
        <v>3546</v>
      </c>
      <c r="AA1153" s="56" t="s">
        <v>5331</v>
      </c>
      <c r="AB1153" s="56" t="s">
        <v>5330</v>
      </c>
      <c r="AC1153" s="56" t="s">
        <v>3543</v>
      </c>
      <c r="AH1153" s="56" t="s">
        <v>3542</v>
      </c>
      <c r="AI1153" s="56" t="s">
        <v>3541</v>
      </c>
    </row>
    <row r="1154" spans="1:35" ht="33" customHeight="1">
      <c r="A1154" s="56" t="s">
        <v>5334</v>
      </c>
      <c r="B1154" s="57">
        <v>44363.319456018522</v>
      </c>
      <c r="C1154" s="56" t="s">
        <v>3803</v>
      </c>
      <c r="D1154" s="56" t="s">
        <v>4426</v>
      </c>
      <c r="E1154" s="56" t="s">
        <v>5333</v>
      </c>
      <c r="F1154" s="56" t="s">
        <v>5332</v>
      </c>
      <c r="G1154" s="58" t="s">
        <v>5336</v>
      </c>
      <c r="H1154" s="56">
        <v>1</v>
      </c>
      <c r="I1154" s="56" t="s">
        <v>5335</v>
      </c>
      <c r="J1154" s="56">
        <v>505</v>
      </c>
      <c r="K1154" s="56">
        <v>420</v>
      </c>
      <c r="P1154" s="56">
        <v>0</v>
      </c>
      <c r="S1154" s="56">
        <v>0</v>
      </c>
      <c r="T1154" s="56" t="s">
        <v>27</v>
      </c>
      <c r="V1154" s="56" t="s">
        <v>3612</v>
      </c>
      <c r="W1154" s="56" t="s">
        <v>3548</v>
      </c>
      <c r="X1154" s="56" t="s">
        <v>3611</v>
      </c>
      <c r="Z1154" s="56" t="s">
        <v>3546</v>
      </c>
      <c r="AA1154" s="56" t="s">
        <v>5331</v>
      </c>
      <c r="AB1154" s="56" t="s">
        <v>5330</v>
      </c>
      <c r="AC1154" s="56" t="s">
        <v>3543</v>
      </c>
      <c r="AH1154" s="56" t="s">
        <v>3542</v>
      </c>
      <c r="AI1154" s="56" t="s">
        <v>3541</v>
      </c>
    </row>
    <row r="1155" spans="1:35" ht="33" customHeight="1">
      <c r="A1155" s="56" t="s">
        <v>5334</v>
      </c>
      <c r="B1155" s="57">
        <v>44363.319456018522</v>
      </c>
      <c r="C1155" s="56" t="s">
        <v>3803</v>
      </c>
      <c r="D1155" s="56" t="s">
        <v>4426</v>
      </c>
      <c r="E1155" s="56" t="s">
        <v>5333</v>
      </c>
      <c r="F1155" s="56" t="s">
        <v>5332</v>
      </c>
      <c r="G1155" s="58" t="s">
        <v>1713</v>
      </c>
      <c r="H1155" s="56">
        <v>1</v>
      </c>
      <c r="I1155" s="56" t="s">
        <v>3587</v>
      </c>
      <c r="J1155" s="56">
        <v>149</v>
      </c>
      <c r="K1155" s="56">
        <v>149</v>
      </c>
      <c r="P1155" s="56">
        <v>0</v>
      </c>
      <c r="S1155" s="56">
        <v>0</v>
      </c>
      <c r="T1155" s="56" t="s">
        <v>27</v>
      </c>
      <c r="V1155" s="56" t="s">
        <v>3612</v>
      </c>
      <c r="W1155" s="56" t="s">
        <v>3548</v>
      </c>
      <c r="X1155" s="56" t="s">
        <v>3611</v>
      </c>
      <c r="Z1155" s="56" t="s">
        <v>3546</v>
      </c>
      <c r="AA1155" s="56" t="s">
        <v>5331</v>
      </c>
      <c r="AB1155" s="56" t="s">
        <v>5330</v>
      </c>
      <c r="AC1155" s="56" t="s">
        <v>3543</v>
      </c>
      <c r="AH1155" s="56" t="s">
        <v>3542</v>
      </c>
      <c r="AI1155" s="56" t="s">
        <v>3541</v>
      </c>
    </row>
    <row r="1156" spans="1:35" ht="33" customHeight="1">
      <c r="A1156" s="56" t="s">
        <v>5334</v>
      </c>
      <c r="B1156" s="57">
        <v>44363.319456018522</v>
      </c>
      <c r="C1156" s="56" t="s">
        <v>3803</v>
      </c>
      <c r="D1156" s="56" t="s">
        <v>4426</v>
      </c>
      <c r="E1156" s="56" t="s">
        <v>5333</v>
      </c>
      <c r="F1156" s="56" t="s">
        <v>5332</v>
      </c>
      <c r="G1156" s="58" t="s">
        <v>3217</v>
      </c>
      <c r="H1156" s="56">
        <v>2</v>
      </c>
      <c r="I1156" s="56" t="s">
        <v>3720</v>
      </c>
      <c r="J1156" s="56">
        <v>59</v>
      </c>
      <c r="K1156" s="56">
        <v>59</v>
      </c>
      <c r="P1156" s="56">
        <v>0</v>
      </c>
      <c r="S1156" s="56">
        <v>0</v>
      </c>
      <c r="T1156" s="56" t="s">
        <v>27</v>
      </c>
      <c r="V1156" s="56" t="s">
        <v>3612</v>
      </c>
      <c r="W1156" s="56" t="s">
        <v>3548</v>
      </c>
      <c r="X1156" s="56" t="s">
        <v>3611</v>
      </c>
      <c r="Z1156" s="56" t="s">
        <v>3546</v>
      </c>
      <c r="AA1156" s="56" t="s">
        <v>5331</v>
      </c>
      <c r="AB1156" s="56" t="s">
        <v>5330</v>
      </c>
      <c r="AC1156" s="56" t="s">
        <v>3543</v>
      </c>
      <c r="AH1156" s="56" t="s">
        <v>3542</v>
      </c>
      <c r="AI1156" s="56" t="s">
        <v>3541</v>
      </c>
    </row>
    <row r="1157" spans="1:35" ht="33" customHeight="1">
      <c r="A1157" s="56" t="s">
        <v>5334</v>
      </c>
      <c r="B1157" s="57">
        <v>44363.319456018522</v>
      </c>
      <c r="C1157" s="56" t="s">
        <v>3803</v>
      </c>
      <c r="D1157" s="56" t="s">
        <v>4426</v>
      </c>
      <c r="E1157" s="56" t="s">
        <v>5333</v>
      </c>
      <c r="F1157" s="56" t="s">
        <v>5332</v>
      </c>
      <c r="G1157" s="58" t="s">
        <v>3551</v>
      </c>
      <c r="H1157" s="56">
        <v>1</v>
      </c>
      <c r="I1157" s="56" t="s">
        <v>3550</v>
      </c>
      <c r="J1157" s="56">
        <v>0</v>
      </c>
      <c r="K1157" s="56">
        <v>0</v>
      </c>
      <c r="P1157" s="56">
        <v>0</v>
      </c>
      <c r="S1157" s="56">
        <v>0</v>
      </c>
      <c r="T1157" s="56" t="s">
        <v>27</v>
      </c>
      <c r="V1157" s="56" t="s">
        <v>3612</v>
      </c>
      <c r="W1157" s="56" t="s">
        <v>3548</v>
      </c>
      <c r="X1157" s="56" t="s">
        <v>3611</v>
      </c>
      <c r="Z1157" s="56" t="s">
        <v>3546</v>
      </c>
      <c r="AA1157" s="56" t="s">
        <v>5331</v>
      </c>
      <c r="AB1157" s="56" t="s">
        <v>5330</v>
      </c>
      <c r="AC1157" s="56" t="s">
        <v>3543</v>
      </c>
      <c r="AH1157" s="56" t="s">
        <v>3542</v>
      </c>
      <c r="AI1157" s="56" t="s">
        <v>3541</v>
      </c>
    </row>
    <row r="1158" spans="1:35" ht="33" customHeight="1">
      <c r="A1158" s="56" t="s">
        <v>5334</v>
      </c>
      <c r="B1158" s="57">
        <v>44363.319456018522</v>
      </c>
      <c r="C1158" s="56" t="s">
        <v>3803</v>
      </c>
      <c r="D1158" s="56" t="s">
        <v>4426</v>
      </c>
      <c r="E1158" s="56" t="s">
        <v>5333</v>
      </c>
      <c r="F1158" s="56" t="s">
        <v>5332</v>
      </c>
      <c r="G1158" s="58" t="s">
        <v>1713</v>
      </c>
      <c r="H1158" s="56">
        <v>1</v>
      </c>
      <c r="I1158" s="56" t="s">
        <v>3568</v>
      </c>
      <c r="J1158" s="56">
        <v>0</v>
      </c>
      <c r="K1158" s="56">
        <v>0</v>
      </c>
      <c r="P1158" s="56">
        <v>0</v>
      </c>
      <c r="S1158" s="56">
        <v>0</v>
      </c>
      <c r="T1158" s="56" t="s">
        <v>27</v>
      </c>
      <c r="V1158" s="56" t="s">
        <v>3612</v>
      </c>
      <c r="W1158" s="56" t="s">
        <v>3548</v>
      </c>
      <c r="X1158" s="56" t="s">
        <v>3611</v>
      </c>
      <c r="Z1158" s="56" t="s">
        <v>3546</v>
      </c>
      <c r="AA1158" s="56" t="s">
        <v>5331</v>
      </c>
      <c r="AB1158" s="56" t="s">
        <v>5330</v>
      </c>
      <c r="AC1158" s="56" t="s">
        <v>3543</v>
      </c>
      <c r="AH1158" s="56" t="s">
        <v>3542</v>
      </c>
      <c r="AI1158" s="56" t="s">
        <v>3541</v>
      </c>
    </row>
    <row r="1159" spans="1:35" ht="33" customHeight="1">
      <c r="A1159" s="56" t="s">
        <v>5334</v>
      </c>
      <c r="B1159" s="57">
        <v>44363.319456018522</v>
      </c>
      <c r="C1159" s="56" t="s">
        <v>3803</v>
      </c>
      <c r="D1159" s="56" t="s">
        <v>4426</v>
      </c>
      <c r="E1159" s="56" t="s">
        <v>5333</v>
      </c>
      <c r="F1159" s="56" t="s">
        <v>5332</v>
      </c>
      <c r="G1159" s="58" t="s">
        <v>1498</v>
      </c>
      <c r="H1159" s="56">
        <v>1</v>
      </c>
      <c r="I1159" s="56" t="s">
        <v>4016</v>
      </c>
      <c r="J1159" s="56">
        <v>0</v>
      </c>
      <c r="K1159" s="56">
        <v>0</v>
      </c>
      <c r="P1159" s="56">
        <v>0</v>
      </c>
      <c r="S1159" s="56">
        <v>0</v>
      </c>
      <c r="T1159" s="56" t="s">
        <v>27</v>
      </c>
      <c r="V1159" s="56" t="s">
        <v>3612</v>
      </c>
      <c r="W1159" s="56" t="s">
        <v>3548</v>
      </c>
      <c r="X1159" s="56" t="s">
        <v>3611</v>
      </c>
      <c r="Z1159" s="56" t="s">
        <v>3546</v>
      </c>
      <c r="AA1159" s="56" t="s">
        <v>5331</v>
      </c>
      <c r="AB1159" s="56" t="s">
        <v>5330</v>
      </c>
      <c r="AC1159" s="56" t="s">
        <v>3543</v>
      </c>
      <c r="AH1159" s="56" t="s">
        <v>3542</v>
      </c>
      <c r="AI1159" s="56" t="s">
        <v>3541</v>
      </c>
    </row>
    <row r="1160" spans="1:35" ht="33" customHeight="1">
      <c r="A1160" s="56" t="s">
        <v>5329</v>
      </c>
      <c r="B1160" s="57">
        <v>44363.381990740738</v>
      </c>
      <c r="C1160" s="56" t="s">
        <v>3803</v>
      </c>
      <c r="D1160" s="56" t="s">
        <v>3802</v>
      </c>
      <c r="E1160" s="56" t="s">
        <v>5328</v>
      </c>
      <c r="F1160" s="56" t="s">
        <v>5327</v>
      </c>
      <c r="G1160" s="58" t="s">
        <v>3811</v>
      </c>
      <c r="H1160" s="56">
        <v>1</v>
      </c>
      <c r="I1160" s="56" t="s">
        <v>3669</v>
      </c>
      <c r="J1160" s="56">
        <v>897</v>
      </c>
      <c r="K1160" s="56">
        <v>888</v>
      </c>
      <c r="L1160" s="56">
        <v>1776</v>
      </c>
      <c r="M1160" s="56">
        <v>0</v>
      </c>
      <c r="N1160" s="56">
        <v>0</v>
      </c>
      <c r="O1160" s="56">
        <v>153</v>
      </c>
      <c r="P1160" s="56">
        <v>0</v>
      </c>
      <c r="Q1160" s="56">
        <v>1623</v>
      </c>
      <c r="R1160" s="56">
        <v>0</v>
      </c>
      <c r="S1160" s="56">
        <v>0</v>
      </c>
      <c r="T1160" s="56" t="s">
        <v>3562</v>
      </c>
      <c r="U1160" s="56">
        <v>1623</v>
      </c>
      <c r="V1160" s="56" t="s">
        <v>3865</v>
      </c>
      <c r="W1160" s="56" t="s">
        <v>3548</v>
      </c>
      <c r="X1160" s="56" t="s">
        <v>39</v>
      </c>
      <c r="Y1160" s="56" t="s">
        <v>5326</v>
      </c>
      <c r="Z1160" s="56" t="s">
        <v>5325</v>
      </c>
      <c r="AC1160" s="56" t="s">
        <v>3543</v>
      </c>
      <c r="AD1160" s="56" t="s">
        <v>24</v>
      </c>
      <c r="AE1160" s="56" t="s">
        <v>5127</v>
      </c>
      <c r="AF1160" s="56" t="s">
        <v>5324</v>
      </c>
      <c r="AH1160" s="56" t="s">
        <v>3542</v>
      </c>
      <c r="AI1160" s="56" t="s">
        <v>3723</v>
      </c>
    </row>
    <row r="1161" spans="1:35" ht="33" customHeight="1">
      <c r="A1161" s="56" t="s">
        <v>5329</v>
      </c>
      <c r="B1161" s="57">
        <v>44363.381990740738</v>
      </c>
      <c r="C1161" s="56" t="s">
        <v>3803</v>
      </c>
      <c r="D1161" s="56" t="s">
        <v>3802</v>
      </c>
      <c r="E1161" s="56" t="s">
        <v>5328</v>
      </c>
      <c r="F1161" s="56" t="s">
        <v>5327</v>
      </c>
      <c r="G1161" s="58" t="s">
        <v>4535</v>
      </c>
      <c r="H1161" s="56">
        <v>1</v>
      </c>
      <c r="I1161" s="56" t="s">
        <v>3669</v>
      </c>
      <c r="J1161" s="56">
        <v>897</v>
      </c>
      <c r="K1161" s="56">
        <v>888</v>
      </c>
      <c r="P1161" s="56">
        <v>0</v>
      </c>
      <c r="S1161" s="56">
        <v>0</v>
      </c>
      <c r="T1161" s="56" t="s">
        <v>3562</v>
      </c>
      <c r="V1161" s="56" t="s">
        <v>3865</v>
      </c>
      <c r="W1161" s="56" t="s">
        <v>3548</v>
      </c>
      <c r="X1161" s="56" t="s">
        <v>39</v>
      </c>
      <c r="Y1161" s="56" t="s">
        <v>5326</v>
      </c>
      <c r="Z1161" s="56" t="s">
        <v>5325</v>
      </c>
      <c r="AC1161" s="56" t="s">
        <v>3543</v>
      </c>
      <c r="AD1161" s="56" t="s">
        <v>24</v>
      </c>
      <c r="AE1161" s="56" t="s">
        <v>5127</v>
      </c>
      <c r="AF1161" s="56" t="s">
        <v>5324</v>
      </c>
      <c r="AH1161" s="56" t="s">
        <v>3542</v>
      </c>
      <c r="AI1161" s="56" t="s">
        <v>3723</v>
      </c>
    </row>
    <row r="1162" spans="1:35" ht="33" customHeight="1">
      <c r="A1162" s="56" t="s">
        <v>5329</v>
      </c>
      <c r="B1162" s="57">
        <v>44363.381990740738</v>
      </c>
      <c r="C1162" s="56" t="s">
        <v>3803</v>
      </c>
      <c r="D1162" s="56" t="s">
        <v>3802</v>
      </c>
      <c r="E1162" s="56" t="s">
        <v>5328</v>
      </c>
      <c r="F1162" s="56" t="s">
        <v>5327</v>
      </c>
      <c r="G1162" s="58" t="s">
        <v>3551</v>
      </c>
      <c r="H1162" s="56">
        <v>1</v>
      </c>
      <c r="I1162" s="56" t="s">
        <v>3550</v>
      </c>
      <c r="J1162" s="56">
        <v>0</v>
      </c>
      <c r="K1162" s="56">
        <v>0</v>
      </c>
      <c r="P1162" s="56">
        <v>0</v>
      </c>
      <c r="S1162" s="56">
        <v>0</v>
      </c>
      <c r="T1162" s="56" t="s">
        <v>3562</v>
      </c>
      <c r="V1162" s="56" t="s">
        <v>3865</v>
      </c>
      <c r="W1162" s="56" t="s">
        <v>3548</v>
      </c>
      <c r="X1162" s="56" t="s">
        <v>39</v>
      </c>
      <c r="Y1162" s="56" t="s">
        <v>5326</v>
      </c>
      <c r="Z1162" s="56" t="s">
        <v>5325</v>
      </c>
      <c r="AC1162" s="56" t="s">
        <v>3543</v>
      </c>
      <c r="AD1162" s="56" t="s">
        <v>24</v>
      </c>
      <c r="AE1162" s="56" t="s">
        <v>5127</v>
      </c>
      <c r="AF1162" s="56" t="s">
        <v>5324</v>
      </c>
      <c r="AH1162" s="56" t="s">
        <v>3542</v>
      </c>
      <c r="AI1162" s="56" t="s">
        <v>3723</v>
      </c>
    </row>
    <row r="1163" spans="1:35" ht="33" customHeight="1">
      <c r="A1163" s="56" t="s">
        <v>5329</v>
      </c>
      <c r="B1163" s="57">
        <v>44363.381990740738</v>
      </c>
      <c r="C1163" s="56" t="s">
        <v>3803</v>
      </c>
      <c r="D1163" s="56" t="s">
        <v>3802</v>
      </c>
      <c r="E1163" s="56" t="s">
        <v>5328</v>
      </c>
      <c r="F1163" s="56" t="s">
        <v>5327</v>
      </c>
      <c r="G1163" s="58" t="s">
        <v>1713</v>
      </c>
      <c r="H1163" s="56">
        <v>1</v>
      </c>
      <c r="I1163" s="56" t="s">
        <v>3568</v>
      </c>
      <c r="J1163" s="56">
        <v>0</v>
      </c>
      <c r="K1163" s="56">
        <v>0</v>
      </c>
      <c r="P1163" s="56">
        <v>0</v>
      </c>
      <c r="S1163" s="56">
        <v>0</v>
      </c>
      <c r="T1163" s="56" t="s">
        <v>3562</v>
      </c>
      <c r="V1163" s="56" t="s">
        <v>3865</v>
      </c>
      <c r="W1163" s="56" t="s">
        <v>3548</v>
      </c>
      <c r="X1163" s="56" t="s">
        <v>39</v>
      </c>
      <c r="Y1163" s="56" t="s">
        <v>5326</v>
      </c>
      <c r="Z1163" s="56" t="s">
        <v>5325</v>
      </c>
      <c r="AC1163" s="56" t="s">
        <v>3543</v>
      </c>
      <c r="AD1163" s="56" t="s">
        <v>24</v>
      </c>
      <c r="AE1163" s="56" t="s">
        <v>5127</v>
      </c>
      <c r="AF1163" s="56" t="s">
        <v>5324</v>
      </c>
      <c r="AH1163" s="56" t="s">
        <v>3542</v>
      </c>
      <c r="AI1163" s="56" t="s">
        <v>3723</v>
      </c>
    </row>
    <row r="1164" spans="1:35" ht="33" customHeight="1">
      <c r="A1164" s="56" t="s">
        <v>5329</v>
      </c>
      <c r="B1164" s="57">
        <v>44363.381990740738</v>
      </c>
      <c r="C1164" s="56" t="s">
        <v>3803</v>
      </c>
      <c r="D1164" s="56" t="s">
        <v>3802</v>
      </c>
      <c r="E1164" s="56" t="s">
        <v>5328</v>
      </c>
      <c r="F1164" s="56" t="s">
        <v>5327</v>
      </c>
      <c r="G1164" s="58" t="s">
        <v>1498</v>
      </c>
      <c r="H1164" s="56">
        <v>1</v>
      </c>
      <c r="I1164" s="56" t="s">
        <v>4016</v>
      </c>
      <c r="J1164" s="56">
        <v>0</v>
      </c>
      <c r="K1164" s="56">
        <v>0</v>
      </c>
      <c r="P1164" s="56">
        <v>0</v>
      </c>
      <c r="S1164" s="56">
        <v>0</v>
      </c>
      <c r="T1164" s="56" t="s">
        <v>3562</v>
      </c>
      <c r="V1164" s="56" t="s">
        <v>3865</v>
      </c>
      <c r="W1164" s="56" t="s">
        <v>3548</v>
      </c>
      <c r="X1164" s="56" t="s">
        <v>39</v>
      </c>
      <c r="Y1164" s="56" t="s">
        <v>5326</v>
      </c>
      <c r="Z1164" s="56" t="s">
        <v>5325</v>
      </c>
      <c r="AC1164" s="56" t="s">
        <v>3543</v>
      </c>
      <c r="AD1164" s="56" t="s">
        <v>24</v>
      </c>
      <c r="AE1164" s="56" t="s">
        <v>5127</v>
      </c>
      <c r="AF1164" s="56" t="s">
        <v>5324</v>
      </c>
      <c r="AH1164" s="56" t="s">
        <v>3542</v>
      </c>
      <c r="AI1164" s="56" t="s">
        <v>3723</v>
      </c>
    </row>
    <row r="1165" spans="1:35" ht="33" customHeight="1">
      <c r="A1165" s="56" t="s">
        <v>5322</v>
      </c>
      <c r="B1165" s="57">
        <v>44363.385578703703</v>
      </c>
      <c r="C1165" s="56" t="s">
        <v>4512</v>
      </c>
      <c r="D1165" s="56" t="s">
        <v>4511</v>
      </c>
      <c r="E1165" s="56" t="s">
        <v>5321</v>
      </c>
      <c r="F1165" s="56" t="s">
        <v>5320</v>
      </c>
      <c r="G1165" s="58" t="s">
        <v>5323</v>
      </c>
      <c r="H1165" s="56">
        <v>1</v>
      </c>
      <c r="I1165" s="56" t="s">
        <v>3848</v>
      </c>
      <c r="J1165" s="56">
        <v>1396</v>
      </c>
      <c r="K1165" s="56">
        <v>1320</v>
      </c>
      <c r="L1165" s="56">
        <v>2813</v>
      </c>
      <c r="M1165" s="56">
        <v>0</v>
      </c>
      <c r="N1165" s="56">
        <v>0</v>
      </c>
      <c r="O1165" s="56">
        <v>100</v>
      </c>
      <c r="P1165" s="56">
        <v>0</v>
      </c>
      <c r="Q1165" s="56">
        <v>2713</v>
      </c>
      <c r="R1165" s="56">
        <v>0</v>
      </c>
      <c r="S1165" s="56">
        <v>0</v>
      </c>
      <c r="T1165" s="56" t="s">
        <v>3562</v>
      </c>
      <c r="U1165" s="56">
        <v>2713</v>
      </c>
      <c r="V1165" s="56" t="s">
        <v>3549</v>
      </c>
      <c r="W1165" s="56" t="s">
        <v>3548</v>
      </c>
      <c r="X1165" s="56" t="s">
        <v>3547</v>
      </c>
      <c r="Z1165" s="56" t="s">
        <v>3546</v>
      </c>
      <c r="AA1165" s="56" t="s">
        <v>5319</v>
      </c>
      <c r="AB1165" s="56" t="s">
        <v>5318</v>
      </c>
      <c r="AC1165" s="56" t="s">
        <v>3543</v>
      </c>
      <c r="AD1165" s="56" t="s">
        <v>24</v>
      </c>
      <c r="AE1165" s="56" t="s">
        <v>3725</v>
      </c>
      <c r="AF1165" s="56" t="s">
        <v>5317</v>
      </c>
      <c r="AH1165" s="56" t="s">
        <v>3542</v>
      </c>
      <c r="AI1165" s="56" t="s">
        <v>3723</v>
      </c>
    </row>
    <row r="1166" spans="1:35" ht="33" customHeight="1">
      <c r="A1166" s="56" t="s">
        <v>5322</v>
      </c>
      <c r="B1166" s="57">
        <v>44363.385578703703</v>
      </c>
      <c r="C1166" s="56" t="s">
        <v>4512</v>
      </c>
      <c r="D1166" s="56" t="s">
        <v>4511</v>
      </c>
      <c r="E1166" s="56" t="s">
        <v>5321</v>
      </c>
      <c r="F1166" s="56" t="s">
        <v>5320</v>
      </c>
      <c r="G1166" s="58" t="s">
        <v>1493</v>
      </c>
      <c r="H1166" s="56">
        <v>1</v>
      </c>
      <c r="I1166" s="56" t="s">
        <v>3601</v>
      </c>
      <c r="J1166" s="56">
        <v>135</v>
      </c>
      <c r="K1166" s="56">
        <v>135</v>
      </c>
      <c r="P1166" s="56">
        <v>0</v>
      </c>
      <c r="S1166" s="56">
        <v>0</v>
      </c>
      <c r="T1166" s="56" t="s">
        <v>3562</v>
      </c>
      <c r="V1166" s="56" t="s">
        <v>3549</v>
      </c>
      <c r="W1166" s="56" t="s">
        <v>3548</v>
      </c>
      <c r="X1166" s="56" t="s">
        <v>3547</v>
      </c>
      <c r="Z1166" s="56" t="s">
        <v>3546</v>
      </c>
      <c r="AA1166" s="56" t="s">
        <v>5319</v>
      </c>
      <c r="AB1166" s="56" t="s">
        <v>5318</v>
      </c>
      <c r="AC1166" s="56" t="s">
        <v>3543</v>
      </c>
      <c r="AD1166" s="56" t="s">
        <v>24</v>
      </c>
      <c r="AE1166" s="56" t="s">
        <v>3725</v>
      </c>
      <c r="AF1166" s="56" t="s">
        <v>5317</v>
      </c>
      <c r="AH1166" s="56" t="s">
        <v>3542</v>
      </c>
      <c r="AI1166" s="56" t="s">
        <v>3723</v>
      </c>
    </row>
    <row r="1167" spans="1:35" ht="33" customHeight="1">
      <c r="A1167" s="56" t="s">
        <v>5322</v>
      </c>
      <c r="B1167" s="57">
        <v>44363.385578703703</v>
      </c>
      <c r="C1167" s="56" t="s">
        <v>4512</v>
      </c>
      <c r="D1167" s="56" t="s">
        <v>4511</v>
      </c>
      <c r="E1167" s="56" t="s">
        <v>5321</v>
      </c>
      <c r="F1167" s="56" t="s">
        <v>5320</v>
      </c>
      <c r="G1167" s="58" t="s">
        <v>3603</v>
      </c>
      <c r="H1167" s="56">
        <v>1</v>
      </c>
      <c r="I1167" s="56" t="s">
        <v>3602</v>
      </c>
      <c r="J1167" s="56">
        <v>447</v>
      </c>
      <c r="K1167" s="56">
        <v>399</v>
      </c>
      <c r="P1167" s="56">
        <v>0</v>
      </c>
      <c r="S1167" s="56">
        <v>0</v>
      </c>
      <c r="T1167" s="56" t="s">
        <v>3562</v>
      </c>
      <c r="V1167" s="56" t="s">
        <v>3549</v>
      </c>
      <c r="W1167" s="56" t="s">
        <v>3548</v>
      </c>
      <c r="X1167" s="56" t="s">
        <v>3547</v>
      </c>
      <c r="Z1167" s="56" t="s">
        <v>3546</v>
      </c>
      <c r="AA1167" s="56" t="s">
        <v>5319</v>
      </c>
      <c r="AB1167" s="56" t="s">
        <v>5318</v>
      </c>
      <c r="AC1167" s="56" t="s">
        <v>3543</v>
      </c>
      <c r="AD1167" s="56" t="s">
        <v>24</v>
      </c>
      <c r="AE1167" s="56" t="s">
        <v>3725</v>
      </c>
      <c r="AF1167" s="56" t="s">
        <v>5317</v>
      </c>
      <c r="AH1167" s="56" t="s">
        <v>3542</v>
      </c>
      <c r="AI1167" s="56" t="s">
        <v>3723</v>
      </c>
    </row>
    <row r="1168" spans="1:35" ht="33" customHeight="1">
      <c r="A1168" s="56" t="s">
        <v>5322</v>
      </c>
      <c r="B1168" s="57">
        <v>44363.385578703703</v>
      </c>
      <c r="C1168" s="56" t="s">
        <v>4512</v>
      </c>
      <c r="D1168" s="56" t="s">
        <v>4511</v>
      </c>
      <c r="E1168" s="56" t="s">
        <v>5321</v>
      </c>
      <c r="F1168" s="56" t="s">
        <v>5320</v>
      </c>
      <c r="G1168" s="58" t="s">
        <v>4265</v>
      </c>
      <c r="H1168" s="56">
        <v>1</v>
      </c>
      <c r="I1168" s="56" t="s">
        <v>4123</v>
      </c>
      <c r="J1168" s="56">
        <v>478</v>
      </c>
      <c r="K1168" s="56">
        <v>460</v>
      </c>
      <c r="P1168" s="56">
        <v>0</v>
      </c>
      <c r="S1168" s="56">
        <v>0</v>
      </c>
      <c r="T1168" s="56" t="s">
        <v>3562</v>
      </c>
      <c r="V1168" s="56" t="s">
        <v>3549</v>
      </c>
      <c r="W1168" s="56" t="s">
        <v>3548</v>
      </c>
      <c r="X1168" s="56" t="s">
        <v>3547</v>
      </c>
      <c r="Z1168" s="56" t="s">
        <v>3546</v>
      </c>
      <c r="AA1168" s="56" t="s">
        <v>5319</v>
      </c>
      <c r="AB1168" s="56" t="s">
        <v>5318</v>
      </c>
      <c r="AC1168" s="56" t="s">
        <v>3543</v>
      </c>
      <c r="AD1168" s="56" t="s">
        <v>24</v>
      </c>
      <c r="AE1168" s="56" t="s">
        <v>3725</v>
      </c>
      <c r="AF1168" s="56" t="s">
        <v>5317</v>
      </c>
      <c r="AH1168" s="56" t="s">
        <v>3542</v>
      </c>
      <c r="AI1168" s="56" t="s">
        <v>3723</v>
      </c>
    </row>
    <row r="1169" spans="1:35" ht="33" customHeight="1">
      <c r="A1169" s="56" t="s">
        <v>5322</v>
      </c>
      <c r="B1169" s="57">
        <v>44363.385578703703</v>
      </c>
      <c r="C1169" s="56" t="s">
        <v>4512</v>
      </c>
      <c r="D1169" s="56" t="s">
        <v>4511</v>
      </c>
      <c r="E1169" s="56" t="s">
        <v>5321</v>
      </c>
      <c r="F1169" s="56" t="s">
        <v>5320</v>
      </c>
      <c r="G1169" s="58" t="s">
        <v>1486</v>
      </c>
      <c r="H1169" s="56">
        <v>1</v>
      </c>
      <c r="I1169" s="56" t="s">
        <v>4174</v>
      </c>
      <c r="J1169" s="56">
        <v>350</v>
      </c>
      <c r="K1169" s="56">
        <v>350</v>
      </c>
      <c r="P1169" s="56">
        <v>0</v>
      </c>
      <c r="S1169" s="56">
        <v>0</v>
      </c>
      <c r="T1169" s="56" t="s">
        <v>3562</v>
      </c>
      <c r="V1169" s="56" t="s">
        <v>3549</v>
      </c>
      <c r="W1169" s="56" t="s">
        <v>3548</v>
      </c>
      <c r="X1169" s="56" t="s">
        <v>3547</v>
      </c>
      <c r="Z1169" s="56" t="s">
        <v>3546</v>
      </c>
      <c r="AA1169" s="56" t="s">
        <v>5319</v>
      </c>
      <c r="AB1169" s="56" t="s">
        <v>5318</v>
      </c>
      <c r="AC1169" s="56" t="s">
        <v>3543</v>
      </c>
      <c r="AD1169" s="56" t="s">
        <v>24</v>
      </c>
      <c r="AE1169" s="56" t="s">
        <v>3725</v>
      </c>
      <c r="AF1169" s="56" t="s">
        <v>5317</v>
      </c>
      <c r="AH1169" s="56" t="s">
        <v>3542</v>
      </c>
      <c r="AI1169" s="56" t="s">
        <v>3723</v>
      </c>
    </row>
    <row r="1170" spans="1:35" ht="33" customHeight="1">
      <c r="A1170" s="56" t="s">
        <v>5322</v>
      </c>
      <c r="B1170" s="57">
        <v>44363.385578703703</v>
      </c>
      <c r="C1170" s="56" t="s">
        <v>4512</v>
      </c>
      <c r="D1170" s="56" t="s">
        <v>4511</v>
      </c>
      <c r="E1170" s="56" t="s">
        <v>5321</v>
      </c>
      <c r="F1170" s="56" t="s">
        <v>5320</v>
      </c>
      <c r="G1170" s="58" t="s">
        <v>2156</v>
      </c>
      <c r="H1170" s="56">
        <v>1</v>
      </c>
      <c r="I1170" s="56" t="s">
        <v>1376</v>
      </c>
      <c r="J1170" s="56">
        <v>149</v>
      </c>
      <c r="K1170" s="56">
        <v>149</v>
      </c>
      <c r="P1170" s="56">
        <v>0</v>
      </c>
      <c r="S1170" s="56">
        <v>0</v>
      </c>
      <c r="T1170" s="56" t="s">
        <v>3562</v>
      </c>
      <c r="V1170" s="56" t="s">
        <v>3549</v>
      </c>
      <c r="W1170" s="56" t="s">
        <v>3548</v>
      </c>
      <c r="X1170" s="56" t="s">
        <v>3547</v>
      </c>
      <c r="Z1170" s="56" t="s">
        <v>3546</v>
      </c>
      <c r="AA1170" s="56" t="s">
        <v>5319</v>
      </c>
      <c r="AB1170" s="56" t="s">
        <v>5318</v>
      </c>
      <c r="AC1170" s="56" t="s">
        <v>3543</v>
      </c>
      <c r="AD1170" s="56" t="s">
        <v>24</v>
      </c>
      <c r="AE1170" s="56" t="s">
        <v>3725</v>
      </c>
      <c r="AF1170" s="56" t="s">
        <v>5317</v>
      </c>
      <c r="AH1170" s="56" t="s">
        <v>3542</v>
      </c>
      <c r="AI1170" s="56" t="s">
        <v>3723</v>
      </c>
    </row>
    <row r="1171" spans="1:35" ht="33" customHeight="1">
      <c r="A1171" s="56" t="s">
        <v>5322</v>
      </c>
      <c r="B1171" s="57">
        <v>44363.385578703703</v>
      </c>
      <c r="C1171" s="56" t="s">
        <v>4512</v>
      </c>
      <c r="D1171" s="56" t="s">
        <v>4511</v>
      </c>
      <c r="E1171" s="56" t="s">
        <v>5321</v>
      </c>
      <c r="F1171" s="56" t="s">
        <v>5320</v>
      </c>
      <c r="G1171" s="58" t="s">
        <v>3551</v>
      </c>
      <c r="H1171" s="56">
        <v>1</v>
      </c>
      <c r="I1171" s="56" t="s">
        <v>3550</v>
      </c>
      <c r="J1171" s="56">
        <v>0</v>
      </c>
      <c r="K1171" s="56">
        <v>0</v>
      </c>
      <c r="P1171" s="56">
        <v>0</v>
      </c>
      <c r="S1171" s="56">
        <v>0</v>
      </c>
      <c r="T1171" s="56" t="s">
        <v>3562</v>
      </c>
      <c r="V1171" s="56" t="s">
        <v>3549</v>
      </c>
      <c r="W1171" s="56" t="s">
        <v>3548</v>
      </c>
      <c r="X1171" s="56" t="s">
        <v>3547</v>
      </c>
      <c r="Z1171" s="56" t="s">
        <v>3546</v>
      </c>
      <c r="AA1171" s="56" t="s">
        <v>5319</v>
      </c>
      <c r="AB1171" s="56" t="s">
        <v>5318</v>
      </c>
      <c r="AC1171" s="56" t="s">
        <v>3543</v>
      </c>
      <c r="AD1171" s="56" t="s">
        <v>24</v>
      </c>
      <c r="AE1171" s="56" t="s">
        <v>3725</v>
      </c>
      <c r="AF1171" s="56" t="s">
        <v>5317</v>
      </c>
      <c r="AH1171" s="56" t="s">
        <v>3542</v>
      </c>
      <c r="AI1171" s="56" t="s">
        <v>3723</v>
      </c>
    </row>
    <row r="1172" spans="1:35" ht="33" customHeight="1">
      <c r="A1172" s="56" t="s">
        <v>5322</v>
      </c>
      <c r="B1172" s="57">
        <v>44363.385578703703</v>
      </c>
      <c r="C1172" s="56" t="s">
        <v>4512</v>
      </c>
      <c r="D1172" s="56" t="s">
        <v>4511</v>
      </c>
      <c r="E1172" s="56" t="s">
        <v>5321</v>
      </c>
      <c r="F1172" s="56" t="s">
        <v>5320</v>
      </c>
      <c r="G1172" s="58" t="s">
        <v>1713</v>
      </c>
      <c r="H1172" s="56">
        <v>1</v>
      </c>
      <c r="I1172" s="56" t="s">
        <v>3568</v>
      </c>
      <c r="J1172" s="56">
        <v>0</v>
      </c>
      <c r="K1172" s="56">
        <v>0</v>
      </c>
      <c r="P1172" s="56">
        <v>0</v>
      </c>
      <c r="S1172" s="56">
        <v>0</v>
      </c>
      <c r="T1172" s="56" t="s">
        <v>3562</v>
      </c>
      <c r="V1172" s="56" t="s">
        <v>3549</v>
      </c>
      <c r="W1172" s="56" t="s">
        <v>3548</v>
      </c>
      <c r="X1172" s="56" t="s">
        <v>3547</v>
      </c>
      <c r="Z1172" s="56" t="s">
        <v>3546</v>
      </c>
      <c r="AA1172" s="56" t="s">
        <v>5319</v>
      </c>
      <c r="AB1172" s="56" t="s">
        <v>5318</v>
      </c>
      <c r="AC1172" s="56" t="s">
        <v>3543</v>
      </c>
      <c r="AD1172" s="56" t="s">
        <v>24</v>
      </c>
      <c r="AE1172" s="56" t="s">
        <v>3725</v>
      </c>
      <c r="AF1172" s="56" t="s">
        <v>5317</v>
      </c>
      <c r="AH1172" s="56" t="s">
        <v>3542</v>
      </c>
      <c r="AI1172" s="56" t="s">
        <v>3723</v>
      </c>
    </row>
    <row r="1173" spans="1:35" ht="33" customHeight="1">
      <c r="A1173" s="56" t="s">
        <v>5322</v>
      </c>
      <c r="B1173" s="57">
        <v>44363.385578703703</v>
      </c>
      <c r="C1173" s="56" t="s">
        <v>4512</v>
      </c>
      <c r="D1173" s="56" t="s">
        <v>4511</v>
      </c>
      <c r="E1173" s="56" t="s">
        <v>5321</v>
      </c>
      <c r="F1173" s="56" t="s">
        <v>5320</v>
      </c>
      <c r="G1173" s="58" t="s">
        <v>1498</v>
      </c>
      <c r="H1173" s="56">
        <v>1</v>
      </c>
      <c r="I1173" s="56" t="s">
        <v>4016</v>
      </c>
      <c r="J1173" s="56">
        <v>0</v>
      </c>
      <c r="K1173" s="56">
        <v>0</v>
      </c>
      <c r="P1173" s="56">
        <v>0</v>
      </c>
      <c r="S1173" s="56">
        <v>0</v>
      </c>
      <c r="T1173" s="56" t="s">
        <v>3562</v>
      </c>
      <c r="V1173" s="56" t="s">
        <v>3549</v>
      </c>
      <c r="W1173" s="56" t="s">
        <v>3548</v>
      </c>
      <c r="X1173" s="56" t="s">
        <v>3547</v>
      </c>
      <c r="Z1173" s="56" t="s">
        <v>3546</v>
      </c>
      <c r="AA1173" s="56" t="s">
        <v>5319</v>
      </c>
      <c r="AB1173" s="56" t="s">
        <v>5318</v>
      </c>
      <c r="AC1173" s="56" t="s">
        <v>3543</v>
      </c>
      <c r="AD1173" s="56" t="s">
        <v>24</v>
      </c>
      <c r="AE1173" s="56" t="s">
        <v>3725</v>
      </c>
      <c r="AF1173" s="56" t="s">
        <v>5317</v>
      </c>
      <c r="AH1173" s="56" t="s">
        <v>3542</v>
      </c>
      <c r="AI1173" s="56" t="s">
        <v>3723</v>
      </c>
    </row>
    <row r="1174" spans="1:35" ht="33" customHeight="1">
      <c r="A1174" s="56" t="s">
        <v>5322</v>
      </c>
      <c r="B1174" s="57">
        <v>44363.385578703703</v>
      </c>
      <c r="C1174" s="56" t="s">
        <v>4512</v>
      </c>
      <c r="D1174" s="56" t="s">
        <v>4511</v>
      </c>
      <c r="E1174" s="56" t="s">
        <v>5321</v>
      </c>
      <c r="F1174" s="56" t="s">
        <v>5320</v>
      </c>
      <c r="G1174" s="58" t="s">
        <v>3564</v>
      </c>
      <c r="H1174" s="56">
        <v>1</v>
      </c>
      <c r="I1174" s="56" t="s">
        <v>3563</v>
      </c>
      <c r="J1174" s="56">
        <v>0</v>
      </c>
      <c r="K1174" s="56">
        <v>0</v>
      </c>
      <c r="P1174" s="56">
        <v>0</v>
      </c>
      <c r="S1174" s="56">
        <v>0</v>
      </c>
      <c r="T1174" s="56" t="s">
        <v>3562</v>
      </c>
      <c r="V1174" s="56" t="s">
        <v>3549</v>
      </c>
      <c r="W1174" s="56" t="s">
        <v>3548</v>
      </c>
      <c r="X1174" s="56" t="s">
        <v>3547</v>
      </c>
      <c r="Z1174" s="56" t="s">
        <v>3546</v>
      </c>
      <c r="AA1174" s="56" t="s">
        <v>5319</v>
      </c>
      <c r="AB1174" s="56" t="s">
        <v>5318</v>
      </c>
      <c r="AC1174" s="56" t="s">
        <v>3543</v>
      </c>
      <c r="AD1174" s="56" t="s">
        <v>24</v>
      </c>
      <c r="AE1174" s="56" t="s">
        <v>3725</v>
      </c>
      <c r="AF1174" s="56" t="s">
        <v>5317</v>
      </c>
      <c r="AH1174" s="56" t="s">
        <v>3542</v>
      </c>
      <c r="AI1174" s="56" t="s">
        <v>3723</v>
      </c>
    </row>
    <row r="1175" spans="1:35" ht="33" customHeight="1">
      <c r="A1175" s="56" t="s">
        <v>5316</v>
      </c>
      <c r="B1175" s="57">
        <v>44363.386631944442</v>
      </c>
      <c r="C1175" s="56" t="s">
        <v>3803</v>
      </c>
      <c r="D1175" s="56" t="s">
        <v>4426</v>
      </c>
      <c r="E1175" s="56" t="s">
        <v>5315</v>
      </c>
      <c r="F1175" s="56" t="s">
        <v>5314</v>
      </c>
      <c r="G1175" s="58" t="s">
        <v>1531</v>
      </c>
      <c r="H1175" s="56">
        <v>1</v>
      </c>
      <c r="I1175" s="56" t="s">
        <v>3696</v>
      </c>
      <c r="J1175" s="56">
        <v>299</v>
      </c>
      <c r="K1175" s="56">
        <v>299</v>
      </c>
      <c r="L1175" s="56">
        <v>1196</v>
      </c>
      <c r="M1175" s="56">
        <v>0</v>
      </c>
      <c r="N1175" s="56">
        <v>24</v>
      </c>
      <c r="O1175" s="56">
        <v>61</v>
      </c>
      <c r="P1175" s="56">
        <v>0</v>
      </c>
      <c r="Q1175" s="56">
        <v>1111</v>
      </c>
      <c r="R1175" s="56">
        <v>0</v>
      </c>
      <c r="S1175" s="56">
        <v>0</v>
      </c>
      <c r="T1175" s="56" t="s">
        <v>27</v>
      </c>
      <c r="U1175" s="56">
        <v>1111</v>
      </c>
      <c r="V1175" s="56" t="s">
        <v>3549</v>
      </c>
      <c r="W1175" s="56" t="s">
        <v>3548</v>
      </c>
      <c r="X1175" s="56" t="s">
        <v>3547</v>
      </c>
      <c r="Z1175" s="56" t="s">
        <v>3546</v>
      </c>
      <c r="AA1175" s="56" t="s">
        <v>5313</v>
      </c>
      <c r="AB1175" s="56" t="s">
        <v>5312</v>
      </c>
      <c r="AC1175" s="56" t="s">
        <v>3543</v>
      </c>
      <c r="AH1175" s="56" t="s">
        <v>3542</v>
      </c>
      <c r="AI1175" s="56" t="s">
        <v>3541</v>
      </c>
    </row>
    <row r="1176" spans="1:35" ht="33" customHeight="1">
      <c r="A1176" s="56" t="s">
        <v>5316</v>
      </c>
      <c r="B1176" s="57">
        <v>44363.386631944442</v>
      </c>
      <c r="C1176" s="56" t="s">
        <v>3803</v>
      </c>
      <c r="D1176" s="56" t="s">
        <v>4426</v>
      </c>
      <c r="E1176" s="56" t="s">
        <v>5315</v>
      </c>
      <c r="F1176" s="56" t="s">
        <v>5314</v>
      </c>
      <c r="G1176" s="58" t="s">
        <v>1508</v>
      </c>
      <c r="H1176" s="56">
        <v>1</v>
      </c>
      <c r="I1176" s="56" t="s">
        <v>3696</v>
      </c>
      <c r="J1176" s="56">
        <v>299</v>
      </c>
      <c r="K1176" s="56">
        <v>299</v>
      </c>
      <c r="P1176" s="56">
        <v>0</v>
      </c>
      <c r="S1176" s="56">
        <v>0</v>
      </c>
      <c r="T1176" s="56" t="s">
        <v>27</v>
      </c>
      <c r="V1176" s="56" t="s">
        <v>3549</v>
      </c>
      <c r="W1176" s="56" t="s">
        <v>3548</v>
      </c>
      <c r="X1176" s="56" t="s">
        <v>3547</v>
      </c>
      <c r="Z1176" s="56" t="s">
        <v>3546</v>
      </c>
      <c r="AA1176" s="56" t="s">
        <v>5313</v>
      </c>
      <c r="AB1176" s="56" t="s">
        <v>5312</v>
      </c>
      <c r="AC1176" s="56" t="s">
        <v>3543</v>
      </c>
      <c r="AH1176" s="56" t="s">
        <v>3542</v>
      </c>
      <c r="AI1176" s="56" t="s">
        <v>3541</v>
      </c>
    </row>
    <row r="1177" spans="1:35" ht="33" customHeight="1">
      <c r="A1177" s="56" t="s">
        <v>5316</v>
      </c>
      <c r="B1177" s="57">
        <v>44363.386631944442</v>
      </c>
      <c r="C1177" s="56" t="s">
        <v>3803</v>
      </c>
      <c r="D1177" s="56" t="s">
        <v>4426</v>
      </c>
      <c r="E1177" s="56" t="s">
        <v>5315</v>
      </c>
      <c r="F1177" s="56" t="s">
        <v>5314</v>
      </c>
      <c r="G1177" s="58" t="s">
        <v>1510</v>
      </c>
      <c r="H1177" s="56">
        <v>1</v>
      </c>
      <c r="I1177" s="56" t="s">
        <v>3696</v>
      </c>
      <c r="J1177" s="56">
        <v>299</v>
      </c>
      <c r="K1177" s="56">
        <v>299</v>
      </c>
      <c r="P1177" s="56">
        <v>0</v>
      </c>
      <c r="S1177" s="56">
        <v>0</v>
      </c>
      <c r="T1177" s="56" t="s">
        <v>27</v>
      </c>
      <c r="V1177" s="56" t="s">
        <v>3549</v>
      </c>
      <c r="W1177" s="56" t="s">
        <v>3548</v>
      </c>
      <c r="X1177" s="56" t="s">
        <v>3547</v>
      </c>
      <c r="Z1177" s="56" t="s">
        <v>3546</v>
      </c>
      <c r="AA1177" s="56" t="s">
        <v>5313</v>
      </c>
      <c r="AB1177" s="56" t="s">
        <v>5312</v>
      </c>
      <c r="AC1177" s="56" t="s">
        <v>3543</v>
      </c>
      <c r="AH1177" s="56" t="s">
        <v>3542</v>
      </c>
      <c r="AI1177" s="56" t="s">
        <v>3541</v>
      </c>
    </row>
    <row r="1178" spans="1:35" ht="33" customHeight="1">
      <c r="A1178" s="56" t="s">
        <v>5316</v>
      </c>
      <c r="B1178" s="57">
        <v>44363.386631944442</v>
      </c>
      <c r="C1178" s="56" t="s">
        <v>3803</v>
      </c>
      <c r="D1178" s="56" t="s">
        <v>4426</v>
      </c>
      <c r="E1178" s="56" t="s">
        <v>5315</v>
      </c>
      <c r="F1178" s="56" t="s">
        <v>5314</v>
      </c>
      <c r="G1178" s="58" t="s">
        <v>1506</v>
      </c>
      <c r="H1178" s="56">
        <v>1</v>
      </c>
      <c r="I1178" s="56" t="s">
        <v>3696</v>
      </c>
      <c r="J1178" s="56">
        <v>299</v>
      </c>
      <c r="K1178" s="56">
        <v>299</v>
      </c>
      <c r="P1178" s="56">
        <v>0</v>
      </c>
      <c r="S1178" s="56">
        <v>0</v>
      </c>
      <c r="T1178" s="56" t="s">
        <v>27</v>
      </c>
      <c r="V1178" s="56" t="s">
        <v>3549</v>
      </c>
      <c r="W1178" s="56" t="s">
        <v>3548</v>
      </c>
      <c r="X1178" s="56" t="s">
        <v>3547</v>
      </c>
      <c r="Z1178" s="56" t="s">
        <v>3546</v>
      </c>
      <c r="AA1178" s="56" t="s">
        <v>5313</v>
      </c>
      <c r="AB1178" s="56" t="s">
        <v>5312</v>
      </c>
      <c r="AC1178" s="56" t="s">
        <v>3543</v>
      </c>
      <c r="AH1178" s="56" t="s">
        <v>3542</v>
      </c>
      <c r="AI1178" s="56" t="s">
        <v>3541</v>
      </c>
    </row>
    <row r="1179" spans="1:35" ht="33" customHeight="1">
      <c r="A1179" s="56" t="s">
        <v>5316</v>
      </c>
      <c r="B1179" s="57">
        <v>44363.386631944442</v>
      </c>
      <c r="C1179" s="56" t="s">
        <v>3803</v>
      </c>
      <c r="D1179" s="56" t="s">
        <v>4426</v>
      </c>
      <c r="E1179" s="56" t="s">
        <v>5315</v>
      </c>
      <c r="F1179" s="56" t="s">
        <v>5314</v>
      </c>
      <c r="G1179" s="58" t="s">
        <v>3551</v>
      </c>
      <c r="H1179" s="56">
        <v>1</v>
      </c>
      <c r="I1179" s="56" t="s">
        <v>3550</v>
      </c>
      <c r="J1179" s="56">
        <v>0</v>
      </c>
      <c r="K1179" s="56">
        <v>0</v>
      </c>
      <c r="P1179" s="56">
        <v>0</v>
      </c>
      <c r="S1179" s="56">
        <v>0</v>
      </c>
      <c r="T1179" s="56" t="s">
        <v>27</v>
      </c>
      <c r="V1179" s="56" t="s">
        <v>3549</v>
      </c>
      <c r="W1179" s="56" t="s">
        <v>3548</v>
      </c>
      <c r="X1179" s="56" t="s">
        <v>3547</v>
      </c>
      <c r="Z1179" s="56" t="s">
        <v>3546</v>
      </c>
      <c r="AA1179" s="56" t="s">
        <v>5313</v>
      </c>
      <c r="AB1179" s="56" t="s">
        <v>5312</v>
      </c>
      <c r="AC1179" s="56" t="s">
        <v>3543</v>
      </c>
      <c r="AH1179" s="56" t="s">
        <v>3542</v>
      </c>
      <c r="AI1179" s="56" t="s">
        <v>3541</v>
      </c>
    </row>
    <row r="1180" spans="1:35" ht="33" customHeight="1">
      <c r="A1180" s="56" t="s">
        <v>5316</v>
      </c>
      <c r="B1180" s="57">
        <v>44363.386631944442</v>
      </c>
      <c r="C1180" s="56" t="s">
        <v>3803</v>
      </c>
      <c r="D1180" s="56" t="s">
        <v>4426</v>
      </c>
      <c r="E1180" s="56" t="s">
        <v>5315</v>
      </c>
      <c r="F1180" s="56" t="s">
        <v>5314</v>
      </c>
      <c r="G1180" s="58" t="s">
        <v>1498</v>
      </c>
      <c r="H1180" s="56">
        <v>1</v>
      </c>
      <c r="I1180" s="56" t="s">
        <v>4016</v>
      </c>
      <c r="J1180" s="56">
        <v>0</v>
      </c>
      <c r="K1180" s="56">
        <v>0</v>
      </c>
      <c r="P1180" s="56">
        <v>0</v>
      </c>
      <c r="S1180" s="56">
        <v>0</v>
      </c>
      <c r="T1180" s="56" t="s">
        <v>27</v>
      </c>
      <c r="V1180" s="56" t="s">
        <v>3549</v>
      </c>
      <c r="W1180" s="56" t="s">
        <v>3548</v>
      </c>
      <c r="X1180" s="56" t="s">
        <v>3547</v>
      </c>
      <c r="Z1180" s="56" t="s">
        <v>3546</v>
      </c>
      <c r="AA1180" s="56" t="s">
        <v>5313</v>
      </c>
      <c r="AB1180" s="56" t="s">
        <v>5312</v>
      </c>
      <c r="AC1180" s="56" t="s">
        <v>3543</v>
      </c>
      <c r="AH1180" s="56" t="s">
        <v>3542</v>
      </c>
      <c r="AI1180" s="56" t="s">
        <v>3541</v>
      </c>
    </row>
    <row r="1181" spans="1:35" ht="33" customHeight="1">
      <c r="A1181" s="56" t="s">
        <v>5311</v>
      </c>
      <c r="B1181" s="57">
        <v>44363.402766203704</v>
      </c>
      <c r="C1181" s="56" t="s">
        <v>3803</v>
      </c>
      <c r="D1181" s="56" t="s">
        <v>4426</v>
      </c>
      <c r="E1181" s="56" t="s">
        <v>5310</v>
      </c>
      <c r="F1181" s="56" t="s">
        <v>5309</v>
      </c>
      <c r="G1181" s="58" t="s">
        <v>1531</v>
      </c>
      <c r="H1181" s="56">
        <v>1</v>
      </c>
      <c r="I1181" s="56" t="s">
        <v>3696</v>
      </c>
      <c r="J1181" s="56">
        <v>299</v>
      </c>
      <c r="K1181" s="56">
        <v>299</v>
      </c>
      <c r="L1181" s="56">
        <v>1332</v>
      </c>
      <c r="M1181" s="56">
        <v>0</v>
      </c>
      <c r="N1181" s="56">
        <v>0</v>
      </c>
      <c r="O1181" s="56">
        <v>134</v>
      </c>
      <c r="P1181" s="56">
        <v>0</v>
      </c>
      <c r="Q1181" s="56">
        <v>1198</v>
      </c>
      <c r="R1181" s="56">
        <v>0</v>
      </c>
      <c r="S1181" s="56">
        <v>0</v>
      </c>
      <c r="T1181" s="56" t="s">
        <v>27</v>
      </c>
      <c r="U1181" s="56">
        <v>1198</v>
      </c>
      <c r="V1181" s="56" t="s">
        <v>3549</v>
      </c>
      <c r="W1181" s="56" t="s">
        <v>3548</v>
      </c>
      <c r="X1181" s="56" t="s">
        <v>3547</v>
      </c>
      <c r="Z1181" s="56" t="s">
        <v>3546</v>
      </c>
      <c r="AA1181" s="56" t="s">
        <v>5308</v>
      </c>
      <c r="AB1181" s="56" t="s">
        <v>5307</v>
      </c>
      <c r="AC1181" s="56" t="s">
        <v>3543</v>
      </c>
      <c r="AH1181" s="56" t="s">
        <v>3542</v>
      </c>
      <c r="AI1181" s="56" t="s">
        <v>3541</v>
      </c>
    </row>
    <row r="1182" spans="1:35" ht="33" customHeight="1">
      <c r="A1182" s="56" t="s">
        <v>5311</v>
      </c>
      <c r="B1182" s="57">
        <v>44363.402766203704</v>
      </c>
      <c r="C1182" s="56" t="s">
        <v>3803</v>
      </c>
      <c r="D1182" s="56" t="s">
        <v>4426</v>
      </c>
      <c r="E1182" s="56" t="s">
        <v>5310</v>
      </c>
      <c r="F1182" s="56" t="s">
        <v>5309</v>
      </c>
      <c r="G1182" s="58" t="s">
        <v>1506</v>
      </c>
      <c r="H1182" s="56">
        <v>1</v>
      </c>
      <c r="I1182" s="56" t="s">
        <v>3696</v>
      </c>
      <c r="J1182" s="56">
        <v>299</v>
      </c>
      <c r="K1182" s="56">
        <v>299</v>
      </c>
      <c r="P1182" s="56">
        <v>0</v>
      </c>
      <c r="S1182" s="56">
        <v>0</v>
      </c>
      <c r="T1182" s="56" t="s">
        <v>27</v>
      </c>
      <c r="V1182" s="56" t="s">
        <v>3549</v>
      </c>
      <c r="W1182" s="56" t="s">
        <v>3548</v>
      </c>
      <c r="X1182" s="56" t="s">
        <v>3547</v>
      </c>
      <c r="Z1182" s="56" t="s">
        <v>3546</v>
      </c>
      <c r="AA1182" s="56" t="s">
        <v>5308</v>
      </c>
      <c r="AB1182" s="56" t="s">
        <v>5307</v>
      </c>
      <c r="AC1182" s="56" t="s">
        <v>3543</v>
      </c>
      <c r="AH1182" s="56" t="s">
        <v>3542</v>
      </c>
      <c r="AI1182" s="56" t="s">
        <v>3541</v>
      </c>
    </row>
    <row r="1183" spans="1:35" ht="33" customHeight="1">
      <c r="A1183" s="56" t="s">
        <v>5311</v>
      </c>
      <c r="B1183" s="57">
        <v>44363.402766203704</v>
      </c>
      <c r="C1183" s="56" t="s">
        <v>3803</v>
      </c>
      <c r="D1183" s="56" t="s">
        <v>4426</v>
      </c>
      <c r="E1183" s="56" t="s">
        <v>5310</v>
      </c>
      <c r="F1183" s="56" t="s">
        <v>5309</v>
      </c>
      <c r="G1183" s="58" t="s">
        <v>3747</v>
      </c>
      <c r="H1183" s="56">
        <v>1</v>
      </c>
      <c r="I1183" s="56" t="s">
        <v>3746</v>
      </c>
      <c r="J1183" s="56">
        <v>660</v>
      </c>
      <c r="K1183" s="56">
        <v>450</v>
      </c>
      <c r="P1183" s="56">
        <v>0</v>
      </c>
      <c r="S1183" s="56">
        <v>0</v>
      </c>
      <c r="T1183" s="56" t="s">
        <v>27</v>
      </c>
      <c r="V1183" s="56" t="s">
        <v>3549</v>
      </c>
      <c r="W1183" s="56" t="s">
        <v>3548</v>
      </c>
      <c r="X1183" s="56" t="s">
        <v>3547</v>
      </c>
      <c r="Z1183" s="56" t="s">
        <v>3546</v>
      </c>
      <c r="AA1183" s="56" t="s">
        <v>5308</v>
      </c>
      <c r="AB1183" s="56" t="s">
        <v>5307</v>
      </c>
      <c r="AC1183" s="56" t="s">
        <v>3543</v>
      </c>
      <c r="AH1183" s="56" t="s">
        <v>3542</v>
      </c>
      <c r="AI1183" s="56" t="s">
        <v>3541</v>
      </c>
    </row>
    <row r="1184" spans="1:35" ht="33" customHeight="1">
      <c r="A1184" s="56" t="s">
        <v>5311</v>
      </c>
      <c r="B1184" s="57">
        <v>44363.402766203704</v>
      </c>
      <c r="C1184" s="56" t="s">
        <v>3803</v>
      </c>
      <c r="D1184" s="56" t="s">
        <v>4426</v>
      </c>
      <c r="E1184" s="56" t="s">
        <v>5310</v>
      </c>
      <c r="F1184" s="56" t="s">
        <v>5309</v>
      </c>
      <c r="G1184" s="58" t="s">
        <v>1493</v>
      </c>
      <c r="H1184" s="56">
        <v>1</v>
      </c>
      <c r="I1184" s="56" t="s">
        <v>3601</v>
      </c>
      <c r="J1184" s="56">
        <v>135</v>
      </c>
      <c r="K1184" s="56">
        <v>135</v>
      </c>
      <c r="P1184" s="56">
        <v>0</v>
      </c>
      <c r="S1184" s="56">
        <v>0</v>
      </c>
      <c r="T1184" s="56" t="s">
        <v>27</v>
      </c>
      <c r="V1184" s="56" t="s">
        <v>3549</v>
      </c>
      <c r="W1184" s="56" t="s">
        <v>3548</v>
      </c>
      <c r="X1184" s="56" t="s">
        <v>3547</v>
      </c>
      <c r="Z1184" s="56" t="s">
        <v>3546</v>
      </c>
      <c r="AA1184" s="56" t="s">
        <v>5308</v>
      </c>
      <c r="AB1184" s="56" t="s">
        <v>5307</v>
      </c>
      <c r="AC1184" s="56" t="s">
        <v>3543</v>
      </c>
      <c r="AH1184" s="56" t="s">
        <v>3542</v>
      </c>
      <c r="AI1184" s="56" t="s">
        <v>3541</v>
      </c>
    </row>
    <row r="1185" spans="1:35" ht="33" customHeight="1">
      <c r="A1185" s="56" t="s">
        <v>5311</v>
      </c>
      <c r="B1185" s="57">
        <v>44363.402766203704</v>
      </c>
      <c r="C1185" s="56" t="s">
        <v>3803</v>
      </c>
      <c r="D1185" s="56" t="s">
        <v>4426</v>
      </c>
      <c r="E1185" s="56" t="s">
        <v>5310</v>
      </c>
      <c r="F1185" s="56" t="s">
        <v>5309</v>
      </c>
      <c r="G1185" s="58" t="s">
        <v>1491</v>
      </c>
      <c r="H1185" s="56">
        <v>1</v>
      </c>
      <c r="I1185" s="56" t="s">
        <v>3586</v>
      </c>
      <c r="J1185" s="56">
        <v>149</v>
      </c>
      <c r="K1185" s="56">
        <v>149</v>
      </c>
      <c r="P1185" s="56">
        <v>0</v>
      </c>
      <c r="S1185" s="56">
        <v>0</v>
      </c>
      <c r="T1185" s="56" t="s">
        <v>27</v>
      </c>
      <c r="V1185" s="56" t="s">
        <v>3549</v>
      </c>
      <c r="W1185" s="56" t="s">
        <v>3548</v>
      </c>
      <c r="X1185" s="56" t="s">
        <v>3547</v>
      </c>
      <c r="Z1185" s="56" t="s">
        <v>3546</v>
      </c>
      <c r="AA1185" s="56" t="s">
        <v>5308</v>
      </c>
      <c r="AB1185" s="56" t="s">
        <v>5307</v>
      </c>
      <c r="AC1185" s="56" t="s">
        <v>3543</v>
      </c>
      <c r="AH1185" s="56" t="s">
        <v>3542</v>
      </c>
      <c r="AI1185" s="56" t="s">
        <v>3541</v>
      </c>
    </row>
    <row r="1186" spans="1:35" ht="33" customHeight="1">
      <c r="A1186" s="56" t="s">
        <v>5311</v>
      </c>
      <c r="B1186" s="57">
        <v>44363.402766203704</v>
      </c>
      <c r="C1186" s="56" t="s">
        <v>3803</v>
      </c>
      <c r="D1186" s="56" t="s">
        <v>4426</v>
      </c>
      <c r="E1186" s="56" t="s">
        <v>5310</v>
      </c>
      <c r="F1186" s="56" t="s">
        <v>5309</v>
      </c>
      <c r="G1186" s="58" t="s">
        <v>3551</v>
      </c>
      <c r="H1186" s="56">
        <v>1</v>
      </c>
      <c r="I1186" s="56" t="s">
        <v>3550</v>
      </c>
      <c r="J1186" s="56">
        <v>0</v>
      </c>
      <c r="K1186" s="56">
        <v>0</v>
      </c>
      <c r="P1186" s="56">
        <v>0</v>
      </c>
      <c r="S1186" s="56">
        <v>0</v>
      </c>
      <c r="T1186" s="56" t="s">
        <v>27</v>
      </c>
      <c r="V1186" s="56" t="s">
        <v>3549</v>
      </c>
      <c r="W1186" s="56" t="s">
        <v>3548</v>
      </c>
      <c r="X1186" s="56" t="s">
        <v>3547</v>
      </c>
      <c r="Z1186" s="56" t="s">
        <v>3546</v>
      </c>
      <c r="AA1186" s="56" t="s">
        <v>5308</v>
      </c>
      <c r="AB1186" s="56" t="s">
        <v>5307</v>
      </c>
      <c r="AC1186" s="56" t="s">
        <v>3543</v>
      </c>
      <c r="AH1186" s="56" t="s">
        <v>3542</v>
      </c>
      <c r="AI1186" s="56" t="s">
        <v>3541</v>
      </c>
    </row>
    <row r="1187" spans="1:35" ht="33" customHeight="1">
      <c r="A1187" s="56" t="s">
        <v>5311</v>
      </c>
      <c r="B1187" s="57">
        <v>44363.402766203704</v>
      </c>
      <c r="C1187" s="56" t="s">
        <v>3803</v>
      </c>
      <c r="D1187" s="56" t="s">
        <v>4426</v>
      </c>
      <c r="E1187" s="56" t="s">
        <v>5310</v>
      </c>
      <c r="F1187" s="56" t="s">
        <v>5309</v>
      </c>
      <c r="G1187" s="58" t="s">
        <v>1498</v>
      </c>
      <c r="H1187" s="56">
        <v>1</v>
      </c>
      <c r="I1187" s="56" t="s">
        <v>4016</v>
      </c>
      <c r="J1187" s="56">
        <v>0</v>
      </c>
      <c r="K1187" s="56">
        <v>0</v>
      </c>
      <c r="P1187" s="56">
        <v>0</v>
      </c>
      <c r="S1187" s="56">
        <v>0</v>
      </c>
      <c r="T1187" s="56" t="s">
        <v>27</v>
      </c>
      <c r="V1187" s="56" t="s">
        <v>3549</v>
      </c>
      <c r="W1187" s="56" t="s">
        <v>3548</v>
      </c>
      <c r="X1187" s="56" t="s">
        <v>3547</v>
      </c>
      <c r="Z1187" s="56" t="s">
        <v>3546</v>
      </c>
      <c r="AA1187" s="56" t="s">
        <v>5308</v>
      </c>
      <c r="AB1187" s="56" t="s">
        <v>5307</v>
      </c>
      <c r="AC1187" s="56" t="s">
        <v>3543</v>
      </c>
      <c r="AH1187" s="56" t="s">
        <v>3542</v>
      </c>
      <c r="AI1187" s="56" t="s">
        <v>3541</v>
      </c>
    </row>
    <row r="1188" spans="1:35" ht="33" customHeight="1">
      <c r="A1188" s="56" t="s">
        <v>5306</v>
      </c>
      <c r="B1188" s="57">
        <v>44363.443287037036</v>
      </c>
      <c r="C1188" s="56" t="s">
        <v>3803</v>
      </c>
      <c r="D1188" s="56" t="s">
        <v>3802</v>
      </c>
      <c r="E1188" s="56" t="s">
        <v>5305</v>
      </c>
      <c r="F1188" s="56" t="s">
        <v>5304</v>
      </c>
      <c r="G1188" s="58" t="s">
        <v>4490</v>
      </c>
      <c r="H1188" s="56">
        <v>1</v>
      </c>
      <c r="I1188" s="56" t="s">
        <v>3577</v>
      </c>
      <c r="J1188" s="56">
        <v>700</v>
      </c>
      <c r="K1188" s="56">
        <v>599</v>
      </c>
      <c r="L1188" s="56">
        <v>1648</v>
      </c>
      <c r="M1188" s="56">
        <v>0</v>
      </c>
      <c r="N1188" s="56">
        <v>0</v>
      </c>
      <c r="O1188" s="56">
        <v>164</v>
      </c>
      <c r="P1188" s="56">
        <v>0</v>
      </c>
      <c r="Q1188" s="56">
        <v>1484</v>
      </c>
      <c r="R1188" s="56">
        <v>0</v>
      </c>
      <c r="S1188" s="56">
        <v>0</v>
      </c>
      <c r="T1188" s="56" t="s">
        <v>3562</v>
      </c>
      <c r="U1188" s="56">
        <v>1484</v>
      </c>
      <c r="V1188" s="56" t="s">
        <v>59</v>
      </c>
      <c r="W1188" s="56" t="s">
        <v>3548</v>
      </c>
      <c r="X1188" s="56" t="s">
        <v>39</v>
      </c>
      <c r="Y1188" s="56" t="s">
        <v>3560</v>
      </c>
      <c r="Z1188" s="56" t="s">
        <v>5303</v>
      </c>
      <c r="AC1188" s="56" t="s">
        <v>3543</v>
      </c>
      <c r="AD1188" s="56" t="s">
        <v>24</v>
      </c>
      <c r="AE1188" s="56" t="s">
        <v>5127</v>
      </c>
      <c r="AF1188" s="56" t="s">
        <v>5302</v>
      </c>
      <c r="AH1188" s="56" t="s">
        <v>3542</v>
      </c>
      <c r="AI1188" s="56" t="s">
        <v>3723</v>
      </c>
    </row>
    <row r="1189" spans="1:35" ht="33" customHeight="1">
      <c r="A1189" s="56" t="s">
        <v>5306</v>
      </c>
      <c r="B1189" s="57">
        <v>44363.443287037036</v>
      </c>
      <c r="C1189" s="56" t="s">
        <v>3803</v>
      </c>
      <c r="D1189" s="56" t="s">
        <v>3802</v>
      </c>
      <c r="E1189" s="56" t="s">
        <v>5305</v>
      </c>
      <c r="F1189" s="56" t="s">
        <v>5304</v>
      </c>
      <c r="G1189" s="58" t="s">
        <v>3681</v>
      </c>
      <c r="H1189" s="56">
        <v>1</v>
      </c>
      <c r="I1189" s="56" t="s">
        <v>3569</v>
      </c>
      <c r="J1189" s="56">
        <v>894</v>
      </c>
      <c r="K1189" s="56">
        <v>750</v>
      </c>
      <c r="P1189" s="56">
        <v>0</v>
      </c>
      <c r="S1189" s="56">
        <v>0</v>
      </c>
      <c r="T1189" s="56" t="s">
        <v>3562</v>
      </c>
      <c r="V1189" s="56" t="s">
        <v>59</v>
      </c>
      <c r="W1189" s="56" t="s">
        <v>3548</v>
      </c>
      <c r="X1189" s="56" t="s">
        <v>39</v>
      </c>
      <c r="Y1189" s="56" t="s">
        <v>3560</v>
      </c>
      <c r="Z1189" s="56" t="s">
        <v>5303</v>
      </c>
      <c r="AC1189" s="56" t="s">
        <v>3543</v>
      </c>
      <c r="AD1189" s="56" t="s">
        <v>24</v>
      </c>
      <c r="AE1189" s="56" t="s">
        <v>5127</v>
      </c>
      <c r="AF1189" s="56" t="s">
        <v>5302</v>
      </c>
      <c r="AH1189" s="56" t="s">
        <v>3542</v>
      </c>
      <c r="AI1189" s="56" t="s">
        <v>3723</v>
      </c>
    </row>
    <row r="1190" spans="1:35" ht="33" customHeight="1">
      <c r="A1190" s="56" t="s">
        <v>5306</v>
      </c>
      <c r="B1190" s="57">
        <v>44363.443287037036</v>
      </c>
      <c r="C1190" s="56" t="s">
        <v>3803</v>
      </c>
      <c r="D1190" s="56" t="s">
        <v>3802</v>
      </c>
      <c r="E1190" s="56" t="s">
        <v>5305</v>
      </c>
      <c r="F1190" s="56" t="s">
        <v>5304</v>
      </c>
      <c r="G1190" s="58" t="s">
        <v>1506</v>
      </c>
      <c r="H1190" s="56">
        <v>1</v>
      </c>
      <c r="I1190" s="56" t="s">
        <v>3696</v>
      </c>
      <c r="J1190" s="56">
        <v>299</v>
      </c>
      <c r="K1190" s="56">
        <v>299</v>
      </c>
      <c r="P1190" s="56">
        <v>0</v>
      </c>
      <c r="S1190" s="56">
        <v>0</v>
      </c>
      <c r="T1190" s="56" t="s">
        <v>3562</v>
      </c>
      <c r="V1190" s="56" t="s">
        <v>59</v>
      </c>
      <c r="W1190" s="56" t="s">
        <v>3548</v>
      </c>
      <c r="X1190" s="56" t="s">
        <v>39</v>
      </c>
      <c r="Y1190" s="56" t="s">
        <v>3560</v>
      </c>
      <c r="Z1190" s="56" t="s">
        <v>5303</v>
      </c>
      <c r="AC1190" s="56" t="s">
        <v>3543</v>
      </c>
      <c r="AD1190" s="56" t="s">
        <v>24</v>
      </c>
      <c r="AE1190" s="56" t="s">
        <v>5127</v>
      </c>
      <c r="AF1190" s="56" t="s">
        <v>5302</v>
      </c>
      <c r="AH1190" s="56" t="s">
        <v>3542</v>
      </c>
      <c r="AI1190" s="56" t="s">
        <v>3723</v>
      </c>
    </row>
    <row r="1191" spans="1:35" ht="33" customHeight="1">
      <c r="A1191" s="56" t="s">
        <v>5306</v>
      </c>
      <c r="B1191" s="57">
        <v>44363.443287037036</v>
      </c>
      <c r="C1191" s="56" t="s">
        <v>3803</v>
      </c>
      <c r="D1191" s="56" t="s">
        <v>3802</v>
      </c>
      <c r="E1191" s="56" t="s">
        <v>5305</v>
      </c>
      <c r="F1191" s="56" t="s">
        <v>5304</v>
      </c>
      <c r="G1191" s="58" t="s">
        <v>3551</v>
      </c>
      <c r="H1191" s="56">
        <v>1</v>
      </c>
      <c r="I1191" s="56" t="s">
        <v>3550</v>
      </c>
      <c r="J1191" s="56">
        <v>0</v>
      </c>
      <c r="K1191" s="56">
        <v>0</v>
      </c>
      <c r="P1191" s="56">
        <v>0</v>
      </c>
      <c r="S1191" s="56">
        <v>0</v>
      </c>
      <c r="T1191" s="56" t="s">
        <v>3562</v>
      </c>
      <c r="V1191" s="56" t="s">
        <v>59</v>
      </c>
      <c r="W1191" s="56" t="s">
        <v>3548</v>
      </c>
      <c r="X1191" s="56" t="s">
        <v>39</v>
      </c>
      <c r="Y1191" s="56" t="s">
        <v>3560</v>
      </c>
      <c r="Z1191" s="56" t="s">
        <v>5303</v>
      </c>
      <c r="AC1191" s="56" t="s">
        <v>3543</v>
      </c>
      <c r="AD1191" s="56" t="s">
        <v>24</v>
      </c>
      <c r="AE1191" s="56" t="s">
        <v>5127</v>
      </c>
      <c r="AF1191" s="56" t="s">
        <v>5302</v>
      </c>
      <c r="AH1191" s="56" t="s">
        <v>3542</v>
      </c>
      <c r="AI1191" s="56" t="s">
        <v>3723</v>
      </c>
    </row>
    <row r="1192" spans="1:35" ht="33" customHeight="1">
      <c r="A1192" s="56" t="s">
        <v>5306</v>
      </c>
      <c r="B1192" s="57">
        <v>44363.443287037036</v>
      </c>
      <c r="C1192" s="56" t="s">
        <v>3803</v>
      </c>
      <c r="D1192" s="56" t="s">
        <v>3802</v>
      </c>
      <c r="E1192" s="56" t="s">
        <v>5305</v>
      </c>
      <c r="F1192" s="56" t="s">
        <v>5304</v>
      </c>
      <c r="G1192" s="58" t="s">
        <v>1713</v>
      </c>
      <c r="H1192" s="56">
        <v>1</v>
      </c>
      <c r="I1192" s="56" t="s">
        <v>3568</v>
      </c>
      <c r="J1192" s="56">
        <v>0</v>
      </c>
      <c r="K1192" s="56">
        <v>0</v>
      </c>
      <c r="P1192" s="56">
        <v>0</v>
      </c>
      <c r="S1192" s="56">
        <v>0</v>
      </c>
      <c r="T1192" s="56" t="s">
        <v>3562</v>
      </c>
      <c r="V1192" s="56" t="s">
        <v>59</v>
      </c>
      <c r="W1192" s="56" t="s">
        <v>3548</v>
      </c>
      <c r="X1192" s="56" t="s">
        <v>39</v>
      </c>
      <c r="Y1192" s="56" t="s">
        <v>3560</v>
      </c>
      <c r="Z1192" s="56" t="s">
        <v>5303</v>
      </c>
      <c r="AC1192" s="56" t="s">
        <v>3543</v>
      </c>
      <c r="AD1192" s="56" t="s">
        <v>24</v>
      </c>
      <c r="AE1192" s="56" t="s">
        <v>5127</v>
      </c>
      <c r="AF1192" s="56" t="s">
        <v>5302</v>
      </c>
      <c r="AH1192" s="56" t="s">
        <v>3542</v>
      </c>
      <c r="AI1192" s="56" t="s">
        <v>3723</v>
      </c>
    </row>
    <row r="1193" spans="1:35" ht="33" customHeight="1">
      <c r="A1193" s="56" t="s">
        <v>5306</v>
      </c>
      <c r="B1193" s="57">
        <v>44363.443287037036</v>
      </c>
      <c r="C1193" s="56" t="s">
        <v>3803</v>
      </c>
      <c r="D1193" s="56" t="s">
        <v>3802</v>
      </c>
      <c r="E1193" s="56" t="s">
        <v>5305</v>
      </c>
      <c r="F1193" s="56" t="s">
        <v>5304</v>
      </c>
      <c r="G1193" s="58" t="s">
        <v>1498</v>
      </c>
      <c r="H1193" s="56">
        <v>1</v>
      </c>
      <c r="I1193" s="56" t="s">
        <v>4016</v>
      </c>
      <c r="J1193" s="56">
        <v>0</v>
      </c>
      <c r="K1193" s="56">
        <v>0</v>
      </c>
      <c r="P1193" s="56">
        <v>0</v>
      </c>
      <c r="S1193" s="56">
        <v>0</v>
      </c>
      <c r="T1193" s="56" t="s">
        <v>3562</v>
      </c>
      <c r="V1193" s="56" t="s">
        <v>59</v>
      </c>
      <c r="W1193" s="56" t="s">
        <v>3548</v>
      </c>
      <c r="X1193" s="56" t="s">
        <v>39</v>
      </c>
      <c r="Y1193" s="56" t="s">
        <v>3560</v>
      </c>
      <c r="Z1193" s="56" t="s">
        <v>5303</v>
      </c>
      <c r="AC1193" s="56" t="s">
        <v>3543</v>
      </c>
      <c r="AD1193" s="56" t="s">
        <v>24</v>
      </c>
      <c r="AE1193" s="56" t="s">
        <v>5127</v>
      </c>
      <c r="AF1193" s="56" t="s">
        <v>5302</v>
      </c>
      <c r="AH1193" s="56" t="s">
        <v>3542</v>
      </c>
      <c r="AI1193" s="56" t="s">
        <v>3723</v>
      </c>
    </row>
    <row r="1194" spans="1:35" ht="33" customHeight="1">
      <c r="A1194" s="56" t="s">
        <v>5301</v>
      </c>
      <c r="B1194" s="57">
        <v>44363.467800925922</v>
      </c>
      <c r="C1194" s="56" t="s">
        <v>4512</v>
      </c>
      <c r="D1194" s="56" t="s">
        <v>4511</v>
      </c>
      <c r="E1194" s="56" t="s">
        <v>5300</v>
      </c>
      <c r="F1194" s="56" t="s">
        <v>5299</v>
      </c>
      <c r="G1194" s="58" t="s">
        <v>4232</v>
      </c>
      <c r="H1194" s="56">
        <v>1</v>
      </c>
      <c r="I1194" s="56" t="s">
        <v>3848</v>
      </c>
      <c r="J1194" s="56">
        <v>1396</v>
      </c>
      <c r="K1194" s="56">
        <v>1320</v>
      </c>
      <c r="L1194" s="56">
        <v>1429</v>
      </c>
      <c r="M1194" s="56">
        <v>0</v>
      </c>
      <c r="N1194" s="56">
        <v>0</v>
      </c>
      <c r="O1194" s="56">
        <v>100</v>
      </c>
      <c r="P1194" s="56">
        <v>0</v>
      </c>
      <c r="Q1194" s="56">
        <v>1329</v>
      </c>
      <c r="R1194" s="56">
        <v>0</v>
      </c>
      <c r="S1194" s="56">
        <v>0</v>
      </c>
      <c r="T1194" s="56" t="s">
        <v>3562</v>
      </c>
      <c r="U1194" s="56">
        <v>1329</v>
      </c>
      <c r="V1194" s="56" t="s">
        <v>3612</v>
      </c>
      <c r="W1194" s="56" t="s">
        <v>3548</v>
      </c>
      <c r="X1194" s="56" t="s">
        <v>3611</v>
      </c>
      <c r="Z1194" s="56" t="s">
        <v>3546</v>
      </c>
      <c r="AA1194" s="56" t="s">
        <v>5298</v>
      </c>
      <c r="AB1194" s="56" t="s">
        <v>5297</v>
      </c>
      <c r="AC1194" s="56" t="s">
        <v>3543</v>
      </c>
      <c r="AD1194" s="56" t="s">
        <v>24</v>
      </c>
      <c r="AE1194" s="56" t="s">
        <v>4145</v>
      </c>
      <c r="AF1194" s="56" t="s">
        <v>5296</v>
      </c>
      <c r="AH1194" s="56" t="s">
        <v>3542</v>
      </c>
      <c r="AI1194" s="56" t="s">
        <v>3723</v>
      </c>
    </row>
    <row r="1195" spans="1:35" ht="33" customHeight="1">
      <c r="A1195" s="56" t="s">
        <v>5301</v>
      </c>
      <c r="B1195" s="57">
        <v>44363.467800925922</v>
      </c>
      <c r="C1195" s="56" t="s">
        <v>4512</v>
      </c>
      <c r="D1195" s="56" t="s">
        <v>4511</v>
      </c>
      <c r="E1195" s="56" t="s">
        <v>5300</v>
      </c>
      <c r="F1195" s="56" t="s">
        <v>5299</v>
      </c>
      <c r="G1195" s="58" t="s">
        <v>2165</v>
      </c>
      <c r="H1195" s="56">
        <v>1</v>
      </c>
      <c r="I1195" s="56" t="s">
        <v>3721</v>
      </c>
      <c r="J1195" s="56">
        <v>109</v>
      </c>
      <c r="K1195" s="56">
        <v>109</v>
      </c>
      <c r="P1195" s="56">
        <v>0</v>
      </c>
      <c r="S1195" s="56">
        <v>0</v>
      </c>
      <c r="T1195" s="56" t="s">
        <v>3562</v>
      </c>
      <c r="V1195" s="56" t="s">
        <v>3612</v>
      </c>
      <c r="W1195" s="56" t="s">
        <v>3548</v>
      </c>
      <c r="X1195" s="56" t="s">
        <v>3611</v>
      </c>
      <c r="Z1195" s="56" t="s">
        <v>3546</v>
      </c>
      <c r="AA1195" s="56" t="s">
        <v>5298</v>
      </c>
      <c r="AB1195" s="56" t="s">
        <v>5297</v>
      </c>
      <c r="AC1195" s="56" t="s">
        <v>3543</v>
      </c>
      <c r="AD1195" s="56" t="s">
        <v>24</v>
      </c>
      <c r="AE1195" s="56" t="s">
        <v>4145</v>
      </c>
      <c r="AF1195" s="56" t="s">
        <v>5296</v>
      </c>
      <c r="AH1195" s="56" t="s">
        <v>3542</v>
      </c>
      <c r="AI1195" s="56" t="s">
        <v>3723</v>
      </c>
    </row>
    <row r="1196" spans="1:35" ht="33" customHeight="1">
      <c r="A1196" s="56" t="s">
        <v>5301</v>
      </c>
      <c r="B1196" s="57">
        <v>44363.467800925922</v>
      </c>
      <c r="C1196" s="56" t="s">
        <v>4512</v>
      </c>
      <c r="D1196" s="56" t="s">
        <v>4511</v>
      </c>
      <c r="E1196" s="56" t="s">
        <v>5300</v>
      </c>
      <c r="F1196" s="56" t="s">
        <v>5299</v>
      </c>
      <c r="G1196" s="58" t="s">
        <v>3551</v>
      </c>
      <c r="H1196" s="56">
        <v>1</v>
      </c>
      <c r="I1196" s="56" t="s">
        <v>3550</v>
      </c>
      <c r="J1196" s="56">
        <v>0</v>
      </c>
      <c r="K1196" s="56">
        <v>0</v>
      </c>
      <c r="P1196" s="56">
        <v>0</v>
      </c>
      <c r="S1196" s="56">
        <v>0</v>
      </c>
      <c r="T1196" s="56" t="s">
        <v>3562</v>
      </c>
      <c r="V1196" s="56" t="s">
        <v>3612</v>
      </c>
      <c r="W1196" s="56" t="s">
        <v>3548</v>
      </c>
      <c r="X1196" s="56" t="s">
        <v>3611</v>
      </c>
      <c r="Z1196" s="56" t="s">
        <v>3546</v>
      </c>
      <c r="AA1196" s="56" t="s">
        <v>5298</v>
      </c>
      <c r="AB1196" s="56" t="s">
        <v>5297</v>
      </c>
      <c r="AC1196" s="56" t="s">
        <v>3543</v>
      </c>
      <c r="AD1196" s="56" t="s">
        <v>24</v>
      </c>
      <c r="AE1196" s="56" t="s">
        <v>4145</v>
      </c>
      <c r="AF1196" s="56" t="s">
        <v>5296</v>
      </c>
      <c r="AH1196" s="56" t="s">
        <v>3542</v>
      </c>
      <c r="AI1196" s="56" t="s">
        <v>3723</v>
      </c>
    </row>
    <row r="1197" spans="1:35" ht="33" customHeight="1">
      <c r="A1197" s="56" t="s">
        <v>5301</v>
      </c>
      <c r="B1197" s="57">
        <v>44363.467800925922</v>
      </c>
      <c r="C1197" s="56" t="s">
        <v>4512</v>
      </c>
      <c r="D1197" s="56" t="s">
        <v>4511</v>
      </c>
      <c r="E1197" s="56" t="s">
        <v>5300</v>
      </c>
      <c r="F1197" s="56" t="s">
        <v>5299</v>
      </c>
      <c r="G1197" s="58" t="s">
        <v>1498</v>
      </c>
      <c r="H1197" s="56">
        <v>1</v>
      </c>
      <c r="I1197" s="56" t="s">
        <v>4016</v>
      </c>
      <c r="J1197" s="56">
        <v>0</v>
      </c>
      <c r="K1197" s="56">
        <v>0</v>
      </c>
      <c r="P1197" s="56">
        <v>0</v>
      </c>
      <c r="S1197" s="56">
        <v>0</v>
      </c>
      <c r="T1197" s="56" t="s">
        <v>3562</v>
      </c>
      <c r="V1197" s="56" t="s">
        <v>3612</v>
      </c>
      <c r="W1197" s="56" t="s">
        <v>3548</v>
      </c>
      <c r="X1197" s="56" t="s">
        <v>3611</v>
      </c>
      <c r="Z1197" s="56" t="s">
        <v>3546</v>
      </c>
      <c r="AA1197" s="56" t="s">
        <v>5298</v>
      </c>
      <c r="AB1197" s="56" t="s">
        <v>5297</v>
      </c>
      <c r="AC1197" s="56" t="s">
        <v>3543</v>
      </c>
      <c r="AD1197" s="56" t="s">
        <v>24</v>
      </c>
      <c r="AE1197" s="56" t="s">
        <v>4145</v>
      </c>
      <c r="AF1197" s="56" t="s">
        <v>5296</v>
      </c>
      <c r="AH1197" s="56" t="s">
        <v>3542</v>
      </c>
      <c r="AI1197" s="56" t="s">
        <v>3723</v>
      </c>
    </row>
    <row r="1198" spans="1:35" ht="33" customHeight="1">
      <c r="A1198" s="56" t="s">
        <v>5295</v>
      </c>
      <c r="B1198" s="57">
        <v>44363.470810185187</v>
      </c>
      <c r="C1198" s="56" t="s">
        <v>3803</v>
      </c>
      <c r="D1198" s="56" t="s">
        <v>3802</v>
      </c>
      <c r="E1198" s="56" t="s">
        <v>5294</v>
      </c>
      <c r="F1198" s="56" t="s">
        <v>5293</v>
      </c>
      <c r="G1198" s="58" t="s">
        <v>3934</v>
      </c>
      <c r="H1198" s="56">
        <v>3</v>
      </c>
      <c r="I1198" s="56" t="s">
        <v>3602</v>
      </c>
      <c r="J1198" s="56">
        <v>447</v>
      </c>
      <c r="K1198" s="56">
        <v>399</v>
      </c>
      <c r="L1198" s="56">
        <v>1197</v>
      </c>
      <c r="M1198" s="56">
        <v>0</v>
      </c>
      <c r="N1198" s="56">
        <v>0</v>
      </c>
      <c r="O1198" s="56">
        <v>100</v>
      </c>
      <c r="P1198" s="56">
        <v>0</v>
      </c>
      <c r="Q1198" s="56">
        <v>1097</v>
      </c>
      <c r="R1198" s="56">
        <v>0</v>
      </c>
      <c r="S1198" s="56">
        <v>0</v>
      </c>
      <c r="T1198" s="56" t="s">
        <v>3562</v>
      </c>
      <c r="U1198" s="56">
        <v>1097</v>
      </c>
      <c r="V1198" s="56" t="s">
        <v>3561</v>
      </c>
      <c r="W1198" s="56" t="s">
        <v>3548</v>
      </c>
      <c r="X1198" s="56" t="s">
        <v>39</v>
      </c>
      <c r="Y1198" s="56" t="s">
        <v>4722</v>
      </c>
      <c r="Z1198" s="56" t="s">
        <v>5292</v>
      </c>
      <c r="AC1198" s="56" t="s">
        <v>3543</v>
      </c>
      <c r="AD1198" s="56" t="s">
        <v>24</v>
      </c>
      <c r="AE1198" s="56" t="s">
        <v>5127</v>
      </c>
      <c r="AF1198" s="56" t="s">
        <v>5291</v>
      </c>
      <c r="AH1198" s="56" t="s">
        <v>3542</v>
      </c>
      <c r="AI1198" s="56" t="s">
        <v>3723</v>
      </c>
    </row>
    <row r="1199" spans="1:35" ht="33" customHeight="1">
      <c r="A1199" s="56" t="s">
        <v>5295</v>
      </c>
      <c r="B1199" s="57">
        <v>44363.470810185187</v>
      </c>
      <c r="C1199" s="56" t="s">
        <v>3803</v>
      </c>
      <c r="D1199" s="56" t="s">
        <v>3802</v>
      </c>
      <c r="E1199" s="56" t="s">
        <v>5294</v>
      </c>
      <c r="F1199" s="56" t="s">
        <v>5293</v>
      </c>
      <c r="G1199" s="58" t="s">
        <v>3551</v>
      </c>
      <c r="H1199" s="56">
        <v>1</v>
      </c>
      <c r="I1199" s="56" t="s">
        <v>3550</v>
      </c>
      <c r="J1199" s="56">
        <v>0</v>
      </c>
      <c r="K1199" s="56">
        <v>0</v>
      </c>
      <c r="P1199" s="56">
        <v>0</v>
      </c>
      <c r="S1199" s="56">
        <v>0</v>
      </c>
      <c r="T1199" s="56" t="s">
        <v>3562</v>
      </c>
      <c r="V1199" s="56" t="s">
        <v>3561</v>
      </c>
      <c r="W1199" s="56" t="s">
        <v>3548</v>
      </c>
      <c r="X1199" s="56" t="s">
        <v>39</v>
      </c>
      <c r="Y1199" s="56" t="s">
        <v>4722</v>
      </c>
      <c r="Z1199" s="56" t="s">
        <v>5292</v>
      </c>
      <c r="AC1199" s="56" t="s">
        <v>3543</v>
      </c>
      <c r="AD1199" s="56" t="s">
        <v>24</v>
      </c>
      <c r="AE1199" s="56" t="s">
        <v>5127</v>
      </c>
      <c r="AF1199" s="56" t="s">
        <v>5291</v>
      </c>
      <c r="AH1199" s="56" t="s">
        <v>3542</v>
      </c>
      <c r="AI1199" s="56" t="s">
        <v>3723</v>
      </c>
    </row>
    <row r="1200" spans="1:35" ht="33" customHeight="1">
      <c r="A1200" s="56" t="s">
        <v>5295</v>
      </c>
      <c r="B1200" s="57">
        <v>44363.470810185187</v>
      </c>
      <c r="C1200" s="56" t="s">
        <v>3803</v>
      </c>
      <c r="D1200" s="56" t="s">
        <v>3802</v>
      </c>
      <c r="E1200" s="56" t="s">
        <v>5294</v>
      </c>
      <c r="F1200" s="56" t="s">
        <v>5293</v>
      </c>
      <c r="G1200" s="58" t="s">
        <v>1498</v>
      </c>
      <c r="H1200" s="56">
        <v>1</v>
      </c>
      <c r="I1200" s="56" t="s">
        <v>4016</v>
      </c>
      <c r="J1200" s="56">
        <v>0</v>
      </c>
      <c r="K1200" s="56">
        <v>0</v>
      </c>
      <c r="P1200" s="56">
        <v>0</v>
      </c>
      <c r="S1200" s="56">
        <v>0</v>
      </c>
      <c r="T1200" s="56" t="s">
        <v>3562</v>
      </c>
      <c r="V1200" s="56" t="s">
        <v>3561</v>
      </c>
      <c r="W1200" s="56" t="s">
        <v>3548</v>
      </c>
      <c r="X1200" s="56" t="s">
        <v>39</v>
      </c>
      <c r="Y1200" s="56" t="s">
        <v>4722</v>
      </c>
      <c r="Z1200" s="56" t="s">
        <v>5292</v>
      </c>
      <c r="AC1200" s="56" t="s">
        <v>3543</v>
      </c>
      <c r="AD1200" s="56" t="s">
        <v>24</v>
      </c>
      <c r="AE1200" s="56" t="s">
        <v>5127</v>
      </c>
      <c r="AF1200" s="56" t="s">
        <v>5291</v>
      </c>
      <c r="AH1200" s="56" t="s">
        <v>3542</v>
      </c>
      <c r="AI1200" s="56" t="s">
        <v>3723</v>
      </c>
    </row>
    <row r="1201" spans="1:35" ht="33" customHeight="1">
      <c r="A1201" s="56" t="s">
        <v>5290</v>
      </c>
      <c r="B1201" s="57">
        <v>44363.480717592596</v>
      </c>
      <c r="C1201" s="56" t="s">
        <v>3803</v>
      </c>
      <c r="D1201" s="56" t="s">
        <v>4426</v>
      </c>
      <c r="E1201" s="56" t="s">
        <v>5289</v>
      </c>
      <c r="F1201" s="56" t="s">
        <v>5288</v>
      </c>
      <c r="G1201" s="58" t="s">
        <v>1506</v>
      </c>
      <c r="H1201" s="56">
        <v>1</v>
      </c>
      <c r="I1201" s="56" t="s">
        <v>3696</v>
      </c>
      <c r="J1201" s="56">
        <v>299</v>
      </c>
      <c r="K1201" s="56">
        <v>299</v>
      </c>
      <c r="L1201" s="56">
        <v>583</v>
      </c>
      <c r="M1201" s="56">
        <v>65</v>
      </c>
      <c r="N1201" s="56">
        <v>0</v>
      </c>
      <c r="O1201" s="56">
        <v>0</v>
      </c>
      <c r="P1201" s="56">
        <v>0</v>
      </c>
      <c r="Q1201" s="56">
        <v>648</v>
      </c>
      <c r="R1201" s="56">
        <v>0</v>
      </c>
      <c r="S1201" s="56">
        <v>0</v>
      </c>
      <c r="T1201" s="56" t="s">
        <v>27</v>
      </c>
      <c r="U1201" s="56">
        <v>648</v>
      </c>
      <c r="V1201" s="56" t="s">
        <v>3549</v>
      </c>
      <c r="W1201" s="56" t="s">
        <v>3548</v>
      </c>
      <c r="X1201" s="56" t="s">
        <v>3547</v>
      </c>
      <c r="Z1201" s="56" t="s">
        <v>3546</v>
      </c>
      <c r="AA1201" s="56" t="s">
        <v>5287</v>
      </c>
      <c r="AB1201" s="56" t="s">
        <v>5286</v>
      </c>
      <c r="AC1201" s="56" t="s">
        <v>3543</v>
      </c>
      <c r="AH1201" s="56" t="s">
        <v>3542</v>
      </c>
      <c r="AI1201" s="56" t="s">
        <v>3541</v>
      </c>
    </row>
    <row r="1202" spans="1:35" ht="33" customHeight="1">
      <c r="A1202" s="56" t="s">
        <v>5290</v>
      </c>
      <c r="B1202" s="57">
        <v>44363.480717592596</v>
      </c>
      <c r="C1202" s="56" t="s">
        <v>3803</v>
      </c>
      <c r="D1202" s="56" t="s">
        <v>4426</v>
      </c>
      <c r="E1202" s="56" t="s">
        <v>5289</v>
      </c>
      <c r="F1202" s="56" t="s">
        <v>5288</v>
      </c>
      <c r="G1202" s="58" t="s">
        <v>2156</v>
      </c>
      <c r="H1202" s="56">
        <v>1</v>
      </c>
      <c r="I1202" s="56" t="s">
        <v>1376</v>
      </c>
      <c r="J1202" s="56">
        <v>149</v>
      </c>
      <c r="K1202" s="56">
        <v>149</v>
      </c>
      <c r="P1202" s="56">
        <v>0</v>
      </c>
      <c r="S1202" s="56">
        <v>0</v>
      </c>
      <c r="T1202" s="56" t="s">
        <v>27</v>
      </c>
      <c r="V1202" s="56" t="s">
        <v>3549</v>
      </c>
      <c r="W1202" s="56" t="s">
        <v>3548</v>
      </c>
      <c r="X1202" s="56" t="s">
        <v>3547</v>
      </c>
      <c r="Z1202" s="56" t="s">
        <v>3546</v>
      </c>
      <c r="AA1202" s="56" t="s">
        <v>5287</v>
      </c>
      <c r="AB1202" s="56" t="s">
        <v>5286</v>
      </c>
      <c r="AC1202" s="56" t="s">
        <v>3543</v>
      </c>
      <c r="AH1202" s="56" t="s">
        <v>3542</v>
      </c>
      <c r="AI1202" s="56" t="s">
        <v>3541</v>
      </c>
    </row>
    <row r="1203" spans="1:35" ht="33" customHeight="1">
      <c r="A1203" s="56" t="s">
        <v>5290</v>
      </c>
      <c r="B1203" s="57">
        <v>44363.480717592596</v>
      </c>
      <c r="C1203" s="56" t="s">
        <v>3803</v>
      </c>
      <c r="D1203" s="56" t="s">
        <v>4426</v>
      </c>
      <c r="E1203" s="56" t="s">
        <v>5289</v>
      </c>
      <c r="F1203" s="56" t="s">
        <v>5288</v>
      </c>
      <c r="G1203" s="58" t="s">
        <v>1493</v>
      </c>
      <c r="H1203" s="56">
        <v>1</v>
      </c>
      <c r="I1203" s="56" t="s">
        <v>3601</v>
      </c>
      <c r="J1203" s="56">
        <v>135</v>
      </c>
      <c r="K1203" s="56">
        <v>135</v>
      </c>
      <c r="P1203" s="56">
        <v>0</v>
      </c>
      <c r="S1203" s="56">
        <v>0</v>
      </c>
      <c r="T1203" s="56" t="s">
        <v>27</v>
      </c>
      <c r="V1203" s="56" t="s">
        <v>3549</v>
      </c>
      <c r="W1203" s="56" t="s">
        <v>3548</v>
      </c>
      <c r="X1203" s="56" t="s">
        <v>3547</v>
      </c>
      <c r="Z1203" s="56" t="s">
        <v>3546</v>
      </c>
      <c r="AA1203" s="56" t="s">
        <v>5287</v>
      </c>
      <c r="AB1203" s="56" t="s">
        <v>5286</v>
      </c>
      <c r="AC1203" s="56" t="s">
        <v>3543</v>
      </c>
      <c r="AH1203" s="56" t="s">
        <v>3542</v>
      </c>
      <c r="AI1203" s="56" t="s">
        <v>3541</v>
      </c>
    </row>
    <row r="1204" spans="1:35" ht="33" customHeight="1">
      <c r="A1204" s="56" t="s">
        <v>5290</v>
      </c>
      <c r="B1204" s="57">
        <v>44363.480717592596</v>
      </c>
      <c r="C1204" s="56" t="s">
        <v>3803</v>
      </c>
      <c r="D1204" s="56" t="s">
        <v>4426</v>
      </c>
      <c r="E1204" s="56" t="s">
        <v>5289</v>
      </c>
      <c r="F1204" s="56" t="s">
        <v>5288</v>
      </c>
      <c r="G1204" s="58" t="s">
        <v>3551</v>
      </c>
      <c r="H1204" s="56">
        <v>1</v>
      </c>
      <c r="I1204" s="56" t="s">
        <v>3550</v>
      </c>
      <c r="J1204" s="56">
        <v>0</v>
      </c>
      <c r="K1204" s="56">
        <v>0</v>
      </c>
      <c r="P1204" s="56">
        <v>0</v>
      </c>
      <c r="S1204" s="56">
        <v>0</v>
      </c>
      <c r="T1204" s="56" t="s">
        <v>27</v>
      </c>
      <c r="V1204" s="56" t="s">
        <v>3549</v>
      </c>
      <c r="W1204" s="56" t="s">
        <v>3548</v>
      </c>
      <c r="X1204" s="56" t="s">
        <v>3547</v>
      </c>
      <c r="Z1204" s="56" t="s">
        <v>3546</v>
      </c>
      <c r="AA1204" s="56" t="s">
        <v>5287</v>
      </c>
      <c r="AB1204" s="56" t="s">
        <v>5286</v>
      </c>
      <c r="AC1204" s="56" t="s">
        <v>3543</v>
      </c>
      <c r="AH1204" s="56" t="s">
        <v>3542</v>
      </c>
      <c r="AI1204" s="56" t="s">
        <v>3541</v>
      </c>
    </row>
    <row r="1205" spans="1:35" ht="33" customHeight="1">
      <c r="A1205" s="56" t="s">
        <v>5285</v>
      </c>
      <c r="B1205" s="57">
        <v>44363.493993055556</v>
      </c>
      <c r="C1205" s="56" t="s">
        <v>3803</v>
      </c>
      <c r="D1205" s="56" t="s">
        <v>4426</v>
      </c>
      <c r="E1205" s="56" t="s">
        <v>5284</v>
      </c>
      <c r="F1205" s="56" t="s">
        <v>5283</v>
      </c>
      <c r="G1205" s="58" t="s">
        <v>3670</v>
      </c>
      <c r="H1205" s="56">
        <v>1</v>
      </c>
      <c r="I1205" s="56" t="s">
        <v>3669</v>
      </c>
      <c r="J1205" s="56">
        <v>897</v>
      </c>
      <c r="K1205" s="56">
        <v>888</v>
      </c>
      <c r="L1205" s="56">
        <v>1136</v>
      </c>
      <c r="M1205" s="56">
        <v>0</v>
      </c>
      <c r="N1205" s="56">
        <v>0</v>
      </c>
      <c r="O1205" s="56">
        <v>114</v>
      </c>
      <c r="P1205" s="56">
        <v>0</v>
      </c>
      <c r="Q1205" s="56">
        <v>1022</v>
      </c>
      <c r="R1205" s="56">
        <v>0</v>
      </c>
      <c r="S1205" s="56">
        <v>0</v>
      </c>
      <c r="T1205" s="56" t="s">
        <v>3562</v>
      </c>
      <c r="U1205" s="56">
        <v>1022</v>
      </c>
      <c r="V1205" s="56" t="s">
        <v>3561</v>
      </c>
      <c r="W1205" s="56" t="s">
        <v>3548</v>
      </c>
      <c r="X1205" s="56" t="s">
        <v>3716</v>
      </c>
      <c r="Z1205" s="56" t="s">
        <v>3546</v>
      </c>
      <c r="AA1205" s="56" t="s">
        <v>5282</v>
      </c>
      <c r="AB1205" s="56" t="s">
        <v>5281</v>
      </c>
      <c r="AC1205" s="56" t="s">
        <v>3543</v>
      </c>
      <c r="AD1205" s="56" t="s">
        <v>24</v>
      </c>
      <c r="AE1205" s="56" t="s">
        <v>5127</v>
      </c>
      <c r="AF1205" s="56" t="s">
        <v>5280</v>
      </c>
      <c r="AH1205" s="56" t="s">
        <v>3542</v>
      </c>
      <c r="AI1205" s="56" t="s">
        <v>3723</v>
      </c>
    </row>
    <row r="1206" spans="1:35" ht="33" customHeight="1">
      <c r="A1206" s="56" t="s">
        <v>5285</v>
      </c>
      <c r="B1206" s="57">
        <v>44363.493993055556</v>
      </c>
      <c r="C1206" s="56" t="s">
        <v>3803</v>
      </c>
      <c r="D1206" s="56" t="s">
        <v>4426</v>
      </c>
      <c r="E1206" s="56" t="s">
        <v>5284</v>
      </c>
      <c r="F1206" s="56" t="s">
        <v>5283</v>
      </c>
      <c r="G1206" s="58" t="s">
        <v>2161</v>
      </c>
      <c r="H1206" s="56">
        <v>1</v>
      </c>
      <c r="I1206" s="56" t="s">
        <v>3694</v>
      </c>
      <c r="J1206" s="56">
        <v>128</v>
      </c>
      <c r="K1206" s="56">
        <v>128</v>
      </c>
      <c r="P1206" s="56">
        <v>0</v>
      </c>
      <c r="S1206" s="56">
        <v>0</v>
      </c>
      <c r="T1206" s="56" t="s">
        <v>3562</v>
      </c>
      <c r="V1206" s="56" t="s">
        <v>3561</v>
      </c>
      <c r="W1206" s="56" t="s">
        <v>3548</v>
      </c>
      <c r="X1206" s="56" t="s">
        <v>3716</v>
      </c>
      <c r="Z1206" s="56" t="s">
        <v>3546</v>
      </c>
      <c r="AA1206" s="56" t="s">
        <v>5282</v>
      </c>
      <c r="AB1206" s="56" t="s">
        <v>5281</v>
      </c>
      <c r="AC1206" s="56" t="s">
        <v>3543</v>
      </c>
      <c r="AD1206" s="56" t="s">
        <v>24</v>
      </c>
      <c r="AE1206" s="56" t="s">
        <v>5127</v>
      </c>
      <c r="AF1206" s="56" t="s">
        <v>5280</v>
      </c>
      <c r="AH1206" s="56" t="s">
        <v>3542</v>
      </c>
      <c r="AI1206" s="56" t="s">
        <v>3723</v>
      </c>
    </row>
    <row r="1207" spans="1:35" ht="33" customHeight="1">
      <c r="A1207" s="56" t="s">
        <v>5285</v>
      </c>
      <c r="B1207" s="57">
        <v>44363.493993055556</v>
      </c>
      <c r="C1207" s="56" t="s">
        <v>3803</v>
      </c>
      <c r="D1207" s="56" t="s">
        <v>4426</v>
      </c>
      <c r="E1207" s="56" t="s">
        <v>5284</v>
      </c>
      <c r="F1207" s="56" t="s">
        <v>5283</v>
      </c>
      <c r="G1207" s="58" t="s">
        <v>3196</v>
      </c>
      <c r="H1207" s="56">
        <v>1</v>
      </c>
      <c r="I1207" s="56" t="s">
        <v>2550</v>
      </c>
      <c r="J1207" s="56">
        <v>120</v>
      </c>
      <c r="K1207" s="56">
        <v>120</v>
      </c>
      <c r="P1207" s="56">
        <v>0</v>
      </c>
      <c r="S1207" s="56">
        <v>0</v>
      </c>
      <c r="T1207" s="56" t="s">
        <v>3562</v>
      </c>
      <c r="V1207" s="56" t="s">
        <v>3561</v>
      </c>
      <c r="W1207" s="56" t="s">
        <v>3548</v>
      </c>
      <c r="X1207" s="56" t="s">
        <v>3716</v>
      </c>
      <c r="Z1207" s="56" t="s">
        <v>3546</v>
      </c>
      <c r="AA1207" s="56" t="s">
        <v>5282</v>
      </c>
      <c r="AB1207" s="56" t="s">
        <v>5281</v>
      </c>
      <c r="AC1207" s="56" t="s">
        <v>3543</v>
      </c>
      <c r="AD1207" s="56" t="s">
        <v>24</v>
      </c>
      <c r="AE1207" s="56" t="s">
        <v>5127</v>
      </c>
      <c r="AF1207" s="56" t="s">
        <v>5280</v>
      </c>
      <c r="AH1207" s="56" t="s">
        <v>3542</v>
      </c>
      <c r="AI1207" s="56" t="s">
        <v>3723</v>
      </c>
    </row>
    <row r="1208" spans="1:35" ht="33" customHeight="1">
      <c r="A1208" s="56" t="s">
        <v>5285</v>
      </c>
      <c r="B1208" s="57">
        <v>44363.493993055556</v>
      </c>
      <c r="C1208" s="56" t="s">
        <v>3803</v>
      </c>
      <c r="D1208" s="56" t="s">
        <v>4426</v>
      </c>
      <c r="E1208" s="56" t="s">
        <v>5284</v>
      </c>
      <c r="F1208" s="56" t="s">
        <v>5283</v>
      </c>
      <c r="G1208" s="58" t="s">
        <v>3551</v>
      </c>
      <c r="H1208" s="56">
        <v>1</v>
      </c>
      <c r="I1208" s="56" t="s">
        <v>3550</v>
      </c>
      <c r="J1208" s="56">
        <v>0</v>
      </c>
      <c r="K1208" s="56">
        <v>0</v>
      </c>
      <c r="P1208" s="56">
        <v>0</v>
      </c>
      <c r="S1208" s="56">
        <v>0</v>
      </c>
      <c r="T1208" s="56" t="s">
        <v>3562</v>
      </c>
      <c r="V1208" s="56" t="s">
        <v>3561</v>
      </c>
      <c r="W1208" s="56" t="s">
        <v>3548</v>
      </c>
      <c r="X1208" s="56" t="s">
        <v>3716</v>
      </c>
      <c r="Z1208" s="56" t="s">
        <v>3546</v>
      </c>
      <c r="AA1208" s="56" t="s">
        <v>5282</v>
      </c>
      <c r="AB1208" s="56" t="s">
        <v>5281</v>
      </c>
      <c r="AC1208" s="56" t="s">
        <v>3543</v>
      </c>
      <c r="AD1208" s="56" t="s">
        <v>24</v>
      </c>
      <c r="AE1208" s="56" t="s">
        <v>5127</v>
      </c>
      <c r="AF1208" s="56" t="s">
        <v>5280</v>
      </c>
      <c r="AH1208" s="56" t="s">
        <v>3542</v>
      </c>
      <c r="AI1208" s="56" t="s">
        <v>3723</v>
      </c>
    </row>
    <row r="1209" spans="1:35" ht="33" customHeight="1">
      <c r="A1209" s="56" t="s">
        <v>5285</v>
      </c>
      <c r="B1209" s="57">
        <v>44363.493993055556</v>
      </c>
      <c r="C1209" s="56" t="s">
        <v>3803</v>
      </c>
      <c r="D1209" s="56" t="s">
        <v>4426</v>
      </c>
      <c r="E1209" s="56" t="s">
        <v>5284</v>
      </c>
      <c r="F1209" s="56" t="s">
        <v>5283</v>
      </c>
      <c r="G1209" s="58" t="s">
        <v>1498</v>
      </c>
      <c r="H1209" s="56">
        <v>1</v>
      </c>
      <c r="I1209" s="56" t="s">
        <v>4016</v>
      </c>
      <c r="J1209" s="56">
        <v>0</v>
      </c>
      <c r="K1209" s="56">
        <v>0</v>
      </c>
      <c r="P1209" s="56">
        <v>0</v>
      </c>
      <c r="S1209" s="56">
        <v>0</v>
      </c>
      <c r="T1209" s="56" t="s">
        <v>3562</v>
      </c>
      <c r="V1209" s="56" t="s">
        <v>3561</v>
      </c>
      <c r="W1209" s="56" t="s">
        <v>3548</v>
      </c>
      <c r="X1209" s="56" t="s">
        <v>3716</v>
      </c>
      <c r="Z1209" s="56" t="s">
        <v>3546</v>
      </c>
      <c r="AA1209" s="56" t="s">
        <v>5282</v>
      </c>
      <c r="AB1209" s="56" t="s">
        <v>5281</v>
      </c>
      <c r="AC1209" s="56" t="s">
        <v>3543</v>
      </c>
      <c r="AD1209" s="56" t="s">
        <v>24</v>
      </c>
      <c r="AE1209" s="56" t="s">
        <v>5127</v>
      </c>
      <c r="AF1209" s="56" t="s">
        <v>5280</v>
      </c>
      <c r="AH1209" s="56" t="s">
        <v>3542</v>
      </c>
      <c r="AI1209" s="56" t="s">
        <v>3723</v>
      </c>
    </row>
    <row r="1210" spans="1:35" ht="33" customHeight="1">
      <c r="A1210" s="56" t="s">
        <v>5278</v>
      </c>
      <c r="B1210" s="57">
        <v>44363.543310185189</v>
      </c>
      <c r="C1210" s="56" t="s">
        <v>3803</v>
      </c>
      <c r="D1210" s="56" t="s">
        <v>3802</v>
      </c>
      <c r="E1210" s="56" t="s">
        <v>5277</v>
      </c>
      <c r="F1210" s="56" t="s">
        <v>5276</v>
      </c>
      <c r="G1210" s="58" t="s">
        <v>5279</v>
      </c>
      <c r="H1210" s="56">
        <v>2</v>
      </c>
      <c r="I1210" s="56" t="s">
        <v>3577</v>
      </c>
      <c r="J1210" s="56">
        <v>700</v>
      </c>
      <c r="K1210" s="56">
        <v>599</v>
      </c>
      <c r="L1210" s="56">
        <v>1198</v>
      </c>
      <c r="M1210" s="56">
        <v>0</v>
      </c>
      <c r="N1210" s="56">
        <v>0</v>
      </c>
      <c r="O1210" s="56">
        <v>100</v>
      </c>
      <c r="P1210" s="56">
        <v>0</v>
      </c>
      <c r="Q1210" s="56">
        <v>1098</v>
      </c>
      <c r="R1210" s="56">
        <v>0</v>
      </c>
      <c r="S1210" s="56">
        <v>0</v>
      </c>
      <c r="T1210" s="56" t="s">
        <v>3562</v>
      </c>
      <c r="U1210" s="56">
        <v>1098</v>
      </c>
      <c r="V1210" s="56" t="s">
        <v>3561</v>
      </c>
      <c r="W1210" s="56" t="s">
        <v>3548</v>
      </c>
      <c r="X1210" s="56" t="s">
        <v>39</v>
      </c>
      <c r="Y1210" s="56" t="s">
        <v>5275</v>
      </c>
      <c r="Z1210" s="56" t="s">
        <v>5274</v>
      </c>
      <c r="AC1210" s="56" t="s">
        <v>3543</v>
      </c>
      <c r="AD1210" s="56" t="s">
        <v>24</v>
      </c>
      <c r="AE1210" s="56" t="s">
        <v>5127</v>
      </c>
      <c r="AF1210" s="56" t="s">
        <v>5273</v>
      </c>
      <c r="AH1210" s="56" t="s">
        <v>3542</v>
      </c>
      <c r="AI1210" s="56" t="s">
        <v>3723</v>
      </c>
    </row>
    <row r="1211" spans="1:35" ht="33" customHeight="1">
      <c r="A1211" s="56" t="s">
        <v>5278</v>
      </c>
      <c r="B1211" s="57">
        <v>44363.543310185189</v>
      </c>
      <c r="C1211" s="56" t="s">
        <v>3803</v>
      </c>
      <c r="D1211" s="56" t="s">
        <v>3802</v>
      </c>
      <c r="E1211" s="56" t="s">
        <v>5277</v>
      </c>
      <c r="F1211" s="56" t="s">
        <v>5276</v>
      </c>
      <c r="G1211" s="58" t="s">
        <v>3551</v>
      </c>
      <c r="H1211" s="56">
        <v>1</v>
      </c>
      <c r="I1211" s="56" t="s">
        <v>3550</v>
      </c>
      <c r="J1211" s="56">
        <v>0</v>
      </c>
      <c r="K1211" s="56">
        <v>0</v>
      </c>
      <c r="P1211" s="56">
        <v>0</v>
      </c>
      <c r="S1211" s="56">
        <v>0</v>
      </c>
      <c r="T1211" s="56" t="s">
        <v>3562</v>
      </c>
      <c r="V1211" s="56" t="s">
        <v>3561</v>
      </c>
      <c r="W1211" s="56" t="s">
        <v>3548</v>
      </c>
      <c r="X1211" s="56" t="s">
        <v>39</v>
      </c>
      <c r="Y1211" s="56" t="s">
        <v>5275</v>
      </c>
      <c r="Z1211" s="56" t="s">
        <v>5274</v>
      </c>
      <c r="AC1211" s="56" t="s">
        <v>3543</v>
      </c>
      <c r="AD1211" s="56" t="s">
        <v>24</v>
      </c>
      <c r="AE1211" s="56" t="s">
        <v>5127</v>
      </c>
      <c r="AF1211" s="56" t="s">
        <v>5273</v>
      </c>
      <c r="AH1211" s="56" t="s">
        <v>3542</v>
      </c>
      <c r="AI1211" s="56" t="s">
        <v>3723</v>
      </c>
    </row>
    <row r="1212" spans="1:35" ht="33" customHeight="1">
      <c r="A1212" s="56" t="s">
        <v>5278</v>
      </c>
      <c r="B1212" s="57">
        <v>44363.543310185189</v>
      </c>
      <c r="C1212" s="56" t="s">
        <v>3803</v>
      </c>
      <c r="D1212" s="56" t="s">
        <v>3802</v>
      </c>
      <c r="E1212" s="56" t="s">
        <v>5277</v>
      </c>
      <c r="F1212" s="56" t="s">
        <v>5276</v>
      </c>
      <c r="G1212" s="58" t="s">
        <v>1498</v>
      </c>
      <c r="H1212" s="56">
        <v>1</v>
      </c>
      <c r="I1212" s="56" t="s">
        <v>4016</v>
      </c>
      <c r="J1212" s="56">
        <v>0</v>
      </c>
      <c r="K1212" s="56">
        <v>0</v>
      </c>
      <c r="P1212" s="56">
        <v>0</v>
      </c>
      <c r="S1212" s="56">
        <v>0</v>
      </c>
      <c r="T1212" s="56" t="s">
        <v>3562</v>
      </c>
      <c r="V1212" s="56" t="s">
        <v>3561</v>
      </c>
      <c r="W1212" s="56" t="s">
        <v>3548</v>
      </c>
      <c r="X1212" s="56" t="s">
        <v>39</v>
      </c>
      <c r="Y1212" s="56" t="s">
        <v>5275</v>
      </c>
      <c r="Z1212" s="56" t="s">
        <v>5274</v>
      </c>
      <c r="AC1212" s="56" t="s">
        <v>3543</v>
      </c>
      <c r="AD1212" s="56" t="s">
        <v>24</v>
      </c>
      <c r="AE1212" s="56" t="s">
        <v>5127</v>
      </c>
      <c r="AF1212" s="56" t="s">
        <v>5273</v>
      </c>
      <c r="AH1212" s="56" t="s">
        <v>3542</v>
      </c>
      <c r="AI1212" s="56" t="s">
        <v>3723</v>
      </c>
    </row>
    <row r="1213" spans="1:35" ht="33" customHeight="1">
      <c r="A1213" s="56" t="s">
        <v>5271</v>
      </c>
      <c r="B1213" s="57">
        <v>44363.546851851854</v>
      </c>
      <c r="C1213" s="56" t="s">
        <v>4512</v>
      </c>
      <c r="D1213" s="56" t="s">
        <v>4511</v>
      </c>
      <c r="E1213" s="56" t="s">
        <v>5270</v>
      </c>
      <c r="F1213" s="56" t="s">
        <v>5269</v>
      </c>
      <c r="G1213" s="58" t="s">
        <v>3656</v>
      </c>
      <c r="H1213" s="56">
        <v>1</v>
      </c>
      <c r="I1213" s="56" t="s">
        <v>3655</v>
      </c>
      <c r="J1213" s="56">
        <v>1107</v>
      </c>
      <c r="K1213" s="56">
        <v>799</v>
      </c>
      <c r="L1213" s="56">
        <v>1026</v>
      </c>
      <c r="M1213" s="56">
        <v>0</v>
      </c>
      <c r="N1213" s="56">
        <v>0</v>
      </c>
      <c r="O1213" s="56">
        <v>100</v>
      </c>
      <c r="P1213" s="56">
        <v>0</v>
      </c>
      <c r="Q1213" s="56">
        <v>926</v>
      </c>
      <c r="R1213" s="56">
        <v>0</v>
      </c>
      <c r="S1213" s="56">
        <v>0</v>
      </c>
      <c r="T1213" s="56" t="s">
        <v>3562</v>
      </c>
      <c r="U1213" s="56">
        <v>926</v>
      </c>
      <c r="V1213" s="56" t="s">
        <v>3549</v>
      </c>
      <c r="W1213" s="56" t="s">
        <v>3548</v>
      </c>
      <c r="X1213" s="56" t="s">
        <v>3547</v>
      </c>
      <c r="Z1213" s="56" t="s">
        <v>3546</v>
      </c>
      <c r="AA1213" s="56" t="s">
        <v>5268</v>
      </c>
      <c r="AB1213" s="56" t="s">
        <v>5267</v>
      </c>
      <c r="AC1213" s="56" t="s">
        <v>3543</v>
      </c>
      <c r="AD1213" s="56" t="s">
        <v>24</v>
      </c>
      <c r="AE1213" s="56" t="s">
        <v>3862</v>
      </c>
      <c r="AF1213" s="56" t="s">
        <v>5266</v>
      </c>
      <c r="AH1213" s="56" t="s">
        <v>3542</v>
      </c>
      <c r="AI1213" s="56" t="s">
        <v>3723</v>
      </c>
    </row>
    <row r="1214" spans="1:35" ht="33" customHeight="1">
      <c r="A1214" s="56" t="s">
        <v>5271</v>
      </c>
      <c r="B1214" s="57">
        <v>44363.546851851854</v>
      </c>
      <c r="C1214" s="56" t="s">
        <v>4512</v>
      </c>
      <c r="D1214" s="56" t="s">
        <v>4511</v>
      </c>
      <c r="E1214" s="56" t="s">
        <v>5270</v>
      </c>
      <c r="F1214" s="56" t="s">
        <v>5269</v>
      </c>
      <c r="G1214" s="58" t="s">
        <v>2161</v>
      </c>
      <c r="H1214" s="56">
        <v>1</v>
      </c>
      <c r="I1214" s="56" t="s">
        <v>3694</v>
      </c>
      <c r="J1214" s="56">
        <v>128</v>
      </c>
      <c r="K1214" s="56">
        <v>128</v>
      </c>
      <c r="P1214" s="56">
        <v>0</v>
      </c>
      <c r="S1214" s="56">
        <v>0</v>
      </c>
      <c r="T1214" s="56" t="s">
        <v>3562</v>
      </c>
      <c r="V1214" s="56" t="s">
        <v>3549</v>
      </c>
      <c r="W1214" s="56" t="s">
        <v>3548</v>
      </c>
      <c r="X1214" s="56" t="s">
        <v>3547</v>
      </c>
      <c r="Z1214" s="56" t="s">
        <v>3546</v>
      </c>
      <c r="AA1214" s="56" t="s">
        <v>5268</v>
      </c>
      <c r="AB1214" s="56" t="s">
        <v>5267</v>
      </c>
      <c r="AC1214" s="56" t="s">
        <v>3543</v>
      </c>
      <c r="AD1214" s="56" t="s">
        <v>24</v>
      </c>
      <c r="AE1214" s="56" t="s">
        <v>3862</v>
      </c>
      <c r="AF1214" s="56" t="s">
        <v>5266</v>
      </c>
      <c r="AH1214" s="56" t="s">
        <v>3542</v>
      </c>
      <c r="AI1214" s="56" t="s">
        <v>3723</v>
      </c>
    </row>
    <row r="1215" spans="1:35" ht="33" customHeight="1">
      <c r="A1215" s="56" t="s">
        <v>5271</v>
      </c>
      <c r="B1215" s="57">
        <v>44363.546851851854</v>
      </c>
      <c r="C1215" s="56" t="s">
        <v>4512</v>
      </c>
      <c r="D1215" s="56" t="s">
        <v>4511</v>
      </c>
      <c r="E1215" s="56" t="s">
        <v>5270</v>
      </c>
      <c r="F1215" s="56" t="s">
        <v>5269</v>
      </c>
      <c r="G1215" s="58" t="s">
        <v>1498</v>
      </c>
      <c r="H1215" s="56">
        <v>1</v>
      </c>
      <c r="I1215" s="56" t="s">
        <v>5272</v>
      </c>
      <c r="J1215" s="56">
        <v>200</v>
      </c>
      <c r="K1215" s="56">
        <v>99</v>
      </c>
      <c r="P1215" s="56">
        <v>0</v>
      </c>
      <c r="S1215" s="56">
        <v>0</v>
      </c>
      <c r="T1215" s="56" t="s">
        <v>3562</v>
      </c>
      <c r="V1215" s="56" t="s">
        <v>3549</v>
      </c>
      <c r="W1215" s="56" t="s">
        <v>3548</v>
      </c>
      <c r="X1215" s="56" t="s">
        <v>3547</v>
      </c>
      <c r="Z1215" s="56" t="s">
        <v>3546</v>
      </c>
      <c r="AA1215" s="56" t="s">
        <v>5268</v>
      </c>
      <c r="AB1215" s="56" t="s">
        <v>5267</v>
      </c>
      <c r="AC1215" s="56" t="s">
        <v>3543</v>
      </c>
      <c r="AD1215" s="56" t="s">
        <v>24</v>
      </c>
      <c r="AE1215" s="56" t="s">
        <v>3862</v>
      </c>
      <c r="AF1215" s="56" t="s">
        <v>5266</v>
      </c>
      <c r="AH1215" s="56" t="s">
        <v>3542</v>
      </c>
      <c r="AI1215" s="56" t="s">
        <v>3723</v>
      </c>
    </row>
    <row r="1216" spans="1:35" ht="33" customHeight="1">
      <c r="A1216" s="56" t="s">
        <v>5271</v>
      </c>
      <c r="B1216" s="57">
        <v>44363.546851851854</v>
      </c>
      <c r="C1216" s="56" t="s">
        <v>4512</v>
      </c>
      <c r="D1216" s="56" t="s">
        <v>4511</v>
      </c>
      <c r="E1216" s="56" t="s">
        <v>5270</v>
      </c>
      <c r="F1216" s="56" t="s">
        <v>5269</v>
      </c>
      <c r="G1216" s="58" t="s">
        <v>3551</v>
      </c>
      <c r="H1216" s="56">
        <v>1</v>
      </c>
      <c r="I1216" s="56" t="s">
        <v>3550</v>
      </c>
      <c r="J1216" s="56">
        <v>0</v>
      </c>
      <c r="K1216" s="56">
        <v>0</v>
      </c>
      <c r="P1216" s="56">
        <v>0</v>
      </c>
      <c r="S1216" s="56">
        <v>0</v>
      </c>
      <c r="T1216" s="56" t="s">
        <v>3562</v>
      </c>
      <c r="V1216" s="56" t="s">
        <v>3549</v>
      </c>
      <c r="W1216" s="56" t="s">
        <v>3548</v>
      </c>
      <c r="X1216" s="56" t="s">
        <v>3547</v>
      </c>
      <c r="Z1216" s="56" t="s">
        <v>3546</v>
      </c>
      <c r="AA1216" s="56" t="s">
        <v>5268</v>
      </c>
      <c r="AB1216" s="56" t="s">
        <v>5267</v>
      </c>
      <c r="AC1216" s="56" t="s">
        <v>3543</v>
      </c>
      <c r="AD1216" s="56" t="s">
        <v>24</v>
      </c>
      <c r="AE1216" s="56" t="s">
        <v>3862</v>
      </c>
      <c r="AF1216" s="56" t="s">
        <v>5266</v>
      </c>
      <c r="AH1216" s="56" t="s">
        <v>3542</v>
      </c>
      <c r="AI1216" s="56" t="s">
        <v>3723</v>
      </c>
    </row>
    <row r="1217" spans="1:35" ht="33" customHeight="1">
      <c r="A1217" s="56" t="s">
        <v>5271</v>
      </c>
      <c r="B1217" s="57">
        <v>44363.546851851854</v>
      </c>
      <c r="C1217" s="56" t="s">
        <v>4512</v>
      </c>
      <c r="D1217" s="56" t="s">
        <v>4511</v>
      </c>
      <c r="E1217" s="56" t="s">
        <v>5270</v>
      </c>
      <c r="F1217" s="56" t="s">
        <v>5269</v>
      </c>
      <c r="G1217" s="58" t="s">
        <v>1498</v>
      </c>
      <c r="H1217" s="56">
        <v>1</v>
      </c>
      <c r="I1217" s="56" t="s">
        <v>4016</v>
      </c>
      <c r="J1217" s="56">
        <v>0</v>
      </c>
      <c r="K1217" s="56">
        <v>0</v>
      </c>
      <c r="P1217" s="56">
        <v>0</v>
      </c>
      <c r="S1217" s="56">
        <v>0</v>
      </c>
      <c r="T1217" s="56" t="s">
        <v>3562</v>
      </c>
      <c r="V1217" s="56" t="s">
        <v>3549</v>
      </c>
      <c r="W1217" s="56" t="s">
        <v>3548</v>
      </c>
      <c r="X1217" s="56" t="s">
        <v>3547</v>
      </c>
      <c r="Z1217" s="56" t="s">
        <v>3546</v>
      </c>
      <c r="AA1217" s="56" t="s">
        <v>5268</v>
      </c>
      <c r="AB1217" s="56" t="s">
        <v>5267</v>
      </c>
      <c r="AC1217" s="56" t="s">
        <v>3543</v>
      </c>
      <c r="AD1217" s="56" t="s">
        <v>24</v>
      </c>
      <c r="AE1217" s="56" t="s">
        <v>3862</v>
      </c>
      <c r="AF1217" s="56" t="s">
        <v>5266</v>
      </c>
      <c r="AH1217" s="56" t="s">
        <v>3542</v>
      </c>
      <c r="AI1217" s="56" t="s">
        <v>3723</v>
      </c>
    </row>
    <row r="1218" spans="1:35" ht="33" customHeight="1">
      <c r="A1218" s="56" t="s">
        <v>5265</v>
      </c>
      <c r="B1218" s="57">
        <v>44363.560787037037</v>
      </c>
      <c r="C1218" s="56" t="s">
        <v>4512</v>
      </c>
      <c r="D1218" s="56" t="s">
        <v>4511</v>
      </c>
      <c r="E1218" s="56" t="s">
        <v>5264</v>
      </c>
      <c r="F1218" s="56" t="s">
        <v>5263</v>
      </c>
      <c r="G1218" s="58" t="s">
        <v>3681</v>
      </c>
      <c r="H1218" s="56">
        <v>1</v>
      </c>
      <c r="I1218" s="56" t="s">
        <v>3569</v>
      </c>
      <c r="J1218" s="56">
        <v>894</v>
      </c>
      <c r="K1218" s="56">
        <v>750</v>
      </c>
      <c r="L1218" s="56">
        <v>750</v>
      </c>
      <c r="M1218" s="56">
        <v>65</v>
      </c>
      <c r="N1218" s="56">
        <v>0</v>
      </c>
      <c r="O1218" s="56">
        <v>0</v>
      </c>
      <c r="P1218" s="56">
        <v>0</v>
      </c>
      <c r="Q1218" s="56">
        <v>815</v>
      </c>
      <c r="R1218" s="56">
        <v>0</v>
      </c>
      <c r="S1218" s="56">
        <v>0</v>
      </c>
      <c r="T1218" s="56" t="s">
        <v>3562</v>
      </c>
      <c r="U1218" s="56">
        <v>815</v>
      </c>
      <c r="V1218" s="56" t="s">
        <v>3612</v>
      </c>
      <c r="W1218" s="56" t="s">
        <v>3548</v>
      </c>
      <c r="X1218" s="56" t="s">
        <v>3611</v>
      </c>
      <c r="Z1218" s="56" t="s">
        <v>3546</v>
      </c>
      <c r="AA1218" s="56" t="s">
        <v>5262</v>
      </c>
      <c r="AB1218" s="56" t="s">
        <v>5261</v>
      </c>
      <c r="AC1218" s="56" t="s">
        <v>3543</v>
      </c>
      <c r="AD1218" s="56" t="s">
        <v>24</v>
      </c>
      <c r="AE1218" s="56" t="s">
        <v>4145</v>
      </c>
      <c r="AF1218" s="56" t="s">
        <v>5260</v>
      </c>
      <c r="AH1218" s="56" t="s">
        <v>3542</v>
      </c>
      <c r="AI1218" s="56" t="s">
        <v>3723</v>
      </c>
    </row>
    <row r="1219" spans="1:35" ht="33" customHeight="1">
      <c r="A1219" s="56" t="s">
        <v>5265</v>
      </c>
      <c r="B1219" s="57">
        <v>44363.560787037037</v>
      </c>
      <c r="C1219" s="56" t="s">
        <v>4512</v>
      </c>
      <c r="D1219" s="56" t="s">
        <v>4511</v>
      </c>
      <c r="E1219" s="56" t="s">
        <v>5264</v>
      </c>
      <c r="F1219" s="56" t="s">
        <v>5263</v>
      </c>
      <c r="G1219" s="58" t="s">
        <v>3551</v>
      </c>
      <c r="H1219" s="56">
        <v>1</v>
      </c>
      <c r="I1219" s="56" t="s">
        <v>3550</v>
      </c>
      <c r="J1219" s="56">
        <v>0</v>
      </c>
      <c r="K1219" s="56">
        <v>0</v>
      </c>
      <c r="P1219" s="56">
        <v>0</v>
      </c>
      <c r="S1219" s="56">
        <v>0</v>
      </c>
      <c r="T1219" s="56" t="s">
        <v>3562</v>
      </c>
      <c r="V1219" s="56" t="s">
        <v>3612</v>
      </c>
      <c r="W1219" s="56" t="s">
        <v>3548</v>
      </c>
      <c r="X1219" s="56" t="s">
        <v>3611</v>
      </c>
      <c r="Z1219" s="56" t="s">
        <v>3546</v>
      </c>
      <c r="AA1219" s="56" t="s">
        <v>5262</v>
      </c>
      <c r="AB1219" s="56" t="s">
        <v>5261</v>
      </c>
      <c r="AC1219" s="56" t="s">
        <v>3543</v>
      </c>
      <c r="AD1219" s="56" t="s">
        <v>24</v>
      </c>
      <c r="AE1219" s="56" t="s">
        <v>4145</v>
      </c>
      <c r="AF1219" s="56" t="s">
        <v>5260</v>
      </c>
      <c r="AH1219" s="56" t="s">
        <v>3542</v>
      </c>
      <c r="AI1219" s="56" t="s">
        <v>3723</v>
      </c>
    </row>
    <row r="1220" spans="1:35" ht="33" customHeight="1">
      <c r="A1220" s="56" t="s">
        <v>5259</v>
      </c>
      <c r="B1220" s="57">
        <v>44363.568067129629</v>
      </c>
      <c r="C1220" s="56" t="s">
        <v>3803</v>
      </c>
      <c r="D1220" s="56" t="s">
        <v>4426</v>
      </c>
      <c r="E1220" s="56" t="s">
        <v>5258</v>
      </c>
      <c r="F1220" s="56" t="s">
        <v>5257</v>
      </c>
      <c r="G1220" s="58" t="s">
        <v>3968</v>
      </c>
      <c r="H1220" s="56">
        <v>1</v>
      </c>
      <c r="I1220" s="56" t="s">
        <v>3669</v>
      </c>
      <c r="J1220" s="56">
        <v>897</v>
      </c>
      <c r="K1220" s="56">
        <v>888</v>
      </c>
      <c r="L1220" s="56">
        <v>1776</v>
      </c>
      <c r="M1220" s="56">
        <v>0</v>
      </c>
      <c r="N1220" s="56">
        <v>36</v>
      </c>
      <c r="O1220" s="56">
        <v>174</v>
      </c>
      <c r="P1220" s="56">
        <v>0</v>
      </c>
      <c r="Q1220" s="56">
        <v>1566</v>
      </c>
      <c r="R1220" s="56">
        <v>0</v>
      </c>
      <c r="S1220" s="56">
        <v>0</v>
      </c>
      <c r="T1220" s="56" t="s">
        <v>3562</v>
      </c>
      <c r="U1220" s="56">
        <v>1566</v>
      </c>
      <c r="V1220" s="56" t="s">
        <v>3561</v>
      </c>
      <c r="W1220" s="56" t="s">
        <v>3548</v>
      </c>
      <c r="X1220" s="56" t="s">
        <v>3716</v>
      </c>
      <c r="Z1220" s="56" t="s">
        <v>3546</v>
      </c>
      <c r="AA1220" s="56" t="s">
        <v>5256</v>
      </c>
      <c r="AB1220" s="56" t="s">
        <v>5255</v>
      </c>
      <c r="AC1220" s="56" t="s">
        <v>3543</v>
      </c>
      <c r="AD1220" s="56" t="s">
        <v>24</v>
      </c>
      <c r="AE1220" s="56" t="s">
        <v>5127</v>
      </c>
      <c r="AF1220" s="56" t="s">
        <v>5254</v>
      </c>
      <c r="AH1220" s="56" t="s">
        <v>3542</v>
      </c>
      <c r="AI1220" s="56" t="s">
        <v>3723</v>
      </c>
    </row>
    <row r="1221" spans="1:35" ht="33" customHeight="1">
      <c r="A1221" s="56" t="s">
        <v>5259</v>
      </c>
      <c r="B1221" s="57">
        <v>44363.568067129629</v>
      </c>
      <c r="C1221" s="56" t="s">
        <v>3803</v>
      </c>
      <c r="D1221" s="56" t="s">
        <v>4426</v>
      </c>
      <c r="E1221" s="56" t="s">
        <v>5258</v>
      </c>
      <c r="F1221" s="56" t="s">
        <v>5257</v>
      </c>
      <c r="G1221" s="58" t="s">
        <v>3670</v>
      </c>
      <c r="H1221" s="56">
        <v>1</v>
      </c>
      <c r="I1221" s="56" t="s">
        <v>3669</v>
      </c>
      <c r="J1221" s="56">
        <v>897</v>
      </c>
      <c r="K1221" s="56">
        <v>888</v>
      </c>
      <c r="P1221" s="56">
        <v>0</v>
      </c>
      <c r="S1221" s="56">
        <v>0</v>
      </c>
      <c r="T1221" s="56" t="s">
        <v>3562</v>
      </c>
      <c r="V1221" s="56" t="s">
        <v>3561</v>
      </c>
      <c r="W1221" s="56" t="s">
        <v>3548</v>
      </c>
      <c r="X1221" s="56" t="s">
        <v>3716</v>
      </c>
      <c r="Z1221" s="56" t="s">
        <v>3546</v>
      </c>
      <c r="AA1221" s="56" t="s">
        <v>5256</v>
      </c>
      <c r="AB1221" s="56" t="s">
        <v>5255</v>
      </c>
      <c r="AC1221" s="56" t="s">
        <v>3543</v>
      </c>
      <c r="AD1221" s="56" t="s">
        <v>24</v>
      </c>
      <c r="AE1221" s="56" t="s">
        <v>5127</v>
      </c>
      <c r="AF1221" s="56" t="s">
        <v>5254</v>
      </c>
      <c r="AH1221" s="56" t="s">
        <v>3542</v>
      </c>
      <c r="AI1221" s="56" t="s">
        <v>3723</v>
      </c>
    </row>
    <row r="1222" spans="1:35" ht="33" customHeight="1">
      <c r="A1222" s="56" t="s">
        <v>5259</v>
      </c>
      <c r="B1222" s="57">
        <v>44363.568067129629</v>
      </c>
      <c r="C1222" s="56" t="s">
        <v>3803</v>
      </c>
      <c r="D1222" s="56" t="s">
        <v>4426</v>
      </c>
      <c r="E1222" s="56" t="s">
        <v>5258</v>
      </c>
      <c r="F1222" s="56" t="s">
        <v>5257</v>
      </c>
      <c r="G1222" s="58" t="s">
        <v>3551</v>
      </c>
      <c r="H1222" s="56">
        <v>1</v>
      </c>
      <c r="I1222" s="56" t="s">
        <v>3550</v>
      </c>
      <c r="J1222" s="56">
        <v>0</v>
      </c>
      <c r="K1222" s="56">
        <v>0</v>
      </c>
      <c r="P1222" s="56">
        <v>0</v>
      </c>
      <c r="S1222" s="56">
        <v>0</v>
      </c>
      <c r="T1222" s="56" t="s">
        <v>3562</v>
      </c>
      <c r="V1222" s="56" t="s">
        <v>3561</v>
      </c>
      <c r="W1222" s="56" t="s">
        <v>3548</v>
      </c>
      <c r="X1222" s="56" t="s">
        <v>3716</v>
      </c>
      <c r="Z1222" s="56" t="s">
        <v>3546</v>
      </c>
      <c r="AA1222" s="56" t="s">
        <v>5256</v>
      </c>
      <c r="AB1222" s="56" t="s">
        <v>5255</v>
      </c>
      <c r="AC1222" s="56" t="s">
        <v>3543</v>
      </c>
      <c r="AD1222" s="56" t="s">
        <v>24</v>
      </c>
      <c r="AE1222" s="56" t="s">
        <v>5127</v>
      </c>
      <c r="AF1222" s="56" t="s">
        <v>5254</v>
      </c>
      <c r="AH1222" s="56" t="s">
        <v>3542</v>
      </c>
      <c r="AI1222" s="56" t="s">
        <v>3723</v>
      </c>
    </row>
    <row r="1223" spans="1:35" ht="33" customHeight="1">
      <c r="A1223" s="56" t="s">
        <v>5259</v>
      </c>
      <c r="B1223" s="57">
        <v>44363.568067129629</v>
      </c>
      <c r="C1223" s="56" t="s">
        <v>3803</v>
      </c>
      <c r="D1223" s="56" t="s">
        <v>4426</v>
      </c>
      <c r="E1223" s="56" t="s">
        <v>5258</v>
      </c>
      <c r="F1223" s="56" t="s">
        <v>5257</v>
      </c>
      <c r="G1223" s="58" t="s">
        <v>1713</v>
      </c>
      <c r="H1223" s="56">
        <v>1</v>
      </c>
      <c r="I1223" s="56" t="s">
        <v>3568</v>
      </c>
      <c r="J1223" s="56">
        <v>0</v>
      </c>
      <c r="K1223" s="56">
        <v>0</v>
      </c>
      <c r="P1223" s="56">
        <v>0</v>
      </c>
      <c r="S1223" s="56">
        <v>0</v>
      </c>
      <c r="T1223" s="56" t="s">
        <v>3562</v>
      </c>
      <c r="V1223" s="56" t="s">
        <v>3561</v>
      </c>
      <c r="W1223" s="56" t="s">
        <v>3548</v>
      </c>
      <c r="X1223" s="56" t="s">
        <v>3716</v>
      </c>
      <c r="Z1223" s="56" t="s">
        <v>3546</v>
      </c>
      <c r="AA1223" s="56" t="s">
        <v>5256</v>
      </c>
      <c r="AB1223" s="56" t="s">
        <v>5255</v>
      </c>
      <c r="AC1223" s="56" t="s">
        <v>3543</v>
      </c>
      <c r="AD1223" s="56" t="s">
        <v>24</v>
      </c>
      <c r="AE1223" s="56" t="s">
        <v>5127</v>
      </c>
      <c r="AF1223" s="56" t="s">
        <v>5254</v>
      </c>
      <c r="AH1223" s="56" t="s">
        <v>3542</v>
      </c>
      <c r="AI1223" s="56" t="s">
        <v>3723</v>
      </c>
    </row>
    <row r="1224" spans="1:35" ht="33" customHeight="1">
      <c r="A1224" s="56" t="s">
        <v>5259</v>
      </c>
      <c r="B1224" s="57">
        <v>44363.568067129629</v>
      </c>
      <c r="C1224" s="56" t="s">
        <v>3803</v>
      </c>
      <c r="D1224" s="56" t="s">
        <v>4426</v>
      </c>
      <c r="E1224" s="56" t="s">
        <v>5258</v>
      </c>
      <c r="F1224" s="56" t="s">
        <v>5257</v>
      </c>
      <c r="G1224" s="58" t="s">
        <v>1498</v>
      </c>
      <c r="H1224" s="56">
        <v>1</v>
      </c>
      <c r="I1224" s="56" t="s">
        <v>4016</v>
      </c>
      <c r="J1224" s="56">
        <v>0</v>
      </c>
      <c r="K1224" s="56">
        <v>0</v>
      </c>
      <c r="P1224" s="56">
        <v>0</v>
      </c>
      <c r="S1224" s="56">
        <v>0</v>
      </c>
      <c r="T1224" s="56" t="s">
        <v>3562</v>
      </c>
      <c r="V1224" s="56" t="s">
        <v>3561</v>
      </c>
      <c r="W1224" s="56" t="s">
        <v>3548</v>
      </c>
      <c r="X1224" s="56" t="s">
        <v>3716</v>
      </c>
      <c r="Z1224" s="56" t="s">
        <v>3546</v>
      </c>
      <c r="AA1224" s="56" t="s">
        <v>5256</v>
      </c>
      <c r="AB1224" s="56" t="s">
        <v>5255</v>
      </c>
      <c r="AC1224" s="56" t="s">
        <v>3543</v>
      </c>
      <c r="AD1224" s="56" t="s">
        <v>24</v>
      </c>
      <c r="AE1224" s="56" t="s">
        <v>5127</v>
      </c>
      <c r="AF1224" s="56" t="s">
        <v>5254</v>
      </c>
      <c r="AH1224" s="56" t="s">
        <v>3542</v>
      </c>
      <c r="AI1224" s="56" t="s">
        <v>3723</v>
      </c>
    </row>
    <row r="1225" spans="1:35" ht="33" customHeight="1">
      <c r="A1225" s="56" t="s">
        <v>5253</v>
      </c>
      <c r="B1225" s="57">
        <v>44363.57</v>
      </c>
      <c r="C1225" s="56" t="s">
        <v>3803</v>
      </c>
      <c r="D1225" s="56" t="s">
        <v>4426</v>
      </c>
      <c r="E1225" s="56" t="s">
        <v>5252</v>
      </c>
      <c r="F1225" s="56" t="s">
        <v>5251</v>
      </c>
      <c r="G1225" s="58" t="s">
        <v>1531</v>
      </c>
      <c r="H1225" s="56">
        <v>1</v>
      </c>
      <c r="I1225" s="56" t="s">
        <v>3696</v>
      </c>
      <c r="J1225" s="56">
        <v>299</v>
      </c>
      <c r="K1225" s="56">
        <v>299</v>
      </c>
      <c r="L1225" s="56">
        <v>299</v>
      </c>
      <c r="M1225" s="56">
        <v>65</v>
      </c>
      <c r="N1225" s="56">
        <v>0</v>
      </c>
      <c r="O1225" s="56">
        <v>0</v>
      </c>
      <c r="P1225" s="56">
        <v>0</v>
      </c>
      <c r="Q1225" s="56">
        <v>364</v>
      </c>
      <c r="R1225" s="56">
        <v>0</v>
      </c>
      <c r="S1225" s="56">
        <v>0</v>
      </c>
      <c r="T1225" s="56" t="s">
        <v>27</v>
      </c>
      <c r="U1225" s="56">
        <v>364</v>
      </c>
      <c r="V1225" s="56" t="s">
        <v>3549</v>
      </c>
      <c r="W1225" s="56" t="s">
        <v>3548</v>
      </c>
      <c r="X1225" s="56" t="s">
        <v>3547</v>
      </c>
      <c r="Z1225" s="56" t="s">
        <v>3546</v>
      </c>
      <c r="AA1225" s="56" t="s">
        <v>5250</v>
      </c>
      <c r="AB1225" s="56" t="s">
        <v>5249</v>
      </c>
      <c r="AC1225" s="56" t="s">
        <v>3842</v>
      </c>
      <c r="AH1225" s="56" t="s">
        <v>3542</v>
      </c>
      <c r="AI1225" s="56" t="s">
        <v>3541</v>
      </c>
    </row>
    <row r="1226" spans="1:35" ht="33" customHeight="1">
      <c r="A1226" s="56" t="s">
        <v>5253</v>
      </c>
      <c r="B1226" s="57">
        <v>44363.57</v>
      </c>
      <c r="C1226" s="56" t="s">
        <v>3803</v>
      </c>
      <c r="D1226" s="56" t="s">
        <v>4426</v>
      </c>
      <c r="E1226" s="56" t="s">
        <v>5252</v>
      </c>
      <c r="F1226" s="56" t="s">
        <v>5251</v>
      </c>
      <c r="G1226" s="58" t="s">
        <v>3551</v>
      </c>
      <c r="H1226" s="56">
        <v>1</v>
      </c>
      <c r="I1226" s="56" t="s">
        <v>3550</v>
      </c>
      <c r="J1226" s="56">
        <v>0</v>
      </c>
      <c r="K1226" s="56">
        <v>0</v>
      </c>
      <c r="P1226" s="56">
        <v>0</v>
      </c>
      <c r="S1226" s="56">
        <v>0</v>
      </c>
      <c r="T1226" s="56" t="s">
        <v>27</v>
      </c>
      <c r="V1226" s="56" t="s">
        <v>3549</v>
      </c>
      <c r="W1226" s="56" t="s">
        <v>3548</v>
      </c>
      <c r="X1226" s="56" t="s">
        <v>3547</v>
      </c>
      <c r="Z1226" s="56" t="s">
        <v>3546</v>
      </c>
      <c r="AA1226" s="56" t="s">
        <v>5250</v>
      </c>
      <c r="AB1226" s="56" t="s">
        <v>5249</v>
      </c>
      <c r="AC1226" s="56" t="s">
        <v>3842</v>
      </c>
      <c r="AH1226" s="56" t="s">
        <v>3542</v>
      </c>
      <c r="AI1226" s="56" t="s">
        <v>3541</v>
      </c>
    </row>
    <row r="1227" spans="1:35" ht="33" customHeight="1">
      <c r="A1227" s="56" t="s">
        <v>5248</v>
      </c>
      <c r="B1227" s="57">
        <v>44363.576006944444</v>
      </c>
      <c r="C1227" s="56" t="s">
        <v>4512</v>
      </c>
      <c r="D1227" s="56" t="s">
        <v>4511</v>
      </c>
      <c r="E1227" s="56" t="s">
        <v>5247</v>
      </c>
      <c r="F1227" s="56" t="s">
        <v>5246</v>
      </c>
      <c r="G1227" s="58" t="s">
        <v>3196</v>
      </c>
      <c r="H1227" s="56">
        <v>2</v>
      </c>
      <c r="I1227" s="56" t="s">
        <v>2550</v>
      </c>
      <c r="J1227" s="56">
        <v>120</v>
      </c>
      <c r="K1227" s="56">
        <v>120</v>
      </c>
      <c r="L1227" s="56">
        <v>1187</v>
      </c>
      <c r="M1227" s="56">
        <v>0</v>
      </c>
      <c r="N1227" s="56">
        <v>0</v>
      </c>
      <c r="O1227" s="56">
        <v>119</v>
      </c>
      <c r="P1227" s="56">
        <v>0</v>
      </c>
      <c r="Q1227" s="56">
        <v>1068</v>
      </c>
      <c r="R1227" s="56">
        <v>0</v>
      </c>
      <c r="S1227" s="56">
        <v>0</v>
      </c>
      <c r="T1227" s="56" t="s">
        <v>3562</v>
      </c>
      <c r="U1227" s="56">
        <v>1068</v>
      </c>
      <c r="V1227" s="56" t="s">
        <v>3549</v>
      </c>
      <c r="W1227" s="56" t="s">
        <v>3548</v>
      </c>
      <c r="X1227" s="56" t="s">
        <v>3547</v>
      </c>
      <c r="Z1227" s="56" t="s">
        <v>3546</v>
      </c>
      <c r="AA1227" s="56" t="s">
        <v>5245</v>
      </c>
      <c r="AB1227" s="56" t="s">
        <v>5244</v>
      </c>
      <c r="AC1227" s="56" t="s">
        <v>3842</v>
      </c>
      <c r="AD1227" s="56" t="s">
        <v>24</v>
      </c>
      <c r="AE1227" s="56" t="s">
        <v>3862</v>
      </c>
      <c r="AF1227" s="56" t="s">
        <v>5243</v>
      </c>
      <c r="AH1227" s="56" t="s">
        <v>3542</v>
      </c>
      <c r="AI1227" s="56" t="s">
        <v>3723</v>
      </c>
    </row>
    <row r="1228" spans="1:35" ht="33" customHeight="1">
      <c r="A1228" s="56" t="s">
        <v>5248</v>
      </c>
      <c r="B1228" s="57">
        <v>44363.576006944444</v>
      </c>
      <c r="C1228" s="56" t="s">
        <v>4512</v>
      </c>
      <c r="D1228" s="56" t="s">
        <v>4511</v>
      </c>
      <c r="E1228" s="56" t="s">
        <v>5247</v>
      </c>
      <c r="F1228" s="56" t="s">
        <v>5246</v>
      </c>
      <c r="G1228" s="58" t="s">
        <v>3171</v>
      </c>
      <c r="H1228" s="56">
        <v>2</v>
      </c>
      <c r="I1228" s="56" t="s">
        <v>3695</v>
      </c>
      <c r="J1228" s="56">
        <v>399</v>
      </c>
      <c r="K1228" s="56">
        <v>399</v>
      </c>
      <c r="P1228" s="56">
        <v>0</v>
      </c>
      <c r="S1228" s="56">
        <v>0</v>
      </c>
      <c r="T1228" s="56" t="s">
        <v>3562</v>
      </c>
      <c r="V1228" s="56" t="s">
        <v>3549</v>
      </c>
      <c r="W1228" s="56" t="s">
        <v>3548</v>
      </c>
      <c r="X1228" s="56" t="s">
        <v>3547</v>
      </c>
      <c r="Z1228" s="56" t="s">
        <v>3546</v>
      </c>
      <c r="AA1228" s="56" t="s">
        <v>5245</v>
      </c>
      <c r="AB1228" s="56" t="s">
        <v>5244</v>
      </c>
      <c r="AC1228" s="56" t="s">
        <v>3842</v>
      </c>
      <c r="AD1228" s="56" t="s">
        <v>24</v>
      </c>
      <c r="AE1228" s="56" t="s">
        <v>3862</v>
      </c>
      <c r="AF1228" s="56" t="s">
        <v>5243</v>
      </c>
      <c r="AH1228" s="56" t="s">
        <v>3542</v>
      </c>
      <c r="AI1228" s="56" t="s">
        <v>3723</v>
      </c>
    </row>
    <row r="1229" spans="1:35" ht="33" customHeight="1">
      <c r="A1229" s="56" t="s">
        <v>5248</v>
      </c>
      <c r="B1229" s="57">
        <v>44363.576006944444</v>
      </c>
      <c r="C1229" s="56" t="s">
        <v>4512</v>
      </c>
      <c r="D1229" s="56" t="s">
        <v>4511</v>
      </c>
      <c r="E1229" s="56" t="s">
        <v>5247</v>
      </c>
      <c r="F1229" s="56" t="s">
        <v>5246</v>
      </c>
      <c r="G1229" s="58" t="s">
        <v>1713</v>
      </c>
      <c r="H1229" s="56">
        <v>1</v>
      </c>
      <c r="I1229" s="56" t="s">
        <v>3587</v>
      </c>
      <c r="J1229" s="56">
        <v>149</v>
      </c>
      <c r="K1229" s="56">
        <v>149</v>
      </c>
      <c r="P1229" s="56">
        <v>0</v>
      </c>
      <c r="S1229" s="56">
        <v>0</v>
      </c>
      <c r="T1229" s="56" t="s">
        <v>3562</v>
      </c>
      <c r="V1229" s="56" t="s">
        <v>3549</v>
      </c>
      <c r="W1229" s="56" t="s">
        <v>3548</v>
      </c>
      <c r="X1229" s="56" t="s">
        <v>3547</v>
      </c>
      <c r="Z1229" s="56" t="s">
        <v>3546</v>
      </c>
      <c r="AA1229" s="56" t="s">
        <v>5245</v>
      </c>
      <c r="AB1229" s="56" t="s">
        <v>5244</v>
      </c>
      <c r="AC1229" s="56" t="s">
        <v>3842</v>
      </c>
      <c r="AD1229" s="56" t="s">
        <v>24</v>
      </c>
      <c r="AE1229" s="56" t="s">
        <v>3862</v>
      </c>
      <c r="AF1229" s="56" t="s">
        <v>5243</v>
      </c>
      <c r="AH1229" s="56" t="s">
        <v>3542</v>
      </c>
      <c r="AI1229" s="56" t="s">
        <v>3723</v>
      </c>
    </row>
    <row r="1230" spans="1:35" ht="33" customHeight="1">
      <c r="A1230" s="56" t="s">
        <v>5248</v>
      </c>
      <c r="B1230" s="57">
        <v>44363.576006944444</v>
      </c>
      <c r="C1230" s="56" t="s">
        <v>4512</v>
      </c>
      <c r="D1230" s="56" t="s">
        <v>4511</v>
      </c>
      <c r="E1230" s="56" t="s">
        <v>5247</v>
      </c>
      <c r="F1230" s="56" t="s">
        <v>5246</v>
      </c>
      <c r="G1230" s="58" t="s">
        <v>3551</v>
      </c>
      <c r="H1230" s="56">
        <v>1</v>
      </c>
      <c r="I1230" s="56" t="s">
        <v>3550</v>
      </c>
      <c r="J1230" s="56">
        <v>0</v>
      </c>
      <c r="K1230" s="56">
        <v>0</v>
      </c>
      <c r="P1230" s="56">
        <v>0</v>
      </c>
      <c r="S1230" s="56">
        <v>0</v>
      </c>
      <c r="T1230" s="56" t="s">
        <v>3562</v>
      </c>
      <c r="V1230" s="56" t="s">
        <v>3549</v>
      </c>
      <c r="W1230" s="56" t="s">
        <v>3548</v>
      </c>
      <c r="X1230" s="56" t="s">
        <v>3547</v>
      </c>
      <c r="Z1230" s="56" t="s">
        <v>3546</v>
      </c>
      <c r="AA1230" s="56" t="s">
        <v>5245</v>
      </c>
      <c r="AB1230" s="56" t="s">
        <v>5244</v>
      </c>
      <c r="AC1230" s="56" t="s">
        <v>3842</v>
      </c>
      <c r="AD1230" s="56" t="s">
        <v>24</v>
      </c>
      <c r="AE1230" s="56" t="s">
        <v>3862</v>
      </c>
      <c r="AF1230" s="56" t="s">
        <v>5243</v>
      </c>
      <c r="AH1230" s="56" t="s">
        <v>3542</v>
      </c>
      <c r="AI1230" s="56" t="s">
        <v>3723</v>
      </c>
    </row>
    <row r="1231" spans="1:35" ht="33" customHeight="1">
      <c r="A1231" s="56" t="s">
        <v>5248</v>
      </c>
      <c r="B1231" s="57">
        <v>44363.576006944444</v>
      </c>
      <c r="C1231" s="56" t="s">
        <v>4512</v>
      </c>
      <c r="D1231" s="56" t="s">
        <v>4511</v>
      </c>
      <c r="E1231" s="56" t="s">
        <v>5247</v>
      </c>
      <c r="F1231" s="56" t="s">
        <v>5246</v>
      </c>
      <c r="G1231" s="58" t="s">
        <v>1498</v>
      </c>
      <c r="H1231" s="56">
        <v>1</v>
      </c>
      <c r="I1231" s="56" t="s">
        <v>4016</v>
      </c>
      <c r="J1231" s="56">
        <v>0</v>
      </c>
      <c r="K1231" s="56">
        <v>0</v>
      </c>
      <c r="P1231" s="56">
        <v>0</v>
      </c>
      <c r="S1231" s="56">
        <v>0</v>
      </c>
      <c r="T1231" s="56" t="s">
        <v>3562</v>
      </c>
      <c r="V1231" s="56" t="s">
        <v>3549</v>
      </c>
      <c r="W1231" s="56" t="s">
        <v>3548</v>
      </c>
      <c r="X1231" s="56" t="s">
        <v>3547</v>
      </c>
      <c r="Z1231" s="56" t="s">
        <v>3546</v>
      </c>
      <c r="AA1231" s="56" t="s">
        <v>5245</v>
      </c>
      <c r="AB1231" s="56" t="s">
        <v>5244</v>
      </c>
      <c r="AC1231" s="56" t="s">
        <v>3842</v>
      </c>
      <c r="AD1231" s="56" t="s">
        <v>24</v>
      </c>
      <c r="AE1231" s="56" t="s">
        <v>3862</v>
      </c>
      <c r="AF1231" s="56" t="s">
        <v>5243</v>
      </c>
      <c r="AH1231" s="56" t="s">
        <v>3542</v>
      </c>
      <c r="AI1231" s="56" t="s">
        <v>3723</v>
      </c>
    </row>
    <row r="1232" spans="1:35" ht="33" customHeight="1">
      <c r="A1232" s="56" t="s">
        <v>5242</v>
      </c>
      <c r="B1232" s="57">
        <v>44363.591631944444</v>
      </c>
      <c r="C1232" s="56" t="s">
        <v>4512</v>
      </c>
      <c r="D1232" s="56" t="s">
        <v>4511</v>
      </c>
      <c r="E1232" s="56" t="s">
        <v>5241</v>
      </c>
      <c r="F1232" s="56" t="s">
        <v>5240</v>
      </c>
      <c r="G1232" s="58" t="s">
        <v>4231</v>
      </c>
      <c r="H1232" s="56">
        <v>1</v>
      </c>
      <c r="I1232" s="56" t="s">
        <v>3753</v>
      </c>
      <c r="J1232" s="56">
        <v>997</v>
      </c>
      <c r="K1232" s="56">
        <v>960</v>
      </c>
      <c r="L1232" s="56">
        <v>1225</v>
      </c>
      <c r="M1232" s="56">
        <v>0</v>
      </c>
      <c r="N1232" s="56">
        <v>0</v>
      </c>
      <c r="O1232" s="56">
        <v>100</v>
      </c>
      <c r="P1232" s="56">
        <v>0</v>
      </c>
      <c r="Q1232" s="56">
        <v>1125</v>
      </c>
      <c r="R1232" s="56">
        <v>0</v>
      </c>
      <c r="S1232" s="56">
        <v>0</v>
      </c>
      <c r="T1232" s="56" t="s">
        <v>3562</v>
      </c>
      <c r="U1232" s="56">
        <v>1125</v>
      </c>
      <c r="V1232" s="56" t="s">
        <v>3549</v>
      </c>
      <c r="W1232" s="56" t="s">
        <v>3548</v>
      </c>
      <c r="X1232" s="56" t="s">
        <v>3547</v>
      </c>
      <c r="Z1232" s="56" t="s">
        <v>3546</v>
      </c>
      <c r="AA1232" s="56" t="s">
        <v>5239</v>
      </c>
      <c r="AB1232" s="56" t="s">
        <v>5238</v>
      </c>
      <c r="AC1232" s="56" t="s">
        <v>3543</v>
      </c>
      <c r="AD1232" s="56" t="s">
        <v>24</v>
      </c>
      <c r="AE1232" s="56" t="s">
        <v>3862</v>
      </c>
      <c r="AF1232" s="56" t="s">
        <v>5237</v>
      </c>
      <c r="AH1232" s="56" t="s">
        <v>3542</v>
      </c>
      <c r="AI1232" s="56" t="s">
        <v>3723</v>
      </c>
    </row>
    <row r="1233" spans="1:35" ht="33" customHeight="1">
      <c r="A1233" s="56" t="s">
        <v>5242</v>
      </c>
      <c r="B1233" s="57">
        <v>44363.591631944444</v>
      </c>
      <c r="C1233" s="56" t="s">
        <v>4512</v>
      </c>
      <c r="D1233" s="56" t="s">
        <v>4511</v>
      </c>
      <c r="E1233" s="56" t="s">
        <v>5241</v>
      </c>
      <c r="F1233" s="56" t="s">
        <v>5240</v>
      </c>
      <c r="G1233" s="58" t="s">
        <v>3196</v>
      </c>
      <c r="H1233" s="56">
        <v>1</v>
      </c>
      <c r="I1233" s="56" t="s">
        <v>2550</v>
      </c>
      <c r="J1233" s="56">
        <v>120</v>
      </c>
      <c r="K1233" s="56">
        <v>120</v>
      </c>
      <c r="P1233" s="56">
        <v>0</v>
      </c>
      <c r="S1233" s="56">
        <v>0</v>
      </c>
      <c r="T1233" s="56" t="s">
        <v>3562</v>
      </c>
      <c r="V1233" s="56" t="s">
        <v>3549</v>
      </c>
      <c r="W1233" s="56" t="s">
        <v>3548</v>
      </c>
      <c r="X1233" s="56" t="s">
        <v>3547</v>
      </c>
      <c r="Z1233" s="56" t="s">
        <v>3546</v>
      </c>
      <c r="AA1233" s="56" t="s">
        <v>5239</v>
      </c>
      <c r="AB1233" s="56" t="s">
        <v>5238</v>
      </c>
      <c r="AC1233" s="56" t="s">
        <v>3543</v>
      </c>
      <c r="AD1233" s="56" t="s">
        <v>24</v>
      </c>
      <c r="AE1233" s="56" t="s">
        <v>3862</v>
      </c>
      <c r="AF1233" s="56" t="s">
        <v>5237</v>
      </c>
      <c r="AH1233" s="56" t="s">
        <v>3542</v>
      </c>
      <c r="AI1233" s="56" t="s">
        <v>3723</v>
      </c>
    </row>
    <row r="1234" spans="1:35" ht="33" customHeight="1">
      <c r="A1234" s="56" t="s">
        <v>5242</v>
      </c>
      <c r="B1234" s="57">
        <v>44363.591631944444</v>
      </c>
      <c r="C1234" s="56" t="s">
        <v>4512</v>
      </c>
      <c r="D1234" s="56" t="s">
        <v>4511</v>
      </c>
      <c r="E1234" s="56" t="s">
        <v>5241</v>
      </c>
      <c r="F1234" s="56" t="s">
        <v>5240</v>
      </c>
      <c r="G1234" s="58" t="s">
        <v>2156</v>
      </c>
      <c r="H1234" s="56">
        <v>1</v>
      </c>
      <c r="I1234" s="56" t="s">
        <v>1376</v>
      </c>
      <c r="J1234" s="56">
        <v>145</v>
      </c>
      <c r="K1234" s="56">
        <v>145</v>
      </c>
      <c r="P1234" s="56">
        <v>0</v>
      </c>
      <c r="S1234" s="56">
        <v>0</v>
      </c>
      <c r="T1234" s="56" t="s">
        <v>3562</v>
      </c>
      <c r="V1234" s="56" t="s">
        <v>3549</v>
      </c>
      <c r="W1234" s="56" t="s">
        <v>3548</v>
      </c>
      <c r="X1234" s="56" t="s">
        <v>3547</v>
      </c>
      <c r="Z1234" s="56" t="s">
        <v>3546</v>
      </c>
      <c r="AA1234" s="56" t="s">
        <v>5239</v>
      </c>
      <c r="AB1234" s="56" t="s">
        <v>5238</v>
      </c>
      <c r="AC1234" s="56" t="s">
        <v>3543</v>
      </c>
      <c r="AD1234" s="56" t="s">
        <v>24</v>
      </c>
      <c r="AE1234" s="56" t="s">
        <v>3862</v>
      </c>
      <c r="AF1234" s="56" t="s">
        <v>5237</v>
      </c>
      <c r="AH1234" s="56" t="s">
        <v>3542</v>
      </c>
      <c r="AI1234" s="56" t="s">
        <v>3723</v>
      </c>
    </row>
    <row r="1235" spans="1:35" ht="33" customHeight="1">
      <c r="A1235" s="56" t="s">
        <v>5242</v>
      </c>
      <c r="B1235" s="57">
        <v>44363.591631944444</v>
      </c>
      <c r="C1235" s="56" t="s">
        <v>4512</v>
      </c>
      <c r="D1235" s="56" t="s">
        <v>4511</v>
      </c>
      <c r="E1235" s="56" t="s">
        <v>5241</v>
      </c>
      <c r="F1235" s="56" t="s">
        <v>5240</v>
      </c>
      <c r="G1235" s="58" t="s">
        <v>3551</v>
      </c>
      <c r="H1235" s="56">
        <v>1</v>
      </c>
      <c r="I1235" s="56" t="s">
        <v>3550</v>
      </c>
      <c r="J1235" s="56">
        <v>0</v>
      </c>
      <c r="K1235" s="56">
        <v>0</v>
      </c>
      <c r="P1235" s="56">
        <v>0</v>
      </c>
      <c r="S1235" s="56">
        <v>0</v>
      </c>
      <c r="T1235" s="56" t="s">
        <v>3562</v>
      </c>
      <c r="V1235" s="56" t="s">
        <v>3549</v>
      </c>
      <c r="W1235" s="56" t="s">
        <v>3548</v>
      </c>
      <c r="X1235" s="56" t="s">
        <v>3547</v>
      </c>
      <c r="Z1235" s="56" t="s">
        <v>3546</v>
      </c>
      <c r="AA1235" s="56" t="s">
        <v>5239</v>
      </c>
      <c r="AB1235" s="56" t="s">
        <v>5238</v>
      </c>
      <c r="AC1235" s="56" t="s">
        <v>3543</v>
      </c>
      <c r="AD1235" s="56" t="s">
        <v>24</v>
      </c>
      <c r="AE1235" s="56" t="s">
        <v>3862</v>
      </c>
      <c r="AF1235" s="56" t="s">
        <v>5237</v>
      </c>
      <c r="AH1235" s="56" t="s">
        <v>3542</v>
      </c>
      <c r="AI1235" s="56" t="s">
        <v>3723</v>
      </c>
    </row>
    <row r="1236" spans="1:35" ht="33" customHeight="1">
      <c r="A1236" s="56" t="s">
        <v>5242</v>
      </c>
      <c r="B1236" s="57">
        <v>44363.591631944444</v>
      </c>
      <c r="C1236" s="56" t="s">
        <v>4512</v>
      </c>
      <c r="D1236" s="56" t="s">
        <v>4511</v>
      </c>
      <c r="E1236" s="56" t="s">
        <v>5241</v>
      </c>
      <c r="F1236" s="56" t="s">
        <v>5240</v>
      </c>
      <c r="G1236" s="58" t="s">
        <v>1498</v>
      </c>
      <c r="H1236" s="56">
        <v>1</v>
      </c>
      <c r="I1236" s="56" t="s">
        <v>4016</v>
      </c>
      <c r="J1236" s="56">
        <v>0</v>
      </c>
      <c r="K1236" s="56">
        <v>0</v>
      </c>
      <c r="P1236" s="56">
        <v>0</v>
      </c>
      <c r="S1236" s="56">
        <v>0</v>
      </c>
      <c r="T1236" s="56" t="s">
        <v>3562</v>
      </c>
      <c r="V1236" s="56" t="s">
        <v>3549</v>
      </c>
      <c r="W1236" s="56" t="s">
        <v>3548</v>
      </c>
      <c r="X1236" s="56" t="s">
        <v>3547</v>
      </c>
      <c r="Z1236" s="56" t="s">
        <v>3546</v>
      </c>
      <c r="AA1236" s="56" t="s">
        <v>5239</v>
      </c>
      <c r="AB1236" s="56" t="s">
        <v>5238</v>
      </c>
      <c r="AC1236" s="56" t="s">
        <v>3543</v>
      </c>
      <c r="AD1236" s="56" t="s">
        <v>24</v>
      </c>
      <c r="AE1236" s="56" t="s">
        <v>3862</v>
      </c>
      <c r="AF1236" s="56" t="s">
        <v>5237</v>
      </c>
      <c r="AH1236" s="56" t="s">
        <v>3542</v>
      </c>
      <c r="AI1236" s="56" t="s">
        <v>3723</v>
      </c>
    </row>
    <row r="1237" spans="1:35" ht="33" customHeight="1">
      <c r="A1237" s="56" t="s">
        <v>5236</v>
      </c>
      <c r="B1237" s="57">
        <v>44363.600138888891</v>
      </c>
      <c r="C1237" s="56" t="s">
        <v>3803</v>
      </c>
      <c r="D1237" s="56" t="s">
        <v>3802</v>
      </c>
      <c r="E1237" s="56" t="s">
        <v>5235</v>
      </c>
      <c r="F1237" s="56" t="s">
        <v>5234</v>
      </c>
      <c r="G1237" s="58" t="s">
        <v>3811</v>
      </c>
      <c r="H1237" s="56">
        <v>1</v>
      </c>
      <c r="I1237" s="56" t="s">
        <v>3669</v>
      </c>
      <c r="J1237" s="56">
        <v>897</v>
      </c>
      <c r="K1237" s="56">
        <v>888</v>
      </c>
      <c r="L1237" s="56">
        <v>1187</v>
      </c>
      <c r="M1237" s="56">
        <v>0</v>
      </c>
      <c r="N1237" s="56">
        <v>0</v>
      </c>
      <c r="O1237" s="56">
        <v>100</v>
      </c>
      <c r="P1237" s="56">
        <v>0</v>
      </c>
      <c r="Q1237" s="56">
        <v>1087</v>
      </c>
      <c r="R1237" s="56">
        <v>0</v>
      </c>
      <c r="S1237" s="56">
        <v>0</v>
      </c>
      <c r="T1237" s="56" t="s">
        <v>3562</v>
      </c>
      <c r="U1237" s="56">
        <v>1087</v>
      </c>
      <c r="V1237" s="56" t="s">
        <v>3561</v>
      </c>
      <c r="W1237" s="56" t="s">
        <v>3548</v>
      </c>
      <c r="X1237" s="56" t="s">
        <v>39</v>
      </c>
      <c r="Y1237" s="56" t="s">
        <v>5233</v>
      </c>
      <c r="Z1237" s="56" t="s">
        <v>5232</v>
      </c>
      <c r="AC1237" s="56" t="s">
        <v>3543</v>
      </c>
      <c r="AD1237" s="56" t="s">
        <v>24</v>
      </c>
      <c r="AE1237" s="56" t="s">
        <v>5127</v>
      </c>
      <c r="AF1237" s="56" t="s">
        <v>5231</v>
      </c>
      <c r="AH1237" s="56" t="s">
        <v>3542</v>
      </c>
      <c r="AI1237" s="56" t="s">
        <v>3723</v>
      </c>
    </row>
    <row r="1238" spans="1:35" ht="33" customHeight="1">
      <c r="A1238" s="56" t="s">
        <v>5236</v>
      </c>
      <c r="B1238" s="57">
        <v>44363.600138888891</v>
      </c>
      <c r="C1238" s="56" t="s">
        <v>3803</v>
      </c>
      <c r="D1238" s="56" t="s">
        <v>3802</v>
      </c>
      <c r="E1238" s="56" t="s">
        <v>5235</v>
      </c>
      <c r="F1238" s="56" t="s">
        <v>5234</v>
      </c>
      <c r="G1238" s="58" t="s">
        <v>1510</v>
      </c>
      <c r="H1238" s="56">
        <v>1</v>
      </c>
      <c r="I1238" s="56" t="s">
        <v>3696</v>
      </c>
      <c r="J1238" s="56">
        <v>299</v>
      </c>
      <c r="K1238" s="56">
        <v>299</v>
      </c>
      <c r="P1238" s="56">
        <v>0</v>
      </c>
      <c r="S1238" s="56">
        <v>0</v>
      </c>
      <c r="T1238" s="56" t="s">
        <v>3562</v>
      </c>
      <c r="V1238" s="56" t="s">
        <v>3561</v>
      </c>
      <c r="W1238" s="56" t="s">
        <v>3548</v>
      </c>
      <c r="X1238" s="56" t="s">
        <v>39</v>
      </c>
      <c r="Y1238" s="56" t="s">
        <v>5233</v>
      </c>
      <c r="Z1238" s="56" t="s">
        <v>5232</v>
      </c>
      <c r="AC1238" s="56" t="s">
        <v>3543</v>
      </c>
      <c r="AD1238" s="56" t="s">
        <v>24</v>
      </c>
      <c r="AE1238" s="56" t="s">
        <v>5127</v>
      </c>
      <c r="AF1238" s="56" t="s">
        <v>5231</v>
      </c>
      <c r="AH1238" s="56" t="s">
        <v>3542</v>
      </c>
      <c r="AI1238" s="56" t="s">
        <v>3723</v>
      </c>
    </row>
    <row r="1239" spans="1:35" ht="33" customHeight="1">
      <c r="A1239" s="56" t="s">
        <v>5236</v>
      </c>
      <c r="B1239" s="57">
        <v>44363.600138888891</v>
      </c>
      <c r="C1239" s="56" t="s">
        <v>3803</v>
      </c>
      <c r="D1239" s="56" t="s">
        <v>3802</v>
      </c>
      <c r="E1239" s="56" t="s">
        <v>5235</v>
      </c>
      <c r="F1239" s="56" t="s">
        <v>5234</v>
      </c>
      <c r="G1239" s="58" t="s">
        <v>3551</v>
      </c>
      <c r="H1239" s="56">
        <v>1</v>
      </c>
      <c r="I1239" s="56" t="s">
        <v>3550</v>
      </c>
      <c r="J1239" s="56">
        <v>0</v>
      </c>
      <c r="K1239" s="56">
        <v>0</v>
      </c>
      <c r="P1239" s="56">
        <v>0</v>
      </c>
      <c r="S1239" s="56">
        <v>0</v>
      </c>
      <c r="T1239" s="56" t="s">
        <v>3562</v>
      </c>
      <c r="V1239" s="56" t="s">
        <v>3561</v>
      </c>
      <c r="W1239" s="56" t="s">
        <v>3548</v>
      </c>
      <c r="X1239" s="56" t="s">
        <v>39</v>
      </c>
      <c r="Y1239" s="56" t="s">
        <v>5233</v>
      </c>
      <c r="Z1239" s="56" t="s">
        <v>5232</v>
      </c>
      <c r="AC1239" s="56" t="s">
        <v>3543</v>
      </c>
      <c r="AD1239" s="56" t="s">
        <v>24</v>
      </c>
      <c r="AE1239" s="56" t="s">
        <v>5127</v>
      </c>
      <c r="AF1239" s="56" t="s">
        <v>5231</v>
      </c>
      <c r="AH1239" s="56" t="s">
        <v>3542</v>
      </c>
      <c r="AI1239" s="56" t="s">
        <v>3723</v>
      </c>
    </row>
    <row r="1240" spans="1:35" ht="33" customHeight="1">
      <c r="A1240" s="56" t="s">
        <v>5236</v>
      </c>
      <c r="B1240" s="57">
        <v>44363.600138888891</v>
      </c>
      <c r="C1240" s="56" t="s">
        <v>3803</v>
      </c>
      <c r="D1240" s="56" t="s">
        <v>3802</v>
      </c>
      <c r="E1240" s="56" t="s">
        <v>5235</v>
      </c>
      <c r="F1240" s="56" t="s">
        <v>5234</v>
      </c>
      <c r="G1240" s="58" t="s">
        <v>1498</v>
      </c>
      <c r="H1240" s="56">
        <v>1</v>
      </c>
      <c r="I1240" s="56" t="s">
        <v>4016</v>
      </c>
      <c r="J1240" s="56">
        <v>0</v>
      </c>
      <c r="K1240" s="56">
        <v>0</v>
      </c>
      <c r="P1240" s="56">
        <v>0</v>
      </c>
      <c r="S1240" s="56">
        <v>0</v>
      </c>
      <c r="T1240" s="56" t="s">
        <v>3562</v>
      </c>
      <c r="V1240" s="56" t="s">
        <v>3561</v>
      </c>
      <c r="W1240" s="56" t="s">
        <v>3548</v>
      </c>
      <c r="X1240" s="56" t="s">
        <v>39</v>
      </c>
      <c r="Y1240" s="56" t="s">
        <v>5233</v>
      </c>
      <c r="Z1240" s="56" t="s">
        <v>5232</v>
      </c>
      <c r="AC1240" s="56" t="s">
        <v>3543</v>
      </c>
      <c r="AD1240" s="56" t="s">
        <v>24</v>
      </c>
      <c r="AE1240" s="56" t="s">
        <v>5127</v>
      </c>
      <c r="AF1240" s="56" t="s">
        <v>5231</v>
      </c>
      <c r="AH1240" s="56" t="s">
        <v>3542</v>
      </c>
      <c r="AI1240" s="56" t="s">
        <v>3723</v>
      </c>
    </row>
    <row r="1241" spans="1:35" ht="33" customHeight="1">
      <c r="A1241" s="56" t="s">
        <v>5230</v>
      </c>
      <c r="B1241" s="57">
        <v>44363.660567129627</v>
      </c>
      <c r="C1241" s="56" t="s">
        <v>4512</v>
      </c>
      <c r="D1241" s="56" t="s">
        <v>4511</v>
      </c>
      <c r="E1241" s="56" t="s">
        <v>5229</v>
      </c>
      <c r="F1241" s="56" t="s">
        <v>5228</v>
      </c>
      <c r="G1241" s="58" t="s">
        <v>3811</v>
      </c>
      <c r="H1241" s="56">
        <v>1</v>
      </c>
      <c r="I1241" s="56" t="s">
        <v>3669</v>
      </c>
      <c r="J1241" s="56">
        <v>897</v>
      </c>
      <c r="K1241" s="56">
        <v>888</v>
      </c>
      <c r="L1241" s="56">
        <v>1638</v>
      </c>
      <c r="M1241" s="56">
        <v>0</v>
      </c>
      <c r="N1241" s="56">
        <v>0</v>
      </c>
      <c r="O1241" s="56">
        <v>100</v>
      </c>
      <c r="P1241" s="56">
        <v>0</v>
      </c>
      <c r="Q1241" s="56">
        <v>1538</v>
      </c>
      <c r="R1241" s="56">
        <v>0</v>
      </c>
      <c r="S1241" s="56">
        <v>0</v>
      </c>
      <c r="T1241" s="56" t="s">
        <v>3562</v>
      </c>
      <c r="U1241" s="56">
        <v>1538</v>
      </c>
      <c r="V1241" s="56" t="s">
        <v>3549</v>
      </c>
      <c r="W1241" s="56" t="s">
        <v>3548</v>
      </c>
      <c r="X1241" s="56" t="s">
        <v>3547</v>
      </c>
      <c r="Z1241" s="56" t="s">
        <v>3546</v>
      </c>
      <c r="AA1241" s="56" t="s">
        <v>5227</v>
      </c>
      <c r="AB1241" s="56" t="s">
        <v>5226</v>
      </c>
      <c r="AC1241" s="56" t="s">
        <v>3543</v>
      </c>
      <c r="AD1241" s="56" t="s">
        <v>24</v>
      </c>
      <c r="AE1241" s="56" t="s">
        <v>3862</v>
      </c>
      <c r="AF1241" s="56" t="s">
        <v>5225</v>
      </c>
      <c r="AH1241" s="56" t="s">
        <v>3542</v>
      </c>
      <c r="AI1241" s="56" t="s">
        <v>3723</v>
      </c>
    </row>
    <row r="1242" spans="1:35" ht="33" customHeight="1">
      <c r="A1242" s="56" t="s">
        <v>5230</v>
      </c>
      <c r="B1242" s="57">
        <v>44363.660567129627</v>
      </c>
      <c r="C1242" s="56" t="s">
        <v>4512</v>
      </c>
      <c r="D1242" s="56" t="s">
        <v>4511</v>
      </c>
      <c r="E1242" s="56" t="s">
        <v>5229</v>
      </c>
      <c r="F1242" s="56" t="s">
        <v>5228</v>
      </c>
      <c r="G1242" s="58" t="s">
        <v>4918</v>
      </c>
      <c r="H1242" s="56">
        <v>1</v>
      </c>
      <c r="I1242" s="56" t="s">
        <v>3569</v>
      </c>
      <c r="J1242" s="56">
        <v>894</v>
      </c>
      <c r="K1242" s="56">
        <v>750</v>
      </c>
      <c r="P1242" s="56">
        <v>0</v>
      </c>
      <c r="S1242" s="56">
        <v>0</v>
      </c>
      <c r="T1242" s="56" t="s">
        <v>3562</v>
      </c>
      <c r="V1242" s="56" t="s">
        <v>3549</v>
      </c>
      <c r="W1242" s="56" t="s">
        <v>3548</v>
      </c>
      <c r="X1242" s="56" t="s">
        <v>3547</v>
      </c>
      <c r="Z1242" s="56" t="s">
        <v>3546</v>
      </c>
      <c r="AA1242" s="56" t="s">
        <v>5227</v>
      </c>
      <c r="AB1242" s="56" t="s">
        <v>5226</v>
      </c>
      <c r="AC1242" s="56" t="s">
        <v>3543</v>
      </c>
      <c r="AD1242" s="56" t="s">
        <v>24</v>
      </c>
      <c r="AE1242" s="56" t="s">
        <v>3862</v>
      </c>
      <c r="AF1242" s="56" t="s">
        <v>5225</v>
      </c>
      <c r="AH1242" s="56" t="s">
        <v>3542</v>
      </c>
      <c r="AI1242" s="56" t="s">
        <v>3723</v>
      </c>
    </row>
    <row r="1243" spans="1:35" ht="33" customHeight="1">
      <c r="A1243" s="56" t="s">
        <v>5230</v>
      </c>
      <c r="B1243" s="57">
        <v>44363.660567129627</v>
      </c>
      <c r="C1243" s="56" t="s">
        <v>4512</v>
      </c>
      <c r="D1243" s="56" t="s">
        <v>4511</v>
      </c>
      <c r="E1243" s="56" t="s">
        <v>5229</v>
      </c>
      <c r="F1243" s="56" t="s">
        <v>5228</v>
      </c>
      <c r="G1243" s="58" t="s">
        <v>3551</v>
      </c>
      <c r="H1243" s="56">
        <v>1</v>
      </c>
      <c r="I1243" s="56" t="s">
        <v>3550</v>
      </c>
      <c r="J1243" s="56">
        <v>0</v>
      </c>
      <c r="K1243" s="56">
        <v>0</v>
      </c>
      <c r="P1243" s="56">
        <v>0</v>
      </c>
      <c r="S1243" s="56">
        <v>0</v>
      </c>
      <c r="T1243" s="56" t="s">
        <v>3562</v>
      </c>
      <c r="V1243" s="56" t="s">
        <v>3549</v>
      </c>
      <c r="W1243" s="56" t="s">
        <v>3548</v>
      </c>
      <c r="X1243" s="56" t="s">
        <v>3547</v>
      </c>
      <c r="Z1243" s="56" t="s">
        <v>3546</v>
      </c>
      <c r="AA1243" s="56" t="s">
        <v>5227</v>
      </c>
      <c r="AB1243" s="56" t="s">
        <v>5226</v>
      </c>
      <c r="AC1243" s="56" t="s">
        <v>3543</v>
      </c>
      <c r="AD1243" s="56" t="s">
        <v>24</v>
      </c>
      <c r="AE1243" s="56" t="s">
        <v>3862</v>
      </c>
      <c r="AF1243" s="56" t="s">
        <v>5225</v>
      </c>
      <c r="AH1243" s="56" t="s">
        <v>3542</v>
      </c>
      <c r="AI1243" s="56" t="s">
        <v>3723</v>
      </c>
    </row>
    <row r="1244" spans="1:35" ht="33" customHeight="1">
      <c r="A1244" s="56" t="s">
        <v>5230</v>
      </c>
      <c r="B1244" s="57">
        <v>44363.660567129627</v>
      </c>
      <c r="C1244" s="56" t="s">
        <v>4512</v>
      </c>
      <c r="D1244" s="56" t="s">
        <v>4511</v>
      </c>
      <c r="E1244" s="56" t="s">
        <v>5229</v>
      </c>
      <c r="F1244" s="56" t="s">
        <v>5228</v>
      </c>
      <c r="G1244" s="58" t="s">
        <v>1713</v>
      </c>
      <c r="H1244" s="56">
        <v>1</v>
      </c>
      <c r="I1244" s="56" t="s">
        <v>3568</v>
      </c>
      <c r="J1244" s="56">
        <v>0</v>
      </c>
      <c r="K1244" s="56">
        <v>0</v>
      </c>
      <c r="P1244" s="56">
        <v>0</v>
      </c>
      <c r="S1244" s="56">
        <v>0</v>
      </c>
      <c r="T1244" s="56" t="s">
        <v>3562</v>
      </c>
      <c r="V1244" s="56" t="s">
        <v>3549</v>
      </c>
      <c r="W1244" s="56" t="s">
        <v>3548</v>
      </c>
      <c r="X1244" s="56" t="s">
        <v>3547</v>
      </c>
      <c r="Z1244" s="56" t="s">
        <v>3546</v>
      </c>
      <c r="AA1244" s="56" t="s">
        <v>5227</v>
      </c>
      <c r="AB1244" s="56" t="s">
        <v>5226</v>
      </c>
      <c r="AC1244" s="56" t="s">
        <v>3543</v>
      </c>
      <c r="AD1244" s="56" t="s">
        <v>24</v>
      </c>
      <c r="AE1244" s="56" t="s">
        <v>3862</v>
      </c>
      <c r="AF1244" s="56" t="s">
        <v>5225</v>
      </c>
      <c r="AH1244" s="56" t="s">
        <v>3542</v>
      </c>
      <c r="AI1244" s="56" t="s">
        <v>3723</v>
      </c>
    </row>
    <row r="1245" spans="1:35" ht="33" customHeight="1">
      <c r="A1245" s="56" t="s">
        <v>5230</v>
      </c>
      <c r="B1245" s="57">
        <v>44363.660567129627</v>
      </c>
      <c r="C1245" s="56" t="s">
        <v>4512</v>
      </c>
      <c r="D1245" s="56" t="s">
        <v>4511</v>
      </c>
      <c r="E1245" s="56" t="s">
        <v>5229</v>
      </c>
      <c r="F1245" s="56" t="s">
        <v>5228</v>
      </c>
      <c r="G1245" s="58" t="s">
        <v>1498</v>
      </c>
      <c r="H1245" s="56">
        <v>1</v>
      </c>
      <c r="I1245" s="56" t="s">
        <v>4016</v>
      </c>
      <c r="J1245" s="56">
        <v>0</v>
      </c>
      <c r="K1245" s="56">
        <v>0</v>
      </c>
      <c r="P1245" s="56">
        <v>0</v>
      </c>
      <c r="S1245" s="56">
        <v>0</v>
      </c>
      <c r="T1245" s="56" t="s">
        <v>3562</v>
      </c>
      <c r="V1245" s="56" t="s">
        <v>3549</v>
      </c>
      <c r="W1245" s="56" t="s">
        <v>3548</v>
      </c>
      <c r="X1245" s="56" t="s">
        <v>3547</v>
      </c>
      <c r="Z1245" s="56" t="s">
        <v>3546</v>
      </c>
      <c r="AA1245" s="56" t="s">
        <v>5227</v>
      </c>
      <c r="AB1245" s="56" t="s">
        <v>5226</v>
      </c>
      <c r="AC1245" s="56" t="s">
        <v>3543</v>
      </c>
      <c r="AD1245" s="56" t="s">
        <v>24</v>
      </c>
      <c r="AE1245" s="56" t="s">
        <v>3862</v>
      </c>
      <c r="AF1245" s="56" t="s">
        <v>5225</v>
      </c>
      <c r="AH1245" s="56" t="s">
        <v>3542</v>
      </c>
      <c r="AI1245" s="56" t="s">
        <v>3723</v>
      </c>
    </row>
    <row r="1246" spans="1:35" ht="33" customHeight="1">
      <c r="A1246" s="56" t="s">
        <v>5224</v>
      </c>
      <c r="B1246" s="57">
        <v>44363.662407407406</v>
      </c>
      <c r="C1246" s="56" t="s">
        <v>4512</v>
      </c>
      <c r="D1246" s="56" t="s">
        <v>4511</v>
      </c>
      <c r="E1246" s="56" t="s">
        <v>5223</v>
      </c>
      <c r="F1246" s="56" t="s">
        <v>5222</v>
      </c>
      <c r="G1246" s="58" t="s">
        <v>1512</v>
      </c>
      <c r="H1246" s="56">
        <v>1</v>
      </c>
      <c r="I1246" s="56" t="s">
        <v>3740</v>
      </c>
      <c r="J1246" s="56">
        <v>220</v>
      </c>
      <c r="K1246" s="56">
        <v>168</v>
      </c>
      <c r="L1246" s="56">
        <v>452</v>
      </c>
      <c r="M1246" s="56">
        <v>65</v>
      </c>
      <c r="N1246" s="56">
        <v>0</v>
      </c>
      <c r="O1246" s="56">
        <v>0</v>
      </c>
      <c r="P1246" s="56">
        <v>0</v>
      </c>
      <c r="Q1246" s="56">
        <v>517</v>
      </c>
      <c r="R1246" s="56">
        <v>0</v>
      </c>
      <c r="S1246" s="56">
        <v>0</v>
      </c>
      <c r="T1246" s="56" t="s">
        <v>3562</v>
      </c>
      <c r="U1246" s="56">
        <v>517</v>
      </c>
      <c r="V1246" s="56" t="s">
        <v>3549</v>
      </c>
      <c r="W1246" s="56" t="s">
        <v>3548</v>
      </c>
      <c r="X1246" s="56" t="s">
        <v>3547</v>
      </c>
      <c r="Z1246" s="56" t="s">
        <v>3546</v>
      </c>
      <c r="AA1246" s="56" t="s">
        <v>680</v>
      </c>
      <c r="AB1246" s="56" t="s">
        <v>5221</v>
      </c>
      <c r="AC1246" s="56" t="s">
        <v>3543</v>
      </c>
      <c r="AD1246" s="56" t="s">
        <v>24</v>
      </c>
      <c r="AE1246" s="56" t="s">
        <v>3862</v>
      </c>
      <c r="AF1246" s="56" t="s">
        <v>5220</v>
      </c>
      <c r="AH1246" s="56" t="s">
        <v>3542</v>
      </c>
      <c r="AI1246" s="56" t="s">
        <v>3723</v>
      </c>
    </row>
    <row r="1247" spans="1:35" ht="33" customHeight="1">
      <c r="A1247" s="56" t="s">
        <v>5224</v>
      </c>
      <c r="B1247" s="57">
        <v>44363.662407407406</v>
      </c>
      <c r="C1247" s="56" t="s">
        <v>4512</v>
      </c>
      <c r="D1247" s="56" t="s">
        <v>4511</v>
      </c>
      <c r="E1247" s="56" t="s">
        <v>5223</v>
      </c>
      <c r="F1247" s="56" t="s">
        <v>5222</v>
      </c>
      <c r="G1247" s="58" t="s">
        <v>1491</v>
      </c>
      <c r="H1247" s="56">
        <v>1</v>
      </c>
      <c r="I1247" s="56" t="s">
        <v>3771</v>
      </c>
      <c r="J1247" s="56">
        <v>135</v>
      </c>
      <c r="K1247" s="56">
        <v>135</v>
      </c>
      <c r="P1247" s="56">
        <v>0</v>
      </c>
      <c r="S1247" s="56">
        <v>0</v>
      </c>
      <c r="T1247" s="56" t="s">
        <v>3562</v>
      </c>
      <c r="V1247" s="56" t="s">
        <v>3549</v>
      </c>
      <c r="W1247" s="56" t="s">
        <v>3548</v>
      </c>
      <c r="X1247" s="56" t="s">
        <v>3547</v>
      </c>
      <c r="Z1247" s="56" t="s">
        <v>3546</v>
      </c>
      <c r="AA1247" s="56" t="s">
        <v>680</v>
      </c>
      <c r="AB1247" s="56" t="s">
        <v>5221</v>
      </c>
      <c r="AC1247" s="56" t="s">
        <v>3543</v>
      </c>
      <c r="AD1247" s="56" t="s">
        <v>24</v>
      </c>
      <c r="AE1247" s="56" t="s">
        <v>3862</v>
      </c>
      <c r="AF1247" s="56" t="s">
        <v>5220</v>
      </c>
      <c r="AH1247" s="56" t="s">
        <v>3542</v>
      </c>
      <c r="AI1247" s="56" t="s">
        <v>3723</v>
      </c>
    </row>
    <row r="1248" spans="1:35" ht="33" customHeight="1">
      <c r="A1248" s="56" t="s">
        <v>5224</v>
      </c>
      <c r="B1248" s="57">
        <v>44363.662407407406</v>
      </c>
      <c r="C1248" s="56" t="s">
        <v>4512</v>
      </c>
      <c r="D1248" s="56" t="s">
        <v>4511</v>
      </c>
      <c r="E1248" s="56" t="s">
        <v>5223</v>
      </c>
      <c r="F1248" s="56" t="s">
        <v>5222</v>
      </c>
      <c r="G1248" s="58" t="s">
        <v>2156</v>
      </c>
      <c r="H1248" s="56">
        <v>1</v>
      </c>
      <c r="I1248" s="56" t="s">
        <v>1376</v>
      </c>
      <c r="J1248" s="56">
        <v>149</v>
      </c>
      <c r="K1248" s="56">
        <v>149</v>
      </c>
      <c r="P1248" s="56">
        <v>0</v>
      </c>
      <c r="S1248" s="56">
        <v>0</v>
      </c>
      <c r="T1248" s="56" t="s">
        <v>3562</v>
      </c>
      <c r="V1248" s="56" t="s">
        <v>3549</v>
      </c>
      <c r="W1248" s="56" t="s">
        <v>3548</v>
      </c>
      <c r="X1248" s="56" t="s">
        <v>3547</v>
      </c>
      <c r="Z1248" s="56" t="s">
        <v>3546</v>
      </c>
      <c r="AA1248" s="56" t="s">
        <v>680</v>
      </c>
      <c r="AB1248" s="56" t="s">
        <v>5221</v>
      </c>
      <c r="AC1248" s="56" t="s">
        <v>3543</v>
      </c>
      <c r="AD1248" s="56" t="s">
        <v>24</v>
      </c>
      <c r="AE1248" s="56" t="s">
        <v>3862</v>
      </c>
      <c r="AF1248" s="56" t="s">
        <v>5220</v>
      </c>
      <c r="AH1248" s="56" t="s">
        <v>3542</v>
      </c>
      <c r="AI1248" s="56" t="s">
        <v>3723</v>
      </c>
    </row>
    <row r="1249" spans="1:35" ht="33" customHeight="1">
      <c r="A1249" s="56" t="s">
        <v>5224</v>
      </c>
      <c r="B1249" s="57">
        <v>44363.662407407406</v>
      </c>
      <c r="C1249" s="56" t="s">
        <v>4512</v>
      </c>
      <c r="D1249" s="56" t="s">
        <v>4511</v>
      </c>
      <c r="E1249" s="56" t="s">
        <v>5223</v>
      </c>
      <c r="F1249" s="56" t="s">
        <v>5222</v>
      </c>
      <c r="G1249" s="58" t="s">
        <v>3551</v>
      </c>
      <c r="H1249" s="56">
        <v>1</v>
      </c>
      <c r="I1249" s="56" t="s">
        <v>3550</v>
      </c>
      <c r="J1249" s="56">
        <v>0</v>
      </c>
      <c r="K1249" s="56">
        <v>0</v>
      </c>
      <c r="P1249" s="56">
        <v>0</v>
      </c>
      <c r="S1249" s="56">
        <v>0</v>
      </c>
      <c r="T1249" s="56" t="s">
        <v>3562</v>
      </c>
      <c r="V1249" s="56" t="s">
        <v>3549</v>
      </c>
      <c r="W1249" s="56" t="s">
        <v>3548</v>
      </c>
      <c r="X1249" s="56" t="s">
        <v>3547</v>
      </c>
      <c r="Z1249" s="56" t="s">
        <v>3546</v>
      </c>
      <c r="AA1249" s="56" t="s">
        <v>680</v>
      </c>
      <c r="AB1249" s="56" t="s">
        <v>5221</v>
      </c>
      <c r="AC1249" s="56" t="s">
        <v>3543</v>
      </c>
      <c r="AD1249" s="56" t="s">
        <v>24</v>
      </c>
      <c r="AE1249" s="56" t="s">
        <v>3862</v>
      </c>
      <c r="AF1249" s="56" t="s">
        <v>5220</v>
      </c>
      <c r="AH1249" s="56" t="s">
        <v>3542</v>
      </c>
      <c r="AI1249" s="56" t="s">
        <v>3723</v>
      </c>
    </row>
    <row r="1250" spans="1:35" ht="33" customHeight="1">
      <c r="A1250" s="56" t="s">
        <v>5219</v>
      </c>
      <c r="B1250" s="57">
        <v>44363.701608796298</v>
      </c>
      <c r="C1250" s="56" t="s">
        <v>4512</v>
      </c>
      <c r="D1250" s="56" t="s">
        <v>4511</v>
      </c>
      <c r="E1250" s="56" t="s">
        <v>5218</v>
      </c>
      <c r="F1250" s="56" t="s">
        <v>5217</v>
      </c>
      <c r="G1250" s="58" t="s">
        <v>3747</v>
      </c>
      <c r="H1250" s="56">
        <v>1</v>
      </c>
      <c r="I1250" s="56" t="s">
        <v>3746</v>
      </c>
      <c r="J1250" s="56">
        <v>660</v>
      </c>
      <c r="K1250" s="56">
        <v>450</v>
      </c>
      <c r="L1250" s="56">
        <v>585</v>
      </c>
      <c r="M1250" s="56">
        <v>65</v>
      </c>
      <c r="N1250" s="56">
        <v>0</v>
      </c>
      <c r="O1250" s="56">
        <v>0</v>
      </c>
      <c r="P1250" s="56">
        <v>0</v>
      </c>
      <c r="Q1250" s="56">
        <v>650</v>
      </c>
      <c r="R1250" s="56">
        <v>0</v>
      </c>
      <c r="S1250" s="56">
        <v>0</v>
      </c>
      <c r="T1250" s="56" t="s">
        <v>3562</v>
      </c>
      <c r="U1250" s="56">
        <v>650</v>
      </c>
      <c r="V1250" s="56" t="s">
        <v>3549</v>
      </c>
      <c r="W1250" s="56" t="s">
        <v>3548</v>
      </c>
      <c r="X1250" s="56" t="s">
        <v>3547</v>
      </c>
      <c r="Z1250" s="56" t="s">
        <v>3546</v>
      </c>
      <c r="AA1250" s="56" t="s">
        <v>5216</v>
      </c>
      <c r="AB1250" s="56" t="s">
        <v>5215</v>
      </c>
      <c r="AC1250" s="56" t="s">
        <v>3543</v>
      </c>
      <c r="AH1250" s="56" t="s">
        <v>3542</v>
      </c>
      <c r="AI1250" s="56" t="s">
        <v>3541</v>
      </c>
    </row>
    <row r="1251" spans="1:35" ht="33" customHeight="1">
      <c r="A1251" s="56" t="s">
        <v>5219</v>
      </c>
      <c r="B1251" s="57">
        <v>44363.701608796298</v>
      </c>
      <c r="C1251" s="56" t="s">
        <v>4512</v>
      </c>
      <c r="D1251" s="56" t="s">
        <v>4511</v>
      </c>
      <c r="E1251" s="56" t="s">
        <v>5218</v>
      </c>
      <c r="F1251" s="56" t="s">
        <v>5217</v>
      </c>
      <c r="G1251" s="58" t="s">
        <v>1493</v>
      </c>
      <c r="H1251" s="56">
        <v>1</v>
      </c>
      <c r="I1251" s="56" t="s">
        <v>3601</v>
      </c>
      <c r="J1251" s="56">
        <v>135</v>
      </c>
      <c r="K1251" s="56">
        <v>135</v>
      </c>
      <c r="P1251" s="56">
        <v>0</v>
      </c>
      <c r="S1251" s="56">
        <v>0</v>
      </c>
      <c r="T1251" s="56" t="s">
        <v>3562</v>
      </c>
      <c r="V1251" s="56" t="s">
        <v>3549</v>
      </c>
      <c r="W1251" s="56" t="s">
        <v>3548</v>
      </c>
      <c r="X1251" s="56" t="s">
        <v>3547</v>
      </c>
      <c r="Z1251" s="56" t="s">
        <v>3546</v>
      </c>
      <c r="AA1251" s="56" t="s">
        <v>5216</v>
      </c>
      <c r="AB1251" s="56" t="s">
        <v>5215</v>
      </c>
      <c r="AC1251" s="56" t="s">
        <v>3543</v>
      </c>
      <c r="AH1251" s="56" t="s">
        <v>3542</v>
      </c>
      <c r="AI1251" s="56" t="s">
        <v>3541</v>
      </c>
    </row>
    <row r="1252" spans="1:35" ht="33" customHeight="1">
      <c r="A1252" s="56" t="s">
        <v>5219</v>
      </c>
      <c r="B1252" s="57">
        <v>44363.701608796298</v>
      </c>
      <c r="C1252" s="56" t="s">
        <v>4512</v>
      </c>
      <c r="D1252" s="56" t="s">
        <v>4511</v>
      </c>
      <c r="E1252" s="56" t="s">
        <v>5218</v>
      </c>
      <c r="F1252" s="56" t="s">
        <v>5217</v>
      </c>
      <c r="G1252" s="58" t="s">
        <v>3551</v>
      </c>
      <c r="H1252" s="56">
        <v>1</v>
      </c>
      <c r="I1252" s="56" t="s">
        <v>3550</v>
      </c>
      <c r="J1252" s="56">
        <v>0</v>
      </c>
      <c r="K1252" s="56">
        <v>0</v>
      </c>
      <c r="P1252" s="56">
        <v>0</v>
      </c>
      <c r="S1252" s="56">
        <v>0</v>
      </c>
      <c r="T1252" s="56" t="s">
        <v>3562</v>
      </c>
      <c r="V1252" s="56" t="s">
        <v>3549</v>
      </c>
      <c r="W1252" s="56" t="s">
        <v>3548</v>
      </c>
      <c r="X1252" s="56" t="s">
        <v>3547</v>
      </c>
      <c r="Z1252" s="56" t="s">
        <v>3546</v>
      </c>
      <c r="AA1252" s="56" t="s">
        <v>5216</v>
      </c>
      <c r="AB1252" s="56" t="s">
        <v>5215</v>
      </c>
      <c r="AC1252" s="56" t="s">
        <v>3543</v>
      </c>
      <c r="AH1252" s="56" t="s">
        <v>3542</v>
      </c>
      <c r="AI1252" s="56" t="s">
        <v>3541</v>
      </c>
    </row>
    <row r="1253" spans="1:35" ht="33" customHeight="1">
      <c r="A1253" s="56" t="s">
        <v>5214</v>
      </c>
      <c r="B1253" s="57">
        <v>44363.724259259259</v>
      </c>
      <c r="C1253" s="56" t="s">
        <v>3803</v>
      </c>
      <c r="D1253" s="56" t="s">
        <v>3802</v>
      </c>
      <c r="E1253" s="56" t="s">
        <v>5213</v>
      </c>
      <c r="F1253" s="56" t="s">
        <v>5212</v>
      </c>
      <c r="G1253" s="58" t="s">
        <v>4007</v>
      </c>
      <c r="H1253" s="56">
        <v>1</v>
      </c>
      <c r="I1253" s="56" t="s">
        <v>3655</v>
      </c>
      <c r="J1253" s="56">
        <v>1107</v>
      </c>
      <c r="K1253" s="56">
        <v>799</v>
      </c>
      <c r="L1253" s="56">
        <v>1112</v>
      </c>
      <c r="M1253" s="56">
        <v>0</v>
      </c>
      <c r="N1253" s="56">
        <v>0</v>
      </c>
      <c r="O1253" s="56">
        <v>112</v>
      </c>
      <c r="P1253" s="56">
        <v>0</v>
      </c>
      <c r="Q1253" s="56">
        <v>1000</v>
      </c>
      <c r="R1253" s="56">
        <v>0</v>
      </c>
      <c r="S1253" s="56">
        <v>0</v>
      </c>
      <c r="T1253" s="56" t="s">
        <v>3562</v>
      </c>
      <c r="U1253" s="56">
        <v>1000</v>
      </c>
      <c r="V1253" s="56" t="s">
        <v>3561</v>
      </c>
      <c r="W1253" s="56" t="s">
        <v>3548</v>
      </c>
      <c r="X1253" s="56" t="s">
        <v>39</v>
      </c>
      <c r="Y1253" s="56" t="s">
        <v>3787</v>
      </c>
      <c r="Z1253" s="56" t="s">
        <v>5211</v>
      </c>
      <c r="AC1253" s="56" t="s">
        <v>3842</v>
      </c>
      <c r="AD1253" s="56" t="s">
        <v>24</v>
      </c>
      <c r="AE1253" s="56" t="s">
        <v>5127</v>
      </c>
      <c r="AF1253" s="56" t="s">
        <v>5210</v>
      </c>
      <c r="AH1253" s="56" t="s">
        <v>3542</v>
      </c>
      <c r="AI1253" s="56" t="s">
        <v>3723</v>
      </c>
    </row>
    <row r="1254" spans="1:35" ht="33" customHeight="1">
      <c r="A1254" s="56" t="s">
        <v>5214</v>
      </c>
      <c r="B1254" s="57">
        <v>44363.724259259259</v>
      </c>
      <c r="C1254" s="56" t="s">
        <v>3803</v>
      </c>
      <c r="D1254" s="56" t="s">
        <v>3802</v>
      </c>
      <c r="E1254" s="56" t="s">
        <v>5213</v>
      </c>
      <c r="F1254" s="56" t="s">
        <v>5212</v>
      </c>
      <c r="G1254" s="58" t="s">
        <v>2156</v>
      </c>
      <c r="H1254" s="56">
        <v>1</v>
      </c>
      <c r="I1254" s="56" t="s">
        <v>1376</v>
      </c>
      <c r="J1254" s="56">
        <v>145</v>
      </c>
      <c r="K1254" s="56">
        <v>145</v>
      </c>
      <c r="P1254" s="56">
        <v>0</v>
      </c>
      <c r="S1254" s="56">
        <v>0</v>
      </c>
      <c r="T1254" s="56" t="s">
        <v>3562</v>
      </c>
      <c r="V1254" s="56" t="s">
        <v>3561</v>
      </c>
      <c r="W1254" s="56" t="s">
        <v>3548</v>
      </c>
      <c r="X1254" s="56" t="s">
        <v>39</v>
      </c>
      <c r="Y1254" s="56" t="s">
        <v>3787</v>
      </c>
      <c r="Z1254" s="56" t="s">
        <v>5211</v>
      </c>
      <c r="AC1254" s="56" t="s">
        <v>3842</v>
      </c>
      <c r="AD1254" s="56" t="s">
        <v>24</v>
      </c>
      <c r="AE1254" s="56" t="s">
        <v>5127</v>
      </c>
      <c r="AF1254" s="56" t="s">
        <v>5210</v>
      </c>
      <c r="AH1254" s="56" t="s">
        <v>3542</v>
      </c>
      <c r="AI1254" s="56" t="s">
        <v>3723</v>
      </c>
    </row>
    <row r="1255" spans="1:35" ht="33" customHeight="1">
      <c r="A1255" s="56" t="s">
        <v>5214</v>
      </c>
      <c r="B1255" s="57">
        <v>44363.724259259259</v>
      </c>
      <c r="C1255" s="56" t="s">
        <v>3803</v>
      </c>
      <c r="D1255" s="56" t="s">
        <v>3802</v>
      </c>
      <c r="E1255" s="56" t="s">
        <v>5213</v>
      </c>
      <c r="F1255" s="56" t="s">
        <v>5212</v>
      </c>
      <c r="G1255" s="58" t="s">
        <v>1514</v>
      </c>
      <c r="H1255" s="56">
        <v>1</v>
      </c>
      <c r="I1255" s="56" t="s">
        <v>3740</v>
      </c>
      <c r="J1255" s="56">
        <v>220</v>
      </c>
      <c r="K1255" s="56">
        <v>168</v>
      </c>
      <c r="P1255" s="56">
        <v>0</v>
      </c>
      <c r="S1255" s="56">
        <v>0</v>
      </c>
      <c r="T1255" s="56" t="s">
        <v>3562</v>
      </c>
      <c r="V1255" s="56" t="s">
        <v>3561</v>
      </c>
      <c r="W1255" s="56" t="s">
        <v>3548</v>
      </c>
      <c r="X1255" s="56" t="s">
        <v>39</v>
      </c>
      <c r="Y1255" s="56" t="s">
        <v>3787</v>
      </c>
      <c r="Z1255" s="56" t="s">
        <v>5211</v>
      </c>
      <c r="AC1255" s="56" t="s">
        <v>3842</v>
      </c>
      <c r="AD1255" s="56" t="s">
        <v>24</v>
      </c>
      <c r="AE1255" s="56" t="s">
        <v>5127</v>
      </c>
      <c r="AF1255" s="56" t="s">
        <v>5210</v>
      </c>
      <c r="AH1255" s="56" t="s">
        <v>3542</v>
      </c>
      <c r="AI1255" s="56" t="s">
        <v>3723</v>
      </c>
    </row>
    <row r="1256" spans="1:35" ht="33" customHeight="1">
      <c r="A1256" s="56" t="s">
        <v>5214</v>
      </c>
      <c r="B1256" s="57">
        <v>44363.724259259259</v>
      </c>
      <c r="C1256" s="56" t="s">
        <v>3803</v>
      </c>
      <c r="D1256" s="56" t="s">
        <v>3802</v>
      </c>
      <c r="E1256" s="56" t="s">
        <v>5213</v>
      </c>
      <c r="F1256" s="56" t="s">
        <v>5212</v>
      </c>
      <c r="G1256" s="58" t="s">
        <v>3551</v>
      </c>
      <c r="H1256" s="56">
        <v>1</v>
      </c>
      <c r="I1256" s="56" t="s">
        <v>3550</v>
      </c>
      <c r="J1256" s="56">
        <v>0</v>
      </c>
      <c r="K1256" s="56">
        <v>0</v>
      </c>
      <c r="P1256" s="56">
        <v>0</v>
      </c>
      <c r="S1256" s="56">
        <v>0</v>
      </c>
      <c r="T1256" s="56" t="s">
        <v>3562</v>
      </c>
      <c r="V1256" s="56" t="s">
        <v>3561</v>
      </c>
      <c r="W1256" s="56" t="s">
        <v>3548</v>
      </c>
      <c r="X1256" s="56" t="s">
        <v>39</v>
      </c>
      <c r="Y1256" s="56" t="s">
        <v>3787</v>
      </c>
      <c r="Z1256" s="56" t="s">
        <v>5211</v>
      </c>
      <c r="AC1256" s="56" t="s">
        <v>3842</v>
      </c>
      <c r="AD1256" s="56" t="s">
        <v>24</v>
      </c>
      <c r="AE1256" s="56" t="s">
        <v>5127</v>
      </c>
      <c r="AF1256" s="56" t="s">
        <v>5210</v>
      </c>
      <c r="AH1256" s="56" t="s">
        <v>3542</v>
      </c>
      <c r="AI1256" s="56" t="s">
        <v>3723</v>
      </c>
    </row>
    <row r="1257" spans="1:35" ht="33" customHeight="1">
      <c r="A1257" s="56" t="s">
        <v>5214</v>
      </c>
      <c r="B1257" s="57">
        <v>44363.724259259259</v>
      </c>
      <c r="C1257" s="56" t="s">
        <v>3803</v>
      </c>
      <c r="D1257" s="56" t="s">
        <v>3802</v>
      </c>
      <c r="E1257" s="56" t="s">
        <v>5213</v>
      </c>
      <c r="F1257" s="56" t="s">
        <v>5212</v>
      </c>
      <c r="G1257" s="58" t="s">
        <v>1498</v>
      </c>
      <c r="H1257" s="56">
        <v>1</v>
      </c>
      <c r="I1257" s="56" t="s">
        <v>4016</v>
      </c>
      <c r="J1257" s="56">
        <v>0</v>
      </c>
      <c r="K1257" s="56">
        <v>0</v>
      </c>
      <c r="P1257" s="56">
        <v>0</v>
      </c>
      <c r="S1257" s="56">
        <v>0</v>
      </c>
      <c r="T1257" s="56" t="s">
        <v>3562</v>
      </c>
      <c r="V1257" s="56" t="s">
        <v>3561</v>
      </c>
      <c r="W1257" s="56" t="s">
        <v>3548</v>
      </c>
      <c r="X1257" s="56" t="s">
        <v>39</v>
      </c>
      <c r="Y1257" s="56" t="s">
        <v>3787</v>
      </c>
      <c r="Z1257" s="56" t="s">
        <v>5211</v>
      </c>
      <c r="AC1257" s="56" t="s">
        <v>3842</v>
      </c>
      <c r="AD1257" s="56" t="s">
        <v>24</v>
      </c>
      <c r="AE1257" s="56" t="s">
        <v>5127</v>
      </c>
      <c r="AF1257" s="56" t="s">
        <v>5210</v>
      </c>
      <c r="AH1257" s="56" t="s">
        <v>3542</v>
      </c>
      <c r="AI1257" s="56" t="s">
        <v>3723</v>
      </c>
    </row>
    <row r="1258" spans="1:35" ht="33" customHeight="1">
      <c r="A1258" s="56" t="s">
        <v>5208</v>
      </c>
      <c r="B1258" s="57">
        <v>44363.75953703704</v>
      </c>
      <c r="C1258" s="56" t="s">
        <v>3803</v>
      </c>
      <c r="D1258" s="56" t="s">
        <v>3802</v>
      </c>
      <c r="E1258" s="56" t="s">
        <v>5207</v>
      </c>
      <c r="F1258" s="56" t="s">
        <v>5206</v>
      </c>
      <c r="G1258" s="58" t="s">
        <v>5209</v>
      </c>
      <c r="H1258" s="56">
        <v>1</v>
      </c>
      <c r="I1258" s="56" t="s">
        <v>3746</v>
      </c>
      <c r="J1258" s="56">
        <v>660</v>
      </c>
      <c r="K1258" s="56">
        <v>450</v>
      </c>
      <c r="L1258" s="56">
        <v>1048</v>
      </c>
      <c r="M1258" s="56">
        <v>0</v>
      </c>
      <c r="N1258" s="56">
        <v>21</v>
      </c>
      <c r="O1258" s="56">
        <v>103</v>
      </c>
      <c r="P1258" s="56">
        <v>0</v>
      </c>
      <c r="Q1258" s="56">
        <v>924</v>
      </c>
      <c r="R1258" s="56">
        <v>0</v>
      </c>
      <c r="S1258" s="56">
        <v>0</v>
      </c>
      <c r="T1258" s="56" t="s">
        <v>3562</v>
      </c>
      <c r="U1258" s="56">
        <v>924</v>
      </c>
      <c r="V1258" s="56" t="s">
        <v>3561</v>
      </c>
      <c r="W1258" s="56" t="s">
        <v>3548</v>
      </c>
      <c r="X1258" s="56" t="s">
        <v>39</v>
      </c>
      <c r="Y1258" s="56" t="s">
        <v>3734</v>
      </c>
      <c r="Z1258" s="56" t="s">
        <v>5205</v>
      </c>
      <c r="AC1258" s="56" t="s">
        <v>3543</v>
      </c>
      <c r="AD1258" s="56" t="s">
        <v>24</v>
      </c>
      <c r="AE1258" s="56" t="s">
        <v>5127</v>
      </c>
      <c r="AF1258" s="56" t="s">
        <v>5204</v>
      </c>
      <c r="AH1258" s="56" t="s">
        <v>3542</v>
      </c>
      <c r="AI1258" s="56" t="s">
        <v>3723</v>
      </c>
    </row>
    <row r="1259" spans="1:35" ht="33" customHeight="1">
      <c r="A1259" s="56" t="s">
        <v>5208</v>
      </c>
      <c r="B1259" s="57">
        <v>44363.75953703704</v>
      </c>
      <c r="C1259" s="56" t="s">
        <v>3803</v>
      </c>
      <c r="D1259" s="56" t="s">
        <v>3802</v>
      </c>
      <c r="E1259" s="56" t="s">
        <v>5207</v>
      </c>
      <c r="F1259" s="56" t="s">
        <v>5206</v>
      </c>
      <c r="G1259" s="58" t="s">
        <v>1506</v>
      </c>
      <c r="H1259" s="56">
        <v>2</v>
      </c>
      <c r="I1259" s="56" t="s">
        <v>3696</v>
      </c>
      <c r="J1259" s="56">
        <v>299</v>
      </c>
      <c r="K1259" s="56">
        <v>299</v>
      </c>
      <c r="P1259" s="56">
        <v>0</v>
      </c>
      <c r="S1259" s="56">
        <v>0</v>
      </c>
      <c r="T1259" s="56" t="s">
        <v>3562</v>
      </c>
      <c r="V1259" s="56" t="s">
        <v>3561</v>
      </c>
      <c r="W1259" s="56" t="s">
        <v>3548</v>
      </c>
      <c r="X1259" s="56" t="s">
        <v>39</v>
      </c>
      <c r="Y1259" s="56" t="s">
        <v>3734</v>
      </c>
      <c r="Z1259" s="56" t="s">
        <v>5205</v>
      </c>
      <c r="AC1259" s="56" t="s">
        <v>3543</v>
      </c>
      <c r="AD1259" s="56" t="s">
        <v>24</v>
      </c>
      <c r="AE1259" s="56" t="s">
        <v>5127</v>
      </c>
      <c r="AF1259" s="56" t="s">
        <v>5204</v>
      </c>
      <c r="AH1259" s="56" t="s">
        <v>3542</v>
      </c>
      <c r="AI1259" s="56" t="s">
        <v>3723</v>
      </c>
    </row>
    <row r="1260" spans="1:35" ht="33" customHeight="1">
      <c r="A1260" s="56" t="s">
        <v>5208</v>
      </c>
      <c r="B1260" s="57">
        <v>44363.75953703704</v>
      </c>
      <c r="C1260" s="56" t="s">
        <v>3803</v>
      </c>
      <c r="D1260" s="56" t="s">
        <v>3802</v>
      </c>
      <c r="E1260" s="56" t="s">
        <v>5207</v>
      </c>
      <c r="F1260" s="56" t="s">
        <v>5206</v>
      </c>
      <c r="G1260" s="58" t="s">
        <v>3551</v>
      </c>
      <c r="H1260" s="56">
        <v>1</v>
      </c>
      <c r="I1260" s="56" t="s">
        <v>3550</v>
      </c>
      <c r="J1260" s="56">
        <v>0</v>
      </c>
      <c r="K1260" s="56">
        <v>0</v>
      </c>
      <c r="P1260" s="56">
        <v>0</v>
      </c>
      <c r="S1260" s="56">
        <v>0</v>
      </c>
      <c r="T1260" s="56" t="s">
        <v>3562</v>
      </c>
      <c r="V1260" s="56" t="s">
        <v>3561</v>
      </c>
      <c r="W1260" s="56" t="s">
        <v>3548</v>
      </c>
      <c r="X1260" s="56" t="s">
        <v>39</v>
      </c>
      <c r="Y1260" s="56" t="s">
        <v>3734</v>
      </c>
      <c r="Z1260" s="56" t="s">
        <v>5205</v>
      </c>
      <c r="AC1260" s="56" t="s">
        <v>3543</v>
      </c>
      <c r="AD1260" s="56" t="s">
        <v>24</v>
      </c>
      <c r="AE1260" s="56" t="s">
        <v>5127</v>
      </c>
      <c r="AF1260" s="56" t="s">
        <v>5204</v>
      </c>
      <c r="AH1260" s="56" t="s">
        <v>3542</v>
      </c>
      <c r="AI1260" s="56" t="s">
        <v>3723</v>
      </c>
    </row>
    <row r="1261" spans="1:35" ht="33" customHeight="1">
      <c r="A1261" s="56" t="s">
        <v>5208</v>
      </c>
      <c r="B1261" s="57">
        <v>44363.75953703704</v>
      </c>
      <c r="C1261" s="56" t="s">
        <v>3803</v>
      </c>
      <c r="D1261" s="56" t="s">
        <v>3802</v>
      </c>
      <c r="E1261" s="56" t="s">
        <v>5207</v>
      </c>
      <c r="F1261" s="56" t="s">
        <v>5206</v>
      </c>
      <c r="G1261" s="58" t="s">
        <v>1498</v>
      </c>
      <c r="H1261" s="56">
        <v>1</v>
      </c>
      <c r="I1261" s="56" t="s">
        <v>4016</v>
      </c>
      <c r="J1261" s="56">
        <v>0</v>
      </c>
      <c r="K1261" s="56">
        <v>0</v>
      </c>
      <c r="P1261" s="56">
        <v>0</v>
      </c>
      <c r="S1261" s="56">
        <v>0</v>
      </c>
      <c r="T1261" s="56" t="s">
        <v>3562</v>
      </c>
      <c r="V1261" s="56" t="s">
        <v>3561</v>
      </c>
      <c r="W1261" s="56" t="s">
        <v>3548</v>
      </c>
      <c r="X1261" s="56" t="s">
        <v>39</v>
      </c>
      <c r="Y1261" s="56" t="s">
        <v>3734</v>
      </c>
      <c r="Z1261" s="56" t="s">
        <v>5205</v>
      </c>
      <c r="AC1261" s="56" t="s">
        <v>3543</v>
      </c>
      <c r="AD1261" s="56" t="s">
        <v>24</v>
      </c>
      <c r="AE1261" s="56" t="s">
        <v>5127</v>
      </c>
      <c r="AF1261" s="56" t="s">
        <v>5204</v>
      </c>
      <c r="AH1261" s="56" t="s">
        <v>3542</v>
      </c>
      <c r="AI1261" s="56" t="s">
        <v>3723</v>
      </c>
    </row>
    <row r="1262" spans="1:35" ht="33" customHeight="1">
      <c r="A1262" s="56" t="s">
        <v>5203</v>
      </c>
      <c r="B1262" s="57">
        <v>44363.781898148147</v>
      </c>
      <c r="C1262" s="56" t="s">
        <v>3803</v>
      </c>
      <c r="D1262" s="56" t="s">
        <v>3802</v>
      </c>
      <c r="E1262" s="56" t="s">
        <v>5202</v>
      </c>
      <c r="F1262" s="56" t="s">
        <v>5201</v>
      </c>
      <c r="G1262" s="58" t="s">
        <v>3603</v>
      </c>
      <c r="H1262" s="56">
        <v>1</v>
      </c>
      <c r="I1262" s="56" t="s">
        <v>3602</v>
      </c>
      <c r="J1262" s="56">
        <v>447</v>
      </c>
      <c r="K1262" s="56">
        <v>399</v>
      </c>
      <c r="L1262" s="56">
        <v>1134</v>
      </c>
      <c r="M1262" s="56">
        <v>0</v>
      </c>
      <c r="N1262" s="56">
        <v>0</v>
      </c>
      <c r="O1262" s="56">
        <v>114</v>
      </c>
      <c r="P1262" s="56">
        <v>0</v>
      </c>
      <c r="Q1262" s="56">
        <v>1020</v>
      </c>
      <c r="R1262" s="56">
        <v>0</v>
      </c>
      <c r="S1262" s="56">
        <v>0</v>
      </c>
      <c r="T1262" s="56" t="s">
        <v>3562</v>
      </c>
      <c r="U1262" s="56">
        <v>1020</v>
      </c>
      <c r="V1262" s="56" t="s">
        <v>3561</v>
      </c>
      <c r="W1262" s="56" t="s">
        <v>3548</v>
      </c>
      <c r="X1262" s="56" t="s">
        <v>39</v>
      </c>
      <c r="Y1262" s="56" t="s">
        <v>4569</v>
      </c>
      <c r="Z1262" s="56" t="s">
        <v>5200</v>
      </c>
      <c r="AC1262" s="56" t="s">
        <v>3543</v>
      </c>
      <c r="AD1262" s="56" t="s">
        <v>24</v>
      </c>
      <c r="AE1262" s="56" t="s">
        <v>5127</v>
      </c>
      <c r="AF1262" s="56" t="s">
        <v>5199</v>
      </c>
      <c r="AH1262" s="56" t="s">
        <v>3542</v>
      </c>
      <c r="AI1262" s="56" t="s">
        <v>3723</v>
      </c>
    </row>
    <row r="1263" spans="1:35" ht="33" customHeight="1">
      <c r="A1263" s="56" t="s">
        <v>5203</v>
      </c>
      <c r="B1263" s="57">
        <v>44363.781898148147</v>
      </c>
      <c r="C1263" s="56" t="s">
        <v>3803</v>
      </c>
      <c r="D1263" s="56" t="s">
        <v>3802</v>
      </c>
      <c r="E1263" s="56" t="s">
        <v>5202</v>
      </c>
      <c r="F1263" s="56" t="s">
        <v>5201</v>
      </c>
      <c r="G1263" s="58" t="s">
        <v>3934</v>
      </c>
      <c r="H1263" s="56">
        <v>1</v>
      </c>
      <c r="I1263" s="56" t="s">
        <v>3602</v>
      </c>
      <c r="J1263" s="56">
        <v>447</v>
      </c>
      <c r="K1263" s="56">
        <v>399</v>
      </c>
      <c r="P1263" s="56">
        <v>0</v>
      </c>
      <c r="S1263" s="56">
        <v>0</v>
      </c>
      <c r="T1263" s="56" t="s">
        <v>3562</v>
      </c>
      <c r="V1263" s="56" t="s">
        <v>3561</v>
      </c>
      <c r="W1263" s="56" t="s">
        <v>3548</v>
      </c>
      <c r="X1263" s="56" t="s">
        <v>39</v>
      </c>
      <c r="Y1263" s="56" t="s">
        <v>4569</v>
      </c>
      <c r="Z1263" s="56" t="s">
        <v>5200</v>
      </c>
      <c r="AC1263" s="56" t="s">
        <v>3543</v>
      </c>
      <c r="AD1263" s="56" t="s">
        <v>24</v>
      </c>
      <c r="AE1263" s="56" t="s">
        <v>5127</v>
      </c>
      <c r="AF1263" s="56" t="s">
        <v>5199</v>
      </c>
      <c r="AH1263" s="56" t="s">
        <v>3542</v>
      </c>
      <c r="AI1263" s="56" t="s">
        <v>3723</v>
      </c>
    </row>
    <row r="1264" spans="1:35" ht="33" customHeight="1">
      <c r="A1264" s="56" t="s">
        <v>5203</v>
      </c>
      <c r="B1264" s="57">
        <v>44363.781898148147</v>
      </c>
      <c r="C1264" s="56" t="s">
        <v>3803</v>
      </c>
      <c r="D1264" s="56" t="s">
        <v>3802</v>
      </c>
      <c r="E1264" s="56" t="s">
        <v>5202</v>
      </c>
      <c r="F1264" s="56" t="s">
        <v>5201</v>
      </c>
      <c r="G1264" s="58" t="s">
        <v>1517</v>
      </c>
      <c r="H1264" s="56">
        <v>2</v>
      </c>
      <c r="I1264" s="56" t="s">
        <v>3740</v>
      </c>
      <c r="J1264" s="56">
        <v>220</v>
      </c>
      <c r="K1264" s="56">
        <v>168</v>
      </c>
      <c r="P1264" s="56">
        <v>0</v>
      </c>
      <c r="S1264" s="56">
        <v>0</v>
      </c>
      <c r="T1264" s="56" t="s">
        <v>3562</v>
      </c>
      <c r="V1264" s="56" t="s">
        <v>3561</v>
      </c>
      <c r="W1264" s="56" t="s">
        <v>3548</v>
      </c>
      <c r="X1264" s="56" t="s">
        <v>39</v>
      </c>
      <c r="Y1264" s="56" t="s">
        <v>4569</v>
      </c>
      <c r="Z1264" s="56" t="s">
        <v>5200</v>
      </c>
      <c r="AC1264" s="56" t="s">
        <v>3543</v>
      </c>
      <c r="AD1264" s="56" t="s">
        <v>24</v>
      </c>
      <c r="AE1264" s="56" t="s">
        <v>5127</v>
      </c>
      <c r="AF1264" s="56" t="s">
        <v>5199</v>
      </c>
      <c r="AH1264" s="56" t="s">
        <v>3542</v>
      </c>
      <c r="AI1264" s="56" t="s">
        <v>3723</v>
      </c>
    </row>
    <row r="1265" spans="1:35" ht="33" customHeight="1">
      <c r="A1265" s="56" t="s">
        <v>5203</v>
      </c>
      <c r="B1265" s="57">
        <v>44363.781898148147</v>
      </c>
      <c r="C1265" s="56" t="s">
        <v>3803</v>
      </c>
      <c r="D1265" s="56" t="s">
        <v>3802</v>
      </c>
      <c r="E1265" s="56" t="s">
        <v>5202</v>
      </c>
      <c r="F1265" s="56" t="s">
        <v>5201</v>
      </c>
      <c r="G1265" s="58" t="s">
        <v>3551</v>
      </c>
      <c r="H1265" s="56">
        <v>1</v>
      </c>
      <c r="I1265" s="56" t="s">
        <v>3550</v>
      </c>
      <c r="J1265" s="56">
        <v>0</v>
      </c>
      <c r="K1265" s="56">
        <v>0</v>
      </c>
      <c r="P1265" s="56">
        <v>0</v>
      </c>
      <c r="S1265" s="56">
        <v>0</v>
      </c>
      <c r="T1265" s="56" t="s">
        <v>3562</v>
      </c>
      <c r="V1265" s="56" t="s">
        <v>3561</v>
      </c>
      <c r="W1265" s="56" t="s">
        <v>3548</v>
      </c>
      <c r="X1265" s="56" t="s">
        <v>39</v>
      </c>
      <c r="Y1265" s="56" t="s">
        <v>4569</v>
      </c>
      <c r="Z1265" s="56" t="s">
        <v>5200</v>
      </c>
      <c r="AC1265" s="56" t="s">
        <v>3543</v>
      </c>
      <c r="AD1265" s="56" t="s">
        <v>24</v>
      </c>
      <c r="AE1265" s="56" t="s">
        <v>5127</v>
      </c>
      <c r="AF1265" s="56" t="s">
        <v>5199</v>
      </c>
      <c r="AH1265" s="56" t="s">
        <v>3542</v>
      </c>
      <c r="AI1265" s="56" t="s">
        <v>3723</v>
      </c>
    </row>
    <row r="1266" spans="1:35" ht="33" customHeight="1">
      <c r="A1266" s="56" t="s">
        <v>5203</v>
      </c>
      <c r="B1266" s="57">
        <v>44363.781898148147</v>
      </c>
      <c r="C1266" s="56" t="s">
        <v>3803</v>
      </c>
      <c r="D1266" s="56" t="s">
        <v>3802</v>
      </c>
      <c r="E1266" s="56" t="s">
        <v>5202</v>
      </c>
      <c r="F1266" s="56" t="s">
        <v>5201</v>
      </c>
      <c r="G1266" s="58" t="s">
        <v>1498</v>
      </c>
      <c r="H1266" s="56">
        <v>1</v>
      </c>
      <c r="I1266" s="56" t="s">
        <v>4016</v>
      </c>
      <c r="J1266" s="56">
        <v>0</v>
      </c>
      <c r="K1266" s="56">
        <v>0</v>
      </c>
      <c r="P1266" s="56">
        <v>0</v>
      </c>
      <c r="S1266" s="56">
        <v>0</v>
      </c>
      <c r="T1266" s="56" t="s">
        <v>3562</v>
      </c>
      <c r="V1266" s="56" t="s">
        <v>3561</v>
      </c>
      <c r="W1266" s="56" t="s">
        <v>3548</v>
      </c>
      <c r="X1266" s="56" t="s">
        <v>39</v>
      </c>
      <c r="Y1266" s="56" t="s">
        <v>4569</v>
      </c>
      <c r="Z1266" s="56" t="s">
        <v>5200</v>
      </c>
      <c r="AC1266" s="56" t="s">
        <v>3543</v>
      </c>
      <c r="AD1266" s="56" t="s">
        <v>24</v>
      </c>
      <c r="AE1266" s="56" t="s">
        <v>5127</v>
      </c>
      <c r="AF1266" s="56" t="s">
        <v>5199</v>
      </c>
      <c r="AH1266" s="56" t="s">
        <v>3542</v>
      </c>
      <c r="AI1266" s="56" t="s">
        <v>3723</v>
      </c>
    </row>
    <row r="1267" spans="1:35" ht="33" customHeight="1">
      <c r="A1267" s="56" t="s">
        <v>5198</v>
      </c>
      <c r="B1267" s="57">
        <v>44363.838993055557</v>
      </c>
      <c r="C1267" s="56" t="s">
        <v>3803</v>
      </c>
      <c r="D1267" s="56" t="s">
        <v>4426</v>
      </c>
      <c r="E1267" s="56" t="s">
        <v>5197</v>
      </c>
      <c r="F1267" s="56" t="s">
        <v>5196</v>
      </c>
      <c r="G1267" s="58" t="s">
        <v>3681</v>
      </c>
      <c r="H1267" s="56">
        <v>2</v>
      </c>
      <c r="I1267" s="56" t="s">
        <v>3569</v>
      </c>
      <c r="J1267" s="56">
        <v>894</v>
      </c>
      <c r="K1267" s="56">
        <v>750</v>
      </c>
      <c r="L1267" s="56">
        <v>1500</v>
      </c>
      <c r="M1267" s="56">
        <v>0</v>
      </c>
      <c r="N1267" s="56">
        <v>0</v>
      </c>
      <c r="O1267" s="56">
        <v>100</v>
      </c>
      <c r="P1267" s="56">
        <v>0</v>
      </c>
      <c r="Q1267" s="56">
        <v>1400</v>
      </c>
      <c r="R1267" s="56">
        <v>0</v>
      </c>
      <c r="S1267" s="56">
        <v>0</v>
      </c>
      <c r="T1267" s="56" t="s">
        <v>27</v>
      </c>
      <c r="U1267" s="56">
        <v>1400</v>
      </c>
      <c r="V1267" s="56" t="s">
        <v>3549</v>
      </c>
      <c r="W1267" s="56" t="s">
        <v>3548</v>
      </c>
      <c r="X1267" s="56" t="s">
        <v>3547</v>
      </c>
      <c r="Z1267" s="56" t="s">
        <v>3546</v>
      </c>
      <c r="AA1267" s="56" t="s">
        <v>5195</v>
      </c>
      <c r="AB1267" s="56" t="s">
        <v>5194</v>
      </c>
      <c r="AC1267" s="56" t="s">
        <v>3543</v>
      </c>
      <c r="AH1267" s="56" t="s">
        <v>3542</v>
      </c>
      <c r="AI1267" s="56" t="s">
        <v>3541</v>
      </c>
    </row>
    <row r="1268" spans="1:35" ht="33" customHeight="1">
      <c r="A1268" s="56" t="s">
        <v>5198</v>
      </c>
      <c r="B1268" s="57">
        <v>44363.838993055557</v>
      </c>
      <c r="C1268" s="56" t="s">
        <v>3803</v>
      </c>
      <c r="D1268" s="56" t="s">
        <v>4426</v>
      </c>
      <c r="E1268" s="56" t="s">
        <v>5197</v>
      </c>
      <c r="F1268" s="56" t="s">
        <v>5196</v>
      </c>
      <c r="G1268" s="58" t="s">
        <v>3551</v>
      </c>
      <c r="H1268" s="56">
        <v>1</v>
      </c>
      <c r="I1268" s="56" t="s">
        <v>3550</v>
      </c>
      <c r="J1268" s="56">
        <v>0</v>
      </c>
      <c r="K1268" s="56">
        <v>0</v>
      </c>
      <c r="P1268" s="56">
        <v>0</v>
      </c>
      <c r="S1268" s="56">
        <v>0</v>
      </c>
      <c r="T1268" s="56" t="s">
        <v>27</v>
      </c>
      <c r="V1268" s="56" t="s">
        <v>3549</v>
      </c>
      <c r="W1268" s="56" t="s">
        <v>3548</v>
      </c>
      <c r="X1268" s="56" t="s">
        <v>3547</v>
      </c>
      <c r="Z1268" s="56" t="s">
        <v>3546</v>
      </c>
      <c r="AA1268" s="56" t="s">
        <v>5195</v>
      </c>
      <c r="AB1268" s="56" t="s">
        <v>5194</v>
      </c>
      <c r="AC1268" s="56" t="s">
        <v>3543</v>
      </c>
      <c r="AH1268" s="56" t="s">
        <v>3542</v>
      </c>
      <c r="AI1268" s="56" t="s">
        <v>3541</v>
      </c>
    </row>
    <row r="1269" spans="1:35" ht="33" customHeight="1">
      <c r="A1269" s="56" t="s">
        <v>5198</v>
      </c>
      <c r="B1269" s="57">
        <v>44363.838993055557</v>
      </c>
      <c r="C1269" s="56" t="s">
        <v>3803</v>
      </c>
      <c r="D1269" s="56" t="s">
        <v>4426</v>
      </c>
      <c r="E1269" s="56" t="s">
        <v>5197</v>
      </c>
      <c r="F1269" s="56" t="s">
        <v>5196</v>
      </c>
      <c r="G1269" s="58" t="s">
        <v>1713</v>
      </c>
      <c r="H1269" s="56">
        <v>1</v>
      </c>
      <c r="I1269" s="56" t="s">
        <v>3568</v>
      </c>
      <c r="J1269" s="56">
        <v>0</v>
      </c>
      <c r="K1269" s="56">
        <v>0</v>
      </c>
      <c r="P1269" s="56">
        <v>0</v>
      </c>
      <c r="S1269" s="56">
        <v>0</v>
      </c>
      <c r="T1269" s="56" t="s">
        <v>27</v>
      </c>
      <c r="V1269" s="56" t="s">
        <v>3549</v>
      </c>
      <c r="W1269" s="56" t="s">
        <v>3548</v>
      </c>
      <c r="X1269" s="56" t="s">
        <v>3547</v>
      </c>
      <c r="Z1269" s="56" t="s">
        <v>3546</v>
      </c>
      <c r="AA1269" s="56" t="s">
        <v>5195</v>
      </c>
      <c r="AB1269" s="56" t="s">
        <v>5194</v>
      </c>
      <c r="AC1269" s="56" t="s">
        <v>3543</v>
      </c>
      <c r="AH1269" s="56" t="s">
        <v>3542</v>
      </c>
      <c r="AI1269" s="56" t="s">
        <v>3541</v>
      </c>
    </row>
    <row r="1270" spans="1:35" ht="33" customHeight="1">
      <c r="A1270" s="56" t="s">
        <v>5198</v>
      </c>
      <c r="B1270" s="57">
        <v>44363.838993055557</v>
      </c>
      <c r="C1270" s="56" t="s">
        <v>3803</v>
      </c>
      <c r="D1270" s="56" t="s">
        <v>4426</v>
      </c>
      <c r="E1270" s="56" t="s">
        <v>5197</v>
      </c>
      <c r="F1270" s="56" t="s">
        <v>5196</v>
      </c>
      <c r="G1270" s="58" t="s">
        <v>1498</v>
      </c>
      <c r="H1270" s="56">
        <v>1</v>
      </c>
      <c r="I1270" s="56" t="s">
        <v>4016</v>
      </c>
      <c r="J1270" s="56">
        <v>0</v>
      </c>
      <c r="K1270" s="56">
        <v>0</v>
      </c>
      <c r="P1270" s="56">
        <v>0</v>
      </c>
      <c r="S1270" s="56">
        <v>0</v>
      </c>
      <c r="T1270" s="56" t="s">
        <v>27</v>
      </c>
      <c r="V1270" s="56" t="s">
        <v>3549</v>
      </c>
      <c r="W1270" s="56" t="s">
        <v>3548</v>
      </c>
      <c r="X1270" s="56" t="s">
        <v>3547</v>
      </c>
      <c r="Z1270" s="56" t="s">
        <v>3546</v>
      </c>
      <c r="AA1270" s="56" t="s">
        <v>5195</v>
      </c>
      <c r="AB1270" s="56" t="s">
        <v>5194</v>
      </c>
      <c r="AC1270" s="56" t="s">
        <v>3543</v>
      </c>
      <c r="AH1270" s="56" t="s">
        <v>3542</v>
      </c>
      <c r="AI1270" s="56" t="s">
        <v>3541</v>
      </c>
    </row>
    <row r="1271" spans="1:35" ht="33" customHeight="1">
      <c r="A1271" s="56" t="s">
        <v>5193</v>
      </c>
      <c r="B1271" s="57">
        <v>44363.86755787037</v>
      </c>
      <c r="C1271" s="56" t="s">
        <v>4512</v>
      </c>
      <c r="D1271" s="56" t="s">
        <v>4511</v>
      </c>
      <c r="E1271" s="56" t="s">
        <v>4613</v>
      </c>
      <c r="F1271" s="56" t="s">
        <v>5192</v>
      </c>
      <c r="G1271" s="58" t="s">
        <v>3922</v>
      </c>
      <c r="H1271" s="56">
        <v>1</v>
      </c>
      <c r="I1271" s="56" t="s">
        <v>3569</v>
      </c>
      <c r="J1271" s="56">
        <v>894</v>
      </c>
      <c r="K1271" s="56">
        <v>750</v>
      </c>
      <c r="L1271" s="56">
        <v>1017</v>
      </c>
      <c r="M1271" s="56">
        <v>0</v>
      </c>
      <c r="N1271" s="56">
        <v>0</v>
      </c>
      <c r="O1271" s="56">
        <v>100</v>
      </c>
      <c r="P1271" s="56">
        <v>0</v>
      </c>
      <c r="Q1271" s="56">
        <v>917</v>
      </c>
      <c r="R1271" s="56">
        <v>0</v>
      </c>
      <c r="S1271" s="56">
        <v>0</v>
      </c>
      <c r="T1271" s="56" t="s">
        <v>3562</v>
      </c>
      <c r="U1271" s="56">
        <v>917</v>
      </c>
      <c r="V1271" s="56" t="s">
        <v>3612</v>
      </c>
      <c r="W1271" s="56" t="s">
        <v>3548</v>
      </c>
      <c r="X1271" s="56" t="s">
        <v>3611</v>
      </c>
      <c r="Z1271" s="56" t="s">
        <v>3546</v>
      </c>
      <c r="AA1271" s="56" t="s">
        <v>5191</v>
      </c>
      <c r="AB1271" s="56" t="s">
        <v>5190</v>
      </c>
      <c r="AC1271" s="56" t="s">
        <v>3543</v>
      </c>
      <c r="AD1271" s="56" t="s">
        <v>24</v>
      </c>
      <c r="AE1271" s="56" t="s">
        <v>4145</v>
      </c>
      <c r="AF1271" s="56" t="s">
        <v>5189</v>
      </c>
      <c r="AH1271" s="56" t="s">
        <v>3542</v>
      </c>
      <c r="AI1271" s="56" t="s">
        <v>3723</v>
      </c>
    </row>
    <row r="1272" spans="1:35" ht="33" customHeight="1">
      <c r="A1272" s="56" t="s">
        <v>5193</v>
      </c>
      <c r="B1272" s="57">
        <v>44363.86755787037</v>
      </c>
      <c r="C1272" s="56" t="s">
        <v>4512</v>
      </c>
      <c r="D1272" s="56" t="s">
        <v>4511</v>
      </c>
      <c r="E1272" s="56" t="s">
        <v>4613</v>
      </c>
      <c r="F1272" s="56" t="s">
        <v>5192</v>
      </c>
      <c r="G1272" s="58" t="s">
        <v>3217</v>
      </c>
      <c r="H1272" s="56">
        <v>2</v>
      </c>
      <c r="I1272" s="56" t="s">
        <v>3720</v>
      </c>
      <c r="J1272" s="56">
        <v>59</v>
      </c>
      <c r="K1272" s="56">
        <v>59</v>
      </c>
      <c r="P1272" s="56">
        <v>0</v>
      </c>
      <c r="S1272" s="56">
        <v>0</v>
      </c>
      <c r="T1272" s="56" t="s">
        <v>3562</v>
      </c>
      <c r="V1272" s="56" t="s">
        <v>3612</v>
      </c>
      <c r="W1272" s="56" t="s">
        <v>3548</v>
      </c>
      <c r="X1272" s="56" t="s">
        <v>3611</v>
      </c>
      <c r="Z1272" s="56" t="s">
        <v>3546</v>
      </c>
      <c r="AA1272" s="56" t="s">
        <v>5191</v>
      </c>
      <c r="AB1272" s="56" t="s">
        <v>5190</v>
      </c>
      <c r="AC1272" s="56" t="s">
        <v>3543</v>
      </c>
      <c r="AD1272" s="56" t="s">
        <v>24</v>
      </c>
      <c r="AE1272" s="56" t="s">
        <v>4145</v>
      </c>
      <c r="AF1272" s="56" t="s">
        <v>5189</v>
      </c>
      <c r="AH1272" s="56" t="s">
        <v>3542</v>
      </c>
      <c r="AI1272" s="56" t="s">
        <v>3723</v>
      </c>
    </row>
    <row r="1273" spans="1:35" ht="33" customHeight="1">
      <c r="A1273" s="56" t="s">
        <v>5193</v>
      </c>
      <c r="B1273" s="57">
        <v>44363.86755787037</v>
      </c>
      <c r="C1273" s="56" t="s">
        <v>4512</v>
      </c>
      <c r="D1273" s="56" t="s">
        <v>4511</v>
      </c>
      <c r="E1273" s="56" t="s">
        <v>4613</v>
      </c>
      <c r="F1273" s="56" t="s">
        <v>5192</v>
      </c>
      <c r="G1273" s="58" t="s">
        <v>1713</v>
      </c>
      <c r="H1273" s="56">
        <v>1</v>
      </c>
      <c r="I1273" s="56" t="s">
        <v>3587</v>
      </c>
      <c r="J1273" s="56">
        <v>149</v>
      </c>
      <c r="K1273" s="56">
        <v>149</v>
      </c>
      <c r="P1273" s="56">
        <v>0</v>
      </c>
      <c r="S1273" s="56">
        <v>0</v>
      </c>
      <c r="T1273" s="56" t="s">
        <v>3562</v>
      </c>
      <c r="V1273" s="56" t="s">
        <v>3612</v>
      </c>
      <c r="W1273" s="56" t="s">
        <v>3548</v>
      </c>
      <c r="X1273" s="56" t="s">
        <v>3611</v>
      </c>
      <c r="Z1273" s="56" t="s">
        <v>3546</v>
      </c>
      <c r="AA1273" s="56" t="s">
        <v>5191</v>
      </c>
      <c r="AB1273" s="56" t="s">
        <v>5190</v>
      </c>
      <c r="AC1273" s="56" t="s">
        <v>3543</v>
      </c>
      <c r="AD1273" s="56" t="s">
        <v>24</v>
      </c>
      <c r="AE1273" s="56" t="s">
        <v>4145</v>
      </c>
      <c r="AF1273" s="56" t="s">
        <v>5189</v>
      </c>
      <c r="AH1273" s="56" t="s">
        <v>3542</v>
      </c>
      <c r="AI1273" s="56" t="s">
        <v>3723</v>
      </c>
    </row>
    <row r="1274" spans="1:35" ht="33" customHeight="1">
      <c r="A1274" s="56" t="s">
        <v>5193</v>
      </c>
      <c r="B1274" s="57">
        <v>44363.86755787037</v>
      </c>
      <c r="C1274" s="56" t="s">
        <v>4512</v>
      </c>
      <c r="D1274" s="56" t="s">
        <v>4511</v>
      </c>
      <c r="E1274" s="56" t="s">
        <v>4613</v>
      </c>
      <c r="F1274" s="56" t="s">
        <v>5192</v>
      </c>
      <c r="G1274" s="58" t="s">
        <v>3551</v>
      </c>
      <c r="H1274" s="56">
        <v>1</v>
      </c>
      <c r="I1274" s="56" t="s">
        <v>3550</v>
      </c>
      <c r="J1274" s="56">
        <v>0</v>
      </c>
      <c r="K1274" s="56">
        <v>0</v>
      </c>
      <c r="P1274" s="56">
        <v>0</v>
      </c>
      <c r="S1274" s="56">
        <v>0</v>
      </c>
      <c r="T1274" s="56" t="s">
        <v>3562</v>
      </c>
      <c r="V1274" s="56" t="s">
        <v>3612</v>
      </c>
      <c r="W1274" s="56" t="s">
        <v>3548</v>
      </c>
      <c r="X1274" s="56" t="s">
        <v>3611</v>
      </c>
      <c r="Z1274" s="56" t="s">
        <v>3546</v>
      </c>
      <c r="AA1274" s="56" t="s">
        <v>5191</v>
      </c>
      <c r="AB1274" s="56" t="s">
        <v>5190</v>
      </c>
      <c r="AC1274" s="56" t="s">
        <v>3543</v>
      </c>
      <c r="AD1274" s="56" t="s">
        <v>24</v>
      </c>
      <c r="AE1274" s="56" t="s">
        <v>4145</v>
      </c>
      <c r="AF1274" s="56" t="s">
        <v>5189</v>
      </c>
      <c r="AH1274" s="56" t="s">
        <v>3542</v>
      </c>
      <c r="AI1274" s="56" t="s">
        <v>3723</v>
      </c>
    </row>
    <row r="1275" spans="1:35" ht="33" customHeight="1">
      <c r="A1275" s="56" t="s">
        <v>5193</v>
      </c>
      <c r="B1275" s="57">
        <v>44363.86755787037</v>
      </c>
      <c r="C1275" s="56" t="s">
        <v>4512</v>
      </c>
      <c r="D1275" s="56" t="s">
        <v>4511</v>
      </c>
      <c r="E1275" s="56" t="s">
        <v>4613</v>
      </c>
      <c r="F1275" s="56" t="s">
        <v>5192</v>
      </c>
      <c r="G1275" s="58" t="s">
        <v>1498</v>
      </c>
      <c r="H1275" s="56">
        <v>1</v>
      </c>
      <c r="I1275" s="56" t="s">
        <v>4016</v>
      </c>
      <c r="J1275" s="56">
        <v>0</v>
      </c>
      <c r="K1275" s="56">
        <v>0</v>
      </c>
      <c r="P1275" s="56">
        <v>0</v>
      </c>
      <c r="S1275" s="56">
        <v>0</v>
      </c>
      <c r="T1275" s="56" t="s">
        <v>3562</v>
      </c>
      <c r="V1275" s="56" t="s">
        <v>3612</v>
      </c>
      <c r="W1275" s="56" t="s">
        <v>3548</v>
      </c>
      <c r="X1275" s="56" t="s">
        <v>3611</v>
      </c>
      <c r="Z1275" s="56" t="s">
        <v>3546</v>
      </c>
      <c r="AA1275" s="56" t="s">
        <v>5191</v>
      </c>
      <c r="AB1275" s="56" t="s">
        <v>5190</v>
      </c>
      <c r="AC1275" s="56" t="s">
        <v>3543</v>
      </c>
      <c r="AD1275" s="56" t="s">
        <v>24</v>
      </c>
      <c r="AE1275" s="56" t="s">
        <v>4145</v>
      </c>
      <c r="AF1275" s="56" t="s">
        <v>5189</v>
      </c>
      <c r="AH1275" s="56" t="s">
        <v>3542</v>
      </c>
      <c r="AI1275" s="56" t="s">
        <v>3723</v>
      </c>
    </row>
    <row r="1276" spans="1:35" ht="33" customHeight="1">
      <c r="A1276" s="56" t="s">
        <v>5188</v>
      </c>
      <c r="B1276" s="57">
        <v>44363.869351851848</v>
      </c>
      <c r="C1276" s="56" t="s">
        <v>4512</v>
      </c>
      <c r="D1276" s="56" t="s">
        <v>4511</v>
      </c>
      <c r="E1276" s="56" t="s">
        <v>5187</v>
      </c>
      <c r="F1276" s="56" t="s">
        <v>5186</v>
      </c>
      <c r="G1276" s="58" t="s">
        <v>3656</v>
      </c>
      <c r="H1276" s="56">
        <v>1</v>
      </c>
      <c r="I1276" s="56" t="s">
        <v>3655</v>
      </c>
      <c r="J1276" s="56">
        <v>1107</v>
      </c>
      <c r="K1276" s="56">
        <v>799</v>
      </c>
      <c r="L1276" s="56">
        <v>1055</v>
      </c>
      <c r="M1276" s="56">
        <v>0</v>
      </c>
      <c r="N1276" s="56">
        <v>0</v>
      </c>
      <c r="O1276" s="56">
        <v>100</v>
      </c>
      <c r="P1276" s="56">
        <v>0</v>
      </c>
      <c r="Q1276" s="56">
        <v>955</v>
      </c>
      <c r="R1276" s="56">
        <v>0</v>
      </c>
      <c r="S1276" s="56">
        <v>0</v>
      </c>
      <c r="T1276" s="56" t="s">
        <v>3562</v>
      </c>
      <c r="U1276" s="56">
        <v>955</v>
      </c>
      <c r="V1276" s="56" t="s">
        <v>3549</v>
      </c>
      <c r="W1276" s="56" t="s">
        <v>3548</v>
      </c>
      <c r="X1276" s="56" t="s">
        <v>3547</v>
      </c>
      <c r="Z1276" s="56" t="s">
        <v>3546</v>
      </c>
      <c r="AA1276" s="56" t="s">
        <v>5185</v>
      </c>
      <c r="AB1276" s="56" t="s">
        <v>5184</v>
      </c>
      <c r="AC1276" s="56" t="s">
        <v>3543</v>
      </c>
      <c r="AD1276" s="56" t="s">
        <v>24</v>
      </c>
      <c r="AE1276" s="56" t="s">
        <v>3725</v>
      </c>
      <c r="AF1276" s="56" t="s">
        <v>5183</v>
      </c>
      <c r="AH1276" s="56" t="s">
        <v>3542</v>
      </c>
      <c r="AI1276" s="56" t="s">
        <v>3723</v>
      </c>
    </row>
    <row r="1277" spans="1:35" ht="33" customHeight="1">
      <c r="A1277" s="56" t="s">
        <v>5188</v>
      </c>
      <c r="B1277" s="57">
        <v>44363.869351851848</v>
      </c>
      <c r="C1277" s="56" t="s">
        <v>4512</v>
      </c>
      <c r="D1277" s="56" t="s">
        <v>4511</v>
      </c>
      <c r="E1277" s="56" t="s">
        <v>5187</v>
      </c>
      <c r="F1277" s="56" t="s">
        <v>5186</v>
      </c>
      <c r="G1277" s="58" t="s">
        <v>2161</v>
      </c>
      <c r="H1277" s="56">
        <v>2</v>
      </c>
      <c r="I1277" s="56" t="s">
        <v>3694</v>
      </c>
      <c r="J1277" s="56">
        <v>128</v>
      </c>
      <c r="K1277" s="56">
        <v>128</v>
      </c>
      <c r="P1277" s="56">
        <v>0</v>
      </c>
      <c r="S1277" s="56">
        <v>0</v>
      </c>
      <c r="T1277" s="56" t="s">
        <v>3562</v>
      </c>
      <c r="V1277" s="56" t="s">
        <v>3549</v>
      </c>
      <c r="W1277" s="56" t="s">
        <v>3548</v>
      </c>
      <c r="X1277" s="56" t="s">
        <v>3547</v>
      </c>
      <c r="Z1277" s="56" t="s">
        <v>3546</v>
      </c>
      <c r="AA1277" s="56" t="s">
        <v>5185</v>
      </c>
      <c r="AB1277" s="56" t="s">
        <v>5184</v>
      </c>
      <c r="AC1277" s="56" t="s">
        <v>3543</v>
      </c>
      <c r="AD1277" s="56" t="s">
        <v>24</v>
      </c>
      <c r="AE1277" s="56" t="s">
        <v>3725</v>
      </c>
      <c r="AF1277" s="56" t="s">
        <v>5183</v>
      </c>
      <c r="AH1277" s="56" t="s">
        <v>3542</v>
      </c>
      <c r="AI1277" s="56" t="s">
        <v>3723</v>
      </c>
    </row>
    <row r="1278" spans="1:35" ht="33" customHeight="1">
      <c r="A1278" s="56" t="s">
        <v>5188</v>
      </c>
      <c r="B1278" s="57">
        <v>44363.869351851848</v>
      </c>
      <c r="C1278" s="56" t="s">
        <v>4512</v>
      </c>
      <c r="D1278" s="56" t="s">
        <v>4511</v>
      </c>
      <c r="E1278" s="56" t="s">
        <v>5187</v>
      </c>
      <c r="F1278" s="56" t="s">
        <v>5186</v>
      </c>
      <c r="G1278" s="58" t="s">
        <v>3551</v>
      </c>
      <c r="H1278" s="56">
        <v>1</v>
      </c>
      <c r="I1278" s="56" t="s">
        <v>3550</v>
      </c>
      <c r="J1278" s="56">
        <v>0</v>
      </c>
      <c r="K1278" s="56">
        <v>0</v>
      </c>
      <c r="P1278" s="56">
        <v>0</v>
      </c>
      <c r="S1278" s="56">
        <v>0</v>
      </c>
      <c r="T1278" s="56" t="s">
        <v>3562</v>
      </c>
      <c r="V1278" s="56" t="s">
        <v>3549</v>
      </c>
      <c r="W1278" s="56" t="s">
        <v>3548</v>
      </c>
      <c r="X1278" s="56" t="s">
        <v>3547</v>
      </c>
      <c r="Z1278" s="56" t="s">
        <v>3546</v>
      </c>
      <c r="AA1278" s="56" t="s">
        <v>5185</v>
      </c>
      <c r="AB1278" s="56" t="s">
        <v>5184</v>
      </c>
      <c r="AC1278" s="56" t="s">
        <v>3543</v>
      </c>
      <c r="AD1278" s="56" t="s">
        <v>24</v>
      </c>
      <c r="AE1278" s="56" t="s">
        <v>3725</v>
      </c>
      <c r="AF1278" s="56" t="s">
        <v>5183</v>
      </c>
      <c r="AH1278" s="56" t="s">
        <v>3542</v>
      </c>
      <c r="AI1278" s="56" t="s">
        <v>3723</v>
      </c>
    </row>
    <row r="1279" spans="1:35" ht="33" customHeight="1">
      <c r="A1279" s="56" t="s">
        <v>5188</v>
      </c>
      <c r="B1279" s="57">
        <v>44363.869351851848</v>
      </c>
      <c r="C1279" s="56" t="s">
        <v>4512</v>
      </c>
      <c r="D1279" s="56" t="s">
        <v>4511</v>
      </c>
      <c r="E1279" s="56" t="s">
        <v>5187</v>
      </c>
      <c r="F1279" s="56" t="s">
        <v>5186</v>
      </c>
      <c r="G1279" s="58" t="s">
        <v>1498</v>
      </c>
      <c r="H1279" s="56">
        <v>1</v>
      </c>
      <c r="I1279" s="56" t="s">
        <v>4016</v>
      </c>
      <c r="J1279" s="56">
        <v>0</v>
      </c>
      <c r="K1279" s="56">
        <v>0</v>
      </c>
      <c r="P1279" s="56">
        <v>0</v>
      </c>
      <c r="S1279" s="56">
        <v>0</v>
      </c>
      <c r="T1279" s="56" t="s">
        <v>3562</v>
      </c>
      <c r="V1279" s="56" t="s">
        <v>3549</v>
      </c>
      <c r="W1279" s="56" t="s">
        <v>3548</v>
      </c>
      <c r="X1279" s="56" t="s">
        <v>3547</v>
      </c>
      <c r="Z1279" s="56" t="s">
        <v>3546</v>
      </c>
      <c r="AA1279" s="56" t="s">
        <v>5185</v>
      </c>
      <c r="AB1279" s="56" t="s">
        <v>5184</v>
      </c>
      <c r="AC1279" s="56" t="s">
        <v>3543</v>
      </c>
      <c r="AD1279" s="56" t="s">
        <v>24</v>
      </c>
      <c r="AE1279" s="56" t="s">
        <v>3725</v>
      </c>
      <c r="AF1279" s="56" t="s">
        <v>5183</v>
      </c>
      <c r="AH1279" s="56" t="s">
        <v>3542</v>
      </c>
      <c r="AI1279" s="56" t="s">
        <v>3723</v>
      </c>
    </row>
    <row r="1280" spans="1:35" ht="33" customHeight="1">
      <c r="A1280" s="56" t="s">
        <v>5182</v>
      </c>
      <c r="B1280" s="57">
        <v>44363.889328703706</v>
      </c>
      <c r="C1280" s="56" t="s">
        <v>3803</v>
      </c>
      <c r="D1280" s="56" t="s">
        <v>4426</v>
      </c>
      <c r="E1280" s="56" t="s">
        <v>5181</v>
      </c>
      <c r="F1280" s="56" t="s">
        <v>5180</v>
      </c>
      <c r="G1280" s="58" t="s">
        <v>3934</v>
      </c>
      <c r="H1280" s="56">
        <v>1</v>
      </c>
      <c r="I1280" s="56" t="s">
        <v>3602</v>
      </c>
      <c r="J1280" s="56">
        <v>447</v>
      </c>
      <c r="K1280" s="56">
        <v>399</v>
      </c>
      <c r="L1280" s="56">
        <v>399</v>
      </c>
      <c r="M1280" s="56">
        <v>65</v>
      </c>
      <c r="N1280" s="56">
        <v>0</v>
      </c>
      <c r="O1280" s="56">
        <v>0</v>
      </c>
      <c r="P1280" s="56">
        <v>0</v>
      </c>
      <c r="Q1280" s="56">
        <v>464</v>
      </c>
      <c r="R1280" s="56">
        <v>0</v>
      </c>
      <c r="S1280" s="56">
        <v>0</v>
      </c>
      <c r="T1280" s="56" t="s">
        <v>27</v>
      </c>
      <c r="U1280" s="56">
        <v>464</v>
      </c>
      <c r="V1280" s="56" t="s">
        <v>3612</v>
      </c>
      <c r="W1280" s="56" t="s">
        <v>3548</v>
      </c>
      <c r="X1280" s="56" t="s">
        <v>3611</v>
      </c>
      <c r="Z1280" s="56" t="s">
        <v>3546</v>
      </c>
      <c r="AA1280" s="56" t="s">
        <v>5179</v>
      </c>
      <c r="AB1280" s="56" t="s">
        <v>5178</v>
      </c>
      <c r="AC1280" s="56" t="s">
        <v>3543</v>
      </c>
      <c r="AH1280" s="56" t="s">
        <v>3542</v>
      </c>
      <c r="AI1280" s="56" t="s">
        <v>3541</v>
      </c>
    </row>
    <row r="1281" spans="1:35" ht="33" customHeight="1">
      <c r="A1281" s="56" t="s">
        <v>5182</v>
      </c>
      <c r="B1281" s="57">
        <v>44363.889328703706</v>
      </c>
      <c r="C1281" s="56" t="s">
        <v>3803</v>
      </c>
      <c r="D1281" s="56" t="s">
        <v>4426</v>
      </c>
      <c r="E1281" s="56" t="s">
        <v>5181</v>
      </c>
      <c r="F1281" s="56" t="s">
        <v>5180</v>
      </c>
      <c r="G1281" s="58" t="s">
        <v>3551</v>
      </c>
      <c r="H1281" s="56">
        <v>1</v>
      </c>
      <c r="I1281" s="56" t="s">
        <v>3550</v>
      </c>
      <c r="J1281" s="56">
        <v>0</v>
      </c>
      <c r="K1281" s="56">
        <v>0</v>
      </c>
      <c r="P1281" s="56">
        <v>0</v>
      </c>
      <c r="S1281" s="56">
        <v>0</v>
      </c>
      <c r="T1281" s="56" t="s">
        <v>27</v>
      </c>
      <c r="V1281" s="56" t="s">
        <v>3612</v>
      </c>
      <c r="W1281" s="56" t="s">
        <v>3548</v>
      </c>
      <c r="X1281" s="56" t="s">
        <v>3611</v>
      </c>
      <c r="Z1281" s="56" t="s">
        <v>3546</v>
      </c>
      <c r="AA1281" s="56" t="s">
        <v>5179</v>
      </c>
      <c r="AB1281" s="56" t="s">
        <v>5178</v>
      </c>
      <c r="AC1281" s="56" t="s">
        <v>3543</v>
      </c>
      <c r="AH1281" s="56" t="s">
        <v>3542</v>
      </c>
      <c r="AI1281" s="56" t="s">
        <v>3541</v>
      </c>
    </row>
    <row r="1282" spans="1:35" ht="33" customHeight="1">
      <c r="A1282" s="56" t="s">
        <v>5177</v>
      </c>
      <c r="B1282" s="57">
        <v>44363.891585648147</v>
      </c>
      <c r="C1282" s="56" t="s">
        <v>3803</v>
      </c>
      <c r="D1282" s="56" t="s">
        <v>3802</v>
      </c>
      <c r="E1282" s="56" t="s">
        <v>5176</v>
      </c>
      <c r="F1282" s="56" t="s">
        <v>5175</v>
      </c>
      <c r="G1282" s="58" t="s">
        <v>3811</v>
      </c>
      <c r="H1282" s="56">
        <v>1</v>
      </c>
      <c r="I1282" s="56" t="s">
        <v>3669</v>
      </c>
      <c r="J1282" s="56">
        <v>897</v>
      </c>
      <c r="K1282" s="56">
        <v>888</v>
      </c>
      <c r="L1282" s="56">
        <v>1886</v>
      </c>
      <c r="M1282" s="56">
        <v>0</v>
      </c>
      <c r="N1282" s="56">
        <v>0</v>
      </c>
      <c r="O1282" s="56">
        <v>189</v>
      </c>
      <c r="P1282" s="56">
        <v>0</v>
      </c>
      <c r="Q1282" s="56">
        <v>1697</v>
      </c>
      <c r="R1282" s="56">
        <v>0</v>
      </c>
      <c r="S1282" s="56">
        <v>0</v>
      </c>
      <c r="T1282" s="56" t="s">
        <v>3562</v>
      </c>
      <c r="U1282" s="56">
        <v>1697</v>
      </c>
      <c r="V1282" s="56" t="s">
        <v>3865</v>
      </c>
      <c r="W1282" s="56" t="s">
        <v>3548</v>
      </c>
      <c r="X1282" s="56" t="s">
        <v>39</v>
      </c>
      <c r="Y1282" s="56" t="s">
        <v>4393</v>
      </c>
      <c r="Z1282" s="56" t="s">
        <v>5174</v>
      </c>
      <c r="AC1282" s="56" t="s">
        <v>3543</v>
      </c>
      <c r="AD1282" s="56" t="s">
        <v>24</v>
      </c>
      <c r="AE1282" s="56" t="s">
        <v>5127</v>
      </c>
      <c r="AF1282" s="56" t="s">
        <v>5173</v>
      </c>
      <c r="AH1282" s="56" t="s">
        <v>3542</v>
      </c>
      <c r="AI1282" s="56" t="s">
        <v>3723</v>
      </c>
    </row>
    <row r="1283" spans="1:35" ht="33" customHeight="1">
      <c r="A1283" s="56" t="s">
        <v>5177</v>
      </c>
      <c r="B1283" s="57">
        <v>44363.891585648147</v>
      </c>
      <c r="C1283" s="56" t="s">
        <v>3803</v>
      </c>
      <c r="D1283" s="56" t="s">
        <v>3802</v>
      </c>
      <c r="E1283" s="56" t="s">
        <v>5176</v>
      </c>
      <c r="F1283" s="56" t="s">
        <v>5175</v>
      </c>
      <c r="G1283" s="58" t="s">
        <v>4467</v>
      </c>
      <c r="H1283" s="56">
        <v>1</v>
      </c>
      <c r="I1283" s="56" t="s">
        <v>3769</v>
      </c>
      <c r="J1283" s="56">
        <v>405</v>
      </c>
      <c r="K1283" s="56">
        <v>390</v>
      </c>
      <c r="P1283" s="56">
        <v>0</v>
      </c>
      <c r="S1283" s="56">
        <v>0</v>
      </c>
      <c r="T1283" s="56" t="s">
        <v>3562</v>
      </c>
      <c r="V1283" s="56" t="s">
        <v>3865</v>
      </c>
      <c r="W1283" s="56" t="s">
        <v>3548</v>
      </c>
      <c r="X1283" s="56" t="s">
        <v>39</v>
      </c>
      <c r="Y1283" s="56" t="s">
        <v>4393</v>
      </c>
      <c r="Z1283" s="56" t="s">
        <v>5174</v>
      </c>
      <c r="AC1283" s="56" t="s">
        <v>3543</v>
      </c>
      <c r="AD1283" s="56" t="s">
        <v>24</v>
      </c>
      <c r="AE1283" s="56" t="s">
        <v>5127</v>
      </c>
      <c r="AF1283" s="56" t="s">
        <v>5173</v>
      </c>
      <c r="AH1283" s="56" t="s">
        <v>3542</v>
      </c>
      <c r="AI1283" s="56" t="s">
        <v>3723</v>
      </c>
    </row>
    <row r="1284" spans="1:35" ht="33" customHeight="1">
      <c r="A1284" s="56" t="s">
        <v>5177</v>
      </c>
      <c r="B1284" s="57">
        <v>44363.891585648147</v>
      </c>
      <c r="C1284" s="56" t="s">
        <v>3803</v>
      </c>
      <c r="D1284" s="56" t="s">
        <v>3802</v>
      </c>
      <c r="E1284" s="56" t="s">
        <v>5176</v>
      </c>
      <c r="F1284" s="56" t="s">
        <v>5175</v>
      </c>
      <c r="G1284" s="58" t="s">
        <v>2169</v>
      </c>
      <c r="H1284" s="56">
        <v>1</v>
      </c>
      <c r="I1284" s="56" t="s">
        <v>3762</v>
      </c>
      <c r="J1284" s="56">
        <v>350</v>
      </c>
      <c r="K1284" s="56">
        <v>350</v>
      </c>
      <c r="P1284" s="56">
        <v>0</v>
      </c>
      <c r="S1284" s="56">
        <v>0</v>
      </c>
      <c r="T1284" s="56" t="s">
        <v>3562</v>
      </c>
      <c r="V1284" s="56" t="s">
        <v>3865</v>
      </c>
      <c r="W1284" s="56" t="s">
        <v>3548</v>
      </c>
      <c r="X1284" s="56" t="s">
        <v>39</v>
      </c>
      <c r="Y1284" s="56" t="s">
        <v>4393</v>
      </c>
      <c r="Z1284" s="56" t="s">
        <v>5174</v>
      </c>
      <c r="AC1284" s="56" t="s">
        <v>3543</v>
      </c>
      <c r="AD1284" s="56" t="s">
        <v>24</v>
      </c>
      <c r="AE1284" s="56" t="s">
        <v>5127</v>
      </c>
      <c r="AF1284" s="56" t="s">
        <v>5173</v>
      </c>
      <c r="AH1284" s="56" t="s">
        <v>3542</v>
      </c>
      <c r="AI1284" s="56" t="s">
        <v>3723</v>
      </c>
    </row>
    <row r="1285" spans="1:35" ht="33" customHeight="1">
      <c r="A1285" s="56" t="s">
        <v>5177</v>
      </c>
      <c r="B1285" s="57">
        <v>44363.891585648147</v>
      </c>
      <c r="C1285" s="56" t="s">
        <v>3803</v>
      </c>
      <c r="D1285" s="56" t="s">
        <v>3802</v>
      </c>
      <c r="E1285" s="56" t="s">
        <v>5176</v>
      </c>
      <c r="F1285" s="56" t="s">
        <v>5175</v>
      </c>
      <c r="G1285" s="58" t="s">
        <v>1713</v>
      </c>
      <c r="H1285" s="56">
        <v>1</v>
      </c>
      <c r="I1285" s="56" t="s">
        <v>3587</v>
      </c>
      <c r="J1285" s="56">
        <v>149</v>
      </c>
      <c r="K1285" s="56">
        <v>149</v>
      </c>
      <c r="P1285" s="56">
        <v>0</v>
      </c>
      <c r="S1285" s="56">
        <v>0</v>
      </c>
      <c r="T1285" s="56" t="s">
        <v>3562</v>
      </c>
      <c r="V1285" s="56" t="s">
        <v>3865</v>
      </c>
      <c r="W1285" s="56" t="s">
        <v>3548</v>
      </c>
      <c r="X1285" s="56" t="s">
        <v>39</v>
      </c>
      <c r="Y1285" s="56" t="s">
        <v>4393</v>
      </c>
      <c r="Z1285" s="56" t="s">
        <v>5174</v>
      </c>
      <c r="AC1285" s="56" t="s">
        <v>3543</v>
      </c>
      <c r="AD1285" s="56" t="s">
        <v>24</v>
      </c>
      <c r="AE1285" s="56" t="s">
        <v>5127</v>
      </c>
      <c r="AF1285" s="56" t="s">
        <v>5173</v>
      </c>
      <c r="AH1285" s="56" t="s">
        <v>3542</v>
      </c>
      <c r="AI1285" s="56" t="s">
        <v>3723</v>
      </c>
    </row>
    <row r="1286" spans="1:35" ht="33" customHeight="1">
      <c r="A1286" s="56" t="s">
        <v>5177</v>
      </c>
      <c r="B1286" s="57">
        <v>44363.891585648147</v>
      </c>
      <c r="C1286" s="56" t="s">
        <v>3803</v>
      </c>
      <c r="D1286" s="56" t="s">
        <v>3802</v>
      </c>
      <c r="E1286" s="56" t="s">
        <v>5176</v>
      </c>
      <c r="F1286" s="56" t="s">
        <v>5175</v>
      </c>
      <c r="G1286" s="58" t="s">
        <v>2165</v>
      </c>
      <c r="H1286" s="56">
        <v>1</v>
      </c>
      <c r="I1286" s="56" t="s">
        <v>3721</v>
      </c>
      <c r="J1286" s="56">
        <v>109</v>
      </c>
      <c r="K1286" s="56">
        <v>109</v>
      </c>
      <c r="P1286" s="56">
        <v>0</v>
      </c>
      <c r="S1286" s="56">
        <v>0</v>
      </c>
      <c r="T1286" s="56" t="s">
        <v>3562</v>
      </c>
      <c r="V1286" s="56" t="s">
        <v>3865</v>
      </c>
      <c r="W1286" s="56" t="s">
        <v>3548</v>
      </c>
      <c r="X1286" s="56" t="s">
        <v>39</v>
      </c>
      <c r="Y1286" s="56" t="s">
        <v>4393</v>
      </c>
      <c r="Z1286" s="56" t="s">
        <v>5174</v>
      </c>
      <c r="AC1286" s="56" t="s">
        <v>3543</v>
      </c>
      <c r="AD1286" s="56" t="s">
        <v>24</v>
      </c>
      <c r="AE1286" s="56" t="s">
        <v>5127</v>
      </c>
      <c r="AF1286" s="56" t="s">
        <v>5173</v>
      </c>
      <c r="AH1286" s="56" t="s">
        <v>3542</v>
      </c>
      <c r="AI1286" s="56" t="s">
        <v>3723</v>
      </c>
    </row>
    <row r="1287" spans="1:35" ht="33" customHeight="1">
      <c r="A1287" s="56" t="s">
        <v>5177</v>
      </c>
      <c r="B1287" s="57">
        <v>44363.891585648147</v>
      </c>
      <c r="C1287" s="56" t="s">
        <v>3803</v>
      </c>
      <c r="D1287" s="56" t="s">
        <v>3802</v>
      </c>
      <c r="E1287" s="56" t="s">
        <v>5176</v>
      </c>
      <c r="F1287" s="56" t="s">
        <v>5175</v>
      </c>
      <c r="G1287" s="58" t="s">
        <v>3551</v>
      </c>
      <c r="H1287" s="56">
        <v>1</v>
      </c>
      <c r="I1287" s="56" t="s">
        <v>3550</v>
      </c>
      <c r="J1287" s="56">
        <v>0</v>
      </c>
      <c r="K1287" s="56">
        <v>0</v>
      </c>
      <c r="P1287" s="56">
        <v>0</v>
      </c>
      <c r="S1287" s="56">
        <v>0</v>
      </c>
      <c r="T1287" s="56" t="s">
        <v>3562</v>
      </c>
      <c r="V1287" s="56" t="s">
        <v>3865</v>
      </c>
      <c r="W1287" s="56" t="s">
        <v>3548</v>
      </c>
      <c r="X1287" s="56" t="s">
        <v>39</v>
      </c>
      <c r="Y1287" s="56" t="s">
        <v>4393</v>
      </c>
      <c r="Z1287" s="56" t="s">
        <v>5174</v>
      </c>
      <c r="AC1287" s="56" t="s">
        <v>3543</v>
      </c>
      <c r="AD1287" s="56" t="s">
        <v>24</v>
      </c>
      <c r="AE1287" s="56" t="s">
        <v>5127</v>
      </c>
      <c r="AF1287" s="56" t="s">
        <v>5173</v>
      </c>
      <c r="AH1287" s="56" t="s">
        <v>3542</v>
      </c>
      <c r="AI1287" s="56" t="s">
        <v>3723</v>
      </c>
    </row>
    <row r="1288" spans="1:35" ht="33" customHeight="1">
      <c r="A1288" s="56" t="s">
        <v>5177</v>
      </c>
      <c r="B1288" s="57">
        <v>44363.891585648147</v>
      </c>
      <c r="C1288" s="56" t="s">
        <v>3803</v>
      </c>
      <c r="D1288" s="56" t="s">
        <v>3802</v>
      </c>
      <c r="E1288" s="56" t="s">
        <v>5176</v>
      </c>
      <c r="F1288" s="56" t="s">
        <v>5175</v>
      </c>
      <c r="G1288" s="58" t="s">
        <v>1713</v>
      </c>
      <c r="H1288" s="56">
        <v>1</v>
      </c>
      <c r="I1288" s="56" t="s">
        <v>3568</v>
      </c>
      <c r="J1288" s="56">
        <v>0</v>
      </c>
      <c r="K1288" s="56">
        <v>0</v>
      </c>
      <c r="P1288" s="56">
        <v>0</v>
      </c>
      <c r="S1288" s="56">
        <v>0</v>
      </c>
      <c r="T1288" s="56" t="s">
        <v>3562</v>
      </c>
      <c r="V1288" s="56" t="s">
        <v>3865</v>
      </c>
      <c r="W1288" s="56" t="s">
        <v>3548</v>
      </c>
      <c r="X1288" s="56" t="s">
        <v>39</v>
      </c>
      <c r="Y1288" s="56" t="s">
        <v>4393</v>
      </c>
      <c r="Z1288" s="56" t="s">
        <v>5174</v>
      </c>
      <c r="AC1288" s="56" t="s">
        <v>3543</v>
      </c>
      <c r="AD1288" s="56" t="s">
        <v>24</v>
      </c>
      <c r="AE1288" s="56" t="s">
        <v>5127</v>
      </c>
      <c r="AF1288" s="56" t="s">
        <v>5173</v>
      </c>
      <c r="AH1288" s="56" t="s">
        <v>3542</v>
      </c>
      <c r="AI1288" s="56" t="s">
        <v>3723</v>
      </c>
    </row>
    <row r="1289" spans="1:35" ht="33" customHeight="1">
      <c r="A1289" s="56" t="s">
        <v>5177</v>
      </c>
      <c r="B1289" s="57">
        <v>44363.891585648147</v>
      </c>
      <c r="C1289" s="56" t="s">
        <v>3803</v>
      </c>
      <c r="D1289" s="56" t="s">
        <v>3802</v>
      </c>
      <c r="E1289" s="56" t="s">
        <v>5176</v>
      </c>
      <c r="F1289" s="56" t="s">
        <v>5175</v>
      </c>
      <c r="G1289" s="58" t="s">
        <v>1498</v>
      </c>
      <c r="H1289" s="56">
        <v>1</v>
      </c>
      <c r="I1289" s="56" t="s">
        <v>4016</v>
      </c>
      <c r="J1289" s="56">
        <v>0</v>
      </c>
      <c r="K1289" s="56">
        <v>0</v>
      </c>
      <c r="P1289" s="56">
        <v>0</v>
      </c>
      <c r="S1289" s="56">
        <v>0</v>
      </c>
      <c r="T1289" s="56" t="s">
        <v>3562</v>
      </c>
      <c r="V1289" s="56" t="s">
        <v>3865</v>
      </c>
      <c r="W1289" s="56" t="s">
        <v>3548</v>
      </c>
      <c r="X1289" s="56" t="s">
        <v>39</v>
      </c>
      <c r="Y1289" s="56" t="s">
        <v>4393</v>
      </c>
      <c r="Z1289" s="56" t="s">
        <v>5174</v>
      </c>
      <c r="AC1289" s="56" t="s">
        <v>3543</v>
      </c>
      <c r="AD1289" s="56" t="s">
        <v>24</v>
      </c>
      <c r="AE1289" s="56" t="s">
        <v>5127</v>
      </c>
      <c r="AF1289" s="56" t="s">
        <v>5173</v>
      </c>
      <c r="AH1289" s="56" t="s">
        <v>3542</v>
      </c>
      <c r="AI1289" s="56" t="s">
        <v>3723</v>
      </c>
    </row>
    <row r="1290" spans="1:35" ht="33" customHeight="1">
      <c r="A1290" s="56" t="s">
        <v>5172</v>
      </c>
      <c r="B1290" s="57">
        <v>44363.936666666668</v>
      </c>
      <c r="C1290" s="56" t="s">
        <v>3803</v>
      </c>
      <c r="D1290" s="56" t="s">
        <v>4426</v>
      </c>
      <c r="E1290" s="56" t="s">
        <v>5171</v>
      </c>
      <c r="F1290" s="56" t="s">
        <v>5170</v>
      </c>
      <c r="G1290" s="58" t="s">
        <v>3681</v>
      </c>
      <c r="H1290" s="56">
        <v>1</v>
      </c>
      <c r="I1290" s="56" t="s">
        <v>3569</v>
      </c>
      <c r="J1290" s="56">
        <v>894</v>
      </c>
      <c r="K1290" s="56">
        <v>750</v>
      </c>
      <c r="L1290" s="56">
        <v>1283</v>
      </c>
      <c r="M1290" s="56">
        <v>0</v>
      </c>
      <c r="N1290" s="56">
        <v>0</v>
      </c>
      <c r="O1290" s="56">
        <v>100</v>
      </c>
      <c r="P1290" s="56">
        <v>0</v>
      </c>
      <c r="Q1290" s="56">
        <v>1183</v>
      </c>
      <c r="R1290" s="56">
        <v>0</v>
      </c>
      <c r="S1290" s="56">
        <v>0</v>
      </c>
      <c r="T1290" s="56" t="s">
        <v>27</v>
      </c>
      <c r="U1290" s="56">
        <v>1183</v>
      </c>
      <c r="V1290" s="56" t="s">
        <v>3549</v>
      </c>
      <c r="W1290" s="56" t="s">
        <v>3548</v>
      </c>
      <c r="X1290" s="56" t="s">
        <v>3547</v>
      </c>
      <c r="Z1290" s="56" t="s">
        <v>3546</v>
      </c>
      <c r="AA1290" s="56" t="s">
        <v>5169</v>
      </c>
      <c r="AB1290" s="56" t="s">
        <v>5168</v>
      </c>
      <c r="AC1290" s="56" t="s">
        <v>3543</v>
      </c>
      <c r="AH1290" s="56" t="s">
        <v>3542</v>
      </c>
      <c r="AI1290" s="56" t="s">
        <v>3541</v>
      </c>
    </row>
    <row r="1291" spans="1:35" ht="33" customHeight="1">
      <c r="A1291" s="56" t="s">
        <v>5172</v>
      </c>
      <c r="B1291" s="57">
        <v>44363.936666666668</v>
      </c>
      <c r="C1291" s="56" t="s">
        <v>3803</v>
      </c>
      <c r="D1291" s="56" t="s">
        <v>4426</v>
      </c>
      <c r="E1291" s="56" t="s">
        <v>5171</v>
      </c>
      <c r="F1291" s="56" t="s">
        <v>5170</v>
      </c>
      <c r="G1291" s="58" t="s">
        <v>1493</v>
      </c>
      <c r="H1291" s="56">
        <v>1</v>
      </c>
      <c r="I1291" s="56" t="s">
        <v>3601</v>
      </c>
      <c r="J1291" s="56">
        <v>135</v>
      </c>
      <c r="K1291" s="56">
        <v>135</v>
      </c>
      <c r="P1291" s="56">
        <v>0</v>
      </c>
      <c r="S1291" s="56">
        <v>0</v>
      </c>
      <c r="T1291" s="56" t="s">
        <v>27</v>
      </c>
      <c r="V1291" s="56" t="s">
        <v>3549</v>
      </c>
      <c r="W1291" s="56" t="s">
        <v>3548</v>
      </c>
      <c r="X1291" s="56" t="s">
        <v>3547</v>
      </c>
      <c r="Z1291" s="56" t="s">
        <v>3546</v>
      </c>
      <c r="AA1291" s="56" t="s">
        <v>5169</v>
      </c>
      <c r="AB1291" s="56" t="s">
        <v>5168</v>
      </c>
      <c r="AC1291" s="56" t="s">
        <v>3543</v>
      </c>
      <c r="AH1291" s="56" t="s">
        <v>3542</v>
      </c>
      <c r="AI1291" s="56" t="s">
        <v>3541</v>
      </c>
    </row>
    <row r="1292" spans="1:35" ht="33" customHeight="1">
      <c r="A1292" s="56" t="s">
        <v>5172</v>
      </c>
      <c r="B1292" s="57">
        <v>44363.936666666668</v>
      </c>
      <c r="C1292" s="56" t="s">
        <v>3803</v>
      </c>
      <c r="D1292" s="56" t="s">
        <v>4426</v>
      </c>
      <c r="E1292" s="56" t="s">
        <v>5171</v>
      </c>
      <c r="F1292" s="56" t="s">
        <v>5170</v>
      </c>
      <c r="G1292" s="58" t="s">
        <v>3299</v>
      </c>
      <c r="H1292" s="56">
        <v>1</v>
      </c>
      <c r="I1292" s="56" t="s">
        <v>3576</v>
      </c>
      <c r="J1292" s="56">
        <v>299</v>
      </c>
      <c r="K1292" s="56">
        <v>299</v>
      </c>
      <c r="P1292" s="56">
        <v>0</v>
      </c>
      <c r="S1292" s="56">
        <v>0</v>
      </c>
      <c r="T1292" s="56" t="s">
        <v>27</v>
      </c>
      <c r="V1292" s="56" t="s">
        <v>3549</v>
      </c>
      <c r="W1292" s="56" t="s">
        <v>3548</v>
      </c>
      <c r="X1292" s="56" t="s">
        <v>3547</v>
      </c>
      <c r="Z1292" s="56" t="s">
        <v>3546</v>
      </c>
      <c r="AA1292" s="56" t="s">
        <v>5169</v>
      </c>
      <c r="AB1292" s="56" t="s">
        <v>5168</v>
      </c>
      <c r="AC1292" s="56" t="s">
        <v>3543</v>
      </c>
      <c r="AH1292" s="56" t="s">
        <v>3542</v>
      </c>
      <c r="AI1292" s="56" t="s">
        <v>3541</v>
      </c>
    </row>
    <row r="1293" spans="1:35" ht="33" customHeight="1">
      <c r="A1293" s="56" t="s">
        <v>5172</v>
      </c>
      <c r="B1293" s="57">
        <v>44363.936666666668</v>
      </c>
      <c r="C1293" s="56" t="s">
        <v>3803</v>
      </c>
      <c r="D1293" s="56" t="s">
        <v>4426</v>
      </c>
      <c r="E1293" s="56" t="s">
        <v>5171</v>
      </c>
      <c r="F1293" s="56" t="s">
        <v>5170</v>
      </c>
      <c r="G1293" s="58" t="s">
        <v>3199</v>
      </c>
      <c r="H1293" s="56">
        <v>1</v>
      </c>
      <c r="I1293" s="56" t="s">
        <v>3834</v>
      </c>
      <c r="J1293" s="56">
        <v>119</v>
      </c>
      <c r="K1293" s="56">
        <v>99</v>
      </c>
      <c r="P1293" s="56">
        <v>0</v>
      </c>
      <c r="S1293" s="56">
        <v>0</v>
      </c>
      <c r="T1293" s="56" t="s">
        <v>27</v>
      </c>
      <c r="V1293" s="56" t="s">
        <v>3549</v>
      </c>
      <c r="W1293" s="56" t="s">
        <v>3548</v>
      </c>
      <c r="X1293" s="56" t="s">
        <v>3547</v>
      </c>
      <c r="Z1293" s="56" t="s">
        <v>3546</v>
      </c>
      <c r="AA1293" s="56" t="s">
        <v>5169</v>
      </c>
      <c r="AB1293" s="56" t="s">
        <v>5168</v>
      </c>
      <c r="AC1293" s="56" t="s">
        <v>3543</v>
      </c>
      <c r="AH1293" s="56" t="s">
        <v>3542</v>
      </c>
      <c r="AI1293" s="56" t="s">
        <v>3541</v>
      </c>
    </row>
    <row r="1294" spans="1:35" ht="33" customHeight="1">
      <c r="A1294" s="56" t="s">
        <v>5172</v>
      </c>
      <c r="B1294" s="57">
        <v>44363.936666666668</v>
      </c>
      <c r="C1294" s="56" t="s">
        <v>3803</v>
      </c>
      <c r="D1294" s="56" t="s">
        <v>4426</v>
      </c>
      <c r="E1294" s="56" t="s">
        <v>5171</v>
      </c>
      <c r="F1294" s="56" t="s">
        <v>5170</v>
      </c>
      <c r="G1294" s="58" t="s">
        <v>3551</v>
      </c>
      <c r="H1294" s="56">
        <v>1</v>
      </c>
      <c r="I1294" s="56" t="s">
        <v>3550</v>
      </c>
      <c r="J1294" s="56">
        <v>0</v>
      </c>
      <c r="K1294" s="56">
        <v>0</v>
      </c>
      <c r="P1294" s="56">
        <v>0</v>
      </c>
      <c r="S1294" s="56">
        <v>0</v>
      </c>
      <c r="T1294" s="56" t="s">
        <v>27</v>
      </c>
      <c r="V1294" s="56" t="s">
        <v>3549</v>
      </c>
      <c r="W1294" s="56" t="s">
        <v>3548</v>
      </c>
      <c r="X1294" s="56" t="s">
        <v>3547</v>
      </c>
      <c r="Z1294" s="56" t="s">
        <v>3546</v>
      </c>
      <c r="AA1294" s="56" t="s">
        <v>5169</v>
      </c>
      <c r="AB1294" s="56" t="s">
        <v>5168</v>
      </c>
      <c r="AC1294" s="56" t="s">
        <v>3543</v>
      </c>
      <c r="AH1294" s="56" t="s">
        <v>3542</v>
      </c>
      <c r="AI1294" s="56" t="s">
        <v>3541</v>
      </c>
    </row>
    <row r="1295" spans="1:35" ht="33" customHeight="1">
      <c r="A1295" s="56" t="s">
        <v>5172</v>
      </c>
      <c r="B1295" s="57">
        <v>44363.936666666668</v>
      </c>
      <c r="C1295" s="56" t="s">
        <v>3803</v>
      </c>
      <c r="D1295" s="56" t="s">
        <v>4426</v>
      </c>
      <c r="E1295" s="56" t="s">
        <v>5171</v>
      </c>
      <c r="F1295" s="56" t="s">
        <v>5170</v>
      </c>
      <c r="G1295" s="58" t="s">
        <v>1498</v>
      </c>
      <c r="H1295" s="56">
        <v>1</v>
      </c>
      <c r="I1295" s="56" t="s">
        <v>4016</v>
      </c>
      <c r="J1295" s="56">
        <v>0</v>
      </c>
      <c r="K1295" s="56">
        <v>0</v>
      </c>
      <c r="P1295" s="56">
        <v>0</v>
      </c>
      <c r="S1295" s="56">
        <v>0</v>
      </c>
      <c r="T1295" s="56" t="s">
        <v>27</v>
      </c>
      <c r="V1295" s="56" t="s">
        <v>3549</v>
      </c>
      <c r="W1295" s="56" t="s">
        <v>3548</v>
      </c>
      <c r="X1295" s="56" t="s">
        <v>3547</v>
      </c>
      <c r="Z1295" s="56" t="s">
        <v>3546</v>
      </c>
      <c r="AA1295" s="56" t="s">
        <v>5169</v>
      </c>
      <c r="AB1295" s="56" t="s">
        <v>5168</v>
      </c>
      <c r="AC1295" s="56" t="s">
        <v>3543</v>
      </c>
      <c r="AH1295" s="56" t="s">
        <v>3542</v>
      </c>
      <c r="AI1295" s="56" t="s">
        <v>3541</v>
      </c>
    </row>
    <row r="1296" spans="1:35" ht="33" customHeight="1">
      <c r="A1296" s="56" t="s">
        <v>5167</v>
      </c>
      <c r="B1296" s="57">
        <v>44363.945173611108</v>
      </c>
      <c r="C1296" s="56" t="s">
        <v>3803</v>
      </c>
      <c r="D1296" s="56" t="s">
        <v>4426</v>
      </c>
      <c r="E1296" s="56" t="s">
        <v>5166</v>
      </c>
      <c r="F1296" s="56" t="s">
        <v>5165</v>
      </c>
      <c r="G1296" s="58" t="s">
        <v>1510</v>
      </c>
      <c r="H1296" s="56">
        <v>4</v>
      </c>
      <c r="I1296" s="56" t="s">
        <v>3696</v>
      </c>
      <c r="J1296" s="56">
        <v>299</v>
      </c>
      <c r="K1296" s="56">
        <v>299</v>
      </c>
      <c r="L1296" s="56">
        <v>1196</v>
      </c>
      <c r="M1296" s="56">
        <v>0</v>
      </c>
      <c r="N1296" s="56">
        <v>0</v>
      </c>
      <c r="O1296" s="56">
        <v>120</v>
      </c>
      <c r="P1296" s="56">
        <v>0</v>
      </c>
      <c r="Q1296" s="56">
        <v>1076</v>
      </c>
      <c r="R1296" s="56">
        <v>0</v>
      </c>
      <c r="S1296" s="56">
        <v>0</v>
      </c>
      <c r="T1296" s="56" t="s">
        <v>3562</v>
      </c>
      <c r="U1296" s="56">
        <v>1076</v>
      </c>
      <c r="V1296" s="56" t="s">
        <v>3561</v>
      </c>
      <c r="W1296" s="56" t="s">
        <v>3548</v>
      </c>
      <c r="X1296" s="56" t="s">
        <v>3716</v>
      </c>
      <c r="Z1296" s="56" t="s">
        <v>3546</v>
      </c>
      <c r="AA1296" s="56" t="s">
        <v>5164</v>
      </c>
      <c r="AB1296" s="56" t="s">
        <v>5163</v>
      </c>
      <c r="AC1296" s="56" t="s">
        <v>3543</v>
      </c>
      <c r="AD1296" s="56" t="s">
        <v>24</v>
      </c>
      <c r="AE1296" s="56" t="s">
        <v>5127</v>
      </c>
      <c r="AF1296" s="56" t="s">
        <v>5162</v>
      </c>
      <c r="AH1296" s="56" t="s">
        <v>3542</v>
      </c>
      <c r="AI1296" s="56" t="s">
        <v>3723</v>
      </c>
    </row>
    <row r="1297" spans="1:35" ht="33" customHeight="1">
      <c r="A1297" s="56" t="s">
        <v>5167</v>
      </c>
      <c r="B1297" s="57">
        <v>44363.945173611108</v>
      </c>
      <c r="C1297" s="56" t="s">
        <v>3803</v>
      </c>
      <c r="D1297" s="56" t="s">
        <v>4426</v>
      </c>
      <c r="E1297" s="56" t="s">
        <v>5166</v>
      </c>
      <c r="F1297" s="56" t="s">
        <v>5165</v>
      </c>
      <c r="G1297" s="58" t="s">
        <v>3551</v>
      </c>
      <c r="H1297" s="56">
        <v>1</v>
      </c>
      <c r="I1297" s="56" t="s">
        <v>3550</v>
      </c>
      <c r="J1297" s="56">
        <v>0</v>
      </c>
      <c r="K1297" s="56">
        <v>0</v>
      </c>
      <c r="P1297" s="56">
        <v>0</v>
      </c>
      <c r="S1297" s="56">
        <v>0</v>
      </c>
      <c r="T1297" s="56" t="s">
        <v>3562</v>
      </c>
      <c r="V1297" s="56" t="s">
        <v>3561</v>
      </c>
      <c r="W1297" s="56" t="s">
        <v>3548</v>
      </c>
      <c r="X1297" s="56" t="s">
        <v>3716</v>
      </c>
      <c r="Z1297" s="56" t="s">
        <v>3546</v>
      </c>
      <c r="AA1297" s="56" t="s">
        <v>5164</v>
      </c>
      <c r="AB1297" s="56" t="s">
        <v>5163</v>
      </c>
      <c r="AC1297" s="56" t="s">
        <v>3543</v>
      </c>
      <c r="AD1297" s="56" t="s">
        <v>24</v>
      </c>
      <c r="AE1297" s="56" t="s">
        <v>5127</v>
      </c>
      <c r="AF1297" s="56" t="s">
        <v>5162</v>
      </c>
      <c r="AH1297" s="56" t="s">
        <v>3542</v>
      </c>
      <c r="AI1297" s="56" t="s">
        <v>3723</v>
      </c>
    </row>
    <row r="1298" spans="1:35" ht="33" customHeight="1">
      <c r="A1298" s="56" t="s">
        <v>5167</v>
      </c>
      <c r="B1298" s="57">
        <v>44363.945173611108</v>
      </c>
      <c r="C1298" s="56" t="s">
        <v>3803</v>
      </c>
      <c r="D1298" s="56" t="s">
        <v>4426</v>
      </c>
      <c r="E1298" s="56" t="s">
        <v>5166</v>
      </c>
      <c r="F1298" s="56" t="s">
        <v>5165</v>
      </c>
      <c r="G1298" s="58" t="s">
        <v>1498</v>
      </c>
      <c r="H1298" s="56">
        <v>1</v>
      </c>
      <c r="I1298" s="56" t="s">
        <v>4016</v>
      </c>
      <c r="J1298" s="56">
        <v>0</v>
      </c>
      <c r="K1298" s="56">
        <v>0</v>
      </c>
      <c r="P1298" s="56">
        <v>0</v>
      </c>
      <c r="S1298" s="56">
        <v>0</v>
      </c>
      <c r="T1298" s="56" t="s">
        <v>3562</v>
      </c>
      <c r="V1298" s="56" t="s">
        <v>3561</v>
      </c>
      <c r="W1298" s="56" t="s">
        <v>3548</v>
      </c>
      <c r="X1298" s="56" t="s">
        <v>3716</v>
      </c>
      <c r="Z1298" s="56" t="s">
        <v>3546</v>
      </c>
      <c r="AA1298" s="56" t="s">
        <v>5164</v>
      </c>
      <c r="AB1298" s="56" t="s">
        <v>5163</v>
      </c>
      <c r="AC1298" s="56" t="s">
        <v>3543</v>
      </c>
      <c r="AD1298" s="56" t="s">
        <v>24</v>
      </c>
      <c r="AE1298" s="56" t="s">
        <v>5127</v>
      </c>
      <c r="AF1298" s="56" t="s">
        <v>5162</v>
      </c>
      <c r="AH1298" s="56" t="s">
        <v>3542</v>
      </c>
      <c r="AI1298" s="56" t="s">
        <v>3723</v>
      </c>
    </row>
    <row r="1299" spans="1:35" ht="33" customHeight="1">
      <c r="A1299" s="56" t="s">
        <v>5161</v>
      </c>
      <c r="B1299" s="57">
        <v>44363.94734953704</v>
      </c>
      <c r="C1299" s="56" t="s">
        <v>3803</v>
      </c>
      <c r="D1299" s="56" t="s">
        <v>3802</v>
      </c>
      <c r="E1299" s="56" t="s">
        <v>5160</v>
      </c>
      <c r="F1299" s="56" t="s">
        <v>5159</v>
      </c>
      <c r="G1299" s="58" t="s">
        <v>3196</v>
      </c>
      <c r="H1299" s="56">
        <v>1</v>
      </c>
      <c r="I1299" s="56" t="s">
        <v>2550</v>
      </c>
      <c r="J1299" s="56">
        <v>120</v>
      </c>
      <c r="K1299" s="56">
        <v>120</v>
      </c>
      <c r="L1299" s="56">
        <v>1008</v>
      </c>
      <c r="M1299" s="56">
        <v>0</v>
      </c>
      <c r="N1299" s="56">
        <v>0</v>
      </c>
      <c r="O1299" s="56">
        <v>100</v>
      </c>
      <c r="P1299" s="56">
        <v>0</v>
      </c>
      <c r="Q1299" s="56">
        <v>908</v>
      </c>
      <c r="R1299" s="56">
        <v>0</v>
      </c>
      <c r="S1299" s="56">
        <v>0</v>
      </c>
      <c r="T1299" s="56" t="s">
        <v>27</v>
      </c>
      <c r="U1299" s="56">
        <v>908</v>
      </c>
      <c r="V1299" s="56" t="s">
        <v>3736</v>
      </c>
      <c r="W1299" s="56" t="s">
        <v>3548</v>
      </c>
      <c r="X1299" s="56" t="s">
        <v>3735</v>
      </c>
      <c r="Y1299" s="56" t="s">
        <v>5158</v>
      </c>
      <c r="Z1299" s="56" t="s">
        <v>5157</v>
      </c>
      <c r="AC1299" s="56" t="s">
        <v>3543</v>
      </c>
      <c r="AH1299" s="56" t="s">
        <v>3542</v>
      </c>
      <c r="AI1299" s="56" t="s">
        <v>3541</v>
      </c>
    </row>
    <row r="1300" spans="1:35" ht="33" customHeight="1">
      <c r="A1300" s="56" t="s">
        <v>5161</v>
      </c>
      <c r="B1300" s="57">
        <v>44363.94734953704</v>
      </c>
      <c r="C1300" s="56" t="s">
        <v>3803</v>
      </c>
      <c r="D1300" s="56" t="s">
        <v>3802</v>
      </c>
      <c r="E1300" s="56" t="s">
        <v>5160</v>
      </c>
      <c r="F1300" s="56" t="s">
        <v>5159</v>
      </c>
      <c r="G1300" s="58" t="s">
        <v>3811</v>
      </c>
      <c r="H1300" s="56">
        <v>1</v>
      </c>
      <c r="I1300" s="56" t="s">
        <v>3669</v>
      </c>
      <c r="J1300" s="56">
        <v>897</v>
      </c>
      <c r="K1300" s="56">
        <v>888</v>
      </c>
      <c r="P1300" s="56">
        <v>0</v>
      </c>
      <c r="S1300" s="56">
        <v>0</v>
      </c>
      <c r="T1300" s="56" t="s">
        <v>27</v>
      </c>
      <c r="V1300" s="56" t="s">
        <v>3736</v>
      </c>
      <c r="W1300" s="56" t="s">
        <v>3548</v>
      </c>
      <c r="X1300" s="56" t="s">
        <v>3735</v>
      </c>
      <c r="Y1300" s="56" t="s">
        <v>5158</v>
      </c>
      <c r="Z1300" s="56" t="s">
        <v>5157</v>
      </c>
      <c r="AC1300" s="56" t="s">
        <v>3543</v>
      </c>
      <c r="AH1300" s="56" t="s">
        <v>3542</v>
      </c>
      <c r="AI1300" s="56" t="s">
        <v>3541</v>
      </c>
    </row>
    <row r="1301" spans="1:35" ht="33" customHeight="1">
      <c r="A1301" s="56" t="s">
        <v>5161</v>
      </c>
      <c r="B1301" s="57">
        <v>44363.94734953704</v>
      </c>
      <c r="C1301" s="56" t="s">
        <v>3803</v>
      </c>
      <c r="D1301" s="56" t="s">
        <v>3802</v>
      </c>
      <c r="E1301" s="56" t="s">
        <v>5160</v>
      </c>
      <c r="F1301" s="56" t="s">
        <v>5159</v>
      </c>
      <c r="G1301" s="58" t="s">
        <v>3551</v>
      </c>
      <c r="H1301" s="56">
        <v>1</v>
      </c>
      <c r="I1301" s="56" t="s">
        <v>3550</v>
      </c>
      <c r="J1301" s="56">
        <v>0</v>
      </c>
      <c r="K1301" s="56">
        <v>0</v>
      </c>
      <c r="P1301" s="56">
        <v>0</v>
      </c>
      <c r="S1301" s="56">
        <v>0</v>
      </c>
      <c r="T1301" s="56" t="s">
        <v>27</v>
      </c>
      <c r="V1301" s="56" t="s">
        <v>3736</v>
      </c>
      <c r="W1301" s="56" t="s">
        <v>3548</v>
      </c>
      <c r="X1301" s="56" t="s">
        <v>3735</v>
      </c>
      <c r="Y1301" s="56" t="s">
        <v>5158</v>
      </c>
      <c r="Z1301" s="56" t="s">
        <v>5157</v>
      </c>
      <c r="AC1301" s="56" t="s">
        <v>3543</v>
      </c>
      <c r="AH1301" s="56" t="s">
        <v>3542</v>
      </c>
      <c r="AI1301" s="56" t="s">
        <v>3541</v>
      </c>
    </row>
    <row r="1302" spans="1:35" ht="33" customHeight="1">
      <c r="A1302" s="56" t="s">
        <v>5161</v>
      </c>
      <c r="B1302" s="57">
        <v>44363.94734953704</v>
      </c>
      <c r="C1302" s="56" t="s">
        <v>3803</v>
      </c>
      <c r="D1302" s="56" t="s">
        <v>3802</v>
      </c>
      <c r="E1302" s="56" t="s">
        <v>5160</v>
      </c>
      <c r="F1302" s="56" t="s">
        <v>5159</v>
      </c>
      <c r="G1302" s="58" t="s">
        <v>1498</v>
      </c>
      <c r="H1302" s="56">
        <v>1</v>
      </c>
      <c r="I1302" s="56" t="s">
        <v>4016</v>
      </c>
      <c r="J1302" s="56">
        <v>0</v>
      </c>
      <c r="K1302" s="56">
        <v>0</v>
      </c>
      <c r="P1302" s="56">
        <v>0</v>
      </c>
      <c r="S1302" s="56">
        <v>0</v>
      </c>
      <c r="T1302" s="56" t="s">
        <v>27</v>
      </c>
      <c r="V1302" s="56" t="s">
        <v>3736</v>
      </c>
      <c r="W1302" s="56" t="s">
        <v>3548</v>
      </c>
      <c r="X1302" s="56" t="s">
        <v>3735</v>
      </c>
      <c r="Y1302" s="56" t="s">
        <v>5158</v>
      </c>
      <c r="Z1302" s="56" t="s">
        <v>5157</v>
      </c>
      <c r="AC1302" s="56" t="s">
        <v>3543</v>
      </c>
      <c r="AH1302" s="56" t="s">
        <v>3542</v>
      </c>
      <c r="AI1302" s="56" t="s">
        <v>3541</v>
      </c>
    </row>
    <row r="1303" spans="1:35" ht="33" customHeight="1">
      <c r="A1303" s="56" t="s">
        <v>5156</v>
      </c>
      <c r="B1303" s="57">
        <v>44363.949456018519</v>
      </c>
      <c r="C1303" s="56" t="s">
        <v>4512</v>
      </c>
      <c r="D1303" s="56" t="s">
        <v>4511</v>
      </c>
      <c r="E1303" s="56" t="s">
        <v>5155</v>
      </c>
      <c r="F1303" s="56" t="s">
        <v>5154</v>
      </c>
      <c r="G1303" s="58" t="s">
        <v>3656</v>
      </c>
      <c r="H1303" s="56">
        <v>1</v>
      </c>
      <c r="I1303" s="56" t="s">
        <v>3655</v>
      </c>
      <c r="J1303" s="56">
        <v>1107</v>
      </c>
      <c r="K1303" s="56">
        <v>799</v>
      </c>
      <c r="L1303" s="56">
        <v>799</v>
      </c>
      <c r="M1303" s="56">
        <v>65</v>
      </c>
      <c r="N1303" s="56">
        <v>0</v>
      </c>
      <c r="O1303" s="56">
        <v>0</v>
      </c>
      <c r="P1303" s="56">
        <v>0</v>
      </c>
      <c r="Q1303" s="56">
        <v>864</v>
      </c>
      <c r="R1303" s="56">
        <v>0</v>
      </c>
      <c r="S1303" s="56">
        <v>0</v>
      </c>
      <c r="T1303" s="56" t="s">
        <v>3562</v>
      </c>
      <c r="U1303" s="56">
        <v>864</v>
      </c>
      <c r="V1303" s="56" t="s">
        <v>3549</v>
      </c>
      <c r="W1303" s="56" t="s">
        <v>3548</v>
      </c>
      <c r="X1303" s="56" t="s">
        <v>3547</v>
      </c>
      <c r="Z1303" s="56" t="s">
        <v>3546</v>
      </c>
      <c r="AA1303" s="56" t="s">
        <v>5153</v>
      </c>
      <c r="AB1303" s="56" t="s">
        <v>5152</v>
      </c>
      <c r="AC1303" s="56" t="s">
        <v>3543</v>
      </c>
      <c r="AD1303" s="56" t="s">
        <v>24</v>
      </c>
      <c r="AE1303" s="56" t="s">
        <v>3862</v>
      </c>
      <c r="AF1303" s="56" t="s">
        <v>5151</v>
      </c>
      <c r="AH1303" s="56" t="s">
        <v>3542</v>
      </c>
      <c r="AI1303" s="56" t="s">
        <v>3723</v>
      </c>
    </row>
    <row r="1304" spans="1:35" ht="33" customHeight="1">
      <c r="A1304" s="56" t="s">
        <v>5156</v>
      </c>
      <c r="B1304" s="57">
        <v>44363.949456018519</v>
      </c>
      <c r="C1304" s="56" t="s">
        <v>4512</v>
      </c>
      <c r="D1304" s="56" t="s">
        <v>4511</v>
      </c>
      <c r="E1304" s="56" t="s">
        <v>5155</v>
      </c>
      <c r="F1304" s="56" t="s">
        <v>5154</v>
      </c>
      <c r="G1304" s="58" t="s">
        <v>3551</v>
      </c>
      <c r="H1304" s="56">
        <v>1</v>
      </c>
      <c r="I1304" s="56" t="s">
        <v>3550</v>
      </c>
      <c r="J1304" s="56">
        <v>0</v>
      </c>
      <c r="K1304" s="56">
        <v>0</v>
      </c>
      <c r="P1304" s="56">
        <v>0</v>
      </c>
      <c r="S1304" s="56">
        <v>0</v>
      </c>
      <c r="T1304" s="56" t="s">
        <v>3562</v>
      </c>
      <c r="V1304" s="56" t="s">
        <v>3549</v>
      </c>
      <c r="W1304" s="56" t="s">
        <v>3548</v>
      </c>
      <c r="X1304" s="56" t="s">
        <v>3547</v>
      </c>
      <c r="Z1304" s="56" t="s">
        <v>3546</v>
      </c>
      <c r="AA1304" s="56" t="s">
        <v>5153</v>
      </c>
      <c r="AB1304" s="56" t="s">
        <v>5152</v>
      </c>
      <c r="AC1304" s="56" t="s">
        <v>3543</v>
      </c>
      <c r="AD1304" s="56" t="s">
        <v>24</v>
      </c>
      <c r="AE1304" s="56" t="s">
        <v>3862</v>
      </c>
      <c r="AF1304" s="56" t="s">
        <v>5151</v>
      </c>
      <c r="AH1304" s="56" t="s">
        <v>3542</v>
      </c>
      <c r="AI1304" s="56" t="s">
        <v>3723</v>
      </c>
    </row>
    <row r="1305" spans="1:35" ht="33" customHeight="1">
      <c r="A1305" s="56" t="s">
        <v>5150</v>
      </c>
      <c r="B1305" s="57">
        <v>44363.955972222226</v>
      </c>
      <c r="C1305" s="56" t="s">
        <v>4512</v>
      </c>
      <c r="D1305" s="56" t="s">
        <v>4511</v>
      </c>
      <c r="E1305" s="56" t="s">
        <v>5149</v>
      </c>
      <c r="F1305" s="56" t="s">
        <v>5148</v>
      </c>
      <c r="G1305" s="58" t="s">
        <v>3171</v>
      </c>
      <c r="H1305" s="56">
        <v>2</v>
      </c>
      <c r="I1305" s="56" t="s">
        <v>3695</v>
      </c>
      <c r="J1305" s="56">
        <v>399</v>
      </c>
      <c r="K1305" s="56">
        <v>399</v>
      </c>
      <c r="L1305" s="56">
        <v>1197</v>
      </c>
      <c r="M1305" s="56">
        <v>0</v>
      </c>
      <c r="N1305" s="56">
        <v>0</v>
      </c>
      <c r="O1305" s="56">
        <v>120</v>
      </c>
      <c r="P1305" s="56">
        <v>0</v>
      </c>
      <c r="Q1305" s="56">
        <v>1077</v>
      </c>
      <c r="R1305" s="56">
        <v>0</v>
      </c>
      <c r="S1305" s="56">
        <v>0</v>
      </c>
      <c r="T1305" s="56" t="s">
        <v>3562</v>
      </c>
      <c r="U1305" s="56">
        <v>1077</v>
      </c>
      <c r="V1305" s="56" t="s">
        <v>3549</v>
      </c>
      <c r="W1305" s="56" t="s">
        <v>3548</v>
      </c>
      <c r="X1305" s="56" t="s">
        <v>3547</v>
      </c>
      <c r="Z1305" s="56" t="s">
        <v>3546</v>
      </c>
      <c r="AA1305" s="56" t="s">
        <v>5147</v>
      </c>
      <c r="AB1305" s="56" t="s">
        <v>5146</v>
      </c>
      <c r="AC1305" s="56" t="s">
        <v>3543</v>
      </c>
      <c r="AD1305" s="56" t="s">
        <v>24</v>
      </c>
      <c r="AE1305" s="56" t="s">
        <v>3725</v>
      </c>
      <c r="AF1305" s="56" t="s">
        <v>5145</v>
      </c>
      <c r="AH1305" s="56" t="s">
        <v>3542</v>
      </c>
      <c r="AI1305" s="56" t="s">
        <v>3723</v>
      </c>
    </row>
    <row r="1306" spans="1:35" ht="33" customHeight="1">
      <c r="A1306" s="56" t="s">
        <v>5150</v>
      </c>
      <c r="B1306" s="57">
        <v>44363.955972222226</v>
      </c>
      <c r="C1306" s="56" t="s">
        <v>4512</v>
      </c>
      <c r="D1306" s="56" t="s">
        <v>4511</v>
      </c>
      <c r="E1306" s="56" t="s">
        <v>5149</v>
      </c>
      <c r="F1306" s="56" t="s">
        <v>5148</v>
      </c>
      <c r="G1306" s="58" t="s">
        <v>3603</v>
      </c>
      <c r="H1306" s="56">
        <v>1</v>
      </c>
      <c r="I1306" s="56" t="s">
        <v>3602</v>
      </c>
      <c r="J1306" s="56">
        <v>447</v>
      </c>
      <c r="K1306" s="56">
        <v>399</v>
      </c>
      <c r="P1306" s="56">
        <v>0</v>
      </c>
      <c r="S1306" s="56">
        <v>0</v>
      </c>
      <c r="T1306" s="56" t="s">
        <v>3562</v>
      </c>
      <c r="V1306" s="56" t="s">
        <v>3549</v>
      </c>
      <c r="W1306" s="56" t="s">
        <v>3548</v>
      </c>
      <c r="X1306" s="56" t="s">
        <v>3547</v>
      </c>
      <c r="Z1306" s="56" t="s">
        <v>3546</v>
      </c>
      <c r="AA1306" s="56" t="s">
        <v>5147</v>
      </c>
      <c r="AB1306" s="56" t="s">
        <v>5146</v>
      </c>
      <c r="AC1306" s="56" t="s">
        <v>3543</v>
      </c>
      <c r="AD1306" s="56" t="s">
        <v>24</v>
      </c>
      <c r="AE1306" s="56" t="s">
        <v>3725</v>
      </c>
      <c r="AF1306" s="56" t="s">
        <v>5145</v>
      </c>
      <c r="AH1306" s="56" t="s">
        <v>3542</v>
      </c>
      <c r="AI1306" s="56" t="s">
        <v>3723</v>
      </c>
    </row>
    <row r="1307" spans="1:35" ht="33" customHeight="1">
      <c r="A1307" s="56" t="s">
        <v>5150</v>
      </c>
      <c r="B1307" s="57">
        <v>44363.955972222226</v>
      </c>
      <c r="C1307" s="56" t="s">
        <v>4512</v>
      </c>
      <c r="D1307" s="56" t="s">
        <v>4511</v>
      </c>
      <c r="E1307" s="56" t="s">
        <v>5149</v>
      </c>
      <c r="F1307" s="56" t="s">
        <v>5148</v>
      </c>
      <c r="G1307" s="58" t="s">
        <v>3551</v>
      </c>
      <c r="H1307" s="56">
        <v>1</v>
      </c>
      <c r="I1307" s="56" t="s">
        <v>3550</v>
      </c>
      <c r="J1307" s="56">
        <v>0</v>
      </c>
      <c r="K1307" s="56">
        <v>0</v>
      </c>
      <c r="P1307" s="56">
        <v>0</v>
      </c>
      <c r="S1307" s="56">
        <v>0</v>
      </c>
      <c r="T1307" s="56" t="s">
        <v>3562</v>
      </c>
      <c r="V1307" s="56" t="s">
        <v>3549</v>
      </c>
      <c r="W1307" s="56" t="s">
        <v>3548</v>
      </c>
      <c r="X1307" s="56" t="s">
        <v>3547</v>
      </c>
      <c r="Z1307" s="56" t="s">
        <v>3546</v>
      </c>
      <c r="AA1307" s="56" t="s">
        <v>5147</v>
      </c>
      <c r="AB1307" s="56" t="s">
        <v>5146</v>
      </c>
      <c r="AC1307" s="56" t="s">
        <v>3543</v>
      </c>
      <c r="AD1307" s="56" t="s">
        <v>24</v>
      </c>
      <c r="AE1307" s="56" t="s">
        <v>3725</v>
      </c>
      <c r="AF1307" s="56" t="s">
        <v>5145</v>
      </c>
      <c r="AH1307" s="56" t="s">
        <v>3542</v>
      </c>
      <c r="AI1307" s="56" t="s">
        <v>3723</v>
      </c>
    </row>
    <row r="1308" spans="1:35" ht="33" customHeight="1">
      <c r="A1308" s="56" t="s">
        <v>5150</v>
      </c>
      <c r="B1308" s="57">
        <v>44363.955972222226</v>
      </c>
      <c r="C1308" s="56" t="s">
        <v>4512</v>
      </c>
      <c r="D1308" s="56" t="s">
        <v>4511</v>
      </c>
      <c r="E1308" s="56" t="s">
        <v>5149</v>
      </c>
      <c r="F1308" s="56" t="s">
        <v>5148</v>
      </c>
      <c r="G1308" s="58" t="s">
        <v>1498</v>
      </c>
      <c r="H1308" s="56">
        <v>1</v>
      </c>
      <c r="I1308" s="56" t="s">
        <v>4016</v>
      </c>
      <c r="J1308" s="56">
        <v>0</v>
      </c>
      <c r="K1308" s="56">
        <v>0</v>
      </c>
      <c r="P1308" s="56">
        <v>0</v>
      </c>
      <c r="S1308" s="56">
        <v>0</v>
      </c>
      <c r="T1308" s="56" t="s">
        <v>3562</v>
      </c>
      <c r="V1308" s="56" t="s">
        <v>3549</v>
      </c>
      <c r="W1308" s="56" t="s">
        <v>3548</v>
      </c>
      <c r="X1308" s="56" t="s">
        <v>3547</v>
      </c>
      <c r="Z1308" s="56" t="s">
        <v>3546</v>
      </c>
      <c r="AA1308" s="56" t="s">
        <v>5147</v>
      </c>
      <c r="AB1308" s="56" t="s">
        <v>5146</v>
      </c>
      <c r="AC1308" s="56" t="s">
        <v>3543</v>
      </c>
      <c r="AD1308" s="56" t="s">
        <v>24</v>
      </c>
      <c r="AE1308" s="56" t="s">
        <v>3725</v>
      </c>
      <c r="AF1308" s="56" t="s">
        <v>5145</v>
      </c>
      <c r="AH1308" s="56" t="s">
        <v>3542</v>
      </c>
      <c r="AI1308" s="56" t="s">
        <v>3723</v>
      </c>
    </row>
    <row r="1309" spans="1:35" ht="33" customHeight="1">
      <c r="A1309" s="56" t="s">
        <v>5144</v>
      </c>
      <c r="B1309" s="57">
        <v>44363.963206018518</v>
      </c>
      <c r="C1309" s="56" t="s">
        <v>3803</v>
      </c>
      <c r="D1309" s="56" t="s">
        <v>4511</v>
      </c>
      <c r="E1309" s="56" t="s">
        <v>5143</v>
      </c>
      <c r="F1309" s="56" t="s">
        <v>5142</v>
      </c>
      <c r="G1309" s="58" t="s">
        <v>1486</v>
      </c>
      <c r="H1309" s="56">
        <v>1</v>
      </c>
      <c r="I1309" s="56" t="s">
        <v>4174</v>
      </c>
      <c r="J1309" s="56">
        <v>350</v>
      </c>
      <c r="K1309" s="56">
        <v>350</v>
      </c>
      <c r="L1309" s="56">
        <v>1099</v>
      </c>
      <c r="M1309" s="56">
        <v>0</v>
      </c>
      <c r="N1309" s="56">
        <v>0</v>
      </c>
      <c r="O1309" s="56">
        <v>100</v>
      </c>
      <c r="P1309" s="56">
        <v>0</v>
      </c>
      <c r="Q1309" s="56">
        <v>999</v>
      </c>
      <c r="R1309" s="56">
        <v>0</v>
      </c>
      <c r="S1309" s="56">
        <v>0</v>
      </c>
      <c r="T1309" s="56" t="s">
        <v>3562</v>
      </c>
      <c r="U1309" s="56">
        <v>999</v>
      </c>
      <c r="V1309" s="56" t="s">
        <v>59</v>
      </c>
      <c r="W1309" s="56" t="s">
        <v>3548</v>
      </c>
      <c r="X1309" s="56" t="s">
        <v>3765</v>
      </c>
      <c r="Z1309" s="56" t="s">
        <v>3546</v>
      </c>
      <c r="AA1309" s="56" t="s">
        <v>5141</v>
      </c>
      <c r="AB1309" s="56" t="s">
        <v>5140</v>
      </c>
      <c r="AC1309" s="56" t="s">
        <v>3543</v>
      </c>
      <c r="AD1309" s="56" t="s">
        <v>24</v>
      </c>
      <c r="AE1309" s="56" t="s">
        <v>5127</v>
      </c>
      <c r="AF1309" s="56" t="s">
        <v>5139</v>
      </c>
      <c r="AH1309" s="56" t="s">
        <v>3542</v>
      </c>
      <c r="AI1309" s="56" t="s">
        <v>3723</v>
      </c>
    </row>
    <row r="1310" spans="1:35" ht="33" customHeight="1">
      <c r="A1310" s="56" t="s">
        <v>5144</v>
      </c>
      <c r="B1310" s="57">
        <v>44363.963206018518</v>
      </c>
      <c r="C1310" s="56" t="s">
        <v>3803</v>
      </c>
      <c r="D1310" s="56" t="s">
        <v>4511</v>
      </c>
      <c r="E1310" s="56" t="s">
        <v>5143</v>
      </c>
      <c r="F1310" s="56" t="s">
        <v>5142</v>
      </c>
      <c r="G1310" s="58" t="s">
        <v>1484</v>
      </c>
      <c r="H1310" s="56">
        <v>1</v>
      </c>
      <c r="I1310" s="56" t="s">
        <v>4174</v>
      </c>
      <c r="J1310" s="56">
        <v>350</v>
      </c>
      <c r="K1310" s="56">
        <v>350</v>
      </c>
      <c r="P1310" s="56">
        <v>0</v>
      </c>
      <c r="S1310" s="56">
        <v>0</v>
      </c>
      <c r="T1310" s="56" t="s">
        <v>3562</v>
      </c>
      <c r="V1310" s="56" t="s">
        <v>59</v>
      </c>
      <c r="W1310" s="56" t="s">
        <v>3548</v>
      </c>
      <c r="X1310" s="56" t="s">
        <v>3765</v>
      </c>
      <c r="Z1310" s="56" t="s">
        <v>3546</v>
      </c>
      <c r="AA1310" s="56" t="s">
        <v>5141</v>
      </c>
      <c r="AB1310" s="56" t="s">
        <v>5140</v>
      </c>
      <c r="AC1310" s="56" t="s">
        <v>3543</v>
      </c>
      <c r="AD1310" s="56" t="s">
        <v>24</v>
      </c>
      <c r="AE1310" s="56" t="s">
        <v>5127</v>
      </c>
      <c r="AF1310" s="56" t="s">
        <v>5139</v>
      </c>
      <c r="AH1310" s="56" t="s">
        <v>3542</v>
      </c>
      <c r="AI1310" s="56" t="s">
        <v>3723</v>
      </c>
    </row>
    <row r="1311" spans="1:35" ht="33" customHeight="1">
      <c r="A1311" s="56" t="s">
        <v>5144</v>
      </c>
      <c r="B1311" s="57">
        <v>44363.963206018518</v>
      </c>
      <c r="C1311" s="56" t="s">
        <v>3803</v>
      </c>
      <c r="D1311" s="56" t="s">
        <v>4511</v>
      </c>
      <c r="E1311" s="56" t="s">
        <v>5143</v>
      </c>
      <c r="F1311" s="56" t="s">
        <v>5142</v>
      </c>
      <c r="G1311" s="58" t="s">
        <v>3603</v>
      </c>
      <c r="H1311" s="56">
        <v>1</v>
      </c>
      <c r="I1311" s="56" t="s">
        <v>3602</v>
      </c>
      <c r="J1311" s="56">
        <v>447</v>
      </c>
      <c r="K1311" s="56">
        <v>399</v>
      </c>
      <c r="P1311" s="56">
        <v>0</v>
      </c>
      <c r="S1311" s="56">
        <v>0</v>
      </c>
      <c r="T1311" s="56" t="s">
        <v>3562</v>
      </c>
      <c r="V1311" s="56" t="s">
        <v>59</v>
      </c>
      <c r="W1311" s="56" t="s">
        <v>3548</v>
      </c>
      <c r="X1311" s="56" t="s">
        <v>3765</v>
      </c>
      <c r="Z1311" s="56" t="s">
        <v>3546</v>
      </c>
      <c r="AA1311" s="56" t="s">
        <v>5141</v>
      </c>
      <c r="AB1311" s="56" t="s">
        <v>5140</v>
      </c>
      <c r="AC1311" s="56" t="s">
        <v>3543</v>
      </c>
      <c r="AD1311" s="56" t="s">
        <v>24</v>
      </c>
      <c r="AE1311" s="56" t="s">
        <v>5127</v>
      </c>
      <c r="AF1311" s="56" t="s">
        <v>5139</v>
      </c>
      <c r="AH1311" s="56" t="s">
        <v>3542</v>
      </c>
      <c r="AI1311" s="56" t="s">
        <v>3723</v>
      </c>
    </row>
    <row r="1312" spans="1:35" ht="33" customHeight="1">
      <c r="A1312" s="56" t="s">
        <v>5144</v>
      </c>
      <c r="B1312" s="57">
        <v>44363.963206018518</v>
      </c>
      <c r="C1312" s="56" t="s">
        <v>3803</v>
      </c>
      <c r="D1312" s="56" t="s">
        <v>4511</v>
      </c>
      <c r="E1312" s="56" t="s">
        <v>5143</v>
      </c>
      <c r="F1312" s="56" t="s">
        <v>5142</v>
      </c>
      <c r="G1312" s="58" t="s">
        <v>3551</v>
      </c>
      <c r="H1312" s="56">
        <v>1</v>
      </c>
      <c r="I1312" s="56" t="s">
        <v>3550</v>
      </c>
      <c r="J1312" s="56">
        <v>0</v>
      </c>
      <c r="K1312" s="56">
        <v>0</v>
      </c>
      <c r="P1312" s="56">
        <v>0</v>
      </c>
      <c r="S1312" s="56">
        <v>0</v>
      </c>
      <c r="T1312" s="56" t="s">
        <v>3562</v>
      </c>
      <c r="V1312" s="56" t="s">
        <v>59</v>
      </c>
      <c r="W1312" s="56" t="s">
        <v>3548</v>
      </c>
      <c r="X1312" s="56" t="s">
        <v>3765</v>
      </c>
      <c r="Z1312" s="56" t="s">
        <v>3546</v>
      </c>
      <c r="AA1312" s="56" t="s">
        <v>5141</v>
      </c>
      <c r="AB1312" s="56" t="s">
        <v>5140</v>
      </c>
      <c r="AC1312" s="56" t="s">
        <v>3543</v>
      </c>
      <c r="AD1312" s="56" t="s">
        <v>24</v>
      </c>
      <c r="AE1312" s="56" t="s">
        <v>5127</v>
      </c>
      <c r="AF1312" s="56" t="s">
        <v>5139</v>
      </c>
      <c r="AH1312" s="56" t="s">
        <v>3542</v>
      </c>
      <c r="AI1312" s="56" t="s">
        <v>3723</v>
      </c>
    </row>
    <row r="1313" spans="1:35" ht="33" customHeight="1">
      <c r="A1313" s="56" t="s">
        <v>5144</v>
      </c>
      <c r="B1313" s="57">
        <v>44363.963206018518</v>
      </c>
      <c r="C1313" s="56" t="s">
        <v>3803</v>
      </c>
      <c r="D1313" s="56" t="s">
        <v>4511</v>
      </c>
      <c r="E1313" s="56" t="s">
        <v>5143</v>
      </c>
      <c r="F1313" s="56" t="s">
        <v>5142</v>
      </c>
      <c r="G1313" s="58" t="s">
        <v>1498</v>
      </c>
      <c r="H1313" s="56">
        <v>1</v>
      </c>
      <c r="I1313" s="56" t="s">
        <v>4016</v>
      </c>
      <c r="J1313" s="56">
        <v>0</v>
      </c>
      <c r="K1313" s="56">
        <v>0</v>
      </c>
      <c r="P1313" s="56">
        <v>0</v>
      </c>
      <c r="S1313" s="56">
        <v>0</v>
      </c>
      <c r="T1313" s="56" t="s">
        <v>3562</v>
      </c>
      <c r="V1313" s="56" t="s">
        <v>59</v>
      </c>
      <c r="W1313" s="56" t="s">
        <v>3548</v>
      </c>
      <c r="X1313" s="56" t="s">
        <v>3765</v>
      </c>
      <c r="Z1313" s="56" t="s">
        <v>3546</v>
      </c>
      <c r="AA1313" s="56" t="s">
        <v>5141</v>
      </c>
      <c r="AB1313" s="56" t="s">
        <v>5140</v>
      </c>
      <c r="AC1313" s="56" t="s">
        <v>3543</v>
      </c>
      <c r="AD1313" s="56" t="s">
        <v>24</v>
      </c>
      <c r="AE1313" s="56" t="s">
        <v>5127</v>
      </c>
      <c r="AF1313" s="56" t="s">
        <v>5139</v>
      </c>
      <c r="AH1313" s="56" t="s">
        <v>3542</v>
      </c>
      <c r="AI1313" s="56" t="s">
        <v>3723</v>
      </c>
    </row>
    <row r="1314" spans="1:35" ht="33" customHeight="1">
      <c r="A1314" s="56" t="s">
        <v>5137</v>
      </c>
      <c r="B1314" s="57">
        <v>44363.966249999998</v>
      </c>
      <c r="C1314" s="56" t="s">
        <v>4512</v>
      </c>
      <c r="D1314" s="56" t="s">
        <v>4511</v>
      </c>
      <c r="E1314" s="56" t="s">
        <v>5136</v>
      </c>
      <c r="F1314" s="56" t="s">
        <v>5135</v>
      </c>
      <c r="G1314" s="58" t="s">
        <v>5138</v>
      </c>
      <c r="H1314" s="56">
        <v>1</v>
      </c>
      <c r="I1314" s="56" t="s">
        <v>3746</v>
      </c>
      <c r="J1314" s="56">
        <v>660</v>
      </c>
      <c r="K1314" s="56">
        <v>450</v>
      </c>
      <c r="L1314" s="56">
        <v>1139</v>
      </c>
      <c r="M1314" s="56">
        <v>0</v>
      </c>
      <c r="N1314" s="56">
        <v>0</v>
      </c>
      <c r="O1314" s="56">
        <v>114</v>
      </c>
      <c r="P1314" s="56">
        <v>0</v>
      </c>
      <c r="Q1314" s="56">
        <v>1025</v>
      </c>
      <c r="R1314" s="56">
        <v>0</v>
      </c>
      <c r="S1314" s="56">
        <v>0</v>
      </c>
      <c r="T1314" s="56" t="s">
        <v>3562</v>
      </c>
      <c r="U1314" s="56">
        <v>1025</v>
      </c>
      <c r="V1314" s="56" t="s">
        <v>3612</v>
      </c>
      <c r="W1314" s="56" t="s">
        <v>3548</v>
      </c>
      <c r="X1314" s="56" t="s">
        <v>3611</v>
      </c>
      <c r="Z1314" s="56" t="s">
        <v>3546</v>
      </c>
      <c r="AA1314" s="56" t="s">
        <v>5134</v>
      </c>
      <c r="AB1314" s="56" t="s">
        <v>5133</v>
      </c>
      <c r="AC1314" s="56" t="s">
        <v>3543</v>
      </c>
      <c r="AD1314" s="56" t="s">
        <v>24</v>
      </c>
      <c r="AE1314" s="56" t="s">
        <v>4145</v>
      </c>
      <c r="AF1314" s="56" t="s">
        <v>5132</v>
      </c>
      <c r="AH1314" s="56" t="s">
        <v>3542</v>
      </c>
      <c r="AI1314" s="56" t="s">
        <v>3723</v>
      </c>
    </row>
    <row r="1315" spans="1:35" ht="33" customHeight="1">
      <c r="A1315" s="56" t="s">
        <v>5137</v>
      </c>
      <c r="B1315" s="57">
        <v>44363.966249999998</v>
      </c>
      <c r="C1315" s="56" t="s">
        <v>4512</v>
      </c>
      <c r="D1315" s="56" t="s">
        <v>4511</v>
      </c>
      <c r="E1315" s="56" t="s">
        <v>5136</v>
      </c>
      <c r="F1315" s="56" t="s">
        <v>5135</v>
      </c>
      <c r="G1315" s="58" t="s">
        <v>2156</v>
      </c>
      <c r="H1315" s="56">
        <v>1</v>
      </c>
      <c r="I1315" s="56" t="s">
        <v>1376</v>
      </c>
      <c r="J1315" s="56">
        <v>145</v>
      </c>
      <c r="K1315" s="56">
        <v>145</v>
      </c>
      <c r="P1315" s="56">
        <v>0</v>
      </c>
      <c r="S1315" s="56">
        <v>0</v>
      </c>
      <c r="T1315" s="56" t="s">
        <v>3562</v>
      </c>
      <c r="V1315" s="56" t="s">
        <v>3612</v>
      </c>
      <c r="W1315" s="56" t="s">
        <v>3548</v>
      </c>
      <c r="X1315" s="56" t="s">
        <v>3611</v>
      </c>
      <c r="Z1315" s="56" t="s">
        <v>3546</v>
      </c>
      <c r="AA1315" s="56" t="s">
        <v>5134</v>
      </c>
      <c r="AB1315" s="56" t="s">
        <v>5133</v>
      </c>
      <c r="AC1315" s="56" t="s">
        <v>3543</v>
      </c>
      <c r="AD1315" s="56" t="s">
        <v>24</v>
      </c>
      <c r="AE1315" s="56" t="s">
        <v>4145</v>
      </c>
      <c r="AF1315" s="56" t="s">
        <v>5132</v>
      </c>
      <c r="AH1315" s="56" t="s">
        <v>3542</v>
      </c>
      <c r="AI1315" s="56" t="s">
        <v>3723</v>
      </c>
    </row>
    <row r="1316" spans="1:35" ht="33" customHeight="1">
      <c r="A1316" s="56" t="s">
        <v>5137</v>
      </c>
      <c r="B1316" s="57">
        <v>44363.966249999998</v>
      </c>
      <c r="C1316" s="56" t="s">
        <v>4512</v>
      </c>
      <c r="D1316" s="56" t="s">
        <v>4511</v>
      </c>
      <c r="E1316" s="56" t="s">
        <v>5136</v>
      </c>
      <c r="F1316" s="56" t="s">
        <v>5135</v>
      </c>
      <c r="G1316" s="58" t="s">
        <v>3934</v>
      </c>
      <c r="H1316" s="56">
        <v>1</v>
      </c>
      <c r="I1316" s="56" t="s">
        <v>3602</v>
      </c>
      <c r="J1316" s="56">
        <v>447</v>
      </c>
      <c r="K1316" s="56">
        <v>399</v>
      </c>
      <c r="P1316" s="56">
        <v>0</v>
      </c>
      <c r="S1316" s="56">
        <v>0</v>
      </c>
      <c r="T1316" s="56" t="s">
        <v>3562</v>
      </c>
      <c r="V1316" s="56" t="s">
        <v>3612</v>
      </c>
      <c r="W1316" s="56" t="s">
        <v>3548</v>
      </c>
      <c r="X1316" s="56" t="s">
        <v>3611</v>
      </c>
      <c r="Z1316" s="56" t="s">
        <v>3546</v>
      </c>
      <c r="AA1316" s="56" t="s">
        <v>5134</v>
      </c>
      <c r="AB1316" s="56" t="s">
        <v>5133</v>
      </c>
      <c r="AC1316" s="56" t="s">
        <v>3543</v>
      </c>
      <c r="AD1316" s="56" t="s">
        <v>24</v>
      </c>
      <c r="AE1316" s="56" t="s">
        <v>4145</v>
      </c>
      <c r="AF1316" s="56" t="s">
        <v>5132</v>
      </c>
      <c r="AH1316" s="56" t="s">
        <v>3542</v>
      </c>
      <c r="AI1316" s="56" t="s">
        <v>3723</v>
      </c>
    </row>
    <row r="1317" spans="1:35" ht="33" customHeight="1">
      <c r="A1317" s="56" t="s">
        <v>5137</v>
      </c>
      <c r="B1317" s="57">
        <v>44363.966249999998</v>
      </c>
      <c r="C1317" s="56" t="s">
        <v>4512</v>
      </c>
      <c r="D1317" s="56" t="s">
        <v>4511</v>
      </c>
      <c r="E1317" s="56" t="s">
        <v>5136</v>
      </c>
      <c r="F1317" s="56" t="s">
        <v>5135</v>
      </c>
      <c r="G1317" s="58" t="s">
        <v>2156</v>
      </c>
      <c r="H1317" s="56">
        <v>1</v>
      </c>
      <c r="I1317" s="56" t="s">
        <v>1376</v>
      </c>
      <c r="J1317" s="56">
        <v>145</v>
      </c>
      <c r="K1317" s="56">
        <v>145</v>
      </c>
      <c r="P1317" s="56">
        <v>0</v>
      </c>
      <c r="S1317" s="56">
        <v>0</v>
      </c>
      <c r="T1317" s="56" t="s">
        <v>3562</v>
      </c>
      <c r="V1317" s="56" t="s">
        <v>3612</v>
      </c>
      <c r="W1317" s="56" t="s">
        <v>3548</v>
      </c>
      <c r="X1317" s="56" t="s">
        <v>3611</v>
      </c>
      <c r="Z1317" s="56" t="s">
        <v>3546</v>
      </c>
      <c r="AA1317" s="56" t="s">
        <v>5134</v>
      </c>
      <c r="AB1317" s="56" t="s">
        <v>5133</v>
      </c>
      <c r="AC1317" s="56" t="s">
        <v>3543</v>
      </c>
      <c r="AD1317" s="56" t="s">
        <v>24</v>
      </c>
      <c r="AE1317" s="56" t="s">
        <v>4145</v>
      </c>
      <c r="AF1317" s="56" t="s">
        <v>5132</v>
      </c>
      <c r="AH1317" s="56" t="s">
        <v>3542</v>
      </c>
      <c r="AI1317" s="56" t="s">
        <v>3723</v>
      </c>
    </row>
    <row r="1318" spans="1:35" ht="33" customHeight="1">
      <c r="A1318" s="56" t="s">
        <v>5137</v>
      </c>
      <c r="B1318" s="57">
        <v>44363.966249999998</v>
      </c>
      <c r="C1318" s="56" t="s">
        <v>4512</v>
      </c>
      <c r="D1318" s="56" t="s">
        <v>4511</v>
      </c>
      <c r="E1318" s="56" t="s">
        <v>5136</v>
      </c>
      <c r="F1318" s="56" t="s">
        <v>5135</v>
      </c>
      <c r="G1318" s="58" t="s">
        <v>3551</v>
      </c>
      <c r="H1318" s="56">
        <v>1</v>
      </c>
      <c r="I1318" s="56" t="s">
        <v>3550</v>
      </c>
      <c r="J1318" s="56">
        <v>0</v>
      </c>
      <c r="K1318" s="56">
        <v>0</v>
      </c>
      <c r="P1318" s="56">
        <v>0</v>
      </c>
      <c r="S1318" s="56">
        <v>0</v>
      </c>
      <c r="T1318" s="56" t="s">
        <v>3562</v>
      </c>
      <c r="V1318" s="56" t="s">
        <v>3612</v>
      </c>
      <c r="W1318" s="56" t="s">
        <v>3548</v>
      </c>
      <c r="X1318" s="56" t="s">
        <v>3611</v>
      </c>
      <c r="Z1318" s="56" t="s">
        <v>3546</v>
      </c>
      <c r="AA1318" s="56" t="s">
        <v>5134</v>
      </c>
      <c r="AB1318" s="56" t="s">
        <v>5133</v>
      </c>
      <c r="AC1318" s="56" t="s">
        <v>3543</v>
      </c>
      <c r="AD1318" s="56" t="s">
        <v>24</v>
      </c>
      <c r="AE1318" s="56" t="s">
        <v>4145</v>
      </c>
      <c r="AF1318" s="56" t="s">
        <v>5132</v>
      </c>
      <c r="AH1318" s="56" t="s">
        <v>3542</v>
      </c>
      <c r="AI1318" s="56" t="s">
        <v>3723</v>
      </c>
    </row>
    <row r="1319" spans="1:35" ht="33" customHeight="1">
      <c r="A1319" s="56" t="s">
        <v>5137</v>
      </c>
      <c r="B1319" s="57">
        <v>44363.966249999998</v>
      </c>
      <c r="C1319" s="56" t="s">
        <v>4512</v>
      </c>
      <c r="D1319" s="56" t="s">
        <v>4511</v>
      </c>
      <c r="E1319" s="56" t="s">
        <v>5136</v>
      </c>
      <c r="F1319" s="56" t="s">
        <v>5135</v>
      </c>
      <c r="G1319" s="58" t="s">
        <v>1498</v>
      </c>
      <c r="H1319" s="56">
        <v>1</v>
      </c>
      <c r="I1319" s="56" t="s">
        <v>4016</v>
      </c>
      <c r="J1319" s="56">
        <v>0</v>
      </c>
      <c r="K1319" s="56">
        <v>0</v>
      </c>
      <c r="P1319" s="56">
        <v>0</v>
      </c>
      <c r="S1319" s="56">
        <v>0</v>
      </c>
      <c r="T1319" s="56" t="s">
        <v>3562</v>
      </c>
      <c r="V1319" s="56" t="s">
        <v>3612</v>
      </c>
      <c r="W1319" s="56" t="s">
        <v>3548</v>
      </c>
      <c r="X1319" s="56" t="s">
        <v>3611</v>
      </c>
      <c r="Z1319" s="56" t="s">
        <v>3546</v>
      </c>
      <c r="AA1319" s="56" t="s">
        <v>5134</v>
      </c>
      <c r="AB1319" s="56" t="s">
        <v>5133</v>
      </c>
      <c r="AC1319" s="56" t="s">
        <v>3543</v>
      </c>
      <c r="AD1319" s="56" t="s">
        <v>24</v>
      </c>
      <c r="AE1319" s="56" t="s">
        <v>4145</v>
      </c>
      <c r="AF1319" s="56" t="s">
        <v>5132</v>
      </c>
      <c r="AH1319" s="56" t="s">
        <v>3542</v>
      </c>
      <c r="AI1319" s="56" t="s">
        <v>3723</v>
      </c>
    </row>
    <row r="1320" spans="1:35" ht="33" customHeight="1">
      <c r="A1320" s="56" t="s">
        <v>5131</v>
      </c>
      <c r="B1320" s="57">
        <v>44363.968877314815</v>
      </c>
      <c r="C1320" s="56" t="s">
        <v>3803</v>
      </c>
      <c r="D1320" s="56" t="s">
        <v>3802</v>
      </c>
      <c r="E1320" s="56" t="s">
        <v>5130</v>
      </c>
      <c r="F1320" s="56" t="s">
        <v>5129</v>
      </c>
      <c r="G1320" s="58" t="s">
        <v>1486</v>
      </c>
      <c r="H1320" s="56">
        <v>1</v>
      </c>
      <c r="I1320" s="56" t="s">
        <v>4174</v>
      </c>
      <c r="J1320" s="56">
        <v>350</v>
      </c>
      <c r="K1320" s="56">
        <v>350</v>
      </c>
      <c r="L1320" s="56">
        <v>1593</v>
      </c>
      <c r="M1320" s="56">
        <v>0</v>
      </c>
      <c r="N1320" s="56">
        <v>0</v>
      </c>
      <c r="O1320" s="56">
        <v>100</v>
      </c>
      <c r="P1320" s="56">
        <v>0</v>
      </c>
      <c r="Q1320" s="56">
        <v>1493</v>
      </c>
      <c r="R1320" s="56">
        <v>0</v>
      </c>
      <c r="S1320" s="56">
        <v>0</v>
      </c>
      <c r="T1320" s="56" t="s">
        <v>3562</v>
      </c>
      <c r="U1320" s="56">
        <v>1493</v>
      </c>
      <c r="V1320" s="56" t="s">
        <v>59</v>
      </c>
      <c r="W1320" s="56" t="s">
        <v>3548</v>
      </c>
      <c r="X1320" s="56" t="s">
        <v>39</v>
      </c>
      <c r="Y1320" s="56" t="s">
        <v>4538</v>
      </c>
      <c r="Z1320" s="56" t="s">
        <v>5128</v>
      </c>
      <c r="AC1320" s="56" t="s">
        <v>3543</v>
      </c>
      <c r="AD1320" s="56" t="s">
        <v>24</v>
      </c>
      <c r="AE1320" s="56" t="s">
        <v>5127</v>
      </c>
      <c r="AF1320" s="56" t="s">
        <v>5126</v>
      </c>
      <c r="AH1320" s="56" t="s">
        <v>3542</v>
      </c>
      <c r="AI1320" s="56" t="s">
        <v>3723</v>
      </c>
    </row>
    <row r="1321" spans="1:35" ht="33" customHeight="1">
      <c r="A1321" s="56" t="s">
        <v>5131</v>
      </c>
      <c r="B1321" s="57">
        <v>44363.968877314815</v>
      </c>
      <c r="C1321" s="56" t="s">
        <v>3803</v>
      </c>
      <c r="D1321" s="56" t="s">
        <v>3802</v>
      </c>
      <c r="E1321" s="56" t="s">
        <v>5130</v>
      </c>
      <c r="F1321" s="56" t="s">
        <v>5129</v>
      </c>
      <c r="G1321" s="58" t="s">
        <v>2156</v>
      </c>
      <c r="H1321" s="56">
        <v>1</v>
      </c>
      <c r="I1321" s="56" t="s">
        <v>1376</v>
      </c>
      <c r="J1321" s="56">
        <v>145</v>
      </c>
      <c r="K1321" s="56">
        <v>145</v>
      </c>
      <c r="P1321" s="56">
        <v>0</v>
      </c>
      <c r="S1321" s="56">
        <v>0</v>
      </c>
      <c r="T1321" s="56" t="s">
        <v>3562</v>
      </c>
      <c r="V1321" s="56" t="s">
        <v>59</v>
      </c>
      <c r="W1321" s="56" t="s">
        <v>3548</v>
      </c>
      <c r="X1321" s="56" t="s">
        <v>39</v>
      </c>
      <c r="Y1321" s="56" t="s">
        <v>4538</v>
      </c>
      <c r="Z1321" s="56" t="s">
        <v>5128</v>
      </c>
      <c r="AC1321" s="56" t="s">
        <v>3543</v>
      </c>
      <c r="AD1321" s="56" t="s">
        <v>24</v>
      </c>
      <c r="AE1321" s="56" t="s">
        <v>5127</v>
      </c>
      <c r="AF1321" s="56" t="s">
        <v>5126</v>
      </c>
      <c r="AH1321" s="56" t="s">
        <v>3542</v>
      </c>
      <c r="AI1321" s="56" t="s">
        <v>3723</v>
      </c>
    </row>
    <row r="1322" spans="1:35" ht="33" customHeight="1">
      <c r="A1322" s="56" t="s">
        <v>5131</v>
      </c>
      <c r="B1322" s="57">
        <v>44363.968877314815</v>
      </c>
      <c r="C1322" s="56" t="s">
        <v>3803</v>
      </c>
      <c r="D1322" s="56" t="s">
        <v>3802</v>
      </c>
      <c r="E1322" s="56" t="s">
        <v>5130</v>
      </c>
      <c r="F1322" s="56" t="s">
        <v>5129</v>
      </c>
      <c r="G1322" s="58" t="s">
        <v>3656</v>
      </c>
      <c r="H1322" s="56">
        <v>1</v>
      </c>
      <c r="I1322" s="56" t="s">
        <v>3655</v>
      </c>
      <c r="J1322" s="56">
        <v>1107</v>
      </c>
      <c r="K1322" s="56">
        <v>799</v>
      </c>
      <c r="P1322" s="56">
        <v>0</v>
      </c>
      <c r="S1322" s="56">
        <v>0</v>
      </c>
      <c r="T1322" s="56" t="s">
        <v>3562</v>
      </c>
      <c r="V1322" s="56" t="s">
        <v>59</v>
      </c>
      <c r="W1322" s="56" t="s">
        <v>3548</v>
      </c>
      <c r="X1322" s="56" t="s">
        <v>39</v>
      </c>
      <c r="Y1322" s="56" t="s">
        <v>4538</v>
      </c>
      <c r="Z1322" s="56" t="s">
        <v>5128</v>
      </c>
      <c r="AC1322" s="56" t="s">
        <v>3543</v>
      </c>
      <c r="AD1322" s="56" t="s">
        <v>24</v>
      </c>
      <c r="AE1322" s="56" t="s">
        <v>5127</v>
      </c>
      <c r="AF1322" s="56" t="s">
        <v>5126</v>
      </c>
      <c r="AH1322" s="56" t="s">
        <v>3542</v>
      </c>
      <c r="AI1322" s="56" t="s">
        <v>3723</v>
      </c>
    </row>
    <row r="1323" spans="1:35" ht="33" customHeight="1">
      <c r="A1323" s="56" t="s">
        <v>5131</v>
      </c>
      <c r="B1323" s="57">
        <v>44363.968877314815</v>
      </c>
      <c r="C1323" s="56" t="s">
        <v>3803</v>
      </c>
      <c r="D1323" s="56" t="s">
        <v>3802</v>
      </c>
      <c r="E1323" s="56" t="s">
        <v>5130</v>
      </c>
      <c r="F1323" s="56" t="s">
        <v>5129</v>
      </c>
      <c r="G1323" s="58" t="s">
        <v>3299</v>
      </c>
      <c r="H1323" s="56">
        <v>1</v>
      </c>
      <c r="I1323" s="56" t="s">
        <v>3576</v>
      </c>
      <c r="J1323" s="56">
        <v>299</v>
      </c>
      <c r="K1323" s="56">
        <v>299</v>
      </c>
      <c r="P1323" s="56">
        <v>0</v>
      </c>
      <c r="S1323" s="56">
        <v>0</v>
      </c>
      <c r="T1323" s="56" t="s">
        <v>3562</v>
      </c>
      <c r="V1323" s="56" t="s">
        <v>59</v>
      </c>
      <c r="W1323" s="56" t="s">
        <v>3548</v>
      </c>
      <c r="X1323" s="56" t="s">
        <v>39</v>
      </c>
      <c r="Y1323" s="56" t="s">
        <v>4538</v>
      </c>
      <c r="Z1323" s="56" t="s">
        <v>5128</v>
      </c>
      <c r="AC1323" s="56" t="s">
        <v>3543</v>
      </c>
      <c r="AD1323" s="56" t="s">
        <v>24</v>
      </c>
      <c r="AE1323" s="56" t="s">
        <v>5127</v>
      </c>
      <c r="AF1323" s="56" t="s">
        <v>5126</v>
      </c>
      <c r="AH1323" s="56" t="s">
        <v>3542</v>
      </c>
      <c r="AI1323" s="56" t="s">
        <v>3723</v>
      </c>
    </row>
    <row r="1324" spans="1:35" ht="33" customHeight="1">
      <c r="A1324" s="56" t="s">
        <v>5131</v>
      </c>
      <c r="B1324" s="57">
        <v>44363.968877314815</v>
      </c>
      <c r="C1324" s="56" t="s">
        <v>3803</v>
      </c>
      <c r="D1324" s="56" t="s">
        <v>3802</v>
      </c>
      <c r="E1324" s="56" t="s">
        <v>5130</v>
      </c>
      <c r="F1324" s="56" t="s">
        <v>5129</v>
      </c>
      <c r="G1324" s="58" t="s">
        <v>3551</v>
      </c>
      <c r="H1324" s="56">
        <v>1</v>
      </c>
      <c r="I1324" s="56" t="s">
        <v>3550</v>
      </c>
      <c r="J1324" s="56">
        <v>0</v>
      </c>
      <c r="K1324" s="56">
        <v>0</v>
      </c>
      <c r="P1324" s="56">
        <v>0</v>
      </c>
      <c r="S1324" s="56">
        <v>0</v>
      </c>
      <c r="T1324" s="56" t="s">
        <v>3562</v>
      </c>
      <c r="V1324" s="56" t="s">
        <v>59</v>
      </c>
      <c r="W1324" s="56" t="s">
        <v>3548</v>
      </c>
      <c r="X1324" s="56" t="s">
        <v>39</v>
      </c>
      <c r="Y1324" s="56" t="s">
        <v>4538</v>
      </c>
      <c r="Z1324" s="56" t="s">
        <v>5128</v>
      </c>
      <c r="AC1324" s="56" t="s">
        <v>3543</v>
      </c>
      <c r="AD1324" s="56" t="s">
        <v>24</v>
      </c>
      <c r="AE1324" s="56" t="s">
        <v>5127</v>
      </c>
      <c r="AF1324" s="56" t="s">
        <v>5126</v>
      </c>
      <c r="AH1324" s="56" t="s">
        <v>3542</v>
      </c>
      <c r="AI1324" s="56" t="s">
        <v>3723</v>
      </c>
    </row>
    <row r="1325" spans="1:35" ht="33" customHeight="1">
      <c r="A1325" s="56" t="s">
        <v>5131</v>
      </c>
      <c r="B1325" s="57">
        <v>44363.968877314815</v>
      </c>
      <c r="C1325" s="56" t="s">
        <v>3803</v>
      </c>
      <c r="D1325" s="56" t="s">
        <v>3802</v>
      </c>
      <c r="E1325" s="56" t="s">
        <v>5130</v>
      </c>
      <c r="F1325" s="56" t="s">
        <v>5129</v>
      </c>
      <c r="G1325" s="58" t="s">
        <v>1713</v>
      </c>
      <c r="H1325" s="56">
        <v>1</v>
      </c>
      <c r="I1325" s="56" t="s">
        <v>3568</v>
      </c>
      <c r="J1325" s="56">
        <v>0</v>
      </c>
      <c r="K1325" s="56">
        <v>0</v>
      </c>
      <c r="P1325" s="56">
        <v>0</v>
      </c>
      <c r="S1325" s="56">
        <v>0</v>
      </c>
      <c r="T1325" s="56" t="s">
        <v>3562</v>
      </c>
      <c r="V1325" s="56" t="s">
        <v>59</v>
      </c>
      <c r="W1325" s="56" t="s">
        <v>3548</v>
      </c>
      <c r="X1325" s="56" t="s">
        <v>39</v>
      </c>
      <c r="Y1325" s="56" t="s">
        <v>4538</v>
      </c>
      <c r="Z1325" s="56" t="s">
        <v>5128</v>
      </c>
      <c r="AC1325" s="56" t="s">
        <v>3543</v>
      </c>
      <c r="AD1325" s="56" t="s">
        <v>24</v>
      </c>
      <c r="AE1325" s="56" t="s">
        <v>5127</v>
      </c>
      <c r="AF1325" s="56" t="s">
        <v>5126</v>
      </c>
      <c r="AH1325" s="56" t="s">
        <v>3542</v>
      </c>
      <c r="AI1325" s="56" t="s">
        <v>3723</v>
      </c>
    </row>
    <row r="1326" spans="1:35" ht="33" customHeight="1">
      <c r="A1326" s="56" t="s">
        <v>5131</v>
      </c>
      <c r="B1326" s="57">
        <v>44363.968877314815</v>
      </c>
      <c r="C1326" s="56" t="s">
        <v>3803</v>
      </c>
      <c r="D1326" s="56" t="s">
        <v>3802</v>
      </c>
      <c r="E1326" s="56" t="s">
        <v>5130</v>
      </c>
      <c r="F1326" s="56" t="s">
        <v>5129</v>
      </c>
      <c r="G1326" s="58" t="s">
        <v>1498</v>
      </c>
      <c r="H1326" s="56">
        <v>1</v>
      </c>
      <c r="I1326" s="56" t="s">
        <v>4016</v>
      </c>
      <c r="J1326" s="56">
        <v>0</v>
      </c>
      <c r="K1326" s="56">
        <v>0</v>
      </c>
      <c r="P1326" s="56">
        <v>0</v>
      </c>
      <c r="S1326" s="56">
        <v>0</v>
      </c>
      <c r="T1326" s="56" t="s">
        <v>3562</v>
      </c>
      <c r="V1326" s="56" t="s">
        <v>59</v>
      </c>
      <c r="W1326" s="56" t="s">
        <v>3548</v>
      </c>
      <c r="X1326" s="56" t="s">
        <v>39</v>
      </c>
      <c r="Y1326" s="56" t="s">
        <v>4538</v>
      </c>
      <c r="Z1326" s="56" t="s">
        <v>5128</v>
      </c>
      <c r="AC1326" s="56" t="s">
        <v>3543</v>
      </c>
      <c r="AD1326" s="56" t="s">
        <v>24</v>
      </c>
      <c r="AE1326" s="56" t="s">
        <v>5127</v>
      </c>
      <c r="AF1326" s="56" t="s">
        <v>5126</v>
      </c>
      <c r="AH1326" s="56" t="s">
        <v>3542</v>
      </c>
      <c r="AI1326" s="56" t="s">
        <v>3723</v>
      </c>
    </row>
    <row r="1327" spans="1:35" ht="33" customHeight="1">
      <c r="A1327" s="56" t="s">
        <v>5125</v>
      </c>
      <c r="B1327" s="57">
        <v>44363.994270833333</v>
      </c>
      <c r="C1327" s="56" t="s">
        <v>3803</v>
      </c>
      <c r="D1327" s="56" t="s">
        <v>4426</v>
      </c>
      <c r="E1327" s="56" t="s">
        <v>5124</v>
      </c>
      <c r="F1327" s="56" t="s">
        <v>5123</v>
      </c>
      <c r="G1327" s="58" t="s">
        <v>3656</v>
      </c>
      <c r="H1327" s="56">
        <v>1</v>
      </c>
      <c r="I1327" s="56" t="s">
        <v>3655</v>
      </c>
      <c r="J1327" s="56">
        <v>1107</v>
      </c>
      <c r="K1327" s="56">
        <v>799</v>
      </c>
      <c r="L1327" s="56">
        <v>799</v>
      </c>
      <c r="M1327" s="56">
        <v>65</v>
      </c>
      <c r="N1327" s="56">
        <v>0</v>
      </c>
      <c r="O1327" s="56">
        <v>0</v>
      </c>
      <c r="P1327" s="56">
        <v>0</v>
      </c>
      <c r="Q1327" s="56">
        <v>864</v>
      </c>
      <c r="R1327" s="56">
        <v>0</v>
      </c>
      <c r="S1327" s="56">
        <v>0</v>
      </c>
      <c r="T1327" s="56" t="s">
        <v>27</v>
      </c>
      <c r="U1327" s="56">
        <v>864</v>
      </c>
      <c r="V1327" s="56" t="s">
        <v>3549</v>
      </c>
      <c r="W1327" s="56" t="s">
        <v>3548</v>
      </c>
      <c r="X1327" s="56" t="s">
        <v>3547</v>
      </c>
      <c r="Z1327" s="56" t="s">
        <v>3546</v>
      </c>
      <c r="AA1327" s="56" t="s">
        <v>5122</v>
      </c>
      <c r="AB1327" s="56" t="s">
        <v>5121</v>
      </c>
      <c r="AC1327" s="56" t="s">
        <v>3543</v>
      </c>
      <c r="AH1327" s="56" t="s">
        <v>3542</v>
      </c>
      <c r="AI1327" s="56" t="s">
        <v>3541</v>
      </c>
    </row>
    <row r="1328" spans="1:35" ht="33" customHeight="1">
      <c r="A1328" s="56" t="s">
        <v>5125</v>
      </c>
      <c r="B1328" s="57">
        <v>44363.994270833333</v>
      </c>
      <c r="C1328" s="56" t="s">
        <v>3803</v>
      </c>
      <c r="D1328" s="56" t="s">
        <v>4426</v>
      </c>
      <c r="E1328" s="56" t="s">
        <v>5124</v>
      </c>
      <c r="F1328" s="56" t="s">
        <v>5123</v>
      </c>
      <c r="G1328" s="58" t="s">
        <v>3551</v>
      </c>
      <c r="H1328" s="56">
        <v>1</v>
      </c>
      <c r="I1328" s="56" t="s">
        <v>3550</v>
      </c>
      <c r="J1328" s="56">
        <v>0</v>
      </c>
      <c r="K1328" s="56">
        <v>0</v>
      </c>
      <c r="P1328" s="56">
        <v>0</v>
      </c>
      <c r="S1328" s="56">
        <v>0</v>
      </c>
      <c r="T1328" s="56" t="s">
        <v>27</v>
      </c>
      <c r="V1328" s="56" t="s">
        <v>3549</v>
      </c>
      <c r="W1328" s="56" t="s">
        <v>3548</v>
      </c>
      <c r="X1328" s="56" t="s">
        <v>3547</v>
      </c>
      <c r="Z1328" s="56" t="s">
        <v>3546</v>
      </c>
      <c r="AA1328" s="56" t="s">
        <v>5122</v>
      </c>
      <c r="AB1328" s="56" t="s">
        <v>5121</v>
      </c>
      <c r="AC1328" s="56" t="s">
        <v>3543</v>
      </c>
      <c r="AH1328" s="56" t="s">
        <v>3542</v>
      </c>
      <c r="AI1328" s="56" t="s">
        <v>3541</v>
      </c>
    </row>
    <row r="1329" spans="1:35" ht="33" customHeight="1">
      <c r="A1329" s="56" t="s">
        <v>5120</v>
      </c>
      <c r="B1329" s="57">
        <v>44364.024861111109</v>
      </c>
      <c r="C1329" s="56" t="s">
        <v>3803</v>
      </c>
      <c r="D1329" s="56" t="s">
        <v>4426</v>
      </c>
      <c r="E1329" s="56" t="s">
        <v>5119</v>
      </c>
      <c r="F1329" s="56" t="s">
        <v>5118</v>
      </c>
      <c r="G1329" s="58" t="s">
        <v>4862</v>
      </c>
      <c r="H1329" s="56">
        <v>1</v>
      </c>
      <c r="I1329" s="56" t="s">
        <v>3669</v>
      </c>
      <c r="J1329" s="56">
        <v>897</v>
      </c>
      <c r="K1329" s="56">
        <v>888</v>
      </c>
      <c r="L1329" s="56">
        <v>1008</v>
      </c>
      <c r="M1329" s="56">
        <v>0</v>
      </c>
      <c r="N1329" s="56">
        <v>0</v>
      </c>
      <c r="O1329" s="56">
        <v>100</v>
      </c>
      <c r="P1329" s="56">
        <v>0</v>
      </c>
      <c r="Q1329" s="56">
        <v>908</v>
      </c>
      <c r="R1329" s="56">
        <v>0</v>
      </c>
      <c r="S1329" s="56">
        <v>0</v>
      </c>
      <c r="T1329" s="56" t="s">
        <v>27</v>
      </c>
      <c r="U1329" s="56">
        <v>908</v>
      </c>
      <c r="V1329" s="56" t="s">
        <v>3612</v>
      </c>
      <c r="W1329" s="56" t="s">
        <v>3548</v>
      </c>
      <c r="X1329" s="56" t="s">
        <v>3611</v>
      </c>
      <c r="Z1329" s="56" t="s">
        <v>3546</v>
      </c>
      <c r="AA1329" s="56" t="s">
        <v>5117</v>
      </c>
      <c r="AB1329" s="56" t="s">
        <v>5116</v>
      </c>
      <c r="AC1329" s="56" t="s">
        <v>3543</v>
      </c>
      <c r="AH1329" s="56" t="s">
        <v>3542</v>
      </c>
      <c r="AI1329" s="56" t="s">
        <v>3541</v>
      </c>
    </row>
    <row r="1330" spans="1:35" ht="33" customHeight="1">
      <c r="A1330" s="56" t="s">
        <v>5120</v>
      </c>
      <c r="B1330" s="57">
        <v>44364.024861111109</v>
      </c>
      <c r="C1330" s="56" t="s">
        <v>3803</v>
      </c>
      <c r="D1330" s="56" t="s">
        <v>4426</v>
      </c>
      <c r="E1330" s="56" t="s">
        <v>5119</v>
      </c>
      <c r="F1330" s="56" t="s">
        <v>5118</v>
      </c>
      <c r="G1330" s="58" t="s">
        <v>3196</v>
      </c>
      <c r="H1330" s="56">
        <v>1</v>
      </c>
      <c r="I1330" s="56" t="s">
        <v>2550</v>
      </c>
      <c r="J1330" s="56">
        <v>120</v>
      </c>
      <c r="K1330" s="56">
        <v>120</v>
      </c>
      <c r="P1330" s="56">
        <v>0</v>
      </c>
      <c r="S1330" s="56">
        <v>0</v>
      </c>
      <c r="T1330" s="56" t="s">
        <v>27</v>
      </c>
      <c r="V1330" s="56" t="s">
        <v>3612</v>
      </c>
      <c r="W1330" s="56" t="s">
        <v>3548</v>
      </c>
      <c r="X1330" s="56" t="s">
        <v>3611</v>
      </c>
      <c r="Z1330" s="56" t="s">
        <v>3546</v>
      </c>
      <c r="AA1330" s="56" t="s">
        <v>5117</v>
      </c>
      <c r="AB1330" s="56" t="s">
        <v>5116</v>
      </c>
      <c r="AC1330" s="56" t="s">
        <v>3543</v>
      </c>
      <c r="AH1330" s="56" t="s">
        <v>3542</v>
      </c>
      <c r="AI1330" s="56" t="s">
        <v>3541</v>
      </c>
    </row>
    <row r="1331" spans="1:35" ht="33" customHeight="1">
      <c r="A1331" s="56" t="s">
        <v>5120</v>
      </c>
      <c r="B1331" s="57">
        <v>44364.024861111109</v>
      </c>
      <c r="C1331" s="56" t="s">
        <v>3803</v>
      </c>
      <c r="D1331" s="56" t="s">
        <v>4426</v>
      </c>
      <c r="E1331" s="56" t="s">
        <v>5119</v>
      </c>
      <c r="F1331" s="56" t="s">
        <v>5118</v>
      </c>
      <c r="G1331" s="58" t="s">
        <v>3551</v>
      </c>
      <c r="H1331" s="56">
        <v>1</v>
      </c>
      <c r="I1331" s="56" t="s">
        <v>3550</v>
      </c>
      <c r="J1331" s="56">
        <v>0</v>
      </c>
      <c r="K1331" s="56">
        <v>0</v>
      </c>
      <c r="P1331" s="56">
        <v>0</v>
      </c>
      <c r="S1331" s="56">
        <v>0</v>
      </c>
      <c r="T1331" s="56" t="s">
        <v>27</v>
      </c>
      <c r="V1331" s="56" t="s">
        <v>3612</v>
      </c>
      <c r="W1331" s="56" t="s">
        <v>3548</v>
      </c>
      <c r="X1331" s="56" t="s">
        <v>3611</v>
      </c>
      <c r="Z1331" s="56" t="s">
        <v>3546</v>
      </c>
      <c r="AA1331" s="56" t="s">
        <v>5117</v>
      </c>
      <c r="AB1331" s="56" t="s">
        <v>5116</v>
      </c>
      <c r="AC1331" s="56" t="s">
        <v>3543</v>
      </c>
      <c r="AH1331" s="56" t="s">
        <v>3542</v>
      </c>
      <c r="AI1331" s="56" t="s">
        <v>3541</v>
      </c>
    </row>
    <row r="1332" spans="1:35" ht="33" customHeight="1">
      <c r="A1332" s="56" t="s">
        <v>5120</v>
      </c>
      <c r="B1332" s="57">
        <v>44364.024861111109</v>
      </c>
      <c r="C1332" s="56" t="s">
        <v>3803</v>
      </c>
      <c r="D1332" s="56" t="s">
        <v>4426</v>
      </c>
      <c r="E1332" s="56" t="s">
        <v>5119</v>
      </c>
      <c r="F1332" s="56" t="s">
        <v>5118</v>
      </c>
      <c r="G1332" s="58" t="s">
        <v>1498</v>
      </c>
      <c r="H1332" s="56">
        <v>1</v>
      </c>
      <c r="I1332" s="56" t="s">
        <v>4016</v>
      </c>
      <c r="J1332" s="56">
        <v>0</v>
      </c>
      <c r="K1332" s="56">
        <v>0</v>
      </c>
      <c r="P1332" s="56">
        <v>0</v>
      </c>
      <c r="S1332" s="56">
        <v>0</v>
      </c>
      <c r="T1332" s="56" t="s">
        <v>27</v>
      </c>
      <c r="V1332" s="56" t="s">
        <v>3612</v>
      </c>
      <c r="W1332" s="56" t="s">
        <v>3548</v>
      </c>
      <c r="X1332" s="56" t="s">
        <v>3611</v>
      </c>
      <c r="Z1332" s="56" t="s">
        <v>3546</v>
      </c>
      <c r="AA1332" s="56" t="s">
        <v>5117</v>
      </c>
      <c r="AB1332" s="56" t="s">
        <v>5116</v>
      </c>
      <c r="AC1332" s="56" t="s">
        <v>3543</v>
      </c>
      <c r="AH1332" s="56" t="s">
        <v>3542</v>
      </c>
      <c r="AI1332" s="56" t="s">
        <v>3541</v>
      </c>
    </row>
    <row r="1333" spans="1:35" ht="33" customHeight="1">
      <c r="A1333" s="56" t="s">
        <v>5115</v>
      </c>
      <c r="B1333" s="57">
        <v>44364.045532407406</v>
      </c>
      <c r="C1333" s="56" t="s">
        <v>4512</v>
      </c>
      <c r="D1333" s="56" t="s">
        <v>4511</v>
      </c>
      <c r="E1333" s="56" t="s">
        <v>5114</v>
      </c>
      <c r="F1333" s="56" t="s">
        <v>5113</v>
      </c>
      <c r="G1333" s="58" t="s">
        <v>3811</v>
      </c>
      <c r="H1333" s="56">
        <v>1</v>
      </c>
      <c r="I1333" s="56" t="s">
        <v>3669</v>
      </c>
      <c r="J1333" s="56">
        <v>897</v>
      </c>
      <c r="K1333" s="56">
        <v>888</v>
      </c>
      <c r="L1333" s="56">
        <v>1496</v>
      </c>
      <c r="M1333" s="56">
        <v>0</v>
      </c>
      <c r="N1333" s="56">
        <v>0</v>
      </c>
      <c r="O1333" s="56">
        <v>100</v>
      </c>
      <c r="P1333" s="56">
        <v>0</v>
      </c>
      <c r="Q1333" s="56">
        <v>1396</v>
      </c>
      <c r="R1333" s="56">
        <v>0</v>
      </c>
      <c r="S1333" s="56">
        <v>0</v>
      </c>
      <c r="T1333" s="56" t="s">
        <v>3562</v>
      </c>
      <c r="U1333" s="56">
        <v>1396</v>
      </c>
      <c r="V1333" s="56" t="s">
        <v>3612</v>
      </c>
      <c r="W1333" s="56" t="s">
        <v>3548</v>
      </c>
      <c r="X1333" s="56" t="s">
        <v>3611</v>
      </c>
      <c r="Z1333" s="56" t="s">
        <v>3546</v>
      </c>
      <c r="AA1333" s="56" t="s">
        <v>5112</v>
      </c>
      <c r="AB1333" s="56" t="s">
        <v>5111</v>
      </c>
      <c r="AC1333" s="56" t="s">
        <v>3543</v>
      </c>
      <c r="AD1333" s="56" t="s">
        <v>24</v>
      </c>
      <c r="AE1333" s="56" t="s">
        <v>3862</v>
      </c>
      <c r="AF1333" s="56" t="s">
        <v>5110</v>
      </c>
      <c r="AH1333" s="56" t="s">
        <v>3542</v>
      </c>
      <c r="AI1333" s="56" t="s">
        <v>3723</v>
      </c>
    </row>
    <row r="1334" spans="1:35" ht="33" customHeight="1">
      <c r="A1334" s="56" t="s">
        <v>5115</v>
      </c>
      <c r="B1334" s="57">
        <v>44364.045532407406</v>
      </c>
      <c r="C1334" s="56" t="s">
        <v>4512</v>
      </c>
      <c r="D1334" s="56" t="s">
        <v>4511</v>
      </c>
      <c r="E1334" s="56" t="s">
        <v>5114</v>
      </c>
      <c r="F1334" s="56" t="s">
        <v>5113</v>
      </c>
      <c r="G1334" s="58" t="s">
        <v>3770</v>
      </c>
      <c r="H1334" s="56">
        <v>1</v>
      </c>
      <c r="I1334" s="56" t="s">
        <v>3769</v>
      </c>
      <c r="J1334" s="56">
        <v>405</v>
      </c>
      <c r="K1334" s="56">
        <v>390</v>
      </c>
      <c r="P1334" s="56">
        <v>0</v>
      </c>
      <c r="S1334" s="56">
        <v>0</v>
      </c>
      <c r="T1334" s="56" t="s">
        <v>3562</v>
      </c>
      <c r="V1334" s="56" t="s">
        <v>3612</v>
      </c>
      <c r="W1334" s="56" t="s">
        <v>3548</v>
      </c>
      <c r="X1334" s="56" t="s">
        <v>3611</v>
      </c>
      <c r="Z1334" s="56" t="s">
        <v>3546</v>
      </c>
      <c r="AA1334" s="56" t="s">
        <v>5112</v>
      </c>
      <c r="AB1334" s="56" t="s">
        <v>5111</v>
      </c>
      <c r="AC1334" s="56" t="s">
        <v>3543</v>
      </c>
      <c r="AD1334" s="56" t="s">
        <v>24</v>
      </c>
      <c r="AE1334" s="56" t="s">
        <v>3862</v>
      </c>
      <c r="AF1334" s="56" t="s">
        <v>5110</v>
      </c>
      <c r="AH1334" s="56" t="s">
        <v>3542</v>
      </c>
      <c r="AI1334" s="56" t="s">
        <v>3723</v>
      </c>
    </row>
    <row r="1335" spans="1:35" ht="33" customHeight="1">
      <c r="A1335" s="56" t="s">
        <v>5115</v>
      </c>
      <c r="B1335" s="57">
        <v>44364.045532407406</v>
      </c>
      <c r="C1335" s="56" t="s">
        <v>4512</v>
      </c>
      <c r="D1335" s="56" t="s">
        <v>4511</v>
      </c>
      <c r="E1335" s="56" t="s">
        <v>5114</v>
      </c>
      <c r="F1335" s="56" t="s">
        <v>5113</v>
      </c>
      <c r="G1335" s="58" t="s">
        <v>2165</v>
      </c>
      <c r="H1335" s="56">
        <v>2</v>
      </c>
      <c r="I1335" s="56" t="s">
        <v>3721</v>
      </c>
      <c r="J1335" s="56">
        <v>109</v>
      </c>
      <c r="K1335" s="56">
        <v>109</v>
      </c>
      <c r="P1335" s="56">
        <v>0</v>
      </c>
      <c r="S1335" s="56">
        <v>0</v>
      </c>
      <c r="T1335" s="56" t="s">
        <v>3562</v>
      </c>
      <c r="V1335" s="56" t="s">
        <v>3612</v>
      </c>
      <c r="W1335" s="56" t="s">
        <v>3548</v>
      </c>
      <c r="X1335" s="56" t="s">
        <v>3611</v>
      </c>
      <c r="Z1335" s="56" t="s">
        <v>3546</v>
      </c>
      <c r="AA1335" s="56" t="s">
        <v>5112</v>
      </c>
      <c r="AB1335" s="56" t="s">
        <v>5111</v>
      </c>
      <c r="AC1335" s="56" t="s">
        <v>3543</v>
      </c>
      <c r="AD1335" s="56" t="s">
        <v>24</v>
      </c>
      <c r="AE1335" s="56" t="s">
        <v>3862</v>
      </c>
      <c r="AF1335" s="56" t="s">
        <v>5110</v>
      </c>
      <c r="AH1335" s="56" t="s">
        <v>3542</v>
      </c>
      <c r="AI1335" s="56" t="s">
        <v>3723</v>
      </c>
    </row>
    <row r="1336" spans="1:35" ht="33" customHeight="1">
      <c r="A1336" s="56" t="s">
        <v>5115</v>
      </c>
      <c r="B1336" s="57">
        <v>44364.045532407406</v>
      </c>
      <c r="C1336" s="56" t="s">
        <v>4512</v>
      </c>
      <c r="D1336" s="56" t="s">
        <v>4511</v>
      </c>
      <c r="E1336" s="56" t="s">
        <v>5114</v>
      </c>
      <c r="F1336" s="56" t="s">
        <v>5113</v>
      </c>
      <c r="G1336" s="58" t="s">
        <v>3551</v>
      </c>
      <c r="H1336" s="56">
        <v>1</v>
      </c>
      <c r="I1336" s="56" t="s">
        <v>3550</v>
      </c>
      <c r="J1336" s="56">
        <v>0</v>
      </c>
      <c r="K1336" s="56">
        <v>0</v>
      </c>
      <c r="P1336" s="56">
        <v>0</v>
      </c>
      <c r="S1336" s="56">
        <v>0</v>
      </c>
      <c r="T1336" s="56" t="s">
        <v>3562</v>
      </c>
      <c r="V1336" s="56" t="s">
        <v>3612</v>
      </c>
      <c r="W1336" s="56" t="s">
        <v>3548</v>
      </c>
      <c r="X1336" s="56" t="s">
        <v>3611</v>
      </c>
      <c r="Z1336" s="56" t="s">
        <v>3546</v>
      </c>
      <c r="AA1336" s="56" t="s">
        <v>5112</v>
      </c>
      <c r="AB1336" s="56" t="s">
        <v>5111</v>
      </c>
      <c r="AC1336" s="56" t="s">
        <v>3543</v>
      </c>
      <c r="AD1336" s="56" t="s">
        <v>24</v>
      </c>
      <c r="AE1336" s="56" t="s">
        <v>3862</v>
      </c>
      <c r="AF1336" s="56" t="s">
        <v>5110</v>
      </c>
      <c r="AH1336" s="56" t="s">
        <v>3542</v>
      </c>
      <c r="AI1336" s="56" t="s">
        <v>3723</v>
      </c>
    </row>
    <row r="1337" spans="1:35" ht="33" customHeight="1">
      <c r="A1337" s="56" t="s">
        <v>5115</v>
      </c>
      <c r="B1337" s="57">
        <v>44364.045532407406</v>
      </c>
      <c r="C1337" s="56" t="s">
        <v>4512</v>
      </c>
      <c r="D1337" s="56" t="s">
        <v>4511</v>
      </c>
      <c r="E1337" s="56" t="s">
        <v>5114</v>
      </c>
      <c r="F1337" s="56" t="s">
        <v>5113</v>
      </c>
      <c r="G1337" s="58" t="s">
        <v>1498</v>
      </c>
      <c r="H1337" s="56">
        <v>1</v>
      </c>
      <c r="I1337" s="56" t="s">
        <v>4016</v>
      </c>
      <c r="J1337" s="56">
        <v>0</v>
      </c>
      <c r="K1337" s="56">
        <v>0</v>
      </c>
      <c r="P1337" s="56">
        <v>0</v>
      </c>
      <c r="S1337" s="56">
        <v>0</v>
      </c>
      <c r="T1337" s="56" t="s">
        <v>3562</v>
      </c>
      <c r="V1337" s="56" t="s">
        <v>3612</v>
      </c>
      <c r="W1337" s="56" t="s">
        <v>3548</v>
      </c>
      <c r="X1337" s="56" t="s">
        <v>3611</v>
      </c>
      <c r="Z1337" s="56" t="s">
        <v>3546</v>
      </c>
      <c r="AA1337" s="56" t="s">
        <v>5112</v>
      </c>
      <c r="AB1337" s="56" t="s">
        <v>5111</v>
      </c>
      <c r="AC1337" s="56" t="s">
        <v>3543</v>
      </c>
      <c r="AD1337" s="56" t="s">
        <v>24</v>
      </c>
      <c r="AE1337" s="56" t="s">
        <v>3862</v>
      </c>
      <c r="AF1337" s="56" t="s">
        <v>5110</v>
      </c>
      <c r="AH1337" s="56" t="s">
        <v>3542</v>
      </c>
      <c r="AI1337" s="56" t="s">
        <v>3723</v>
      </c>
    </row>
    <row r="1338" spans="1:35" ht="33" customHeight="1">
      <c r="A1338" s="56" t="s">
        <v>5109</v>
      </c>
      <c r="B1338" s="57">
        <v>44364.276620370372</v>
      </c>
      <c r="C1338" s="56" t="s">
        <v>4512</v>
      </c>
      <c r="D1338" s="56" t="s">
        <v>4511</v>
      </c>
      <c r="E1338" s="56" t="s">
        <v>5108</v>
      </c>
      <c r="F1338" s="56" t="s">
        <v>5107</v>
      </c>
      <c r="G1338" s="58" t="s">
        <v>3174</v>
      </c>
      <c r="H1338" s="56">
        <v>2</v>
      </c>
      <c r="I1338" s="56" t="s">
        <v>3791</v>
      </c>
      <c r="J1338" s="56">
        <v>299</v>
      </c>
      <c r="K1338" s="56">
        <v>299</v>
      </c>
      <c r="L1338" s="56">
        <v>598</v>
      </c>
      <c r="M1338" s="56">
        <v>65</v>
      </c>
      <c r="N1338" s="56">
        <v>0</v>
      </c>
      <c r="O1338" s="56">
        <v>0</v>
      </c>
      <c r="P1338" s="56">
        <v>0</v>
      </c>
      <c r="Q1338" s="56">
        <v>663</v>
      </c>
      <c r="R1338" s="56">
        <v>0</v>
      </c>
      <c r="S1338" s="56">
        <v>0</v>
      </c>
      <c r="T1338" s="56" t="s">
        <v>3562</v>
      </c>
      <c r="U1338" s="56">
        <v>663</v>
      </c>
      <c r="V1338" s="56" t="s">
        <v>3549</v>
      </c>
      <c r="W1338" s="56" t="s">
        <v>3548</v>
      </c>
      <c r="X1338" s="56" t="s">
        <v>3547</v>
      </c>
      <c r="Z1338" s="56" t="s">
        <v>3546</v>
      </c>
      <c r="AA1338" s="56" t="s">
        <v>5106</v>
      </c>
      <c r="AB1338" s="56" t="s">
        <v>5105</v>
      </c>
      <c r="AC1338" s="56" t="s">
        <v>3543</v>
      </c>
      <c r="AD1338" s="56" t="s">
        <v>24</v>
      </c>
      <c r="AE1338" s="56" t="s">
        <v>3862</v>
      </c>
      <c r="AF1338" s="56" t="s">
        <v>5104</v>
      </c>
      <c r="AH1338" s="56" t="s">
        <v>3542</v>
      </c>
      <c r="AI1338" s="56" t="s">
        <v>3723</v>
      </c>
    </row>
    <row r="1339" spans="1:35" ht="33" customHeight="1">
      <c r="A1339" s="56" t="s">
        <v>5109</v>
      </c>
      <c r="B1339" s="57">
        <v>44364.276620370372</v>
      </c>
      <c r="C1339" s="56" t="s">
        <v>4512</v>
      </c>
      <c r="D1339" s="56" t="s">
        <v>4511</v>
      </c>
      <c r="E1339" s="56" t="s">
        <v>5108</v>
      </c>
      <c r="F1339" s="56" t="s">
        <v>5107</v>
      </c>
      <c r="G1339" s="58" t="s">
        <v>3551</v>
      </c>
      <c r="H1339" s="56">
        <v>1</v>
      </c>
      <c r="I1339" s="56" t="s">
        <v>3550</v>
      </c>
      <c r="J1339" s="56">
        <v>0</v>
      </c>
      <c r="K1339" s="56">
        <v>0</v>
      </c>
      <c r="P1339" s="56">
        <v>0</v>
      </c>
      <c r="S1339" s="56">
        <v>0</v>
      </c>
      <c r="T1339" s="56" t="s">
        <v>3562</v>
      </c>
      <c r="V1339" s="56" t="s">
        <v>3549</v>
      </c>
      <c r="W1339" s="56" t="s">
        <v>3548</v>
      </c>
      <c r="X1339" s="56" t="s">
        <v>3547</v>
      </c>
      <c r="Z1339" s="56" t="s">
        <v>3546</v>
      </c>
      <c r="AA1339" s="56" t="s">
        <v>5106</v>
      </c>
      <c r="AB1339" s="56" t="s">
        <v>5105</v>
      </c>
      <c r="AC1339" s="56" t="s">
        <v>3543</v>
      </c>
      <c r="AD1339" s="56" t="s">
        <v>24</v>
      </c>
      <c r="AE1339" s="56" t="s">
        <v>3862</v>
      </c>
      <c r="AF1339" s="56" t="s">
        <v>5104</v>
      </c>
      <c r="AH1339" s="56" t="s">
        <v>3542</v>
      </c>
      <c r="AI1339" s="56" t="s">
        <v>3723</v>
      </c>
    </row>
    <row r="1340" spans="1:35" ht="33" customHeight="1">
      <c r="A1340" s="56" t="s">
        <v>5103</v>
      </c>
      <c r="B1340" s="57">
        <v>44364.336087962962</v>
      </c>
      <c r="C1340" s="56" t="s">
        <v>3803</v>
      </c>
      <c r="D1340" s="56" t="s">
        <v>3802</v>
      </c>
      <c r="E1340" s="56" t="s">
        <v>5102</v>
      </c>
      <c r="F1340" s="56" t="s">
        <v>5101</v>
      </c>
      <c r="G1340" s="58" t="s">
        <v>3656</v>
      </c>
      <c r="H1340" s="56">
        <v>1</v>
      </c>
      <c r="I1340" s="56" t="s">
        <v>3655</v>
      </c>
      <c r="J1340" s="56">
        <v>1107</v>
      </c>
      <c r="K1340" s="56">
        <v>799</v>
      </c>
      <c r="L1340" s="56">
        <v>1183</v>
      </c>
      <c r="M1340" s="56">
        <v>0</v>
      </c>
      <c r="N1340" s="56">
        <v>50</v>
      </c>
      <c r="O1340" s="56">
        <v>100</v>
      </c>
      <c r="P1340" s="56">
        <v>0</v>
      </c>
      <c r="Q1340" s="56">
        <v>1033</v>
      </c>
      <c r="R1340" s="56">
        <v>0</v>
      </c>
      <c r="S1340" s="56">
        <v>0</v>
      </c>
      <c r="T1340" s="56" t="s">
        <v>3562</v>
      </c>
      <c r="U1340" s="56">
        <v>1033</v>
      </c>
      <c r="V1340" s="56" t="s">
        <v>3561</v>
      </c>
      <c r="W1340" s="56" t="s">
        <v>3548</v>
      </c>
      <c r="X1340" s="56" t="s">
        <v>39</v>
      </c>
      <c r="Y1340" s="56" t="s">
        <v>3677</v>
      </c>
      <c r="Z1340" s="56" t="s">
        <v>5100</v>
      </c>
      <c r="AC1340" s="56" t="s">
        <v>3543</v>
      </c>
      <c r="AD1340" s="56" t="s">
        <v>24</v>
      </c>
      <c r="AE1340" s="56" t="s">
        <v>4834</v>
      </c>
      <c r="AF1340" s="56" t="s">
        <v>5099</v>
      </c>
      <c r="AH1340" s="56" t="s">
        <v>3542</v>
      </c>
      <c r="AI1340" s="56" t="s">
        <v>3723</v>
      </c>
    </row>
    <row r="1341" spans="1:35" ht="33" customHeight="1">
      <c r="A1341" s="56" t="s">
        <v>5103</v>
      </c>
      <c r="B1341" s="57">
        <v>44364.336087962962</v>
      </c>
      <c r="C1341" s="56" t="s">
        <v>3803</v>
      </c>
      <c r="D1341" s="56" t="s">
        <v>3802</v>
      </c>
      <c r="E1341" s="56" t="s">
        <v>5102</v>
      </c>
      <c r="F1341" s="56" t="s">
        <v>5101</v>
      </c>
      <c r="G1341" s="58" t="s">
        <v>2161</v>
      </c>
      <c r="H1341" s="56">
        <v>1</v>
      </c>
      <c r="I1341" s="56" t="s">
        <v>3694</v>
      </c>
      <c r="J1341" s="56">
        <v>128</v>
      </c>
      <c r="K1341" s="56">
        <v>128</v>
      </c>
      <c r="P1341" s="56">
        <v>0</v>
      </c>
      <c r="S1341" s="56">
        <v>0</v>
      </c>
      <c r="T1341" s="56" t="s">
        <v>3562</v>
      </c>
      <c r="V1341" s="56" t="s">
        <v>3561</v>
      </c>
      <c r="W1341" s="56" t="s">
        <v>3548</v>
      </c>
      <c r="X1341" s="56" t="s">
        <v>39</v>
      </c>
      <c r="Y1341" s="56" t="s">
        <v>3677</v>
      </c>
      <c r="Z1341" s="56" t="s">
        <v>5100</v>
      </c>
      <c r="AC1341" s="56" t="s">
        <v>3543</v>
      </c>
      <c r="AD1341" s="56" t="s">
        <v>24</v>
      </c>
      <c r="AE1341" s="56" t="s">
        <v>4834</v>
      </c>
      <c r="AF1341" s="56" t="s">
        <v>5099</v>
      </c>
      <c r="AH1341" s="56" t="s">
        <v>3542</v>
      </c>
      <c r="AI1341" s="56" t="s">
        <v>3723</v>
      </c>
    </row>
    <row r="1342" spans="1:35" ht="33" customHeight="1">
      <c r="A1342" s="56" t="s">
        <v>5103</v>
      </c>
      <c r="B1342" s="57">
        <v>44364.336087962962</v>
      </c>
      <c r="C1342" s="56" t="s">
        <v>3803</v>
      </c>
      <c r="D1342" s="56" t="s">
        <v>3802</v>
      </c>
      <c r="E1342" s="56" t="s">
        <v>5102</v>
      </c>
      <c r="F1342" s="56" t="s">
        <v>5101</v>
      </c>
      <c r="G1342" s="58" t="s">
        <v>2163</v>
      </c>
      <c r="H1342" s="56">
        <v>1</v>
      </c>
      <c r="I1342" s="56" t="s">
        <v>3694</v>
      </c>
      <c r="J1342" s="56">
        <v>128</v>
      </c>
      <c r="K1342" s="56">
        <v>128</v>
      </c>
      <c r="P1342" s="56">
        <v>0</v>
      </c>
      <c r="S1342" s="56">
        <v>0</v>
      </c>
      <c r="T1342" s="56" t="s">
        <v>3562</v>
      </c>
      <c r="V1342" s="56" t="s">
        <v>3561</v>
      </c>
      <c r="W1342" s="56" t="s">
        <v>3548</v>
      </c>
      <c r="X1342" s="56" t="s">
        <v>39</v>
      </c>
      <c r="Y1342" s="56" t="s">
        <v>3677</v>
      </c>
      <c r="Z1342" s="56" t="s">
        <v>5100</v>
      </c>
      <c r="AC1342" s="56" t="s">
        <v>3543</v>
      </c>
      <c r="AD1342" s="56" t="s">
        <v>24</v>
      </c>
      <c r="AE1342" s="56" t="s">
        <v>4834</v>
      </c>
      <c r="AF1342" s="56" t="s">
        <v>5099</v>
      </c>
      <c r="AH1342" s="56" t="s">
        <v>3542</v>
      </c>
      <c r="AI1342" s="56" t="s">
        <v>3723</v>
      </c>
    </row>
    <row r="1343" spans="1:35" ht="33" customHeight="1">
      <c r="A1343" s="56" t="s">
        <v>5103</v>
      </c>
      <c r="B1343" s="57">
        <v>44364.336087962962</v>
      </c>
      <c r="C1343" s="56" t="s">
        <v>3803</v>
      </c>
      <c r="D1343" s="56" t="s">
        <v>3802</v>
      </c>
      <c r="E1343" s="56" t="s">
        <v>5102</v>
      </c>
      <c r="F1343" s="56" t="s">
        <v>5101</v>
      </c>
      <c r="G1343" s="58" t="s">
        <v>2165</v>
      </c>
      <c r="H1343" s="56">
        <v>1</v>
      </c>
      <c r="I1343" s="56" t="s">
        <v>3694</v>
      </c>
      <c r="J1343" s="56">
        <v>128</v>
      </c>
      <c r="K1343" s="56">
        <v>128</v>
      </c>
      <c r="P1343" s="56">
        <v>0</v>
      </c>
      <c r="S1343" s="56">
        <v>0</v>
      </c>
      <c r="T1343" s="56" t="s">
        <v>3562</v>
      </c>
      <c r="V1343" s="56" t="s">
        <v>3561</v>
      </c>
      <c r="W1343" s="56" t="s">
        <v>3548</v>
      </c>
      <c r="X1343" s="56" t="s">
        <v>39</v>
      </c>
      <c r="Y1343" s="56" t="s">
        <v>3677</v>
      </c>
      <c r="Z1343" s="56" t="s">
        <v>5100</v>
      </c>
      <c r="AC1343" s="56" t="s">
        <v>3543</v>
      </c>
      <c r="AD1343" s="56" t="s">
        <v>24</v>
      </c>
      <c r="AE1343" s="56" t="s">
        <v>4834</v>
      </c>
      <c r="AF1343" s="56" t="s">
        <v>5099</v>
      </c>
      <c r="AH1343" s="56" t="s">
        <v>3542</v>
      </c>
      <c r="AI1343" s="56" t="s">
        <v>3723</v>
      </c>
    </row>
    <row r="1344" spans="1:35" ht="33" customHeight="1">
      <c r="A1344" s="56" t="s">
        <v>5103</v>
      </c>
      <c r="B1344" s="57">
        <v>44364.336087962962</v>
      </c>
      <c r="C1344" s="56" t="s">
        <v>3803</v>
      </c>
      <c r="D1344" s="56" t="s">
        <v>3802</v>
      </c>
      <c r="E1344" s="56" t="s">
        <v>5102</v>
      </c>
      <c r="F1344" s="56" t="s">
        <v>5101</v>
      </c>
      <c r="G1344" s="58" t="s">
        <v>3551</v>
      </c>
      <c r="H1344" s="56">
        <v>1</v>
      </c>
      <c r="I1344" s="56" t="s">
        <v>3550</v>
      </c>
      <c r="J1344" s="56">
        <v>0</v>
      </c>
      <c r="K1344" s="56">
        <v>0</v>
      </c>
      <c r="P1344" s="56">
        <v>0</v>
      </c>
      <c r="S1344" s="56">
        <v>0</v>
      </c>
      <c r="T1344" s="56" t="s">
        <v>3562</v>
      </c>
      <c r="V1344" s="56" t="s">
        <v>3561</v>
      </c>
      <c r="W1344" s="56" t="s">
        <v>3548</v>
      </c>
      <c r="X1344" s="56" t="s">
        <v>39</v>
      </c>
      <c r="Y1344" s="56" t="s">
        <v>3677</v>
      </c>
      <c r="Z1344" s="56" t="s">
        <v>5100</v>
      </c>
      <c r="AC1344" s="56" t="s">
        <v>3543</v>
      </c>
      <c r="AD1344" s="56" t="s">
        <v>24</v>
      </c>
      <c r="AE1344" s="56" t="s">
        <v>4834</v>
      </c>
      <c r="AF1344" s="56" t="s">
        <v>5099</v>
      </c>
      <c r="AH1344" s="56" t="s">
        <v>3542</v>
      </c>
      <c r="AI1344" s="56" t="s">
        <v>3723</v>
      </c>
    </row>
    <row r="1345" spans="1:35" ht="33" customHeight="1">
      <c r="A1345" s="56" t="s">
        <v>5103</v>
      </c>
      <c r="B1345" s="57">
        <v>44364.336087962962</v>
      </c>
      <c r="C1345" s="56" t="s">
        <v>3803</v>
      </c>
      <c r="D1345" s="56" t="s">
        <v>3802</v>
      </c>
      <c r="E1345" s="56" t="s">
        <v>5102</v>
      </c>
      <c r="F1345" s="56" t="s">
        <v>5101</v>
      </c>
      <c r="G1345" s="58" t="s">
        <v>1498</v>
      </c>
      <c r="H1345" s="56">
        <v>1</v>
      </c>
      <c r="I1345" s="56" t="s">
        <v>4016</v>
      </c>
      <c r="J1345" s="56">
        <v>0</v>
      </c>
      <c r="K1345" s="56">
        <v>0</v>
      </c>
      <c r="P1345" s="56">
        <v>0</v>
      </c>
      <c r="S1345" s="56">
        <v>0</v>
      </c>
      <c r="T1345" s="56" t="s">
        <v>3562</v>
      </c>
      <c r="V1345" s="56" t="s">
        <v>3561</v>
      </c>
      <c r="W1345" s="56" t="s">
        <v>3548</v>
      </c>
      <c r="X1345" s="56" t="s">
        <v>39</v>
      </c>
      <c r="Y1345" s="56" t="s">
        <v>3677</v>
      </c>
      <c r="Z1345" s="56" t="s">
        <v>5100</v>
      </c>
      <c r="AC1345" s="56" t="s">
        <v>3543</v>
      </c>
      <c r="AD1345" s="56" t="s">
        <v>24</v>
      </c>
      <c r="AE1345" s="56" t="s">
        <v>4834</v>
      </c>
      <c r="AF1345" s="56" t="s">
        <v>5099</v>
      </c>
      <c r="AH1345" s="56" t="s">
        <v>3542</v>
      </c>
      <c r="AI1345" s="56" t="s">
        <v>3723</v>
      </c>
    </row>
    <row r="1346" spans="1:35" ht="33" customHeight="1">
      <c r="A1346" s="56" t="s">
        <v>5098</v>
      </c>
      <c r="B1346" s="57">
        <v>44364.400439814817</v>
      </c>
      <c r="C1346" s="56" t="s">
        <v>3803</v>
      </c>
      <c r="D1346" s="56" t="s">
        <v>4426</v>
      </c>
      <c r="E1346" s="56" t="s">
        <v>5097</v>
      </c>
      <c r="F1346" s="56" t="s">
        <v>5096</v>
      </c>
      <c r="G1346" s="58" t="s">
        <v>3968</v>
      </c>
      <c r="H1346" s="56">
        <v>1</v>
      </c>
      <c r="I1346" s="56" t="s">
        <v>3669</v>
      </c>
      <c r="J1346" s="56">
        <v>897</v>
      </c>
      <c r="K1346" s="56">
        <v>888</v>
      </c>
      <c r="L1346" s="56">
        <v>1685</v>
      </c>
      <c r="M1346" s="56">
        <v>0</v>
      </c>
      <c r="N1346" s="56">
        <v>0</v>
      </c>
      <c r="O1346" s="56">
        <v>169</v>
      </c>
      <c r="P1346" s="56">
        <v>0</v>
      </c>
      <c r="Q1346" s="56">
        <v>1516</v>
      </c>
      <c r="R1346" s="56">
        <v>0</v>
      </c>
      <c r="S1346" s="56">
        <v>0</v>
      </c>
      <c r="T1346" s="56" t="s">
        <v>27</v>
      </c>
      <c r="U1346" s="56">
        <v>1516</v>
      </c>
      <c r="V1346" s="56" t="s">
        <v>3549</v>
      </c>
      <c r="W1346" s="56" t="s">
        <v>3548</v>
      </c>
      <c r="X1346" s="56" t="s">
        <v>3547</v>
      </c>
      <c r="Z1346" s="56" t="s">
        <v>3546</v>
      </c>
      <c r="AA1346" s="56" t="s">
        <v>5095</v>
      </c>
      <c r="AB1346" s="56" t="s">
        <v>5094</v>
      </c>
      <c r="AC1346" s="56" t="s">
        <v>3543</v>
      </c>
      <c r="AH1346" s="56" t="s">
        <v>3542</v>
      </c>
      <c r="AI1346" s="56" t="s">
        <v>3541</v>
      </c>
    </row>
    <row r="1347" spans="1:35" ht="33" customHeight="1">
      <c r="A1347" s="56" t="s">
        <v>5098</v>
      </c>
      <c r="B1347" s="57">
        <v>44364.400439814817</v>
      </c>
      <c r="C1347" s="56" t="s">
        <v>3803</v>
      </c>
      <c r="D1347" s="56" t="s">
        <v>4426</v>
      </c>
      <c r="E1347" s="56" t="s">
        <v>5097</v>
      </c>
      <c r="F1347" s="56" t="s">
        <v>5096</v>
      </c>
      <c r="G1347" s="58" t="s">
        <v>2165</v>
      </c>
      <c r="H1347" s="56">
        <v>1</v>
      </c>
      <c r="I1347" s="56" t="s">
        <v>3721</v>
      </c>
      <c r="J1347" s="56">
        <v>109</v>
      </c>
      <c r="K1347" s="56">
        <v>109</v>
      </c>
      <c r="P1347" s="56">
        <v>0</v>
      </c>
      <c r="S1347" s="56">
        <v>0</v>
      </c>
      <c r="T1347" s="56" t="s">
        <v>27</v>
      </c>
      <c r="V1347" s="56" t="s">
        <v>3549</v>
      </c>
      <c r="W1347" s="56" t="s">
        <v>3548</v>
      </c>
      <c r="X1347" s="56" t="s">
        <v>3547</v>
      </c>
      <c r="Z1347" s="56" t="s">
        <v>3546</v>
      </c>
      <c r="AA1347" s="56" t="s">
        <v>5095</v>
      </c>
      <c r="AB1347" s="56" t="s">
        <v>5094</v>
      </c>
      <c r="AC1347" s="56" t="s">
        <v>3543</v>
      </c>
      <c r="AH1347" s="56" t="s">
        <v>3542</v>
      </c>
      <c r="AI1347" s="56" t="s">
        <v>3541</v>
      </c>
    </row>
    <row r="1348" spans="1:35" ht="33" customHeight="1">
      <c r="A1348" s="56" t="s">
        <v>5098</v>
      </c>
      <c r="B1348" s="57">
        <v>44364.400439814817</v>
      </c>
      <c r="C1348" s="56" t="s">
        <v>3803</v>
      </c>
      <c r="D1348" s="56" t="s">
        <v>4426</v>
      </c>
      <c r="E1348" s="56" t="s">
        <v>5097</v>
      </c>
      <c r="F1348" s="56" t="s">
        <v>5096</v>
      </c>
      <c r="G1348" s="58" t="s">
        <v>4209</v>
      </c>
      <c r="H1348" s="56">
        <v>1</v>
      </c>
      <c r="I1348" s="56" t="s">
        <v>3769</v>
      </c>
      <c r="J1348" s="56">
        <v>405</v>
      </c>
      <c r="K1348" s="56">
        <v>390</v>
      </c>
      <c r="P1348" s="56">
        <v>0</v>
      </c>
      <c r="S1348" s="56">
        <v>0</v>
      </c>
      <c r="T1348" s="56" t="s">
        <v>27</v>
      </c>
      <c r="V1348" s="56" t="s">
        <v>3549</v>
      </c>
      <c r="W1348" s="56" t="s">
        <v>3548</v>
      </c>
      <c r="X1348" s="56" t="s">
        <v>3547</v>
      </c>
      <c r="Z1348" s="56" t="s">
        <v>3546</v>
      </c>
      <c r="AA1348" s="56" t="s">
        <v>5095</v>
      </c>
      <c r="AB1348" s="56" t="s">
        <v>5094</v>
      </c>
      <c r="AC1348" s="56" t="s">
        <v>3543</v>
      </c>
      <c r="AH1348" s="56" t="s">
        <v>3542</v>
      </c>
      <c r="AI1348" s="56" t="s">
        <v>3541</v>
      </c>
    </row>
    <row r="1349" spans="1:35" ht="33" customHeight="1">
      <c r="A1349" s="56" t="s">
        <v>5098</v>
      </c>
      <c r="B1349" s="57">
        <v>44364.400439814817</v>
      </c>
      <c r="C1349" s="56" t="s">
        <v>3803</v>
      </c>
      <c r="D1349" s="56" t="s">
        <v>4426</v>
      </c>
      <c r="E1349" s="56" t="s">
        <v>5097</v>
      </c>
      <c r="F1349" s="56" t="s">
        <v>5096</v>
      </c>
      <c r="G1349" s="58" t="s">
        <v>2156</v>
      </c>
      <c r="H1349" s="56">
        <v>2</v>
      </c>
      <c r="I1349" s="56" t="s">
        <v>1376</v>
      </c>
      <c r="J1349" s="56">
        <v>149</v>
      </c>
      <c r="K1349" s="56">
        <v>149</v>
      </c>
      <c r="P1349" s="56">
        <v>0</v>
      </c>
      <c r="S1349" s="56">
        <v>0</v>
      </c>
      <c r="T1349" s="56" t="s">
        <v>27</v>
      </c>
      <c r="V1349" s="56" t="s">
        <v>3549</v>
      </c>
      <c r="W1349" s="56" t="s">
        <v>3548</v>
      </c>
      <c r="X1349" s="56" t="s">
        <v>3547</v>
      </c>
      <c r="Z1349" s="56" t="s">
        <v>3546</v>
      </c>
      <c r="AA1349" s="56" t="s">
        <v>5095</v>
      </c>
      <c r="AB1349" s="56" t="s">
        <v>5094</v>
      </c>
      <c r="AC1349" s="56" t="s">
        <v>3543</v>
      </c>
      <c r="AH1349" s="56" t="s">
        <v>3542</v>
      </c>
      <c r="AI1349" s="56" t="s">
        <v>3541</v>
      </c>
    </row>
    <row r="1350" spans="1:35" ht="33" customHeight="1">
      <c r="A1350" s="56" t="s">
        <v>5098</v>
      </c>
      <c r="B1350" s="57">
        <v>44364.400439814817</v>
      </c>
      <c r="C1350" s="56" t="s">
        <v>3803</v>
      </c>
      <c r="D1350" s="56" t="s">
        <v>4426</v>
      </c>
      <c r="E1350" s="56" t="s">
        <v>5097</v>
      </c>
      <c r="F1350" s="56" t="s">
        <v>5096</v>
      </c>
      <c r="G1350" s="58" t="s">
        <v>3551</v>
      </c>
      <c r="H1350" s="56">
        <v>1</v>
      </c>
      <c r="I1350" s="56" t="s">
        <v>3550</v>
      </c>
      <c r="J1350" s="56">
        <v>0</v>
      </c>
      <c r="K1350" s="56">
        <v>0</v>
      </c>
      <c r="P1350" s="56">
        <v>0</v>
      </c>
      <c r="S1350" s="56">
        <v>0</v>
      </c>
      <c r="T1350" s="56" t="s">
        <v>27</v>
      </c>
      <c r="V1350" s="56" t="s">
        <v>3549</v>
      </c>
      <c r="W1350" s="56" t="s">
        <v>3548</v>
      </c>
      <c r="X1350" s="56" t="s">
        <v>3547</v>
      </c>
      <c r="Z1350" s="56" t="s">
        <v>3546</v>
      </c>
      <c r="AA1350" s="56" t="s">
        <v>5095</v>
      </c>
      <c r="AB1350" s="56" t="s">
        <v>5094</v>
      </c>
      <c r="AC1350" s="56" t="s">
        <v>3543</v>
      </c>
      <c r="AH1350" s="56" t="s">
        <v>3542</v>
      </c>
      <c r="AI1350" s="56" t="s">
        <v>3541</v>
      </c>
    </row>
    <row r="1351" spans="1:35" ht="33" customHeight="1">
      <c r="A1351" s="56" t="s">
        <v>5098</v>
      </c>
      <c r="B1351" s="57">
        <v>44364.400439814817</v>
      </c>
      <c r="C1351" s="56" t="s">
        <v>3803</v>
      </c>
      <c r="D1351" s="56" t="s">
        <v>4426</v>
      </c>
      <c r="E1351" s="56" t="s">
        <v>5097</v>
      </c>
      <c r="F1351" s="56" t="s">
        <v>5096</v>
      </c>
      <c r="G1351" s="58" t="s">
        <v>1713</v>
      </c>
      <c r="H1351" s="56">
        <v>1</v>
      </c>
      <c r="I1351" s="56" t="s">
        <v>3568</v>
      </c>
      <c r="J1351" s="56">
        <v>0</v>
      </c>
      <c r="K1351" s="56">
        <v>0</v>
      </c>
      <c r="P1351" s="56">
        <v>0</v>
      </c>
      <c r="S1351" s="56">
        <v>0</v>
      </c>
      <c r="T1351" s="56" t="s">
        <v>27</v>
      </c>
      <c r="V1351" s="56" t="s">
        <v>3549</v>
      </c>
      <c r="W1351" s="56" t="s">
        <v>3548</v>
      </c>
      <c r="X1351" s="56" t="s">
        <v>3547</v>
      </c>
      <c r="Z1351" s="56" t="s">
        <v>3546</v>
      </c>
      <c r="AA1351" s="56" t="s">
        <v>5095</v>
      </c>
      <c r="AB1351" s="56" t="s">
        <v>5094</v>
      </c>
      <c r="AC1351" s="56" t="s">
        <v>3543</v>
      </c>
      <c r="AH1351" s="56" t="s">
        <v>3542</v>
      </c>
      <c r="AI1351" s="56" t="s">
        <v>3541</v>
      </c>
    </row>
    <row r="1352" spans="1:35" ht="33" customHeight="1">
      <c r="A1352" s="56" t="s">
        <v>5098</v>
      </c>
      <c r="B1352" s="57">
        <v>44364.400439814817</v>
      </c>
      <c r="C1352" s="56" t="s">
        <v>3803</v>
      </c>
      <c r="D1352" s="56" t="s">
        <v>4426</v>
      </c>
      <c r="E1352" s="56" t="s">
        <v>5097</v>
      </c>
      <c r="F1352" s="56" t="s">
        <v>5096</v>
      </c>
      <c r="G1352" s="58" t="s">
        <v>1498</v>
      </c>
      <c r="H1352" s="56">
        <v>1</v>
      </c>
      <c r="I1352" s="56" t="s">
        <v>4016</v>
      </c>
      <c r="J1352" s="56">
        <v>0</v>
      </c>
      <c r="K1352" s="56">
        <v>0</v>
      </c>
      <c r="P1352" s="56">
        <v>0</v>
      </c>
      <c r="S1352" s="56">
        <v>0</v>
      </c>
      <c r="T1352" s="56" t="s">
        <v>27</v>
      </c>
      <c r="V1352" s="56" t="s">
        <v>3549</v>
      </c>
      <c r="W1352" s="56" t="s">
        <v>3548</v>
      </c>
      <c r="X1352" s="56" t="s">
        <v>3547</v>
      </c>
      <c r="Z1352" s="56" t="s">
        <v>3546</v>
      </c>
      <c r="AA1352" s="56" t="s">
        <v>5095</v>
      </c>
      <c r="AB1352" s="56" t="s">
        <v>5094</v>
      </c>
      <c r="AC1352" s="56" t="s">
        <v>3543</v>
      </c>
      <c r="AH1352" s="56" t="s">
        <v>3542</v>
      </c>
      <c r="AI1352" s="56" t="s">
        <v>3541</v>
      </c>
    </row>
    <row r="1353" spans="1:35" ht="33" customHeight="1">
      <c r="A1353" s="56" t="s">
        <v>5093</v>
      </c>
      <c r="B1353" s="57">
        <v>44364.40185185185</v>
      </c>
      <c r="C1353" s="56" t="s">
        <v>3803</v>
      </c>
      <c r="D1353" s="56" t="s">
        <v>4426</v>
      </c>
      <c r="E1353" s="56" t="s">
        <v>5092</v>
      </c>
      <c r="F1353" s="56" t="s">
        <v>5091</v>
      </c>
      <c r="G1353" s="58" t="s">
        <v>4445</v>
      </c>
      <c r="H1353" s="56">
        <v>1</v>
      </c>
      <c r="I1353" s="56" t="s">
        <v>3769</v>
      </c>
      <c r="J1353" s="56">
        <v>405</v>
      </c>
      <c r="K1353" s="56">
        <v>390</v>
      </c>
      <c r="L1353" s="56">
        <v>390</v>
      </c>
      <c r="M1353" s="56">
        <v>65</v>
      </c>
      <c r="N1353" s="56">
        <v>0</v>
      </c>
      <c r="O1353" s="56">
        <v>0</v>
      </c>
      <c r="P1353" s="56">
        <v>0</v>
      </c>
      <c r="Q1353" s="56">
        <v>455</v>
      </c>
      <c r="R1353" s="56">
        <v>0</v>
      </c>
      <c r="S1353" s="56">
        <v>0</v>
      </c>
      <c r="T1353" s="56" t="s">
        <v>27</v>
      </c>
      <c r="U1353" s="56">
        <v>455</v>
      </c>
      <c r="V1353" s="56" t="s">
        <v>3612</v>
      </c>
      <c r="W1353" s="56" t="s">
        <v>3548</v>
      </c>
      <c r="X1353" s="56" t="s">
        <v>3611</v>
      </c>
      <c r="Z1353" s="56" t="s">
        <v>3546</v>
      </c>
      <c r="AA1353" s="56" t="s">
        <v>5090</v>
      </c>
      <c r="AB1353" s="56" t="s">
        <v>5089</v>
      </c>
      <c r="AC1353" s="56" t="s">
        <v>3543</v>
      </c>
      <c r="AH1353" s="56" t="s">
        <v>3542</v>
      </c>
      <c r="AI1353" s="56" t="s">
        <v>3541</v>
      </c>
    </row>
    <row r="1354" spans="1:35" ht="33" customHeight="1">
      <c r="A1354" s="56" t="s">
        <v>5093</v>
      </c>
      <c r="B1354" s="57">
        <v>44364.40185185185</v>
      </c>
      <c r="C1354" s="56" t="s">
        <v>3803</v>
      </c>
      <c r="D1354" s="56" t="s">
        <v>4426</v>
      </c>
      <c r="E1354" s="56" t="s">
        <v>5092</v>
      </c>
      <c r="F1354" s="56" t="s">
        <v>5091</v>
      </c>
      <c r="G1354" s="58" t="s">
        <v>3551</v>
      </c>
      <c r="H1354" s="56">
        <v>1</v>
      </c>
      <c r="I1354" s="56" t="s">
        <v>3550</v>
      </c>
      <c r="J1354" s="56">
        <v>0</v>
      </c>
      <c r="K1354" s="56">
        <v>0</v>
      </c>
      <c r="P1354" s="56">
        <v>0</v>
      </c>
      <c r="S1354" s="56">
        <v>0</v>
      </c>
      <c r="T1354" s="56" t="s">
        <v>27</v>
      </c>
      <c r="V1354" s="56" t="s">
        <v>3612</v>
      </c>
      <c r="W1354" s="56" t="s">
        <v>3548</v>
      </c>
      <c r="X1354" s="56" t="s">
        <v>3611</v>
      </c>
      <c r="Z1354" s="56" t="s">
        <v>3546</v>
      </c>
      <c r="AA1354" s="56" t="s">
        <v>5090</v>
      </c>
      <c r="AB1354" s="56" t="s">
        <v>5089</v>
      </c>
      <c r="AC1354" s="56" t="s">
        <v>3543</v>
      </c>
      <c r="AH1354" s="56" t="s">
        <v>3542</v>
      </c>
      <c r="AI1354" s="56" t="s">
        <v>3541</v>
      </c>
    </row>
    <row r="1355" spans="1:35" ht="33" customHeight="1">
      <c r="A1355" s="56" t="s">
        <v>5086</v>
      </c>
      <c r="B1355" s="57">
        <v>44364.412326388891</v>
      </c>
      <c r="C1355" s="56" t="s">
        <v>3803</v>
      </c>
      <c r="D1355" s="56" t="s">
        <v>4426</v>
      </c>
      <c r="E1355" s="56" t="s">
        <v>5085</v>
      </c>
      <c r="F1355" s="56" t="s">
        <v>5084</v>
      </c>
      <c r="G1355" s="58" t="s">
        <v>2156</v>
      </c>
      <c r="H1355" s="56">
        <v>1</v>
      </c>
      <c r="I1355" s="56" t="s">
        <v>1376</v>
      </c>
      <c r="J1355" s="56">
        <v>149</v>
      </c>
      <c r="K1355" s="56">
        <v>149</v>
      </c>
      <c r="L1355" s="56">
        <v>1144</v>
      </c>
      <c r="M1355" s="56">
        <v>0</v>
      </c>
      <c r="N1355" s="56">
        <v>0</v>
      </c>
      <c r="O1355" s="56">
        <v>100</v>
      </c>
      <c r="P1355" s="56">
        <v>0</v>
      </c>
      <c r="Q1355" s="56">
        <v>1044</v>
      </c>
      <c r="R1355" s="56">
        <v>0</v>
      </c>
      <c r="S1355" s="56">
        <v>0</v>
      </c>
      <c r="T1355" s="56" t="s">
        <v>27</v>
      </c>
      <c r="U1355" s="56">
        <v>1044</v>
      </c>
      <c r="V1355" s="56" t="s">
        <v>3549</v>
      </c>
      <c r="W1355" s="56" t="s">
        <v>3548</v>
      </c>
      <c r="X1355" s="56" t="s">
        <v>3547</v>
      </c>
      <c r="Z1355" s="56" t="s">
        <v>3546</v>
      </c>
      <c r="AA1355" s="56" t="s">
        <v>5083</v>
      </c>
      <c r="AB1355" s="56" t="s">
        <v>5082</v>
      </c>
      <c r="AC1355" s="56" t="s">
        <v>3543</v>
      </c>
      <c r="AH1355" s="56" t="s">
        <v>3542</v>
      </c>
      <c r="AI1355" s="56" t="s">
        <v>3541</v>
      </c>
    </row>
    <row r="1356" spans="1:35" ht="33" customHeight="1">
      <c r="A1356" s="56" t="s">
        <v>5086</v>
      </c>
      <c r="B1356" s="57">
        <v>44364.412326388891</v>
      </c>
      <c r="C1356" s="56" t="s">
        <v>3803</v>
      </c>
      <c r="D1356" s="56" t="s">
        <v>4426</v>
      </c>
      <c r="E1356" s="56" t="s">
        <v>5085</v>
      </c>
      <c r="F1356" s="56" t="s">
        <v>5084</v>
      </c>
      <c r="G1356" s="58" t="s">
        <v>1493</v>
      </c>
      <c r="H1356" s="56">
        <v>1</v>
      </c>
      <c r="I1356" s="56" t="s">
        <v>3601</v>
      </c>
      <c r="J1356" s="56">
        <v>135</v>
      </c>
      <c r="K1356" s="56">
        <v>135</v>
      </c>
      <c r="P1356" s="56">
        <v>0</v>
      </c>
      <c r="S1356" s="56">
        <v>0</v>
      </c>
      <c r="T1356" s="56" t="s">
        <v>27</v>
      </c>
      <c r="V1356" s="56" t="s">
        <v>3549</v>
      </c>
      <c r="W1356" s="56" t="s">
        <v>3548</v>
      </c>
      <c r="X1356" s="56" t="s">
        <v>3547</v>
      </c>
      <c r="Z1356" s="56" t="s">
        <v>3546</v>
      </c>
      <c r="AA1356" s="56" t="s">
        <v>5083</v>
      </c>
      <c r="AB1356" s="56" t="s">
        <v>5082</v>
      </c>
      <c r="AC1356" s="56" t="s">
        <v>3543</v>
      </c>
      <c r="AH1356" s="56" t="s">
        <v>3542</v>
      </c>
      <c r="AI1356" s="56" t="s">
        <v>3541</v>
      </c>
    </row>
    <row r="1357" spans="1:35" ht="33" customHeight="1">
      <c r="A1357" s="56" t="s">
        <v>5086</v>
      </c>
      <c r="B1357" s="57">
        <v>44364.412326388891</v>
      </c>
      <c r="C1357" s="56" t="s">
        <v>3803</v>
      </c>
      <c r="D1357" s="56" t="s">
        <v>4426</v>
      </c>
      <c r="E1357" s="56" t="s">
        <v>5085</v>
      </c>
      <c r="F1357" s="56" t="s">
        <v>5084</v>
      </c>
      <c r="G1357" s="58" t="s">
        <v>5088</v>
      </c>
      <c r="H1357" s="56">
        <v>1</v>
      </c>
      <c r="I1357" s="56" t="s">
        <v>3653</v>
      </c>
      <c r="J1357" s="56">
        <v>447</v>
      </c>
      <c r="K1357" s="56">
        <v>430</v>
      </c>
      <c r="P1357" s="56">
        <v>0</v>
      </c>
      <c r="S1357" s="56">
        <v>0</v>
      </c>
      <c r="T1357" s="56" t="s">
        <v>27</v>
      </c>
      <c r="V1357" s="56" t="s">
        <v>3549</v>
      </c>
      <c r="W1357" s="56" t="s">
        <v>3548</v>
      </c>
      <c r="X1357" s="56" t="s">
        <v>3547</v>
      </c>
      <c r="Z1357" s="56" t="s">
        <v>3546</v>
      </c>
      <c r="AA1357" s="56" t="s">
        <v>5083</v>
      </c>
      <c r="AB1357" s="56" t="s">
        <v>5082</v>
      </c>
      <c r="AC1357" s="56" t="s">
        <v>3543</v>
      </c>
      <c r="AH1357" s="56" t="s">
        <v>3542</v>
      </c>
      <c r="AI1357" s="56" t="s">
        <v>3541</v>
      </c>
    </row>
    <row r="1358" spans="1:35" ht="33" customHeight="1">
      <c r="A1358" s="56" t="s">
        <v>5086</v>
      </c>
      <c r="B1358" s="57">
        <v>44364.412326388891</v>
      </c>
      <c r="C1358" s="56" t="s">
        <v>3803</v>
      </c>
      <c r="D1358" s="56" t="s">
        <v>4426</v>
      </c>
      <c r="E1358" s="56" t="s">
        <v>5085</v>
      </c>
      <c r="F1358" s="56" t="s">
        <v>5084</v>
      </c>
      <c r="G1358" s="58" t="s">
        <v>5087</v>
      </c>
      <c r="H1358" s="56">
        <v>1</v>
      </c>
      <c r="I1358" s="56" t="s">
        <v>3653</v>
      </c>
      <c r="J1358" s="56">
        <v>447</v>
      </c>
      <c r="K1358" s="56">
        <v>430</v>
      </c>
      <c r="P1358" s="56">
        <v>0</v>
      </c>
      <c r="S1358" s="56">
        <v>0</v>
      </c>
      <c r="T1358" s="56" t="s">
        <v>27</v>
      </c>
      <c r="V1358" s="56" t="s">
        <v>3549</v>
      </c>
      <c r="W1358" s="56" t="s">
        <v>3548</v>
      </c>
      <c r="X1358" s="56" t="s">
        <v>3547</v>
      </c>
      <c r="Z1358" s="56" t="s">
        <v>3546</v>
      </c>
      <c r="AA1358" s="56" t="s">
        <v>5083</v>
      </c>
      <c r="AB1358" s="56" t="s">
        <v>5082</v>
      </c>
      <c r="AC1358" s="56" t="s">
        <v>3543</v>
      </c>
      <c r="AH1358" s="56" t="s">
        <v>3542</v>
      </c>
      <c r="AI1358" s="56" t="s">
        <v>3541</v>
      </c>
    </row>
    <row r="1359" spans="1:35" ht="33" customHeight="1">
      <c r="A1359" s="56" t="s">
        <v>5086</v>
      </c>
      <c r="B1359" s="57">
        <v>44364.412326388891</v>
      </c>
      <c r="C1359" s="56" t="s">
        <v>3803</v>
      </c>
      <c r="D1359" s="56" t="s">
        <v>4426</v>
      </c>
      <c r="E1359" s="56" t="s">
        <v>5085</v>
      </c>
      <c r="F1359" s="56" t="s">
        <v>5084</v>
      </c>
      <c r="G1359" s="58" t="s">
        <v>3551</v>
      </c>
      <c r="H1359" s="56">
        <v>1</v>
      </c>
      <c r="I1359" s="56" t="s">
        <v>3550</v>
      </c>
      <c r="J1359" s="56">
        <v>0</v>
      </c>
      <c r="K1359" s="56">
        <v>0</v>
      </c>
      <c r="P1359" s="56">
        <v>0</v>
      </c>
      <c r="S1359" s="56">
        <v>0</v>
      </c>
      <c r="T1359" s="56" t="s">
        <v>27</v>
      </c>
      <c r="V1359" s="56" t="s">
        <v>3549</v>
      </c>
      <c r="W1359" s="56" t="s">
        <v>3548</v>
      </c>
      <c r="X1359" s="56" t="s">
        <v>3547</v>
      </c>
      <c r="Z1359" s="56" t="s">
        <v>3546</v>
      </c>
      <c r="AA1359" s="56" t="s">
        <v>5083</v>
      </c>
      <c r="AB1359" s="56" t="s">
        <v>5082</v>
      </c>
      <c r="AC1359" s="56" t="s">
        <v>3543</v>
      </c>
      <c r="AH1359" s="56" t="s">
        <v>3542</v>
      </c>
      <c r="AI1359" s="56" t="s">
        <v>3541</v>
      </c>
    </row>
    <row r="1360" spans="1:35" ht="33" customHeight="1">
      <c r="A1360" s="56" t="s">
        <v>5086</v>
      </c>
      <c r="B1360" s="57">
        <v>44364.412326388891</v>
      </c>
      <c r="C1360" s="56" t="s">
        <v>3803</v>
      </c>
      <c r="D1360" s="56" t="s">
        <v>4426</v>
      </c>
      <c r="E1360" s="56" t="s">
        <v>5085</v>
      </c>
      <c r="F1360" s="56" t="s">
        <v>5084</v>
      </c>
      <c r="G1360" s="58" t="s">
        <v>1498</v>
      </c>
      <c r="H1360" s="56">
        <v>1</v>
      </c>
      <c r="I1360" s="56" t="s">
        <v>4016</v>
      </c>
      <c r="J1360" s="56">
        <v>0</v>
      </c>
      <c r="K1360" s="56">
        <v>0</v>
      </c>
      <c r="P1360" s="56">
        <v>0</v>
      </c>
      <c r="S1360" s="56">
        <v>0</v>
      </c>
      <c r="T1360" s="56" t="s">
        <v>27</v>
      </c>
      <c r="V1360" s="56" t="s">
        <v>3549</v>
      </c>
      <c r="W1360" s="56" t="s">
        <v>3548</v>
      </c>
      <c r="X1360" s="56" t="s">
        <v>3547</v>
      </c>
      <c r="Z1360" s="56" t="s">
        <v>3546</v>
      </c>
      <c r="AA1360" s="56" t="s">
        <v>5083</v>
      </c>
      <c r="AB1360" s="56" t="s">
        <v>5082</v>
      </c>
      <c r="AC1360" s="56" t="s">
        <v>3543</v>
      </c>
      <c r="AH1360" s="56" t="s">
        <v>3542</v>
      </c>
      <c r="AI1360" s="56" t="s">
        <v>3541</v>
      </c>
    </row>
    <row r="1361" spans="1:35" ht="33" customHeight="1">
      <c r="A1361" s="56" t="s">
        <v>5081</v>
      </c>
      <c r="B1361" s="57">
        <v>44364.419328703705</v>
      </c>
      <c r="C1361" s="56" t="s">
        <v>3803</v>
      </c>
      <c r="D1361" s="56" t="s">
        <v>3802</v>
      </c>
      <c r="E1361" s="56" t="s">
        <v>5080</v>
      </c>
      <c r="F1361" s="56" t="s">
        <v>5079</v>
      </c>
      <c r="G1361" s="58" t="s">
        <v>4346</v>
      </c>
      <c r="H1361" s="56">
        <v>1</v>
      </c>
      <c r="I1361" s="56" t="s">
        <v>3954</v>
      </c>
      <c r="J1361" s="56">
        <v>499</v>
      </c>
      <c r="K1361" s="56">
        <v>480</v>
      </c>
      <c r="L1361" s="56">
        <v>1828</v>
      </c>
      <c r="M1361" s="56">
        <v>0</v>
      </c>
      <c r="N1361" s="56">
        <v>0</v>
      </c>
      <c r="O1361" s="56">
        <v>100</v>
      </c>
      <c r="P1361" s="56">
        <v>0</v>
      </c>
      <c r="Q1361" s="56">
        <v>1728</v>
      </c>
      <c r="R1361" s="56">
        <v>0</v>
      </c>
      <c r="S1361" s="56">
        <v>0</v>
      </c>
      <c r="T1361" s="56" t="s">
        <v>3562</v>
      </c>
      <c r="U1361" s="56">
        <v>1728</v>
      </c>
      <c r="V1361" s="56" t="s">
        <v>3561</v>
      </c>
      <c r="W1361" s="56" t="s">
        <v>3548</v>
      </c>
      <c r="X1361" s="56" t="s">
        <v>39</v>
      </c>
      <c r="Y1361" s="56" t="s">
        <v>3589</v>
      </c>
      <c r="Z1361" s="56" t="s">
        <v>5078</v>
      </c>
      <c r="AC1361" s="56" t="s">
        <v>3543</v>
      </c>
      <c r="AD1361" s="56" t="s">
        <v>24</v>
      </c>
      <c r="AE1361" s="56" t="s">
        <v>4834</v>
      </c>
      <c r="AF1361" s="56" t="s">
        <v>5077</v>
      </c>
      <c r="AH1361" s="56" t="s">
        <v>3542</v>
      </c>
      <c r="AI1361" s="56" t="s">
        <v>3723</v>
      </c>
    </row>
    <row r="1362" spans="1:35" ht="33" customHeight="1">
      <c r="A1362" s="56" t="s">
        <v>5081</v>
      </c>
      <c r="B1362" s="57">
        <v>44364.419328703705</v>
      </c>
      <c r="C1362" s="56" t="s">
        <v>3803</v>
      </c>
      <c r="D1362" s="56" t="s">
        <v>3802</v>
      </c>
      <c r="E1362" s="56" t="s">
        <v>5080</v>
      </c>
      <c r="F1362" s="56" t="s">
        <v>5079</v>
      </c>
      <c r="G1362" s="58" t="s">
        <v>2156</v>
      </c>
      <c r="H1362" s="56">
        <v>1</v>
      </c>
      <c r="I1362" s="56" t="s">
        <v>1376</v>
      </c>
      <c r="J1362" s="56">
        <v>145</v>
      </c>
      <c r="K1362" s="56">
        <v>145</v>
      </c>
      <c r="P1362" s="56">
        <v>0</v>
      </c>
      <c r="S1362" s="56">
        <v>0</v>
      </c>
      <c r="T1362" s="56" t="s">
        <v>3562</v>
      </c>
      <c r="V1362" s="56" t="s">
        <v>3561</v>
      </c>
      <c r="W1362" s="56" t="s">
        <v>3548</v>
      </c>
      <c r="X1362" s="56" t="s">
        <v>39</v>
      </c>
      <c r="Y1362" s="56" t="s">
        <v>3589</v>
      </c>
      <c r="Z1362" s="56" t="s">
        <v>5078</v>
      </c>
      <c r="AC1362" s="56" t="s">
        <v>3543</v>
      </c>
      <c r="AD1362" s="56" t="s">
        <v>24</v>
      </c>
      <c r="AE1362" s="56" t="s">
        <v>4834</v>
      </c>
      <c r="AF1362" s="56" t="s">
        <v>5077</v>
      </c>
      <c r="AH1362" s="56" t="s">
        <v>3542</v>
      </c>
      <c r="AI1362" s="56" t="s">
        <v>3723</v>
      </c>
    </row>
    <row r="1363" spans="1:35" ht="33" customHeight="1">
      <c r="A1363" s="56" t="s">
        <v>5081</v>
      </c>
      <c r="B1363" s="57">
        <v>44364.419328703705</v>
      </c>
      <c r="C1363" s="56" t="s">
        <v>3803</v>
      </c>
      <c r="D1363" s="56" t="s">
        <v>3802</v>
      </c>
      <c r="E1363" s="56" t="s">
        <v>5080</v>
      </c>
      <c r="F1363" s="56" t="s">
        <v>5079</v>
      </c>
      <c r="G1363" s="58" t="s">
        <v>4265</v>
      </c>
      <c r="H1363" s="56">
        <v>1</v>
      </c>
      <c r="I1363" s="56" t="s">
        <v>4123</v>
      </c>
      <c r="J1363" s="56">
        <v>478</v>
      </c>
      <c r="K1363" s="56">
        <v>460</v>
      </c>
      <c r="P1363" s="56">
        <v>0</v>
      </c>
      <c r="S1363" s="56">
        <v>0</v>
      </c>
      <c r="T1363" s="56" t="s">
        <v>3562</v>
      </c>
      <c r="V1363" s="56" t="s">
        <v>3561</v>
      </c>
      <c r="W1363" s="56" t="s">
        <v>3548</v>
      </c>
      <c r="X1363" s="56" t="s">
        <v>39</v>
      </c>
      <c r="Y1363" s="56" t="s">
        <v>3589</v>
      </c>
      <c r="Z1363" s="56" t="s">
        <v>5078</v>
      </c>
      <c r="AC1363" s="56" t="s">
        <v>3543</v>
      </c>
      <c r="AD1363" s="56" t="s">
        <v>24</v>
      </c>
      <c r="AE1363" s="56" t="s">
        <v>4834</v>
      </c>
      <c r="AF1363" s="56" t="s">
        <v>5077</v>
      </c>
      <c r="AH1363" s="56" t="s">
        <v>3542</v>
      </c>
      <c r="AI1363" s="56" t="s">
        <v>3723</v>
      </c>
    </row>
    <row r="1364" spans="1:35" ht="33" customHeight="1">
      <c r="A1364" s="56" t="s">
        <v>5081</v>
      </c>
      <c r="B1364" s="57">
        <v>44364.419328703705</v>
      </c>
      <c r="C1364" s="56" t="s">
        <v>3803</v>
      </c>
      <c r="D1364" s="56" t="s">
        <v>3802</v>
      </c>
      <c r="E1364" s="56" t="s">
        <v>5080</v>
      </c>
      <c r="F1364" s="56" t="s">
        <v>5079</v>
      </c>
      <c r="G1364" s="58" t="s">
        <v>2156</v>
      </c>
      <c r="H1364" s="56">
        <v>1</v>
      </c>
      <c r="I1364" s="56" t="s">
        <v>1376</v>
      </c>
      <c r="J1364" s="56">
        <v>145</v>
      </c>
      <c r="K1364" s="56">
        <v>145</v>
      </c>
      <c r="P1364" s="56">
        <v>0</v>
      </c>
      <c r="S1364" s="56">
        <v>0</v>
      </c>
      <c r="T1364" s="56" t="s">
        <v>3562</v>
      </c>
      <c r="V1364" s="56" t="s">
        <v>3561</v>
      </c>
      <c r="W1364" s="56" t="s">
        <v>3548</v>
      </c>
      <c r="X1364" s="56" t="s">
        <v>39</v>
      </c>
      <c r="Y1364" s="56" t="s">
        <v>3589</v>
      </c>
      <c r="Z1364" s="56" t="s">
        <v>5078</v>
      </c>
      <c r="AC1364" s="56" t="s">
        <v>3543</v>
      </c>
      <c r="AD1364" s="56" t="s">
        <v>24</v>
      </c>
      <c r="AE1364" s="56" t="s">
        <v>4834</v>
      </c>
      <c r="AF1364" s="56" t="s">
        <v>5077</v>
      </c>
      <c r="AH1364" s="56" t="s">
        <v>3542</v>
      </c>
      <c r="AI1364" s="56" t="s">
        <v>3723</v>
      </c>
    </row>
    <row r="1365" spans="1:35" ht="33" customHeight="1">
      <c r="A1365" s="56" t="s">
        <v>5081</v>
      </c>
      <c r="B1365" s="57">
        <v>44364.419328703705</v>
      </c>
      <c r="C1365" s="56" t="s">
        <v>3803</v>
      </c>
      <c r="D1365" s="56" t="s">
        <v>3802</v>
      </c>
      <c r="E1365" s="56" t="s">
        <v>5080</v>
      </c>
      <c r="F1365" s="56" t="s">
        <v>5079</v>
      </c>
      <c r="G1365" s="58" t="s">
        <v>1506</v>
      </c>
      <c r="H1365" s="56">
        <v>2</v>
      </c>
      <c r="I1365" s="56" t="s">
        <v>3696</v>
      </c>
      <c r="J1365" s="56">
        <v>299</v>
      </c>
      <c r="K1365" s="56">
        <v>299</v>
      </c>
      <c r="P1365" s="56">
        <v>0</v>
      </c>
      <c r="S1365" s="56">
        <v>0</v>
      </c>
      <c r="T1365" s="56" t="s">
        <v>3562</v>
      </c>
      <c r="V1365" s="56" t="s">
        <v>3561</v>
      </c>
      <c r="W1365" s="56" t="s">
        <v>3548</v>
      </c>
      <c r="X1365" s="56" t="s">
        <v>39</v>
      </c>
      <c r="Y1365" s="56" t="s">
        <v>3589</v>
      </c>
      <c r="Z1365" s="56" t="s">
        <v>5078</v>
      </c>
      <c r="AC1365" s="56" t="s">
        <v>3543</v>
      </c>
      <c r="AD1365" s="56" t="s">
        <v>24</v>
      </c>
      <c r="AE1365" s="56" t="s">
        <v>4834</v>
      </c>
      <c r="AF1365" s="56" t="s">
        <v>5077</v>
      </c>
      <c r="AH1365" s="56" t="s">
        <v>3542</v>
      </c>
      <c r="AI1365" s="56" t="s">
        <v>3723</v>
      </c>
    </row>
    <row r="1366" spans="1:35" ht="33" customHeight="1">
      <c r="A1366" s="56" t="s">
        <v>5081</v>
      </c>
      <c r="B1366" s="57">
        <v>44364.419328703705</v>
      </c>
      <c r="C1366" s="56" t="s">
        <v>3803</v>
      </c>
      <c r="D1366" s="56" t="s">
        <v>3802</v>
      </c>
      <c r="E1366" s="56" t="s">
        <v>5080</v>
      </c>
      <c r="F1366" s="56" t="s">
        <v>5079</v>
      </c>
      <c r="G1366" s="58" t="s">
        <v>3551</v>
      </c>
      <c r="H1366" s="56">
        <v>1</v>
      </c>
      <c r="I1366" s="56" t="s">
        <v>3550</v>
      </c>
      <c r="J1366" s="56">
        <v>0</v>
      </c>
      <c r="K1366" s="56">
        <v>0</v>
      </c>
      <c r="P1366" s="56">
        <v>0</v>
      </c>
      <c r="S1366" s="56">
        <v>0</v>
      </c>
      <c r="T1366" s="56" t="s">
        <v>3562</v>
      </c>
      <c r="V1366" s="56" t="s">
        <v>3561</v>
      </c>
      <c r="W1366" s="56" t="s">
        <v>3548</v>
      </c>
      <c r="X1366" s="56" t="s">
        <v>39</v>
      </c>
      <c r="Y1366" s="56" t="s">
        <v>3589</v>
      </c>
      <c r="Z1366" s="56" t="s">
        <v>5078</v>
      </c>
      <c r="AC1366" s="56" t="s">
        <v>3543</v>
      </c>
      <c r="AD1366" s="56" t="s">
        <v>24</v>
      </c>
      <c r="AE1366" s="56" t="s">
        <v>4834</v>
      </c>
      <c r="AF1366" s="56" t="s">
        <v>5077</v>
      </c>
      <c r="AH1366" s="56" t="s">
        <v>3542</v>
      </c>
      <c r="AI1366" s="56" t="s">
        <v>3723</v>
      </c>
    </row>
    <row r="1367" spans="1:35" ht="33" customHeight="1">
      <c r="A1367" s="56" t="s">
        <v>5081</v>
      </c>
      <c r="B1367" s="57">
        <v>44364.419328703705</v>
      </c>
      <c r="C1367" s="56" t="s">
        <v>3803</v>
      </c>
      <c r="D1367" s="56" t="s">
        <v>3802</v>
      </c>
      <c r="E1367" s="56" t="s">
        <v>5080</v>
      </c>
      <c r="F1367" s="56" t="s">
        <v>5079</v>
      </c>
      <c r="G1367" s="58" t="s">
        <v>1713</v>
      </c>
      <c r="H1367" s="56">
        <v>1</v>
      </c>
      <c r="I1367" s="56" t="s">
        <v>3568</v>
      </c>
      <c r="J1367" s="56">
        <v>0</v>
      </c>
      <c r="K1367" s="56">
        <v>0</v>
      </c>
      <c r="P1367" s="56">
        <v>0</v>
      </c>
      <c r="S1367" s="56">
        <v>0</v>
      </c>
      <c r="T1367" s="56" t="s">
        <v>3562</v>
      </c>
      <c r="V1367" s="56" t="s">
        <v>3561</v>
      </c>
      <c r="W1367" s="56" t="s">
        <v>3548</v>
      </c>
      <c r="X1367" s="56" t="s">
        <v>39</v>
      </c>
      <c r="Y1367" s="56" t="s">
        <v>3589</v>
      </c>
      <c r="Z1367" s="56" t="s">
        <v>5078</v>
      </c>
      <c r="AC1367" s="56" t="s">
        <v>3543</v>
      </c>
      <c r="AD1367" s="56" t="s">
        <v>24</v>
      </c>
      <c r="AE1367" s="56" t="s">
        <v>4834</v>
      </c>
      <c r="AF1367" s="56" t="s">
        <v>5077</v>
      </c>
      <c r="AH1367" s="56" t="s">
        <v>3542</v>
      </c>
      <c r="AI1367" s="56" t="s">
        <v>3723</v>
      </c>
    </row>
    <row r="1368" spans="1:35" ht="33" customHeight="1">
      <c r="A1368" s="56" t="s">
        <v>5081</v>
      </c>
      <c r="B1368" s="57">
        <v>44364.419328703705</v>
      </c>
      <c r="C1368" s="56" t="s">
        <v>3803</v>
      </c>
      <c r="D1368" s="56" t="s">
        <v>3802</v>
      </c>
      <c r="E1368" s="56" t="s">
        <v>5080</v>
      </c>
      <c r="F1368" s="56" t="s">
        <v>5079</v>
      </c>
      <c r="G1368" s="58" t="s">
        <v>1498</v>
      </c>
      <c r="H1368" s="56">
        <v>1</v>
      </c>
      <c r="I1368" s="56" t="s">
        <v>4016</v>
      </c>
      <c r="J1368" s="56">
        <v>0</v>
      </c>
      <c r="K1368" s="56">
        <v>0</v>
      </c>
      <c r="P1368" s="56">
        <v>0</v>
      </c>
      <c r="S1368" s="56">
        <v>0</v>
      </c>
      <c r="T1368" s="56" t="s">
        <v>3562</v>
      </c>
      <c r="V1368" s="56" t="s">
        <v>3561</v>
      </c>
      <c r="W1368" s="56" t="s">
        <v>3548</v>
      </c>
      <c r="X1368" s="56" t="s">
        <v>39</v>
      </c>
      <c r="Y1368" s="56" t="s">
        <v>3589</v>
      </c>
      <c r="Z1368" s="56" t="s">
        <v>5078</v>
      </c>
      <c r="AC1368" s="56" t="s">
        <v>3543</v>
      </c>
      <c r="AD1368" s="56" t="s">
        <v>24</v>
      </c>
      <c r="AE1368" s="56" t="s">
        <v>4834</v>
      </c>
      <c r="AF1368" s="56" t="s">
        <v>5077</v>
      </c>
      <c r="AH1368" s="56" t="s">
        <v>3542</v>
      </c>
      <c r="AI1368" s="56" t="s">
        <v>3723</v>
      </c>
    </row>
    <row r="1369" spans="1:35" ht="33" customHeight="1">
      <c r="A1369" s="56" t="s">
        <v>5076</v>
      </c>
      <c r="B1369" s="57">
        <v>44364.429930555554</v>
      </c>
      <c r="C1369" s="56" t="s">
        <v>4512</v>
      </c>
      <c r="D1369" s="56" t="s">
        <v>4511</v>
      </c>
      <c r="E1369" s="56" t="s">
        <v>5075</v>
      </c>
      <c r="F1369" s="56" t="s">
        <v>5074</v>
      </c>
      <c r="G1369" s="58" t="s">
        <v>1506</v>
      </c>
      <c r="H1369" s="56">
        <v>2</v>
      </c>
      <c r="I1369" s="56" t="s">
        <v>3696</v>
      </c>
      <c r="J1369" s="56">
        <v>299</v>
      </c>
      <c r="K1369" s="56">
        <v>299</v>
      </c>
      <c r="L1369" s="56">
        <v>1196</v>
      </c>
      <c r="M1369" s="56">
        <v>0</v>
      </c>
      <c r="N1369" s="56">
        <v>0</v>
      </c>
      <c r="O1369" s="56">
        <v>120</v>
      </c>
      <c r="P1369" s="56">
        <v>0</v>
      </c>
      <c r="Q1369" s="56">
        <v>1076</v>
      </c>
      <c r="R1369" s="56">
        <v>0</v>
      </c>
      <c r="S1369" s="56">
        <v>0</v>
      </c>
      <c r="T1369" s="56" t="s">
        <v>3562</v>
      </c>
      <c r="U1369" s="56">
        <v>1076</v>
      </c>
      <c r="V1369" s="56" t="s">
        <v>3612</v>
      </c>
      <c r="W1369" s="56" t="s">
        <v>3548</v>
      </c>
      <c r="X1369" s="56" t="s">
        <v>3611</v>
      </c>
      <c r="Z1369" s="56" t="s">
        <v>3546</v>
      </c>
      <c r="AA1369" s="56" t="s">
        <v>5073</v>
      </c>
      <c r="AB1369" s="56" t="s">
        <v>5072</v>
      </c>
      <c r="AC1369" s="56" t="s">
        <v>3543</v>
      </c>
      <c r="AD1369" s="56" t="s">
        <v>24</v>
      </c>
      <c r="AE1369" s="56" t="s">
        <v>3862</v>
      </c>
      <c r="AF1369" s="56" t="s">
        <v>5071</v>
      </c>
      <c r="AH1369" s="56" t="s">
        <v>3542</v>
      </c>
      <c r="AI1369" s="56" t="s">
        <v>3723</v>
      </c>
    </row>
    <row r="1370" spans="1:35" ht="33" customHeight="1">
      <c r="A1370" s="56" t="s">
        <v>5076</v>
      </c>
      <c r="B1370" s="57">
        <v>44364.429930555554</v>
      </c>
      <c r="C1370" s="56" t="s">
        <v>4512</v>
      </c>
      <c r="D1370" s="56" t="s">
        <v>4511</v>
      </c>
      <c r="E1370" s="56" t="s">
        <v>5075</v>
      </c>
      <c r="F1370" s="56" t="s">
        <v>5074</v>
      </c>
      <c r="G1370" s="58" t="s">
        <v>1510</v>
      </c>
      <c r="H1370" s="56">
        <v>1</v>
      </c>
      <c r="I1370" s="56" t="s">
        <v>3696</v>
      </c>
      <c r="J1370" s="56">
        <v>299</v>
      </c>
      <c r="K1370" s="56">
        <v>299</v>
      </c>
      <c r="P1370" s="56">
        <v>0</v>
      </c>
      <c r="S1370" s="56">
        <v>0</v>
      </c>
      <c r="T1370" s="56" t="s">
        <v>3562</v>
      </c>
      <c r="V1370" s="56" t="s">
        <v>3612</v>
      </c>
      <c r="W1370" s="56" t="s">
        <v>3548</v>
      </c>
      <c r="X1370" s="56" t="s">
        <v>3611</v>
      </c>
      <c r="Z1370" s="56" t="s">
        <v>3546</v>
      </c>
      <c r="AA1370" s="56" t="s">
        <v>5073</v>
      </c>
      <c r="AB1370" s="56" t="s">
        <v>5072</v>
      </c>
      <c r="AC1370" s="56" t="s">
        <v>3543</v>
      </c>
      <c r="AD1370" s="56" t="s">
        <v>24</v>
      </c>
      <c r="AE1370" s="56" t="s">
        <v>3862</v>
      </c>
      <c r="AF1370" s="56" t="s">
        <v>5071</v>
      </c>
      <c r="AH1370" s="56" t="s">
        <v>3542</v>
      </c>
      <c r="AI1370" s="56" t="s">
        <v>3723</v>
      </c>
    </row>
    <row r="1371" spans="1:35" ht="33" customHeight="1">
      <c r="A1371" s="56" t="s">
        <v>5076</v>
      </c>
      <c r="B1371" s="57">
        <v>44364.429930555554</v>
      </c>
      <c r="C1371" s="56" t="s">
        <v>4512</v>
      </c>
      <c r="D1371" s="56" t="s">
        <v>4511</v>
      </c>
      <c r="E1371" s="56" t="s">
        <v>5075</v>
      </c>
      <c r="F1371" s="56" t="s">
        <v>5074</v>
      </c>
      <c r="G1371" s="58" t="s">
        <v>1508</v>
      </c>
      <c r="H1371" s="56">
        <v>1</v>
      </c>
      <c r="I1371" s="56" t="s">
        <v>3696</v>
      </c>
      <c r="J1371" s="56">
        <v>299</v>
      </c>
      <c r="K1371" s="56">
        <v>299</v>
      </c>
      <c r="P1371" s="56">
        <v>0</v>
      </c>
      <c r="S1371" s="56">
        <v>0</v>
      </c>
      <c r="T1371" s="56" t="s">
        <v>3562</v>
      </c>
      <c r="V1371" s="56" t="s">
        <v>3612</v>
      </c>
      <c r="W1371" s="56" t="s">
        <v>3548</v>
      </c>
      <c r="X1371" s="56" t="s">
        <v>3611</v>
      </c>
      <c r="Z1371" s="56" t="s">
        <v>3546</v>
      </c>
      <c r="AA1371" s="56" t="s">
        <v>5073</v>
      </c>
      <c r="AB1371" s="56" t="s">
        <v>5072</v>
      </c>
      <c r="AC1371" s="56" t="s">
        <v>3543</v>
      </c>
      <c r="AD1371" s="56" t="s">
        <v>24</v>
      </c>
      <c r="AE1371" s="56" t="s">
        <v>3862</v>
      </c>
      <c r="AF1371" s="56" t="s">
        <v>5071</v>
      </c>
      <c r="AH1371" s="56" t="s">
        <v>3542</v>
      </c>
      <c r="AI1371" s="56" t="s">
        <v>3723</v>
      </c>
    </row>
    <row r="1372" spans="1:35" ht="33" customHeight="1">
      <c r="A1372" s="56" t="s">
        <v>5076</v>
      </c>
      <c r="B1372" s="57">
        <v>44364.429930555554</v>
      </c>
      <c r="C1372" s="56" t="s">
        <v>4512</v>
      </c>
      <c r="D1372" s="56" t="s">
        <v>4511</v>
      </c>
      <c r="E1372" s="56" t="s">
        <v>5075</v>
      </c>
      <c r="F1372" s="56" t="s">
        <v>5074</v>
      </c>
      <c r="G1372" s="58" t="s">
        <v>3551</v>
      </c>
      <c r="H1372" s="56">
        <v>1</v>
      </c>
      <c r="I1372" s="56" t="s">
        <v>3550</v>
      </c>
      <c r="J1372" s="56">
        <v>0</v>
      </c>
      <c r="K1372" s="56">
        <v>0</v>
      </c>
      <c r="P1372" s="56">
        <v>0</v>
      </c>
      <c r="S1372" s="56">
        <v>0</v>
      </c>
      <c r="T1372" s="56" t="s">
        <v>3562</v>
      </c>
      <c r="V1372" s="56" t="s">
        <v>3612</v>
      </c>
      <c r="W1372" s="56" t="s">
        <v>3548</v>
      </c>
      <c r="X1372" s="56" t="s">
        <v>3611</v>
      </c>
      <c r="Z1372" s="56" t="s">
        <v>3546</v>
      </c>
      <c r="AA1372" s="56" t="s">
        <v>5073</v>
      </c>
      <c r="AB1372" s="56" t="s">
        <v>5072</v>
      </c>
      <c r="AC1372" s="56" t="s">
        <v>3543</v>
      </c>
      <c r="AD1372" s="56" t="s">
        <v>24</v>
      </c>
      <c r="AE1372" s="56" t="s">
        <v>3862</v>
      </c>
      <c r="AF1372" s="56" t="s">
        <v>5071</v>
      </c>
      <c r="AH1372" s="56" t="s">
        <v>3542</v>
      </c>
      <c r="AI1372" s="56" t="s">
        <v>3723</v>
      </c>
    </row>
    <row r="1373" spans="1:35" ht="33" customHeight="1">
      <c r="A1373" s="56" t="s">
        <v>5076</v>
      </c>
      <c r="B1373" s="57">
        <v>44364.429930555554</v>
      </c>
      <c r="C1373" s="56" t="s">
        <v>4512</v>
      </c>
      <c r="D1373" s="56" t="s">
        <v>4511</v>
      </c>
      <c r="E1373" s="56" t="s">
        <v>5075</v>
      </c>
      <c r="F1373" s="56" t="s">
        <v>5074</v>
      </c>
      <c r="G1373" s="58" t="s">
        <v>1498</v>
      </c>
      <c r="H1373" s="56">
        <v>1</v>
      </c>
      <c r="I1373" s="56" t="s">
        <v>4016</v>
      </c>
      <c r="J1373" s="56">
        <v>0</v>
      </c>
      <c r="K1373" s="56">
        <v>0</v>
      </c>
      <c r="P1373" s="56">
        <v>0</v>
      </c>
      <c r="S1373" s="56">
        <v>0</v>
      </c>
      <c r="T1373" s="56" t="s">
        <v>3562</v>
      </c>
      <c r="V1373" s="56" t="s">
        <v>3612</v>
      </c>
      <c r="W1373" s="56" t="s">
        <v>3548</v>
      </c>
      <c r="X1373" s="56" t="s">
        <v>3611</v>
      </c>
      <c r="Z1373" s="56" t="s">
        <v>3546</v>
      </c>
      <c r="AA1373" s="56" t="s">
        <v>5073</v>
      </c>
      <c r="AB1373" s="56" t="s">
        <v>5072</v>
      </c>
      <c r="AC1373" s="56" t="s">
        <v>3543</v>
      </c>
      <c r="AD1373" s="56" t="s">
        <v>24</v>
      </c>
      <c r="AE1373" s="56" t="s">
        <v>3862</v>
      </c>
      <c r="AF1373" s="56" t="s">
        <v>5071</v>
      </c>
      <c r="AH1373" s="56" t="s">
        <v>3542</v>
      </c>
      <c r="AI1373" s="56" t="s">
        <v>3723</v>
      </c>
    </row>
    <row r="1374" spans="1:35" ht="33" customHeight="1">
      <c r="A1374" s="56" t="s">
        <v>5070</v>
      </c>
      <c r="B1374" s="57">
        <v>44364.441817129627</v>
      </c>
      <c r="C1374" s="56" t="s">
        <v>3803</v>
      </c>
      <c r="D1374" s="56" t="s">
        <v>4426</v>
      </c>
      <c r="E1374" s="56" t="s">
        <v>5069</v>
      </c>
      <c r="F1374" s="56" t="s">
        <v>5068</v>
      </c>
      <c r="G1374" s="58" t="s">
        <v>1491</v>
      </c>
      <c r="H1374" s="56">
        <v>1</v>
      </c>
      <c r="I1374" s="56" t="s">
        <v>3586</v>
      </c>
      <c r="J1374" s="56">
        <v>149</v>
      </c>
      <c r="K1374" s="56">
        <v>149</v>
      </c>
      <c r="L1374" s="56">
        <v>294</v>
      </c>
      <c r="M1374" s="56">
        <v>65</v>
      </c>
      <c r="N1374" s="56">
        <v>0</v>
      </c>
      <c r="O1374" s="56">
        <v>0</v>
      </c>
      <c r="P1374" s="56">
        <v>0</v>
      </c>
      <c r="Q1374" s="56">
        <v>359</v>
      </c>
      <c r="R1374" s="56">
        <v>0</v>
      </c>
      <c r="S1374" s="56">
        <v>0</v>
      </c>
      <c r="T1374" s="56" t="s">
        <v>27</v>
      </c>
      <c r="U1374" s="56">
        <v>359</v>
      </c>
      <c r="V1374" s="56" t="s">
        <v>3612</v>
      </c>
      <c r="W1374" s="56" t="s">
        <v>3548</v>
      </c>
      <c r="X1374" s="56" t="s">
        <v>3611</v>
      </c>
      <c r="Z1374" s="56" t="s">
        <v>3546</v>
      </c>
      <c r="AA1374" s="56" t="s">
        <v>5067</v>
      </c>
      <c r="AB1374" s="56" t="s">
        <v>5066</v>
      </c>
      <c r="AC1374" s="56" t="s">
        <v>3543</v>
      </c>
      <c r="AH1374" s="56" t="s">
        <v>3542</v>
      </c>
      <c r="AI1374" s="56" t="s">
        <v>3541</v>
      </c>
    </row>
    <row r="1375" spans="1:35" ht="33" customHeight="1">
      <c r="A1375" s="56" t="s">
        <v>5070</v>
      </c>
      <c r="B1375" s="57">
        <v>44364.441817129627</v>
      </c>
      <c r="C1375" s="56" t="s">
        <v>3803</v>
      </c>
      <c r="D1375" s="56" t="s">
        <v>4426</v>
      </c>
      <c r="E1375" s="56" t="s">
        <v>5069</v>
      </c>
      <c r="F1375" s="56" t="s">
        <v>5068</v>
      </c>
      <c r="G1375" s="58" t="s">
        <v>2156</v>
      </c>
      <c r="H1375" s="56">
        <v>1</v>
      </c>
      <c r="I1375" s="56" t="s">
        <v>1376</v>
      </c>
      <c r="J1375" s="56">
        <v>145</v>
      </c>
      <c r="K1375" s="56">
        <v>145</v>
      </c>
      <c r="P1375" s="56">
        <v>0</v>
      </c>
      <c r="S1375" s="56">
        <v>0</v>
      </c>
      <c r="T1375" s="56" t="s">
        <v>27</v>
      </c>
      <c r="V1375" s="56" t="s">
        <v>3612</v>
      </c>
      <c r="W1375" s="56" t="s">
        <v>3548</v>
      </c>
      <c r="X1375" s="56" t="s">
        <v>3611</v>
      </c>
      <c r="Z1375" s="56" t="s">
        <v>3546</v>
      </c>
      <c r="AA1375" s="56" t="s">
        <v>5067</v>
      </c>
      <c r="AB1375" s="56" t="s">
        <v>5066</v>
      </c>
      <c r="AC1375" s="56" t="s">
        <v>3543</v>
      </c>
      <c r="AH1375" s="56" t="s">
        <v>3542</v>
      </c>
      <c r="AI1375" s="56" t="s">
        <v>3541</v>
      </c>
    </row>
    <row r="1376" spans="1:35" ht="33" customHeight="1">
      <c r="A1376" s="56" t="s">
        <v>5070</v>
      </c>
      <c r="B1376" s="57">
        <v>44364.441817129627</v>
      </c>
      <c r="C1376" s="56" t="s">
        <v>3803</v>
      </c>
      <c r="D1376" s="56" t="s">
        <v>4426</v>
      </c>
      <c r="E1376" s="56" t="s">
        <v>5069</v>
      </c>
      <c r="F1376" s="56" t="s">
        <v>5068</v>
      </c>
      <c r="G1376" s="58" t="s">
        <v>3551</v>
      </c>
      <c r="H1376" s="56">
        <v>1</v>
      </c>
      <c r="I1376" s="56" t="s">
        <v>3550</v>
      </c>
      <c r="J1376" s="56">
        <v>0</v>
      </c>
      <c r="K1376" s="56">
        <v>0</v>
      </c>
      <c r="P1376" s="56">
        <v>0</v>
      </c>
      <c r="S1376" s="56">
        <v>0</v>
      </c>
      <c r="T1376" s="56" t="s">
        <v>27</v>
      </c>
      <c r="V1376" s="56" t="s">
        <v>3612</v>
      </c>
      <c r="W1376" s="56" t="s">
        <v>3548</v>
      </c>
      <c r="X1376" s="56" t="s">
        <v>3611</v>
      </c>
      <c r="Z1376" s="56" t="s">
        <v>3546</v>
      </c>
      <c r="AA1376" s="56" t="s">
        <v>5067</v>
      </c>
      <c r="AB1376" s="56" t="s">
        <v>5066</v>
      </c>
      <c r="AC1376" s="56" t="s">
        <v>3543</v>
      </c>
      <c r="AH1376" s="56" t="s">
        <v>3542</v>
      </c>
      <c r="AI1376" s="56" t="s">
        <v>3541</v>
      </c>
    </row>
    <row r="1377" spans="1:35" ht="33" customHeight="1">
      <c r="A1377" s="56" t="s">
        <v>5064</v>
      </c>
      <c r="B1377" s="57">
        <v>44364.477986111109</v>
      </c>
      <c r="C1377" s="56" t="s">
        <v>3803</v>
      </c>
      <c r="D1377" s="56" t="s">
        <v>3802</v>
      </c>
      <c r="E1377" s="56" t="s">
        <v>5063</v>
      </c>
      <c r="F1377" s="56" t="s">
        <v>5062</v>
      </c>
      <c r="G1377" s="58" t="s">
        <v>5065</v>
      </c>
      <c r="H1377" s="56">
        <v>1</v>
      </c>
      <c r="I1377" s="56" t="s">
        <v>3655</v>
      </c>
      <c r="J1377" s="56">
        <v>1107</v>
      </c>
      <c r="K1377" s="56">
        <v>799</v>
      </c>
      <c r="L1377" s="56">
        <v>2355</v>
      </c>
      <c r="M1377" s="56">
        <v>0</v>
      </c>
      <c r="N1377" s="56">
        <v>50</v>
      </c>
      <c r="O1377" s="56">
        <v>157</v>
      </c>
      <c r="P1377" s="56">
        <v>0</v>
      </c>
      <c r="Q1377" s="56">
        <v>2148</v>
      </c>
      <c r="R1377" s="56">
        <v>0</v>
      </c>
      <c r="S1377" s="56">
        <v>0</v>
      </c>
      <c r="T1377" s="56" t="s">
        <v>3562</v>
      </c>
      <c r="U1377" s="56">
        <v>2148</v>
      </c>
      <c r="V1377" s="56" t="s">
        <v>3561</v>
      </c>
      <c r="W1377" s="56" t="s">
        <v>3548</v>
      </c>
      <c r="X1377" s="56" t="s">
        <v>39</v>
      </c>
      <c r="Y1377" s="56" t="s">
        <v>4205</v>
      </c>
      <c r="Z1377" s="56" t="s">
        <v>5061</v>
      </c>
      <c r="AC1377" s="56" t="s">
        <v>3623</v>
      </c>
      <c r="AD1377" s="56" t="s">
        <v>24</v>
      </c>
      <c r="AE1377" s="56" t="s">
        <v>4834</v>
      </c>
      <c r="AF1377" s="56" t="s">
        <v>5060</v>
      </c>
      <c r="AG1377" s="56" t="s">
        <v>5059</v>
      </c>
      <c r="AH1377" s="56" t="s">
        <v>3621</v>
      </c>
      <c r="AI1377" s="56" t="s">
        <v>3723</v>
      </c>
    </row>
    <row r="1378" spans="1:35" ht="33" customHeight="1">
      <c r="A1378" s="56" t="s">
        <v>5064</v>
      </c>
      <c r="B1378" s="57">
        <v>44364.477986111109</v>
      </c>
      <c r="C1378" s="56" t="s">
        <v>3803</v>
      </c>
      <c r="D1378" s="56" t="s">
        <v>3802</v>
      </c>
      <c r="E1378" s="56" t="s">
        <v>5063</v>
      </c>
      <c r="F1378" s="56" t="s">
        <v>5062</v>
      </c>
      <c r="G1378" s="58" t="s">
        <v>4048</v>
      </c>
      <c r="H1378" s="56">
        <v>1</v>
      </c>
      <c r="I1378" s="56" t="s">
        <v>3669</v>
      </c>
      <c r="J1378" s="56">
        <v>897</v>
      </c>
      <c r="K1378" s="56">
        <v>888</v>
      </c>
      <c r="P1378" s="56">
        <v>0</v>
      </c>
      <c r="S1378" s="56">
        <v>0</v>
      </c>
      <c r="T1378" s="56" t="s">
        <v>3562</v>
      </c>
      <c r="V1378" s="56" t="s">
        <v>3561</v>
      </c>
      <c r="W1378" s="56" t="s">
        <v>3548</v>
      </c>
      <c r="X1378" s="56" t="s">
        <v>39</v>
      </c>
      <c r="Y1378" s="56" t="s">
        <v>4205</v>
      </c>
      <c r="Z1378" s="56" t="s">
        <v>5061</v>
      </c>
      <c r="AC1378" s="56" t="s">
        <v>3623</v>
      </c>
      <c r="AD1378" s="56" t="s">
        <v>24</v>
      </c>
      <c r="AE1378" s="56" t="s">
        <v>4834</v>
      </c>
      <c r="AF1378" s="56" t="s">
        <v>5060</v>
      </c>
      <c r="AG1378" s="56" t="s">
        <v>5059</v>
      </c>
      <c r="AH1378" s="56" t="s">
        <v>3621</v>
      </c>
      <c r="AI1378" s="56" t="s">
        <v>3723</v>
      </c>
    </row>
    <row r="1379" spans="1:35" ht="33" customHeight="1">
      <c r="A1379" s="56" t="s">
        <v>5064</v>
      </c>
      <c r="B1379" s="57">
        <v>44364.477986111109</v>
      </c>
      <c r="C1379" s="56" t="s">
        <v>3803</v>
      </c>
      <c r="D1379" s="56" t="s">
        <v>3802</v>
      </c>
      <c r="E1379" s="56" t="s">
        <v>5063</v>
      </c>
      <c r="F1379" s="56" t="s">
        <v>5062</v>
      </c>
      <c r="G1379" s="58" t="s">
        <v>3732</v>
      </c>
      <c r="H1379" s="56">
        <v>1</v>
      </c>
      <c r="I1379" s="56" t="s">
        <v>3731</v>
      </c>
      <c r="J1379" s="56">
        <v>867</v>
      </c>
      <c r="K1379" s="56">
        <v>550</v>
      </c>
      <c r="P1379" s="56">
        <v>0</v>
      </c>
      <c r="S1379" s="56">
        <v>0</v>
      </c>
      <c r="T1379" s="56" t="s">
        <v>3562</v>
      </c>
      <c r="V1379" s="56" t="s">
        <v>3561</v>
      </c>
      <c r="W1379" s="56" t="s">
        <v>3548</v>
      </c>
      <c r="X1379" s="56" t="s">
        <v>39</v>
      </c>
      <c r="Y1379" s="56" t="s">
        <v>4205</v>
      </c>
      <c r="Z1379" s="56" t="s">
        <v>5061</v>
      </c>
      <c r="AC1379" s="56" t="s">
        <v>3623</v>
      </c>
      <c r="AD1379" s="56" t="s">
        <v>24</v>
      </c>
      <c r="AE1379" s="56" t="s">
        <v>4834</v>
      </c>
      <c r="AF1379" s="56" t="s">
        <v>5060</v>
      </c>
      <c r="AG1379" s="56" t="s">
        <v>5059</v>
      </c>
      <c r="AH1379" s="56" t="s">
        <v>3621</v>
      </c>
      <c r="AI1379" s="56" t="s">
        <v>3723</v>
      </c>
    </row>
    <row r="1380" spans="1:35" ht="33" customHeight="1">
      <c r="A1380" s="56" t="s">
        <v>5064</v>
      </c>
      <c r="B1380" s="57">
        <v>44364.477986111109</v>
      </c>
      <c r="C1380" s="56" t="s">
        <v>3803</v>
      </c>
      <c r="D1380" s="56" t="s">
        <v>3802</v>
      </c>
      <c r="E1380" s="56" t="s">
        <v>5063</v>
      </c>
      <c r="F1380" s="56" t="s">
        <v>5062</v>
      </c>
      <c r="G1380" s="58" t="s">
        <v>3217</v>
      </c>
      <c r="H1380" s="56">
        <v>2</v>
      </c>
      <c r="I1380" s="56" t="s">
        <v>3720</v>
      </c>
      <c r="J1380" s="56">
        <v>59</v>
      </c>
      <c r="K1380" s="56">
        <v>59</v>
      </c>
      <c r="P1380" s="56">
        <v>0</v>
      </c>
      <c r="S1380" s="56">
        <v>0</v>
      </c>
      <c r="T1380" s="56" t="s">
        <v>3562</v>
      </c>
      <c r="V1380" s="56" t="s">
        <v>3561</v>
      </c>
      <c r="W1380" s="56" t="s">
        <v>3548</v>
      </c>
      <c r="X1380" s="56" t="s">
        <v>39</v>
      </c>
      <c r="Y1380" s="56" t="s">
        <v>4205</v>
      </c>
      <c r="Z1380" s="56" t="s">
        <v>5061</v>
      </c>
      <c r="AC1380" s="56" t="s">
        <v>3623</v>
      </c>
      <c r="AD1380" s="56" t="s">
        <v>24</v>
      </c>
      <c r="AE1380" s="56" t="s">
        <v>4834</v>
      </c>
      <c r="AF1380" s="56" t="s">
        <v>5060</v>
      </c>
      <c r="AG1380" s="56" t="s">
        <v>5059</v>
      </c>
      <c r="AH1380" s="56" t="s">
        <v>3621</v>
      </c>
      <c r="AI1380" s="56" t="s">
        <v>3723</v>
      </c>
    </row>
    <row r="1381" spans="1:35" ht="33" customHeight="1">
      <c r="A1381" s="56" t="s">
        <v>5064</v>
      </c>
      <c r="B1381" s="57">
        <v>44364.477986111109</v>
      </c>
      <c r="C1381" s="56" t="s">
        <v>3803</v>
      </c>
      <c r="D1381" s="56" t="s">
        <v>3802</v>
      </c>
      <c r="E1381" s="56" t="s">
        <v>5063</v>
      </c>
      <c r="F1381" s="56" t="s">
        <v>5062</v>
      </c>
      <c r="G1381" s="58" t="s">
        <v>3551</v>
      </c>
      <c r="H1381" s="56">
        <v>1</v>
      </c>
      <c r="I1381" s="56" t="s">
        <v>3550</v>
      </c>
      <c r="J1381" s="56">
        <v>0</v>
      </c>
      <c r="K1381" s="56">
        <v>0</v>
      </c>
      <c r="P1381" s="56">
        <v>0</v>
      </c>
      <c r="S1381" s="56">
        <v>0</v>
      </c>
      <c r="T1381" s="56" t="s">
        <v>3562</v>
      </c>
      <c r="V1381" s="56" t="s">
        <v>3561</v>
      </c>
      <c r="W1381" s="56" t="s">
        <v>3548</v>
      </c>
      <c r="X1381" s="56" t="s">
        <v>39</v>
      </c>
      <c r="Y1381" s="56" t="s">
        <v>4205</v>
      </c>
      <c r="Z1381" s="56" t="s">
        <v>5061</v>
      </c>
      <c r="AC1381" s="56" t="s">
        <v>3623</v>
      </c>
      <c r="AD1381" s="56" t="s">
        <v>24</v>
      </c>
      <c r="AE1381" s="56" t="s">
        <v>4834</v>
      </c>
      <c r="AF1381" s="56" t="s">
        <v>5060</v>
      </c>
      <c r="AG1381" s="56" t="s">
        <v>5059</v>
      </c>
      <c r="AH1381" s="56" t="s">
        <v>3621</v>
      </c>
      <c r="AI1381" s="56" t="s">
        <v>3723</v>
      </c>
    </row>
    <row r="1382" spans="1:35" ht="33" customHeight="1">
      <c r="A1382" s="56" t="s">
        <v>5064</v>
      </c>
      <c r="B1382" s="57">
        <v>44364.477986111109</v>
      </c>
      <c r="C1382" s="56" t="s">
        <v>3803</v>
      </c>
      <c r="D1382" s="56" t="s">
        <v>3802</v>
      </c>
      <c r="E1382" s="56" t="s">
        <v>5063</v>
      </c>
      <c r="F1382" s="56" t="s">
        <v>5062</v>
      </c>
      <c r="G1382" s="58" t="s">
        <v>1713</v>
      </c>
      <c r="H1382" s="56">
        <v>1</v>
      </c>
      <c r="I1382" s="56" t="s">
        <v>3568</v>
      </c>
      <c r="J1382" s="56">
        <v>0</v>
      </c>
      <c r="K1382" s="56">
        <v>0</v>
      </c>
      <c r="P1382" s="56">
        <v>0</v>
      </c>
      <c r="S1382" s="56">
        <v>0</v>
      </c>
      <c r="T1382" s="56" t="s">
        <v>3562</v>
      </c>
      <c r="V1382" s="56" t="s">
        <v>3561</v>
      </c>
      <c r="W1382" s="56" t="s">
        <v>3548</v>
      </c>
      <c r="X1382" s="56" t="s">
        <v>39</v>
      </c>
      <c r="Y1382" s="56" t="s">
        <v>4205</v>
      </c>
      <c r="Z1382" s="56" t="s">
        <v>5061</v>
      </c>
      <c r="AC1382" s="56" t="s">
        <v>3623</v>
      </c>
      <c r="AD1382" s="56" t="s">
        <v>24</v>
      </c>
      <c r="AE1382" s="56" t="s">
        <v>4834</v>
      </c>
      <c r="AF1382" s="56" t="s">
        <v>5060</v>
      </c>
      <c r="AG1382" s="56" t="s">
        <v>5059</v>
      </c>
      <c r="AH1382" s="56" t="s">
        <v>3621</v>
      </c>
      <c r="AI1382" s="56" t="s">
        <v>3723</v>
      </c>
    </row>
    <row r="1383" spans="1:35" ht="33" customHeight="1">
      <c r="A1383" s="56" t="s">
        <v>5064</v>
      </c>
      <c r="B1383" s="57">
        <v>44364.477986111109</v>
      </c>
      <c r="C1383" s="56" t="s">
        <v>3803</v>
      </c>
      <c r="D1383" s="56" t="s">
        <v>3802</v>
      </c>
      <c r="E1383" s="56" t="s">
        <v>5063</v>
      </c>
      <c r="F1383" s="56" t="s">
        <v>5062</v>
      </c>
      <c r="G1383" s="58" t="s">
        <v>1498</v>
      </c>
      <c r="H1383" s="56">
        <v>1</v>
      </c>
      <c r="I1383" s="56" t="s">
        <v>4016</v>
      </c>
      <c r="J1383" s="56">
        <v>0</v>
      </c>
      <c r="K1383" s="56">
        <v>0</v>
      </c>
      <c r="P1383" s="56">
        <v>0</v>
      </c>
      <c r="S1383" s="56">
        <v>0</v>
      </c>
      <c r="T1383" s="56" t="s">
        <v>3562</v>
      </c>
      <c r="V1383" s="56" t="s">
        <v>3561</v>
      </c>
      <c r="W1383" s="56" t="s">
        <v>3548</v>
      </c>
      <c r="X1383" s="56" t="s">
        <v>39</v>
      </c>
      <c r="Y1383" s="56" t="s">
        <v>4205</v>
      </c>
      <c r="Z1383" s="56" t="s">
        <v>5061</v>
      </c>
      <c r="AC1383" s="56" t="s">
        <v>3623</v>
      </c>
      <c r="AD1383" s="56" t="s">
        <v>24</v>
      </c>
      <c r="AE1383" s="56" t="s">
        <v>4834</v>
      </c>
      <c r="AF1383" s="56" t="s">
        <v>5060</v>
      </c>
      <c r="AG1383" s="56" t="s">
        <v>5059</v>
      </c>
      <c r="AH1383" s="56" t="s">
        <v>3621</v>
      </c>
      <c r="AI1383" s="56" t="s">
        <v>3723</v>
      </c>
    </row>
    <row r="1384" spans="1:35" ht="33" customHeight="1">
      <c r="A1384" s="56" t="s">
        <v>5064</v>
      </c>
      <c r="B1384" s="57">
        <v>44364.477986111109</v>
      </c>
      <c r="C1384" s="56" t="s">
        <v>3803</v>
      </c>
      <c r="D1384" s="56" t="s">
        <v>3802</v>
      </c>
      <c r="E1384" s="56" t="s">
        <v>5063</v>
      </c>
      <c r="F1384" s="56" t="s">
        <v>5062</v>
      </c>
      <c r="G1384" s="58" t="s">
        <v>3564</v>
      </c>
      <c r="H1384" s="56">
        <v>1</v>
      </c>
      <c r="I1384" s="56" t="s">
        <v>3563</v>
      </c>
      <c r="J1384" s="56">
        <v>0</v>
      </c>
      <c r="K1384" s="56">
        <v>0</v>
      </c>
      <c r="P1384" s="56">
        <v>0</v>
      </c>
      <c r="S1384" s="56">
        <v>0</v>
      </c>
      <c r="T1384" s="56" t="s">
        <v>3562</v>
      </c>
      <c r="V1384" s="56" t="s">
        <v>3561</v>
      </c>
      <c r="W1384" s="56" t="s">
        <v>3548</v>
      </c>
      <c r="X1384" s="56" t="s">
        <v>39</v>
      </c>
      <c r="Y1384" s="56" t="s">
        <v>4205</v>
      </c>
      <c r="Z1384" s="56" t="s">
        <v>5061</v>
      </c>
      <c r="AC1384" s="56" t="s">
        <v>3623</v>
      </c>
      <c r="AD1384" s="56" t="s">
        <v>24</v>
      </c>
      <c r="AE1384" s="56" t="s">
        <v>4834</v>
      </c>
      <c r="AF1384" s="56" t="s">
        <v>5060</v>
      </c>
      <c r="AG1384" s="56" t="s">
        <v>5059</v>
      </c>
      <c r="AH1384" s="56" t="s">
        <v>3621</v>
      </c>
      <c r="AI1384" s="56" t="s">
        <v>3723</v>
      </c>
    </row>
    <row r="1385" spans="1:35" ht="33" customHeight="1">
      <c r="A1385" s="56" t="s">
        <v>5058</v>
      </c>
      <c r="B1385" s="57">
        <v>44364.501979166664</v>
      </c>
      <c r="C1385" s="56" t="s">
        <v>3803</v>
      </c>
      <c r="D1385" s="56" t="s">
        <v>3802</v>
      </c>
      <c r="E1385" s="56" t="s">
        <v>5057</v>
      </c>
      <c r="F1385" s="56" t="s">
        <v>5056</v>
      </c>
      <c r="G1385" s="58" t="s">
        <v>3656</v>
      </c>
      <c r="H1385" s="56">
        <v>1</v>
      </c>
      <c r="I1385" s="56" t="s">
        <v>3655</v>
      </c>
      <c r="J1385" s="56">
        <v>1107</v>
      </c>
      <c r="K1385" s="56">
        <v>799</v>
      </c>
      <c r="L1385" s="56">
        <v>1349</v>
      </c>
      <c r="M1385" s="56">
        <v>0</v>
      </c>
      <c r="N1385" s="56">
        <v>0</v>
      </c>
      <c r="O1385" s="56">
        <v>100</v>
      </c>
      <c r="P1385" s="56">
        <v>0</v>
      </c>
      <c r="Q1385" s="56">
        <v>1249</v>
      </c>
      <c r="R1385" s="56">
        <v>0</v>
      </c>
      <c r="S1385" s="56">
        <v>0</v>
      </c>
      <c r="T1385" s="56" t="s">
        <v>3562</v>
      </c>
      <c r="U1385" s="56">
        <v>1249</v>
      </c>
      <c r="V1385" s="56" t="s">
        <v>3561</v>
      </c>
      <c r="W1385" s="56" t="s">
        <v>3548</v>
      </c>
      <c r="X1385" s="56" t="s">
        <v>39</v>
      </c>
      <c r="Y1385" s="56" t="s">
        <v>3597</v>
      </c>
      <c r="Z1385" s="56" t="s">
        <v>5055</v>
      </c>
      <c r="AC1385" s="56" t="s">
        <v>3543</v>
      </c>
      <c r="AD1385" s="56" t="s">
        <v>24</v>
      </c>
      <c r="AE1385" s="56" t="s">
        <v>4834</v>
      </c>
      <c r="AF1385" s="56" t="s">
        <v>5054</v>
      </c>
      <c r="AH1385" s="56" t="s">
        <v>3542</v>
      </c>
      <c r="AI1385" s="56" t="s">
        <v>3723</v>
      </c>
    </row>
    <row r="1386" spans="1:35" ht="33" customHeight="1">
      <c r="A1386" s="56" t="s">
        <v>5058</v>
      </c>
      <c r="B1386" s="57">
        <v>44364.501979166664</v>
      </c>
      <c r="C1386" s="56" t="s">
        <v>3803</v>
      </c>
      <c r="D1386" s="56" t="s">
        <v>3802</v>
      </c>
      <c r="E1386" s="56" t="s">
        <v>5057</v>
      </c>
      <c r="F1386" s="56" t="s">
        <v>5056</v>
      </c>
      <c r="G1386" s="58" t="s">
        <v>3732</v>
      </c>
      <c r="H1386" s="56">
        <v>1</v>
      </c>
      <c r="I1386" s="56" t="s">
        <v>3731</v>
      </c>
      <c r="J1386" s="56">
        <v>867</v>
      </c>
      <c r="K1386" s="56">
        <v>550</v>
      </c>
      <c r="P1386" s="56">
        <v>0</v>
      </c>
      <c r="S1386" s="56">
        <v>0</v>
      </c>
      <c r="T1386" s="56" t="s">
        <v>3562</v>
      </c>
      <c r="V1386" s="56" t="s">
        <v>3561</v>
      </c>
      <c r="W1386" s="56" t="s">
        <v>3548</v>
      </c>
      <c r="X1386" s="56" t="s">
        <v>39</v>
      </c>
      <c r="Y1386" s="56" t="s">
        <v>3597</v>
      </c>
      <c r="Z1386" s="56" t="s">
        <v>5055</v>
      </c>
      <c r="AC1386" s="56" t="s">
        <v>3543</v>
      </c>
      <c r="AD1386" s="56" t="s">
        <v>24</v>
      </c>
      <c r="AE1386" s="56" t="s">
        <v>4834</v>
      </c>
      <c r="AF1386" s="56" t="s">
        <v>5054</v>
      </c>
      <c r="AH1386" s="56" t="s">
        <v>3542</v>
      </c>
      <c r="AI1386" s="56" t="s">
        <v>3723</v>
      </c>
    </row>
    <row r="1387" spans="1:35" ht="33" customHeight="1">
      <c r="A1387" s="56" t="s">
        <v>5058</v>
      </c>
      <c r="B1387" s="57">
        <v>44364.501979166664</v>
      </c>
      <c r="C1387" s="56" t="s">
        <v>3803</v>
      </c>
      <c r="D1387" s="56" t="s">
        <v>3802</v>
      </c>
      <c r="E1387" s="56" t="s">
        <v>5057</v>
      </c>
      <c r="F1387" s="56" t="s">
        <v>5056</v>
      </c>
      <c r="G1387" s="58" t="s">
        <v>3551</v>
      </c>
      <c r="H1387" s="56">
        <v>1</v>
      </c>
      <c r="I1387" s="56" t="s">
        <v>3550</v>
      </c>
      <c r="J1387" s="56">
        <v>0</v>
      </c>
      <c r="K1387" s="56">
        <v>0</v>
      </c>
      <c r="P1387" s="56">
        <v>0</v>
      </c>
      <c r="S1387" s="56">
        <v>0</v>
      </c>
      <c r="T1387" s="56" t="s">
        <v>3562</v>
      </c>
      <c r="V1387" s="56" t="s">
        <v>3561</v>
      </c>
      <c r="W1387" s="56" t="s">
        <v>3548</v>
      </c>
      <c r="X1387" s="56" t="s">
        <v>39</v>
      </c>
      <c r="Y1387" s="56" t="s">
        <v>3597</v>
      </c>
      <c r="Z1387" s="56" t="s">
        <v>5055</v>
      </c>
      <c r="AC1387" s="56" t="s">
        <v>3543</v>
      </c>
      <c r="AD1387" s="56" t="s">
        <v>24</v>
      </c>
      <c r="AE1387" s="56" t="s">
        <v>4834</v>
      </c>
      <c r="AF1387" s="56" t="s">
        <v>5054</v>
      </c>
      <c r="AH1387" s="56" t="s">
        <v>3542</v>
      </c>
      <c r="AI1387" s="56" t="s">
        <v>3723</v>
      </c>
    </row>
    <row r="1388" spans="1:35" ht="33" customHeight="1">
      <c r="A1388" s="56" t="s">
        <v>5058</v>
      </c>
      <c r="B1388" s="57">
        <v>44364.501979166664</v>
      </c>
      <c r="C1388" s="56" t="s">
        <v>3803</v>
      </c>
      <c r="D1388" s="56" t="s">
        <v>3802</v>
      </c>
      <c r="E1388" s="56" t="s">
        <v>5057</v>
      </c>
      <c r="F1388" s="56" t="s">
        <v>5056</v>
      </c>
      <c r="G1388" s="58" t="s">
        <v>1498</v>
      </c>
      <c r="H1388" s="56">
        <v>1</v>
      </c>
      <c r="I1388" s="56" t="s">
        <v>4016</v>
      </c>
      <c r="J1388" s="56">
        <v>0</v>
      </c>
      <c r="K1388" s="56">
        <v>0</v>
      </c>
      <c r="P1388" s="56">
        <v>0</v>
      </c>
      <c r="S1388" s="56">
        <v>0</v>
      </c>
      <c r="T1388" s="56" t="s">
        <v>3562</v>
      </c>
      <c r="V1388" s="56" t="s">
        <v>3561</v>
      </c>
      <c r="W1388" s="56" t="s">
        <v>3548</v>
      </c>
      <c r="X1388" s="56" t="s">
        <v>39</v>
      </c>
      <c r="Y1388" s="56" t="s">
        <v>3597</v>
      </c>
      <c r="Z1388" s="56" t="s">
        <v>5055</v>
      </c>
      <c r="AC1388" s="56" t="s">
        <v>3543</v>
      </c>
      <c r="AD1388" s="56" t="s">
        <v>24</v>
      </c>
      <c r="AE1388" s="56" t="s">
        <v>4834</v>
      </c>
      <c r="AF1388" s="56" t="s">
        <v>5054</v>
      </c>
      <c r="AH1388" s="56" t="s">
        <v>3542</v>
      </c>
      <c r="AI1388" s="56" t="s">
        <v>3723</v>
      </c>
    </row>
    <row r="1389" spans="1:35" ht="33" customHeight="1">
      <c r="A1389" s="56" t="s">
        <v>5053</v>
      </c>
      <c r="B1389" s="57">
        <v>44364.506805555553</v>
      </c>
      <c r="C1389" s="56" t="s">
        <v>3803</v>
      </c>
      <c r="D1389" s="56" t="s">
        <v>3802</v>
      </c>
      <c r="E1389" s="56" t="s">
        <v>5052</v>
      </c>
      <c r="F1389" s="56" t="s">
        <v>5051</v>
      </c>
      <c r="G1389" s="58" t="s">
        <v>4238</v>
      </c>
      <c r="H1389" s="56">
        <v>1</v>
      </c>
      <c r="I1389" s="56" t="s">
        <v>3753</v>
      </c>
      <c r="J1389" s="56">
        <v>997</v>
      </c>
      <c r="K1389" s="56">
        <v>960</v>
      </c>
      <c r="L1389" s="56">
        <v>960</v>
      </c>
      <c r="M1389" s="56">
        <v>0</v>
      </c>
      <c r="N1389" s="56">
        <v>0</v>
      </c>
      <c r="O1389" s="56">
        <v>0</v>
      </c>
      <c r="P1389" s="56">
        <v>0</v>
      </c>
      <c r="Q1389" s="56">
        <v>960</v>
      </c>
      <c r="R1389" s="56">
        <v>0</v>
      </c>
      <c r="S1389" s="56">
        <v>0</v>
      </c>
      <c r="T1389" s="56" t="s">
        <v>3562</v>
      </c>
      <c r="U1389" s="56">
        <v>960</v>
      </c>
      <c r="V1389" s="56" t="s">
        <v>59</v>
      </c>
      <c r="W1389" s="56" t="s">
        <v>3548</v>
      </c>
      <c r="X1389" s="56" t="s">
        <v>39</v>
      </c>
      <c r="Y1389" s="56" t="s">
        <v>5050</v>
      </c>
      <c r="Z1389" s="56" t="s">
        <v>5049</v>
      </c>
      <c r="AC1389" s="56" t="s">
        <v>3543</v>
      </c>
      <c r="AD1389" s="56" t="s">
        <v>24</v>
      </c>
      <c r="AE1389" s="56" t="s">
        <v>4834</v>
      </c>
      <c r="AF1389" s="56" t="s">
        <v>5048</v>
      </c>
      <c r="AH1389" s="56" t="s">
        <v>3542</v>
      </c>
      <c r="AI1389" s="56" t="s">
        <v>3723</v>
      </c>
    </row>
    <row r="1390" spans="1:35" ht="33" customHeight="1">
      <c r="A1390" s="56" t="s">
        <v>5053</v>
      </c>
      <c r="B1390" s="57">
        <v>44364.506805555553</v>
      </c>
      <c r="C1390" s="56" t="s">
        <v>3803</v>
      </c>
      <c r="D1390" s="56" t="s">
        <v>3802</v>
      </c>
      <c r="E1390" s="56" t="s">
        <v>5052</v>
      </c>
      <c r="F1390" s="56" t="s">
        <v>5051</v>
      </c>
      <c r="G1390" s="58" t="s">
        <v>3551</v>
      </c>
      <c r="H1390" s="56">
        <v>1</v>
      </c>
      <c r="I1390" s="56" t="s">
        <v>3550</v>
      </c>
      <c r="J1390" s="56">
        <v>0</v>
      </c>
      <c r="K1390" s="56">
        <v>0</v>
      </c>
      <c r="P1390" s="56">
        <v>0</v>
      </c>
      <c r="S1390" s="56">
        <v>0</v>
      </c>
      <c r="T1390" s="56" t="s">
        <v>3562</v>
      </c>
      <c r="V1390" s="56" t="s">
        <v>59</v>
      </c>
      <c r="W1390" s="56" t="s">
        <v>3548</v>
      </c>
      <c r="X1390" s="56" t="s">
        <v>39</v>
      </c>
      <c r="Y1390" s="56" t="s">
        <v>5050</v>
      </c>
      <c r="Z1390" s="56" t="s">
        <v>5049</v>
      </c>
      <c r="AC1390" s="56" t="s">
        <v>3543</v>
      </c>
      <c r="AD1390" s="56" t="s">
        <v>24</v>
      </c>
      <c r="AE1390" s="56" t="s">
        <v>4834</v>
      </c>
      <c r="AF1390" s="56" t="s">
        <v>5048</v>
      </c>
      <c r="AH1390" s="56" t="s">
        <v>3542</v>
      </c>
      <c r="AI1390" s="56" t="s">
        <v>3723</v>
      </c>
    </row>
    <row r="1391" spans="1:35" ht="33" customHeight="1">
      <c r="A1391" s="56" t="s">
        <v>5053</v>
      </c>
      <c r="B1391" s="57">
        <v>44364.506805555553</v>
      </c>
      <c r="C1391" s="56" t="s">
        <v>3803</v>
      </c>
      <c r="D1391" s="56" t="s">
        <v>3802</v>
      </c>
      <c r="E1391" s="56" t="s">
        <v>5052</v>
      </c>
      <c r="F1391" s="56" t="s">
        <v>5051</v>
      </c>
      <c r="G1391" s="58" t="s">
        <v>1498</v>
      </c>
      <c r="H1391" s="56">
        <v>1</v>
      </c>
      <c r="I1391" s="56" t="s">
        <v>4016</v>
      </c>
      <c r="J1391" s="56">
        <v>0</v>
      </c>
      <c r="K1391" s="56">
        <v>0</v>
      </c>
      <c r="P1391" s="56">
        <v>0</v>
      </c>
      <c r="S1391" s="56">
        <v>0</v>
      </c>
      <c r="T1391" s="56" t="s">
        <v>3562</v>
      </c>
      <c r="V1391" s="56" t="s">
        <v>59</v>
      </c>
      <c r="W1391" s="56" t="s">
        <v>3548</v>
      </c>
      <c r="X1391" s="56" t="s">
        <v>39</v>
      </c>
      <c r="Y1391" s="56" t="s">
        <v>5050</v>
      </c>
      <c r="Z1391" s="56" t="s">
        <v>5049</v>
      </c>
      <c r="AC1391" s="56" t="s">
        <v>3543</v>
      </c>
      <c r="AD1391" s="56" t="s">
        <v>24</v>
      </c>
      <c r="AE1391" s="56" t="s">
        <v>4834</v>
      </c>
      <c r="AF1391" s="56" t="s">
        <v>5048</v>
      </c>
      <c r="AH1391" s="56" t="s">
        <v>3542</v>
      </c>
      <c r="AI1391" s="56" t="s">
        <v>3723</v>
      </c>
    </row>
    <row r="1392" spans="1:35" ht="33" customHeight="1">
      <c r="A1392" s="56" t="s">
        <v>5046</v>
      </c>
      <c r="B1392" s="57">
        <v>44364.526736111111</v>
      </c>
      <c r="C1392" s="56" t="s">
        <v>4512</v>
      </c>
      <c r="D1392" s="56" t="s">
        <v>4511</v>
      </c>
      <c r="E1392" s="56" t="s">
        <v>4734</v>
      </c>
      <c r="F1392" s="56" t="s">
        <v>4733</v>
      </c>
      <c r="G1392" s="58" t="s">
        <v>4467</v>
      </c>
      <c r="H1392" s="56">
        <v>2</v>
      </c>
      <c r="I1392" s="56" t="s">
        <v>3769</v>
      </c>
      <c r="J1392" s="56">
        <v>405</v>
      </c>
      <c r="K1392" s="56">
        <v>390</v>
      </c>
      <c r="L1392" s="56">
        <v>2556</v>
      </c>
      <c r="M1392" s="56">
        <v>0</v>
      </c>
      <c r="N1392" s="56">
        <v>0</v>
      </c>
      <c r="O1392" s="56">
        <v>154</v>
      </c>
      <c r="P1392" s="56">
        <v>0</v>
      </c>
      <c r="Q1392" s="56">
        <v>2402</v>
      </c>
      <c r="R1392" s="56">
        <v>0</v>
      </c>
      <c r="S1392" s="56">
        <v>0</v>
      </c>
      <c r="T1392" s="56" t="s">
        <v>3562</v>
      </c>
      <c r="U1392" s="56">
        <v>2402</v>
      </c>
      <c r="V1392" s="56" t="s">
        <v>3549</v>
      </c>
      <c r="W1392" s="56" t="s">
        <v>3548</v>
      </c>
      <c r="X1392" s="56" t="s">
        <v>3547</v>
      </c>
      <c r="Z1392" s="56" t="s">
        <v>3546</v>
      </c>
      <c r="AA1392" s="56" t="s">
        <v>4732</v>
      </c>
      <c r="AB1392" s="56" t="s">
        <v>4731</v>
      </c>
      <c r="AC1392" s="56" t="s">
        <v>3543</v>
      </c>
      <c r="AD1392" s="56" t="s">
        <v>24</v>
      </c>
      <c r="AE1392" s="56" t="s">
        <v>3725</v>
      </c>
      <c r="AF1392" s="56" t="s">
        <v>5045</v>
      </c>
      <c r="AH1392" s="56" t="s">
        <v>3542</v>
      </c>
      <c r="AI1392" s="56" t="s">
        <v>3723</v>
      </c>
    </row>
    <row r="1393" spans="1:35" ht="33" customHeight="1">
      <c r="A1393" s="56" t="s">
        <v>5046</v>
      </c>
      <c r="B1393" s="57">
        <v>44364.526736111111</v>
      </c>
      <c r="C1393" s="56" t="s">
        <v>4512</v>
      </c>
      <c r="D1393" s="56" t="s">
        <v>4511</v>
      </c>
      <c r="E1393" s="56" t="s">
        <v>4734</v>
      </c>
      <c r="F1393" s="56" t="s">
        <v>4733</v>
      </c>
      <c r="G1393" s="58" t="s">
        <v>4162</v>
      </c>
      <c r="H1393" s="56">
        <v>1</v>
      </c>
      <c r="I1393" s="56" t="s">
        <v>3669</v>
      </c>
      <c r="J1393" s="56">
        <v>897</v>
      </c>
      <c r="K1393" s="56">
        <v>888</v>
      </c>
      <c r="P1393" s="56">
        <v>0</v>
      </c>
      <c r="S1393" s="56">
        <v>0</v>
      </c>
      <c r="T1393" s="56" t="s">
        <v>3562</v>
      </c>
      <c r="V1393" s="56" t="s">
        <v>3549</v>
      </c>
      <c r="W1393" s="56" t="s">
        <v>3548</v>
      </c>
      <c r="X1393" s="56" t="s">
        <v>3547</v>
      </c>
      <c r="Z1393" s="56" t="s">
        <v>3546</v>
      </c>
      <c r="AA1393" s="56" t="s">
        <v>4732</v>
      </c>
      <c r="AB1393" s="56" t="s">
        <v>4731</v>
      </c>
      <c r="AC1393" s="56" t="s">
        <v>3543</v>
      </c>
      <c r="AD1393" s="56" t="s">
        <v>24</v>
      </c>
      <c r="AE1393" s="56" t="s">
        <v>3725</v>
      </c>
      <c r="AF1393" s="56" t="s">
        <v>5045</v>
      </c>
      <c r="AH1393" s="56" t="s">
        <v>3542</v>
      </c>
      <c r="AI1393" s="56" t="s">
        <v>3723</v>
      </c>
    </row>
    <row r="1394" spans="1:35" ht="33" customHeight="1">
      <c r="A1394" s="56" t="s">
        <v>5046</v>
      </c>
      <c r="B1394" s="57">
        <v>44364.526736111111</v>
      </c>
      <c r="C1394" s="56" t="s">
        <v>4512</v>
      </c>
      <c r="D1394" s="56" t="s">
        <v>4511</v>
      </c>
      <c r="E1394" s="56" t="s">
        <v>4734</v>
      </c>
      <c r="F1394" s="56" t="s">
        <v>4733</v>
      </c>
      <c r="G1394" s="58" t="s">
        <v>5047</v>
      </c>
      <c r="H1394" s="56">
        <v>1</v>
      </c>
      <c r="I1394" s="56" t="s">
        <v>3669</v>
      </c>
      <c r="J1394" s="56">
        <v>897</v>
      </c>
      <c r="K1394" s="56">
        <v>888</v>
      </c>
      <c r="P1394" s="56">
        <v>0</v>
      </c>
      <c r="S1394" s="56">
        <v>0</v>
      </c>
      <c r="T1394" s="56" t="s">
        <v>3562</v>
      </c>
      <c r="V1394" s="56" t="s">
        <v>3549</v>
      </c>
      <c r="W1394" s="56" t="s">
        <v>3548</v>
      </c>
      <c r="X1394" s="56" t="s">
        <v>3547</v>
      </c>
      <c r="Z1394" s="56" t="s">
        <v>3546</v>
      </c>
      <c r="AA1394" s="56" t="s">
        <v>4732</v>
      </c>
      <c r="AB1394" s="56" t="s">
        <v>4731</v>
      </c>
      <c r="AC1394" s="56" t="s">
        <v>3543</v>
      </c>
      <c r="AD1394" s="56" t="s">
        <v>24</v>
      </c>
      <c r="AE1394" s="56" t="s">
        <v>3725</v>
      </c>
      <c r="AF1394" s="56" t="s">
        <v>5045</v>
      </c>
      <c r="AH1394" s="56" t="s">
        <v>3542</v>
      </c>
      <c r="AI1394" s="56" t="s">
        <v>3723</v>
      </c>
    </row>
    <row r="1395" spans="1:35" ht="33" customHeight="1">
      <c r="A1395" s="56" t="s">
        <v>5046</v>
      </c>
      <c r="B1395" s="57">
        <v>44364.526736111111</v>
      </c>
      <c r="C1395" s="56" t="s">
        <v>4512</v>
      </c>
      <c r="D1395" s="56" t="s">
        <v>4511</v>
      </c>
      <c r="E1395" s="56" t="s">
        <v>4734</v>
      </c>
      <c r="F1395" s="56" t="s">
        <v>4733</v>
      </c>
      <c r="G1395" s="58" t="s">
        <v>3551</v>
      </c>
      <c r="H1395" s="56">
        <v>1</v>
      </c>
      <c r="I1395" s="56" t="s">
        <v>3550</v>
      </c>
      <c r="J1395" s="56">
        <v>0</v>
      </c>
      <c r="K1395" s="56">
        <v>0</v>
      </c>
      <c r="P1395" s="56">
        <v>0</v>
      </c>
      <c r="S1395" s="56">
        <v>0</v>
      </c>
      <c r="T1395" s="56" t="s">
        <v>3562</v>
      </c>
      <c r="V1395" s="56" t="s">
        <v>3549</v>
      </c>
      <c r="W1395" s="56" t="s">
        <v>3548</v>
      </c>
      <c r="X1395" s="56" t="s">
        <v>3547</v>
      </c>
      <c r="Z1395" s="56" t="s">
        <v>3546</v>
      </c>
      <c r="AA1395" s="56" t="s">
        <v>4732</v>
      </c>
      <c r="AB1395" s="56" t="s">
        <v>4731</v>
      </c>
      <c r="AC1395" s="56" t="s">
        <v>3543</v>
      </c>
      <c r="AD1395" s="56" t="s">
        <v>24</v>
      </c>
      <c r="AE1395" s="56" t="s">
        <v>3725</v>
      </c>
      <c r="AF1395" s="56" t="s">
        <v>5045</v>
      </c>
      <c r="AH1395" s="56" t="s">
        <v>3542</v>
      </c>
      <c r="AI1395" s="56" t="s">
        <v>3723</v>
      </c>
    </row>
    <row r="1396" spans="1:35" ht="33" customHeight="1">
      <c r="A1396" s="56" t="s">
        <v>5046</v>
      </c>
      <c r="B1396" s="57">
        <v>44364.526736111111</v>
      </c>
      <c r="C1396" s="56" t="s">
        <v>4512</v>
      </c>
      <c r="D1396" s="56" t="s">
        <v>4511</v>
      </c>
      <c r="E1396" s="56" t="s">
        <v>4734</v>
      </c>
      <c r="F1396" s="56" t="s">
        <v>4733</v>
      </c>
      <c r="G1396" s="58" t="s">
        <v>1713</v>
      </c>
      <c r="H1396" s="56">
        <v>1</v>
      </c>
      <c r="I1396" s="56" t="s">
        <v>3568</v>
      </c>
      <c r="J1396" s="56">
        <v>0</v>
      </c>
      <c r="K1396" s="56">
        <v>0</v>
      </c>
      <c r="P1396" s="56">
        <v>0</v>
      </c>
      <c r="S1396" s="56">
        <v>0</v>
      </c>
      <c r="T1396" s="56" t="s">
        <v>3562</v>
      </c>
      <c r="V1396" s="56" t="s">
        <v>3549</v>
      </c>
      <c r="W1396" s="56" t="s">
        <v>3548</v>
      </c>
      <c r="X1396" s="56" t="s">
        <v>3547</v>
      </c>
      <c r="Z1396" s="56" t="s">
        <v>3546</v>
      </c>
      <c r="AA1396" s="56" t="s">
        <v>4732</v>
      </c>
      <c r="AB1396" s="56" t="s">
        <v>4731</v>
      </c>
      <c r="AC1396" s="56" t="s">
        <v>3543</v>
      </c>
      <c r="AD1396" s="56" t="s">
        <v>24</v>
      </c>
      <c r="AE1396" s="56" t="s">
        <v>3725</v>
      </c>
      <c r="AF1396" s="56" t="s">
        <v>5045</v>
      </c>
      <c r="AH1396" s="56" t="s">
        <v>3542</v>
      </c>
      <c r="AI1396" s="56" t="s">
        <v>3723</v>
      </c>
    </row>
    <row r="1397" spans="1:35" ht="33" customHeight="1">
      <c r="A1397" s="56" t="s">
        <v>5046</v>
      </c>
      <c r="B1397" s="57">
        <v>44364.526736111111</v>
      </c>
      <c r="C1397" s="56" t="s">
        <v>4512</v>
      </c>
      <c r="D1397" s="56" t="s">
        <v>4511</v>
      </c>
      <c r="E1397" s="56" t="s">
        <v>4734</v>
      </c>
      <c r="F1397" s="56" t="s">
        <v>4733</v>
      </c>
      <c r="G1397" s="58" t="s">
        <v>1498</v>
      </c>
      <c r="H1397" s="56">
        <v>1</v>
      </c>
      <c r="I1397" s="56" t="s">
        <v>4016</v>
      </c>
      <c r="J1397" s="56">
        <v>0</v>
      </c>
      <c r="K1397" s="56">
        <v>0</v>
      </c>
      <c r="P1397" s="56">
        <v>0</v>
      </c>
      <c r="S1397" s="56">
        <v>0</v>
      </c>
      <c r="T1397" s="56" t="s">
        <v>3562</v>
      </c>
      <c r="V1397" s="56" t="s">
        <v>3549</v>
      </c>
      <c r="W1397" s="56" t="s">
        <v>3548</v>
      </c>
      <c r="X1397" s="56" t="s">
        <v>3547</v>
      </c>
      <c r="Z1397" s="56" t="s">
        <v>3546</v>
      </c>
      <c r="AA1397" s="56" t="s">
        <v>4732</v>
      </c>
      <c r="AB1397" s="56" t="s">
        <v>4731</v>
      </c>
      <c r="AC1397" s="56" t="s">
        <v>3543</v>
      </c>
      <c r="AD1397" s="56" t="s">
        <v>24</v>
      </c>
      <c r="AE1397" s="56" t="s">
        <v>3725</v>
      </c>
      <c r="AF1397" s="56" t="s">
        <v>5045</v>
      </c>
      <c r="AH1397" s="56" t="s">
        <v>3542</v>
      </c>
      <c r="AI1397" s="56" t="s">
        <v>3723</v>
      </c>
    </row>
    <row r="1398" spans="1:35" ht="33" customHeight="1">
      <c r="A1398" s="56" t="s">
        <v>5046</v>
      </c>
      <c r="B1398" s="57">
        <v>44364.526736111111</v>
      </c>
      <c r="C1398" s="56" t="s">
        <v>4512</v>
      </c>
      <c r="D1398" s="56" t="s">
        <v>4511</v>
      </c>
      <c r="E1398" s="56" t="s">
        <v>4734</v>
      </c>
      <c r="F1398" s="56" t="s">
        <v>4733</v>
      </c>
      <c r="G1398" s="58" t="s">
        <v>3564</v>
      </c>
      <c r="H1398" s="56">
        <v>1</v>
      </c>
      <c r="I1398" s="56" t="s">
        <v>3563</v>
      </c>
      <c r="J1398" s="56">
        <v>0</v>
      </c>
      <c r="K1398" s="56">
        <v>0</v>
      </c>
      <c r="P1398" s="56">
        <v>0</v>
      </c>
      <c r="S1398" s="56">
        <v>0</v>
      </c>
      <c r="T1398" s="56" t="s">
        <v>3562</v>
      </c>
      <c r="V1398" s="56" t="s">
        <v>3549</v>
      </c>
      <c r="W1398" s="56" t="s">
        <v>3548</v>
      </c>
      <c r="X1398" s="56" t="s">
        <v>3547</v>
      </c>
      <c r="Z1398" s="56" t="s">
        <v>3546</v>
      </c>
      <c r="AA1398" s="56" t="s">
        <v>4732</v>
      </c>
      <c r="AB1398" s="56" t="s">
        <v>4731</v>
      </c>
      <c r="AC1398" s="56" t="s">
        <v>3543</v>
      </c>
      <c r="AD1398" s="56" t="s">
        <v>24</v>
      </c>
      <c r="AE1398" s="56" t="s">
        <v>3725</v>
      </c>
      <c r="AF1398" s="56" t="s">
        <v>5045</v>
      </c>
      <c r="AH1398" s="56" t="s">
        <v>3542</v>
      </c>
      <c r="AI1398" s="56" t="s">
        <v>3723</v>
      </c>
    </row>
    <row r="1399" spans="1:35" ht="33" customHeight="1">
      <c r="A1399" s="56" t="s">
        <v>5044</v>
      </c>
      <c r="B1399" s="57">
        <v>44364.527013888888</v>
      </c>
      <c r="C1399" s="56" t="s">
        <v>3803</v>
      </c>
      <c r="D1399" s="56" t="s">
        <v>4426</v>
      </c>
      <c r="E1399" s="56" t="s">
        <v>5043</v>
      </c>
      <c r="F1399" s="56" t="s">
        <v>5042</v>
      </c>
      <c r="G1399" s="58" t="s">
        <v>3811</v>
      </c>
      <c r="H1399" s="56">
        <v>2</v>
      </c>
      <c r="I1399" s="56" t="s">
        <v>3669</v>
      </c>
      <c r="J1399" s="56">
        <v>897</v>
      </c>
      <c r="K1399" s="56">
        <v>888</v>
      </c>
      <c r="L1399" s="56">
        <v>1944</v>
      </c>
      <c r="M1399" s="56">
        <v>0</v>
      </c>
      <c r="N1399" s="56">
        <v>0</v>
      </c>
      <c r="O1399" s="56">
        <v>164</v>
      </c>
      <c r="P1399" s="56">
        <v>0</v>
      </c>
      <c r="Q1399" s="56">
        <v>1780</v>
      </c>
      <c r="R1399" s="56">
        <v>0</v>
      </c>
      <c r="S1399" s="56">
        <v>0</v>
      </c>
      <c r="T1399" s="56" t="s">
        <v>27</v>
      </c>
      <c r="U1399" s="56">
        <v>1780</v>
      </c>
      <c r="V1399" s="56" t="s">
        <v>3549</v>
      </c>
      <c r="W1399" s="56" t="s">
        <v>3548</v>
      </c>
      <c r="X1399" s="56" t="s">
        <v>3547</v>
      </c>
      <c r="Z1399" s="56" t="s">
        <v>3546</v>
      </c>
      <c r="AA1399" s="56" t="s">
        <v>5041</v>
      </c>
      <c r="AB1399" s="56" t="s">
        <v>5040</v>
      </c>
      <c r="AC1399" s="56" t="s">
        <v>3842</v>
      </c>
      <c r="AH1399" s="56" t="s">
        <v>3542</v>
      </c>
      <c r="AI1399" s="56" t="s">
        <v>3541</v>
      </c>
    </row>
    <row r="1400" spans="1:35" ht="33" customHeight="1">
      <c r="A1400" s="56" t="s">
        <v>5044</v>
      </c>
      <c r="B1400" s="57">
        <v>44364.527013888888</v>
      </c>
      <c r="C1400" s="56" t="s">
        <v>3803</v>
      </c>
      <c r="D1400" s="56" t="s">
        <v>4426</v>
      </c>
      <c r="E1400" s="56" t="s">
        <v>5043</v>
      </c>
      <c r="F1400" s="56" t="s">
        <v>5042</v>
      </c>
      <c r="G1400" s="58" t="s">
        <v>1514</v>
      </c>
      <c r="H1400" s="56">
        <v>1</v>
      </c>
      <c r="I1400" s="56" t="s">
        <v>3740</v>
      </c>
      <c r="J1400" s="56">
        <v>220</v>
      </c>
      <c r="K1400" s="56">
        <v>168</v>
      </c>
      <c r="P1400" s="56">
        <v>0</v>
      </c>
      <c r="S1400" s="56">
        <v>0</v>
      </c>
      <c r="T1400" s="56" t="s">
        <v>27</v>
      </c>
      <c r="V1400" s="56" t="s">
        <v>3549</v>
      </c>
      <c r="W1400" s="56" t="s">
        <v>3548</v>
      </c>
      <c r="X1400" s="56" t="s">
        <v>3547</v>
      </c>
      <c r="Z1400" s="56" t="s">
        <v>3546</v>
      </c>
      <c r="AA1400" s="56" t="s">
        <v>5041</v>
      </c>
      <c r="AB1400" s="56" t="s">
        <v>5040</v>
      </c>
      <c r="AC1400" s="56" t="s">
        <v>3842</v>
      </c>
      <c r="AH1400" s="56" t="s">
        <v>3542</v>
      </c>
      <c r="AI1400" s="56" t="s">
        <v>3541</v>
      </c>
    </row>
    <row r="1401" spans="1:35" ht="33" customHeight="1">
      <c r="A1401" s="56" t="s">
        <v>5044</v>
      </c>
      <c r="B1401" s="57">
        <v>44364.527013888888</v>
      </c>
      <c r="C1401" s="56" t="s">
        <v>3803</v>
      </c>
      <c r="D1401" s="56" t="s">
        <v>4426</v>
      </c>
      <c r="E1401" s="56" t="s">
        <v>5043</v>
      </c>
      <c r="F1401" s="56" t="s">
        <v>5042</v>
      </c>
      <c r="G1401" s="58" t="s">
        <v>3551</v>
      </c>
      <c r="H1401" s="56">
        <v>1</v>
      </c>
      <c r="I1401" s="56" t="s">
        <v>3550</v>
      </c>
      <c r="J1401" s="56">
        <v>0</v>
      </c>
      <c r="K1401" s="56">
        <v>0</v>
      </c>
      <c r="P1401" s="56">
        <v>0</v>
      </c>
      <c r="S1401" s="56">
        <v>0</v>
      </c>
      <c r="T1401" s="56" t="s">
        <v>27</v>
      </c>
      <c r="V1401" s="56" t="s">
        <v>3549</v>
      </c>
      <c r="W1401" s="56" t="s">
        <v>3548</v>
      </c>
      <c r="X1401" s="56" t="s">
        <v>3547</v>
      </c>
      <c r="Z1401" s="56" t="s">
        <v>3546</v>
      </c>
      <c r="AA1401" s="56" t="s">
        <v>5041</v>
      </c>
      <c r="AB1401" s="56" t="s">
        <v>5040</v>
      </c>
      <c r="AC1401" s="56" t="s">
        <v>3842</v>
      </c>
      <c r="AH1401" s="56" t="s">
        <v>3542</v>
      </c>
      <c r="AI1401" s="56" t="s">
        <v>3541</v>
      </c>
    </row>
    <row r="1402" spans="1:35" ht="33" customHeight="1">
      <c r="A1402" s="56" t="s">
        <v>5044</v>
      </c>
      <c r="B1402" s="57">
        <v>44364.527013888888</v>
      </c>
      <c r="C1402" s="56" t="s">
        <v>3803</v>
      </c>
      <c r="D1402" s="56" t="s">
        <v>4426</v>
      </c>
      <c r="E1402" s="56" t="s">
        <v>5043</v>
      </c>
      <c r="F1402" s="56" t="s">
        <v>5042</v>
      </c>
      <c r="G1402" s="58" t="s">
        <v>1713</v>
      </c>
      <c r="H1402" s="56">
        <v>1</v>
      </c>
      <c r="I1402" s="56" t="s">
        <v>3568</v>
      </c>
      <c r="J1402" s="56">
        <v>0</v>
      </c>
      <c r="K1402" s="56">
        <v>0</v>
      </c>
      <c r="P1402" s="56">
        <v>0</v>
      </c>
      <c r="S1402" s="56">
        <v>0</v>
      </c>
      <c r="T1402" s="56" t="s">
        <v>27</v>
      </c>
      <c r="V1402" s="56" t="s">
        <v>3549</v>
      </c>
      <c r="W1402" s="56" t="s">
        <v>3548</v>
      </c>
      <c r="X1402" s="56" t="s">
        <v>3547</v>
      </c>
      <c r="Z1402" s="56" t="s">
        <v>3546</v>
      </c>
      <c r="AA1402" s="56" t="s">
        <v>5041</v>
      </c>
      <c r="AB1402" s="56" t="s">
        <v>5040</v>
      </c>
      <c r="AC1402" s="56" t="s">
        <v>3842</v>
      </c>
      <c r="AH1402" s="56" t="s">
        <v>3542</v>
      </c>
      <c r="AI1402" s="56" t="s">
        <v>3541</v>
      </c>
    </row>
    <row r="1403" spans="1:35" ht="33" customHeight="1">
      <c r="A1403" s="56" t="s">
        <v>5044</v>
      </c>
      <c r="B1403" s="57">
        <v>44364.527013888888</v>
      </c>
      <c r="C1403" s="56" t="s">
        <v>3803</v>
      </c>
      <c r="D1403" s="56" t="s">
        <v>4426</v>
      </c>
      <c r="E1403" s="56" t="s">
        <v>5043</v>
      </c>
      <c r="F1403" s="56" t="s">
        <v>5042</v>
      </c>
      <c r="G1403" s="58" t="s">
        <v>1498</v>
      </c>
      <c r="H1403" s="56">
        <v>1</v>
      </c>
      <c r="I1403" s="56" t="s">
        <v>4016</v>
      </c>
      <c r="J1403" s="56">
        <v>0</v>
      </c>
      <c r="K1403" s="56">
        <v>0</v>
      </c>
      <c r="P1403" s="56">
        <v>0</v>
      </c>
      <c r="S1403" s="56">
        <v>0</v>
      </c>
      <c r="T1403" s="56" t="s">
        <v>27</v>
      </c>
      <c r="V1403" s="56" t="s">
        <v>3549</v>
      </c>
      <c r="W1403" s="56" t="s">
        <v>3548</v>
      </c>
      <c r="X1403" s="56" t="s">
        <v>3547</v>
      </c>
      <c r="Z1403" s="56" t="s">
        <v>3546</v>
      </c>
      <c r="AA1403" s="56" t="s">
        <v>5041</v>
      </c>
      <c r="AB1403" s="56" t="s">
        <v>5040</v>
      </c>
      <c r="AC1403" s="56" t="s">
        <v>3842</v>
      </c>
      <c r="AH1403" s="56" t="s">
        <v>3542</v>
      </c>
      <c r="AI1403" s="56" t="s">
        <v>3541</v>
      </c>
    </row>
    <row r="1404" spans="1:35" ht="33" customHeight="1">
      <c r="A1404" s="56" t="s">
        <v>5039</v>
      </c>
      <c r="B1404" s="57">
        <v>44364.529421296298</v>
      </c>
      <c r="C1404" s="56" t="s">
        <v>3803</v>
      </c>
      <c r="D1404" s="56" t="s">
        <v>4426</v>
      </c>
      <c r="E1404" s="56" t="s">
        <v>5038</v>
      </c>
      <c r="F1404" s="56" t="s">
        <v>5037</v>
      </c>
      <c r="G1404" s="58" t="s">
        <v>2156</v>
      </c>
      <c r="H1404" s="56">
        <v>2</v>
      </c>
      <c r="I1404" s="56" t="s">
        <v>1376</v>
      </c>
      <c r="J1404" s="56">
        <v>149</v>
      </c>
      <c r="K1404" s="56">
        <v>149</v>
      </c>
      <c r="L1404" s="56">
        <v>597</v>
      </c>
      <c r="M1404" s="56">
        <v>65</v>
      </c>
      <c r="N1404" s="56">
        <v>0</v>
      </c>
      <c r="O1404" s="56">
        <v>0</v>
      </c>
      <c r="P1404" s="56">
        <v>0</v>
      </c>
      <c r="Q1404" s="56">
        <v>662</v>
      </c>
      <c r="R1404" s="56">
        <v>0</v>
      </c>
      <c r="S1404" s="56">
        <v>0</v>
      </c>
      <c r="T1404" s="56" t="s">
        <v>27</v>
      </c>
      <c r="U1404" s="56">
        <v>662</v>
      </c>
      <c r="V1404" s="56" t="s">
        <v>3612</v>
      </c>
      <c r="W1404" s="56" t="s">
        <v>3548</v>
      </c>
      <c r="X1404" s="56" t="s">
        <v>3611</v>
      </c>
      <c r="Z1404" s="56" t="s">
        <v>3546</v>
      </c>
      <c r="AA1404" s="56" t="s">
        <v>5036</v>
      </c>
      <c r="AB1404" s="56" t="s">
        <v>5035</v>
      </c>
      <c r="AC1404" s="56" t="s">
        <v>3543</v>
      </c>
      <c r="AH1404" s="56" t="s">
        <v>3542</v>
      </c>
      <c r="AI1404" s="56" t="s">
        <v>3541</v>
      </c>
    </row>
    <row r="1405" spans="1:35" ht="33" customHeight="1">
      <c r="A1405" s="56" t="s">
        <v>5039</v>
      </c>
      <c r="B1405" s="57">
        <v>44364.529421296298</v>
      </c>
      <c r="C1405" s="56" t="s">
        <v>3803</v>
      </c>
      <c r="D1405" s="56" t="s">
        <v>4426</v>
      </c>
      <c r="E1405" s="56" t="s">
        <v>5038</v>
      </c>
      <c r="F1405" s="56" t="s">
        <v>5037</v>
      </c>
      <c r="G1405" s="58" t="s">
        <v>3299</v>
      </c>
      <c r="H1405" s="56">
        <v>1</v>
      </c>
      <c r="I1405" s="56" t="s">
        <v>3576</v>
      </c>
      <c r="J1405" s="56">
        <v>299</v>
      </c>
      <c r="K1405" s="56">
        <v>299</v>
      </c>
      <c r="P1405" s="56">
        <v>0</v>
      </c>
      <c r="S1405" s="56">
        <v>0</v>
      </c>
      <c r="T1405" s="56" t="s">
        <v>27</v>
      </c>
      <c r="V1405" s="56" t="s">
        <v>3612</v>
      </c>
      <c r="W1405" s="56" t="s">
        <v>3548</v>
      </c>
      <c r="X1405" s="56" t="s">
        <v>3611</v>
      </c>
      <c r="Z1405" s="56" t="s">
        <v>3546</v>
      </c>
      <c r="AA1405" s="56" t="s">
        <v>5036</v>
      </c>
      <c r="AB1405" s="56" t="s">
        <v>5035</v>
      </c>
      <c r="AC1405" s="56" t="s">
        <v>3543</v>
      </c>
      <c r="AH1405" s="56" t="s">
        <v>3542</v>
      </c>
      <c r="AI1405" s="56" t="s">
        <v>3541</v>
      </c>
    </row>
    <row r="1406" spans="1:35" ht="33" customHeight="1">
      <c r="A1406" s="56" t="s">
        <v>5039</v>
      </c>
      <c r="B1406" s="57">
        <v>44364.529421296298</v>
      </c>
      <c r="C1406" s="56" t="s">
        <v>3803</v>
      </c>
      <c r="D1406" s="56" t="s">
        <v>4426</v>
      </c>
      <c r="E1406" s="56" t="s">
        <v>5038</v>
      </c>
      <c r="F1406" s="56" t="s">
        <v>5037</v>
      </c>
      <c r="G1406" s="58" t="s">
        <v>3551</v>
      </c>
      <c r="H1406" s="56">
        <v>1</v>
      </c>
      <c r="I1406" s="56" t="s">
        <v>3550</v>
      </c>
      <c r="J1406" s="56">
        <v>0</v>
      </c>
      <c r="K1406" s="56">
        <v>0</v>
      </c>
      <c r="P1406" s="56">
        <v>0</v>
      </c>
      <c r="S1406" s="56">
        <v>0</v>
      </c>
      <c r="T1406" s="56" t="s">
        <v>27</v>
      </c>
      <c r="V1406" s="56" t="s">
        <v>3612</v>
      </c>
      <c r="W1406" s="56" t="s">
        <v>3548</v>
      </c>
      <c r="X1406" s="56" t="s">
        <v>3611</v>
      </c>
      <c r="Z1406" s="56" t="s">
        <v>3546</v>
      </c>
      <c r="AA1406" s="56" t="s">
        <v>5036</v>
      </c>
      <c r="AB1406" s="56" t="s">
        <v>5035</v>
      </c>
      <c r="AC1406" s="56" t="s">
        <v>3543</v>
      </c>
      <c r="AH1406" s="56" t="s">
        <v>3542</v>
      </c>
      <c r="AI1406" s="56" t="s">
        <v>3541</v>
      </c>
    </row>
    <row r="1407" spans="1:35" ht="33" customHeight="1">
      <c r="A1407" s="56" t="s">
        <v>5034</v>
      </c>
      <c r="B1407" s="57">
        <v>44364.540127314816</v>
      </c>
      <c r="C1407" s="56" t="s">
        <v>3803</v>
      </c>
      <c r="D1407" s="56" t="s">
        <v>4511</v>
      </c>
      <c r="E1407" s="56" t="s">
        <v>5033</v>
      </c>
      <c r="F1407" s="56" t="s">
        <v>5032</v>
      </c>
      <c r="G1407" s="58" t="s">
        <v>3747</v>
      </c>
      <c r="H1407" s="56">
        <v>1</v>
      </c>
      <c r="I1407" s="56" t="s">
        <v>3746</v>
      </c>
      <c r="J1407" s="56">
        <v>660</v>
      </c>
      <c r="K1407" s="56">
        <v>450</v>
      </c>
      <c r="L1407" s="56">
        <v>1017</v>
      </c>
      <c r="M1407" s="56">
        <v>0</v>
      </c>
      <c r="N1407" s="56">
        <v>0</v>
      </c>
      <c r="O1407" s="56">
        <v>100</v>
      </c>
      <c r="P1407" s="56">
        <v>0</v>
      </c>
      <c r="Q1407" s="56">
        <v>917</v>
      </c>
      <c r="R1407" s="56">
        <v>0</v>
      </c>
      <c r="S1407" s="56">
        <v>0</v>
      </c>
      <c r="T1407" s="56" t="s">
        <v>3562</v>
      </c>
      <c r="U1407" s="56">
        <v>917</v>
      </c>
      <c r="V1407" s="56" t="s">
        <v>3561</v>
      </c>
      <c r="W1407" s="56" t="s">
        <v>3548</v>
      </c>
      <c r="X1407" s="56" t="s">
        <v>3765</v>
      </c>
      <c r="Z1407" s="56" t="s">
        <v>3546</v>
      </c>
      <c r="AA1407" s="56" t="s">
        <v>5031</v>
      </c>
      <c r="AB1407" s="56" t="s">
        <v>5030</v>
      </c>
      <c r="AC1407" s="56" t="s">
        <v>3543</v>
      </c>
      <c r="AD1407" s="56" t="s">
        <v>24</v>
      </c>
      <c r="AE1407" s="56" t="s">
        <v>4834</v>
      </c>
      <c r="AF1407" s="56" t="s">
        <v>5029</v>
      </c>
      <c r="AH1407" s="56" t="s">
        <v>3542</v>
      </c>
      <c r="AI1407" s="56" t="s">
        <v>3723</v>
      </c>
    </row>
    <row r="1408" spans="1:35" ht="33" customHeight="1">
      <c r="A1408" s="56" t="s">
        <v>5034</v>
      </c>
      <c r="B1408" s="57">
        <v>44364.540127314816</v>
      </c>
      <c r="C1408" s="56" t="s">
        <v>3803</v>
      </c>
      <c r="D1408" s="56" t="s">
        <v>4511</v>
      </c>
      <c r="E1408" s="56" t="s">
        <v>5033</v>
      </c>
      <c r="F1408" s="56" t="s">
        <v>5032</v>
      </c>
      <c r="G1408" s="58" t="s">
        <v>3187</v>
      </c>
      <c r="H1408" s="56">
        <v>1</v>
      </c>
      <c r="I1408" s="56" t="s">
        <v>3761</v>
      </c>
      <c r="J1408" s="56">
        <v>149</v>
      </c>
      <c r="K1408" s="56">
        <v>149</v>
      </c>
      <c r="P1408" s="56">
        <v>0</v>
      </c>
      <c r="S1408" s="56">
        <v>0</v>
      </c>
      <c r="T1408" s="56" t="s">
        <v>3562</v>
      </c>
      <c r="V1408" s="56" t="s">
        <v>3561</v>
      </c>
      <c r="W1408" s="56" t="s">
        <v>3548</v>
      </c>
      <c r="X1408" s="56" t="s">
        <v>3765</v>
      </c>
      <c r="Z1408" s="56" t="s">
        <v>3546</v>
      </c>
      <c r="AA1408" s="56" t="s">
        <v>5031</v>
      </c>
      <c r="AB1408" s="56" t="s">
        <v>5030</v>
      </c>
      <c r="AC1408" s="56" t="s">
        <v>3543</v>
      </c>
      <c r="AD1408" s="56" t="s">
        <v>24</v>
      </c>
      <c r="AE1408" s="56" t="s">
        <v>4834</v>
      </c>
      <c r="AF1408" s="56" t="s">
        <v>5029</v>
      </c>
      <c r="AH1408" s="56" t="s">
        <v>3542</v>
      </c>
      <c r="AI1408" s="56" t="s">
        <v>3723</v>
      </c>
    </row>
    <row r="1409" spans="1:35" ht="33" customHeight="1">
      <c r="A1409" s="56" t="s">
        <v>5034</v>
      </c>
      <c r="B1409" s="57">
        <v>44364.540127314816</v>
      </c>
      <c r="C1409" s="56" t="s">
        <v>3803</v>
      </c>
      <c r="D1409" s="56" t="s">
        <v>4511</v>
      </c>
      <c r="E1409" s="56" t="s">
        <v>5033</v>
      </c>
      <c r="F1409" s="56" t="s">
        <v>5032</v>
      </c>
      <c r="G1409" s="58" t="s">
        <v>3196</v>
      </c>
      <c r="H1409" s="56">
        <v>1</v>
      </c>
      <c r="I1409" s="56" t="s">
        <v>2550</v>
      </c>
      <c r="J1409" s="56">
        <v>120</v>
      </c>
      <c r="K1409" s="56">
        <v>120</v>
      </c>
      <c r="P1409" s="56">
        <v>0</v>
      </c>
      <c r="S1409" s="56">
        <v>0</v>
      </c>
      <c r="T1409" s="56" t="s">
        <v>3562</v>
      </c>
      <c r="V1409" s="56" t="s">
        <v>3561</v>
      </c>
      <c r="W1409" s="56" t="s">
        <v>3548</v>
      </c>
      <c r="X1409" s="56" t="s">
        <v>3765</v>
      </c>
      <c r="Z1409" s="56" t="s">
        <v>3546</v>
      </c>
      <c r="AA1409" s="56" t="s">
        <v>5031</v>
      </c>
      <c r="AB1409" s="56" t="s">
        <v>5030</v>
      </c>
      <c r="AC1409" s="56" t="s">
        <v>3543</v>
      </c>
      <c r="AD1409" s="56" t="s">
        <v>24</v>
      </c>
      <c r="AE1409" s="56" t="s">
        <v>4834</v>
      </c>
      <c r="AF1409" s="56" t="s">
        <v>5029</v>
      </c>
      <c r="AH1409" s="56" t="s">
        <v>3542</v>
      </c>
      <c r="AI1409" s="56" t="s">
        <v>3723</v>
      </c>
    </row>
    <row r="1410" spans="1:35" ht="33" customHeight="1">
      <c r="A1410" s="56" t="s">
        <v>5034</v>
      </c>
      <c r="B1410" s="57">
        <v>44364.540127314816</v>
      </c>
      <c r="C1410" s="56" t="s">
        <v>3803</v>
      </c>
      <c r="D1410" s="56" t="s">
        <v>4511</v>
      </c>
      <c r="E1410" s="56" t="s">
        <v>5033</v>
      </c>
      <c r="F1410" s="56" t="s">
        <v>5032</v>
      </c>
      <c r="G1410" s="58" t="s">
        <v>1491</v>
      </c>
      <c r="H1410" s="56">
        <v>1</v>
      </c>
      <c r="I1410" s="56" t="s">
        <v>3586</v>
      </c>
      <c r="J1410" s="56">
        <v>149</v>
      </c>
      <c r="K1410" s="56">
        <v>149</v>
      </c>
      <c r="P1410" s="56">
        <v>0</v>
      </c>
      <c r="S1410" s="56">
        <v>0</v>
      </c>
      <c r="T1410" s="56" t="s">
        <v>3562</v>
      </c>
      <c r="V1410" s="56" t="s">
        <v>3561</v>
      </c>
      <c r="W1410" s="56" t="s">
        <v>3548</v>
      </c>
      <c r="X1410" s="56" t="s">
        <v>3765</v>
      </c>
      <c r="Z1410" s="56" t="s">
        <v>3546</v>
      </c>
      <c r="AA1410" s="56" t="s">
        <v>5031</v>
      </c>
      <c r="AB1410" s="56" t="s">
        <v>5030</v>
      </c>
      <c r="AC1410" s="56" t="s">
        <v>3543</v>
      </c>
      <c r="AD1410" s="56" t="s">
        <v>24</v>
      </c>
      <c r="AE1410" s="56" t="s">
        <v>4834</v>
      </c>
      <c r="AF1410" s="56" t="s">
        <v>5029</v>
      </c>
      <c r="AH1410" s="56" t="s">
        <v>3542</v>
      </c>
      <c r="AI1410" s="56" t="s">
        <v>3723</v>
      </c>
    </row>
    <row r="1411" spans="1:35" ht="33" customHeight="1">
      <c r="A1411" s="56" t="s">
        <v>5034</v>
      </c>
      <c r="B1411" s="57">
        <v>44364.540127314816</v>
      </c>
      <c r="C1411" s="56" t="s">
        <v>3803</v>
      </c>
      <c r="D1411" s="56" t="s">
        <v>4511</v>
      </c>
      <c r="E1411" s="56" t="s">
        <v>5033</v>
      </c>
      <c r="F1411" s="56" t="s">
        <v>5032</v>
      </c>
      <c r="G1411" s="58" t="s">
        <v>1713</v>
      </c>
      <c r="H1411" s="56">
        <v>1</v>
      </c>
      <c r="I1411" s="56" t="s">
        <v>3587</v>
      </c>
      <c r="J1411" s="56">
        <v>149</v>
      </c>
      <c r="K1411" s="56">
        <v>149</v>
      </c>
      <c r="P1411" s="56">
        <v>0</v>
      </c>
      <c r="S1411" s="56">
        <v>0</v>
      </c>
      <c r="T1411" s="56" t="s">
        <v>3562</v>
      </c>
      <c r="V1411" s="56" t="s">
        <v>3561</v>
      </c>
      <c r="W1411" s="56" t="s">
        <v>3548</v>
      </c>
      <c r="X1411" s="56" t="s">
        <v>3765</v>
      </c>
      <c r="Z1411" s="56" t="s">
        <v>3546</v>
      </c>
      <c r="AA1411" s="56" t="s">
        <v>5031</v>
      </c>
      <c r="AB1411" s="56" t="s">
        <v>5030</v>
      </c>
      <c r="AC1411" s="56" t="s">
        <v>3543</v>
      </c>
      <c r="AD1411" s="56" t="s">
        <v>24</v>
      </c>
      <c r="AE1411" s="56" t="s">
        <v>4834</v>
      </c>
      <c r="AF1411" s="56" t="s">
        <v>5029</v>
      </c>
      <c r="AH1411" s="56" t="s">
        <v>3542</v>
      </c>
      <c r="AI1411" s="56" t="s">
        <v>3723</v>
      </c>
    </row>
    <row r="1412" spans="1:35" ht="33" customHeight="1">
      <c r="A1412" s="56" t="s">
        <v>5034</v>
      </c>
      <c r="B1412" s="57">
        <v>44364.540127314816</v>
      </c>
      <c r="C1412" s="56" t="s">
        <v>3803</v>
      </c>
      <c r="D1412" s="56" t="s">
        <v>4511</v>
      </c>
      <c r="E1412" s="56" t="s">
        <v>5033</v>
      </c>
      <c r="F1412" s="56" t="s">
        <v>5032</v>
      </c>
      <c r="G1412" s="58" t="s">
        <v>3551</v>
      </c>
      <c r="H1412" s="56">
        <v>1</v>
      </c>
      <c r="I1412" s="56" t="s">
        <v>3550</v>
      </c>
      <c r="J1412" s="56">
        <v>0</v>
      </c>
      <c r="K1412" s="56">
        <v>0</v>
      </c>
      <c r="P1412" s="56">
        <v>0</v>
      </c>
      <c r="S1412" s="56">
        <v>0</v>
      </c>
      <c r="T1412" s="56" t="s">
        <v>3562</v>
      </c>
      <c r="V1412" s="56" t="s">
        <v>3561</v>
      </c>
      <c r="W1412" s="56" t="s">
        <v>3548</v>
      </c>
      <c r="X1412" s="56" t="s">
        <v>3765</v>
      </c>
      <c r="Z1412" s="56" t="s">
        <v>3546</v>
      </c>
      <c r="AA1412" s="56" t="s">
        <v>5031</v>
      </c>
      <c r="AB1412" s="56" t="s">
        <v>5030</v>
      </c>
      <c r="AC1412" s="56" t="s">
        <v>3543</v>
      </c>
      <c r="AD1412" s="56" t="s">
        <v>24</v>
      </c>
      <c r="AE1412" s="56" t="s">
        <v>4834</v>
      </c>
      <c r="AF1412" s="56" t="s">
        <v>5029</v>
      </c>
      <c r="AH1412" s="56" t="s">
        <v>3542</v>
      </c>
      <c r="AI1412" s="56" t="s">
        <v>3723</v>
      </c>
    </row>
    <row r="1413" spans="1:35" ht="33" customHeight="1">
      <c r="A1413" s="56" t="s">
        <v>5034</v>
      </c>
      <c r="B1413" s="57">
        <v>44364.540127314816</v>
      </c>
      <c r="C1413" s="56" t="s">
        <v>3803</v>
      </c>
      <c r="D1413" s="56" t="s">
        <v>4511</v>
      </c>
      <c r="E1413" s="56" t="s">
        <v>5033</v>
      </c>
      <c r="F1413" s="56" t="s">
        <v>5032</v>
      </c>
      <c r="G1413" s="58" t="s">
        <v>1498</v>
      </c>
      <c r="H1413" s="56">
        <v>1</v>
      </c>
      <c r="I1413" s="56" t="s">
        <v>4016</v>
      </c>
      <c r="J1413" s="56">
        <v>0</v>
      </c>
      <c r="K1413" s="56">
        <v>0</v>
      </c>
      <c r="P1413" s="56">
        <v>0</v>
      </c>
      <c r="S1413" s="56">
        <v>0</v>
      </c>
      <c r="T1413" s="56" t="s">
        <v>3562</v>
      </c>
      <c r="V1413" s="56" t="s">
        <v>3561</v>
      </c>
      <c r="W1413" s="56" t="s">
        <v>3548</v>
      </c>
      <c r="X1413" s="56" t="s">
        <v>3765</v>
      </c>
      <c r="Z1413" s="56" t="s">
        <v>3546</v>
      </c>
      <c r="AA1413" s="56" t="s">
        <v>5031</v>
      </c>
      <c r="AB1413" s="56" t="s">
        <v>5030</v>
      </c>
      <c r="AC1413" s="56" t="s">
        <v>3543</v>
      </c>
      <c r="AD1413" s="56" t="s">
        <v>24</v>
      </c>
      <c r="AE1413" s="56" t="s">
        <v>4834</v>
      </c>
      <c r="AF1413" s="56" t="s">
        <v>5029</v>
      </c>
      <c r="AH1413" s="56" t="s">
        <v>3542</v>
      </c>
      <c r="AI1413" s="56" t="s">
        <v>3723</v>
      </c>
    </row>
    <row r="1414" spans="1:35" ht="33" customHeight="1">
      <c r="A1414" s="56" t="s">
        <v>5027</v>
      </c>
      <c r="B1414" s="57">
        <v>44364.548194444447</v>
      </c>
      <c r="C1414" s="56" t="s">
        <v>3803</v>
      </c>
      <c r="D1414" s="56" t="s">
        <v>4426</v>
      </c>
      <c r="E1414" s="56" t="s">
        <v>5026</v>
      </c>
      <c r="F1414" s="56" t="s">
        <v>5025</v>
      </c>
      <c r="G1414" s="58" t="s">
        <v>5028</v>
      </c>
      <c r="H1414" s="56">
        <v>1</v>
      </c>
      <c r="I1414" s="56" t="s">
        <v>3753</v>
      </c>
      <c r="J1414" s="56">
        <v>997</v>
      </c>
      <c r="K1414" s="56">
        <v>960</v>
      </c>
      <c r="L1414" s="56">
        <v>1019</v>
      </c>
      <c r="M1414" s="56">
        <v>0</v>
      </c>
      <c r="N1414" s="56">
        <v>0</v>
      </c>
      <c r="O1414" s="56">
        <v>100</v>
      </c>
      <c r="P1414" s="56">
        <v>0</v>
      </c>
      <c r="Q1414" s="56">
        <v>919</v>
      </c>
      <c r="R1414" s="56">
        <v>0</v>
      </c>
      <c r="S1414" s="56">
        <v>0</v>
      </c>
      <c r="T1414" s="56" t="s">
        <v>27</v>
      </c>
      <c r="U1414" s="56">
        <v>919</v>
      </c>
      <c r="V1414" s="56" t="s">
        <v>3549</v>
      </c>
      <c r="W1414" s="56" t="s">
        <v>3548</v>
      </c>
      <c r="X1414" s="56" t="s">
        <v>3547</v>
      </c>
      <c r="Z1414" s="56" t="s">
        <v>3546</v>
      </c>
      <c r="AA1414" s="56" t="s">
        <v>5024</v>
      </c>
      <c r="AB1414" s="56" t="s">
        <v>5023</v>
      </c>
      <c r="AC1414" s="56" t="s">
        <v>3543</v>
      </c>
      <c r="AH1414" s="56" t="s">
        <v>3542</v>
      </c>
      <c r="AI1414" s="56" t="s">
        <v>3541</v>
      </c>
    </row>
    <row r="1415" spans="1:35" ht="33" customHeight="1">
      <c r="A1415" s="56" t="s">
        <v>5027</v>
      </c>
      <c r="B1415" s="57">
        <v>44364.548194444447</v>
      </c>
      <c r="C1415" s="56" t="s">
        <v>3803</v>
      </c>
      <c r="D1415" s="56" t="s">
        <v>4426</v>
      </c>
      <c r="E1415" s="56" t="s">
        <v>5026</v>
      </c>
      <c r="F1415" s="56" t="s">
        <v>5025</v>
      </c>
      <c r="G1415" s="58" t="s">
        <v>3217</v>
      </c>
      <c r="H1415" s="56">
        <v>1</v>
      </c>
      <c r="I1415" s="56" t="s">
        <v>3720</v>
      </c>
      <c r="J1415" s="56">
        <v>59</v>
      </c>
      <c r="K1415" s="56">
        <v>59</v>
      </c>
      <c r="P1415" s="56">
        <v>0</v>
      </c>
      <c r="S1415" s="56">
        <v>0</v>
      </c>
      <c r="T1415" s="56" t="s">
        <v>27</v>
      </c>
      <c r="V1415" s="56" t="s">
        <v>3549</v>
      </c>
      <c r="W1415" s="56" t="s">
        <v>3548</v>
      </c>
      <c r="X1415" s="56" t="s">
        <v>3547</v>
      </c>
      <c r="Z1415" s="56" t="s">
        <v>3546</v>
      </c>
      <c r="AA1415" s="56" t="s">
        <v>5024</v>
      </c>
      <c r="AB1415" s="56" t="s">
        <v>5023</v>
      </c>
      <c r="AC1415" s="56" t="s">
        <v>3543</v>
      </c>
      <c r="AH1415" s="56" t="s">
        <v>3542</v>
      </c>
      <c r="AI1415" s="56" t="s">
        <v>3541</v>
      </c>
    </row>
    <row r="1416" spans="1:35" ht="33" customHeight="1">
      <c r="A1416" s="56" t="s">
        <v>5027</v>
      </c>
      <c r="B1416" s="57">
        <v>44364.548194444447</v>
      </c>
      <c r="C1416" s="56" t="s">
        <v>3803</v>
      </c>
      <c r="D1416" s="56" t="s">
        <v>4426</v>
      </c>
      <c r="E1416" s="56" t="s">
        <v>5026</v>
      </c>
      <c r="F1416" s="56" t="s">
        <v>5025</v>
      </c>
      <c r="G1416" s="58" t="s">
        <v>3551</v>
      </c>
      <c r="H1416" s="56">
        <v>1</v>
      </c>
      <c r="I1416" s="56" t="s">
        <v>3550</v>
      </c>
      <c r="J1416" s="56">
        <v>0</v>
      </c>
      <c r="K1416" s="56">
        <v>0</v>
      </c>
      <c r="P1416" s="56">
        <v>0</v>
      </c>
      <c r="S1416" s="56">
        <v>0</v>
      </c>
      <c r="T1416" s="56" t="s">
        <v>27</v>
      </c>
      <c r="V1416" s="56" t="s">
        <v>3549</v>
      </c>
      <c r="W1416" s="56" t="s">
        <v>3548</v>
      </c>
      <c r="X1416" s="56" t="s">
        <v>3547</v>
      </c>
      <c r="Z1416" s="56" t="s">
        <v>3546</v>
      </c>
      <c r="AA1416" s="56" t="s">
        <v>5024</v>
      </c>
      <c r="AB1416" s="56" t="s">
        <v>5023</v>
      </c>
      <c r="AC1416" s="56" t="s">
        <v>3543</v>
      </c>
      <c r="AH1416" s="56" t="s">
        <v>3542</v>
      </c>
      <c r="AI1416" s="56" t="s">
        <v>3541</v>
      </c>
    </row>
    <row r="1417" spans="1:35" ht="33" customHeight="1">
      <c r="A1417" s="56" t="s">
        <v>5027</v>
      </c>
      <c r="B1417" s="57">
        <v>44364.548194444447</v>
      </c>
      <c r="C1417" s="56" t="s">
        <v>3803</v>
      </c>
      <c r="D1417" s="56" t="s">
        <v>4426</v>
      </c>
      <c r="E1417" s="56" t="s">
        <v>5026</v>
      </c>
      <c r="F1417" s="56" t="s">
        <v>5025</v>
      </c>
      <c r="G1417" s="58" t="s">
        <v>1498</v>
      </c>
      <c r="H1417" s="56">
        <v>1</v>
      </c>
      <c r="I1417" s="56" t="s">
        <v>4016</v>
      </c>
      <c r="J1417" s="56">
        <v>0</v>
      </c>
      <c r="K1417" s="56">
        <v>0</v>
      </c>
      <c r="P1417" s="56">
        <v>0</v>
      </c>
      <c r="S1417" s="56">
        <v>0</v>
      </c>
      <c r="T1417" s="56" t="s">
        <v>27</v>
      </c>
      <c r="V1417" s="56" t="s">
        <v>3549</v>
      </c>
      <c r="W1417" s="56" t="s">
        <v>3548</v>
      </c>
      <c r="X1417" s="56" t="s">
        <v>3547</v>
      </c>
      <c r="Z1417" s="56" t="s">
        <v>3546</v>
      </c>
      <c r="AA1417" s="56" t="s">
        <v>5024</v>
      </c>
      <c r="AB1417" s="56" t="s">
        <v>5023</v>
      </c>
      <c r="AC1417" s="56" t="s">
        <v>3543</v>
      </c>
      <c r="AH1417" s="56" t="s">
        <v>3542</v>
      </c>
      <c r="AI1417" s="56" t="s">
        <v>3541</v>
      </c>
    </row>
    <row r="1418" spans="1:35" ht="33" customHeight="1">
      <c r="A1418" s="56" t="s">
        <v>5022</v>
      </c>
      <c r="B1418" s="57">
        <v>44364.556469907409</v>
      </c>
      <c r="C1418" s="56" t="s">
        <v>3803</v>
      </c>
      <c r="D1418" s="56" t="s">
        <v>3802</v>
      </c>
      <c r="E1418" s="56" t="s">
        <v>5021</v>
      </c>
      <c r="F1418" s="56" t="s">
        <v>5020</v>
      </c>
      <c r="G1418" s="58" t="s">
        <v>3732</v>
      </c>
      <c r="H1418" s="56">
        <v>1</v>
      </c>
      <c r="I1418" s="56" t="s">
        <v>3731</v>
      </c>
      <c r="J1418" s="56">
        <v>867</v>
      </c>
      <c r="K1418" s="56">
        <v>550</v>
      </c>
      <c r="L1418" s="56">
        <v>2326</v>
      </c>
      <c r="M1418" s="56">
        <v>0</v>
      </c>
      <c r="N1418" s="56">
        <v>0</v>
      </c>
      <c r="O1418" s="56">
        <v>233</v>
      </c>
      <c r="P1418" s="56">
        <v>0</v>
      </c>
      <c r="Q1418" s="56">
        <v>2093</v>
      </c>
      <c r="R1418" s="56">
        <v>0</v>
      </c>
      <c r="S1418" s="56">
        <v>0</v>
      </c>
      <c r="T1418" s="56" t="s">
        <v>3562</v>
      </c>
      <c r="U1418" s="56">
        <v>2093</v>
      </c>
      <c r="V1418" s="56" t="s">
        <v>3561</v>
      </c>
      <c r="W1418" s="56" t="s">
        <v>3548</v>
      </c>
      <c r="X1418" s="56" t="s">
        <v>39</v>
      </c>
      <c r="Y1418" s="56" t="s">
        <v>5019</v>
      </c>
      <c r="Z1418" s="56" t="s">
        <v>5018</v>
      </c>
      <c r="AC1418" s="56" t="s">
        <v>3543</v>
      </c>
      <c r="AD1418" s="56" t="s">
        <v>24</v>
      </c>
      <c r="AE1418" s="56" t="s">
        <v>4834</v>
      </c>
      <c r="AF1418" s="56" t="s">
        <v>5017</v>
      </c>
      <c r="AH1418" s="56" t="s">
        <v>3542</v>
      </c>
      <c r="AI1418" s="56" t="s">
        <v>3723</v>
      </c>
    </row>
    <row r="1419" spans="1:35" ht="33" customHeight="1">
      <c r="A1419" s="56" t="s">
        <v>5022</v>
      </c>
      <c r="B1419" s="57">
        <v>44364.556469907409</v>
      </c>
      <c r="C1419" s="56" t="s">
        <v>3803</v>
      </c>
      <c r="D1419" s="56" t="s">
        <v>3802</v>
      </c>
      <c r="E1419" s="56" t="s">
        <v>5021</v>
      </c>
      <c r="F1419" s="56" t="s">
        <v>5020</v>
      </c>
      <c r="G1419" s="58" t="s">
        <v>3811</v>
      </c>
      <c r="H1419" s="56">
        <v>2</v>
      </c>
      <c r="I1419" s="56" t="s">
        <v>3669</v>
      </c>
      <c r="J1419" s="56">
        <v>897</v>
      </c>
      <c r="K1419" s="56">
        <v>888</v>
      </c>
      <c r="P1419" s="56">
        <v>0</v>
      </c>
      <c r="S1419" s="56">
        <v>0</v>
      </c>
      <c r="T1419" s="56" t="s">
        <v>3562</v>
      </c>
      <c r="V1419" s="56" t="s">
        <v>3561</v>
      </c>
      <c r="W1419" s="56" t="s">
        <v>3548</v>
      </c>
      <c r="X1419" s="56" t="s">
        <v>39</v>
      </c>
      <c r="Y1419" s="56" t="s">
        <v>5019</v>
      </c>
      <c r="Z1419" s="56" t="s">
        <v>5018</v>
      </c>
      <c r="AC1419" s="56" t="s">
        <v>3543</v>
      </c>
      <c r="AD1419" s="56" t="s">
        <v>24</v>
      </c>
      <c r="AE1419" s="56" t="s">
        <v>4834</v>
      </c>
      <c r="AF1419" s="56" t="s">
        <v>5017</v>
      </c>
      <c r="AH1419" s="56" t="s">
        <v>3542</v>
      </c>
      <c r="AI1419" s="56" t="s">
        <v>3723</v>
      </c>
    </row>
    <row r="1420" spans="1:35" ht="33" customHeight="1">
      <c r="A1420" s="56" t="s">
        <v>5022</v>
      </c>
      <c r="B1420" s="57">
        <v>44364.556469907409</v>
      </c>
      <c r="C1420" s="56" t="s">
        <v>3803</v>
      </c>
      <c r="D1420" s="56" t="s">
        <v>3802</v>
      </c>
      <c r="E1420" s="56" t="s">
        <v>5021</v>
      </c>
      <c r="F1420" s="56" t="s">
        <v>5020</v>
      </c>
      <c r="G1420" s="58" t="s">
        <v>3551</v>
      </c>
      <c r="H1420" s="56">
        <v>1</v>
      </c>
      <c r="I1420" s="56" t="s">
        <v>3550</v>
      </c>
      <c r="J1420" s="56">
        <v>0</v>
      </c>
      <c r="K1420" s="56">
        <v>0</v>
      </c>
      <c r="P1420" s="56">
        <v>0</v>
      </c>
      <c r="S1420" s="56">
        <v>0</v>
      </c>
      <c r="T1420" s="56" t="s">
        <v>3562</v>
      </c>
      <c r="V1420" s="56" t="s">
        <v>3561</v>
      </c>
      <c r="W1420" s="56" t="s">
        <v>3548</v>
      </c>
      <c r="X1420" s="56" t="s">
        <v>39</v>
      </c>
      <c r="Y1420" s="56" t="s">
        <v>5019</v>
      </c>
      <c r="Z1420" s="56" t="s">
        <v>5018</v>
      </c>
      <c r="AC1420" s="56" t="s">
        <v>3543</v>
      </c>
      <c r="AD1420" s="56" t="s">
        <v>24</v>
      </c>
      <c r="AE1420" s="56" t="s">
        <v>4834</v>
      </c>
      <c r="AF1420" s="56" t="s">
        <v>5017</v>
      </c>
      <c r="AH1420" s="56" t="s">
        <v>3542</v>
      </c>
      <c r="AI1420" s="56" t="s">
        <v>3723</v>
      </c>
    </row>
    <row r="1421" spans="1:35" ht="33" customHeight="1">
      <c r="A1421" s="56" t="s">
        <v>5022</v>
      </c>
      <c r="B1421" s="57">
        <v>44364.556469907409</v>
      </c>
      <c r="C1421" s="56" t="s">
        <v>3803</v>
      </c>
      <c r="D1421" s="56" t="s">
        <v>3802</v>
      </c>
      <c r="E1421" s="56" t="s">
        <v>5021</v>
      </c>
      <c r="F1421" s="56" t="s">
        <v>5020</v>
      </c>
      <c r="G1421" s="58" t="s">
        <v>1713</v>
      </c>
      <c r="H1421" s="56">
        <v>1</v>
      </c>
      <c r="I1421" s="56" t="s">
        <v>3568</v>
      </c>
      <c r="J1421" s="56">
        <v>0</v>
      </c>
      <c r="K1421" s="56">
        <v>0</v>
      </c>
      <c r="P1421" s="56">
        <v>0</v>
      </c>
      <c r="S1421" s="56">
        <v>0</v>
      </c>
      <c r="T1421" s="56" t="s">
        <v>3562</v>
      </c>
      <c r="V1421" s="56" t="s">
        <v>3561</v>
      </c>
      <c r="W1421" s="56" t="s">
        <v>3548</v>
      </c>
      <c r="X1421" s="56" t="s">
        <v>39</v>
      </c>
      <c r="Y1421" s="56" t="s">
        <v>5019</v>
      </c>
      <c r="Z1421" s="56" t="s">
        <v>5018</v>
      </c>
      <c r="AC1421" s="56" t="s">
        <v>3543</v>
      </c>
      <c r="AD1421" s="56" t="s">
        <v>24</v>
      </c>
      <c r="AE1421" s="56" t="s">
        <v>4834</v>
      </c>
      <c r="AF1421" s="56" t="s">
        <v>5017</v>
      </c>
      <c r="AH1421" s="56" t="s">
        <v>3542</v>
      </c>
      <c r="AI1421" s="56" t="s">
        <v>3723</v>
      </c>
    </row>
    <row r="1422" spans="1:35" ht="33" customHeight="1">
      <c r="A1422" s="56" t="s">
        <v>5022</v>
      </c>
      <c r="B1422" s="57">
        <v>44364.556469907409</v>
      </c>
      <c r="C1422" s="56" t="s">
        <v>3803</v>
      </c>
      <c r="D1422" s="56" t="s">
        <v>3802</v>
      </c>
      <c r="E1422" s="56" t="s">
        <v>5021</v>
      </c>
      <c r="F1422" s="56" t="s">
        <v>5020</v>
      </c>
      <c r="G1422" s="58" t="s">
        <v>1498</v>
      </c>
      <c r="H1422" s="56">
        <v>1</v>
      </c>
      <c r="I1422" s="56" t="s">
        <v>4016</v>
      </c>
      <c r="J1422" s="56">
        <v>0</v>
      </c>
      <c r="K1422" s="56">
        <v>0</v>
      </c>
      <c r="P1422" s="56">
        <v>0</v>
      </c>
      <c r="S1422" s="56">
        <v>0</v>
      </c>
      <c r="T1422" s="56" t="s">
        <v>3562</v>
      </c>
      <c r="V1422" s="56" t="s">
        <v>3561</v>
      </c>
      <c r="W1422" s="56" t="s">
        <v>3548</v>
      </c>
      <c r="X1422" s="56" t="s">
        <v>39</v>
      </c>
      <c r="Y1422" s="56" t="s">
        <v>5019</v>
      </c>
      <c r="Z1422" s="56" t="s">
        <v>5018</v>
      </c>
      <c r="AC1422" s="56" t="s">
        <v>3543</v>
      </c>
      <c r="AD1422" s="56" t="s">
        <v>24</v>
      </c>
      <c r="AE1422" s="56" t="s">
        <v>4834</v>
      </c>
      <c r="AF1422" s="56" t="s">
        <v>5017</v>
      </c>
      <c r="AH1422" s="56" t="s">
        <v>3542</v>
      </c>
      <c r="AI1422" s="56" t="s">
        <v>3723</v>
      </c>
    </row>
    <row r="1423" spans="1:35" ht="33" customHeight="1">
      <c r="A1423" s="56" t="s">
        <v>5022</v>
      </c>
      <c r="B1423" s="57">
        <v>44364.556469907409</v>
      </c>
      <c r="C1423" s="56" t="s">
        <v>3803</v>
      </c>
      <c r="D1423" s="56" t="s">
        <v>3802</v>
      </c>
      <c r="E1423" s="56" t="s">
        <v>5021</v>
      </c>
      <c r="F1423" s="56" t="s">
        <v>5020</v>
      </c>
      <c r="G1423" s="58" t="s">
        <v>3564</v>
      </c>
      <c r="H1423" s="56">
        <v>1</v>
      </c>
      <c r="I1423" s="56" t="s">
        <v>3563</v>
      </c>
      <c r="J1423" s="56">
        <v>0</v>
      </c>
      <c r="K1423" s="56">
        <v>0</v>
      </c>
      <c r="P1423" s="56">
        <v>0</v>
      </c>
      <c r="S1423" s="56">
        <v>0</v>
      </c>
      <c r="T1423" s="56" t="s">
        <v>3562</v>
      </c>
      <c r="V1423" s="56" t="s">
        <v>3561</v>
      </c>
      <c r="W1423" s="56" t="s">
        <v>3548</v>
      </c>
      <c r="X1423" s="56" t="s">
        <v>39</v>
      </c>
      <c r="Y1423" s="56" t="s">
        <v>5019</v>
      </c>
      <c r="Z1423" s="56" t="s">
        <v>5018</v>
      </c>
      <c r="AC1423" s="56" t="s">
        <v>3543</v>
      </c>
      <c r="AD1423" s="56" t="s">
        <v>24</v>
      </c>
      <c r="AE1423" s="56" t="s">
        <v>4834</v>
      </c>
      <c r="AF1423" s="56" t="s">
        <v>5017</v>
      </c>
      <c r="AH1423" s="56" t="s">
        <v>3542</v>
      </c>
      <c r="AI1423" s="56" t="s">
        <v>3723</v>
      </c>
    </row>
    <row r="1424" spans="1:35" ht="33" customHeight="1">
      <c r="A1424" s="56" t="s">
        <v>5016</v>
      </c>
      <c r="B1424" s="57">
        <v>44364.560150462959</v>
      </c>
      <c r="C1424" s="56" t="s">
        <v>3803</v>
      </c>
      <c r="D1424" s="56" t="s">
        <v>3802</v>
      </c>
      <c r="E1424" s="56" t="s">
        <v>5015</v>
      </c>
      <c r="F1424" s="56" t="s">
        <v>5014</v>
      </c>
      <c r="G1424" s="58" t="s">
        <v>3171</v>
      </c>
      <c r="H1424" s="56">
        <v>2</v>
      </c>
      <c r="I1424" s="56" t="s">
        <v>3695</v>
      </c>
      <c r="J1424" s="56">
        <v>399</v>
      </c>
      <c r="K1424" s="56">
        <v>399</v>
      </c>
      <c r="L1424" s="56">
        <v>1152</v>
      </c>
      <c r="M1424" s="56">
        <v>0</v>
      </c>
      <c r="N1424" s="56">
        <v>0</v>
      </c>
      <c r="O1424" s="56">
        <v>116</v>
      </c>
      <c r="P1424" s="56">
        <v>0</v>
      </c>
      <c r="Q1424" s="56">
        <v>1036</v>
      </c>
      <c r="R1424" s="56">
        <v>0</v>
      </c>
      <c r="S1424" s="56">
        <v>0</v>
      </c>
      <c r="T1424" s="56" t="s">
        <v>3562</v>
      </c>
      <c r="U1424" s="56">
        <v>1036</v>
      </c>
      <c r="V1424" s="56" t="s">
        <v>59</v>
      </c>
      <c r="W1424" s="56" t="s">
        <v>3548</v>
      </c>
      <c r="X1424" s="56" t="s">
        <v>39</v>
      </c>
      <c r="Y1424" s="56" t="s">
        <v>5013</v>
      </c>
      <c r="Z1424" s="56" t="s">
        <v>5012</v>
      </c>
      <c r="AC1424" s="56" t="s">
        <v>3543</v>
      </c>
      <c r="AD1424" s="56" t="s">
        <v>24</v>
      </c>
      <c r="AE1424" s="56" t="s">
        <v>4834</v>
      </c>
      <c r="AF1424" s="56" t="s">
        <v>5011</v>
      </c>
      <c r="AH1424" s="56" t="s">
        <v>3542</v>
      </c>
      <c r="AI1424" s="56" t="s">
        <v>3723</v>
      </c>
    </row>
    <row r="1425" spans="1:35" ht="33" customHeight="1">
      <c r="A1425" s="56" t="s">
        <v>5016</v>
      </c>
      <c r="B1425" s="57">
        <v>44364.560150462959</v>
      </c>
      <c r="C1425" s="56" t="s">
        <v>3803</v>
      </c>
      <c r="D1425" s="56" t="s">
        <v>3802</v>
      </c>
      <c r="E1425" s="56" t="s">
        <v>5015</v>
      </c>
      <c r="F1425" s="56" t="s">
        <v>5014</v>
      </c>
      <c r="G1425" s="58" t="s">
        <v>1510</v>
      </c>
      <c r="H1425" s="56">
        <v>1</v>
      </c>
      <c r="I1425" s="56" t="s">
        <v>359</v>
      </c>
      <c r="J1425" s="56">
        <v>295</v>
      </c>
      <c r="K1425" s="56">
        <v>295</v>
      </c>
      <c r="P1425" s="56">
        <v>0</v>
      </c>
      <c r="S1425" s="56">
        <v>0</v>
      </c>
      <c r="T1425" s="56" t="s">
        <v>3562</v>
      </c>
      <c r="V1425" s="56" t="s">
        <v>59</v>
      </c>
      <c r="W1425" s="56" t="s">
        <v>3548</v>
      </c>
      <c r="X1425" s="56" t="s">
        <v>39</v>
      </c>
      <c r="Y1425" s="56" t="s">
        <v>5013</v>
      </c>
      <c r="Z1425" s="56" t="s">
        <v>5012</v>
      </c>
      <c r="AC1425" s="56" t="s">
        <v>3543</v>
      </c>
      <c r="AD1425" s="56" t="s">
        <v>24</v>
      </c>
      <c r="AE1425" s="56" t="s">
        <v>4834</v>
      </c>
      <c r="AF1425" s="56" t="s">
        <v>5011</v>
      </c>
      <c r="AH1425" s="56" t="s">
        <v>3542</v>
      </c>
      <c r="AI1425" s="56" t="s">
        <v>3723</v>
      </c>
    </row>
    <row r="1426" spans="1:35" ht="33" customHeight="1">
      <c r="A1426" s="56" t="s">
        <v>5016</v>
      </c>
      <c r="B1426" s="57">
        <v>44364.560150462959</v>
      </c>
      <c r="C1426" s="56" t="s">
        <v>3803</v>
      </c>
      <c r="D1426" s="56" t="s">
        <v>3802</v>
      </c>
      <c r="E1426" s="56" t="s">
        <v>5015</v>
      </c>
      <c r="F1426" s="56" t="s">
        <v>5014</v>
      </c>
      <c r="G1426" s="58" t="s">
        <v>3217</v>
      </c>
      <c r="H1426" s="56">
        <v>1</v>
      </c>
      <c r="I1426" s="56" t="s">
        <v>3720</v>
      </c>
      <c r="J1426" s="56">
        <v>59</v>
      </c>
      <c r="K1426" s="56">
        <v>59</v>
      </c>
      <c r="P1426" s="56">
        <v>0</v>
      </c>
      <c r="S1426" s="56">
        <v>0</v>
      </c>
      <c r="T1426" s="56" t="s">
        <v>3562</v>
      </c>
      <c r="V1426" s="56" t="s">
        <v>59</v>
      </c>
      <c r="W1426" s="56" t="s">
        <v>3548</v>
      </c>
      <c r="X1426" s="56" t="s">
        <v>39</v>
      </c>
      <c r="Y1426" s="56" t="s">
        <v>5013</v>
      </c>
      <c r="Z1426" s="56" t="s">
        <v>5012</v>
      </c>
      <c r="AC1426" s="56" t="s">
        <v>3543</v>
      </c>
      <c r="AD1426" s="56" t="s">
        <v>24</v>
      </c>
      <c r="AE1426" s="56" t="s">
        <v>4834</v>
      </c>
      <c r="AF1426" s="56" t="s">
        <v>5011</v>
      </c>
      <c r="AH1426" s="56" t="s">
        <v>3542</v>
      </c>
      <c r="AI1426" s="56" t="s">
        <v>3723</v>
      </c>
    </row>
    <row r="1427" spans="1:35" ht="33" customHeight="1">
      <c r="A1427" s="56" t="s">
        <v>5016</v>
      </c>
      <c r="B1427" s="57">
        <v>44364.560150462959</v>
      </c>
      <c r="C1427" s="56" t="s">
        <v>3803</v>
      </c>
      <c r="D1427" s="56" t="s">
        <v>3802</v>
      </c>
      <c r="E1427" s="56" t="s">
        <v>5015</v>
      </c>
      <c r="F1427" s="56" t="s">
        <v>5014</v>
      </c>
      <c r="G1427" s="58" t="s">
        <v>3551</v>
      </c>
      <c r="H1427" s="56">
        <v>1</v>
      </c>
      <c r="I1427" s="56" t="s">
        <v>3550</v>
      </c>
      <c r="J1427" s="56">
        <v>0</v>
      </c>
      <c r="K1427" s="56">
        <v>0</v>
      </c>
      <c r="P1427" s="56">
        <v>0</v>
      </c>
      <c r="S1427" s="56">
        <v>0</v>
      </c>
      <c r="T1427" s="56" t="s">
        <v>3562</v>
      </c>
      <c r="V1427" s="56" t="s">
        <v>59</v>
      </c>
      <c r="W1427" s="56" t="s">
        <v>3548</v>
      </c>
      <c r="X1427" s="56" t="s">
        <v>39</v>
      </c>
      <c r="Y1427" s="56" t="s">
        <v>5013</v>
      </c>
      <c r="Z1427" s="56" t="s">
        <v>5012</v>
      </c>
      <c r="AC1427" s="56" t="s">
        <v>3543</v>
      </c>
      <c r="AD1427" s="56" t="s">
        <v>24</v>
      </c>
      <c r="AE1427" s="56" t="s">
        <v>4834</v>
      </c>
      <c r="AF1427" s="56" t="s">
        <v>5011</v>
      </c>
      <c r="AH1427" s="56" t="s">
        <v>3542</v>
      </c>
      <c r="AI1427" s="56" t="s">
        <v>3723</v>
      </c>
    </row>
    <row r="1428" spans="1:35" ht="33" customHeight="1">
      <c r="A1428" s="56" t="s">
        <v>5016</v>
      </c>
      <c r="B1428" s="57">
        <v>44364.560150462959</v>
      </c>
      <c r="C1428" s="56" t="s">
        <v>3803</v>
      </c>
      <c r="D1428" s="56" t="s">
        <v>3802</v>
      </c>
      <c r="E1428" s="56" t="s">
        <v>5015</v>
      </c>
      <c r="F1428" s="56" t="s">
        <v>5014</v>
      </c>
      <c r="G1428" s="58" t="s">
        <v>1498</v>
      </c>
      <c r="H1428" s="56">
        <v>1</v>
      </c>
      <c r="I1428" s="56" t="s">
        <v>4016</v>
      </c>
      <c r="J1428" s="56">
        <v>0</v>
      </c>
      <c r="K1428" s="56">
        <v>0</v>
      </c>
      <c r="P1428" s="56">
        <v>0</v>
      </c>
      <c r="S1428" s="56">
        <v>0</v>
      </c>
      <c r="T1428" s="56" t="s">
        <v>3562</v>
      </c>
      <c r="V1428" s="56" t="s">
        <v>59</v>
      </c>
      <c r="W1428" s="56" t="s">
        <v>3548</v>
      </c>
      <c r="X1428" s="56" t="s">
        <v>39</v>
      </c>
      <c r="Y1428" s="56" t="s">
        <v>5013</v>
      </c>
      <c r="Z1428" s="56" t="s">
        <v>5012</v>
      </c>
      <c r="AC1428" s="56" t="s">
        <v>3543</v>
      </c>
      <c r="AD1428" s="56" t="s">
        <v>24</v>
      </c>
      <c r="AE1428" s="56" t="s">
        <v>4834</v>
      </c>
      <c r="AF1428" s="56" t="s">
        <v>5011</v>
      </c>
      <c r="AH1428" s="56" t="s">
        <v>3542</v>
      </c>
      <c r="AI1428" s="56" t="s">
        <v>3723</v>
      </c>
    </row>
    <row r="1429" spans="1:35" ht="33" customHeight="1">
      <c r="A1429" s="56" t="s">
        <v>5010</v>
      </c>
      <c r="B1429" s="57">
        <v>44364.574282407404</v>
      </c>
      <c r="C1429" s="56" t="s">
        <v>3803</v>
      </c>
      <c r="D1429" s="56" t="s">
        <v>3802</v>
      </c>
      <c r="E1429" s="56" t="s">
        <v>5009</v>
      </c>
      <c r="F1429" s="56" t="s">
        <v>5008</v>
      </c>
      <c r="G1429" s="58" t="s">
        <v>1354</v>
      </c>
      <c r="H1429" s="56">
        <v>2</v>
      </c>
      <c r="I1429" s="56" t="s">
        <v>4037</v>
      </c>
      <c r="J1429" s="56">
        <v>59</v>
      </c>
      <c r="K1429" s="56">
        <v>59</v>
      </c>
      <c r="L1429" s="56">
        <v>1174</v>
      </c>
      <c r="M1429" s="56">
        <v>0</v>
      </c>
      <c r="N1429" s="56">
        <v>0</v>
      </c>
      <c r="O1429" s="56">
        <v>100</v>
      </c>
      <c r="P1429" s="56">
        <v>0</v>
      </c>
      <c r="Q1429" s="56">
        <v>1074</v>
      </c>
      <c r="R1429" s="56">
        <v>0</v>
      </c>
      <c r="S1429" s="56">
        <v>0</v>
      </c>
      <c r="T1429" s="56" t="s">
        <v>3562</v>
      </c>
      <c r="U1429" s="56">
        <v>1074</v>
      </c>
      <c r="V1429" s="56" t="s">
        <v>3561</v>
      </c>
      <c r="W1429" s="56" t="s">
        <v>3548</v>
      </c>
      <c r="X1429" s="56" t="s">
        <v>39</v>
      </c>
      <c r="Y1429" s="56" t="s">
        <v>5007</v>
      </c>
      <c r="Z1429" s="56" t="s">
        <v>5006</v>
      </c>
      <c r="AC1429" s="56" t="s">
        <v>3543</v>
      </c>
      <c r="AD1429" s="56" t="s">
        <v>24</v>
      </c>
      <c r="AE1429" s="56" t="s">
        <v>4834</v>
      </c>
      <c r="AF1429" s="56" t="s">
        <v>5005</v>
      </c>
      <c r="AH1429" s="56" t="s">
        <v>3542</v>
      </c>
      <c r="AI1429" s="56" t="s">
        <v>3723</v>
      </c>
    </row>
    <row r="1430" spans="1:35" ht="33" customHeight="1">
      <c r="A1430" s="56" t="s">
        <v>5010</v>
      </c>
      <c r="B1430" s="57">
        <v>44364.574282407404</v>
      </c>
      <c r="C1430" s="56" t="s">
        <v>3803</v>
      </c>
      <c r="D1430" s="56" t="s">
        <v>3802</v>
      </c>
      <c r="E1430" s="56" t="s">
        <v>5009</v>
      </c>
      <c r="F1430" s="56" t="s">
        <v>5008</v>
      </c>
      <c r="G1430" s="58" t="s">
        <v>3219</v>
      </c>
      <c r="H1430" s="56">
        <v>1</v>
      </c>
      <c r="I1430" s="56" t="s">
        <v>3595</v>
      </c>
      <c r="J1430" s="56">
        <v>59</v>
      </c>
      <c r="K1430" s="56">
        <v>59</v>
      </c>
      <c r="P1430" s="56">
        <v>0</v>
      </c>
      <c r="S1430" s="56">
        <v>0</v>
      </c>
      <c r="T1430" s="56" t="s">
        <v>3562</v>
      </c>
      <c r="V1430" s="56" t="s">
        <v>3561</v>
      </c>
      <c r="W1430" s="56" t="s">
        <v>3548</v>
      </c>
      <c r="X1430" s="56" t="s">
        <v>39</v>
      </c>
      <c r="Y1430" s="56" t="s">
        <v>5007</v>
      </c>
      <c r="Z1430" s="56" t="s">
        <v>5006</v>
      </c>
      <c r="AC1430" s="56" t="s">
        <v>3543</v>
      </c>
      <c r="AD1430" s="56" t="s">
        <v>24</v>
      </c>
      <c r="AE1430" s="56" t="s">
        <v>4834</v>
      </c>
      <c r="AF1430" s="56" t="s">
        <v>5005</v>
      </c>
      <c r="AH1430" s="56" t="s">
        <v>3542</v>
      </c>
      <c r="AI1430" s="56" t="s">
        <v>3723</v>
      </c>
    </row>
    <row r="1431" spans="1:35" ht="33" customHeight="1">
      <c r="A1431" s="56" t="s">
        <v>5010</v>
      </c>
      <c r="B1431" s="57">
        <v>44364.574282407404</v>
      </c>
      <c r="C1431" s="56" t="s">
        <v>3803</v>
      </c>
      <c r="D1431" s="56" t="s">
        <v>3802</v>
      </c>
      <c r="E1431" s="56" t="s">
        <v>5009</v>
      </c>
      <c r="F1431" s="56" t="s">
        <v>5008</v>
      </c>
      <c r="G1431" s="58" t="s">
        <v>3968</v>
      </c>
      <c r="H1431" s="56">
        <v>1</v>
      </c>
      <c r="I1431" s="56" t="s">
        <v>3669</v>
      </c>
      <c r="J1431" s="56">
        <v>897</v>
      </c>
      <c r="K1431" s="56">
        <v>888</v>
      </c>
      <c r="P1431" s="56">
        <v>0</v>
      </c>
      <c r="S1431" s="56">
        <v>0</v>
      </c>
      <c r="T1431" s="56" t="s">
        <v>3562</v>
      </c>
      <c r="V1431" s="56" t="s">
        <v>3561</v>
      </c>
      <c r="W1431" s="56" t="s">
        <v>3548</v>
      </c>
      <c r="X1431" s="56" t="s">
        <v>39</v>
      </c>
      <c r="Y1431" s="56" t="s">
        <v>5007</v>
      </c>
      <c r="Z1431" s="56" t="s">
        <v>5006</v>
      </c>
      <c r="AC1431" s="56" t="s">
        <v>3543</v>
      </c>
      <c r="AD1431" s="56" t="s">
        <v>24</v>
      </c>
      <c r="AE1431" s="56" t="s">
        <v>4834</v>
      </c>
      <c r="AF1431" s="56" t="s">
        <v>5005</v>
      </c>
      <c r="AH1431" s="56" t="s">
        <v>3542</v>
      </c>
      <c r="AI1431" s="56" t="s">
        <v>3723</v>
      </c>
    </row>
    <row r="1432" spans="1:35" ht="33" customHeight="1">
      <c r="A1432" s="56" t="s">
        <v>5010</v>
      </c>
      <c r="B1432" s="57">
        <v>44364.574282407404</v>
      </c>
      <c r="C1432" s="56" t="s">
        <v>3803</v>
      </c>
      <c r="D1432" s="56" t="s">
        <v>3802</v>
      </c>
      <c r="E1432" s="56" t="s">
        <v>5009</v>
      </c>
      <c r="F1432" s="56" t="s">
        <v>5008</v>
      </c>
      <c r="G1432" s="58" t="s">
        <v>2165</v>
      </c>
      <c r="H1432" s="56">
        <v>1</v>
      </c>
      <c r="I1432" s="56" t="s">
        <v>3721</v>
      </c>
      <c r="J1432" s="56">
        <v>109</v>
      </c>
      <c r="K1432" s="56">
        <v>109</v>
      </c>
      <c r="P1432" s="56">
        <v>0</v>
      </c>
      <c r="S1432" s="56">
        <v>0</v>
      </c>
      <c r="T1432" s="56" t="s">
        <v>3562</v>
      </c>
      <c r="V1432" s="56" t="s">
        <v>3561</v>
      </c>
      <c r="W1432" s="56" t="s">
        <v>3548</v>
      </c>
      <c r="X1432" s="56" t="s">
        <v>39</v>
      </c>
      <c r="Y1432" s="56" t="s">
        <v>5007</v>
      </c>
      <c r="Z1432" s="56" t="s">
        <v>5006</v>
      </c>
      <c r="AC1432" s="56" t="s">
        <v>3543</v>
      </c>
      <c r="AD1432" s="56" t="s">
        <v>24</v>
      </c>
      <c r="AE1432" s="56" t="s">
        <v>4834</v>
      </c>
      <c r="AF1432" s="56" t="s">
        <v>5005</v>
      </c>
      <c r="AH1432" s="56" t="s">
        <v>3542</v>
      </c>
      <c r="AI1432" s="56" t="s">
        <v>3723</v>
      </c>
    </row>
    <row r="1433" spans="1:35" ht="33" customHeight="1">
      <c r="A1433" s="56" t="s">
        <v>5010</v>
      </c>
      <c r="B1433" s="57">
        <v>44364.574282407404</v>
      </c>
      <c r="C1433" s="56" t="s">
        <v>3803</v>
      </c>
      <c r="D1433" s="56" t="s">
        <v>3802</v>
      </c>
      <c r="E1433" s="56" t="s">
        <v>5009</v>
      </c>
      <c r="F1433" s="56" t="s">
        <v>5008</v>
      </c>
      <c r="G1433" s="58" t="s">
        <v>3551</v>
      </c>
      <c r="H1433" s="56">
        <v>1</v>
      </c>
      <c r="I1433" s="56" t="s">
        <v>3550</v>
      </c>
      <c r="J1433" s="56">
        <v>0</v>
      </c>
      <c r="K1433" s="56">
        <v>0</v>
      </c>
      <c r="P1433" s="56">
        <v>0</v>
      </c>
      <c r="S1433" s="56">
        <v>0</v>
      </c>
      <c r="T1433" s="56" t="s">
        <v>3562</v>
      </c>
      <c r="V1433" s="56" t="s">
        <v>3561</v>
      </c>
      <c r="W1433" s="56" t="s">
        <v>3548</v>
      </c>
      <c r="X1433" s="56" t="s">
        <v>39</v>
      </c>
      <c r="Y1433" s="56" t="s">
        <v>5007</v>
      </c>
      <c r="Z1433" s="56" t="s">
        <v>5006</v>
      </c>
      <c r="AC1433" s="56" t="s">
        <v>3543</v>
      </c>
      <c r="AD1433" s="56" t="s">
        <v>24</v>
      </c>
      <c r="AE1433" s="56" t="s">
        <v>4834</v>
      </c>
      <c r="AF1433" s="56" t="s">
        <v>5005</v>
      </c>
      <c r="AH1433" s="56" t="s">
        <v>3542</v>
      </c>
      <c r="AI1433" s="56" t="s">
        <v>3723</v>
      </c>
    </row>
    <row r="1434" spans="1:35" ht="33" customHeight="1">
      <c r="A1434" s="56" t="s">
        <v>5010</v>
      </c>
      <c r="B1434" s="57">
        <v>44364.574282407404</v>
      </c>
      <c r="C1434" s="56" t="s">
        <v>3803</v>
      </c>
      <c r="D1434" s="56" t="s">
        <v>3802</v>
      </c>
      <c r="E1434" s="56" t="s">
        <v>5009</v>
      </c>
      <c r="F1434" s="56" t="s">
        <v>5008</v>
      </c>
      <c r="G1434" s="58" t="s">
        <v>1498</v>
      </c>
      <c r="H1434" s="56">
        <v>1</v>
      </c>
      <c r="I1434" s="56" t="s">
        <v>4016</v>
      </c>
      <c r="J1434" s="56">
        <v>0</v>
      </c>
      <c r="K1434" s="56">
        <v>0</v>
      </c>
      <c r="P1434" s="56">
        <v>0</v>
      </c>
      <c r="S1434" s="56">
        <v>0</v>
      </c>
      <c r="T1434" s="56" t="s">
        <v>3562</v>
      </c>
      <c r="V1434" s="56" t="s">
        <v>3561</v>
      </c>
      <c r="W1434" s="56" t="s">
        <v>3548</v>
      </c>
      <c r="X1434" s="56" t="s">
        <v>39</v>
      </c>
      <c r="Y1434" s="56" t="s">
        <v>5007</v>
      </c>
      <c r="Z1434" s="56" t="s">
        <v>5006</v>
      </c>
      <c r="AC1434" s="56" t="s">
        <v>3543</v>
      </c>
      <c r="AD1434" s="56" t="s">
        <v>24</v>
      </c>
      <c r="AE1434" s="56" t="s">
        <v>4834</v>
      </c>
      <c r="AF1434" s="56" t="s">
        <v>5005</v>
      </c>
      <c r="AH1434" s="56" t="s">
        <v>3542</v>
      </c>
      <c r="AI1434" s="56" t="s">
        <v>3723</v>
      </c>
    </row>
    <row r="1435" spans="1:35" ht="33" customHeight="1">
      <c r="A1435" s="56" t="s">
        <v>5004</v>
      </c>
      <c r="B1435" s="57">
        <v>44364.579675925925</v>
      </c>
      <c r="C1435" s="56" t="s">
        <v>4512</v>
      </c>
      <c r="D1435" s="56" t="s">
        <v>4511</v>
      </c>
      <c r="E1435" s="56" t="s">
        <v>5003</v>
      </c>
      <c r="F1435" s="56" t="s">
        <v>5002</v>
      </c>
      <c r="G1435" s="58" t="s">
        <v>3656</v>
      </c>
      <c r="H1435" s="56">
        <v>1</v>
      </c>
      <c r="I1435" s="56" t="s">
        <v>3655</v>
      </c>
      <c r="J1435" s="56">
        <v>1107</v>
      </c>
      <c r="K1435" s="56">
        <v>799</v>
      </c>
      <c r="L1435" s="56">
        <v>858</v>
      </c>
      <c r="M1435" s="56">
        <v>65</v>
      </c>
      <c r="N1435" s="56">
        <v>0</v>
      </c>
      <c r="O1435" s="56">
        <v>0</v>
      </c>
      <c r="P1435" s="56">
        <v>0</v>
      </c>
      <c r="Q1435" s="56">
        <v>923</v>
      </c>
      <c r="R1435" s="56">
        <v>0</v>
      </c>
      <c r="S1435" s="56">
        <v>0</v>
      </c>
      <c r="T1435" s="56" t="s">
        <v>3562</v>
      </c>
      <c r="U1435" s="56">
        <v>923</v>
      </c>
      <c r="V1435" s="56" t="s">
        <v>3612</v>
      </c>
      <c r="W1435" s="56" t="s">
        <v>3548</v>
      </c>
      <c r="X1435" s="56" t="s">
        <v>3611</v>
      </c>
      <c r="Z1435" s="56" t="s">
        <v>3546</v>
      </c>
      <c r="AA1435" s="56" t="s">
        <v>5001</v>
      </c>
      <c r="AB1435" s="56" t="s">
        <v>5000</v>
      </c>
      <c r="AC1435" s="56" t="s">
        <v>3543</v>
      </c>
      <c r="AD1435" s="56" t="s">
        <v>24</v>
      </c>
      <c r="AE1435" s="56" t="s">
        <v>3862</v>
      </c>
      <c r="AF1435" s="56" t="s">
        <v>4999</v>
      </c>
      <c r="AH1435" s="56" t="s">
        <v>3542</v>
      </c>
      <c r="AI1435" s="56" t="s">
        <v>3723</v>
      </c>
    </row>
    <row r="1436" spans="1:35" ht="33" customHeight="1">
      <c r="A1436" s="56" t="s">
        <v>5004</v>
      </c>
      <c r="B1436" s="57">
        <v>44364.579675925925</v>
      </c>
      <c r="C1436" s="56" t="s">
        <v>4512</v>
      </c>
      <c r="D1436" s="56" t="s">
        <v>4511</v>
      </c>
      <c r="E1436" s="56" t="s">
        <v>5003</v>
      </c>
      <c r="F1436" s="56" t="s">
        <v>5002</v>
      </c>
      <c r="G1436" s="58" t="s">
        <v>3217</v>
      </c>
      <c r="H1436" s="56">
        <v>1</v>
      </c>
      <c r="I1436" s="56" t="s">
        <v>3720</v>
      </c>
      <c r="J1436" s="56">
        <v>59</v>
      </c>
      <c r="K1436" s="56">
        <v>59</v>
      </c>
      <c r="P1436" s="56">
        <v>0</v>
      </c>
      <c r="S1436" s="56">
        <v>0</v>
      </c>
      <c r="T1436" s="56" t="s">
        <v>3562</v>
      </c>
      <c r="V1436" s="56" t="s">
        <v>3612</v>
      </c>
      <c r="W1436" s="56" t="s">
        <v>3548</v>
      </c>
      <c r="X1436" s="56" t="s">
        <v>3611</v>
      </c>
      <c r="Z1436" s="56" t="s">
        <v>3546</v>
      </c>
      <c r="AA1436" s="56" t="s">
        <v>5001</v>
      </c>
      <c r="AB1436" s="56" t="s">
        <v>5000</v>
      </c>
      <c r="AC1436" s="56" t="s">
        <v>3543</v>
      </c>
      <c r="AD1436" s="56" t="s">
        <v>24</v>
      </c>
      <c r="AE1436" s="56" t="s">
        <v>3862</v>
      </c>
      <c r="AF1436" s="56" t="s">
        <v>4999</v>
      </c>
      <c r="AH1436" s="56" t="s">
        <v>3542</v>
      </c>
      <c r="AI1436" s="56" t="s">
        <v>3723</v>
      </c>
    </row>
    <row r="1437" spans="1:35" ht="33" customHeight="1">
      <c r="A1437" s="56" t="s">
        <v>5004</v>
      </c>
      <c r="B1437" s="57">
        <v>44364.579675925925</v>
      </c>
      <c r="C1437" s="56" t="s">
        <v>4512</v>
      </c>
      <c r="D1437" s="56" t="s">
        <v>4511</v>
      </c>
      <c r="E1437" s="56" t="s">
        <v>5003</v>
      </c>
      <c r="F1437" s="56" t="s">
        <v>5002</v>
      </c>
      <c r="G1437" s="58" t="s">
        <v>3551</v>
      </c>
      <c r="H1437" s="56">
        <v>1</v>
      </c>
      <c r="I1437" s="56" t="s">
        <v>3550</v>
      </c>
      <c r="J1437" s="56">
        <v>0</v>
      </c>
      <c r="K1437" s="56">
        <v>0</v>
      </c>
      <c r="P1437" s="56">
        <v>0</v>
      </c>
      <c r="S1437" s="56">
        <v>0</v>
      </c>
      <c r="T1437" s="56" t="s">
        <v>3562</v>
      </c>
      <c r="V1437" s="56" t="s">
        <v>3612</v>
      </c>
      <c r="W1437" s="56" t="s">
        <v>3548</v>
      </c>
      <c r="X1437" s="56" t="s">
        <v>3611</v>
      </c>
      <c r="Z1437" s="56" t="s">
        <v>3546</v>
      </c>
      <c r="AA1437" s="56" t="s">
        <v>5001</v>
      </c>
      <c r="AB1437" s="56" t="s">
        <v>5000</v>
      </c>
      <c r="AC1437" s="56" t="s">
        <v>3543</v>
      </c>
      <c r="AD1437" s="56" t="s">
        <v>24</v>
      </c>
      <c r="AE1437" s="56" t="s">
        <v>3862</v>
      </c>
      <c r="AF1437" s="56" t="s">
        <v>4999</v>
      </c>
      <c r="AH1437" s="56" t="s">
        <v>3542</v>
      </c>
      <c r="AI1437" s="56" t="s">
        <v>3723</v>
      </c>
    </row>
    <row r="1438" spans="1:35" ht="33" customHeight="1">
      <c r="A1438" s="56" t="s">
        <v>4998</v>
      </c>
      <c r="B1438" s="57">
        <v>44364.591307870367</v>
      </c>
      <c r="C1438" s="56" t="s">
        <v>3803</v>
      </c>
      <c r="D1438" s="56" t="s">
        <v>3802</v>
      </c>
      <c r="E1438" s="56" t="s">
        <v>4997</v>
      </c>
      <c r="F1438" s="56" t="s">
        <v>4996</v>
      </c>
      <c r="G1438" s="58" t="s">
        <v>3747</v>
      </c>
      <c r="H1438" s="56">
        <v>1</v>
      </c>
      <c r="I1438" s="56" t="s">
        <v>3746</v>
      </c>
      <c r="J1438" s="56">
        <v>660</v>
      </c>
      <c r="K1438" s="56">
        <v>450</v>
      </c>
      <c r="L1438" s="56">
        <v>1438</v>
      </c>
      <c r="M1438" s="56">
        <v>0</v>
      </c>
      <c r="N1438" s="56">
        <v>0</v>
      </c>
      <c r="O1438" s="56">
        <v>144</v>
      </c>
      <c r="P1438" s="56">
        <v>0</v>
      </c>
      <c r="Q1438" s="56">
        <v>1294</v>
      </c>
      <c r="R1438" s="56">
        <v>0</v>
      </c>
      <c r="S1438" s="56">
        <v>0</v>
      </c>
      <c r="T1438" s="56" t="s">
        <v>3562</v>
      </c>
      <c r="U1438" s="56">
        <v>1294</v>
      </c>
      <c r="V1438" s="56" t="s">
        <v>3561</v>
      </c>
      <c r="W1438" s="56" t="s">
        <v>3548</v>
      </c>
      <c r="X1438" s="56" t="s">
        <v>39</v>
      </c>
      <c r="Y1438" s="56" t="s">
        <v>4995</v>
      </c>
      <c r="Z1438" s="56" t="s">
        <v>4994</v>
      </c>
      <c r="AC1438" s="56" t="s">
        <v>3543</v>
      </c>
      <c r="AD1438" s="56" t="s">
        <v>24</v>
      </c>
      <c r="AE1438" s="56" t="s">
        <v>4834</v>
      </c>
      <c r="AF1438" s="56" t="s">
        <v>4993</v>
      </c>
      <c r="AH1438" s="56" t="s">
        <v>3542</v>
      </c>
      <c r="AI1438" s="56" t="s">
        <v>3723</v>
      </c>
    </row>
    <row r="1439" spans="1:35" ht="33" customHeight="1">
      <c r="A1439" s="56" t="s">
        <v>4998</v>
      </c>
      <c r="B1439" s="57">
        <v>44364.591307870367</v>
      </c>
      <c r="C1439" s="56" t="s">
        <v>3803</v>
      </c>
      <c r="D1439" s="56" t="s">
        <v>3802</v>
      </c>
      <c r="E1439" s="56" t="s">
        <v>4997</v>
      </c>
      <c r="F1439" s="56" t="s">
        <v>4996</v>
      </c>
      <c r="G1439" s="58" t="s">
        <v>1506</v>
      </c>
      <c r="H1439" s="56">
        <v>1</v>
      </c>
      <c r="I1439" s="56" t="s">
        <v>3696</v>
      </c>
      <c r="J1439" s="56">
        <v>299</v>
      </c>
      <c r="K1439" s="56">
        <v>299</v>
      </c>
      <c r="P1439" s="56">
        <v>0</v>
      </c>
      <c r="S1439" s="56">
        <v>0</v>
      </c>
      <c r="T1439" s="56" t="s">
        <v>3562</v>
      </c>
      <c r="V1439" s="56" t="s">
        <v>3561</v>
      </c>
      <c r="W1439" s="56" t="s">
        <v>3548</v>
      </c>
      <c r="X1439" s="56" t="s">
        <v>39</v>
      </c>
      <c r="Y1439" s="56" t="s">
        <v>4995</v>
      </c>
      <c r="Z1439" s="56" t="s">
        <v>4994</v>
      </c>
      <c r="AC1439" s="56" t="s">
        <v>3543</v>
      </c>
      <c r="AD1439" s="56" t="s">
        <v>24</v>
      </c>
      <c r="AE1439" s="56" t="s">
        <v>4834</v>
      </c>
      <c r="AF1439" s="56" t="s">
        <v>4993</v>
      </c>
      <c r="AH1439" s="56" t="s">
        <v>3542</v>
      </c>
      <c r="AI1439" s="56" t="s">
        <v>3723</v>
      </c>
    </row>
    <row r="1440" spans="1:35" ht="33" customHeight="1">
      <c r="A1440" s="56" t="s">
        <v>4998</v>
      </c>
      <c r="B1440" s="57">
        <v>44364.591307870367</v>
      </c>
      <c r="C1440" s="56" t="s">
        <v>3803</v>
      </c>
      <c r="D1440" s="56" t="s">
        <v>3802</v>
      </c>
      <c r="E1440" s="56" t="s">
        <v>4997</v>
      </c>
      <c r="F1440" s="56" t="s">
        <v>4996</v>
      </c>
      <c r="G1440" s="58" t="s">
        <v>1508</v>
      </c>
      <c r="H1440" s="56">
        <v>1</v>
      </c>
      <c r="I1440" s="56" t="s">
        <v>3696</v>
      </c>
      <c r="J1440" s="56">
        <v>299</v>
      </c>
      <c r="K1440" s="56">
        <v>299</v>
      </c>
      <c r="P1440" s="56">
        <v>0</v>
      </c>
      <c r="S1440" s="56">
        <v>0</v>
      </c>
      <c r="T1440" s="56" t="s">
        <v>3562</v>
      </c>
      <c r="V1440" s="56" t="s">
        <v>3561</v>
      </c>
      <c r="W1440" s="56" t="s">
        <v>3548</v>
      </c>
      <c r="X1440" s="56" t="s">
        <v>39</v>
      </c>
      <c r="Y1440" s="56" t="s">
        <v>4995</v>
      </c>
      <c r="Z1440" s="56" t="s">
        <v>4994</v>
      </c>
      <c r="AC1440" s="56" t="s">
        <v>3543</v>
      </c>
      <c r="AD1440" s="56" t="s">
        <v>24</v>
      </c>
      <c r="AE1440" s="56" t="s">
        <v>4834</v>
      </c>
      <c r="AF1440" s="56" t="s">
        <v>4993</v>
      </c>
      <c r="AH1440" s="56" t="s">
        <v>3542</v>
      </c>
      <c r="AI1440" s="56" t="s">
        <v>3723</v>
      </c>
    </row>
    <row r="1441" spans="1:35" ht="33" customHeight="1">
      <c r="A1441" s="56" t="s">
        <v>4998</v>
      </c>
      <c r="B1441" s="57">
        <v>44364.591307870367</v>
      </c>
      <c r="C1441" s="56" t="s">
        <v>3803</v>
      </c>
      <c r="D1441" s="56" t="s">
        <v>3802</v>
      </c>
      <c r="E1441" s="56" t="s">
        <v>4997</v>
      </c>
      <c r="F1441" s="56" t="s">
        <v>4996</v>
      </c>
      <c r="G1441" s="58" t="s">
        <v>4467</v>
      </c>
      <c r="H1441" s="56">
        <v>1</v>
      </c>
      <c r="I1441" s="56" t="s">
        <v>3769</v>
      </c>
      <c r="J1441" s="56">
        <v>405</v>
      </c>
      <c r="K1441" s="56">
        <v>390</v>
      </c>
      <c r="P1441" s="56">
        <v>0</v>
      </c>
      <c r="S1441" s="56">
        <v>0</v>
      </c>
      <c r="T1441" s="56" t="s">
        <v>3562</v>
      </c>
      <c r="V1441" s="56" t="s">
        <v>3561</v>
      </c>
      <c r="W1441" s="56" t="s">
        <v>3548</v>
      </c>
      <c r="X1441" s="56" t="s">
        <v>39</v>
      </c>
      <c r="Y1441" s="56" t="s">
        <v>4995</v>
      </c>
      <c r="Z1441" s="56" t="s">
        <v>4994</v>
      </c>
      <c r="AC1441" s="56" t="s">
        <v>3543</v>
      </c>
      <c r="AD1441" s="56" t="s">
        <v>24</v>
      </c>
      <c r="AE1441" s="56" t="s">
        <v>4834</v>
      </c>
      <c r="AF1441" s="56" t="s">
        <v>4993</v>
      </c>
      <c r="AH1441" s="56" t="s">
        <v>3542</v>
      </c>
      <c r="AI1441" s="56" t="s">
        <v>3723</v>
      </c>
    </row>
    <row r="1442" spans="1:35" ht="33" customHeight="1">
      <c r="A1442" s="56" t="s">
        <v>4998</v>
      </c>
      <c r="B1442" s="57">
        <v>44364.591307870367</v>
      </c>
      <c r="C1442" s="56" t="s">
        <v>3803</v>
      </c>
      <c r="D1442" s="56" t="s">
        <v>3802</v>
      </c>
      <c r="E1442" s="56" t="s">
        <v>4997</v>
      </c>
      <c r="F1442" s="56" t="s">
        <v>4996</v>
      </c>
      <c r="G1442" s="58" t="s">
        <v>3551</v>
      </c>
      <c r="H1442" s="56">
        <v>1</v>
      </c>
      <c r="I1442" s="56" t="s">
        <v>3550</v>
      </c>
      <c r="J1442" s="56">
        <v>0</v>
      </c>
      <c r="K1442" s="56">
        <v>0</v>
      </c>
      <c r="P1442" s="56">
        <v>0</v>
      </c>
      <c r="S1442" s="56">
        <v>0</v>
      </c>
      <c r="T1442" s="56" t="s">
        <v>3562</v>
      </c>
      <c r="V1442" s="56" t="s">
        <v>3561</v>
      </c>
      <c r="W1442" s="56" t="s">
        <v>3548</v>
      </c>
      <c r="X1442" s="56" t="s">
        <v>39</v>
      </c>
      <c r="Y1442" s="56" t="s">
        <v>4995</v>
      </c>
      <c r="Z1442" s="56" t="s">
        <v>4994</v>
      </c>
      <c r="AC1442" s="56" t="s">
        <v>3543</v>
      </c>
      <c r="AD1442" s="56" t="s">
        <v>24</v>
      </c>
      <c r="AE1442" s="56" t="s">
        <v>4834</v>
      </c>
      <c r="AF1442" s="56" t="s">
        <v>4993</v>
      </c>
      <c r="AH1442" s="56" t="s">
        <v>3542</v>
      </c>
      <c r="AI1442" s="56" t="s">
        <v>3723</v>
      </c>
    </row>
    <row r="1443" spans="1:35" ht="33" customHeight="1">
      <c r="A1443" s="56" t="s">
        <v>4998</v>
      </c>
      <c r="B1443" s="57">
        <v>44364.591307870367</v>
      </c>
      <c r="C1443" s="56" t="s">
        <v>3803</v>
      </c>
      <c r="D1443" s="56" t="s">
        <v>3802</v>
      </c>
      <c r="E1443" s="56" t="s">
        <v>4997</v>
      </c>
      <c r="F1443" s="56" t="s">
        <v>4996</v>
      </c>
      <c r="G1443" s="58" t="s">
        <v>1498</v>
      </c>
      <c r="H1443" s="56">
        <v>1</v>
      </c>
      <c r="I1443" s="56" t="s">
        <v>4016</v>
      </c>
      <c r="J1443" s="56">
        <v>0</v>
      </c>
      <c r="K1443" s="56">
        <v>0</v>
      </c>
      <c r="P1443" s="56">
        <v>0</v>
      </c>
      <c r="S1443" s="56">
        <v>0</v>
      </c>
      <c r="T1443" s="56" t="s">
        <v>3562</v>
      </c>
      <c r="V1443" s="56" t="s">
        <v>3561</v>
      </c>
      <c r="W1443" s="56" t="s">
        <v>3548</v>
      </c>
      <c r="X1443" s="56" t="s">
        <v>39</v>
      </c>
      <c r="Y1443" s="56" t="s">
        <v>4995</v>
      </c>
      <c r="Z1443" s="56" t="s">
        <v>4994</v>
      </c>
      <c r="AC1443" s="56" t="s">
        <v>3543</v>
      </c>
      <c r="AD1443" s="56" t="s">
        <v>24</v>
      </c>
      <c r="AE1443" s="56" t="s">
        <v>4834</v>
      </c>
      <c r="AF1443" s="56" t="s">
        <v>4993</v>
      </c>
      <c r="AH1443" s="56" t="s">
        <v>3542</v>
      </c>
      <c r="AI1443" s="56" t="s">
        <v>3723</v>
      </c>
    </row>
    <row r="1444" spans="1:35" ht="33" customHeight="1">
      <c r="A1444" s="56" t="s">
        <v>4992</v>
      </c>
      <c r="B1444" s="57">
        <v>44364.62599537037</v>
      </c>
      <c r="C1444" s="56" t="s">
        <v>3803</v>
      </c>
      <c r="D1444" s="56" t="s">
        <v>4426</v>
      </c>
      <c r="E1444" s="56" t="s">
        <v>4991</v>
      </c>
      <c r="F1444" s="56" t="s">
        <v>4990</v>
      </c>
      <c r="G1444" s="58" t="s">
        <v>3747</v>
      </c>
      <c r="H1444" s="56">
        <v>1</v>
      </c>
      <c r="I1444" s="56" t="s">
        <v>3746</v>
      </c>
      <c r="J1444" s="56">
        <v>660</v>
      </c>
      <c r="K1444" s="56">
        <v>450</v>
      </c>
      <c r="L1444" s="56">
        <v>1150</v>
      </c>
      <c r="M1444" s="56">
        <v>0</v>
      </c>
      <c r="N1444" s="56">
        <v>0</v>
      </c>
      <c r="O1444" s="56">
        <v>115</v>
      </c>
      <c r="P1444" s="56">
        <v>0</v>
      </c>
      <c r="Q1444" s="56">
        <v>1035</v>
      </c>
      <c r="R1444" s="56">
        <v>0</v>
      </c>
      <c r="S1444" s="56">
        <v>0</v>
      </c>
      <c r="T1444" s="56" t="s">
        <v>27</v>
      </c>
      <c r="U1444" s="56">
        <v>1035</v>
      </c>
      <c r="V1444" s="56" t="s">
        <v>3612</v>
      </c>
      <c r="W1444" s="56" t="s">
        <v>3548</v>
      </c>
      <c r="X1444" s="56" t="s">
        <v>3611</v>
      </c>
      <c r="Z1444" s="56" t="s">
        <v>3546</v>
      </c>
      <c r="AA1444" s="56" t="s">
        <v>4989</v>
      </c>
      <c r="AB1444" s="56" t="s">
        <v>4988</v>
      </c>
      <c r="AC1444" s="56" t="s">
        <v>3543</v>
      </c>
      <c r="AH1444" s="56" t="s">
        <v>3542</v>
      </c>
      <c r="AI1444" s="56" t="s">
        <v>3541</v>
      </c>
    </row>
    <row r="1445" spans="1:35" ht="33" customHeight="1">
      <c r="A1445" s="56" t="s">
        <v>4992</v>
      </c>
      <c r="B1445" s="57">
        <v>44364.62599537037</v>
      </c>
      <c r="C1445" s="56" t="s">
        <v>3803</v>
      </c>
      <c r="D1445" s="56" t="s">
        <v>4426</v>
      </c>
      <c r="E1445" s="56" t="s">
        <v>4991</v>
      </c>
      <c r="F1445" s="56" t="s">
        <v>4990</v>
      </c>
      <c r="G1445" s="58" t="s">
        <v>2171</v>
      </c>
      <c r="H1445" s="56">
        <v>2</v>
      </c>
      <c r="I1445" s="56" t="s">
        <v>3762</v>
      </c>
      <c r="J1445" s="56">
        <v>350</v>
      </c>
      <c r="K1445" s="56">
        <v>350</v>
      </c>
      <c r="P1445" s="56">
        <v>0</v>
      </c>
      <c r="S1445" s="56">
        <v>0</v>
      </c>
      <c r="T1445" s="56" t="s">
        <v>27</v>
      </c>
      <c r="V1445" s="56" t="s">
        <v>3612</v>
      </c>
      <c r="W1445" s="56" t="s">
        <v>3548</v>
      </c>
      <c r="X1445" s="56" t="s">
        <v>3611</v>
      </c>
      <c r="Z1445" s="56" t="s">
        <v>3546</v>
      </c>
      <c r="AA1445" s="56" t="s">
        <v>4989</v>
      </c>
      <c r="AB1445" s="56" t="s">
        <v>4988</v>
      </c>
      <c r="AC1445" s="56" t="s">
        <v>3543</v>
      </c>
      <c r="AH1445" s="56" t="s">
        <v>3542</v>
      </c>
      <c r="AI1445" s="56" t="s">
        <v>3541</v>
      </c>
    </row>
    <row r="1446" spans="1:35" ht="33" customHeight="1">
      <c r="A1446" s="56" t="s">
        <v>4992</v>
      </c>
      <c r="B1446" s="57">
        <v>44364.62599537037</v>
      </c>
      <c r="C1446" s="56" t="s">
        <v>3803</v>
      </c>
      <c r="D1446" s="56" t="s">
        <v>4426</v>
      </c>
      <c r="E1446" s="56" t="s">
        <v>4991</v>
      </c>
      <c r="F1446" s="56" t="s">
        <v>4990</v>
      </c>
      <c r="G1446" s="58" t="s">
        <v>3551</v>
      </c>
      <c r="H1446" s="56">
        <v>1</v>
      </c>
      <c r="I1446" s="56" t="s">
        <v>3550</v>
      </c>
      <c r="J1446" s="56">
        <v>0</v>
      </c>
      <c r="K1446" s="56">
        <v>0</v>
      </c>
      <c r="P1446" s="56">
        <v>0</v>
      </c>
      <c r="S1446" s="56">
        <v>0</v>
      </c>
      <c r="T1446" s="56" t="s">
        <v>27</v>
      </c>
      <c r="V1446" s="56" t="s">
        <v>3612</v>
      </c>
      <c r="W1446" s="56" t="s">
        <v>3548</v>
      </c>
      <c r="X1446" s="56" t="s">
        <v>3611</v>
      </c>
      <c r="Z1446" s="56" t="s">
        <v>3546</v>
      </c>
      <c r="AA1446" s="56" t="s">
        <v>4989</v>
      </c>
      <c r="AB1446" s="56" t="s">
        <v>4988</v>
      </c>
      <c r="AC1446" s="56" t="s">
        <v>3543</v>
      </c>
      <c r="AH1446" s="56" t="s">
        <v>3542</v>
      </c>
      <c r="AI1446" s="56" t="s">
        <v>3541</v>
      </c>
    </row>
    <row r="1447" spans="1:35" ht="33" customHeight="1">
      <c r="A1447" s="56" t="s">
        <v>4992</v>
      </c>
      <c r="B1447" s="57">
        <v>44364.62599537037</v>
      </c>
      <c r="C1447" s="56" t="s">
        <v>3803</v>
      </c>
      <c r="D1447" s="56" t="s">
        <v>4426</v>
      </c>
      <c r="E1447" s="56" t="s">
        <v>4991</v>
      </c>
      <c r="F1447" s="56" t="s">
        <v>4990</v>
      </c>
      <c r="G1447" s="58" t="s">
        <v>1498</v>
      </c>
      <c r="H1447" s="56">
        <v>1</v>
      </c>
      <c r="I1447" s="56" t="s">
        <v>4016</v>
      </c>
      <c r="J1447" s="56">
        <v>0</v>
      </c>
      <c r="K1447" s="56">
        <v>0</v>
      </c>
      <c r="P1447" s="56">
        <v>0</v>
      </c>
      <c r="S1447" s="56">
        <v>0</v>
      </c>
      <c r="T1447" s="56" t="s">
        <v>27</v>
      </c>
      <c r="V1447" s="56" t="s">
        <v>3612</v>
      </c>
      <c r="W1447" s="56" t="s">
        <v>3548</v>
      </c>
      <c r="X1447" s="56" t="s">
        <v>3611</v>
      </c>
      <c r="Z1447" s="56" t="s">
        <v>3546</v>
      </c>
      <c r="AA1447" s="56" t="s">
        <v>4989</v>
      </c>
      <c r="AB1447" s="56" t="s">
        <v>4988</v>
      </c>
      <c r="AC1447" s="56" t="s">
        <v>3543</v>
      </c>
      <c r="AH1447" s="56" t="s">
        <v>3542</v>
      </c>
      <c r="AI1447" s="56" t="s">
        <v>3541</v>
      </c>
    </row>
    <row r="1448" spans="1:35" ht="33" customHeight="1">
      <c r="A1448" s="56" t="s">
        <v>4986</v>
      </c>
      <c r="B1448" s="57">
        <v>44364.668993055559</v>
      </c>
      <c r="C1448" s="56" t="s">
        <v>4512</v>
      </c>
      <c r="D1448" s="56" t="s">
        <v>4511</v>
      </c>
      <c r="E1448" s="56" t="s">
        <v>4985</v>
      </c>
      <c r="F1448" s="56" t="s">
        <v>4984</v>
      </c>
      <c r="G1448" s="58" t="s">
        <v>3171</v>
      </c>
      <c r="H1448" s="56">
        <v>2</v>
      </c>
      <c r="I1448" s="56" t="s">
        <v>3695</v>
      </c>
      <c r="J1448" s="56">
        <v>399</v>
      </c>
      <c r="K1448" s="56">
        <v>399</v>
      </c>
      <c r="L1448" s="56">
        <v>1758</v>
      </c>
      <c r="M1448" s="56">
        <v>0</v>
      </c>
      <c r="N1448" s="56">
        <v>0</v>
      </c>
      <c r="O1448" s="56">
        <v>100</v>
      </c>
      <c r="P1448" s="56">
        <v>0</v>
      </c>
      <c r="Q1448" s="56">
        <v>1658</v>
      </c>
      <c r="R1448" s="56">
        <v>0</v>
      </c>
      <c r="S1448" s="56">
        <v>0</v>
      </c>
      <c r="T1448" s="56" t="s">
        <v>3562</v>
      </c>
      <c r="U1448" s="56">
        <v>1658</v>
      </c>
      <c r="V1448" s="56" t="s">
        <v>3612</v>
      </c>
      <c r="W1448" s="56" t="s">
        <v>3548</v>
      </c>
      <c r="X1448" s="56" t="s">
        <v>3611</v>
      </c>
      <c r="Z1448" s="56" t="s">
        <v>3546</v>
      </c>
      <c r="AA1448" s="56" t="s">
        <v>4983</v>
      </c>
      <c r="AB1448" s="56" t="s">
        <v>4982</v>
      </c>
      <c r="AC1448" s="56" t="s">
        <v>3543</v>
      </c>
      <c r="AD1448" s="56" t="s">
        <v>24</v>
      </c>
      <c r="AE1448" s="56" t="s">
        <v>3862</v>
      </c>
      <c r="AF1448" s="56" t="s">
        <v>4981</v>
      </c>
      <c r="AH1448" s="56" t="s">
        <v>3542</v>
      </c>
      <c r="AI1448" s="56" t="s">
        <v>3723</v>
      </c>
    </row>
    <row r="1449" spans="1:35" ht="33" customHeight="1">
      <c r="A1449" s="56" t="s">
        <v>4986</v>
      </c>
      <c r="B1449" s="57">
        <v>44364.668993055559</v>
      </c>
      <c r="C1449" s="56" t="s">
        <v>4512</v>
      </c>
      <c r="D1449" s="56" t="s">
        <v>4511</v>
      </c>
      <c r="E1449" s="56" t="s">
        <v>4985</v>
      </c>
      <c r="F1449" s="56" t="s">
        <v>4984</v>
      </c>
      <c r="G1449" s="58" t="s">
        <v>4987</v>
      </c>
      <c r="H1449" s="56">
        <v>1</v>
      </c>
      <c r="I1449" s="56" t="s">
        <v>3753</v>
      </c>
      <c r="J1449" s="56">
        <v>997</v>
      </c>
      <c r="K1449" s="56">
        <v>960</v>
      </c>
      <c r="P1449" s="56">
        <v>0</v>
      </c>
      <c r="S1449" s="56">
        <v>0</v>
      </c>
      <c r="T1449" s="56" t="s">
        <v>3562</v>
      </c>
      <c r="V1449" s="56" t="s">
        <v>3612</v>
      </c>
      <c r="W1449" s="56" t="s">
        <v>3548</v>
      </c>
      <c r="X1449" s="56" t="s">
        <v>3611</v>
      </c>
      <c r="Z1449" s="56" t="s">
        <v>3546</v>
      </c>
      <c r="AA1449" s="56" t="s">
        <v>4983</v>
      </c>
      <c r="AB1449" s="56" t="s">
        <v>4982</v>
      </c>
      <c r="AC1449" s="56" t="s">
        <v>3543</v>
      </c>
      <c r="AD1449" s="56" t="s">
        <v>24</v>
      </c>
      <c r="AE1449" s="56" t="s">
        <v>3862</v>
      </c>
      <c r="AF1449" s="56" t="s">
        <v>4981</v>
      </c>
      <c r="AH1449" s="56" t="s">
        <v>3542</v>
      </c>
      <c r="AI1449" s="56" t="s">
        <v>3723</v>
      </c>
    </row>
    <row r="1450" spans="1:35" ht="33" customHeight="1">
      <c r="A1450" s="56" t="s">
        <v>4986</v>
      </c>
      <c r="B1450" s="57">
        <v>44364.668993055559</v>
      </c>
      <c r="C1450" s="56" t="s">
        <v>4512</v>
      </c>
      <c r="D1450" s="56" t="s">
        <v>4511</v>
      </c>
      <c r="E1450" s="56" t="s">
        <v>4985</v>
      </c>
      <c r="F1450" s="56" t="s">
        <v>4984</v>
      </c>
      <c r="G1450" s="58" t="s">
        <v>3551</v>
      </c>
      <c r="H1450" s="56">
        <v>1</v>
      </c>
      <c r="I1450" s="56" t="s">
        <v>3550</v>
      </c>
      <c r="J1450" s="56">
        <v>0</v>
      </c>
      <c r="K1450" s="56">
        <v>0</v>
      </c>
      <c r="P1450" s="56">
        <v>0</v>
      </c>
      <c r="S1450" s="56">
        <v>0</v>
      </c>
      <c r="T1450" s="56" t="s">
        <v>3562</v>
      </c>
      <c r="V1450" s="56" t="s">
        <v>3612</v>
      </c>
      <c r="W1450" s="56" t="s">
        <v>3548</v>
      </c>
      <c r="X1450" s="56" t="s">
        <v>3611</v>
      </c>
      <c r="Z1450" s="56" t="s">
        <v>3546</v>
      </c>
      <c r="AA1450" s="56" t="s">
        <v>4983</v>
      </c>
      <c r="AB1450" s="56" t="s">
        <v>4982</v>
      </c>
      <c r="AC1450" s="56" t="s">
        <v>3543</v>
      </c>
      <c r="AD1450" s="56" t="s">
        <v>24</v>
      </c>
      <c r="AE1450" s="56" t="s">
        <v>3862</v>
      </c>
      <c r="AF1450" s="56" t="s">
        <v>4981</v>
      </c>
      <c r="AH1450" s="56" t="s">
        <v>3542</v>
      </c>
      <c r="AI1450" s="56" t="s">
        <v>3723</v>
      </c>
    </row>
    <row r="1451" spans="1:35" ht="33" customHeight="1">
      <c r="A1451" s="56" t="s">
        <v>4986</v>
      </c>
      <c r="B1451" s="57">
        <v>44364.668993055559</v>
      </c>
      <c r="C1451" s="56" t="s">
        <v>4512</v>
      </c>
      <c r="D1451" s="56" t="s">
        <v>4511</v>
      </c>
      <c r="E1451" s="56" t="s">
        <v>4985</v>
      </c>
      <c r="F1451" s="56" t="s">
        <v>4984</v>
      </c>
      <c r="G1451" s="58" t="s">
        <v>1713</v>
      </c>
      <c r="H1451" s="56">
        <v>1</v>
      </c>
      <c r="I1451" s="56" t="s">
        <v>3568</v>
      </c>
      <c r="J1451" s="56">
        <v>0</v>
      </c>
      <c r="K1451" s="56">
        <v>0</v>
      </c>
      <c r="P1451" s="56">
        <v>0</v>
      </c>
      <c r="S1451" s="56">
        <v>0</v>
      </c>
      <c r="T1451" s="56" t="s">
        <v>3562</v>
      </c>
      <c r="V1451" s="56" t="s">
        <v>3612</v>
      </c>
      <c r="W1451" s="56" t="s">
        <v>3548</v>
      </c>
      <c r="X1451" s="56" t="s">
        <v>3611</v>
      </c>
      <c r="Z1451" s="56" t="s">
        <v>3546</v>
      </c>
      <c r="AA1451" s="56" t="s">
        <v>4983</v>
      </c>
      <c r="AB1451" s="56" t="s">
        <v>4982</v>
      </c>
      <c r="AC1451" s="56" t="s">
        <v>3543</v>
      </c>
      <c r="AD1451" s="56" t="s">
        <v>24</v>
      </c>
      <c r="AE1451" s="56" t="s">
        <v>3862</v>
      </c>
      <c r="AF1451" s="56" t="s">
        <v>4981</v>
      </c>
      <c r="AH1451" s="56" t="s">
        <v>3542</v>
      </c>
      <c r="AI1451" s="56" t="s">
        <v>3723</v>
      </c>
    </row>
    <row r="1452" spans="1:35" ht="33" customHeight="1">
      <c r="A1452" s="56" t="s">
        <v>4986</v>
      </c>
      <c r="B1452" s="57">
        <v>44364.668993055559</v>
      </c>
      <c r="C1452" s="56" t="s">
        <v>4512</v>
      </c>
      <c r="D1452" s="56" t="s">
        <v>4511</v>
      </c>
      <c r="E1452" s="56" t="s">
        <v>4985</v>
      </c>
      <c r="F1452" s="56" t="s">
        <v>4984</v>
      </c>
      <c r="G1452" s="58" t="s">
        <v>1498</v>
      </c>
      <c r="H1452" s="56">
        <v>1</v>
      </c>
      <c r="I1452" s="56" t="s">
        <v>4016</v>
      </c>
      <c r="J1452" s="56">
        <v>0</v>
      </c>
      <c r="K1452" s="56">
        <v>0</v>
      </c>
      <c r="P1452" s="56">
        <v>0</v>
      </c>
      <c r="S1452" s="56">
        <v>0</v>
      </c>
      <c r="T1452" s="56" t="s">
        <v>3562</v>
      </c>
      <c r="V1452" s="56" t="s">
        <v>3612</v>
      </c>
      <c r="W1452" s="56" t="s">
        <v>3548</v>
      </c>
      <c r="X1452" s="56" t="s">
        <v>3611</v>
      </c>
      <c r="Z1452" s="56" t="s">
        <v>3546</v>
      </c>
      <c r="AA1452" s="56" t="s">
        <v>4983</v>
      </c>
      <c r="AB1452" s="56" t="s">
        <v>4982</v>
      </c>
      <c r="AC1452" s="56" t="s">
        <v>3543</v>
      </c>
      <c r="AD1452" s="56" t="s">
        <v>24</v>
      </c>
      <c r="AE1452" s="56" t="s">
        <v>3862</v>
      </c>
      <c r="AF1452" s="56" t="s">
        <v>4981</v>
      </c>
      <c r="AH1452" s="56" t="s">
        <v>3542</v>
      </c>
      <c r="AI1452" s="56" t="s">
        <v>3723</v>
      </c>
    </row>
    <row r="1453" spans="1:35" ht="33" customHeight="1">
      <c r="A1453" s="56" t="s">
        <v>4980</v>
      </c>
      <c r="B1453" s="57">
        <v>44364.690821759257</v>
      </c>
      <c r="C1453" s="56" t="s">
        <v>3803</v>
      </c>
      <c r="D1453" s="56" t="s">
        <v>3802</v>
      </c>
      <c r="E1453" s="56" t="s">
        <v>4979</v>
      </c>
      <c r="F1453" s="56" t="s">
        <v>4978</v>
      </c>
      <c r="G1453" s="58" t="s">
        <v>3570</v>
      </c>
      <c r="H1453" s="56">
        <v>2</v>
      </c>
      <c r="I1453" s="56" t="s">
        <v>3569</v>
      </c>
      <c r="J1453" s="56">
        <v>894</v>
      </c>
      <c r="K1453" s="56">
        <v>750</v>
      </c>
      <c r="L1453" s="56">
        <v>1500</v>
      </c>
      <c r="M1453" s="56">
        <v>0</v>
      </c>
      <c r="N1453" s="56">
        <v>50</v>
      </c>
      <c r="O1453" s="56">
        <v>100</v>
      </c>
      <c r="P1453" s="56">
        <v>0</v>
      </c>
      <c r="Q1453" s="56">
        <v>1350</v>
      </c>
      <c r="R1453" s="56">
        <v>0</v>
      </c>
      <c r="S1453" s="56">
        <v>0</v>
      </c>
      <c r="T1453" s="56" t="s">
        <v>27</v>
      </c>
      <c r="U1453" s="56">
        <v>1350</v>
      </c>
      <c r="V1453" s="56" t="s">
        <v>3736</v>
      </c>
      <c r="W1453" s="56" t="s">
        <v>3548</v>
      </c>
      <c r="X1453" s="56" t="s">
        <v>3735</v>
      </c>
      <c r="Y1453" s="56" t="s">
        <v>4977</v>
      </c>
      <c r="Z1453" s="56" t="s">
        <v>4976</v>
      </c>
      <c r="AC1453" s="56" t="s">
        <v>3543</v>
      </c>
      <c r="AH1453" s="56" t="s">
        <v>3542</v>
      </c>
      <c r="AI1453" s="56" t="s">
        <v>3541</v>
      </c>
    </row>
    <row r="1454" spans="1:35" ht="33" customHeight="1">
      <c r="A1454" s="56" t="s">
        <v>4980</v>
      </c>
      <c r="B1454" s="57">
        <v>44364.690821759257</v>
      </c>
      <c r="C1454" s="56" t="s">
        <v>3803</v>
      </c>
      <c r="D1454" s="56" t="s">
        <v>3802</v>
      </c>
      <c r="E1454" s="56" t="s">
        <v>4979</v>
      </c>
      <c r="F1454" s="56" t="s">
        <v>4978</v>
      </c>
      <c r="G1454" s="58" t="s">
        <v>3551</v>
      </c>
      <c r="H1454" s="56">
        <v>1</v>
      </c>
      <c r="I1454" s="56" t="s">
        <v>3550</v>
      </c>
      <c r="J1454" s="56">
        <v>0</v>
      </c>
      <c r="K1454" s="56">
        <v>0</v>
      </c>
      <c r="P1454" s="56">
        <v>0</v>
      </c>
      <c r="S1454" s="56">
        <v>0</v>
      </c>
      <c r="T1454" s="56" t="s">
        <v>27</v>
      </c>
      <c r="V1454" s="56" t="s">
        <v>3736</v>
      </c>
      <c r="W1454" s="56" t="s">
        <v>3548</v>
      </c>
      <c r="X1454" s="56" t="s">
        <v>3735</v>
      </c>
      <c r="Y1454" s="56" t="s">
        <v>4977</v>
      </c>
      <c r="Z1454" s="56" t="s">
        <v>4976</v>
      </c>
      <c r="AC1454" s="56" t="s">
        <v>3543</v>
      </c>
      <c r="AH1454" s="56" t="s">
        <v>3542</v>
      </c>
      <c r="AI1454" s="56" t="s">
        <v>3541</v>
      </c>
    </row>
    <row r="1455" spans="1:35" ht="33" customHeight="1">
      <c r="A1455" s="56" t="s">
        <v>4980</v>
      </c>
      <c r="B1455" s="57">
        <v>44364.690821759257</v>
      </c>
      <c r="C1455" s="56" t="s">
        <v>3803</v>
      </c>
      <c r="D1455" s="56" t="s">
        <v>3802</v>
      </c>
      <c r="E1455" s="56" t="s">
        <v>4979</v>
      </c>
      <c r="F1455" s="56" t="s">
        <v>4978</v>
      </c>
      <c r="G1455" s="58" t="s">
        <v>1498</v>
      </c>
      <c r="H1455" s="56">
        <v>1</v>
      </c>
      <c r="I1455" s="56" t="s">
        <v>4016</v>
      </c>
      <c r="J1455" s="56">
        <v>0</v>
      </c>
      <c r="K1455" s="56">
        <v>0</v>
      </c>
      <c r="P1455" s="56">
        <v>0</v>
      </c>
      <c r="S1455" s="56">
        <v>0</v>
      </c>
      <c r="T1455" s="56" t="s">
        <v>27</v>
      </c>
      <c r="V1455" s="56" t="s">
        <v>3736</v>
      </c>
      <c r="W1455" s="56" t="s">
        <v>3548</v>
      </c>
      <c r="X1455" s="56" t="s">
        <v>3735</v>
      </c>
      <c r="Y1455" s="56" t="s">
        <v>4977</v>
      </c>
      <c r="Z1455" s="56" t="s">
        <v>4976</v>
      </c>
      <c r="AC1455" s="56" t="s">
        <v>3543</v>
      </c>
      <c r="AH1455" s="56" t="s">
        <v>3542</v>
      </c>
      <c r="AI1455" s="56" t="s">
        <v>3541</v>
      </c>
    </row>
    <row r="1456" spans="1:35" ht="33" customHeight="1">
      <c r="A1456" s="56" t="s">
        <v>4974</v>
      </c>
      <c r="B1456" s="57">
        <v>44364.693703703706</v>
      </c>
      <c r="C1456" s="56" t="s">
        <v>3803</v>
      </c>
      <c r="D1456" s="56" t="s">
        <v>25</v>
      </c>
      <c r="E1456" s="56" t="s">
        <v>4973</v>
      </c>
      <c r="F1456" s="56" t="s">
        <v>4972</v>
      </c>
      <c r="G1456" s="58" t="s">
        <v>3747</v>
      </c>
      <c r="H1456" s="56">
        <v>1</v>
      </c>
      <c r="I1456" s="56" t="s">
        <v>3746</v>
      </c>
      <c r="J1456" s="56">
        <v>660</v>
      </c>
      <c r="K1456" s="56">
        <v>450</v>
      </c>
      <c r="L1456" s="56">
        <v>849</v>
      </c>
      <c r="M1456" s="56">
        <v>65</v>
      </c>
      <c r="N1456" s="56">
        <v>0</v>
      </c>
      <c r="O1456" s="56">
        <v>0</v>
      </c>
      <c r="P1456" s="56">
        <v>0</v>
      </c>
      <c r="Q1456" s="56">
        <v>914</v>
      </c>
      <c r="R1456" s="56">
        <v>0</v>
      </c>
      <c r="S1456" s="56">
        <v>0</v>
      </c>
      <c r="T1456" s="56" t="s">
        <v>27</v>
      </c>
      <c r="U1456" s="56">
        <v>914</v>
      </c>
      <c r="V1456" s="56" t="s">
        <v>3612</v>
      </c>
      <c r="W1456" s="56" t="s">
        <v>3548</v>
      </c>
      <c r="X1456" s="56" t="s">
        <v>3611</v>
      </c>
      <c r="Z1456" s="56" t="s">
        <v>3546</v>
      </c>
      <c r="AA1456" s="56" t="s">
        <v>4971</v>
      </c>
      <c r="AB1456" s="56" t="s">
        <v>4970</v>
      </c>
      <c r="AC1456" s="56" t="s">
        <v>3543</v>
      </c>
      <c r="AH1456" s="56" t="s">
        <v>3542</v>
      </c>
      <c r="AI1456" s="56" t="s">
        <v>3541</v>
      </c>
    </row>
    <row r="1457" spans="1:35" ht="33" customHeight="1">
      <c r="A1457" s="56" t="s">
        <v>4974</v>
      </c>
      <c r="B1457" s="57">
        <v>44364.693703703706</v>
      </c>
      <c r="C1457" s="56" t="s">
        <v>3803</v>
      </c>
      <c r="D1457" s="56" t="s">
        <v>25</v>
      </c>
      <c r="E1457" s="56" t="s">
        <v>4973</v>
      </c>
      <c r="F1457" s="56" t="s">
        <v>4972</v>
      </c>
      <c r="G1457" s="58" t="s">
        <v>4975</v>
      </c>
      <c r="H1457" s="56">
        <v>1</v>
      </c>
      <c r="I1457" s="56" t="s">
        <v>3602</v>
      </c>
      <c r="J1457" s="56">
        <v>447</v>
      </c>
      <c r="K1457" s="56">
        <v>399</v>
      </c>
      <c r="P1457" s="56">
        <v>0</v>
      </c>
      <c r="S1457" s="56">
        <v>0</v>
      </c>
      <c r="T1457" s="56" t="s">
        <v>27</v>
      </c>
      <c r="V1457" s="56" t="s">
        <v>3612</v>
      </c>
      <c r="W1457" s="56" t="s">
        <v>3548</v>
      </c>
      <c r="X1457" s="56" t="s">
        <v>3611</v>
      </c>
      <c r="Z1457" s="56" t="s">
        <v>3546</v>
      </c>
      <c r="AA1457" s="56" t="s">
        <v>4971</v>
      </c>
      <c r="AB1457" s="56" t="s">
        <v>4970</v>
      </c>
      <c r="AC1457" s="56" t="s">
        <v>3543</v>
      </c>
      <c r="AH1457" s="56" t="s">
        <v>3542</v>
      </c>
      <c r="AI1457" s="56" t="s">
        <v>3541</v>
      </c>
    </row>
    <row r="1458" spans="1:35" ht="33" customHeight="1">
      <c r="A1458" s="56" t="s">
        <v>4974</v>
      </c>
      <c r="B1458" s="57">
        <v>44364.693703703706</v>
      </c>
      <c r="C1458" s="56" t="s">
        <v>3803</v>
      </c>
      <c r="D1458" s="56" t="s">
        <v>25</v>
      </c>
      <c r="E1458" s="56" t="s">
        <v>4973</v>
      </c>
      <c r="F1458" s="56" t="s">
        <v>4972</v>
      </c>
      <c r="G1458" s="58" t="s">
        <v>3551</v>
      </c>
      <c r="H1458" s="56">
        <v>1</v>
      </c>
      <c r="I1458" s="56" t="s">
        <v>3550</v>
      </c>
      <c r="J1458" s="56">
        <v>0</v>
      </c>
      <c r="K1458" s="56">
        <v>0</v>
      </c>
      <c r="P1458" s="56">
        <v>0</v>
      </c>
      <c r="S1458" s="56">
        <v>0</v>
      </c>
      <c r="T1458" s="56" t="s">
        <v>27</v>
      </c>
      <c r="V1458" s="56" t="s">
        <v>3612</v>
      </c>
      <c r="W1458" s="56" t="s">
        <v>3548</v>
      </c>
      <c r="X1458" s="56" t="s">
        <v>3611</v>
      </c>
      <c r="Z1458" s="56" t="s">
        <v>3546</v>
      </c>
      <c r="AA1458" s="56" t="s">
        <v>4971</v>
      </c>
      <c r="AB1458" s="56" t="s">
        <v>4970</v>
      </c>
      <c r="AC1458" s="56" t="s">
        <v>3543</v>
      </c>
      <c r="AH1458" s="56" t="s">
        <v>3542</v>
      </c>
      <c r="AI1458" s="56" t="s">
        <v>3541</v>
      </c>
    </row>
    <row r="1459" spans="1:35" ht="33" customHeight="1">
      <c r="A1459" s="56" t="s">
        <v>4969</v>
      </c>
      <c r="B1459" s="57">
        <v>44364.720347222225</v>
      </c>
      <c r="C1459" s="56" t="s">
        <v>3803</v>
      </c>
      <c r="D1459" s="56" t="s">
        <v>4426</v>
      </c>
      <c r="E1459" s="56" t="s">
        <v>4968</v>
      </c>
      <c r="F1459" s="56" t="s">
        <v>4967</v>
      </c>
      <c r="G1459" s="58" t="s">
        <v>3811</v>
      </c>
      <c r="H1459" s="56">
        <v>1</v>
      </c>
      <c r="I1459" s="56" t="s">
        <v>3669</v>
      </c>
      <c r="J1459" s="56">
        <v>897</v>
      </c>
      <c r="K1459" s="56">
        <v>888</v>
      </c>
      <c r="L1459" s="56">
        <v>1438</v>
      </c>
      <c r="M1459" s="56">
        <v>0</v>
      </c>
      <c r="N1459" s="56">
        <v>0</v>
      </c>
      <c r="O1459" s="56">
        <v>144</v>
      </c>
      <c r="P1459" s="56">
        <v>0</v>
      </c>
      <c r="Q1459" s="56">
        <v>1294</v>
      </c>
      <c r="R1459" s="56">
        <v>0</v>
      </c>
      <c r="S1459" s="56">
        <v>0</v>
      </c>
      <c r="T1459" s="56" t="s">
        <v>27</v>
      </c>
      <c r="U1459" s="56">
        <v>1294</v>
      </c>
      <c r="V1459" s="56" t="s">
        <v>3549</v>
      </c>
      <c r="W1459" s="56" t="s">
        <v>3548</v>
      </c>
      <c r="X1459" s="56" t="s">
        <v>3547</v>
      </c>
      <c r="Z1459" s="56" t="s">
        <v>3546</v>
      </c>
      <c r="AA1459" s="56" t="s">
        <v>4966</v>
      </c>
      <c r="AB1459" s="56" t="s">
        <v>4965</v>
      </c>
      <c r="AC1459" s="56" t="s">
        <v>3543</v>
      </c>
      <c r="AH1459" s="56" t="s">
        <v>3542</v>
      </c>
      <c r="AI1459" s="56" t="s">
        <v>3541</v>
      </c>
    </row>
    <row r="1460" spans="1:35" ht="33" customHeight="1">
      <c r="A1460" s="56" t="s">
        <v>4969</v>
      </c>
      <c r="B1460" s="57">
        <v>44364.720347222225</v>
      </c>
      <c r="C1460" s="56" t="s">
        <v>3803</v>
      </c>
      <c r="D1460" s="56" t="s">
        <v>4426</v>
      </c>
      <c r="E1460" s="56" t="s">
        <v>4968</v>
      </c>
      <c r="F1460" s="56" t="s">
        <v>4967</v>
      </c>
      <c r="G1460" s="58" t="s">
        <v>3860</v>
      </c>
      <c r="H1460" s="56">
        <v>1</v>
      </c>
      <c r="I1460" s="56" t="s">
        <v>3731</v>
      </c>
      <c r="J1460" s="56">
        <v>867</v>
      </c>
      <c r="K1460" s="56">
        <v>550</v>
      </c>
      <c r="P1460" s="56">
        <v>0</v>
      </c>
      <c r="S1460" s="56">
        <v>0</v>
      </c>
      <c r="T1460" s="56" t="s">
        <v>27</v>
      </c>
      <c r="V1460" s="56" t="s">
        <v>3549</v>
      </c>
      <c r="W1460" s="56" t="s">
        <v>3548</v>
      </c>
      <c r="X1460" s="56" t="s">
        <v>3547</v>
      </c>
      <c r="Z1460" s="56" t="s">
        <v>3546</v>
      </c>
      <c r="AA1460" s="56" t="s">
        <v>4966</v>
      </c>
      <c r="AB1460" s="56" t="s">
        <v>4965</v>
      </c>
      <c r="AC1460" s="56" t="s">
        <v>3543</v>
      </c>
      <c r="AH1460" s="56" t="s">
        <v>3542</v>
      </c>
      <c r="AI1460" s="56" t="s">
        <v>3541</v>
      </c>
    </row>
    <row r="1461" spans="1:35" ht="33" customHeight="1">
      <c r="A1461" s="56" t="s">
        <v>4969</v>
      </c>
      <c r="B1461" s="57">
        <v>44364.720347222225</v>
      </c>
      <c r="C1461" s="56" t="s">
        <v>3803</v>
      </c>
      <c r="D1461" s="56" t="s">
        <v>4426</v>
      </c>
      <c r="E1461" s="56" t="s">
        <v>4968</v>
      </c>
      <c r="F1461" s="56" t="s">
        <v>4967</v>
      </c>
      <c r="G1461" s="58" t="s">
        <v>3551</v>
      </c>
      <c r="H1461" s="56">
        <v>1</v>
      </c>
      <c r="I1461" s="56" t="s">
        <v>3550</v>
      </c>
      <c r="J1461" s="56">
        <v>0</v>
      </c>
      <c r="K1461" s="56">
        <v>0</v>
      </c>
      <c r="P1461" s="56">
        <v>0</v>
      </c>
      <c r="S1461" s="56">
        <v>0</v>
      </c>
      <c r="T1461" s="56" t="s">
        <v>27</v>
      </c>
      <c r="V1461" s="56" t="s">
        <v>3549</v>
      </c>
      <c r="W1461" s="56" t="s">
        <v>3548</v>
      </c>
      <c r="X1461" s="56" t="s">
        <v>3547</v>
      </c>
      <c r="Z1461" s="56" t="s">
        <v>3546</v>
      </c>
      <c r="AA1461" s="56" t="s">
        <v>4966</v>
      </c>
      <c r="AB1461" s="56" t="s">
        <v>4965</v>
      </c>
      <c r="AC1461" s="56" t="s">
        <v>3543</v>
      </c>
      <c r="AH1461" s="56" t="s">
        <v>3542</v>
      </c>
      <c r="AI1461" s="56" t="s">
        <v>3541</v>
      </c>
    </row>
    <row r="1462" spans="1:35" ht="33" customHeight="1">
      <c r="A1462" s="56" t="s">
        <v>4969</v>
      </c>
      <c r="B1462" s="57">
        <v>44364.720347222225</v>
      </c>
      <c r="C1462" s="56" t="s">
        <v>3803</v>
      </c>
      <c r="D1462" s="56" t="s">
        <v>4426</v>
      </c>
      <c r="E1462" s="56" t="s">
        <v>4968</v>
      </c>
      <c r="F1462" s="56" t="s">
        <v>4967</v>
      </c>
      <c r="G1462" s="58" t="s">
        <v>1498</v>
      </c>
      <c r="H1462" s="56">
        <v>1</v>
      </c>
      <c r="I1462" s="56" t="s">
        <v>4016</v>
      </c>
      <c r="J1462" s="56">
        <v>0</v>
      </c>
      <c r="K1462" s="56">
        <v>0</v>
      </c>
      <c r="P1462" s="56">
        <v>0</v>
      </c>
      <c r="S1462" s="56">
        <v>0</v>
      </c>
      <c r="T1462" s="56" t="s">
        <v>27</v>
      </c>
      <c r="V1462" s="56" t="s">
        <v>3549</v>
      </c>
      <c r="W1462" s="56" t="s">
        <v>3548</v>
      </c>
      <c r="X1462" s="56" t="s">
        <v>3547</v>
      </c>
      <c r="Z1462" s="56" t="s">
        <v>3546</v>
      </c>
      <c r="AA1462" s="56" t="s">
        <v>4966</v>
      </c>
      <c r="AB1462" s="56" t="s">
        <v>4965</v>
      </c>
      <c r="AC1462" s="56" t="s">
        <v>3543</v>
      </c>
      <c r="AH1462" s="56" t="s">
        <v>3542</v>
      </c>
      <c r="AI1462" s="56" t="s">
        <v>3541</v>
      </c>
    </row>
    <row r="1463" spans="1:35" ht="33" customHeight="1">
      <c r="A1463" s="56" t="s">
        <v>4964</v>
      </c>
      <c r="B1463" s="57">
        <v>44364.723310185182</v>
      </c>
      <c r="C1463" s="56" t="s">
        <v>3803</v>
      </c>
      <c r="D1463" s="56" t="s">
        <v>3802</v>
      </c>
      <c r="E1463" s="56" t="s">
        <v>4963</v>
      </c>
      <c r="F1463" s="56" t="s">
        <v>4962</v>
      </c>
      <c r="G1463" s="58" t="s">
        <v>3811</v>
      </c>
      <c r="H1463" s="56">
        <v>1</v>
      </c>
      <c r="I1463" s="56" t="s">
        <v>3669</v>
      </c>
      <c r="J1463" s="56">
        <v>897</v>
      </c>
      <c r="K1463" s="56">
        <v>888</v>
      </c>
      <c r="L1463" s="56">
        <v>1187</v>
      </c>
      <c r="M1463" s="56">
        <v>0</v>
      </c>
      <c r="N1463" s="56">
        <v>0</v>
      </c>
      <c r="O1463" s="56">
        <v>100</v>
      </c>
      <c r="P1463" s="56">
        <v>0</v>
      </c>
      <c r="Q1463" s="56">
        <v>1087</v>
      </c>
      <c r="R1463" s="56">
        <v>0</v>
      </c>
      <c r="S1463" s="56">
        <v>0</v>
      </c>
      <c r="T1463" s="56" t="s">
        <v>3562</v>
      </c>
      <c r="U1463" s="56">
        <v>1087</v>
      </c>
      <c r="V1463" s="56" t="s">
        <v>3561</v>
      </c>
      <c r="W1463" s="56" t="s">
        <v>3548</v>
      </c>
      <c r="X1463" s="56" t="s">
        <v>39</v>
      </c>
      <c r="Y1463" s="56" t="s">
        <v>4961</v>
      </c>
      <c r="Z1463" s="56" t="s">
        <v>4960</v>
      </c>
      <c r="AC1463" s="56" t="s">
        <v>3543</v>
      </c>
      <c r="AD1463" s="56" t="s">
        <v>24</v>
      </c>
      <c r="AE1463" s="56" t="s">
        <v>4834</v>
      </c>
      <c r="AF1463" s="56" t="s">
        <v>4959</v>
      </c>
      <c r="AH1463" s="56" t="s">
        <v>3542</v>
      </c>
      <c r="AI1463" s="56" t="s">
        <v>3723</v>
      </c>
    </row>
    <row r="1464" spans="1:35" ht="33" customHeight="1">
      <c r="A1464" s="56" t="s">
        <v>4964</v>
      </c>
      <c r="B1464" s="57">
        <v>44364.723310185182</v>
      </c>
      <c r="C1464" s="56" t="s">
        <v>3803</v>
      </c>
      <c r="D1464" s="56" t="s">
        <v>3802</v>
      </c>
      <c r="E1464" s="56" t="s">
        <v>4963</v>
      </c>
      <c r="F1464" s="56" t="s">
        <v>4962</v>
      </c>
      <c r="G1464" s="58" t="s">
        <v>1531</v>
      </c>
      <c r="H1464" s="56">
        <v>1</v>
      </c>
      <c r="I1464" s="56" t="s">
        <v>3696</v>
      </c>
      <c r="J1464" s="56">
        <v>299</v>
      </c>
      <c r="K1464" s="56">
        <v>299</v>
      </c>
      <c r="P1464" s="56">
        <v>0</v>
      </c>
      <c r="S1464" s="56">
        <v>0</v>
      </c>
      <c r="T1464" s="56" t="s">
        <v>3562</v>
      </c>
      <c r="V1464" s="56" t="s">
        <v>3561</v>
      </c>
      <c r="W1464" s="56" t="s">
        <v>3548</v>
      </c>
      <c r="X1464" s="56" t="s">
        <v>39</v>
      </c>
      <c r="Y1464" s="56" t="s">
        <v>4961</v>
      </c>
      <c r="Z1464" s="56" t="s">
        <v>4960</v>
      </c>
      <c r="AC1464" s="56" t="s">
        <v>3543</v>
      </c>
      <c r="AD1464" s="56" t="s">
        <v>24</v>
      </c>
      <c r="AE1464" s="56" t="s">
        <v>4834</v>
      </c>
      <c r="AF1464" s="56" t="s">
        <v>4959</v>
      </c>
      <c r="AH1464" s="56" t="s">
        <v>3542</v>
      </c>
      <c r="AI1464" s="56" t="s">
        <v>3723</v>
      </c>
    </row>
    <row r="1465" spans="1:35" ht="33" customHeight="1">
      <c r="A1465" s="56" t="s">
        <v>4964</v>
      </c>
      <c r="B1465" s="57">
        <v>44364.723310185182</v>
      </c>
      <c r="C1465" s="56" t="s">
        <v>3803</v>
      </c>
      <c r="D1465" s="56" t="s">
        <v>3802</v>
      </c>
      <c r="E1465" s="56" t="s">
        <v>4963</v>
      </c>
      <c r="F1465" s="56" t="s">
        <v>4962</v>
      </c>
      <c r="G1465" s="58" t="s">
        <v>3551</v>
      </c>
      <c r="H1465" s="56">
        <v>1</v>
      </c>
      <c r="I1465" s="56" t="s">
        <v>3550</v>
      </c>
      <c r="J1465" s="56">
        <v>0</v>
      </c>
      <c r="K1465" s="56">
        <v>0</v>
      </c>
      <c r="P1465" s="56">
        <v>0</v>
      </c>
      <c r="S1465" s="56">
        <v>0</v>
      </c>
      <c r="T1465" s="56" t="s">
        <v>3562</v>
      </c>
      <c r="V1465" s="56" t="s">
        <v>3561</v>
      </c>
      <c r="W1465" s="56" t="s">
        <v>3548</v>
      </c>
      <c r="X1465" s="56" t="s">
        <v>39</v>
      </c>
      <c r="Y1465" s="56" t="s">
        <v>4961</v>
      </c>
      <c r="Z1465" s="56" t="s">
        <v>4960</v>
      </c>
      <c r="AC1465" s="56" t="s">
        <v>3543</v>
      </c>
      <c r="AD1465" s="56" t="s">
        <v>24</v>
      </c>
      <c r="AE1465" s="56" t="s">
        <v>4834</v>
      </c>
      <c r="AF1465" s="56" t="s">
        <v>4959</v>
      </c>
      <c r="AH1465" s="56" t="s">
        <v>3542</v>
      </c>
      <c r="AI1465" s="56" t="s">
        <v>3723</v>
      </c>
    </row>
    <row r="1466" spans="1:35" ht="33" customHeight="1">
      <c r="A1466" s="56" t="s">
        <v>4964</v>
      </c>
      <c r="B1466" s="57">
        <v>44364.723310185182</v>
      </c>
      <c r="C1466" s="56" t="s">
        <v>3803</v>
      </c>
      <c r="D1466" s="56" t="s">
        <v>3802</v>
      </c>
      <c r="E1466" s="56" t="s">
        <v>4963</v>
      </c>
      <c r="F1466" s="56" t="s">
        <v>4962</v>
      </c>
      <c r="G1466" s="58" t="s">
        <v>1498</v>
      </c>
      <c r="H1466" s="56">
        <v>1</v>
      </c>
      <c r="I1466" s="56" t="s">
        <v>4016</v>
      </c>
      <c r="J1466" s="56">
        <v>0</v>
      </c>
      <c r="K1466" s="56">
        <v>0</v>
      </c>
      <c r="P1466" s="56">
        <v>0</v>
      </c>
      <c r="S1466" s="56">
        <v>0</v>
      </c>
      <c r="T1466" s="56" t="s">
        <v>3562</v>
      </c>
      <c r="V1466" s="56" t="s">
        <v>3561</v>
      </c>
      <c r="W1466" s="56" t="s">
        <v>3548</v>
      </c>
      <c r="X1466" s="56" t="s">
        <v>39</v>
      </c>
      <c r="Y1466" s="56" t="s">
        <v>4961</v>
      </c>
      <c r="Z1466" s="56" t="s">
        <v>4960</v>
      </c>
      <c r="AC1466" s="56" t="s">
        <v>3543</v>
      </c>
      <c r="AD1466" s="56" t="s">
        <v>24</v>
      </c>
      <c r="AE1466" s="56" t="s">
        <v>4834</v>
      </c>
      <c r="AF1466" s="56" t="s">
        <v>4959</v>
      </c>
      <c r="AH1466" s="56" t="s">
        <v>3542</v>
      </c>
      <c r="AI1466" s="56" t="s">
        <v>3723</v>
      </c>
    </row>
    <row r="1467" spans="1:35" ht="33" customHeight="1">
      <c r="A1467" s="56" t="s">
        <v>4958</v>
      </c>
      <c r="B1467" s="57">
        <v>44364.730358796296</v>
      </c>
      <c r="C1467" s="56" t="s">
        <v>3803</v>
      </c>
      <c r="D1467" s="56" t="s">
        <v>4426</v>
      </c>
      <c r="E1467" s="56" t="s">
        <v>4957</v>
      </c>
      <c r="F1467" s="56" t="s">
        <v>4956</v>
      </c>
      <c r="G1467" s="58" t="s">
        <v>3840</v>
      </c>
      <c r="H1467" s="56">
        <v>1</v>
      </c>
      <c r="I1467" s="56" t="s">
        <v>3602</v>
      </c>
      <c r="J1467" s="56">
        <v>447</v>
      </c>
      <c r="K1467" s="56">
        <v>399</v>
      </c>
      <c r="L1467" s="56">
        <v>399</v>
      </c>
      <c r="M1467" s="56">
        <v>65</v>
      </c>
      <c r="N1467" s="56">
        <v>0</v>
      </c>
      <c r="O1467" s="56">
        <v>0</v>
      </c>
      <c r="P1467" s="56">
        <v>0</v>
      </c>
      <c r="Q1467" s="56">
        <v>464</v>
      </c>
      <c r="R1467" s="56">
        <v>0</v>
      </c>
      <c r="S1467" s="56">
        <v>0</v>
      </c>
      <c r="T1467" s="56" t="s">
        <v>27</v>
      </c>
      <c r="U1467" s="56">
        <v>464</v>
      </c>
      <c r="V1467" s="56" t="s">
        <v>3612</v>
      </c>
      <c r="W1467" s="56" t="s">
        <v>3548</v>
      </c>
      <c r="X1467" s="56" t="s">
        <v>3611</v>
      </c>
      <c r="Z1467" s="56" t="s">
        <v>3546</v>
      </c>
      <c r="AA1467" s="56" t="s">
        <v>4955</v>
      </c>
      <c r="AB1467" s="56" t="s">
        <v>4954</v>
      </c>
      <c r="AC1467" s="56" t="s">
        <v>3543</v>
      </c>
      <c r="AH1467" s="56" t="s">
        <v>3542</v>
      </c>
      <c r="AI1467" s="56" t="s">
        <v>3541</v>
      </c>
    </row>
    <row r="1468" spans="1:35" ht="33" customHeight="1">
      <c r="A1468" s="56" t="s">
        <v>4958</v>
      </c>
      <c r="B1468" s="57">
        <v>44364.730358796296</v>
      </c>
      <c r="C1468" s="56" t="s">
        <v>3803</v>
      </c>
      <c r="D1468" s="56" t="s">
        <v>4426</v>
      </c>
      <c r="E1468" s="56" t="s">
        <v>4957</v>
      </c>
      <c r="F1468" s="56" t="s">
        <v>4956</v>
      </c>
      <c r="G1468" s="58" t="s">
        <v>3551</v>
      </c>
      <c r="H1468" s="56">
        <v>1</v>
      </c>
      <c r="I1468" s="56" t="s">
        <v>3550</v>
      </c>
      <c r="J1468" s="56">
        <v>0</v>
      </c>
      <c r="K1468" s="56">
        <v>0</v>
      </c>
      <c r="P1468" s="56">
        <v>0</v>
      </c>
      <c r="S1468" s="56">
        <v>0</v>
      </c>
      <c r="T1468" s="56" t="s">
        <v>27</v>
      </c>
      <c r="V1468" s="56" t="s">
        <v>3612</v>
      </c>
      <c r="W1468" s="56" t="s">
        <v>3548</v>
      </c>
      <c r="X1468" s="56" t="s">
        <v>3611</v>
      </c>
      <c r="Z1468" s="56" t="s">
        <v>3546</v>
      </c>
      <c r="AA1468" s="56" t="s">
        <v>4955</v>
      </c>
      <c r="AB1468" s="56" t="s">
        <v>4954</v>
      </c>
      <c r="AC1468" s="56" t="s">
        <v>3543</v>
      </c>
      <c r="AH1468" s="56" t="s">
        <v>3542</v>
      </c>
      <c r="AI1468" s="56" t="s">
        <v>3541</v>
      </c>
    </row>
    <row r="1469" spans="1:35" ht="33" customHeight="1">
      <c r="A1469" s="56" t="s">
        <v>4952</v>
      </c>
      <c r="B1469" s="57">
        <v>44364.739722222221</v>
      </c>
      <c r="C1469" s="56" t="s">
        <v>4512</v>
      </c>
      <c r="D1469" s="56" t="s">
        <v>4511</v>
      </c>
      <c r="E1469" s="56" t="s">
        <v>4951</v>
      </c>
      <c r="F1469" s="56" t="s">
        <v>4950</v>
      </c>
      <c r="G1469" s="58" t="s">
        <v>4953</v>
      </c>
      <c r="H1469" s="56">
        <v>1</v>
      </c>
      <c r="I1469" s="56" t="s">
        <v>3753</v>
      </c>
      <c r="J1469" s="56">
        <v>997</v>
      </c>
      <c r="K1469" s="56">
        <v>960</v>
      </c>
      <c r="L1469" s="56">
        <v>1019</v>
      </c>
      <c r="M1469" s="56">
        <v>0</v>
      </c>
      <c r="N1469" s="56">
        <v>0</v>
      </c>
      <c r="O1469" s="56">
        <v>100</v>
      </c>
      <c r="P1469" s="56">
        <v>0</v>
      </c>
      <c r="Q1469" s="56">
        <v>919</v>
      </c>
      <c r="R1469" s="56">
        <v>0</v>
      </c>
      <c r="S1469" s="56">
        <v>0</v>
      </c>
      <c r="T1469" s="56" t="s">
        <v>3562</v>
      </c>
      <c r="U1469" s="56">
        <v>919</v>
      </c>
      <c r="V1469" s="56" t="s">
        <v>3549</v>
      </c>
      <c r="W1469" s="56" t="s">
        <v>3548</v>
      </c>
      <c r="X1469" s="56" t="s">
        <v>3547</v>
      </c>
      <c r="Z1469" s="56" t="s">
        <v>3546</v>
      </c>
      <c r="AA1469" s="56" t="s">
        <v>4949</v>
      </c>
      <c r="AB1469" s="56" t="s">
        <v>4948</v>
      </c>
      <c r="AC1469" s="56" t="s">
        <v>3543</v>
      </c>
      <c r="AD1469" s="56" t="s">
        <v>24</v>
      </c>
      <c r="AE1469" s="56" t="s">
        <v>3725</v>
      </c>
      <c r="AF1469" s="56" t="s">
        <v>4947</v>
      </c>
      <c r="AH1469" s="56" t="s">
        <v>3542</v>
      </c>
      <c r="AI1469" s="56" t="s">
        <v>3723</v>
      </c>
    </row>
    <row r="1470" spans="1:35" ht="33" customHeight="1">
      <c r="A1470" s="56" t="s">
        <v>4952</v>
      </c>
      <c r="B1470" s="57">
        <v>44364.739722222221</v>
      </c>
      <c r="C1470" s="56" t="s">
        <v>4512</v>
      </c>
      <c r="D1470" s="56" t="s">
        <v>4511</v>
      </c>
      <c r="E1470" s="56" t="s">
        <v>4951</v>
      </c>
      <c r="F1470" s="56" t="s">
        <v>4950</v>
      </c>
      <c r="G1470" s="58" t="s">
        <v>3222</v>
      </c>
      <c r="H1470" s="56">
        <v>1</v>
      </c>
      <c r="I1470" s="56" t="s">
        <v>3712</v>
      </c>
      <c r="J1470" s="56">
        <v>59</v>
      </c>
      <c r="K1470" s="56">
        <v>59</v>
      </c>
      <c r="P1470" s="56">
        <v>0</v>
      </c>
      <c r="S1470" s="56">
        <v>0</v>
      </c>
      <c r="T1470" s="56" t="s">
        <v>3562</v>
      </c>
      <c r="V1470" s="56" t="s">
        <v>3549</v>
      </c>
      <c r="W1470" s="56" t="s">
        <v>3548</v>
      </c>
      <c r="X1470" s="56" t="s">
        <v>3547</v>
      </c>
      <c r="Z1470" s="56" t="s">
        <v>3546</v>
      </c>
      <c r="AA1470" s="56" t="s">
        <v>4949</v>
      </c>
      <c r="AB1470" s="56" t="s">
        <v>4948</v>
      </c>
      <c r="AC1470" s="56" t="s">
        <v>3543</v>
      </c>
      <c r="AD1470" s="56" t="s">
        <v>24</v>
      </c>
      <c r="AE1470" s="56" t="s">
        <v>3725</v>
      </c>
      <c r="AF1470" s="56" t="s">
        <v>4947</v>
      </c>
      <c r="AH1470" s="56" t="s">
        <v>3542</v>
      </c>
      <c r="AI1470" s="56" t="s">
        <v>3723</v>
      </c>
    </row>
    <row r="1471" spans="1:35" ht="33" customHeight="1">
      <c r="A1471" s="56" t="s">
        <v>4952</v>
      </c>
      <c r="B1471" s="57">
        <v>44364.739722222221</v>
      </c>
      <c r="C1471" s="56" t="s">
        <v>4512</v>
      </c>
      <c r="D1471" s="56" t="s">
        <v>4511</v>
      </c>
      <c r="E1471" s="56" t="s">
        <v>4951</v>
      </c>
      <c r="F1471" s="56" t="s">
        <v>4950</v>
      </c>
      <c r="G1471" s="58" t="s">
        <v>3551</v>
      </c>
      <c r="H1471" s="56">
        <v>1</v>
      </c>
      <c r="I1471" s="56" t="s">
        <v>3550</v>
      </c>
      <c r="J1471" s="56">
        <v>0</v>
      </c>
      <c r="K1471" s="56">
        <v>0</v>
      </c>
      <c r="P1471" s="56">
        <v>0</v>
      </c>
      <c r="S1471" s="56">
        <v>0</v>
      </c>
      <c r="T1471" s="56" t="s">
        <v>3562</v>
      </c>
      <c r="V1471" s="56" t="s">
        <v>3549</v>
      </c>
      <c r="W1471" s="56" t="s">
        <v>3548</v>
      </c>
      <c r="X1471" s="56" t="s">
        <v>3547</v>
      </c>
      <c r="Z1471" s="56" t="s">
        <v>3546</v>
      </c>
      <c r="AA1471" s="56" t="s">
        <v>4949</v>
      </c>
      <c r="AB1471" s="56" t="s">
        <v>4948</v>
      </c>
      <c r="AC1471" s="56" t="s">
        <v>3543</v>
      </c>
      <c r="AD1471" s="56" t="s">
        <v>24</v>
      </c>
      <c r="AE1471" s="56" t="s">
        <v>3725</v>
      </c>
      <c r="AF1471" s="56" t="s">
        <v>4947</v>
      </c>
      <c r="AH1471" s="56" t="s">
        <v>3542</v>
      </c>
      <c r="AI1471" s="56" t="s">
        <v>3723</v>
      </c>
    </row>
    <row r="1472" spans="1:35" ht="33" customHeight="1">
      <c r="A1472" s="56" t="s">
        <v>4952</v>
      </c>
      <c r="B1472" s="57">
        <v>44364.739722222221</v>
      </c>
      <c r="C1472" s="56" t="s">
        <v>4512</v>
      </c>
      <c r="D1472" s="56" t="s">
        <v>4511</v>
      </c>
      <c r="E1472" s="56" t="s">
        <v>4951</v>
      </c>
      <c r="F1472" s="56" t="s">
        <v>4950</v>
      </c>
      <c r="G1472" s="58" t="s">
        <v>1498</v>
      </c>
      <c r="H1472" s="56">
        <v>1</v>
      </c>
      <c r="I1472" s="56" t="s">
        <v>4016</v>
      </c>
      <c r="J1472" s="56">
        <v>0</v>
      </c>
      <c r="K1472" s="56">
        <v>0</v>
      </c>
      <c r="P1472" s="56">
        <v>0</v>
      </c>
      <c r="S1472" s="56">
        <v>0</v>
      </c>
      <c r="T1472" s="56" t="s">
        <v>3562</v>
      </c>
      <c r="V1472" s="56" t="s">
        <v>3549</v>
      </c>
      <c r="W1472" s="56" t="s">
        <v>3548</v>
      </c>
      <c r="X1472" s="56" t="s">
        <v>3547</v>
      </c>
      <c r="Z1472" s="56" t="s">
        <v>3546</v>
      </c>
      <c r="AA1472" s="56" t="s">
        <v>4949</v>
      </c>
      <c r="AB1472" s="56" t="s">
        <v>4948</v>
      </c>
      <c r="AC1472" s="56" t="s">
        <v>3543</v>
      </c>
      <c r="AD1472" s="56" t="s">
        <v>24</v>
      </c>
      <c r="AE1472" s="56" t="s">
        <v>3725</v>
      </c>
      <c r="AF1472" s="56" t="s">
        <v>4947</v>
      </c>
      <c r="AH1472" s="56" t="s">
        <v>3542</v>
      </c>
      <c r="AI1472" s="56" t="s">
        <v>3723</v>
      </c>
    </row>
    <row r="1473" spans="1:35" ht="33" customHeight="1">
      <c r="A1473" s="56" t="s">
        <v>4946</v>
      </c>
      <c r="B1473" s="57">
        <v>44364.743796296294</v>
      </c>
      <c r="C1473" s="56" t="s">
        <v>3803</v>
      </c>
      <c r="D1473" s="56" t="s">
        <v>4426</v>
      </c>
      <c r="E1473" s="56" t="s">
        <v>4945</v>
      </c>
      <c r="F1473" s="56" t="s">
        <v>4944</v>
      </c>
      <c r="G1473" s="58" t="s">
        <v>4137</v>
      </c>
      <c r="H1473" s="56">
        <v>1</v>
      </c>
      <c r="I1473" s="56" t="s">
        <v>3577</v>
      </c>
      <c r="J1473" s="56">
        <v>700</v>
      </c>
      <c r="K1473" s="56">
        <v>599</v>
      </c>
      <c r="L1473" s="56">
        <v>847</v>
      </c>
      <c r="M1473" s="56">
        <v>65</v>
      </c>
      <c r="N1473" s="56">
        <v>17</v>
      </c>
      <c r="O1473" s="56">
        <v>0</v>
      </c>
      <c r="P1473" s="56">
        <v>0</v>
      </c>
      <c r="Q1473" s="56">
        <v>895</v>
      </c>
      <c r="R1473" s="56">
        <v>0</v>
      </c>
      <c r="S1473" s="56">
        <v>0</v>
      </c>
      <c r="T1473" s="56" t="s">
        <v>27</v>
      </c>
      <c r="U1473" s="56">
        <v>895</v>
      </c>
      <c r="V1473" s="56" t="s">
        <v>3549</v>
      </c>
      <c r="W1473" s="56" t="s">
        <v>3548</v>
      </c>
      <c r="X1473" s="56" t="s">
        <v>3547</v>
      </c>
      <c r="Z1473" s="56" t="s">
        <v>3546</v>
      </c>
      <c r="AA1473" s="56" t="s">
        <v>4943</v>
      </c>
      <c r="AB1473" s="56" t="s">
        <v>4942</v>
      </c>
      <c r="AC1473" s="56" t="s">
        <v>3543</v>
      </c>
      <c r="AH1473" s="56" t="s">
        <v>3542</v>
      </c>
      <c r="AI1473" s="56" t="s">
        <v>3541</v>
      </c>
    </row>
    <row r="1474" spans="1:35" ht="33" customHeight="1">
      <c r="A1474" s="56" t="s">
        <v>4946</v>
      </c>
      <c r="B1474" s="57">
        <v>44364.743796296294</v>
      </c>
      <c r="C1474" s="56" t="s">
        <v>3803</v>
      </c>
      <c r="D1474" s="56" t="s">
        <v>4426</v>
      </c>
      <c r="E1474" s="56" t="s">
        <v>4945</v>
      </c>
      <c r="F1474" s="56" t="s">
        <v>4944</v>
      </c>
      <c r="G1474" s="58" t="s">
        <v>3199</v>
      </c>
      <c r="H1474" s="56">
        <v>1</v>
      </c>
      <c r="I1474" s="56" t="s">
        <v>3834</v>
      </c>
      <c r="J1474" s="56">
        <v>119</v>
      </c>
      <c r="K1474" s="56">
        <v>99</v>
      </c>
      <c r="P1474" s="56">
        <v>0</v>
      </c>
      <c r="S1474" s="56">
        <v>0</v>
      </c>
      <c r="T1474" s="56" t="s">
        <v>27</v>
      </c>
      <c r="V1474" s="56" t="s">
        <v>3549</v>
      </c>
      <c r="W1474" s="56" t="s">
        <v>3548</v>
      </c>
      <c r="X1474" s="56" t="s">
        <v>3547</v>
      </c>
      <c r="Z1474" s="56" t="s">
        <v>3546</v>
      </c>
      <c r="AA1474" s="56" t="s">
        <v>4943</v>
      </c>
      <c r="AB1474" s="56" t="s">
        <v>4942</v>
      </c>
      <c r="AC1474" s="56" t="s">
        <v>3543</v>
      </c>
      <c r="AH1474" s="56" t="s">
        <v>3542</v>
      </c>
      <c r="AI1474" s="56" t="s">
        <v>3541</v>
      </c>
    </row>
    <row r="1475" spans="1:35" ht="33" customHeight="1">
      <c r="A1475" s="56" t="s">
        <v>4946</v>
      </c>
      <c r="B1475" s="57">
        <v>44364.743796296294</v>
      </c>
      <c r="C1475" s="56" t="s">
        <v>3803</v>
      </c>
      <c r="D1475" s="56" t="s">
        <v>4426</v>
      </c>
      <c r="E1475" s="56" t="s">
        <v>4945</v>
      </c>
      <c r="F1475" s="56" t="s">
        <v>4944</v>
      </c>
      <c r="G1475" s="58" t="s">
        <v>1713</v>
      </c>
      <c r="H1475" s="56">
        <v>1</v>
      </c>
      <c r="I1475" s="56" t="s">
        <v>3761</v>
      </c>
      <c r="J1475" s="56">
        <v>149</v>
      </c>
      <c r="K1475" s="56">
        <v>149</v>
      </c>
      <c r="P1475" s="56">
        <v>0</v>
      </c>
      <c r="S1475" s="56">
        <v>0</v>
      </c>
      <c r="T1475" s="56" t="s">
        <v>27</v>
      </c>
      <c r="V1475" s="56" t="s">
        <v>3549</v>
      </c>
      <c r="W1475" s="56" t="s">
        <v>3548</v>
      </c>
      <c r="X1475" s="56" t="s">
        <v>3547</v>
      </c>
      <c r="Z1475" s="56" t="s">
        <v>3546</v>
      </c>
      <c r="AA1475" s="56" t="s">
        <v>4943</v>
      </c>
      <c r="AB1475" s="56" t="s">
        <v>4942</v>
      </c>
      <c r="AC1475" s="56" t="s">
        <v>3543</v>
      </c>
      <c r="AH1475" s="56" t="s">
        <v>3542</v>
      </c>
      <c r="AI1475" s="56" t="s">
        <v>3541</v>
      </c>
    </row>
    <row r="1476" spans="1:35" ht="33" customHeight="1">
      <c r="A1476" s="56" t="s">
        <v>4946</v>
      </c>
      <c r="B1476" s="57">
        <v>44364.743796296294</v>
      </c>
      <c r="C1476" s="56" t="s">
        <v>3803</v>
      </c>
      <c r="D1476" s="56" t="s">
        <v>4426</v>
      </c>
      <c r="E1476" s="56" t="s">
        <v>4945</v>
      </c>
      <c r="F1476" s="56" t="s">
        <v>4944</v>
      </c>
      <c r="G1476" s="58" t="s">
        <v>3551</v>
      </c>
      <c r="H1476" s="56">
        <v>1</v>
      </c>
      <c r="I1476" s="56" t="s">
        <v>3550</v>
      </c>
      <c r="J1476" s="56">
        <v>0</v>
      </c>
      <c r="K1476" s="56">
        <v>0</v>
      </c>
      <c r="P1476" s="56">
        <v>0</v>
      </c>
      <c r="S1476" s="56">
        <v>0</v>
      </c>
      <c r="T1476" s="56" t="s">
        <v>27</v>
      </c>
      <c r="V1476" s="56" t="s">
        <v>3549</v>
      </c>
      <c r="W1476" s="56" t="s">
        <v>3548</v>
      </c>
      <c r="X1476" s="56" t="s">
        <v>3547</v>
      </c>
      <c r="Z1476" s="56" t="s">
        <v>3546</v>
      </c>
      <c r="AA1476" s="56" t="s">
        <v>4943</v>
      </c>
      <c r="AB1476" s="56" t="s">
        <v>4942</v>
      </c>
      <c r="AC1476" s="56" t="s">
        <v>3543</v>
      </c>
      <c r="AH1476" s="56" t="s">
        <v>3542</v>
      </c>
      <c r="AI1476" s="56" t="s">
        <v>3541</v>
      </c>
    </row>
    <row r="1477" spans="1:35" ht="33" customHeight="1">
      <c r="A1477" s="56" t="s">
        <v>4941</v>
      </c>
      <c r="B1477" s="57">
        <v>44364.746099537035</v>
      </c>
      <c r="C1477" s="56" t="s">
        <v>3803</v>
      </c>
      <c r="D1477" s="56" t="s">
        <v>3802</v>
      </c>
      <c r="E1477" s="56" t="s">
        <v>4940</v>
      </c>
      <c r="F1477" s="56" t="s">
        <v>4939</v>
      </c>
      <c r="G1477" s="58" t="s">
        <v>1531</v>
      </c>
      <c r="H1477" s="56">
        <v>1</v>
      </c>
      <c r="I1477" s="56" t="s">
        <v>3696</v>
      </c>
      <c r="J1477" s="56">
        <v>299</v>
      </c>
      <c r="K1477" s="56">
        <v>299</v>
      </c>
      <c r="L1477" s="56">
        <v>598</v>
      </c>
      <c r="M1477" s="56">
        <v>60</v>
      </c>
      <c r="N1477" s="56">
        <v>0</v>
      </c>
      <c r="O1477" s="56">
        <v>0</v>
      </c>
      <c r="P1477" s="56">
        <v>0</v>
      </c>
      <c r="Q1477" s="56">
        <v>658</v>
      </c>
      <c r="R1477" s="56">
        <v>0</v>
      </c>
      <c r="S1477" s="56">
        <v>0</v>
      </c>
      <c r="T1477" s="56" t="s">
        <v>3562</v>
      </c>
      <c r="U1477" s="56">
        <v>658</v>
      </c>
      <c r="V1477" s="56" t="s">
        <v>3561</v>
      </c>
      <c r="W1477" s="56" t="s">
        <v>3548</v>
      </c>
      <c r="X1477" s="56" t="s">
        <v>39</v>
      </c>
      <c r="Y1477" s="56" t="s">
        <v>3629</v>
      </c>
      <c r="Z1477" s="56" t="s">
        <v>4938</v>
      </c>
      <c r="AC1477" s="56" t="s">
        <v>3543</v>
      </c>
      <c r="AD1477" s="56" t="s">
        <v>24</v>
      </c>
      <c r="AE1477" s="56" t="s">
        <v>4834</v>
      </c>
      <c r="AF1477" s="56" t="s">
        <v>4937</v>
      </c>
      <c r="AH1477" s="56" t="s">
        <v>3542</v>
      </c>
      <c r="AI1477" s="56" t="s">
        <v>3723</v>
      </c>
    </row>
    <row r="1478" spans="1:35" ht="33" customHeight="1">
      <c r="A1478" s="56" t="s">
        <v>4941</v>
      </c>
      <c r="B1478" s="57">
        <v>44364.746099537035</v>
      </c>
      <c r="C1478" s="56" t="s">
        <v>3803</v>
      </c>
      <c r="D1478" s="56" t="s">
        <v>3802</v>
      </c>
      <c r="E1478" s="56" t="s">
        <v>4940</v>
      </c>
      <c r="F1478" s="56" t="s">
        <v>4939</v>
      </c>
      <c r="G1478" s="58" t="s">
        <v>1506</v>
      </c>
      <c r="H1478" s="56">
        <v>1</v>
      </c>
      <c r="I1478" s="56" t="s">
        <v>3696</v>
      </c>
      <c r="J1478" s="56">
        <v>299</v>
      </c>
      <c r="K1478" s="56">
        <v>299</v>
      </c>
      <c r="P1478" s="56">
        <v>0</v>
      </c>
      <c r="S1478" s="56">
        <v>0</v>
      </c>
      <c r="T1478" s="56" t="s">
        <v>3562</v>
      </c>
      <c r="V1478" s="56" t="s">
        <v>3561</v>
      </c>
      <c r="W1478" s="56" t="s">
        <v>3548</v>
      </c>
      <c r="X1478" s="56" t="s">
        <v>39</v>
      </c>
      <c r="Y1478" s="56" t="s">
        <v>3629</v>
      </c>
      <c r="Z1478" s="56" t="s">
        <v>4938</v>
      </c>
      <c r="AC1478" s="56" t="s">
        <v>3543</v>
      </c>
      <c r="AD1478" s="56" t="s">
        <v>24</v>
      </c>
      <c r="AE1478" s="56" t="s">
        <v>4834</v>
      </c>
      <c r="AF1478" s="56" t="s">
        <v>4937</v>
      </c>
      <c r="AH1478" s="56" t="s">
        <v>3542</v>
      </c>
      <c r="AI1478" s="56" t="s">
        <v>3723</v>
      </c>
    </row>
    <row r="1479" spans="1:35" ht="33" customHeight="1">
      <c r="A1479" s="56" t="s">
        <v>4941</v>
      </c>
      <c r="B1479" s="57">
        <v>44364.746099537035</v>
      </c>
      <c r="C1479" s="56" t="s">
        <v>3803</v>
      </c>
      <c r="D1479" s="56" t="s">
        <v>3802</v>
      </c>
      <c r="E1479" s="56" t="s">
        <v>4940</v>
      </c>
      <c r="F1479" s="56" t="s">
        <v>4939</v>
      </c>
      <c r="G1479" s="58" t="s">
        <v>3551</v>
      </c>
      <c r="H1479" s="56">
        <v>1</v>
      </c>
      <c r="I1479" s="56" t="s">
        <v>3550</v>
      </c>
      <c r="J1479" s="56">
        <v>0</v>
      </c>
      <c r="K1479" s="56">
        <v>0</v>
      </c>
      <c r="P1479" s="56">
        <v>0</v>
      </c>
      <c r="S1479" s="56">
        <v>0</v>
      </c>
      <c r="T1479" s="56" t="s">
        <v>3562</v>
      </c>
      <c r="V1479" s="56" t="s">
        <v>3561</v>
      </c>
      <c r="W1479" s="56" t="s">
        <v>3548</v>
      </c>
      <c r="X1479" s="56" t="s">
        <v>39</v>
      </c>
      <c r="Y1479" s="56" t="s">
        <v>3629</v>
      </c>
      <c r="Z1479" s="56" t="s">
        <v>4938</v>
      </c>
      <c r="AC1479" s="56" t="s">
        <v>3543</v>
      </c>
      <c r="AD1479" s="56" t="s">
        <v>24</v>
      </c>
      <c r="AE1479" s="56" t="s">
        <v>4834</v>
      </c>
      <c r="AF1479" s="56" t="s">
        <v>4937</v>
      </c>
      <c r="AH1479" s="56" t="s">
        <v>3542</v>
      </c>
      <c r="AI1479" s="56" t="s">
        <v>3723</v>
      </c>
    </row>
    <row r="1480" spans="1:35" ht="33" customHeight="1">
      <c r="A1480" s="56" t="s">
        <v>4936</v>
      </c>
      <c r="B1480" s="57">
        <v>44364.771817129629</v>
      </c>
      <c r="C1480" s="56" t="s">
        <v>4512</v>
      </c>
      <c r="D1480" s="56" t="s">
        <v>4511</v>
      </c>
      <c r="E1480" s="56" t="s">
        <v>4935</v>
      </c>
      <c r="F1480" s="56" t="s">
        <v>4934</v>
      </c>
      <c r="G1480" s="58" t="s">
        <v>4654</v>
      </c>
      <c r="H1480" s="56">
        <v>1</v>
      </c>
      <c r="I1480" s="56" t="s">
        <v>3746</v>
      </c>
      <c r="J1480" s="56">
        <v>660</v>
      </c>
      <c r="K1480" s="56">
        <v>450</v>
      </c>
      <c r="L1480" s="56">
        <v>1397</v>
      </c>
      <c r="M1480" s="56">
        <v>0</v>
      </c>
      <c r="N1480" s="56">
        <v>0</v>
      </c>
      <c r="O1480" s="56">
        <v>100</v>
      </c>
      <c r="P1480" s="56">
        <v>0</v>
      </c>
      <c r="Q1480" s="56">
        <v>1297</v>
      </c>
      <c r="R1480" s="56">
        <v>0</v>
      </c>
      <c r="S1480" s="56">
        <v>0</v>
      </c>
      <c r="T1480" s="56" t="s">
        <v>3562</v>
      </c>
      <c r="U1480" s="56">
        <v>1297</v>
      </c>
      <c r="V1480" s="56" t="s">
        <v>3612</v>
      </c>
      <c r="W1480" s="56" t="s">
        <v>3548</v>
      </c>
      <c r="X1480" s="56" t="s">
        <v>3611</v>
      </c>
      <c r="Z1480" s="56" t="s">
        <v>3546</v>
      </c>
      <c r="AA1480" s="56" t="s">
        <v>4933</v>
      </c>
      <c r="AB1480" s="56" t="s">
        <v>4932</v>
      </c>
      <c r="AC1480" s="56" t="s">
        <v>3543</v>
      </c>
      <c r="AD1480" s="56" t="s">
        <v>24</v>
      </c>
      <c r="AE1480" s="56" t="s">
        <v>3862</v>
      </c>
      <c r="AF1480" s="56" t="s">
        <v>4931</v>
      </c>
      <c r="AH1480" s="56" t="s">
        <v>3542</v>
      </c>
      <c r="AI1480" s="56" t="s">
        <v>3723</v>
      </c>
    </row>
    <row r="1481" spans="1:35" ht="33" customHeight="1">
      <c r="A1481" s="56" t="s">
        <v>4936</v>
      </c>
      <c r="B1481" s="57">
        <v>44364.771817129629</v>
      </c>
      <c r="C1481" s="56" t="s">
        <v>4512</v>
      </c>
      <c r="D1481" s="56" t="s">
        <v>4511</v>
      </c>
      <c r="E1481" s="56" t="s">
        <v>4935</v>
      </c>
      <c r="F1481" s="56" t="s">
        <v>4934</v>
      </c>
      <c r="G1481" s="58" t="s">
        <v>3217</v>
      </c>
      <c r="H1481" s="56">
        <v>1</v>
      </c>
      <c r="I1481" s="56" t="s">
        <v>3720</v>
      </c>
      <c r="J1481" s="56">
        <v>59</v>
      </c>
      <c r="K1481" s="56">
        <v>59</v>
      </c>
      <c r="P1481" s="56">
        <v>0</v>
      </c>
      <c r="S1481" s="56">
        <v>0</v>
      </c>
      <c r="T1481" s="56" t="s">
        <v>3562</v>
      </c>
      <c r="V1481" s="56" t="s">
        <v>3612</v>
      </c>
      <c r="W1481" s="56" t="s">
        <v>3548</v>
      </c>
      <c r="X1481" s="56" t="s">
        <v>3611</v>
      </c>
      <c r="Z1481" s="56" t="s">
        <v>3546</v>
      </c>
      <c r="AA1481" s="56" t="s">
        <v>4933</v>
      </c>
      <c r="AB1481" s="56" t="s">
        <v>4932</v>
      </c>
      <c r="AC1481" s="56" t="s">
        <v>3543</v>
      </c>
      <c r="AD1481" s="56" t="s">
        <v>24</v>
      </c>
      <c r="AE1481" s="56" t="s">
        <v>3862</v>
      </c>
      <c r="AF1481" s="56" t="s">
        <v>4931</v>
      </c>
      <c r="AH1481" s="56" t="s">
        <v>3542</v>
      </c>
      <c r="AI1481" s="56" t="s">
        <v>3723</v>
      </c>
    </row>
    <row r="1482" spans="1:35" ht="33" customHeight="1">
      <c r="A1482" s="56" t="s">
        <v>4936</v>
      </c>
      <c r="B1482" s="57">
        <v>44364.771817129629</v>
      </c>
      <c r="C1482" s="56" t="s">
        <v>4512</v>
      </c>
      <c r="D1482" s="56" t="s">
        <v>4511</v>
      </c>
      <c r="E1482" s="56" t="s">
        <v>4935</v>
      </c>
      <c r="F1482" s="56" t="s">
        <v>4934</v>
      </c>
      <c r="G1482" s="58" t="s">
        <v>3811</v>
      </c>
      <c r="H1482" s="56">
        <v>1</v>
      </c>
      <c r="I1482" s="56" t="s">
        <v>3669</v>
      </c>
      <c r="J1482" s="56">
        <v>897</v>
      </c>
      <c r="K1482" s="56">
        <v>888</v>
      </c>
      <c r="P1482" s="56">
        <v>0</v>
      </c>
      <c r="S1482" s="56">
        <v>0</v>
      </c>
      <c r="T1482" s="56" t="s">
        <v>3562</v>
      </c>
      <c r="V1482" s="56" t="s">
        <v>3612</v>
      </c>
      <c r="W1482" s="56" t="s">
        <v>3548</v>
      </c>
      <c r="X1482" s="56" t="s">
        <v>3611</v>
      </c>
      <c r="Z1482" s="56" t="s">
        <v>3546</v>
      </c>
      <c r="AA1482" s="56" t="s">
        <v>4933</v>
      </c>
      <c r="AB1482" s="56" t="s">
        <v>4932</v>
      </c>
      <c r="AC1482" s="56" t="s">
        <v>3543</v>
      </c>
      <c r="AD1482" s="56" t="s">
        <v>24</v>
      </c>
      <c r="AE1482" s="56" t="s">
        <v>3862</v>
      </c>
      <c r="AF1482" s="56" t="s">
        <v>4931</v>
      </c>
      <c r="AH1482" s="56" t="s">
        <v>3542</v>
      </c>
      <c r="AI1482" s="56" t="s">
        <v>3723</v>
      </c>
    </row>
    <row r="1483" spans="1:35" ht="33" customHeight="1">
      <c r="A1483" s="56" t="s">
        <v>4936</v>
      </c>
      <c r="B1483" s="57">
        <v>44364.771817129629</v>
      </c>
      <c r="C1483" s="56" t="s">
        <v>4512</v>
      </c>
      <c r="D1483" s="56" t="s">
        <v>4511</v>
      </c>
      <c r="E1483" s="56" t="s">
        <v>4935</v>
      </c>
      <c r="F1483" s="56" t="s">
        <v>4934</v>
      </c>
      <c r="G1483" s="58" t="s">
        <v>3551</v>
      </c>
      <c r="H1483" s="56">
        <v>1</v>
      </c>
      <c r="I1483" s="56" t="s">
        <v>3550</v>
      </c>
      <c r="J1483" s="56">
        <v>0</v>
      </c>
      <c r="K1483" s="56">
        <v>0</v>
      </c>
      <c r="P1483" s="56">
        <v>0</v>
      </c>
      <c r="S1483" s="56">
        <v>0</v>
      </c>
      <c r="T1483" s="56" t="s">
        <v>3562</v>
      </c>
      <c r="V1483" s="56" t="s">
        <v>3612</v>
      </c>
      <c r="W1483" s="56" t="s">
        <v>3548</v>
      </c>
      <c r="X1483" s="56" t="s">
        <v>3611</v>
      </c>
      <c r="Z1483" s="56" t="s">
        <v>3546</v>
      </c>
      <c r="AA1483" s="56" t="s">
        <v>4933</v>
      </c>
      <c r="AB1483" s="56" t="s">
        <v>4932</v>
      </c>
      <c r="AC1483" s="56" t="s">
        <v>3543</v>
      </c>
      <c r="AD1483" s="56" t="s">
        <v>24</v>
      </c>
      <c r="AE1483" s="56" t="s">
        <v>3862</v>
      </c>
      <c r="AF1483" s="56" t="s">
        <v>4931</v>
      </c>
      <c r="AH1483" s="56" t="s">
        <v>3542</v>
      </c>
      <c r="AI1483" s="56" t="s">
        <v>3723</v>
      </c>
    </row>
    <row r="1484" spans="1:35" ht="33" customHeight="1">
      <c r="A1484" s="56" t="s">
        <v>4936</v>
      </c>
      <c r="B1484" s="57">
        <v>44364.771817129629</v>
      </c>
      <c r="C1484" s="56" t="s">
        <v>4512</v>
      </c>
      <c r="D1484" s="56" t="s">
        <v>4511</v>
      </c>
      <c r="E1484" s="56" t="s">
        <v>4935</v>
      </c>
      <c r="F1484" s="56" t="s">
        <v>4934</v>
      </c>
      <c r="G1484" s="58" t="s">
        <v>1498</v>
      </c>
      <c r="H1484" s="56">
        <v>1</v>
      </c>
      <c r="I1484" s="56" t="s">
        <v>4016</v>
      </c>
      <c r="J1484" s="56">
        <v>0</v>
      </c>
      <c r="K1484" s="56">
        <v>0</v>
      </c>
      <c r="P1484" s="56">
        <v>0</v>
      </c>
      <c r="S1484" s="56">
        <v>0</v>
      </c>
      <c r="T1484" s="56" t="s">
        <v>3562</v>
      </c>
      <c r="V1484" s="56" t="s">
        <v>3612</v>
      </c>
      <c r="W1484" s="56" t="s">
        <v>3548</v>
      </c>
      <c r="X1484" s="56" t="s">
        <v>3611</v>
      </c>
      <c r="Z1484" s="56" t="s">
        <v>3546</v>
      </c>
      <c r="AA1484" s="56" t="s">
        <v>4933</v>
      </c>
      <c r="AB1484" s="56" t="s">
        <v>4932</v>
      </c>
      <c r="AC1484" s="56" t="s">
        <v>3543</v>
      </c>
      <c r="AD1484" s="56" t="s">
        <v>24</v>
      </c>
      <c r="AE1484" s="56" t="s">
        <v>3862</v>
      </c>
      <c r="AF1484" s="56" t="s">
        <v>4931</v>
      </c>
      <c r="AH1484" s="56" t="s">
        <v>3542</v>
      </c>
      <c r="AI1484" s="56" t="s">
        <v>3723</v>
      </c>
    </row>
    <row r="1485" spans="1:35" ht="33" customHeight="1">
      <c r="A1485" s="56" t="s">
        <v>4930</v>
      </c>
      <c r="B1485" s="57">
        <v>44364.831701388888</v>
      </c>
      <c r="C1485" s="56" t="s">
        <v>3803</v>
      </c>
      <c r="D1485" s="56" t="s">
        <v>4426</v>
      </c>
      <c r="E1485" s="56" t="s">
        <v>4929</v>
      </c>
      <c r="F1485" s="56" t="s">
        <v>4928</v>
      </c>
      <c r="G1485" s="58" t="s">
        <v>3668</v>
      </c>
      <c r="H1485" s="56">
        <v>1</v>
      </c>
      <c r="I1485" s="56" t="s">
        <v>3577</v>
      </c>
      <c r="J1485" s="56">
        <v>700</v>
      </c>
      <c r="K1485" s="56">
        <v>599</v>
      </c>
      <c r="L1485" s="56">
        <v>1198</v>
      </c>
      <c r="M1485" s="56">
        <v>0</v>
      </c>
      <c r="N1485" s="56">
        <v>0</v>
      </c>
      <c r="O1485" s="56">
        <v>22</v>
      </c>
      <c r="P1485" s="56">
        <v>0</v>
      </c>
      <c r="Q1485" s="56">
        <v>1176</v>
      </c>
      <c r="R1485" s="56">
        <v>0</v>
      </c>
      <c r="S1485" s="56">
        <v>0</v>
      </c>
      <c r="T1485" s="56" t="s">
        <v>3562</v>
      </c>
      <c r="U1485" s="56">
        <v>1176</v>
      </c>
      <c r="V1485" s="56" t="s">
        <v>59</v>
      </c>
      <c r="W1485" s="56" t="s">
        <v>3548</v>
      </c>
      <c r="X1485" s="56" t="s">
        <v>3716</v>
      </c>
      <c r="Z1485" s="56" t="s">
        <v>3546</v>
      </c>
      <c r="AA1485" s="56" t="s">
        <v>4927</v>
      </c>
      <c r="AB1485" s="56" t="s">
        <v>4926</v>
      </c>
      <c r="AC1485" s="56" t="s">
        <v>3543</v>
      </c>
      <c r="AD1485" s="56" t="s">
        <v>24</v>
      </c>
      <c r="AE1485" s="56" t="s">
        <v>4834</v>
      </c>
      <c r="AF1485" s="56" t="s">
        <v>4925</v>
      </c>
      <c r="AH1485" s="56" t="s">
        <v>3542</v>
      </c>
      <c r="AI1485" s="56" t="s">
        <v>3723</v>
      </c>
    </row>
    <row r="1486" spans="1:35" ht="33" customHeight="1">
      <c r="A1486" s="56" t="s">
        <v>4930</v>
      </c>
      <c r="B1486" s="57">
        <v>44364.831701388888</v>
      </c>
      <c r="C1486" s="56" t="s">
        <v>3803</v>
      </c>
      <c r="D1486" s="56" t="s">
        <v>4426</v>
      </c>
      <c r="E1486" s="56" t="s">
        <v>4929</v>
      </c>
      <c r="F1486" s="56" t="s">
        <v>4928</v>
      </c>
      <c r="G1486" s="58" t="s">
        <v>3747</v>
      </c>
      <c r="H1486" s="56">
        <v>1</v>
      </c>
      <c r="I1486" s="56" t="s">
        <v>3746</v>
      </c>
      <c r="J1486" s="56">
        <v>660</v>
      </c>
      <c r="K1486" s="56">
        <v>450</v>
      </c>
      <c r="P1486" s="56">
        <v>0</v>
      </c>
      <c r="S1486" s="56">
        <v>0</v>
      </c>
      <c r="T1486" s="56" t="s">
        <v>3562</v>
      </c>
      <c r="V1486" s="56" t="s">
        <v>59</v>
      </c>
      <c r="W1486" s="56" t="s">
        <v>3548</v>
      </c>
      <c r="X1486" s="56" t="s">
        <v>3716</v>
      </c>
      <c r="Z1486" s="56" t="s">
        <v>3546</v>
      </c>
      <c r="AA1486" s="56" t="s">
        <v>4927</v>
      </c>
      <c r="AB1486" s="56" t="s">
        <v>4926</v>
      </c>
      <c r="AC1486" s="56" t="s">
        <v>3543</v>
      </c>
      <c r="AD1486" s="56" t="s">
        <v>24</v>
      </c>
      <c r="AE1486" s="56" t="s">
        <v>4834</v>
      </c>
      <c r="AF1486" s="56" t="s">
        <v>4925</v>
      </c>
      <c r="AH1486" s="56" t="s">
        <v>3542</v>
      </c>
      <c r="AI1486" s="56" t="s">
        <v>3723</v>
      </c>
    </row>
    <row r="1487" spans="1:35" ht="33" customHeight="1">
      <c r="A1487" s="56" t="s">
        <v>4930</v>
      </c>
      <c r="B1487" s="57">
        <v>44364.831701388888</v>
      </c>
      <c r="C1487" s="56" t="s">
        <v>3803</v>
      </c>
      <c r="D1487" s="56" t="s">
        <v>4426</v>
      </c>
      <c r="E1487" s="56" t="s">
        <v>4929</v>
      </c>
      <c r="F1487" s="56" t="s">
        <v>4928</v>
      </c>
      <c r="G1487" s="58" t="s">
        <v>2156</v>
      </c>
      <c r="H1487" s="56">
        <v>1</v>
      </c>
      <c r="I1487" s="56" t="s">
        <v>1376</v>
      </c>
      <c r="J1487" s="56">
        <v>149</v>
      </c>
      <c r="K1487" s="56">
        <v>149</v>
      </c>
      <c r="P1487" s="56">
        <v>0</v>
      </c>
      <c r="S1487" s="56">
        <v>0</v>
      </c>
      <c r="T1487" s="56" t="s">
        <v>3562</v>
      </c>
      <c r="V1487" s="56" t="s">
        <v>59</v>
      </c>
      <c r="W1487" s="56" t="s">
        <v>3548</v>
      </c>
      <c r="X1487" s="56" t="s">
        <v>3716</v>
      </c>
      <c r="Z1487" s="56" t="s">
        <v>3546</v>
      </c>
      <c r="AA1487" s="56" t="s">
        <v>4927</v>
      </c>
      <c r="AB1487" s="56" t="s">
        <v>4926</v>
      </c>
      <c r="AC1487" s="56" t="s">
        <v>3543</v>
      </c>
      <c r="AD1487" s="56" t="s">
        <v>24</v>
      </c>
      <c r="AE1487" s="56" t="s">
        <v>4834</v>
      </c>
      <c r="AF1487" s="56" t="s">
        <v>4925</v>
      </c>
      <c r="AH1487" s="56" t="s">
        <v>3542</v>
      </c>
      <c r="AI1487" s="56" t="s">
        <v>3723</v>
      </c>
    </row>
    <row r="1488" spans="1:35" ht="33" customHeight="1">
      <c r="A1488" s="56" t="s">
        <v>4930</v>
      </c>
      <c r="B1488" s="57">
        <v>44364.831701388888</v>
      </c>
      <c r="C1488" s="56" t="s">
        <v>3803</v>
      </c>
      <c r="D1488" s="56" t="s">
        <v>4426</v>
      </c>
      <c r="E1488" s="56" t="s">
        <v>4929</v>
      </c>
      <c r="F1488" s="56" t="s">
        <v>4928</v>
      </c>
      <c r="G1488" s="58" t="s">
        <v>3551</v>
      </c>
      <c r="H1488" s="56">
        <v>1</v>
      </c>
      <c r="I1488" s="56" t="s">
        <v>3550</v>
      </c>
      <c r="J1488" s="56">
        <v>0</v>
      </c>
      <c r="K1488" s="56">
        <v>0</v>
      </c>
      <c r="P1488" s="56">
        <v>0</v>
      </c>
      <c r="S1488" s="56">
        <v>0</v>
      </c>
      <c r="T1488" s="56" t="s">
        <v>3562</v>
      </c>
      <c r="V1488" s="56" t="s">
        <v>59</v>
      </c>
      <c r="W1488" s="56" t="s">
        <v>3548</v>
      </c>
      <c r="X1488" s="56" t="s">
        <v>3716</v>
      </c>
      <c r="Z1488" s="56" t="s">
        <v>3546</v>
      </c>
      <c r="AA1488" s="56" t="s">
        <v>4927</v>
      </c>
      <c r="AB1488" s="56" t="s">
        <v>4926</v>
      </c>
      <c r="AC1488" s="56" t="s">
        <v>3543</v>
      </c>
      <c r="AD1488" s="56" t="s">
        <v>24</v>
      </c>
      <c r="AE1488" s="56" t="s">
        <v>4834</v>
      </c>
      <c r="AF1488" s="56" t="s">
        <v>4925</v>
      </c>
      <c r="AH1488" s="56" t="s">
        <v>3542</v>
      </c>
      <c r="AI1488" s="56" t="s">
        <v>3723</v>
      </c>
    </row>
    <row r="1489" spans="1:35" ht="33" customHeight="1">
      <c r="A1489" s="56" t="s">
        <v>4930</v>
      </c>
      <c r="B1489" s="57">
        <v>44364.831701388888</v>
      </c>
      <c r="C1489" s="56" t="s">
        <v>3803</v>
      </c>
      <c r="D1489" s="56" t="s">
        <v>4426</v>
      </c>
      <c r="E1489" s="56" t="s">
        <v>4929</v>
      </c>
      <c r="F1489" s="56" t="s">
        <v>4928</v>
      </c>
      <c r="G1489" s="58" t="s">
        <v>1498</v>
      </c>
      <c r="H1489" s="56">
        <v>1</v>
      </c>
      <c r="I1489" s="56" t="s">
        <v>4016</v>
      </c>
      <c r="J1489" s="56">
        <v>0</v>
      </c>
      <c r="K1489" s="56">
        <v>0</v>
      </c>
      <c r="P1489" s="56">
        <v>0</v>
      </c>
      <c r="S1489" s="56">
        <v>0</v>
      </c>
      <c r="T1489" s="56" t="s">
        <v>3562</v>
      </c>
      <c r="V1489" s="56" t="s">
        <v>59</v>
      </c>
      <c r="W1489" s="56" t="s">
        <v>3548</v>
      </c>
      <c r="X1489" s="56" t="s">
        <v>3716</v>
      </c>
      <c r="Z1489" s="56" t="s">
        <v>3546</v>
      </c>
      <c r="AA1489" s="56" t="s">
        <v>4927</v>
      </c>
      <c r="AB1489" s="56" t="s">
        <v>4926</v>
      </c>
      <c r="AC1489" s="56" t="s">
        <v>3543</v>
      </c>
      <c r="AD1489" s="56" t="s">
        <v>24</v>
      </c>
      <c r="AE1489" s="56" t="s">
        <v>4834</v>
      </c>
      <c r="AF1489" s="56" t="s">
        <v>4925</v>
      </c>
      <c r="AH1489" s="56" t="s">
        <v>3542</v>
      </c>
      <c r="AI1489" s="56" t="s">
        <v>3723</v>
      </c>
    </row>
    <row r="1490" spans="1:35" ht="33" customHeight="1">
      <c r="A1490" s="56" t="s">
        <v>4924</v>
      </c>
      <c r="B1490" s="57">
        <v>44364.860752314817</v>
      </c>
      <c r="C1490" s="56" t="s">
        <v>4512</v>
      </c>
      <c r="D1490" s="56" t="s">
        <v>4511</v>
      </c>
      <c r="E1490" s="56" t="s">
        <v>4923</v>
      </c>
      <c r="F1490" s="56" t="s">
        <v>4922</v>
      </c>
      <c r="G1490" s="58" t="s">
        <v>2163</v>
      </c>
      <c r="H1490" s="56">
        <v>1</v>
      </c>
      <c r="I1490" s="56" t="s">
        <v>3694</v>
      </c>
      <c r="J1490" s="56">
        <v>128</v>
      </c>
      <c r="K1490" s="56">
        <v>128</v>
      </c>
      <c r="L1490" s="56">
        <v>936</v>
      </c>
      <c r="M1490" s="56">
        <v>0</v>
      </c>
      <c r="N1490" s="56">
        <v>0</v>
      </c>
      <c r="O1490" s="56">
        <v>0</v>
      </c>
      <c r="P1490" s="56">
        <v>0</v>
      </c>
      <c r="Q1490" s="56">
        <v>936</v>
      </c>
      <c r="R1490" s="56">
        <v>0</v>
      </c>
      <c r="S1490" s="56">
        <v>0</v>
      </c>
      <c r="T1490" s="56" t="s">
        <v>3562</v>
      </c>
      <c r="U1490" s="56">
        <v>936</v>
      </c>
      <c r="V1490" s="56" t="s">
        <v>3549</v>
      </c>
      <c r="W1490" s="56" t="s">
        <v>3548</v>
      </c>
      <c r="X1490" s="56" t="s">
        <v>3547</v>
      </c>
      <c r="Z1490" s="56" t="s">
        <v>3546</v>
      </c>
      <c r="AA1490" s="56" t="s">
        <v>4921</v>
      </c>
      <c r="AB1490" s="56" t="s">
        <v>4920</v>
      </c>
      <c r="AC1490" s="56" t="s">
        <v>3543</v>
      </c>
      <c r="AD1490" s="56" t="s">
        <v>24</v>
      </c>
      <c r="AE1490" s="56" t="s">
        <v>3725</v>
      </c>
      <c r="AF1490" s="56" t="s">
        <v>4919</v>
      </c>
      <c r="AH1490" s="56" t="s">
        <v>3542</v>
      </c>
      <c r="AI1490" s="56" t="s">
        <v>3723</v>
      </c>
    </row>
    <row r="1491" spans="1:35" ht="33" customHeight="1">
      <c r="A1491" s="56" t="s">
        <v>4924</v>
      </c>
      <c r="B1491" s="57">
        <v>44364.860752314817</v>
      </c>
      <c r="C1491" s="56" t="s">
        <v>4512</v>
      </c>
      <c r="D1491" s="56" t="s">
        <v>4511</v>
      </c>
      <c r="E1491" s="56" t="s">
        <v>4923</v>
      </c>
      <c r="F1491" s="56" t="s">
        <v>4922</v>
      </c>
      <c r="G1491" s="58" t="s">
        <v>3732</v>
      </c>
      <c r="H1491" s="56">
        <v>1</v>
      </c>
      <c r="I1491" s="56" t="s">
        <v>3731</v>
      </c>
      <c r="J1491" s="56">
        <v>867</v>
      </c>
      <c r="K1491" s="56">
        <v>550</v>
      </c>
      <c r="P1491" s="56">
        <v>0</v>
      </c>
      <c r="S1491" s="56">
        <v>0</v>
      </c>
      <c r="T1491" s="56" t="s">
        <v>3562</v>
      </c>
      <c r="V1491" s="56" t="s">
        <v>3549</v>
      </c>
      <c r="W1491" s="56" t="s">
        <v>3548</v>
      </c>
      <c r="X1491" s="56" t="s">
        <v>3547</v>
      </c>
      <c r="Z1491" s="56" t="s">
        <v>3546</v>
      </c>
      <c r="AA1491" s="56" t="s">
        <v>4921</v>
      </c>
      <c r="AB1491" s="56" t="s">
        <v>4920</v>
      </c>
      <c r="AC1491" s="56" t="s">
        <v>3543</v>
      </c>
      <c r="AD1491" s="56" t="s">
        <v>24</v>
      </c>
      <c r="AE1491" s="56" t="s">
        <v>3725</v>
      </c>
      <c r="AF1491" s="56" t="s">
        <v>4919</v>
      </c>
      <c r="AH1491" s="56" t="s">
        <v>3542</v>
      </c>
      <c r="AI1491" s="56" t="s">
        <v>3723</v>
      </c>
    </row>
    <row r="1492" spans="1:35" ht="33" customHeight="1">
      <c r="A1492" s="56" t="s">
        <v>4924</v>
      </c>
      <c r="B1492" s="57">
        <v>44364.860752314817</v>
      </c>
      <c r="C1492" s="56" t="s">
        <v>4512</v>
      </c>
      <c r="D1492" s="56" t="s">
        <v>4511</v>
      </c>
      <c r="E1492" s="56" t="s">
        <v>4923</v>
      </c>
      <c r="F1492" s="56" t="s">
        <v>4922</v>
      </c>
      <c r="G1492" s="58" t="s">
        <v>1713</v>
      </c>
      <c r="H1492" s="56">
        <v>1</v>
      </c>
      <c r="I1492" s="56" t="s">
        <v>3587</v>
      </c>
      <c r="J1492" s="56">
        <v>149</v>
      </c>
      <c r="K1492" s="56">
        <v>149</v>
      </c>
      <c r="P1492" s="56">
        <v>0</v>
      </c>
      <c r="S1492" s="56">
        <v>0</v>
      </c>
      <c r="T1492" s="56" t="s">
        <v>3562</v>
      </c>
      <c r="V1492" s="56" t="s">
        <v>3549</v>
      </c>
      <c r="W1492" s="56" t="s">
        <v>3548</v>
      </c>
      <c r="X1492" s="56" t="s">
        <v>3547</v>
      </c>
      <c r="Z1492" s="56" t="s">
        <v>3546</v>
      </c>
      <c r="AA1492" s="56" t="s">
        <v>4921</v>
      </c>
      <c r="AB1492" s="56" t="s">
        <v>4920</v>
      </c>
      <c r="AC1492" s="56" t="s">
        <v>3543</v>
      </c>
      <c r="AD1492" s="56" t="s">
        <v>24</v>
      </c>
      <c r="AE1492" s="56" t="s">
        <v>3725</v>
      </c>
      <c r="AF1492" s="56" t="s">
        <v>4919</v>
      </c>
      <c r="AH1492" s="56" t="s">
        <v>3542</v>
      </c>
      <c r="AI1492" s="56" t="s">
        <v>3723</v>
      </c>
    </row>
    <row r="1493" spans="1:35" ht="33" customHeight="1">
      <c r="A1493" s="56" t="s">
        <v>4924</v>
      </c>
      <c r="B1493" s="57">
        <v>44364.860752314817</v>
      </c>
      <c r="C1493" s="56" t="s">
        <v>4512</v>
      </c>
      <c r="D1493" s="56" t="s">
        <v>4511</v>
      </c>
      <c r="E1493" s="56" t="s">
        <v>4923</v>
      </c>
      <c r="F1493" s="56" t="s">
        <v>4922</v>
      </c>
      <c r="G1493" s="58" t="s">
        <v>2165</v>
      </c>
      <c r="H1493" s="56">
        <v>1</v>
      </c>
      <c r="I1493" s="56" t="s">
        <v>3721</v>
      </c>
      <c r="J1493" s="56">
        <v>109</v>
      </c>
      <c r="K1493" s="56">
        <v>109</v>
      </c>
      <c r="P1493" s="56">
        <v>0</v>
      </c>
      <c r="S1493" s="56">
        <v>0</v>
      </c>
      <c r="T1493" s="56" t="s">
        <v>3562</v>
      </c>
      <c r="V1493" s="56" t="s">
        <v>3549</v>
      </c>
      <c r="W1493" s="56" t="s">
        <v>3548</v>
      </c>
      <c r="X1493" s="56" t="s">
        <v>3547</v>
      </c>
      <c r="Z1493" s="56" t="s">
        <v>3546</v>
      </c>
      <c r="AA1493" s="56" t="s">
        <v>4921</v>
      </c>
      <c r="AB1493" s="56" t="s">
        <v>4920</v>
      </c>
      <c r="AC1493" s="56" t="s">
        <v>3543</v>
      </c>
      <c r="AD1493" s="56" t="s">
        <v>24</v>
      </c>
      <c r="AE1493" s="56" t="s">
        <v>3725</v>
      </c>
      <c r="AF1493" s="56" t="s">
        <v>4919</v>
      </c>
      <c r="AH1493" s="56" t="s">
        <v>3542</v>
      </c>
      <c r="AI1493" s="56" t="s">
        <v>3723</v>
      </c>
    </row>
    <row r="1494" spans="1:35" ht="33" customHeight="1">
      <c r="A1494" s="56" t="s">
        <v>4924</v>
      </c>
      <c r="B1494" s="57">
        <v>44364.860752314817</v>
      </c>
      <c r="C1494" s="56" t="s">
        <v>4512</v>
      </c>
      <c r="D1494" s="56" t="s">
        <v>4511</v>
      </c>
      <c r="E1494" s="56" t="s">
        <v>4923</v>
      </c>
      <c r="F1494" s="56" t="s">
        <v>4922</v>
      </c>
      <c r="G1494" s="58" t="s">
        <v>3551</v>
      </c>
      <c r="H1494" s="56">
        <v>1</v>
      </c>
      <c r="I1494" s="56" t="s">
        <v>3550</v>
      </c>
      <c r="J1494" s="56">
        <v>0</v>
      </c>
      <c r="K1494" s="56">
        <v>0</v>
      </c>
      <c r="P1494" s="56">
        <v>0</v>
      </c>
      <c r="S1494" s="56">
        <v>0</v>
      </c>
      <c r="T1494" s="56" t="s">
        <v>3562</v>
      </c>
      <c r="V1494" s="56" t="s">
        <v>3549</v>
      </c>
      <c r="W1494" s="56" t="s">
        <v>3548</v>
      </c>
      <c r="X1494" s="56" t="s">
        <v>3547</v>
      </c>
      <c r="Z1494" s="56" t="s">
        <v>3546</v>
      </c>
      <c r="AA1494" s="56" t="s">
        <v>4921</v>
      </c>
      <c r="AB1494" s="56" t="s">
        <v>4920</v>
      </c>
      <c r="AC1494" s="56" t="s">
        <v>3543</v>
      </c>
      <c r="AD1494" s="56" t="s">
        <v>24</v>
      </c>
      <c r="AE1494" s="56" t="s">
        <v>3725</v>
      </c>
      <c r="AF1494" s="56" t="s">
        <v>4919</v>
      </c>
      <c r="AH1494" s="56" t="s">
        <v>3542</v>
      </c>
      <c r="AI1494" s="56" t="s">
        <v>3723</v>
      </c>
    </row>
    <row r="1495" spans="1:35" ht="33" customHeight="1">
      <c r="A1495" s="56" t="s">
        <v>4924</v>
      </c>
      <c r="B1495" s="57">
        <v>44364.860752314817</v>
      </c>
      <c r="C1495" s="56" t="s">
        <v>4512</v>
      </c>
      <c r="D1495" s="56" t="s">
        <v>4511</v>
      </c>
      <c r="E1495" s="56" t="s">
        <v>4923</v>
      </c>
      <c r="F1495" s="56" t="s">
        <v>4922</v>
      </c>
      <c r="G1495" s="58" t="s">
        <v>1498</v>
      </c>
      <c r="H1495" s="56">
        <v>1</v>
      </c>
      <c r="I1495" s="56" t="s">
        <v>4016</v>
      </c>
      <c r="J1495" s="56">
        <v>0</v>
      </c>
      <c r="K1495" s="56">
        <v>0</v>
      </c>
      <c r="P1495" s="56">
        <v>0</v>
      </c>
      <c r="S1495" s="56">
        <v>0</v>
      </c>
      <c r="T1495" s="56" t="s">
        <v>3562</v>
      </c>
      <c r="V1495" s="56" t="s">
        <v>3549</v>
      </c>
      <c r="W1495" s="56" t="s">
        <v>3548</v>
      </c>
      <c r="X1495" s="56" t="s">
        <v>3547</v>
      </c>
      <c r="Z1495" s="56" t="s">
        <v>3546</v>
      </c>
      <c r="AA1495" s="56" t="s">
        <v>4921</v>
      </c>
      <c r="AB1495" s="56" t="s">
        <v>4920</v>
      </c>
      <c r="AC1495" s="56" t="s">
        <v>3543</v>
      </c>
      <c r="AD1495" s="56" t="s">
        <v>24</v>
      </c>
      <c r="AE1495" s="56" t="s">
        <v>3725</v>
      </c>
      <c r="AF1495" s="56" t="s">
        <v>4919</v>
      </c>
      <c r="AH1495" s="56" t="s">
        <v>3542</v>
      </c>
      <c r="AI1495" s="56" t="s">
        <v>3723</v>
      </c>
    </row>
    <row r="1496" spans="1:35" ht="33" customHeight="1">
      <c r="A1496" s="56" t="s">
        <v>4917</v>
      </c>
      <c r="B1496" s="57">
        <v>44364.881932870368</v>
      </c>
      <c r="C1496" s="56" t="s">
        <v>3803</v>
      </c>
      <c r="D1496" s="56" t="s">
        <v>3802</v>
      </c>
      <c r="E1496" s="56" t="s">
        <v>4916</v>
      </c>
      <c r="F1496" s="56" t="s">
        <v>4915</v>
      </c>
      <c r="G1496" s="58" t="s">
        <v>3570</v>
      </c>
      <c r="H1496" s="56">
        <v>1</v>
      </c>
      <c r="I1496" s="56" t="s">
        <v>3569</v>
      </c>
      <c r="J1496" s="56">
        <v>894</v>
      </c>
      <c r="K1496" s="56">
        <v>750</v>
      </c>
      <c r="L1496" s="56">
        <v>1736</v>
      </c>
      <c r="M1496" s="56">
        <v>0</v>
      </c>
      <c r="N1496" s="56">
        <v>0</v>
      </c>
      <c r="O1496" s="56">
        <v>157</v>
      </c>
      <c r="P1496" s="56">
        <v>0</v>
      </c>
      <c r="Q1496" s="56">
        <v>1579</v>
      </c>
      <c r="R1496" s="56">
        <v>0</v>
      </c>
      <c r="S1496" s="56">
        <v>0</v>
      </c>
      <c r="T1496" s="56" t="s">
        <v>3562</v>
      </c>
      <c r="U1496" s="56">
        <v>1579</v>
      </c>
      <c r="V1496" s="56" t="s">
        <v>3561</v>
      </c>
      <c r="W1496" s="56" t="s">
        <v>3548</v>
      </c>
      <c r="X1496" s="56" t="s">
        <v>39</v>
      </c>
      <c r="Y1496" s="56" t="s">
        <v>4914</v>
      </c>
      <c r="Z1496" s="56" t="s">
        <v>4913</v>
      </c>
      <c r="AC1496" s="56" t="s">
        <v>3842</v>
      </c>
      <c r="AD1496" s="56" t="s">
        <v>24</v>
      </c>
      <c r="AE1496" s="56" t="s">
        <v>4834</v>
      </c>
      <c r="AF1496" s="56" t="s">
        <v>4912</v>
      </c>
      <c r="AH1496" s="56" t="s">
        <v>3542</v>
      </c>
      <c r="AI1496" s="56" t="s">
        <v>3723</v>
      </c>
    </row>
    <row r="1497" spans="1:35" ht="33" customHeight="1">
      <c r="A1497" s="56" t="s">
        <v>4917</v>
      </c>
      <c r="B1497" s="57">
        <v>44364.881932870368</v>
      </c>
      <c r="C1497" s="56" t="s">
        <v>3803</v>
      </c>
      <c r="D1497" s="56" t="s">
        <v>3802</v>
      </c>
      <c r="E1497" s="56" t="s">
        <v>4916</v>
      </c>
      <c r="F1497" s="56" t="s">
        <v>4915</v>
      </c>
      <c r="G1497" s="58" t="s">
        <v>3219</v>
      </c>
      <c r="H1497" s="56">
        <v>1</v>
      </c>
      <c r="I1497" s="56" t="s">
        <v>3595</v>
      </c>
      <c r="J1497" s="56">
        <v>59</v>
      </c>
      <c r="K1497" s="56">
        <v>59</v>
      </c>
      <c r="P1497" s="56">
        <v>0</v>
      </c>
      <c r="S1497" s="56">
        <v>0</v>
      </c>
      <c r="T1497" s="56" t="s">
        <v>3562</v>
      </c>
      <c r="V1497" s="56" t="s">
        <v>3561</v>
      </c>
      <c r="W1497" s="56" t="s">
        <v>3548</v>
      </c>
      <c r="X1497" s="56" t="s">
        <v>39</v>
      </c>
      <c r="Y1497" s="56" t="s">
        <v>4914</v>
      </c>
      <c r="Z1497" s="56" t="s">
        <v>4913</v>
      </c>
      <c r="AC1497" s="56" t="s">
        <v>3842</v>
      </c>
      <c r="AD1497" s="56" t="s">
        <v>24</v>
      </c>
      <c r="AE1497" s="56" t="s">
        <v>4834</v>
      </c>
      <c r="AF1497" s="56" t="s">
        <v>4912</v>
      </c>
      <c r="AH1497" s="56" t="s">
        <v>3542</v>
      </c>
      <c r="AI1497" s="56" t="s">
        <v>3723</v>
      </c>
    </row>
    <row r="1498" spans="1:35" ht="33" customHeight="1">
      <c r="A1498" s="56" t="s">
        <v>4917</v>
      </c>
      <c r="B1498" s="57">
        <v>44364.881932870368</v>
      </c>
      <c r="C1498" s="56" t="s">
        <v>3803</v>
      </c>
      <c r="D1498" s="56" t="s">
        <v>3802</v>
      </c>
      <c r="E1498" s="56" t="s">
        <v>4916</v>
      </c>
      <c r="F1498" s="56" t="s">
        <v>4915</v>
      </c>
      <c r="G1498" s="58" t="s">
        <v>3217</v>
      </c>
      <c r="H1498" s="56">
        <v>2</v>
      </c>
      <c r="I1498" s="56" t="s">
        <v>3720</v>
      </c>
      <c r="J1498" s="56">
        <v>59</v>
      </c>
      <c r="K1498" s="56">
        <v>59</v>
      </c>
      <c r="P1498" s="56">
        <v>0</v>
      </c>
      <c r="S1498" s="56">
        <v>0</v>
      </c>
      <c r="T1498" s="56" t="s">
        <v>3562</v>
      </c>
      <c r="V1498" s="56" t="s">
        <v>3561</v>
      </c>
      <c r="W1498" s="56" t="s">
        <v>3548</v>
      </c>
      <c r="X1498" s="56" t="s">
        <v>39</v>
      </c>
      <c r="Y1498" s="56" t="s">
        <v>4914</v>
      </c>
      <c r="Z1498" s="56" t="s">
        <v>4913</v>
      </c>
      <c r="AC1498" s="56" t="s">
        <v>3842</v>
      </c>
      <c r="AD1498" s="56" t="s">
        <v>24</v>
      </c>
      <c r="AE1498" s="56" t="s">
        <v>4834</v>
      </c>
      <c r="AF1498" s="56" t="s">
        <v>4912</v>
      </c>
      <c r="AH1498" s="56" t="s">
        <v>3542</v>
      </c>
      <c r="AI1498" s="56" t="s">
        <v>3723</v>
      </c>
    </row>
    <row r="1499" spans="1:35" ht="33" customHeight="1">
      <c r="A1499" s="56" t="s">
        <v>4917</v>
      </c>
      <c r="B1499" s="57">
        <v>44364.881932870368</v>
      </c>
      <c r="C1499" s="56" t="s">
        <v>3803</v>
      </c>
      <c r="D1499" s="56" t="s">
        <v>3802</v>
      </c>
      <c r="E1499" s="56" t="s">
        <v>4916</v>
      </c>
      <c r="F1499" s="56" t="s">
        <v>4915</v>
      </c>
      <c r="G1499" s="58" t="s">
        <v>4918</v>
      </c>
      <c r="H1499" s="56">
        <v>1</v>
      </c>
      <c r="I1499" s="56" t="s">
        <v>3569</v>
      </c>
      <c r="J1499" s="56">
        <v>894</v>
      </c>
      <c r="K1499" s="56">
        <v>750</v>
      </c>
      <c r="P1499" s="56">
        <v>0</v>
      </c>
      <c r="S1499" s="56">
        <v>0</v>
      </c>
      <c r="T1499" s="56" t="s">
        <v>3562</v>
      </c>
      <c r="V1499" s="56" t="s">
        <v>3561</v>
      </c>
      <c r="W1499" s="56" t="s">
        <v>3548</v>
      </c>
      <c r="X1499" s="56" t="s">
        <v>39</v>
      </c>
      <c r="Y1499" s="56" t="s">
        <v>4914</v>
      </c>
      <c r="Z1499" s="56" t="s">
        <v>4913</v>
      </c>
      <c r="AC1499" s="56" t="s">
        <v>3842</v>
      </c>
      <c r="AD1499" s="56" t="s">
        <v>24</v>
      </c>
      <c r="AE1499" s="56" t="s">
        <v>4834</v>
      </c>
      <c r="AF1499" s="56" t="s">
        <v>4912</v>
      </c>
      <c r="AH1499" s="56" t="s">
        <v>3542</v>
      </c>
      <c r="AI1499" s="56" t="s">
        <v>3723</v>
      </c>
    </row>
    <row r="1500" spans="1:35" ht="33" customHeight="1">
      <c r="A1500" s="56" t="s">
        <v>4917</v>
      </c>
      <c r="B1500" s="57">
        <v>44364.881932870368</v>
      </c>
      <c r="C1500" s="56" t="s">
        <v>3803</v>
      </c>
      <c r="D1500" s="56" t="s">
        <v>3802</v>
      </c>
      <c r="E1500" s="56" t="s">
        <v>4916</v>
      </c>
      <c r="F1500" s="56" t="s">
        <v>4915</v>
      </c>
      <c r="G1500" s="58" t="s">
        <v>3219</v>
      </c>
      <c r="H1500" s="56">
        <v>1</v>
      </c>
      <c r="I1500" s="56" t="s">
        <v>3595</v>
      </c>
      <c r="J1500" s="56">
        <v>59</v>
      </c>
      <c r="K1500" s="56">
        <v>59</v>
      </c>
      <c r="P1500" s="56">
        <v>0</v>
      </c>
      <c r="S1500" s="56">
        <v>0</v>
      </c>
      <c r="T1500" s="56" t="s">
        <v>3562</v>
      </c>
      <c r="V1500" s="56" t="s">
        <v>3561</v>
      </c>
      <c r="W1500" s="56" t="s">
        <v>3548</v>
      </c>
      <c r="X1500" s="56" t="s">
        <v>39</v>
      </c>
      <c r="Y1500" s="56" t="s">
        <v>4914</v>
      </c>
      <c r="Z1500" s="56" t="s">
        <v>4913</v>
      </c>
      <c r="AC1500" s="56" t="s">
        <v>3842</v>
      </c>
      <c r="AD1500" s="56" t="s">
        <v>24</v>
      </c>
      <c r="AE1500" s="56" t="s">
        <v>4834</v>
      </c>
      <c r="AF1500" s="56" t="s">
        <v>4912</v>
      </c>
      <c r="AH1500" s="56" t="s">
        <v>3542</v>
      </c>
      <c r="AI1500" s="56" t="s">
        <v>3723</v>
      </c>
    </row>
    <row r="1501" spans="1:35" ht="33" customHeight="1">
      <c r="A1501" s="56" t="s">
        <v>4917</v>
      </c>
      <c r="B1501" s="57">
        <v>44364.881932870368</v>
      </c>
      <c r="C1501" s="56" t="s">
        <v>3803</v>
      </c>
      <c r="D1501" s="56" t="s">
        <v>3802</v>
      </c>
      <c r="E1501" s="56" t="s">
        <v>4916</v>
      </c>
      <c r="F1501" s="56" t="s">
        <v>4915</v>
      </c>
      <c r="G1501" s="58" t="s">
        <v>3551</v>
      </c>
      <c r="H1501" s="56">
        <v>1</v>
      </c>
      <c r="I1501" s="56" t="s">
        <v>3550</v>
      </c>
      <c r="J1501" s="56">
        <v>0</v>
      </c>
      <c r="K1501" s="56">
        <v>0</v>
      </c>
      <c r="P1501" s="56">
        <v>0</v>
      </c>
      <c r="S1501" s="56">
        <v>0</v>
      </c>
      <c r="T1501" s="56" t="s">
        <v>3562</v>
      </c>
      <c r="V1501" s="56" t="s">
        <v>3561</v>
      </c>
      <c r="W1501" s="56" t="s">
        <v>3548</v>
      </c>
      <c r="X1501" s="56" t="s">
        <v>39</v>
      </c>
      <c r="Y1501" s="56" t="s">
        <v>4914</v>
      </c>
      <c r="Z1501" s="56" t="s">
        <v>4913</v>
      </c>
      <c r="AC1501" s="56" t="s">
        <v>3842</v>
      </c>
      <c r="AD1501" s="56" t="s">
        <v>24</v>
      </c>
      <c r="AE1501" s="56" t="s">
        <v>4834</v>
      </c>
      <c r="AF1501" s="56" t="s">
        <v>4912</v>
      </c>
      <c r="AH1501" s="56" t="s">
        <v>3542</v>
      </c>
      <c r="AI1501" s="56" t="s">
        <v>3723</v>
      </c>
    </row>
    <row r="1502" spans="1:35" ht="33" customHeight="1">
      <c r="A1502" s="56" t="s">
        <v>4917</v>
      </c>
      <c r="B1502" s="57">
        <v>44364.881932870368</v>
      </c>
      <c r="C1502" s="56" t="s">
        <v>3803</v>
      </c>
      <c r="D1502" s="56" t="s">
        <v>3802</v>
      </c>
      <c r="E1502" s="56" t="s">
        <v>4916</v>
      </c>
      <c r="F1502" s="56" t="s">
        <v>4915</v>
      </c>
      <c r="G1502" s="58" t="s">
        <v>1713</v>
      </c>
      <c r="H1502" s="56">
        <v>1</v>
      </c>
      <c r="I1502" s="56" t="s">
        <v>3568</v>
      </c>
      <c r="J1502" s="56">
        <v>0</v>
      </c>
      <c r="K1502" s="56">
        <v>0</v>
      </c>
      <c r="P1502" s="56">
        <v>0</v>
      </c>
      <c r="S1502" s="56">
        <v>0</v>
      </c>
      <c r="T1502" s="56" t="s">
        <v>3562</v>
      </c>
      <c r="V1502" s="56" t="s">
        <v>3561</v>
      </c>
      <c r="W1502" s="56" t="s">
        <v>3548</v>
      </c>
      <c r="X1502" s="56" t="s">
        <v>39</v>
      </c>
      <c r="Y1502" s="56" t="s">
        <v>4914</v>
      </c>
      <c r="Z1502" s="56" t="s">
        <v>4913</v>
      </c>
      <c r="AC1502" s="56" t="s">
        <v>3842</v>
      </c>
      <c r="AD1502" s="56" t="s">
        <v>24</v>
      </c>
      <c r="AE1502" s="56" t="s">
        <v>4834</v>
      </c>
      <c r="AF1502" s="56" t="s">
        <v>4912</v>
      </c>
      <c r="AH1502" s="56" t="s">
        <v>3542</v>
      </c>
      <c r="AI1502" s="56" t="s">
        <v>3723</v>
      </c>
    </row>
    <row r="1503" spans="1:35" ht="33" customHeight="1">
      <c r="A1503" s="56" t="s">
        <v>4917</v>
      </c>
      <c r="B1503" s="57">
        <v>44364.881932870368</v>
      </c>
      <c r="C1503" s="56" t="s">
        <v>3803</v>
      </c>
      <c r="D1503" s="56" t="s">
        <v>3802</v>
      </c>
      <c r="E1503" s="56" t="s">
        <v>4916</v>
      </c>
      <c r="F1503" s="56" t="s">
        <v>4915</v>
      </c>
      <c r="G1503" s="58" t="s">
        <v>1498</v>
      </c>
      <c r="H1503" s="56">
        <v>1</v>
      </c>
      <c r="I1503" s="56" t="s">
        <v>4016</v>
      </c>
      <c r="J1503" s="56">
        <v>0</v>
      </c>
      <c r="K1503" s="56">
        <v>0</v>
      </c>
      <c r="P1503" s="56">
        <v>0</v>
      </c>
      <c r="S1503" s="56">
        <v>0</v>
      </c>
      <c r="T1503" s="56" t="s">
        <v>3562</v>
      </c>
      <c r="V1503" s="56" t="s">
        <v>3561</v>
      </c>
      <c r="W1503" s="56" t="s">
        <v>3548</v>
      </c>
      <c r="X1503" s="56" t="s">
        <v>39</v>
      </c>
      <c r="Y1503" s="56" t="s">
        <v>4914</v>
      </c>
      <c r="Z1503" s="56" t="s">
        <v>4913</v>
      </c>
      <c r="AC1503" s="56" t="s">
        <v>3842</v>
      </c>
      <c r="AD1503" s="56" t="s">
        <v>24</v>
      </c>
      <c r="AE1503" s="56" t="s">
        <v>4834</v>
      </c>
      <c r="AF1503" s="56" t="s">
        <v>4912</v>
      </c>
      <c r="AH1503" s="56" t="s">
        <v>3542</v>
      </c>
      <c r="AI1503" s="56" t="s">
        <v>3723</v>
      </c>
    </row>
    <row r="1504" spans="1:35" ht="33" customHeight="1">
      <c r="A1504" s="56" t="s">
        <v>4911</v>
      </c>
      <c r="B1504" s="57">
        <v>44364.883460648147</v>
      </c>
      <c r="C1504" s="56" t="s">
        <v>3803</v>
      </c>
      <c r="D1504" s="56" t="s">
        <v>4426</v>
      </c>
      <c r="E1504" s="56" t="s">
        <v>4910</v>
      </c>
      <c r="F1504" s="56" t="s">
        <v>4909</v>
      </c>
      <c r="G1504" s="58" t="s">
        <v>3171</v>
      </c>
      <c r="H1504" s="56">
        <v>2</v>
      </c>
      <c r="I1504" s="56" t="s">
        <v>3695</v>
      </c>
      <c r="J1504" s="56">
        <v>399</v>
      </c>
      <c r="K1504" s="56">
        <v>399</v>
      </c>
      <c r="L1504" s="56">
        <v>1097</v>
      </c>
      <c r="M1504" s="56">
        <v>0</v>
      </c>
      <c r="N1504" s="56">
        <v>0</v>
      </c>
      <c r="O1504" s="56">
        <v>100</v>
      </c>
      <c r="P1504" s="56">
        <v>0</v>
      </c>
      <c r="Q1504" s="56">
        <v>997</v>
      </c>
      <c r="R1504" s="56">
        <v>0</v>
      </c>
      <c r="S1504" s="56">
        <v>0</v>
      </c>
      <c r="T1504" s="56" t="s">
        <v>27</v>
      </c>
      <c r="U1504" s="56">
        <v>997</v>
      </c>
      <c r="V1504" s="56" t="s">
        <v>3549</v>
      </c>
      <c r="W1504" s="56" t="s">
        <v>3548</v>
      </c>
      <c r="X1504" s="56" t="s">
        <v>3547</v>
      </c>
      <c r="Z1504" s="56" t="s">
        <v>3546</v>
      </c>
      <c r="AA1504" s="56" t="s">
        <v>4908</v>
      </c>
      <c r="AB1504" s="56" t="s">
        <v>4907</v>
      </c>
      <c r="AC1504" s="56" t="s">
        <v>3543</v>
      </c>
      <c r="AH1504" s="56" t="s">
        <v>3542</v>
      </c>
      <c r="AI1504" s="56" t="s">
        <v>3541</v>
      </c>
    </row>
    <row r="1505" spans="1:35" ht="33" customHeight="1">
      <c r="A1505" s="56" t="s">
        <v>4911</v>
      </c>
      <c r="B1505" s="57">
        <v>44364.883460648147</v>
      </c>
      <c r="C1505" s="56" t="s">
        <v>3803</v>
      </c>
      <c r="D1505" s="56" t="s">
        <v>4426</v>
      </c>
      <c r="E1505" s="56" t="s">
        <v>4910</v>
      </c>
      <c r="F1505" s="56" t="s">
        <v>4909</v>
      </c>
      <c r="G1505" s="58" t="s">
        <v>1506</v>
      </c>
      <c r="H1505" s="56">
        <v>1</v>
      </c>
      <c r="I1505" s="56" t="s">
        <v>3696</v>
      </c>
      <c r="J1505" s="56">
        <v>299</v>
      </c>
      <c r="K1505" s="56">
        <v>299</v>
      </c>
      <c r="P1505" s="56">
        <v>0</v>
      </c>
      <c r="S1505" s="56">
        <v>0</v>
      </c>
      <c r="T1505" s="56" t="s">
        <v>27</v>
      </c>
      <c r="V1505" s="56" t="s">
        <v>3549</v>
      </c>
      <c r="W1505" s="56" t="s">
        <v>3548</v>
      </c>
      <c r="X1505" s="56" t="s">
        <v>3547</v>
      </c>
      <c r="Z1505" s="56" t="s">
        <v>3546</v>
      </c>
      <c r="AA1505" s="56" t="s">
        <v>4908</v>
      </c>
      <c r="AB1505" s="56" t="s">
        <v>4907</v>
      </c>
      <c r="AC1505" s="56" t="s">
        <v>3543</v>
      </c>
      <c r="AH1505" s="56" t="s">
        <v>3542</v>
      </c>
      <c r="AI1505" s="56" t="s">
        <v>3541</v>
      </c>
    </row>
    <row r="1506" spans="1:35" ht="33" customHeight="1">
      <c r="A1506" s="56" t="s">
        <v>4911</v>
      </c>
      <c r="B1506" s="57">
        <v>44364.883460648147</v>
      </c>
      <c r="C1506" s="56" t="s">
        <v>3803</v>
      </c>
      <c r="D1506" s="56" t="s">
        <v>4426</v>
      </c>
      <c r="E1506" s="56" t="s">
        <v>4910</v>
      </c>
      <c r="F1506" s="56" t="s">
        <v>4909</v>
      </c>
      <c r="G1506" s="58" t="s">
        <v>3551</v>
      </c>
      <c r="H1506" s="56">
        <v>1</v>
      </c>
      <c r="I1506" s="56" t="s">
        <v>3550</v>
      </c>
      <c r="J1506" s="56">
        <v>0</v>
      </c>
      <c r="K1506" s="56">
        <v>0</v>
      </c>
      <c r="P1506" s="56">
        <v>0</v>
      </c>
      <c r="S1506" s="56">
        <v>0</v>
      </c>
      <c r="T1506" s="56" t="s">
        <v>27</v>
      </c>
      <c r="V1506" s="56" t="s">
        <v>3549</v>
      </c>
      <c r="W1506" s="56" t="s">
        <v>3548</v>
      </c>
      <c r="X1506" s="56" t="s">
        <v>3547</v>
      </c>
      <c r="Z1506" s="56" t="s">
        <v>3546</v>
      </c>
      <c r="AA1506" s="56" t="s">
        <v>4908</v>
      </c>
      <c r="AB1506" s="56" t="s">
        <v>4907</v>
      </c>
      <c r="AC1506" s="56" t="s">
        <v>3543</v>
      </c>
      <c r="AH1506" s="56" t="s">
        <v>3542</v>
      </c>
      <c r="AI1506" s="56" t="s">
        <v>3541</v>
      </c>
    </row>
    <row r="1507" spans="1:35" ht="33" customHeight="1">
      <c r="A1507" s="56" t="s">
        <v>4911</v>
      </c>
      <c r="B1507" s="57">
        <v>44364.883460648147</v>
      </c>
      <c r="C1507" s="56" t="s">
        <v>3803</v>
      </c>
      <c r="D1507" s="56" t="s">
        <v>4426</v>
      </c>
      <c r="E1507" s="56" t="s">
        <v>4910</v>
      </c>
      <c r="F1507" s="56" t="s">
        <v>4909</v>
      </c>
      <c r="G1507" s="58" t="s">
        <v>1498</v>
      </c>
      <c r="H1507" s="56">
        <v>1</v>
      </c>
      <c r="I1507" s="56" t="s">
        <v>4016</v>
      </c>
      <c r="J1507" s="56">
        <v>0</v>
      </c>
      <c r="K1507" s="56">
        <v>0</v>
      </c>
      <c r="P1507" s="56">
        <v>0</v>
      </c>
      <c r="S1507" s="56">
        <v>0</v>
      </c>
      <c r="T1507" s="56" t="s">
        <v>27</v>
      </c>
      <c r="V1507" s="56" t="s">
        <v>3549</v>
      </c>
      <c r="W1507" s="56" t="s">
        <v>3548</v>
      </c>
      <c r="X1507" s="56" t="s">
        <v>3547</v>
      </c>
      <c r="Z1507" s="56" t="s">
        <v>3546</v>
      </c>
      <c r="AA1507" s="56" t="s">
        <v>4908</v>
      </c>
      <c r="AB1507" s="56" t="s">
        <v>4907</v>
      </c>
      <c r="AC1507" s="56" t="s">
        <v>3543</v>
      </c>
      <c r="AH1507" s="56" t="s">
        <v>3542</v>
      </c>
      <c r="AI1507" s="56" t="s">
        <v>3541</v>
      </c>
    </row>
    <row r="1508" spans="1:35" ht="33" customHeight="1">
      <c r="A1508" s="56" t="s">
        <v>4906</v>
      </c>
      <c r="B1508" s="57">
        <v>44364.89335648148</v>
      </c>
      <c r="C1508" s="56" t="s">
        <v>3803</v>
      </c>
      <c r="D1508" s="56" t="s">
        <v>4426</v>
      </c>
      <c r="E1508" s="56" t="s">
        <v>4905</v>
      </c>
      <c r="F1508" s="56" t="s">
        <v>4904</v>
      </c>
      <c r="G1508" s="58" t="s">
        <v>3811</v>
      </c>
      <c r="H1508" s="56">
        <v>1</v>
      </c>
      <c r="I1508" s="56" t="s">
        <v>3669</v>
      </c>
      <c r="J1508" s="56">
        <v>897</v>
      </c>
      <c r="K1508" s="56">
        <v>888</v>
      </c>
      <c r="L1508" s="56">
        <v>1687</v>
      </c>
      <c r="M1508" s="56">
        <v>0</v>
      </c>
      <c r="N1508" s="56">
        <v>0</v>
      </c>
      <c r="O1508" s="56">
        <v>100</v>
      </c>
      <c r="P1508" s="56">
        <v>0</v>
      </c>
      <c r="Q1508" s="56">
        <v>1587</v>
      </c>
      <c r="R1508" s="56">
        <v>0</v>
      </c>
      <c r="S1508" s="56">
        <v>0</v>
      </c>
      <c r="T1508" s="56" t="s">
        <v>27</v>
      </c>
      <c r="U1508" s="56">
        <v>1587</v>
      </c>
      <c r="V1508" s="56" t="s">
        <v>3549</v>
      </c>
      <c r="W1508" s="56" t="s">
        <v>3548</v>
      </c>
      <c r="X1508" s="56" t="s">
        <v>3547</v>
      </c>
      <c r="Z1508" s="56" t="s">
        <v>3546</v>
      </c>
      <c r="AA1508" s="56" t="s">
        <v>4903</v>
      </c>
      <c r="AB1508" s="56" t="s">
        <v>4902</v>
      </c>
      <c r="AC1508" s="56" t="s">
        <v>3543</v>
      </c>
      <c r="AH1508" s="56" t="s">
        <v>3542</v>
      </c>
      <c r="AI1508" s="56" t="s">
        <v>3541</v>
      </c>
    </row>
    <row r="1509" spans="1:35" ht="33" customHeight="1">
      <c r="A1509" s="56" t="s">
        <v>4906</v>
      </c>
      <c r="B1509" s="57">
        <v>44364.89335648148</v>
      </c>
      <c r="C1509" s="56" t="s">
        <v>3803</v>
      </c>
      <c r="D1509" s="56" t="s">
        <v>4426</v>
      </c>
      <c r="E1509" s="56" t="s">
        <v>4905</v>
      </c>
      <c r="F1509" s="56" t="s">
        <v>4904</v>
      </c>
      <c r="G1509" s="58" t="s">
        <v>3656</v>
      </c>
      <c r="H1509" s="56">
        <v>1</v>
      </c>
      <c r="I1509" s="56" t="s">
        <v>3655</v>
      </c>
      <c r="J1509" s="56">
        <v>1107</v>
      </c>
      <c r="K1509" s="56">
        <v>799</v>
      </c>
      <c r="P1509" s="56">
        <v>0</v>
      </c>
      <c r="S1509" s="56">
        <v>0</v>
      </c>
      <c r="T1509" s="56" t="s">
        <v>27</v>
      </c>
      <c r="V1509" s="56" t="s">
        <v>3549</v>
      </c>
      <c r="W1509" s="56" t="s">
        <v>3548</v>
      </c>
      <c r="X1509" s="56" t="s">
        <v>3547</v>
      </c>
      <c r="Z1509" s="56" t="s">
        <v>3546</v>
      </c>
      <c r="AA1509" s="56" t="s">
        <v>4903</v>
      </c>
      <c r="AB1509" s="56" t="s">
        <v>4902</v>
      </c>
      <c r="AC1509" s="56" t="s">
        <v>3543</v>
      </c>
      <c r="AH1509" s="56" t="s">
        <v>3542</v>
      </c>
      <c r="AI1509" s="56" t="s">
        <v>3541</v>
      </c>
    </row>
    <row r="1510" spans="1:35" ht="33" customHeight="1">
      <c r="A1510" s="56" t="s">
        <v>4906</v>
      </c>
      <c r="B1510" s="57">
        <v>44364.89335648148</v>
      </c>
      <c r="C1510" s="56" t="s">
        <v>3803</v>
      </c>
      <c r="D1510" s="56" t="s">
        <v>4426</v>
      </c>
      <c r="E1510" s="56" t="s">
        <v>4905</v>
      </c>
      <c r="F1510" s="56" t="s">
        <v>4904</v>
      </c>
      <c r="G1510" s="58" t="s">
        <v>3551</v>
      </c>
      <c r="H1510" s="56">
        <v>1</v>
      </c>
      <c r="I1510" s="56" t="s">
        <v>3550</v>
      </c>
      <c r="J1510" s="56">
        <v>0</v>
      </c>
      <c r="K1510" s="56">
        <v>0</v>
      </c>
      <c r="P1510" s="56">
        <v>0</v>
      </c>
      <c r="S1510" s="56">
        <v>0</v>
      </c>
      <c r="T1510" s="56" t="s">
        <v>27</v>
      </c>
      <c r="V1510" s="56" t="s">
        <v>3549</v>
      </c>
      <c r="W1510" s="56" t="s">
        <v>3548</v>
      </c>
      <c r="X1510" s="56" t="s">
        <v>3547</v>
      </c>
      <c r="Z1510" s="56" t="s">
        <v>3546</v>
      </c>
      <c r="AA1510" s="56" t="s">
        <v>4903</v>
      </c>
      <c r="AB1510" s="56" t="s">
        <v>4902</v>
      </c>
      <c r="AC1510" s="56" t="s">
        <v>3543</v>
      </c>
      <c r="AH1510" s="56" t="s">
        <v>3542</v>
      </c>
      <c r="AI1510" s="56" t="s">
        <v>3541</v>
      </c>
    </row>
    <row r="1511" spans="1:35" ht="33" customHeight="1">
      <c r="A1511" s="56" t="s">
        <v>4906</v>
      </c>
      <c r="B1511" s="57">
        <v>44364.89335648148</v>
      </c>
      <c r="C1511" s="56" t="s">
        <v>3803</v>
      </c>
      <c r="D1511" s="56" t="s">
        <v>4426</v>
      </c>
      <c r="E1511" s="56" t="s">
        <v>4905</v>
      </c>
      <c r="F1511" s="56" t="s">
        <v>4904</v>
      </c>
      <c r="G1511" s="58" t="s">
        <v>1713</v>
      </c>
      <c r="H1511" s="56">
        <v>1</v>
      </c>
      <c r="I1511" s="56" t="s">
        <v>3568</v>
      </c>
      <c r="J1511" s="56">
        <v>0</v>
      </c>
      <c r="K1511" s="56">
        <v>0</v>
      </c>
      <c r="P1511" s="56">
        <v>0</v>
      </c>
      <c r="S1511" s="56">
        <v>0</v>
      </c>
      <c r="T1511" s="56" t="s">
        <v>27</v>
      </c>
      <c r="V1511" s="56" t="s">
        <v>3549</v>
      </c>
      <c r="W1511" s="56" t="s">
        <v>3548</v>
      </c>
      <c r="X1511" s="56" t="s">
        <v>3547</v>
      </c>
      <c r="Z1511" s="56" t="s">
        <v>3546</v>
      </c>
      <c r="AA1511" s="56" t="s">
        <v>4903</v>
      </c>
      <c r="AB1511" s="56" t="s">
        <v>4902</v>
      </c>
      <c r="AC1511" s="56" t="s">
        <v>3543</v>
      </c>
      <c r="AH1511" s="56" t="s">
        <v>3542</v>
      </c>
      <c r="AI1511" s="56" t="s">
        <v>3541</v>
      </c>
    </row>
    <row r="1512" spans="1:35" ht="33" customHeight="1">
      <c r="A1512" s="56" t="s">
        <v>4906</v>
      </c>
      <c r="B1512" s="57">
        <v>44364.89335648148</v>
      </c>
      <c r="C1512" s="56" t="s">
        <v>3803</v>
      </c>
      <c r="D1512" s="56" t="s">
        <v>4426</v>
      </c>
      <c r="E1512" s="56" t="s">
        <v>4905</v>
      </c>
      <c r="F1512" s="56" t="s">
        <v>4904</v>
      </c>
      <c r="G1512" s="58" t="s">
        <v>1498</v>
      </c>
      <c r="H1512" s="56">
        <v>1</v>
      </c>
      <c r="I1512" s="56" t="s">
        <v>4016</v>
      </c>
      <c r="J1512" s="56">
        <v>0</v>
      </c>
      <c r="K1512" s="56">
        <v>0</v>
      </c>
      <c r="P1512" s="56">
        <v>0</v>
      </c>
      <c r="S1512" s="56">
        <v>0</v>
      </c>
      <c r="T1512" s="56" t="s">
        <v>27</v>
      </c>
      <c r="V1512" s="56" t="s">
        <v>3549</v>
      </c>
      <c r="W1512" s="56" t="s">
        <v>3548</v>
      </c>
      <c r="X1512" s="56" t="s">
        <v>3547</v>
      </c>
      <c r="Z1512" s="56" t="s">
        <v>3546</v>
      </c>
      <c r="AA1512" s="56" t="s">
        <v>4903</v>
      </c>
      <c r="AB1512" s="56" t="s">
        <v>4902</v>
      </c>
      <c r="AC1512" s="56" t="s">
        <v>3543</v>
      </c>
      <c r="AH1512" s="56" t="s">
        <v>3542</v>
      </c>
      <c r="AI1512" s="56" t="s">
        <v>3541</v>
      </c>
    </row>
    <row r="1513" spans="1:35" ht="33" customHeight="1">
      <c r="A1513" s="56" t="s">
        <v>4901</v>
      </c>
      <c r="B1513" s="57">
        <v>44364.905069444445</v>
      </c>
      <c r="C1513" s="56" t="s">
        <v>3803</v>
      </c>
      <c r="D1513" s="56" t="s">
        <v>3802</v>
      </c>
      <c r="E1513" s="56" t="s">
        <v>4900</v>
      </c>
      <c r="F1513" s="56" t="s">
        <v>4899</v>
      </c>
      <c r="G1513" s="58" t="s">
        <v>3171</v>
      </c>
      <c r="H1513" s="56">
        <v>2</v>
      </c>
      <c r="I1513" s="56" t="s">
        <v>3695</v>
      </c>
      <c r="J1513" s="56">
        <v>399</v>
      </c>
      <c r="K1513" s="56">
        <v>399</v>
      </c>
      <c r="L1513" s="56">
        <v>798</v>
      </c>
      <c r="M1513" s="56">
        <v>60</v>
      </c>
      <c r="N1513" s="56">
        <v>0</v>
      </c>
      <c r="O1513" s="56">
        <v>0</v>
      </c>
      <c r="P1513" s="56">
        <v>0</v>
      </c>
      <c r="Q1513" s="56">
        <v>858</v>
      </c>
      <c r="R1513" s="56">
        <v>0</v>
      </c>
      <c r="S1513" s="56">
        <v>0</v>
      </c>
      <c r="T1513" s="56" t="s">
        <v>3562</v>
      </c>
      <c r="U1513" s="56">
        <v>858</v>
      </c>
      <c r="V1513" s="56" t="s">
        <v>3561</v>
      </c>
      <c r="W1513" s="56" t="s">
        <v>3548</v>
      </c>
      <c r="X1513" s="56" t="s">
        <v>39</v>
      </c>
      <c r="Y1513" s="56" t="s">
        <v>4569</v>
      </c>
      <c r="Z1513" s="56" t="s">
        <v>4898</v>
      </c>
      <c r="AC1513" s="56" t="s">
        <v>3543</v>
      </c>
      <c r="AD1513" s="56" t="s">
        <v>24</v>
      </c>
      <c r="AE1513" s="56" t="s">
        <v>4834</v>
      </c>
      <c r="AF1513" s="56" t="s">
        <v>4897</v>
      </c>
      <c r="AH1513" s="56" t="s">
        <v>3542</v>
      </c>
      <c r="AI1513" s="56" t="s">
        <v>3723</v>
      </c>
    </row>
    <row r="1514" spans="1:35" ht="33" customHeight="1">
      <c r="A1514" s="56" t="s">
        <v>4901</v>
      </c>
      <c r="B1514" s="57">
        <v>44364.905069444445</v>
      </c>
      <c r="C1514" s="56" t="s">
        <v>3803</v>
      </c>
      <c r="D1514" s="56" t="s">
        <v>3802</v>
      </c>
      <c r="E1514" s="56" t="s">
        <v>4900</v>
      </c>
      <c r="F1514" s="56" t="s">
        <v>4899</v>
      </c>
      <c r="G1514" s="58" t="s">
        <v>3551</v>
      </c>
      <c r="H1514" s="56">
        <v>1</v>
      </c>
      <c r="I1514" s="56" t="s">
        <v>3550</v>
      </c>
      <c r="J1514" s="56">
        <v>0</v>
      </c>
      <c r="K1514" s="56">
        <v>0</v>
      </c>
      <c r="P1514" s="56">
        <v>0</v>
      </c>
      <c r="S1514" s="56">
        <v>0</v>
      </c>
      <c r="T1514" s="56" t="s">
        <v>3562</v>
      </c>
      <c r="V1514" s="56" t="s">
        <v>3561</v>
      </c>
      <c r="W1514" s="56" t="s">
        <v>3548</v>
      </c>
      <c r="X1514" s="56" t="s">
        <v>39</v>
      </c>
      <c r="Y1514" s="56" t="s">
        <v>4569</v>
      </c>
      <c r="Z1514" s="56" t="s">
        <v>4898</v>
      </c>
      <c r="AC1514" s="56" t="s">
        <v>3543</v>
      </c>
      <c r="AD1514" s="56" t="s">
        <v>24</v>
      </c>
      <c r="AE1514" s="56" t="s">
        <v>4834</v>
      </c>
      <c r="AF1514" s="56" t="s">
        <v>4897</v>
      </c>
      <c r="AH1514" s="56" t="s">
        <v>3542</v>
      </c>
      <c r="AI1514" s="56" t="s">
        <v>3723</v>
      </c>
    </row>
    <row r="1515" spans="1:35" ht="33" customHeight="1">
      <c r="A1515" s="56" t="s">
        <v>4896</v>
      </c>
      <c r="B1515" s="57">
        <v>44364.95449074074</v>
      </c>
      <c r="C1515" s="56" t="s">
        <v>4512</v>
      </c>
      <c r="D1515" s="56" t="s">
        <v>4511</v>
      </c>
      <c r="E1515" s="56" t="s">
        <v>4895</v>
      </c>
      <c r="F1515" s="56" t="s">
        <v>4894</v>
      </c>
      <c r="G1515" s="58" t="s">
        <v>3196</v>
      </c>
      <c r="H1515" s="56">
        <v>2</v>
      </c>
      <c r="I1515" s="56" t="s">
        <v>2550</v>
      </c>
      <c r="J1515" s="56">
        <v>120</v>
      </c>
      <c r="K1515" s="56">
        <v>120</v>
      </c>
      <c r="L1515" s="56">
        <v>1046</v>
      </c>
      <c r="M1515" s="56">
        <v>0</v>
      </c>
      <c r="N1515" s="56">
        <v>0</v>
      </c>
      <c r="O1515" s="56">
        <v>105</v>
      </c>
      <c r="P1515" s="56">
        <v>0</v>
      </c>
      <c r="Q1515" s="56">
        <v>941</v>
      </c>
      <c r="R1515" s="56">
        <v>0</v>
      </c>
      <c r="S1515" s="56">
        <v>0</v>
      </c>
      <c r="T1515" s="56" t="s">
        <v>3562</v>
      </c>
      <c r="U1515" s="56">
        <v>941</v>
      </c>
      <c r="V1515" s="56" t="s">
        <v>3549</v>
      </c>
      <c r="W1515" s="56" t="s">
        <v>3548</v>
      </c>
      <c r="X1515" s="56" t="s">
        <v>3547</v>
      </c>
      <c r="Z1515" s="56" t="s">
        <v>3546</v>
      </c>
      <c r="AA1515" s="56" t="s">
        <v>4893</v>
      </c>
      <c r="AB1515" s="56" t="s">
        <v>4892</v>
      </c>
      <c r="AC1515" s="56" t="s">
        <v>3543</v>
      </c>
      <c r="AD1515" s="56" t="s">
        <v>24</v>
      </c>
      <c r="AE1515" s="56" t="s">
        <v>3725</v>
      </c>
      <c r="AF1515" s="56" t="s">
        <v>4891</v>
      </c>
      <c r="AH1515" s="56" t="s">
        <v>3542</v>
      </c>
      <c r="AI1515" s="56" t="s">
        <v>3723</v>
      </c>
    </row>
    <row r="1516" spans="1:35" ht="33" customHeight="1">
      <c r="A1516" s="56" t="s">
        <v>4896</v>
      </c>
      <c r="B1516" s="57">
        <v>44364.95449074074</v>
      </c>
      <c r="C1516" s="56" t="s">
        <v>4512</v>
      </c>
      <c r="D1516" s="56" t="s">
        <v>4511</v>
      </c>
      <c r="E1516" s="56" t="s">
        <v>4895</v>
      </c>
      <c r="F1516" s="56" t="s">
        <v>4894</v>
      </c>
      <c r="G1516" s="58" t="s">
        <v>1493</v>
      </c>
      <c r="H1516" s="56">
        <v>1</v>
      </c>
      <c r="I1516" s="56" t="s">
        <v>3586</v>
      </c>
      <c r="J1516" s="56">
        <v>149</v>
      </c>
      <c r="K1516" s="56">
        <v>149</v>
      </c>
      <c r="P1516" s="56">
        <v>0</v>
      </c>
      <c r="S1516" s="56">
        <v>0</v>
      </c>
      <c r="T1516" s="56" t="s">
        <v>3562</v>
      </c>
      <c r="V1516" s="56" t="s">
        <v>3549</v>
      </c>
      <c r="W1516" s="56" t="s">
        <v>3548</v>
      </c>
      <c r="X1516" s="56" t="s">
        <v>3547</v>
      </c>
      <c r="Z1516" s="56" t="s">
        <v>3546</v>
      </c>
      <c r="AA1516" s="56" t="s">
        <v>4893</v>
      </c>
      <c r="AB1516" s="56" t="s">
        <v>4892</v>
      </c>
      <c r="AC1516" s="56" t="s">
        <v>3543</v>
      </c>
      <c r="AD1516" s="56" t="s">
        <v>24</v>
      </c>
      <c r="AE1516" s="56" t="s">
        <v>3725</v>
      </c>
      <c r="AF1516" s="56" t="s">
        <v>4891</v>
      </c>
      <c r="AH1516" s="56" t="s">
        <v>3542</v>
      </c>
      <c r="AI1516" s="56" t="s">
        <v>3723</v>
      </c>
    </row>
    <row r="1517" spans="1:35" ht="33" customHeight="1">
      <c r="A1517" s="56" t="s">
        <v>4896</v>
      </c>
      <c r="B1517" s="57">
        <v>44364.95449074074</v>
      </c>
      <c r="C1517" s="56" t="s">
        <v>4512</v>
      </c>
      <c r="D1517" s="56" t="s">
        <v>4511</v>
      </c>
      <c r="E1517" s="56" t="s">
        <v>4895</v>
      </c>
      <c r="F1517" s="56" t="s">
        <v>4894</v>
      </c>
      <c r="G1517" s="58" t="s">
        <v>1506</v>
      </c>
      <c r="H1517" s="56">
        <v>2</v>
      </c>
      <c r="I1517" s="56" t="s">
        <v>3696</v>
      </c>
      <c r="J1517" s="56">
        <v>299</v>
      </c>
      <c r="K1517" s="56">
        <v>299</v>
      </c>
      <c r="P1517" s="56">
        <v>0</v>
      </c>
      <c r="S1517" s="56">
        <v>0</v>
      </c>
      <c r="T1517" s="56" t="s">
        <v>3562</v>
      </c>
      <c r="V1517" s="56" t="s">
        <v>3549</v>
      </c>
      <c r="W1517" s="56" t="s">
        <v>3548</v>
      </c>
      <c r="X1517" s="56" t="s">
        <v>3547</v>
      </c>
      <c r="Z1517" s="56" t="s">
        <v>3546</v>
      </c>
      <c r="AA1517" s="56" t="s">
        <v>4893</v>
      </c>
      <c r="AB1517" s="56" t="s">
        <v>4892</v>
      </c>
      <c r="AC1517" s="56" t="s">
        <v>3543</v>
      </c>
      <c r="AD1517" s="56" t="s">
        <v>24</v>
      </c>
      <c r="AE1517" s="56" t="s">
        <v>3725</v>
      </c>
      <c r="AF1517" s="56" t="s">
        <v>4891</v>
      </c>
      <c r="AH1517" s="56" t="s">
        <v>3542</v>
      </c>
      <c r="AI1517" s="56" t="s">
        <v>3723</v>
      </c>
    </row>
    <row r="1518" spans="1:35" ht="33" customHeight="1">
      <c r="A1518" s="56" t="s">
        <v>4896</v>
      </c>
      <c r="B1518" s="57">
        <v>44364.95449074074</v>
      </c>
      <c r="C1518" s="56" t="s">
        <v>4512</v>
      </c>
      <c r="D1518" s="56" t="s">
        <v>4511</v>
      </c>
      <c r="E1518" s="56" t="s">
        <v>4895</v>
      </c>
      <c r="F1518" s="56" t="s">
        <v>4894</v>
      </c>
      <c r="G1518" s="58" t="s">
        <v>1354</v>
      </c>
      <c r="H1518" s="56">
        <v>1</v>
      </c>
      <c r="I1518" s="56" t="s">
        <v>4037</v>
      </c>
      <c r="J1518" s="56">
        <v>59</v>
      </c>
      <c r="K1518" s="56">
        <v>59</v>
      </c>
      <c r="P1518" s="56">
        <v>0</v>
      </c>
      <c r="S1518" s="56">
        <v>0</v>
      </c>
      <c r="T1518" s="56" t="s">
        <v>3562</v>
      </c>
      <c r="V1518" s="56" t="s">
        <v>3549</v>
      </c>
      <c r="W1518" s="56" t="s">
        <v>3548</v>
      </c>
      <c r="X1518" s="56" t="s">
        <v>3547</v>
      </c>
      <c r="Z1518" s="56" t="s">
        <v>3546</v>
      </c>
      <c r="AA1518" s="56" t="s">
        <v>4893</v>
      </c>
      <c r="AB1518" s="56" t="s">
        <v>4892</v>
      </c>
      <c r="AC1518" s="56" t="s">
        <v>3543</v>
      </c>
      <c r="AD1518" s="56" t="s">
        <v>24</v>
      </c>
      <c r="AE1518" s="56" t="s">
        <v>3725</v>
      </c>
      <c r="AF1518" s="56" t="s">
        <v>4891</v>
      </c>
      <c r="AH1518" s="56" t="s">
        <v>3542</v>
      </c>
      <c r="AI1518" s="56" t="s">
        <v>3723</v>
      </c>
    </row>
    <row r="1519" spans="1:35" ht="33" customHeight="1">
      <c r="A1519" s="56" t="s">
        <v>4896</v>
      </c>
      <c r="B1519" s="57">
        <v>44364.95449074074</v>
      </c>
      <c r="C1519" s="56" t="s">
        <v>4512</v>
      </c>
      <c r="D1519" s="56" t="s">
        <v>4511</v>
      </c>
      <c r="E1519" s="56" t="s">
        <v>4895</v>
      </c>
      <c r="F1519" s="56" t="s">
        <v>4894</v>
      </c>
      <c r="G1519" s="58" t="s">
        <v>3551</v>
      </c>
      <c r="H1519" s="56">
        <v>1</v>
      </c>
      <c r="I1519" s="56" t="s">
        <v>3550</v>
      </c>
      <c r="J1519" s="56">
        <v>0</v>
      </c>
      <c r="K1519" s="56">
        <v>0</v>
      </c>
      <c r="P1519" s="56">
        <v>0</v>
      </c>
      <c r="S1519" s="56">
        <v>0</v>
      </c>
      <c r="T1519" s="56" t="s">
        <v>3562</v>
      </c>
      <c r="V1519" s="56" t="s">
        <v>3549</v>
      </c>
      <c r="W1519" s="56" t="s">
        <v>3548</v>
      </c>
      <c r="X1519" s="56" t="s">
        <v>3547</v>
      </c>
      <c r="Z1519" s="56" t="s">
        <v>3546</v>
      </c>
      <c r="AA1519" s="56" t="s">
        <v>4893</v>
      </c>
      <c r="AB1519" s="56" t="s">
        <v>4892</v>
      </c>
      <c r="AC1519" s="56" t="s">
        <v>3543</v>
      </c>
      <c r="AD1519" s="56" t="s">
        <v>24</v>
      </c>
      <c r="AE1519" s="56" t="s">
        <v>3725</v>
      </c>
      <c r="AF1519" s="56" t="s">
        <v>4891</v>
      </c>
      <c r="AH1519" s="56" t="s">
        <v>3542</v>
      </c>
      <c r="AI1519" s="56" t="s">
        <v>3723</v>
      </c>
    </row>
    <row r="1520" spans="1:35" ht="33" customHeight="1">
      <c r="A1520" s="56" t="s">
        <v>4896</v>
      </c>
      <c r="B1520" s="57">
        <v>44364.95449074074</v>
      </c>
      <c r="C1520" s="56" t="s">
        <v>4512</v>
      </c>
      <c r="D1520" s="56" t="s">
        <v>4511</v>
      </c>
      <c r="E1520" s="56" t="s">
        <v>4895</v>
      </c>
      <c r="F1520" s="56" t="s">
        <v>4894</v>
      </c>
      <c r="G1520" s="58" t="s">
        <v>1498</v>
      </c>
      <c r="H1520" s="56">
        <v>1</v>
      </c>
      <c r="I1520" s="56" t="s">
        <v>4016</v>
      </c>
      <c r="J1520" s="56">
        <v>0</v>
      </c>
      <c r="K1520" s="56">
        <v>0</v>
      </c>
      <c r="P1520" s="56">
        <v>0</v>
      </c>
      <c r="S1520" s="56">
        <v>0</v>
      </c>
      <c r="T1520" s="56" t="s">
        <v>3562</v>
      </c>
      <c r="V1520" s="56" t="s">
        <v>3549</v>
      </c>
      <c r="W1520" s="56" t="s">
        <v>3548</v>
      </c>
      <c r="X1520" s="56" t="s">
        <v>3547</v>
      </c>
      <c r="Z1520" s="56" t="s">
        <v>3546</v>
      </c>
      <c r="AA1520" s="56" t="s">
        <v>4893</v>
      </c>
      <c r="AB1520" s="56" t="s">
        <v>4892</v>
      </c>
      <c r="AC1520" s="56" t="s">
        <v>3543</v>
      </c>
      <c r="AD1520" s="56" t="s">
        <v>24</v>
      </c>
      <c r="AE1520" s="56" t="s">
        <v>3725</v>
      </c>
      <c r="AF1520" s="56" t="s">
        <v>4891</v>
      </c>
      <c r="AH1520" s="56" t="s">
        <v>3542</v>
      </c>
      <c r="AI1520" s="56" t="s">
        <v>3723</v>
      </c>
    </row>
    <row r="1521" spans="1:35" ht="33" customHeight="1">
      <c r="A1521" s="56" t="s">
        <v>4890</v>
      </c>
      <c r="B1521" s="57">
        <v>44364.963263888887</v>
      </c>
      <c r="C1521" s="56" t="s">
        <v>3803</v>
      </c>
      <c r="D1521" s="56" t="s">
        <v>3802</v>
      </c>
      <c r="E1521" s="56" t="s">
        <v>4889</v>
      </c>
      <c r="F1521" s="56" t="s">
        <v>4888</v>
      </c>
      <c r="G1521" s="58" t="s">
        <v>4231</v>
      </c>
      <c r="H1521" s="56">
        <v>1</v>
      </c>
      <c r="I1521" s="56" t="s">
        <v>3753</v>
      </c>
      <c r="J1521" s="56">
        <v>997</v>
      </c>
      <c r="K1521" s="56">
        <v>960</v>
      </c>
      <c r="L1521" s="56">
        <v>960</v>
      </c>
      <c r="M1521" s="56">
        <v>0</v>
      </c>
      <c r="N1521" s="56">
        <v>0</v>
      </c>
      <c r="O1521" s="56">
        <v>0</v>
      </c>
      <c r="P1521" s="56">
        <v>0</v>
      </c>
      <c r="Q1521" s="56">
        <v>960</v>
      </c>
      <c r="R1521" s="56">
        <v>0</v>
      </c>
      <c r="S1521" s="56">
        <v>0</v>
      </c>
      <c r="T1521" s="56" t="s">
        <v>3562</v>
      </c>
      <c r="U1521" s="56">
        <v>960</v>
      </c>
      <c r="V1521" s="56" t="s">
        <v>59</v>
      </c>
      <c r="W1521" s="56" t="s">
        <v>3548</v>
      </c>
      <c r="X1521" s="56" t="s">
        <v>39</v>
      </c>
      <c r="Y1521" s="56" t="s">
        <v>4887</v>
      </c>
      <c r="Z1521" s="56" t="s">
        <v>4886</v>
      </c>
      <c r="AC1521" s="56" t="s">
        <v>3842</v>
      </c>
      <c r="AD1521" s="56" t="s">
        <v>24</v>
      </c>
      <c r="AE1521" s="56" t="s">
        <v>4834</v>
      </c>
      <c r="AF1521" s="56" t="s">
        <v>4885</v>
      </c>
      <c r="AH1521" s="56" t="s">
        <v>3542</v>
      </c>
      <c r="AI1521" s="56" t="s">
        <v>3723</v>
      </c>
    </row>
    <row r="1522" spans="1:35" ht="33" customHeight="1">
      <c r="A1522" s="56" t="s">
        <v>4890</v>
      </c>
      <c r="B1522" s="57">
        <v>44364.963263888887</v>
      </c>
      <c r="C1522" s="56" t="s">
        <v>3803</v>
      </c>
      <c r="D1522" s="56" t="s">
        <v>3802</v>
      </c>
      <c r="E1522" s="56" t="s">
        <v>4889</v>
      </c>
      <c r="F1522" s="56" t="s">
        <v>4888</v>
      </c>
      <c r="G1522" s="58" t="s">
        <v>3551</v>
      </c>
      <c r="H1522" s="56">
        <v>1</v>
      </c>
      <c r="I1522" s="56" t="s">
        <v>3550</v>
      </c>
      <c r="J1522" s="56">
        <v>0</v>
      </c>
      <c r="K1522" s="56">
        <v>0</v>
      </c>
      <c r="P1522" s="56">
        <v>0</v>
      </c>
      <c r="S1522" s="56">
        <v>0</v>
      </c>
      <c r="T1522" s="56" t="s">
        <v>3562</v>
      </c>
      <c r="V1522" s="56" t="s">
        <v>59</v>
      </c>
      <c r="W1522" s="56" t="s">
        <v>3548</v>
      </c>
      <c r="X1522" s="56" t="s">
        <v>39</v>
      </c>
      <c r="Y1522" s="56" t="s">
        <v>4887</v>
      </c>
      <c r="Z1522" s="56" t="s">
        <v>4886</v>
      </c>
      <c r="AC1522" s="56" t="s">
        <v>3842</v>
      </c>
      <c r="AD1522" s="56" t="s">
        <v>24</v>
      </c>
      <c r="AE1522" s="56" t="s">
        <v>4834</v>
      </c>
      <c r="AF1522" s="56" t="s">
        <v>4885</v>
      </c>
      <c r="AH1522" s="56" t="s">
        <v>3542</v>
      </c>
      <c r="AI1522" s="56" t="s">
        <v>3723</v>
      </c>
    </row>
    <row r="1523" spans="1:35" ht="33" customHeight="1">
      <c r="A1523" s="56" t="s">
        <v>4890</v>
      </c>
      <c r="B1523" s="57">
        <v>44364.963263888887</v>
      </c>
      <c r="C1523" s="56" t="s">
        <v>3803</v>
      </c>
      <c r="D1523" s="56" t="s">
        <v>3802</v>
      </c>
      <c r="E1523" s="56" t="s">
        <v>4889</v>
      </c>
      <c r="F1523" s="56" t="s">
        <v>4888</v>
      </c>
      <c r="G1523" s="58" t="s">
        <v>1498</v>
      </c>
      <c r="H1523" s="56">
        <v>1</v>
      </c>
      <c r="I1523" s="56" t="s">
        <v>4016</v>
      </c>
      <c r="J1523" s="56">
        <v>0</v>
      </c>
      <c r="K1523" s="56">
        <v>0</v>
      </c>
      <c r="P1523" s="56">
        <v>0</v>
      </c>
      <c r="S1523" s="56">
        <v>0</v>
      </c>
      <c r="T1523" s="56" t="s">
        <v>3562</v>
      </c>
      <c r="V1523" s="56" t="s">
        <v>59</v>
      </c>
      <c r="W1523" s="56" t="s">
        <v>3548</v>
      </c>
      <c r="X1523" s="56" t="s">
        <v>39</v>
      </c>
      <c r="Y1523" s="56" t="s">
        <v>4887</v>
      </c>
      <c r="Z1523" s="56" t="s">
        <v>4886</v>
      </c>
      <c r="AC1523" s="56" t="s">
        <v>3842</v>
      </c>
      <c r="AD1523" s="56" t="s">
        <v>24</v>
      </c>
      <c r="AE1523" s="56" t="s">
        <v>4834</v>
      </c>
      <c r="AF1523" s="56" t="s">
        <v>4885</v>
      </c>
      <c r="AH1523" s="56" t="s">
        <v>3542</v>
      </c>
      <c r="AI1523" s="56" t="s">
        <v>3723</v>
      </c>
    </row>
    <row r="1524" spans="1:35" ht="33" customHeight="1">
      <c r="A1524" s="56" t="s">
        <v>4884</v>
      </c>
      <c r="B1524" s="57">
        <v>44364.968275462961</v>
      </c>
      <c r="C1524" s="56" t="s">
        <v>3803</v>
      </c>
      <c r="D1524" s="56" t="s">
        <v>3802</v>
      </c>
      <c r="E1524" s="56" t="s">
        <v>4883</v>
      </c>
      <c r="F1524" s="56" t="s">
        <v>4882</v>
      </c>
      <c r="G1524" s="58" t="s">
        <v>4231</v>
      </c>
      <c r="H1524" s="56">
        <v>1</v>
      </c>
      <c r="I1524" s="56" t="s">
        <v>3753</v>
      </c>
      <c r="J1524" s="56">
        <v>997</v>
      </c>
      <c r="K1524" s="56">
        <v>960</v>
      </c>
      <c r="L1524" s="56">
        <v>1359</v>
      </c>
      <c r="M1524" s="56">
        <v>0</v>
      </c>
      <c r="N1524" s="56">
        <v>0</v>
      </c>
      <c r="O1524" s="56">
        <v>100</v>
      </c>
      <c r="P1524" s="56">
        <v>0</v>
      </c>
      <c r="Q1524" s="56">
        <v>1259</v>
      </c>
      <c r="R1524" s="56">
        <v>0</v>
      </c>
      <c r="S1524" s="56">
        <v>0</v>
      </c>
      <c r="T1524" s="56" t="s">
        <v>3562</v>
      </c>
      <c r="U1524" s="56">
        <v>1259</v>
      </c>
      <c r="V1524" s="56" t="s">
        <v>59</v>
      </c>
      <c r="W1524" s="56" t="s">
        <v>3548</v>
      </c>
      <c r="X1524" s="56" t="s">
        <v>39</v>
      </c>
      <c r="Y1524" s="56" t="s">
        <v>4881</v>
      </c>
      <c r="Z1524" s="56" t="s">
        <v>4880</v>
      </c>
      <c r="AC1524" s="56" t="s">
        <v>3543</v>
      </c>
      <c r="AD1524" s="56" t="s">
        <v>24</v>
      </c>
      <c r="AE1524" s="56" t="s">
        <v>4834</v>
      </c>
      <c r="AF1524" s="56" t="s">
        <v>4879</v>
      </c>
      <c r="AH1524" s="56" t="s">
        <v>3542</v>
      </c>
      <c r="AI1524" s="56" t="s">
        <v>3723</v>
      </c>
    </row>
    <row r="1525" spans="1:35" ht="33" customHeight="1">
      <c r="A1525" s="56" t="s">
        <v>4884</v>
      </c>
      <c r="B1525" s="57">
        <v>44364.968275462961</v>
      </c>
      <c r="C1525" s="56" t="s">
        <v>3803</v>
      </c>
      <c r="D1525" s="56" t="s">
        <v>3802</v>
      </c>
      <c r="E1525" s="56" t="s">
        <v>4883</v>
      </c>
      <c r="F1525" s="56" t="s">
        <v>4882</v>
      </c>
      <c r="G1525" s="58" t="s">
        <v>3171</v>
      </c>
      <c r="H1525" s="56">
        <v>1</v>
      </c>
      <c r="I1525" s="56" t="s">
        <v>3695</v>
      </c>
      <c r="J1525" s="56">
        <v>399</v>
      </c>
      <c r="K1525" s="56">
        <v>399</v>
      </c>
      <c r="P1525" s="56">
        <v>0</v>
      </c>
      <c r="S1525" s="56">
        <v>0</v>
      </c>
      <c r="T1525" s="56" t="s">
        <v>3562</v>
      </c>
      <c r="V1525" s="56" t="s">
        <v>59</v>
      </c>
      <c r="W1525" s="56" t="s">
        <v>3548</v>
      </c>
      <c r="X1525" s="56" t="s">
        <v>39</v>
      </c>
      <c r="Y1525" s="56" t="s">
        <v>4881</v>
      </c>
      <c r="Z1525" s="56" t="s">
        <v>4880</v>
      </c>
      <c r="AC1525" s="56" t="s">
        <v>3543</v>
      </c>
      <c r="AD1525" s="56" t="s">
        <v>24</v>
      </c>
      <c r="AE1525" s="56" t="s">
        <v>4834</v>
      </c>
      <c r="AF1525" s="56" t="s">
        <v>4879</v>
      </c>
      <c r="AH1525" s="56" t="s">
        <v>3542</v>
      </c>
      <c r="AI1525" s="56" t="s">
        <v>3723</v>
      </c>
    </row>
    <row r="1526" spans="1:35" ht="33" customHeight="1">
      <c r="A1526" s="56" t="s">
        <v>4884</v>
      </c>
      <c r="B1526" s="57">
        <v>44364.968275462961</v>
      </c>
      <c r="C1526" s="56" t="s">
        <v>3803</v>
      </c>
      <c r="D1526" s="56" t="s">
        <v>3802</v>
      </c>
      <c r="E1526" s="56" t="s">
        <v>4883</v>
      </c>
      <c r="F1526" s="56" t="s">
        <v>4882</v>
      </c>
      <c r="G1526" s="58" t="s">
        <v>3551</v>
      </c>
      <c r="H1526" s="56">
        <v>1</v>
      </c>
      <c r="I1526" s="56" t="s">
        <v>3550</v>
      </c>
      <c r="J1526" s="56">
        <v>0</v>
      </c>
      <c r="K1526" s="56">
        <v>0</v>
      </c>
      <c r="P1526" s="56">
        <v>0</v>
      </c>
      <c r="S1526" s="56">
        <v>0</v>
      </c>
      <c r="T1526" s="56" t="s">
        <v>3562</v>
      </c>
      <c r="V1526" s="56" t="s">
        <v>59</v>
      </c>
      <c r="W1526" s="56" t="s">
        <v>3548</v>
      </c>
      <c r="X1526" s="56" t="s">
        <v>39</v>
      </c>
      <c r="Y1526" s="56" t="s">
        <v>4881</v>
      </c>
      <c r="Z1526" s="56" t="s">
        <v>4880</v>
      </c>
      <c r="AC1526" s="56" t="s">
        <v>3543</v>
      </c>
      <c r="AD1526" s="56" t="s">
        <v>24</v>
      </c>
      <c r="AE1526" s="56" t="s">
        <v>4834</v>
      </c>
      <c r="AF1526" s="56" t="s">
        <v>4879</v>
      </c>
      <c r="AH1526" s="56" t="s">
        <v>3542</v>
      </c>
      <c r="AI1526" s="56" t="s">
        <v>3723</v>
      </c>
    </row>
    <row r="1527" spans="1:35" ht="33" customHeight="1">
      <c r="A1527" s="56" t="s">
        <v>4878</v>
      </c>
      <c r="B1527" s="57">
        <v>44364.970567129632</v>
      </c>
      <c r="C1527" s="56" t="s">
        <v>3803</v>
      </c>
      <c r="D1527" s="56" t="s">
        <v>4426</v>
      </c>
      <c r="E1527" s="56" t="s">
        <v>4877</v>
      </c>
      <c r="F1527" s="56" t="s">
        <v>4876</v>
      </c>
      <c r="G1527" s="58" t="s">
        <v>3747</v>
      </c>
      <c r="H1527" s="56">
        <v>2</v>
      </c>
      <c r="I1527" s="56" t="s">
        <v>3746</v>
      </c>
      <c r="J1527" s="56">
        <v>660</v>
      </c>
      <c r="K1527" s="56">
        <v>450</v>
      </c>
      <c r="L1527" s="56">
        <v>1498</v>
      </c>
      <c r="M1527" s="56">
        <v>0</v>
      </c>
      <c r="N1527" s="56">
        <v>0</v>
      </c>
      <c r="O1527" s="56">
        <v>100</v>
      </c>
      <c r="P1527" s="56">
        <v>0</v>
      </c>
      <c r="Q1527" s="56">
        <v>1398</v>
      </c>
      <c r="R1527" s="56">
        <v>0</v>
      </c>
      <c r="S1527" s="56">
        <v>0</v>
      </c>
      <c r="T1527" s="56" t="s">
        <v>27</v>
      </c>
      <c r="U1527" s="56">
        <v>1398</v>
      </c>
      <c r="V1527" s="56" t="s">
        <v>3612</v>
      </c>
      <c r="W1527" s="56" t="s">
        <v>3548</v>
      </c>
      <c r="X1527" s="56" t="s">
        <v>3611</v>
      </c>
      <c r="Z1527" s="56" t="s">
        <v>3546</v>
      </c>
      <c r="AA1527" s="56" t="s">
        <v>4875</v>
      </c>
      <c r="AB1527" s="56" t="s">
        <v>4874</v>
      </c>
      <c r="AC1527" s="56" t="s">
        <v>3543</v>
      </c>
      <c r="AH1527" s="56" t="s">
        <v>3542</v>
      </c>
      <c r="AI1527" s="56" t="s">
        <v>3541</v>
      </c>
    </row>
    <row r="1528" spans="1:35" ht="33" customHeight="1">
      <c r="A1528" s="56" t="s">
        <v>4878</v>
      </c>
      <c r="B1528" s="57">
        <v>44364.970567129632</v>
      </c>
      <c r="C1528" s="56" t="s">
        <v>3803</v>
      </c>
      <c r="D1528" s="56" t="s">
        <v>4426</v>
      </c>
      <c r="E1528" s="56" t="s">
        <v>4877</v>
      </c>
      <c r="F1528" s="56" t="s">
        <v>4876</v>
      </c>
      <c r="G1528" s="58" t="s">
        <v>1508</v>
      </c>
      <c r="H1528" s="56">
        <v>1</v>
      </c>
      <c r="I1528" s="56" t="s">
        <v>3696</v>
      </c>
      <c r="J1528" s="56">
        <v>299</v>
      </c>
      <c r="K1528" s="56">
        <v>299</v>
      </c>
      <c r="P1528" s="56">
        <v>0</v>
      </c>
      <c r="S1528" s="56">
        <v>0</v>
      </c>
      <c r="T1528" s="56" t="s">
        <v>27</v>
      </c>
      <c r="V1528" s="56" t="s">
        <v>3612</v>
      </c>
      <c r="W1528" s="56" t="s">
        <v>3548</v>
      </c>
      <c r="X1528" s="56" t="s">
        <v>3611</v>
      </c>
      <c r="Z1528" s="56" t="s">
        <v>3546</v>
      </c>
      <c r="AA1528" s="56" t="s">
        <v>4875</v>
      </c>
      <c r="AB1528" s="56" t="s">
        <v>4874</v>
      </c>
      <c r="AC1528" s="56" t="s">
        <v>3543</v>
      </c>
      <c r="AH1528" s="56" t="s">
        <v>3542</v>
      </c>
      <c r="AI1528" s="56" t="s">
        <v>3541</v>
      </c>
    </row>
    <row r="1529" spans="1:35" ht="33" customHeight="1">
      <c r="A1529" s="56" t="s">
        <v>4878</v>
      </c>
      <c r="B1529" s="57">
        <v>44364.970567129632</v>
      </c>
      <c r="C1529" s="56" t="s">
        <v>3803</v>
      </c>
      <c r="D1529" s="56" t="s">
        <v>4426</v>
      </c>
      <c r="E1529" s="56" t="s">
        <v>4877</v>
      </c>
      <c r="F1529" s="56" t="s">
        <v>4876</v>
      </c>
      <c r="G1529" s="58" t="s">
        <v>1506</v>
      </c>
      <c r="H1529" s="56">
        <v>1</v>
      </c>
      <c r="I1529" s="56" t="s">
        <v>3696</v>
      </c>
      <c r="J1529" s="56">
        <v>299</v>
      </c>
      <c r="K1529" s="56">
        <v>299</v>
      </c>
      <c r="P1529" s="56">
        <v>0</v>
      </c>
      <c r="S1529" s="56">
        <v>0</v>
      </c>
      <c r="T1529" s="56" t="s">
        <v>27</v>
      </c>
      <c r="V1529" s="56" t="s">
        <v>3612</v>
      </c>
      <c r="W1529" s="56" t="s">
        <v>3548</v>
      </c>
      <c r="X1529" s="56" t="s">
        <v>3611</v>
      </c>
      <c r="Z1529" s="56" t="s">
        <v>3546</v>
      </c>
      <c r="AA1529" s="56" t="s">
        <v>4875</v>
      </c>
      <c r="AB1529" s="56" t="s">
        <v>4874</v>
      </c>
      <c r="AC1529" s="56" t="s">
        <v>3543</v>
      </c>
      <c r="AH1529" s="56" t="s">
        <v>3542</v>
      </c>
      <c r="AI1529" s="56" t="s">
        <v>3541</v>
      </c>
    </row>
    <row r="1530" spans="1:35" ht="33" customHeight="1">
      <c r="A1530" s="56" t="s">
        <v>4878</v>
      </c>
      <c r="B1530" s="57">
        <v>44364.970567129632</v>
      </c>
      <c r="C1530" s="56" t="s">
        <v>3803</v>
      </c>
      <c r="D1530" s="56" t="s">
        <v>4426</v>
      </c>
      <c r="E1530" s="56" t="s">
        <v>4877</v>
      </c>
      <c r="F1530" s="56" t="s">
        <v>4876</v>
      </c>
      <c r="G1530" s="58" t="s">
        <v>3551</v>
      </c>
      <c r="H1530" s="56">
        <v>1</v>
      </c>
      <c r="I1530" s="56" t="s">
        <v>3550</v>
      </c>
      <c r="J1530" s="56">
        <v>0</v>
      </c>
      <c r="K1530" s="56">
        <v>0</v>
      </c>
      <c r="P1530" s="56">
        <v>0</v>
      </c>
      <c r="S1530" s="56">
        <v>0</v>
      </c>
      <c r="T1530" s="56" t="s">
        <v>27</v>
      </c>
      <c r="V1530" s="56" t="s">
        <v>3612</v>
      </c>
      <c r="W1530" s="56" t="s">
        <v>3548</v>
      </c>
      <c r="X1530" s="56" t="s">
        <v>3611</v>
      </c>
      <c r="Z1530" s="56" t="s">
        <v>3546</v>
      </c>
      <c r="AA1530" s="56" t="s">
        <v>4875</v>
      </c>
      <c r="AB1530" s="56" t="s">
        <v>4874</v>
      </c>
      <c r="AC1530" s="56" t="s">
        <v>3543</v>
      </c>
      <c r="AH1530" s="56" t="s">
        <v>3542</v>
      </c>
      <c r="AI1530" s="56" t="s">
        <v>3541</v>
      </c>
    </row>
    <row r="1531" spans="1:35" ht="33" customHeight="1">
      <c r="A1531" s="56" t="s">
        <v>4873</v>
      </c>
      <c r="B1531" s="57">
        <v>44364.973576388889</v>
      </c>
      <c r="C1531" s="56" t="s">
        <v>3803</v>
      </c>
      <c r="D1531" s="56" t="s">
        <v>4426</v>
      </c>
      <c r="E1531" s="56" t="s">
        <v>4872</v>
      </c>
      <c r="F1531" s="56" t="s">
        <v>4871</v>
      </c>
      <c r="G1531" s="58" t="s">
        <v>3811</v>
      </c>
      <c r="H1531" s="56">
        <v>1</v>
      </c>
      <c r="I1531" s="56" t="s">
        <v>3669</v>
      </c>
      <c r="J1531" s="56">
        <v>897</v>
      </c>
      <c r="K1531" s="56">
        <v>888</v>
      </c>
      <c r="L1531" s="56">
        <v>1238</v>
      </c>
      <c r="M1531" s="56">
        <v>0</v>
      </c>
      <c r="N1531" s="56">
        <v>0</v>
      </c>
      <c r="O1531" s="56">
        <v>100</v>
      </c>
      <c r="P1531" s="56">
        <v>0</v>
      </c>
      <c r="Q1531" s="56">
        <v>1138</v>
      </c>
      <c r="R1531" s="56">
        <v>0</v>
      </c>
      <c r="S1531" s="56">
        <v>0</v>
      </c>
      <c r="T1531" s="56" t="s">
        <v>3562</v>
      </c>
      <c r="U1531" s="56">
        <v>1138</v>
      </c>
      <c r="V1531" s="56" t="s">
        <v>59</v>
      </c>
      <c r="W1531" s="56" t="s">
        <v>3548</v>
      </c>
      <c r="X1531" s="56" t="s">
        <v>3716</v>
      </c>
      <c r="Z1531" s="56" t="s">
        <v>3546</v>
      </c>
      <c r="AA1531" s="56" t="s">
        <v>4870</v>
      </c>
      <c r="AB1531" s="56" t="s">
        <v>4869</v>
      </c>
      <c r="AC1531" s="56" t="s">
        <v>3543</v>
      </c>
      <c r="AD1531" s="56" t="s">
        <v>24</v>
      </c>
      <c r="AE1531" s="56" t="s">
        <v>4834</v>
      </c>
      <c r="AF1531" s="56" t="s">
        <v>4868</v>
      </c>
      <c r="AH1531" s="56" t="s">
        <v>3542</v>
      </c>
      <c r="AI1531" s="56" t="s">
        <v>3723</v>
      </c>
    </row>
    <row r="1532" spans="1:35" ht="33" customHeight="1">
      <c r="A1532" s="56" t="s">
        <v>4873</v>
      </c>
      <c r="B1532" s="57">
        <v>44364.973576388889</v>
      </c>
      <c r="C1532" s="56" t="s">
        <v>3803</v>
      </c>
      <c r="D1532" s="56" t="s">
        <v>4426</v>
      </c>
      <c r="E1532" s="56" t="s">
        <v>4872</v>
      </c>
      <c r="F1532" s="56" t="s">
        <v>4871</v>
      </c>
      <c r="G1532" s="58" t="s">
        <v>1484</v>
      </c>
      <c r="H1532" s="56">
        <v>1</v>
      </c>
      <c r="I1532" s="56" t="s">
        <v>4174</v>
      </c>
      <c r="J1532" s="56">
        <v>350</v>
      </c>
      <c r="K1532" s="56">
        <v>350</v>
      </c>
      <c r="P1532" s="56">
        <v>0</v>
      </c>
      <c r="S1532" s="56">
        <v>0</v>
      </c>
      <c r="T1532" s="56" t="s">
        <v>3562</v>
      </c>
      <c r="V1532" s="56" t="s">
        <v>59</v>
      </c>
      <c r="W1532" s="56" t="s">
        <v>3548</v>
      </c>
      <c r="X1532" s="56" t="s">
        <v>3716</v>
      </c>
      <c r="Z1532" s="56" t="s">
        <v>3546</v>
      </c>
      <c r="AA1532" s="56" t="s">
        <v>4870</v>
      </c>
      <c r="AB1532" s="56" t="s">
        <v>4869</v>
      </c>
      <c r="AC1532" s="56" t="s">
        <v>3543</v>
      </c>
      <c r="AD1532" s="56" t="s">
        <v>24</v>
      </c>
      <c r="AE1532" s="56" t="s">
        <v>4834</v>
      </c>
      <c r="AF1532" s="56" t="s">
        <v>4868</v>
      </c>
      <c r="AH1532" s="56" t="s">
        <v>3542</v>
      </c>
      <c r="AI1532" s="56" t="s">
        <v>3723</v>
      </c>
    </row>
    <row r="1533" spans="1:35" ht="33" customHeight="1">
      <c r="A1533" s="56" t="s">
        <v>4873</v>
      </c>
      <c r="B1533" s="57">
        <v>44364.973576388889</v>
      </c>
      <c r="C1533" s="56" t="s">
        <v>3803</v>
      </c>
      <c r="D1533" s="56" t="s">
        <v>4426</v>
      </c>
      <c r="E1533" s="56" t="s">
        <v>4872</v>
      </c>
      <c r="F1533" s="56" t="s">
        <v>4871</v>
      </c>
      <c r="G1533" s="58" t="s">
        <v>3551</v>
      </c>
      <c r="H1533" s="56">
        <v>1</v>
      </c>
      <c r="I1533" s="56" t="s">
        <v>3550</v>
      </c>
      <c r="J1533" s="56">
        <v>0</v>
      </c>
      <c r="K1533" s="56">
        <v>0</v>
      </c>
      <c r="P1533" s="56">
        <v>0</v>
      </c>
      <c r="S1533" s="56">
        <v>0</v>
      </c>
      <c r="T1533" s="56" t="s">
        <v>3562</v>
      </c>
      <c r="V1533" s="56" t="s">
        <v>59</v>
      </c>
      <c r="W1533" s="56" t="s">
        <v>3548</v>
      </c>
      <c r="X1533" s="56" t="s">
        <v>3716</v>
      </c>
      <c r="Z1533" s="56" t="s">
        <v>3546</v>
      </c>
      <c r="AA1533" s="56" t="s">
        <v>4870</v>
      </c>
      <c r="AB1533" s="56" t="s">
        <v>4869</v>
      </c>
      <c r="AC1533" s="56" t="s">
        <v>3543</v>
      </c>
      <c r="AD1533" s="56" t="s">
        <v>24</v>
      </c>
      <c r="AE1533" s="56" t="s">
        <v>4834</v>
      </c>
      <c r="AF1533" s="56" t="s">
        <v>4868</v>
      </c>
      <c r="AH1533" s="56" t="s">
        <v>3542</v>
      </c>
      <c r="AI1533" s="56" t="s">
        <v>3723</v>
      </c>
    </row>
    <row r="1534" spans="1:35" ht="33" customHeight="1">
      <c r="A1534" s="56" t="s">
        <v>4867</v>
      </c>
      <c r="B1534" s="57">
        <v>44364.975995370369</v>
      </c>
      <c r="C1534" s="56" t="s">
        <v>3803</v>
      </c>
      <c r="D1534" s="56" t="s">
        <v>4426</v>
      </c>
      <c r="E1534" s="56" t="s">
        <v>4866</v>
      </c>
      <c r="F1534" s="56" t="s">
        <v>4865</v>
      </c>
      <c r="G1534" s="58" t="s">
        <v>3603</v>
      </c>
      <c r="H1534" s="56">
        <v>1</v>
      </c>
      <c r="I1534" s="56" t="s">
        <v>3602</v>
      </c>
      <c r="J1534" s="56">
        <v>447</v>
      </c>
      <c r="K1534" s="56">
        <v>399</v>
      </c>
      <c r="L1534" s="56">
        <v>1001</v>
      </c>
      <c r="M1534" s="56">
        <v>0</v>
      </c>
      <c r="N1534" s="56">
        <v>0</v>
      </c>
      <c r="O1534" s="56">
        <v>100</v>
      </c>
      <c r="P1534" s="56">
        <v>0</v>
      </c>
      <c r="Q1534" s="56">
        <v>901</v>
      </c>
      <c r="R1534" s="56">
        <v>0</v>
      </c>
      <c r="S1534" s="56">
        <v>0</v>
      </c>
      <c r="T1534" s="56" t="s">
        <v>27</v>
      </c>
      <c r="U1534" s="56">
        <v>901</v>
      </c>
      <c r="V1534" s="56" t="s">
        <v>3612</v>
      </c>
      <c r="W1534" s="56" t="s">
        <v>3548</v>
      </c>
      <c r="X1534" s="56" t="s">
        <v>3611</v>
      </c>
      <c r="Z1534" s="56" t="s">
        <v>3546</v>
      </c>
      <c r="AA1534" s="56" t="s">
        <v>4864</v>
      </c>
      <c r="AB1534" s="56" t="s">
        <v>4863</v>
      </c>
      <c r="AC1534" s="56" t="s">
        <v>3543</v>
      </c>
      <c r="AH1534" s="56" t="s">
        <v>3542</v>
      </c>
      <c r="AI1534" s="56" t="s">
        <v>3541</v>
      </c>
    </row>
    <row r="1535" spans="1:35" ht="33" customHeight="1">
      <c r="A1535" s="56" t="s">
        <v>4867</v>
      </c>
      <c r="B1535" s="57">
        <v>44364.975995370369</v>
      </c>
      <c r="C1535" s="56" t="s">
        <v>3803</v>
      </c>
      <c r="D1535" s="56" t="s">
        <v>4426</v>
      </c>
      <c r="E1535" s="56" t="s">
        <v>4866</v>
      </c>
      <c r="F1535" s="56" t="s">
        <v>4865</v>
      </c>
      <c r="G1535" s="58" t="s">
        <v>1493</v>
      </c>
      <c r="H1535" s="56">
        <v>1</v>
      </c>
      <c r="I1535" s="56" t="s">
        <v>3601</v>
      </c>
      <c r="J1535" s="56">
        <v>135</v>
      </c>
      <c r="K1535" s="56">
        <v>135</v>
      </c>
      <c r="P1535" s="56">
        <v>0</v>
      </c>
      <c r="S1535" s="56">
        <v>0</v>
      </c>
      <c r="T1535" s="56" t="s">
        <v>27</v>
      </c>
      <c r="V1535" s="56" t="s">
        <v>3612</v>
      </c>
      <c r="W1535" s="56" t="s">
        <v>3548</v>
      </c>
      <c r="X1535" s="56" t="s">
        <v>3611</v>
      </c>
      <c r="Z1535" s="56" t="s">
        <v>3546</v>
      </c>
      <c r="AA1535" s="56" t="s">
        <v>4864</v>
      </c>
      <c r="AB1535" s="56" t="s">
        <v>4863</v>
      </c>
      <c r="AC1535" s="56" t="s">
        <v>3543</v>
      </c>
      <c r="AH1535" s="56" t="s">
        <v>3542</v>
      </c>
      <c r="AI1535" s="56" t="s">
        <v>3541</v>
      </c>
    </row>
    <row r="1536" spans="1:35" ht="33" customHeight="1">
      <c r="A1536" s="56" t="s">
        <v>4867</v>
      </c>
      <c r="B1536" s="57">
        <v>44364.975995370369</v>
      </c>
      <c r="C1536" s="56" t="s">
        <v>3803</v>
      </c>
      <c r="D1536" s="56" t="s">
        <v>4426</v>
      </c>
      <c r="E1536" s="56" t="s">
        <v>4866</v>
      </c>
      <c r="F1536" s="56" t="s">
        <v>4865</v>
      </c>
      <c r="G1536" s="58" t="s">
        <v>1514</v>
      </c>
      <c r="H1536" s="56">
        <v>1</v>
      </c>
      <c r="I1536" s="56" t="s">
        <v>3740</v>
      </c>
      <c r="J1536" s="56">
        <v>220</v>
      </c>
      <c r="K1536" s="56">
        <v>168</v>
      </c>
      <c r="P1536" s="56">
        <v>0</v>
      </c>
      <c r="S1536" s="56">
        <v>0</v>
      </c>
      <c r="T1536" s="56" t="s">
        <v>27</v>
      </c>
      <c r="V1536" s="56" t="s">
        <v>3612</v>
      </c>
      <c r="W1536" s="56" t="s">
        <v>3548</v>
      </c>
      <c r="X1536" s="56" t="s">
        <v>3611</v>
      </c>
      <c r="Z1536" s="56" t="s">
        <v>3546</v>
      </c>
      <c r="AA1536" s="56" t="s">
        <v>4864</v>
      </c>
      <c r="AB1536" s="56" t="s">
        <v>4863</v>
      </c>
      <c r="AC1536" s="56" t="s">
        <v>3543</v>
      </c>
      <c r="AH1536" s="56" t="s">
        <v>3542</v>
      </c>
      <c r="AI1536" s="56" t="s">
        <v>3541</v>
      </c>
    </row>
    <row r="1537" spans="1:35" ht="33" customHeight="1">
      <c r="A1537" s="56" t="s">
        <v>4867</v>
      </c>
      <c r="B1537" s="57">
        <v>44364.975995370369</v>
      </c>
      <c r="C1537" s="56" t="s">
        <v>3803</v>
      </c>
      <c r="D1537" s="56" t="s">
        <v>4426</v>
      </c>
      <c r="E1537" s="56" t="s">
        <v>4866</v>
      </c>
      <c r="F1537" s="56" t="s">
        <v>4865</v>
      </c>
      <c r="G1537" s="58" t="s">
        <v>1531</v>
      </c>
      <c r="H1537" s="56">
        <v>1</v>
      </c>
      <c r="I1537" s="56" t="s">
        <v>3696</v>
      </c>
      <c r="J1537" s="56">
        <v>299</v>
      </c>
      <c r="K1537" s="56">
        <v>299</v>
      </c>
      <c r="P1537" s="56">
        <v>0</v>
      </c>
      <c r="S1537" s="56">
        <v>0</v>
      </c>
      <c r="T1537" s="56" t="s">
        <v>27</v>
      </c>
      <c r="V1537" s="56" t="s">
        <v>3612</v>
      </c>
      <c r="W1537" s="56" t="s">
        <v>3548</v>
      </c>
      <c r="X1537" s="56" t="s">
        <v>3611</v>
      </c>
      <c r="Z1537" s="56" t="s">
        <v>3546</v>
      </c>
      <c r="AA1537" s="56" t="s">
        <v>4864</v>
      </c>
      <c r="AB1537" s="56" t="s">
        <v>4863</v>
      </c>
      <c r="AC1537" s="56" t="s">
        <v>3543</v>
      </c>
      <c r="AH1537" s="56" t="s">
        <v>3542</v>
      </c>
      <c r="AI1537" s="56" t="s">
        <v>3541</v>
      </c>
    </row>
    <row r="1538" spans="1:35" ht="33" customHeight="1">
      <c r="A1538" s="56" t="s">
        <v>4867</v>
      </c>
      <c r="B1538" s="57">
        <v>44364.975995370369</v>
      </c>
      <c r="C1538" s="56" t="s">
        <v>3803</v>
      </c>
      <c r="D1538" s="56" t="s">
        <v>4426</v>
      </c>
      <c r="E1538" s="56" t="s">
        <v>4866</v>
      </c>
      <c r="F1538" s="56" t="s">
        <v>4865</v>
      </c>
      <c r="G1538" s="58" t="s">
        <v>3551</v>
      </c>
      <c r="H1538" s="56">
        <v>1</v>
      </c>
      <c r="I1538" s="56" t="s">
        <v>3550</v>
      </c>
      <c r="J1538" s="56">
        <v>0</v>
      </c>
      <c r="K1538" s="56">
        <v>0</v>
      </c>
      <c r="P1538" s="56">
        <v>0</v>
      </c>
      <c r="S1538" s="56">
        <v>0</v>
      </c>
      <c r="T1538" s="56" t="s">
        <v>27</v>
      </c>
      <c r="V1538" s="56" t="s">
        <v>3612</v>
      </c>
      <c r="W1538" s="56" t="s">
        <v>3548</v>
      </c>
      <c r="X1538" s="56" t="s">
        <v>3611</v>
      </c>
      <c r="Z1538" s="56" t="s">
        <v>3546</v>
      </c>
      <c r="AA1538" s="56" t="s">
        <v>4864</v>
      </c>
      <c r="AB1538" s="56" t="s">
        <v>4863</v>
      </c>
      <c r="AC1538" s="56" t="s">
        <v>3543</v>
      </c>
      <c r="AH1538" s="56" t="s">
        <v>3542</v>
      </c>
      <c r="AI1538" s="56" t="s">
        <v>3541</v>
      </c>
    </row>
    <row r="1539" spans="1:35" ht="33" customHeight="1">
      <c r="A1539" s="56" t="s">
        <v>4860</v>
      </c>
      <c r="B1539" s="57">
        <v>44364.97996527778</v>
      </c>
      <c r="C1539" s="56" t="s">
        <v>4512</v>
      </c>
      <c r="D1539" s="56" t="s">
        <v>4511</v>
      </c>
      <c r="E1539" s="56" t="s">
        <v>4859</v>
      </c>
      <c r="F1539" s="56" t="s">
        <v>4858</v>
      </c>
      <c r="G1539" s="58" t="s">
        <v>4862</v>
      </c>
      <c r="H1539" s="56">
        <v>1</v>
      </c>
      <c r="I1539" s="56" t="s">
        <v>3669</v>
      </c>
      <c r="J1539" s="56">
        <v>897</v>
      </c>
      <c r="K1539" s="56">
        <v>888</v>
      </c>
      <c r="L1539" s="56">
        <v>1687</v>
      </c>
      <c r="M1539" s="56">
        <v>0</v>
      </c>
      <c r="N1539" s="56">
        <v>0</v>
      </c>
      <c r="O1539" s="56">
        <v>100</v>
      </c>
      <c r="P1539" s="56">
        <v>0</v>
      </c>
      <c r="Q1539" s="56">
        <v>1587</v>
      </c>
      <c r="R1539" s="56">
        <v>0</v>
      </c>
      <c r="S1539" s="56">
        <v>0</v>
      </c>
      <c r="T1539" s="56" t="s">
        <v>3562</v>
      </c>
      <c r="U1539" s="56">
        <v>1587</v>
      </c>
      <c r="V1539" s="56" t="s">
        <v>3549</v>
      </c>
      <c r="W1539" s="56" t="s">
        <v>3548</v>
      </c>
      <c r="X1539" s="56" t="s">
        <v>3547</v>
      </c>
      <c r="Z1539" s="56" t="s">
        <v>3546</v>
      </c>
      <c r="AA1539" s="56" t="s">
        <v>4857</v>
      </c>
      <c r="AB1539" s="56" t="s">
        <v>4856</v>
      </c>
      <c r="AC1539" s="56" t="s">
        <v>3543</v>
      </c>
      <c r="AH1539" s="56" t="s">
        <v>3542</v>
      </c>
      <c r="AI1539" s="56" t="s">
        <v>3541</v>
      </c>
    </row>
    <row r="1540" spans="1:35" ht="33" customHeight="1">
      <c r="A1540" s="56" t="s">
        <v>4860</v>
      </c>
      <c r="B1540" s="57">
        <v>44364.97996527778</v>
      </c>
      <c r="C1540" s="56" t="s">
        <v>4512</v>
      </c>
      <c r="D1540" s="56" t="s">
        <v>4511</v>
      </c>
      <c r="E1540" s="56" t="s">
        <v>4859</v>
      </c>
      <c r="F1540" s="56" t="s">
        <v>4858</v>
      </c>
      <c r="G1540" s="58" t="s">
        <v>4861</v>
      </c>
      <c r="H1540" s="56">
        <v>1</v>
      </c>
      <c r="I1540" s="56" t="s">
        <v>3655</v>
      </c>
      <c r="J1540" s="56">
        <v>1107</v>
      </c>
      <c r="K1540" s="56">
        <v>799</v>
      </c>
      <c r="P1540" s="56">
        <v>0</v>
      </c>
      <c r="S1540" s="56">
        <v>0</v>
      </c>
      <c r="T1540" s="56" t="s">
        <v>3562</v>
      </c>
      <c r="V1540" s="56" t="s">
        <v>3549</v>
      </c>
      <c r="W1540" s="56" t="s">
        <v>3548</v>
      </c>
      <c r="X1540" s="56" t="s">
        <v>3547</v>
      </c>
      <c r="Z1540" s="56" t="s">
        <v>3546</v>
      </c>
      <c r="AA1540" s="56" t="s">
        <v>4857</v>
      </c>
      <c r="AB1540" s="56" t="s">
        <v>4856</v>
      </c>
      <c r="AC1540" s="56" t="s">
        <v>3543</v>
      </c>
      <c r="AH1540" s="56" t="s">
        <v>3542</v>
      </c>
      <c r="AI1540" s="56" t="s">
        <v>3541</v>
      </c>
    </row>
    <row r="1541" spans="1:35" ht="33" customHeight="1">
      <c r="A1541" s="56" t="s">
        <v>4860</v>
      </c>
      <c r="B1541" s="57">
        <v>44364.97996527778</v>
      </c>
      <c r="C1541" s="56" t="s">
        <v>4512</v>
      </c>
      <c r="D1541" s="56" t="s">
        <v>4511</v>
      </c>
      <c r="E1541" s="56" t="s">
        <v>4859</v>
      </c>
      <c r="F1541" s="56" t="s">
        <v>4858</v>
      </c>
      <c r="G1541" s="58" t="s">
        <v>3551</v>
      </c>
      <c r="H1541" s="56">
        <v>1</v>
      </c>
      <c r="I1541" s="56" t="s">
        <v>3550</v>
      </c>
      <c r="J1541" s="56">
        <v>0</v>
      </c>
      <c r="K1541" s="56">
        <v>0</v>
      </c>
      <c r="P1541" s="56">
        <v>0</v>
      </c>
      <c r="S1541" s="56">
        <v>0</v>
      </c>
      <c r="T1541" s="56" t="s">
        <v>3562</v>
      </c>
      <c r="V1541" s="56" t="s">
        <v>3549</v>
      </c>
      <c r="W1541" s="56" t="s">
        <v>3548</v>
      </c>
      <c r="X1541" s="56" t="s">
        <v>3547</v>
      </c>
      <c r="Z1541" s="56" t="s">
        <v>3546</v>
      </c>
      <c r="AA1541" s="56" t="s">
        <v>4857</v>
      </c>
      <c r="AB1541" s="56" t="s">
        <v>4856</v>
      </c>
      <c r="AC1541" s="56" t="s">
        <v>3543</v>
      </c>
      <c r="AH1541" s="56" t="s">
        <v>3542</v>
      </c>
      <c r="AI1541" s="56" t="s">
        <v>3541</v>
      </c>
    </row>
    <row r="1542" spans="1:35" ht="33" customHeight="1">
      <c r="A1542" s="56" t="s">
        <v>4860</v>
      </c>
      <c r="B1542" s="57">
        <v>44364.97996527778</v>
      </c>
      <c r="C1542" s="56" t="s">
        <v>4512</v>
      </c>
      <c r="D1542" s="56" t="s">
        <v>4511</v>
      </c>
      <c r="E1542" s="56" t="s">
        <v>4859</v>
      </c>
      <c r="F1542" s="56" t="s">
        <v>4858</v>
      </c>
      <c r="G1542" s="58" t="s">
        <v>1713</v>
      </c>
      <c r="H1542" s="56">
        <v>1</v>
      </c>
      <c r="I1542" s="56" t="s">
        <v>3568</v>
      </c>
      <c r="J1542" s="56">
        <v>0</v>
      </c>
      <c r="K1542" s="56">
        <v>0</v>
      </c>
      <c r="P1542" s="56">
        <v>0</v>
      </c>
      <c r="S1542" s="56">
        <v>0</v>
      </c>
      <c r="T1542" s="56" t="s">
        <v>3562</v>
      </c>
      <c r="V1542" s="56" t="s">
        <v>3549</v>
      </c>
      <c r="W1542" s="56" t="s">
        <v>3548</v>
      </c>
      <c r="X1542" s="56" t="s">
        <v>3547</v>
      </c>
      <c r="Z1542" s="56" t="s">
        <v>3546</v>
      </c>
      <c r="AA1542" s="56" t="s">
        <v>4857</v>
      </c>
      <c r="AB1542" s="56" t="s">
        <v>4856</v>
      </c>
      <c r="AC1542" s="56" t="s">
        <v>3543</v>
      </c>
      <c r="AH1542" s="56" t="s">
        <v>3542</v>
      </c>
      <c r="AI1542" s="56" t="s">
        <v>3541</v>
      </c>
    </row>
    <row r="1543" spans="1:35" ht="33" customHeight="1">
      <c r="A1543" s="56" t="s">
        <v>4855</v>
      </c>
      <c r="B1543" s="57">
        <v>44364.984236111108</v>
      </c>
      <c r="C1543" s="56" t="s">
        <v>3803</v>
      </c>
      <c r="D1543" s="56" t="s">
        <v>4426</v>
      </c>
      <c r="E1543" s="56" t="s">
        <v>4854</v>
      </c>
      <c r="F1543" s="56" t="s">
        <v>4853</v>
      </c>
      <c r="G1543" s="58" t="s">
        <v>3656</v>
      </c>
      <c r="H1543" s="56">
        <v>1</v>
      </c>
      <c r="I1543" s="56" t="s">
        <v>3655</v>
      </c>
      <c r="J1543" s="56">
        <v>1107</v>
      </c>
      <c r="K1543" s="56">
        <v>799</v>
      </c>
      <c r="L1543" s="56">
        <v>948</v>
      </c>
      <c r="M1543" s="56">
        <v>0</v>
      </c>
      <c r="N1543" s="56">
        <v>0</v>
      </c>
      <c r="O1543" s="56">
        <v>0</v>
      </c>
      <c r="P1543" s="56">
        <v>0</v>
      </c>
      <c r="Q1543" s="56">
        <v>948</v>
      </c>
      <c r="R1543" s="56">
        <v>0</v>
      </c>
      <c r="S1543" s="56">
        <v>0</v>
      </c>
      <c r="T1543" s="56" t="s">
        <v>27</v>
      </c>
      <c r="U1543" s="56">
        <v>948</v>
      </c>
      <c r="V1543" s="56" t="s">
        <v>3612</v>
      </c>
      <c r="W1543" s="56" t="s">
        <v>3548</v>
      </c>
      <c r="X1543" s="56" t="s">
        <v>3611</v>
      </c>
      <c r="Z1543" s="56" t="s">
        <v>3546</v>
      </c>
      <c r="AA1543" s="56" t="s">
        <v>4852</v>
      </c>
      <c r="AB1543" s="56" t="s">
        <v>4851</v>
      </c>
      <c r="AC1543" s="56" t="s">
        <v>3543</v>
      </c>
      <c r="AH1543" s="56" t="s">
        <v>3542</v>
      </c>
      <c r="AI1543" s="56" t="s">
        <v>3541</v>
      </c>
    </row>
    <row r="1544" spans="1:35" ht="33" customHeight="1">
      <c r="A1544" s="56" t="s">
        <v>4855</v>
      </c>
      <c r="B1544" s="57">
        <v>44364.984236111108</v>
      </c>
      <c r="C1544" s="56" t="s">
        <v>3803</v>
      </c>
      <c r="D1544" s="56" t="s">
        <v>4426</v>
      </c>
      <c r="E1544" s="56" t="s">
        <v>4854</v>
      </c>
      <c r="F1544" s="56" t="s">
        <v>4853</v>
      </c>
      <c r="G1544" s="58" t="s">
        <v>2156</v>
      </c>
      <c r="H1544" s="56">
        <v>1</v>
      </c>
      <c r="I1544" s="56" t="s">
        <v>1376</v>
      </c>
      <c r="J1544" s="56">
        <v>149</v>
      </c>
      <c r="K1544" s="56">
        <v>149</v>
      </c>
      <c r="P1544" s="56">
        <v>0</v>
      </c>
      <c r="S1544" s="56">
        <v>0</v>
      </c>
      <c r="T1544" s="56" t="s">
        <v>27</v>
      </c>
      <c r="V1544" s="56" t="s">
        <v>3612</v>
      </c>
      <c r="W1544" s="56" t="s">
        <v>3548</v>
      </c>
      <c r="X1544" s="56" t="s">
        <v>3611</v>
      </c>
      <c r="Z1544" s="56" t="s">
        <v>3546</v>
      </c>
      <c r="AA1544" s="56" t="s">
        <v>4852</v>
      </c>
      <c r="AB1544" s="56" t="s">
        <v>4851</v>
      </c>
      <c r="AC1544" s="56" t="s">
        <v>3543</v>
      </c>
      <c r="AH1544" s="56" t="s">
        <v>3542</v>
      </c>
      <c r="AI1544" s="56" t="s">
        <v>3541</v>
      </c>
    </row>
    <row r="1545" spans="1:35" ht="33" customHeight="1">
      <c r="A1545" s="56" t="s">
        <v>4855</v>
      </c>
      <c r="B1545" s="57">
        <v>44364.984236111108</v>
      </c>
      <c r="C1545" s="56" t="s">
        <v>3803</v>
      </c>
      <c r="D1545" s="56" t="s">
        <v>4426</v>
      </c>
      <c r="E1545" s="56" t="s">
        <v>4854</v>
      </c>
      <c r="F1545" s="56" t="s">
        <v>4853</v>
      </c>
      <c r="G1545" s="58" t="s">
        <v>3551</v>
      </c>
      <c r="H1545" s="56">
        <v>1</v>
      </c>
      <c r="I1545" s="56" t="s">
        <v>3550</v>
      </c>
      <c r="J1545" s="56">
        <v>0</v>
      </c>
      <c r="K1545" s="56">
        <v>0</v>
      </c>
      <c r="P1545" s="56">
        <v>0</v>
      </c>
      <c r="S1545" s="56">
        <v>0</v>
      </c>
      <c r="T1545" s="56" t="s">
        <v>27</v>
      </c>
      <c r="V1545" s="56" t="s">
        <v>3612</v>
      </c>
      <c r="W1545" s="56" t="s">
        <v>3548</v>
      </c>
      <c r="X1545" s="56" t="s">
        <v>3611</v>
      </c>
      <c r="Z1545" s="56" t="s">
        <v>3546</v>
      </c>
      <c r="AA1545" s="56" t="s">
        <v>4852</v>
      </c>
      <c r="AB1545" s="56" t="s">
        <v>4851</v>
      </c>
      <c r="AC1545" s="56" t="s">
        <v>3543</v>
      </c>
      <c r="AH1545" s="56" t="s">
        <v>3542</v>
      </c>
      <c r="AI1545" s="56" t="s">
        <v>3541</v>
      </c>
    </row>
    <row r="1546" spans="1:35" ht="33" customHeight="1">
      <c r="A1546" s="56" t="s">
        <v>4850</v>
      </c>
      <c r="B1546" s="57">
        <v>44364.986701388887</v>
      </c>
      <c r="C1546" s="56" t="s">
        <v>3803</v>
      </c>
      <c r="D1546" s="56" t="s">
        <v>3802</v>
      </c>
      <c r="E1546" s="56" t="s">
        <v>4849</v>
      </c>
      <c r="F1546" s="56" t="s">
        <v>4848</v>
      </c>
      <c r="G1546" s="58" t="s">
        <v>3570</v>
      </c>
      <c r="H1546" s="56">
        <v>1</v>
      </c>
      <c r="I1546" s="56" t="s">
        <v>3569</v>
      </c>
      <c r="J1546" s="56">
        <v>894</v>
      </c>
      <c r="K1546" s="56">
        <v>750</v>
      </c>
      <c r="L1546" s="56">
        <v>1048</v>
      </c>
      <c r="M1546" s="56">
        <v>0</v>
      </c>
      <c r="N1546" s="56">
        <v>0</v>
      </c>
      <c r="O1546" s="56">
        <v>100</v>
      </c>
      <c r="P1546" s="56">
        <v>0</v>
      </c>
      <c r="Q1546" s="56">
        <v>948</v>
      </c>
      <c r="R1546" s="56">
        <v>0</v>
      </c>
      <c r="S1546" s="56">
        <v>0</v>
      </c>
      <c r="T1546" s="56" t="s">
        <v>3562</v>
      </c>
      <c r="U1546" s="56">
        <v>948</v>
      </c>
      <c r="V1546" s="56" t="s">
        <v>59</v>
      </c>
      <c r="W1546" s="56" t="s">
        <v>3548</v>
      </c>
      <c r="X1546" s="56" t="s">
        <v>39</v>
      </c>
      <c r="Y1546" s="56" t="s">
        <v>3787</v>
      </c>
      <c r="Z1546" s="56" t="s">
        <v>4847</v>
      </c>
      <c r="AC1546" s="56" t="s">
        <v>3543</v>
      </c>
      <c r="AD1546" s="56" t="s">
        <v>24</v>
      </c>
      <c r="AE1546" s="56" t="s">
        <v>4834</v>
      </c>
      <c r="AF1546" s="56" t="s">
        <v>4846</v>
      </c>
      <c r="AH1546" s="56" t="s">
        <v>3542</v>
      </c>
      <c r="AI1546" s="56" t="s">
        <v>3723</v>
      </c>
    </row>
    <row r="1547" spans="1:35" ht="33" customHeight="1">
      <c r="A1547" s="56" t="s">
        <v>4850</v>
      </c>
      <c r="B1547" s="57">
        <v>44364.986701388887</v>
      </c>
      <c r="C1547" s="56" t="s">
        <v>3803</v>
      </c>
      <c r="D1547" s="56" t="s">
        <v>3802</v>
      </c>
      <c r="E1547" s="56" t="s">
        <v>4849</v>
      </c>
      <c r="F1547" s="56" t="s">
        <v>4848</v>
      </c>
      <c r="G1547" s="58" t="s">
        <v>3189</v>
      </c>
      <c r="H1547" s="56">
        <v>2</v>
      </c>
      <c r="I1547" s="56" t="s">
        <v>3761</v>
      </c>
      <c r="J1547" s="56">
        <v>149</v>
      </c>
      <c r="K1547" s="56">
        <v>149</v>
      </c>
      <c r="P1547" s="56">
        <v>0</v>
      </c>
      <c r="S1547" s="56">
        <v>0</v>
      </c>
      <c r="T1547" s="56" t="s">
        <v>3562</v>
      </c>
      <c r="V1547" s="56" t="s">
        <v>59</v>
      </c>
      <c r="W1547" s="56" t="s">
        <v>3548</v>
      </c>
      <c r="X1547" s="56" t="s">
        <v>39</v>
      </c>
      <c r="Y1547" s="56" t="s">
        <v>3787</v>
      </c>
      <c r="Z1547" s="56" t="s">
        <v>4847</v>
      </c>
      <c r="AC1547" s="56" t="s">
        <v>3543</v>
      </c>
      <c r="AD1547" s="56" t="s">
        <v>24</v>
      </c>
      <c r="AE1547" s="56" t="s">
        <v>4834</v>
      </c>
      <c r="AF1547" s="56" t="s">
        <v>4846</v>
      </c>
      <c r="AH1547" s="56" t="s">
        <v>3542</v>
      </c>
      <c r="AI1547" s="56" t="s">
        <v>3723</v>
      </c>
    </row>
    <row r="1548" spans="1:35" ht="33" customHeight="1">
      <c r="A1548" s="56" t="s">
        <v>4850</v>
      </c>
      <c r="B1548" s="57">
        <v>44364.986701388887</v>
      </c>
      <c r="C1548" s="56" t="s">
        <v>3803</v>
      </c>
      <c r="D1548" s="56" t="s">
        <v>3802</v>
      </c>
      <c r="E1548" s="56" t="s">
        <v>4849</v>
      </c>
      <c r="F1548" s="56" t="s">
        <v>4848</v>
      </c>
      <c r="G1548" s="58" t="s">
        <v>3551</v>
      </c>
      <c r="H1548" s="56">
        <v>1</v>
      </c>
      <c r="I1548" s="56" t="s">
        <v>3550</v>
      </c>
      <c r="J1548" s="56">
        <v>0</v>
      </c>
      <c r="K1548" s="56">
        <v>0</v>
      </c>
      <c r="P1548" s="56">
        <v>0</v>
      </c>
      <c r="S1548" s="56">
        <v>0</v>
      </c>
      <c r="T1548" s="56" t="s">
        <v>3562</v>
      </c>
      <c r="V1548" s="56" t="s">
        <v>59</v>
      </c>
      <c r="W1548" s="56" t="s">
        <v>3548</v>
      </c>
      <c r="X1548" s="56" t="s">
        <v>39</v>
      </c>
      <c r="Y1548" s="56" t="s">
        <v>3787</v>
      </c>
      <c r="Z1548" s="56" t="s">
        <v>4847</v>
      </c>
      <c r="AC1548" s="56" t="s">
        <v>3543</v>
      </c>
      <c r="AD1548" s="56" t="s">
        <v>24</v>
      </c>
      <c r="AE1548" s="56" t="s">
        <v>4834</v>
      </c>
      <c r="AF1548" s="56" t="s">
        <v>4846</v>
      </c>
      <c r="AH1548" s="56" t="s">
        <v>3542</v>
      </c>
      <c r="AI1548" s="56" t="s">
        <v>3723</v>
      </c>
    </row>
    <row r="1549" spans="1:35" ht="33" customHeight="1">
      <c r="A1549" s="56" t="s">
        <v>4845</v>
      </c>
      <c r="B1549" s="57">
        <v>44364.988680555558</v>
      </c>
      <c r="C1549" s="56" t="s">
        <v>3803</v>
      </c>
      <c r="D1549" s="56" t="s">
        <v>3802</v>
      </c>
      <c r="E1549" s="56" t="s">
        <v>4844</v>
      </c>
      <c r="F1549" s="56" t="s">
        <v>4843</v>
      </c>
      <c r="G1549" s="58" t="s">
        <v>3593</v>
      </c>
      <c r="H1549" s="56">
        <v>1</v>
      </c>
      <c r="I1549" s="56" t="s">
        <v>3577</v>
      </c>
      <c r="J1549" s="56">
        <v>700</v>
      </c>
      <c r="K1549" s="56">
        <v>599</v>
      </c>
      <c r="L1549" s="56">
        <v>1079</v>
      </c>
      <c r="M1549" s="56">
        <v>0</v>
      </c>
      <c r="N1549" s="56">
        <v>0</v>
      </c>
      <c r="O1549" s="56">
        <v>108</v>
      </c>
      <c r="P1549" s="56">
        <v>0</v>
      </c>
      <c r="Q1549" s="56">
        <v>971</v>
      </c>
      <c r="R1549" s="56">
        <v>0</v>
      </c>
      <c r="S1549" s="56">
        <v>0</v>
      </c>
      <c r="T1549" s="56" t="s">
        <v>3562</v>
      </c>
      <c r="U1549" s="56">
        <v>971</v>
      </c>
      <c r="V1549" s="56" t="s">
        <v>59</v>
      </c>
      <c r="W1549" s="56" t="s">
        <v>3548</v>
      </c>
      <c r="X1549" s="56" t="s">
        <v>39</v>
      </c>
      <c r="Y1549" s="56" t="s">
        <v>4842</v>
      </c>
      <c r="Z1549" s="56" t="s">
        <v>4841</v>
      </c>
      <c r="AC1549" s="56" t="s">
        <v>3543</v>
      </c>
      <c r="AD1549" s="56" t="s">
        <v>24</v>
      </c>
      <c r="AE1549" s="56" t="s">
        <v>4834</v>
      </c>
      <c r="AF1549" s="56" t="s">
        <v>4840</v>
      </c>
      <c r="AH1549" s="56" t="s">
        <v>3542</v>
      </c>
      <c r="AI1549" s="56" t="s">
        <v>3723</v>
      </c>
    </row>
    <row r="1550" spans="1:35" ht="33" customHeight="1">
      <c r="A1550" s="56" t="s">
        <v>4845</v>
      </c>
      <c r="B1550" s="57">
        <v>44364.988680555558</v>
      </c>
      <c r="C1550" s="56" t="s">
        <v>3803</v>
      </c>
      <c r="D1550" s="56" t="s">
        <v>3802</v>
      </c>
      <c r="E1550" s="56" t="s">
        <v>4844</v>
      </c>
      <c r="F1550" s="56" t="s">
        <v>4843</v>
      </c>
      <c r="G1550" s="58" t="s">
        <v>3955</v>
      </c>
      <c r="H1550" s="56">
        <v>1</v>
      </c>
      <c r="I1550" s="56" t="s">
        <v>3954</v>
      </c>
      <c r="J1550" s="56">
        <v>499</v>
      </c>
      <c r="K1550" s="56">
        <v>480</v>
      </c>
      <c r="P1550" s="56">
        <v>0</v>
      </c>
      <c r="S1550" s="56">
        <v>0</v>
      </c>
      <c r="T1550" s="56" t="s">
        <v>3562</v>
      </c>
      <c r="V1550" s="56" t="s">
        <v>59</v>
      </c>
      <c r="W1550" s="56" t="s">
        <v>3548</v>
      </c>
      <c r="X1550" s="56" t="s">
        <v>39</v>
      </c>
      <c r="Y1550" s="56" t="s">
        <v>4842</v>
      </c>
      <c r="Z1550" s="56" t="s">
        <v>4841</v>
      </c>
      <c r="AC1550" s="56" t="s">
        <v>3543</v>
      </c>
      <c r="AD1550" s="56" t="s">
        <v>24</v>
      </c>
      <c r="AE1550" s="56" t="s">
        <v>4834</v>
      </c>
      <c r="AF1550" s="56" t="s">
        <v>4840</v>
      </c>
      <c r="AH1550" s="56" t="s">
        <v>3542</v>
      </c>
      <c r="AI1550" s="56" t="s">
        <v>3723</v>
      </c>
    </row>
    <row r="1551" spans="1:35" ht="33" customHeight="1">
      <c r="A1551" s="56" t="s">
        <v>4845</v>
      </c>
      <c r="B1551" s="57">
        <v>44364.988680555558</v>
      </c>
      <c r="C1551" s="56" t="s">
        <v>3803</v>
      </c>
      <c r="D1551" s="56" t="s">
        <v>3802</v>
      </c>
      <c r="E1551" s="56" t="s">
        <v>4844</v>
      </c>
      <c r="F1551" s="56" t="s">
        <v>4843</v>
      </c>
      <c r="G1551" s="58" t="s">
        <v>3551</v>
      </c>
      <c r="H1551" s="56">
        <v>1</v>
      </c>
      <c r="I1551" s="56" t="s">
        <v>3550</v>
      </c>
      <c r="J1551" s="56">
        <v>0</v>
      </c>
      <c r="K1551" s="56">
        <v>0</v>
      </c>
      <c r="P1551" s="56">
        <v>0</v>
      </c>
      <c r="S1551" s="56">
        <v>0</v>
      </c>
      <c r="T1551" s="56" t="s">
        <v>3562</v>
      </c>
      <c r="V1551" s="56" t="s">
        <v>59</v>
      </c>
      <c r="W1551" s="56" t="s">
        <v>3548</v>
      </c>
      <c r="X1551" s="56" t="s">
        <v>39</v>
      </c>
      <c r="Y1551" s="56" t="s">
        <v>4842</v>
      </c>
      <c r="Z1551" s="56" t="s">
        <v>4841</v>
      </c>
      <c r="AC1551" s="56" t="s">
        <v>3543</v>
      </c>
      <c r="AD1551" s="56" t="s">
        <v>24</v>
      </c>
      <c r="AE1551" s="56" t="s">
        <v>4834</v>
      </c>
      <c r="AF1551" s="56" t="s">
        <v>4840</v>
      </c>
      <c r="AH1551" s="56" t="s">
        <v>3542</v>
      </c>
      <c r="AI1551" s="56" t="s">
        <v>3723</v>
      </c>
    </row>
    <row r="1552" spans="1:35" ht="33" customHeight="1">
      <c r="A1552" s="56" t="s">
        <v>4839</v>
      </c>
      <c r="B1552" s="57">
        <v>44364.991354166668</v>
      </c>
      <c r="C1552" s="56" t="s">
        <v>3803</v>
      </c>
      <c r="D1552" s="56" t="s">
        <v>3802</v>
      </c>
      <c r="E1552" s="56" t="s">
        <v>4838</v>
      </c>
      <c r="F1552" s="56" t="s">
        <v>4837</v>
      </c>
      <c r="G1552" s="58" t="s">
        <v>3171</v>
      </c>
      <c r="H1552" s="56">
        <v>2</v>
      </c>
      <c r="I1552" s="56" t="s">
        <v>3695</v>
      </c>
      <c r="J1552" s="56">
        <v>399</v>
      </c>
      <c r="K1552" s="56">
        <v>399</v>
      </c>
      <c r="L1552" s="56">
        <v>798</v>
      </c>
      <c r="M1552" s="56">
        <v>60</v>
      </c>
      <c r="N1552" s="56">
        <v>0</v>
      </c>
      <c r="O1552" s="56">
        <v>0</v>
      </c>
      <c r="P1552" s="56">
        <v>0</v>
      </c>
      <c r="Q1552" s="56">
        <v>858</v>
      </c>
      <c r="R1552" s="56">
        <v>0</v>
      </c>
      <c r="S1552" s="56">
        <v>0</v>
      </c>
      <c r="T1552" s="56" t="s">
        <v>3562</v>
      </c>
      <c r="U1552" s="56">
        <v>858</v>
      </c>
      <c r="V1552" s="56" t="s">
        <v>3865</v>
      </c>
      <c r="W1552" s="56" t="s">
        <v>3548</v>
      </c>
      <c r="X1552" s="56" t="s">
        <v>39</v>
      </c>
      <c r="Y1552" s="56" t="s">
        <v>4836</v>
      </c>
      <c r="Z1552" s="56" t="s">
        <v>4835</v>
      </c>
      <c r="AC1552" s="56" t="s">
        <v>3543</v>
      </c>
      <c r="AD1552" s="56" t="s">
        <v>24</v>
      </c>
      <c r="AE1552" s="56" t="s">
        <v>4834</v>
      </c>
      <c r="AF1552" s="56" t="s">
        <v>4833</v>
      </c>
      <c r="AH1552" s="56" t="s">
        <v>3542</v>
      </c>
      <c r="AI1552" s="56" t="s">
        <v>3723</v>
      </c>
    </row>
    <row r="1553" spans="1:35" ht="33" customHeight="1">
      <c r="A1553" s="56" t="s">
        <v>4839</v>
      </c>
      <c r="B1553" s="57">
        <v>44364.991354166668</v>
      </c>
      <c r="C1553" s="56" t="s">
        <v>3803</v>
      </c>
      <c r="D1553" s="56" t="s">
        <v>3802</v>
      </c>
      <c r="E1553" s="56" t="s">
        <v>4838</v>
      </c>
      <c r="F1553" s="56" t="s">
        <v>4837</v>
      </c>
      <c r="G1553" s="58" t="s">
        <v>3551</v>
      </c>
      <c r="H1553" s="56">
        <v>1</v>
      </c>
      <c r="I1553" s="56" t="s">
        <v>3550</v>
      </c>
      <c r="J1553" s="56">
        <v>0</v>
      </c>
      <c r="K1553" s="56">
        <v>0</v>
      </c>
      <c r="P1553" s="56">
        <v>0</v>
      </c>
      <c r="S1553" s="56">
        <v>0</v>
      </c>
      <c r="T1553" s="56" t="s">
        <v>3562</v>
      </c>
      <c r="V1553" s="56" t="s">
        <v>3865</v>
      </c>
      <c r="W1553" s="56" t="s">
        <v>3548</v>
      </c>
      <c r="X1553" s="56" t="s">
        <v>39</v>
      </c>
      <c r="Y1553" s="56" t="s">
        <v>4836</v>
      </c>
      <c r="Z1553" s="56" t="s">
        <v>4835</v>
      </c>
      <c r="AC1553" s="56" t="s">
        <v>3543</v>
      </c>
      <c r="AD1553" s="56" t="s">
        <v>24</v>
      </c>
      <c r="AE1553" s="56" t="s">
        <v>4834</v>
      </c>
      <c r="AF1553" s="56" t="s">
        <v>4833</v>
      </c>
      <c r="AH1553" s="56" t="s">
        <v>3542</v>
      </c>
      <c r="AI1553" s="56" t="s">
        <v>3723</v>
      </c>
    </row>
    <row r="1554" spans="1:35" ht="33" customHeight="1">
      <c r="A1554" s="56" t="s">
        <v>4831</v>
      </c>
      <c r="B1554" s="57">
        <v>44364.995682870373</v>
      </c>
      <c r="C1554" s="56" t="s">
        <v>3803</v>
      </c>
      <c r="D1554" s="56" t="s">
        <v>4426</v>
      </c>
      <c r="E1554" s="56" t="s">
        <v>4830</v>
      </c>
      <c r="F1554" s="56" t="s">
        <v>4829</v>
      </c>
      <c r="G1554" s="58" t="s">
        <v>4832</v>
      </c>
      <c r="H1554" s="56">
        <v>1</v>
      </c>
      <c r="I1554" s="56" t="s">
        <v>4123</v>
      </c>
      <c r="J1554" s="56">
        <v>478</v>
      </c>
      <c r="K1554" s="56">
        <v>460</v>
      </c>
      <c r="L1554" s="56">
        <v>460</v>
      </c>
      <c r="M1554" s="56">
        <v>65</v>
      </c>
      <c r="N1554" s="56">
        <v>0</v>
      </c>
      <c r="O1554" s="56">
        <v>0</v>
      </c>
      <c r="P1554" s="56">
        <v>0</v>
      </c>
      <c r="Q1554" s="56">
        <v>525</v>
      </c>
      <c r="R1554" s="56">
        <v>0</v>
      </c>
      <c r="S1554" s="56">
        <v>0</v>
      </c>
      <c r="T1554" s="56" t="s">
        <v>27</v>
      </c>
      <c r="U1554" s="56">
        <v>525</v>
      </c>
      <c r="V1554" s="56" t="s">
        <v>3549</v>
      </c>
      <c r="W1554" s="56" t="s">
        <v>3548</v>
      </c>
      <c r="X1554" s="56" t="s">
        <v>3547</v>
      </c>
      <c r="Z1554" s="56" t="s">
        <v>3546</v>
      </c>
      <c r="AA1554" s="56" t="s">
        <v>4828</v>
      </c>
      <c r="AB1554" s="56" t="s">
        <v>4827</v>
      </c>
      <c r="AC1554" s="56" t="s">
        <v>3543</v>
      </c>
      <c r="AH1554" s="56" t="s">
        <v>3542</v>
      </c>
      <c r="AI1554" s="56" t="s">
        <v>3541</v>
      </c>
    </row>
    <row r="1555" spans="1:35" ht="33" customHeight="1">
      <c r="A1555" s="56" t="s">
        <v>4831</v>
      </c>
      <c r="B1555" s="57">
        <v>44364.995682870373</v>
      </c>
      <c r="C1555" s="56" t="s">
        <v>3803</v>
      </c>
      <c r="D1555" s="56" t="s">
        <v>4426</v>
      </c>
      <c r="E1555" s="56" t="s">
        <v>4830</v>
      </c>
      <c r="F1555" s="56" t="s">
        <v>4829</v>
      </c>
      <c r="G1555" s="58" t="s">
        <v>3551</v>
      </c>
      <c r="H1555" s="56">
        <v>1</v>
      </c>
      <c r="I1555" s="56" t="s">
        <v>3550</v>
      </c>
      <c r="J1555" s="56">
        <v>0</v>
      </c>
      <c r="K1555" s="56">
        <v>0</v>
      </c>
      <c r="P1555" s="56">
        <v>0</v>
      </c>
      <c r="S1555" s="56">
        <v>0</v>
      </c>
      <c r="T1555" s="56" t="s">
        <v>27</v>
      </c>
      <c r="V1555" s="56" t="s">
        <v>3549</v>
      </c>
      <c r="W1555" s="56" t="s">
        <v>3548</v>
      </c>
      <c r="X1555" s="56" t="s">
        <v>3547</v>
      </c>
      <c r="Z1555" s="56" t="s">
        <v>3546</v>
      </c>
      <c r="AA1555" s="56" t="s">
        <v>4828</v>
      </c>
      <c r="AB1555" s="56" t="s">
        <v>4827</v>
      </c>
      <c r="AC1555" s="56" t="s">
        <v>3543</v>
      </c>
      <c r="AH1555" s="56" t="s">
        <v>3542</v>
      </c>
      <c r="AI1555" s="56" t="s">
        <v>3541</v>
      </c>
    </row>
    <row r="1556" spans="1:35" ht="33" customHeight="1">
      <c r="A1556" s="56" t="s">
        <v>4826</v>
      </c>
      <c r="B1556" s="57">
        <v>44365.003888888888</v>
      </c>
      <c r="C1556" s="56" t="s">
        <v>3803</v>
      </c>
      <c r="D1556" s="56" t="s">
        <v>3802</v>
      </c>
      <c r="E1556" s="56" t="s">
        <v>4825</v>
      </c>
      <c r="F1556" s="56" t="s">
        <v>4824</v>
      </c>
      <c r="G1556" s="58" t="s">
        <v>3681</v>
      </c>
      <c r="H1556" s="56">
        <v>1</v>
      </c>
      <c r="I1556" s="56" t="s">
        <v>3569</v>
      </c>
      <c r="J1556" s="56">
        <v>894</v>
      </c>
      <c r="K1556" s="56">
        <v>750</v>
      </c>
      <c r="L1556" s="56">
        <v>1707</v>
      </c>
      <c r="M1556" s="56">
        <v>0</v>
      </c>
      <c r="N1556" s="56">
        <v>0</v>
      </c>
      <c r="O1556" s="56">
        <v>100</v>
      </c>
      <c r="P1556" s="56">
        <v>0</v>
      </c>
      <c r="Q1556" s="56">
        <v>1607</v>
      </c>
      <c r="R1556" s="56">
        <v>0</v>
      </c>
      <c r="S1556" s="56">
        <v>0</v>
      </c>
      <c r="T1556" s="56" t="s">
        <v>3562</v>
      </c>
      <c r="U1556" s="56">
        <v>1607</v>
      </c>
      <c r="V1556" s="56" t="s">
        <v>3865</v>
      </c>
      <c r="W1556" s="56" t="s">
        <v>3548</v>
      </c>
      <c r="X1556" s="56" t="s">
        <v>39</v>
      </c>
      <c r="Y1556" s="56" t="s">
        <v>4823</v>
      </c>
      <c r="Z1556" s="56" t="s">
        <v>4822</v>
      </c>
      <c r="AC1556" s="56" t="s">
        <v>3543</v>
      </c>
      <c r="AD1556" s="56" t="s">
        <v>24</v>
      </c>
      <c r="AE1556" s="56" t="s">
        <v>4530</v>
      </c>
      <c r="AF1556" s="56" t="s">
        <v>4821</v>
      </c>
      <c r="AH1556" s="56" t="s">
        <v>3542</v>
      </c>
      <c r="AI1556" s="56" t="s">
        <v>3723</v>
      </c>
    </row>
    <row r="1557" spans="1:35" ht="33" customHeight="1">
      <c r="A1557" s="56" t="s">
        <v>4826</v>
      </c>
      <c r="B1557" s="57">
        <v>44365.003888888888</v>
      </c>
      <c r="C1557" s="56" t="s">
        <v>3803</v>
      </c>
      <c r="D1557" s="56" t="s">
        <v>3802</v>
      </c>
      <c r="E1557" s="56" t="s">
        <v>4825</v>
      </c>
      <c r="F1557" s="56" t="s">
        <v>4824</v>
      </c>
      <c r="G1557" s="58" t="s">
        <v>2156</v>
      </c>
      <c r="H1557" s="56">
        <v>1</v>
      </c>
      <c r="I1557" s="56" t="s">
        <v>1376</v>
      </c>
      <c r="J1557" s="56">
        <v>149</v>
      </c>
      <c r="K1557" s="56">
        <v>149</v>
      </c>
      <c r="P1557" s="56">
        <v>0</v>
      </c>
      <c r="S1557" s="56">
        <v>0</v>
      </c>
      <c r="T1557" s="56" t="s">
        <v>3562</v>
      </c>
      <c r="V1557" s="56" t="s">
        <v>3865</v>
      </c>
      <c r="W1557" s="56" t="s">
        <v>3548</v>
      </c>
      <c r="X1557" s="56" t="s">
        <v>39</v>
      </c>
      <c r="Y1557" s="56" t="s">
        <v>4823</v>
      </c>
      <c r="Z1557" s="56" t="s">
        <v>4822</v>
      </c>
      <c r="AC1557" s="56" t="s">
        <v>3543</v>
      </c>
      <c r="AD1557" s="56" t="s">
        <v>24</v>
      </c>
      <c r="AE1557" s="56" t="s">
        <v>4530</v>
      </c>
      <c r="AF1557" s="56" t="s">
        <v>4821</v>
      </c>
      <c r="AH1557" s="56" t="s">
        <v>3542</v>
      </c>
      <c r="AI1557" s="56" t="s">
        <v>3723</v>
      </c>
    </row>
    <row r="1558" spans="1:35" ht="33" customHeight="1">
      <c r="A1558" s="56" t="s">
        <v>4826</v>
      </c>
      <c r="B1558" s="57">
        <v>44365.003888888888</v>
      </c>
      <c r="C1558" s="56" t="s">
        <v>3803</v>
      </c>
      <c r="D1558" s="56" t="s">
        <v>3802</v>
      </c>
      <c r="E1558" s="56" t="s">
        <v>4825</v>
      </c>
      <c r="F1558" s="56" t="s">
        <v>4824</v>
      </c>
      <c r="G1558" s="58" t="s">
        <v>3747</v>
      </c>
      <c r="H1558" s="56">
        <v>1</v>
      </c>
      <c r="I1558" s="56" t="s">
        <v>3746</v>
      </c>
      <c r="J1558" s="56">
        <v>660</v>
      </c>
      <c r="K1558" s="56">
        <v>450</v>
      </c>
      <c r="P1558" s="56">
        <v>0</v>
      </c>
      <c r="S1558" s="56">
        <v>0</v>
      </c>
      <c r="T1558" s="56" t="s">
        <v>3562</v>
      </c>
      <c r="V1558" s="56" t="s">
        <v>3865</v>
      </c>
      <c r="W1558" s="56" t="s">
        <v>3548</v>
      </c>
      <c r="X1558" s="56" t="s">
        <v>39</v>
      </c>
      <c r="Y1558" s="56" t="s">
        <v>4823</v>
      </c>
      <c r="Z1558" s="56" t="s">
        <v>4822</v>
      </c>
      <c r="AC1558" s="56" t="s">
        <v>3543</v>
      </c>
      <c r="AD1558" s="56" t="s">
        <v>24</v>
      </c>
      <c r="AE1558" s="56" t="s">
        <v>4530</v>
      </c>
      <c r="AF1558" s="56" t="s">
        <v>4821</v>
      </c>
      <c r="AH1558" s="56" t="s">
        <v>3542</v>
      </c>
      <c r="AI1558" s="56" t="s">
        <v>3723</v>
      </c>
    </row>
    <row r="1559" spans="1:35" ht="33" customHeight="1">
      <c r="A1559" s="56" t="s">
        <v>4826</v>
      </c>
      <c r="B1559" s="57">
        <v>44365.003888888888</v>
      </c>
      <c r="C1559" s="56" t="s">
        <v>3803</v>
      </c>
      <c r="D1559" s="56" t="s">
        <v>3802</v>
      </c>
      <c r="E1559" s="56" t="s">
        <v>4825</v>
      </c>
      <c r="F1559" s="56" t="s">
        <v>4824</v>
      </c>
      <c r="G1559" s="58" t="s">
        <v>1506</v>
      </c>
      <c r="H1559" s="56">
        <v>1</v>
      </c>
      <c r="I1559" s="56" t="s">
        <v>3696</v>
      </c>
      <c r="J1559" s="56">
        <v>299</v>
      </c>
      <c r="K1559" s="56">
        <v>299</v>
      </c>
      <c r="P1559" s="56">
        <v>0</v>
      </c>
      <c r="S1559" s="56">
        <v>0</v>
      </c>
      <c r="T1559" s="56" t="s">
        <v>3562</v>
      </c>
      <c r="V1559" s="56" t="s">
        <v>3865</v>
      </c>
      <c r="W1559" s="56" t="s">
        <v>3548</v>
      </c>
      <c r="X1559" s="56" t="s">
        <v>39</v>
      </c>
      <c r="Y1559" s="56" t="s">
        <v>4823</v>
      </c>
      <c r="Z1559" s="56" t="s">
        <v>4822</v>
      </c>
      <c r="AC1559" s="56" t="s">
        <v>3543</v>
      </c>
      <c r="AD1559" s="56" t="s">
        <v>24</v>
      </c>
      <c r="AE1559" s="56" t="s">
        <v>4530</v>
      </c>
      <c r="AF1559" s="56" t="s">
        <v>4821</v>
      </c>
      <c r="AH1559" s="56" t="s">
        <v>3542</v>
      </c>
      <c r="AI1559" s="56" t="s">
        <v>3723</v>
      </c>
    </row>
    <row r="1560" spans="1:35" ht="33" customHeight="1">
      <c r="A1560" s="56" t="s">
        <v>4826</v>
      </c>
      <c r="B1560" s="57">
        <v>44365.003888888888</v>
      </c>
      <c r="C1560" s="56" t="s">
        <v>3803</v>
      </c>
      <c r="D1560" s="56" t="s">
        <v>3802</v>
      </c>
      <c r="E1560" s="56" t="s">
        <v>4825</v>
      </c>
      <c r="F1560" s="56" t="s">
        <v>4824</v>
      </c>
      <c r="G1560" s="58" t="s">
        <v>3217</v>
      </c>
      <c r="H1560" s="56">
        <v>1</v>
      </c>
      <c r="I1560" s="56" t="s">
        <v>3720</v>
      </c>
      <c r="J1560" s="56">
        <v>59</v>
      </c>
      <c r="K1560" s="56">
        <v>59</v>
      </c>
      <c r="P1560" s="56">
        <v>0</v>
      </c>
      <c r="S1560" s="56">
        <v>0</v>
      </c>
      <c r="T1560" s="56" t="s">
        <v>3562</v>
      </c>
      <c r="V1560" s="56" t="s">
        <v>3865</v>
      </c>
      <c r="W1560" s="56" t="s">
        <v>3548</v>
      </c>
      <c r="X1560" s="56" t="s">
        <v>39</v>
      </c>
      <c r="Y1560" s="56" t="s">
        <v>4823</v>
      </c>
      <c r="Z1560" s="56" t="s">
        <v>4822</v>
      </c>
      <c r="AC1560" s="56" t="s">
        <v>3543</v>
      </c>
      <c r="AD1560" s="56" t="s">
        <v>24</v>
      </c>
      <c r="AE1560" s="56" t="s">
        <v>4530</v>
      </c>
      <c r="AF1560" s="56" t="s">
        <v>4821</v>
      </c>
      <c r="AH1560" s="56" t="s">
        <v>3542</v>
      </c>
      <c r="AI1560" s="56" t="s">
        <v>3723</v>
      </c>
    </row>
    <row r="1561" spans="1:35" ht="33" customHeight="1">
      <c r="A1561" s="56" t="s">
        <v>4826</v>
      </c>
      <c r="B1561" s="57">
        <v>44365.003888888888</v>
      </c>
      <c r="C1561" s="56" t="s">
        <v>3803</v>
      </c>
      <c r="D1561" s="56" t="s">
        <v>3802</v>
      </c>
      <c r="E1561" s="56" t="s">
        <v>4825</v>
      </c>
      <c r="F1561" s="56" t="s">
        <v>4824</v>
      </c>
      <c r="G1561" s="58" t="s">
        <v>3551</v>
      </c>
      <c r="H1561" s="56">
        <v>1</v>
      </c>
      <c r="I1561" s="56" t="s">
        <v>3550</v>
      </c>
      <c r="J1561" s="56">
        <v>0</v>
      </c>
      <c r="K1561" s="56">
        <v>0</v>
      </c>
      <c r="P1561" s="56">
        <v>0</v>
      </c>
      <c r="S1561" s="56">
        <v>0</v>
      </c>
      <c r="T1561" s="56" t="s">
        <v>3562</v>
      </c>
      <c r="V1561" s="56" t="s">
        <v>3865</v>
      </c>
      <c r="W1561" s="56" t="s">
        <v>3548</v>
      </c>
      <c r="X1561" s="56" t="s">
        <v>39</v>
      </c>
      <c r="Y1561" s="56" t="s">
        <v>4823</v>
      </c>
      <c r="Z1561" s="56" t="s">
        <v>4822</v>
      </c>
      <c r="AC1561" s="56" t="s">
        <v>3543</v>
      </c>
      <c r="AD1561" s="56" t="s">
        <v>24</v>
      </c>
      <c r="AE1561" s="56" t="s">
        <v>4530</v>
      </c>
      <c r="AF1561" s="56" t="s">
        <v>4821</v>
      </c>
      <c r="AH1561" s="56" t="s">
        <v>3542</v>
      </c>
      <c r="AI1561" s="56" t="s">
        <v>3723</v>
      </c>
    </row>
    <row r="1562" spans="1:35" ht="33" customHeight="1">
      <c r="A1562" s="56" t="s">
        <v>4826</v>
      </c>
      <c r="B1562" s="57">
        <v>44365.003888888888</v>
      </c>
      <c r="C1562" s="56" t="s">
        <v>3803</v>
      </c>
      <c r="D1562" s="56" t="s">
        <v>3802</v>
      </c>
      <c r="E1562" s="56" t="s">
        <v>4825</v>
      </c>
      <c r="F1562" s="56" t="s">
        <v>4824</v>
      </c>
      <c r="G1562" s="58" t="s">
        <v>1713</v>
      </c>
      <c r="H1562" s="56">
        <v>1</v>
      </c>
      <c r="I1562" s="56" t="s">
        <v>3568</v>
      </c>
      <c r="J1562" s="56">
        <v>0</v>
      </c>
      <c r="K1562" s="56">
        <v>0</v>
      </c>
      <c r="P1562" s="56">
        <v>0</v>
      </c>
      <c r="S1562" s="56">
        <v>0</v>
      </c>
      <c r="T1562" s="56" t="s">
        <v>3562</v>
      </c>
      <c r="V1562" s="56" t="s">
        <v>3865</v>
      </c>
      <c r="W1562" s="56" t="s">
        <v>3548</v>
      </c>
      <c r="X1562" s="56" t="s">
        <v>39</v>
      </c>
      <c r="Y1562" s="56" t="s">
        <v>4823</v>
      </c>
      <c r="Z1562" s="56" t="s">
        <v>4822</v>
      </c>
      <c r="AC1562" s="56" t="s">
        <v>3543</v>
      </c>
      <c r="AD1562" s="56" t="s">
        <v>24</v>
      </c>
      <c r="AE1562" s="56" t="s">
        <v>4530</v>
      </c>
      <c r="AF1562" s="56" t="s">
        <v>4821</v>
      </c>
      <c r="AH1562" s="56" t="s">
        <v>3542</v>
      </c>
      <c r="AI1562" s="56" t="s">
        <v>3723</v>
      </c>
    </row>
    <row r="1563" spans="1:35" ht="33" customHeight="1">
      <c r="A1563" s="56" t="s">
        <v>4820</v>
      </c>
      <c r="B1563" s="57">
        <v>44365.016238425924</v>
      </c>
      <c r="C1563" s="56" t="s">
        <v>4512</v>
      </c>
      <c r="D1563" s="56" t="s">
        <v>4511</v>
      </c>
      <c r="E1563" s="56" t="s">
        <v>4819</v>
      </c>
      <c r="F1563" s="56" t="s">
        <v>4818</v>
      </c>
      <c r="G1563" s="58" t="s">
        <v>3747</v>
      </c>
      <c r="H1563" s="56">
        <v>1</v>
      </c>
      <c r="I1563" s="56" t="s">
        <v>3746</v>
      </c>
      <c r="J1563" s="56">
        <v>660</v>
      </c>
      <c r="K1563" s="56">
        <v>450</v>
      </c>
      <c r="L1563" s="56">
        <v>450</v>
      </c>
      <c r="M1563" s="56">
        <v>65</v>
      </c>
      <c r="N1563" s="56">
        <v>0</v>
      </c>
      <c r="O1563" s="56">
        <v>0</v>
      </c>
      <c r="P1563" s="56">
        <v>0</v>
      </c>
      <c r="Q1563" s="56">
        <v>515</v>
      </c>
      <c r="R1563" s="56">
        <v>0</v>
      </c>
      <c r="S1563" s="56">
        <v>0</v>
      </c>
      <c r="T1563" s="56" t="s">
        <v>3562</v>
      </c>
      <c r="U1563" s="56">
        <v>515</v>
      </c>
      <c r="V1563" s="56" t="s">
        <v>3549</v>
      </c>
      <c r="W1563" s="56" t="s">
        <v>3548</v>
      </c>
      <c r="X1563" s="56" t="s">
        <v>3547</v>
      </c>
      <c r="Z1563" s="56" t="s">
        <v>3546</v>
      </c>
      <c r="AA1563" s="56" t="s">
        <v>4817</v>
      </c>
      <c r="AB1563" s="56" t="s">
        <v>4816</v>
      </c>
      <c r="AC1563" s="56" t="s">
        <v>3543</v>
      </c>
      <c r="AD1563" s="56" t="s">
        <v>24</v>
      </c>
      <c r="AE1563" s="56" t="s">
        <v>3725</v>
      </c>
      <c r="AF1563" s="56" t="s">
        <v>4815</v>
      </c>
      <c r="AH1563" s="56" t="s">
        <v>3542</v>
      </c>
      <c r="AI1563" s="56" t="s">
        <v>3723</v>
      </c>
    </row>
    <row r="1564" spans="1:35" ht="33" customHeight="1">
      <c r="A1564" s="56" t="s">
        <v>4820</v>
      </c>
      <c r="B1564" s="57">
        <v>44365.016238425924</v>
      </c>
      <c r="C1564" s="56" t="s">
        <v>4512</v>
      </c>
      <c r="D1564" s="56" t="s">
        <v>4511</v>
      </c>
      <c r="E1564" s="56" t="s">
        <v>4819</v>
      </c>
      <c r="F1564" s="56" t="s">
        <v>4818</v>
      </c>
      <c r="G1564" s="58" t="s">
        <v>3551</v>
      </c>
      <c r="H1564" s="56">
        <v>1</v>
      </c>
      <c r="I1564" s="56" t="s">
        <v>3550</v>
      </c>
      <c r="J1564" s="56">
        <v>0</v>
      </c>
      <c r="K1564" s="56">
        <v>0</v>
      </c>
      <c r="P1564" s="56">
        <v>0</v>
      </c>
      <c r="S1564" s="56">
        <v>0</v>
      </c>
      <c r="T1564" s="56" t="s">
        <v>3562</v>
      </c>
      <c r="V1564" s="56" t="s">
        <v>3549</v>
      </c>
      <c r="W1564" s="56" t="s">
        <v>3548</v>
      </c>
      <c r="X1564" s="56" t="s">
        <v>3547</v>
      </c>
      <c r="Z1564" s="56" t="s">
        <v>3546</v>
      </c>
      <c r="AA1564" s="56" t="s">
        <v>4817</v>
      </c>
      <c r="AB1564" s="56" t="s">
        <v>4816</v>
      </c>
      <c r="AC1564" s="56" t="s">
        <v>3543</v>
      </c>
      <c r="AD1564" s="56" t="s">
        <v>24</v>
      </c>
      <c r="AE1564" s="56" t="s">
        <v>3725</v>
      </c>
      <c r="AF1564" s="56" t="s">
        <v>4815</v>
      </c>
      <c r="AH1564" s="56" t="s">
        <v>3542</v>
      </c>
      <c r="AI1564" s="56" t="s">
        <v>3723</v>
      </c>
    </row>
    <row r="1565" spans="1:35" ht="33" customHeight="1">
      <c r="A1565" s="56" t="s">
        <v>4814</v>
      </c>
      <c r="B1565" s="57">
        <v>44365.039988425924</v>
      </c>
      <c r="C1565" s="56" t="s">
        <v>3803</v>
      </c>
      <c r="D1565" s="56" t="s">
        <v>4426</v>
      </c>
      <c r="E1565" s="56" t="s">
        <v>4813</v>
      </c>
      <c r="F1565" s="56" t="s">
        <v>4812</v>
      </c>
      <c r="G1565" s="58" t="s">
        <v>3656</v>
      </c>
      <c r="H1565" s="56">
        <v>1</v>
      </c>
      <c r="I1565" s="56" t="s">
        <v>3655</v>
      </c>
      <c r="J1565" s="56">
        <v>1107</v>
      </c>
      <c r="K1565" s="56">
        <v>799</v>
      </c>
      <c r="L1565" s="56">
        <v>1017</v>
      </c>
      <c r="M1565" s="56">
        <v>0</v>
      </c>
      <c r="N1565" s="56">
        <v>0</v>
      </c>
      <c r="O1565" s="56">
        <v>100</v>
      </c>
      <c r="P1565" s="56">
        <v>0</v>
      </c>
      <c r="Q1565" s="56">
        <v>917</v>
      </c>
      <c r="R1565" s="56">
        <v>0</v>
      </c>
      <c r="S1565" s="56">
        <v>0</v>
      </c>
      <c r="T1565" s="56" t="s">
        <v>27</v>
      </c>
      <c r="U1565" s="56">
        <v>917</v>
      </c>
      <c r="V1565" s="56" t="s">
        <v>3612</v>
      </c>
      <c r="W1565" s="56" t="s">
        <v>3548</v>
      </c>
      <c r="X1565" s="56" t="s">
        <v>3611</v>
      </c>
      <c r="Z1565" s="56" t="s">
        <v>3546</v>
      </c>
      <c r="AA1565" s="56" t="s">
        <v>4811</v>
      </c>
      <c r="AB1565" s="56" t="s">
        <v>4810</v>
      </c>
      <c r="AC1565" s="56" t="s">
        <v>3842</v>
      </c>
      <c r="AH1565" s="56" t="s">
        <v>3542</v>
      </c>
      <c r="AI1565" s="56" t="s">
        <v>3541</v>
      </c>
    </row>
    <row r="1566" spans="1:35" ht="33" customHeight="1">
      <c r="A1566" s="56" t="s">
        <v>4814</v>
      </c>
      <c r="B1566" s="57">
        <v>44365.039988425924</v>
      </c>
      <c r="C1566" s="56" t="s">
        <v>3803</v>
      </c>
      <c r="D1566" s="56" t="s">
        <v>4426</v>
      </c>
      <c r="E1566" s="56" t="s">
        <v>4813</v>
      </c>
      <c r="F1566" s="56" t="s">
        <v>4812</v>
      </c>
      <c r="G1566" s="58" t="s">
        <v>3217</v>
      </c>
      <c r="H1566" s="56">
        <v>1</v>
      </c>
      <c r="I1566" s="56" t="s">
        <v>3594</v>
      </c>
      <c r="J1566" s="56">
        <v>69</v>
      </c>
      <c r="K1566" s="56">
        <v>69</v>
      </c>
      <c r="P1566" s="56">
        <v>0</v>
      </c>
      <c r="S1566" s="56">
        <v>0</v>
      </c>
      <c r="T1566" s="56" t="s">
        <v>27</v>
      </c>
      <c r="V1566" s="56" t="s">
        <v>3612</v>
      </c>
      <c r="W1566" s="56" t="s">
        <v>3548</v>
      </c>
      <c r="X1566" s="56" t="s">
        <v>3611</v>
      </c>
      <c r="Z1566" s="56" t="s">
        <v>3546</v>
      </c>
      <c r="AA1566" s="56" t="s">
        <v>4811</v>
      </c>
      <c r="AB1566" s="56" t="s">
        <v>4810</v>
      </c>
      <c r="AC1566" s="56" t="s">
        <v>3842</v>
      </c>
      <c r="AH1566" s="56" t="s">
        <v>3542</v>
      </c>
      <c r="AI1566" s="56" t="s">
        <v>3541</v>
      </c>
    </row>
    <row r="1567" spans="1:35" ht="33" customHeight="1">
      <c r="A1567" s="56" t="s">
        <v>4814</v>
      </c>
      <c r="B1567" s="57">
        <v>44365.039988425924</v>
      </c>
      <c r="C1567" s="56" t="s">
        <v>3803</v>
      </c>
      <c r="D1567" s="56" t="s">
        <v>4426</v>
      </c>
      <c r="E1567" s="56" t="s">
        <v>4813</v>
      </c>
      <c r="F1567" s="56" t="s">
        <v>4812</v>
      </c>
      <c r="G1567" s="58" t="s">
        <v>1713</v>
      </c>
      <c r="H1567" s="56">
        <v>1</v>
      </c>
      <c r="I1567" s="56" t="s">
        <v>3587</v>
      </c>
      <c r="J1567" s="56">
        <v>149</v>
      </c>
      <c r="K1567" s="56">
        <v>149</v>
      </c>
      <c r="P1567" s="56">
        <v>0</v>
      </c>
      <c r="S1567" s="56">
        <v>0</v>
      </c>
      <c r="T1567" s="56" t="s">
        <v>27</v>
      </c>
      <c r="V1567" s="56" t="s">
        <v>3612</v>
      </c>
      <c r="W1567" s="56" t="s">
        <v>3548</v>
      </c>
      <c r="X1567" s="56" t="s">
        <v>3611</v>
      </c>
      <c r="Z1567" s="56" t="s">
        <v>3546</v>
      </c>
      <c r="AA1567" s="56" t="s">
        <v>4811</v>
      </c>
      <c r="AB1567" s="56" t="s">
        <v>4810</v>
      </c>
      <c r="AC1567" s="56" t="s">
        <v>3842</v>
      </c>
      <c r="AH1567" s="56" t="s">
        <v>3542</v>
      </c>
      <c r="AI1567" s="56" t="s">
        <v>3541</v>
      </c>
    </row>
    <row r="1568" spans="1:35" ht="33" customHeight="1">
      <c r="A1568" s="56" t="s">
        <v>4814</v>
      </c>
      <c r="B1568" s="57">
        <v>44365.039988425924</v>
      </c>
      <c r="C1568" s="56" t="s">
        <v>3803</v>
      </c>
      <c r="D1568" s="56" t="s">
        <v>4426</v>
      </c>
      <c r="E1568" s="56" t="s">
        <v>4813</v>
      </c>
      <c r="F1568" s="56" t="s">
        <v>4812</v>
      </c>
      <c r="G1568" s="58" t="s">
        <v>3551</v>
      </c>
      <c r="H1568" s="56">
        <v>1</v>
      </c>
      <c r="I1568" s="56" t="s">
        <v>3550</v>
      </c>
      <c r="J1568" s="56">
        <v>0</v>
      </c>
      <c r="K1568" s="56">
        <v>0</v>
      </c>
      <c r="P1568" s="56">
        <v>0</v>
      </c>
      <c r="S1568" s="56">
        <v>0</v>
      </c>
      <c r="T1568" s="56" t="s">
        <v>27</v>
      </c>
      <c r="V1568" s="56" t="s">
        <v>3612</v>
      </c>
      <c r="W1568" s="56" t="s">
        <v>3548</v>
      </c>
      <c r="X1568" s="56" t="s">
        <v>3611</v>
      </c>
      <c r="Z1568" s="56" t="s">
        <v>3546</v>
      </c>
      <c r="AA1568" s="56" t="s">
        <v>4811</v>
      </c>
      <c r="AB1568" s="56" t="s">
        <v>4810</v>
      </c>
      <c r="AC1568" s="56" t="s">
        <v>3842</v>
      </c>
      <c r="AH1568" s="56" t="s">
        <v>3542</v>
      </c>
      <c r="AI1568" s="56" t="s">
        <v>3541</v>
      </c>
    </row>
    <row r="1569" spans="1:35" ht="33" customHeight="1">
      <c r="A1569" s="56" t="s">
        <v>4809</v>
      </c>
      <c r="B1569" s="57">
        <v>44365.09275462963</v>
      </c>
      <c r="C1569" s="56" t="s">
        <v>3803</v>
      </c>
      <c r="D1569" s="56" t="s">
        <v>4426</v>
      </c>
      <c r="E1569" s="56" t="s">
        <v>4808</v>
      </c>
      <c r="F1569" s="56" t="s">
        <v>4807</v>
      </c>
      <c r="G1569" s="58" t="s">
        <v>3171</v>
      </c>
      <c r="H1569" s="56">
        <v>1</v>
      </c>
      <c r="I1569" s="56" t="s">
        <v>3695</v>
      </c>
      <c r="J1569" s="56">
        <v>399</v>
      </c>
      <c r="K1569" s="56">
        <v>399</v>
      </c>
      <c r="L1569" s="56">
        <v>399</v>
      </c>
      <c r="M1569" s="56">
        <v>65</v>
      </c>
      <c r="N1569" s="56">
        <v>0</v>
      </c>
      <c r="O1569" s="56">
        <v>0</v>
      </c>
      <c r="P1569" s="56">
        <v>0</v>
      </c>
      <c r="Q1569" s="56">
        <v>464</v>
      </c>
      <c r="R1569" s="56">
        <v>0</v>
      </c>
      <c r="S1569" s="56">
        <v>0</v>
      </c>
      <c r="T1569" s="56" t="s">
        <v>27</v>
      </c>
      <c r="U1569" s="56">
        <v>464</v>
      </c>
      <c r="V1569" s="56" t="s">
        <v>3549</v>
      </c>
      <c r="W1569" s="56" t="s">
        <v>3548</v>
      </c>
      <c r="X1569" s="56" t="s">
        <v>3547</v>
      </c>
      <c r="Z1569" s="56" t="s">
        <v>3546</v>
      </c>
      <c r="AA1569" s="56" t="s">
        <v>4806</v>
      </c>
      <c r="AB1569" s="56" t="s">
        <v>4805</v>
      </c>
      <c r="AC1569" s="56" t="s">
        <v>3543</v>
      </c>
      <c r="AH1569" s="56" t="s">
        <v>3542</v>
      </c>
      <c r="AI1569" s="56" t="s">
        <v>3541</v>
      </c>
    </row>
    <row r="1570" spans="1:35" ht="33" customHeight="1">
      <c r="A1570" s="56" t="s">
        <v>4809</v>
      </c>
      <c r="B1570" s="57">
        <v>44365.09275462963</v>
      </c>
      <c r="C1570" s="56" t="s">
        <v>3803</v>
      </c>
      <c r="D1570" s="56" t="s">
        <v>4426</v>
      </c>
      <c r="E1570" s="56" t="s">
        <v>4808</v>
      </c>
      <c r="F1570" s="56" t="s">
        <v>4807</v>
      </c>
      <c r="G1570" s="58" t="s">
        <v>3551</v>
      </c>
      <c r="H1570" s="56">
        <v>1</v>
      </c>
      <c r="I1570" s="56" t="s">
        <v>3550</v>
      </c>
      <c r="J1570" s="56">
        <v>0</v>
      </c>
      <c r="K1570" s="56">
        <v>0</v>
      </c>
      <c r="P1570" s="56">
        <v>0</v>
      </c>
      <c r="S1570" s="56">
        <v>0</v>
      </c>
      <c r="T1570" s="56" t="s">
        <v>27</v>
      </c>
      <c r="V1570" s="56" t="s">
        <v>3549</v>
      </c>
      <c r="W1570" s="56" t="s">
        <v>3548</v>
      </c>
      <c r="X1570" s="56" t="s">
        <v>3547</v>
      </c>
      <c r="Z1570" s="56" t="s">
        <v>3546</v>
      </c>
      <c r="AA1570" s="56" t="s">
        <v>4806</v>
      </c>
      <c r="AB1570" s="56" t="s">
        <v>4805</v>
      </c>
      <c r="AC1570" s="56" t="s">
        <v>3543</v>
      </c>
      <c r="AH1570" s="56" t="s">
        <v>3542</v>
      </c>
      <c r="AI1570" s="56" t="s">
        <v>3541</v>
      </c>
    </row>
    <row r="1571" spans="1:35" ht="33" customHeight="1">
      <c r="A1571" s="56" t="s">
        <v>4804</v>
      </c>
      <c r="B1571" s="57">
        <v>44365.147141203706</v>
      </c>
      <c r="C1571" s="56" t="s">
        <v>3803</v>
      </c>
      <c r="D1571" s="56" t="s">
        <v>4426</v>
      </c>
      <c r="E1571" s="56" t="s">
        <v>4803</v>
      </c>
      <c r="F1571" s="56" t="s">
        <v>4802</v>
      </c>
      <c r="G1571" s="58" t="s">
        <v>3603</v>
      </c>
      <c r="H1571" s="56">
        <v>2</v>
      </c>
      <c r="I1571" s="56" t="s">
        <v>3602</v>
      </c>
      <c r="J1571" s="56">
        <v>447</v>
      </c>
      <c r="K1571" s="56">
        <v>399</v>
      </c>
      <c r="L1571" s="56">
        <v>798</v>
      </c>
      <c r="M1571" s="56">
        <v>65</v>
      </c>
      <c r="N1571" s="56">
        <v>0</v>
      </c>
      <c r="O1571" s="56">
        <v>0</v>
      </c>
      <c r="P1571" s="56">
        <v>0</v>
      </c>
      <c r="Q1571" s="56">
        <v>863</v>
      </c>
      <c r="R1571" s="56">
        <v>0</v>
      </c>
      <c r="S1571" s="56">
        <v>0</v>
      </c>
      <c r="T1571" s="56" t="s">
        <v>27</v>
      </c>
      <c r="U1571" s="56">
        <v>863</v>
      </c>
      <c r="V1571" s="56" t="s">
        <v>3612</v>
      </c>
      <c r="W1571" s="56" t="s">
        <v>3548</v>
      </c>
      <c r="X1571" s="56" t="s">
        <v>3611</v>
      </c>
      <c r="Z1571" s="56" t="s">
        <v>3546</v>
      </c>
      <c r="AA1571" s="56" t="s">
        <v>4801</v>
      </c>
      <c r="AB1571" s="56" t="s">
        <v>4800</v>
      </c>
      <c r="AC1571" s="56" t="s">
        <v>3543</v>
      </c>
      <c r="AH1571" s="56" t="s">
        <v>3542</v>
      </c>
      <c r="AI1571" s="56" t="s">
        <v>3541</v>
      </c>
    </row>
    <row r="1572" spans="1:35" ht="33" customHeight="1">
      <c r="A1572" s="56" t="s">
        <v>4804</v>
      </c>
      <c r="B1572" s="57">
        <v>44365.147141203706</v>
      </c>
      <c r="C1572" s="56" t="s">
        <v>3803</v>
      </c>
      <c r="D1572" s="56" t="s">
        <v>4426</v>
      </c>
      <c r="E1572" s="56" t="s">
        <v>4803</v>
      </c>
      <c r="F1572" s="56" t="s">
        <v>4802</v>
      </c>
      <c r="G1572" s="58" t="s">
        <v>3551</v>
      </c>
      <c r="H1572" s="56">
        <v>1</v>
      </c>
      <c r="I1572" s="56" t="s">
        <v>3550</v>
      </c>
      <c r="J1572" s="56">
        <v>0</v>
      </c>
      <c r="K1572" s="56">
        <v>0</v>
      </c>
      <c r="P1572" s="56">
        <v>0</v>
      </c>
      <c r="S1572" s="56">
        <v>0</v>
      </c>
      <c r="T1572" s="56" t="s">
        <v>27</v>
      </c>
      <c r="V1572" s="56" t="s">
        <v>3612</v>
      </c>
      <c r="W1572" s="56" t="s">
        <v>3548</v>
      </c>
      <c r="X1572" s="56" t="s">
        <v>3611</v>
      </c>
      <c r="Z1572" s="56" t="s">
        <v>3546</v>
      </c>
      <c r="AA1572" s="56" t="s">
        <v>4801</v>
      </c>
      <c r="AB1572" s="56" t="s">
        <v>4800</v>
      </c>
      <c r="AC1572" s="56" t="s">
        <v>3543</v>
      </c>
      <c r="AH1572" s="56" t="s">
        <v>3542</v>
      </c>
      <c r="AI1572" s="56" t="s">
        <v>3541</v>
      </c>
    </row>
    <row r="1573" spans="1:35" ht="33" customHeight="1">
      <c r="A1573" s="56" t="s">
        <v>4799</v>
      </c>
      <c r="B1573" s="57">
        <v>44365.247754629629</v>
      </c>
      <c r="C1573" s="56" t="s">
        <v>3803</v>
      </c>
      <c r="D1573" s="56" t="s">
        <v>4426</v>
      </c>
      <c r="E1573" s="56" t="s">
        <v>4798</v>
      </c>
      <c r="F1573" s="56" t="s">
        <v>4797</v>
      </c>
      <c r="G1573" s="58" t="s">
        <v>3953</v>
      </c>
      <c r="H1573" s="56">
        <v>1</v>
      </c>
      <c r="I1573" s="56" t="s">
        <v>3669</v>
      </c>
      <c r="J1573" s="56">
        <v>897</v>
      </c>
      <c r="K1573" s="56">
        <v>888</v>
      </c>
      <c r="L1573" s="56">
        <v>1023</v>
      </c>
      <c r="M1573" s="56">
        <v>0</v>
      </c>
      <c r="N1573" s="56">
        <v>0</v>
      </c>
      <c r="O1573" s="56">
        <v>100</v>
      </c>
      <c r="P1573" s="56">
        <v>0</v>
      </c>
      <c r="Q1573" s="56">
        <v>923</v>
      </c>
      <c r="R1573" s="56">
        <v>0</v>
      </c>
      <c r="S1573" s="56">
        <v>0</v>
      </c>
      <c r="T1573" s="56" t="s">
        <v>27</v>
      </c>
      <c r="U1573" s="56">
        <v>923</v>
      </c>
      <c r="V1573" s="56" t="s">
        <v>3549</v>
      </c>
      <c r="W1573" s="56" t="s">
        <v>3548</v>
      </c>
      <c r="X1573" s="56" t="s">
        <v>3547</v>
      </c>
      <c r="Z1573" s="56" t="s">
        <v>3546</v>
      </c>
      <c r="AA1573" s="56" t="s">
        <v>1273</v>
      </c>
      <c r="AB1573" s="56" t="s">
        <v>4796</v>
      </c>
      <c r="AC1573" s="56" t="s">
        <v>3543</v>
      </c>
      <c r="AH1573" s="56" t="s">
        <v>3542</v>
      </c>
      <c r="AI1573" s="56" t="s">
        <v>3541</v>
      </c>
    </row>
    <row r="1574" spans="1:35" ht="33" customHeight="1">
      <c r="A1574" s="56" t="s">
        <v>4799</v>
      </c>
      <c r="B1574" s="57">
        <v>44365.247754629629</v>
      </c>
      <c r="C1574" s="56" t="s">
        <v>3803</v>
      </c>
      <c r="D1574" s="56" t="s">
        <v>4426</v>
      </c>
      <c r="E1574" s="56" t="s">
        <v>4798</v>
      </c>
      <c r="F1574" s="56" t="s">
        <v>4797</v>
      </c>
      <c r="G1574" s="58" t="s">
        <v>1493</v>
      </c>
      <c r="H1574" s="56">
        <v>1</v>
      </c>
      <c r="I1574" s="56" t="s">
        <v>3601</v>
      </c>
      <c r="J1574" s="56">
        <v>135</v>
      </c>
      <c r="K1574" s="56">
        <v>135</v>
      </c>
      <c r="P1574" s="56">
        <v>0</v>
      </c>
      <c r="S1574" s="56">
        <v>0</v>
      </c>
      <c r="T1574" s="56" t="s">
        <v>27</v>
      </c>
      <c r="V1574" s="56" t="s">
        <v>3549</v>
      </c>
      <c r="W1574" s="56" t="s">
        <v>3548</v>
      </c>
      <c r="X1574" s="56" t="s">
        <v>3547</v>
      </c>
      <c r="Z1574" s="56" t="s">
        <v>3546</v>
      </c>
      <c r="AA1574" s="56" t="s">
        <v>1273</v>
      </c>
      <c r="AB1574" s="56" t="s">
        <v>4796</v>
      </c>
      <c r="AC1574" s="56" t="s">
        <v>3543</v>
      </c>
      <c r="AH1574" s="56" t="s">
        <v>3542</v>
      </c>
      <c r="AI1574" s="56" t="s">
        <v>3541</v>
      </c>
    </row>
    <row r="1575" spans="1:35" ht="33" customHeight="1">
      <c r="A1575" s="56" t="s">
        <v>4799</v>
      </c>
      <c r="B1575" s="57">
        <v>44365.247754629629</v>
      </c>
      <c r="C1575" s="56" t="s">
        <v>3803</v>
      </c>
      <c r="D1575" s="56" t="s">
        <v>4426</v>
      </c>
      <c r="E1575" s="56" t="s">
        <v>4798</v>
      </c>
      <c r="F1575" s="56" t="s">
        <v>4797</v>
      </c>
      <c r="G1575" s="58" t="s">
        <v>3551</v>
      </c>
      <c r="H1575" s="56">
        <v>1</v>
      </c>
      <c r="I1575" s="56" t="s">
        <v>3550</v>
      </c>
      <c r="J1575" s="56">
        <v>0</v>
      </c>
      <c r="K1575" s="56">
        <v>0</v>
      </c>
      <c r="P1575" s="56">
        <v>0</v>
      </c>
      <c r="S1575" s="56">
        <v>0</v>
      </c>
      <c r="T1575" s="56" t="s">
        <v>27</v>
      </c>
      <c r="V1575" s="56" t="s">
        <v>3549</v>
      </c>
      <c r="W1575" s="56" t="s">
        <v>3548</v>
      </c>
      <c r="X1575" s="56" t="s">
        <v>3547</v>
      </c>
      <c r="Z1575" s="56" t="s">
        <v>3546</v>
      </c>
      <c r="AA1575" s="56" t="s">
        <v>1273</v>
      </c>
      <c r="AB1575" s="56" t="s">
        <v>4796</v>
      </c>
      <c r="AC1575" s="56" t="s">
        <v>3543</v>
      </c>
      <c r="AH1575" s="56" t="s">
        <v>3542</v>
      </c>
      <c r="AI1575" s="56" t="s">
        <v>3541</v>
      </c>
    </row>
    <row r="1576" spans="1:35" ht="33" customHeight="1">
      <c r="A1576" s="56" t="s">
        <v>4795</v>
      </c>
      <c r="B1576" s="57">
        <v>44365.274942129632</v>
      </c>
      <c r="C1576" s="56" t="s">
        <v>3803</v>
      </c>
      <c r="D1576" s="56" t="s">
        <v>4426</v>
      </c>
      <c r="E1576" s="56" t="s">
        <v>4794</v>
      </c>
      <c r="F1576" s="56" t="s">
        <v>4793</v>
      </c>
      <c r="G1576" s="58" t="s">
        <v>1491</v>
      </c>
      <c r="H1576" s="56">
        <v>1</v>
      </c>
      <c r="I1576" s="56" t="s">
        <v>3586</v>
      </c>
      <c r="J1576" s="56">
        <v>149</v>
      </c>
      <c r="K1576" s="56">
        <v>149</v>
      </c>
      <c r="L1576" s="56">
        <v>947</v>
      </c>
      <c r="M1576" s="56">
        <v>0</v>
      </c>
      <c r="N1576" s="56">
        <v>0</v>
      </c>
      <c r="O1576" s="56">
        <v>0</v>
      </c>
      <c r="P1576" s="56">
        <v>0</v>
      </c>
      <c r="Q1576" s="56">
        <v>947</v>
      </c>
      <c r="R1576" s="56">
        <v>0</v>
      </c>
      <c r="S1576" s="56">
        <v>0</v>
      </c>
      <c r="T1576" s="56" t="s">
        <v>27</v>
      </c>
      <c r="U1576" s="56">
        <v>947</v>
      </c>
      <c r="V1576" s="56" t="s">
        <v>3549</v>
      </c>
      <c r="W1576" s="56" t="s">
        <v>3548</v>
      </c>
      <c r="X1576" s="56" t="s">
        <v>3547</v>
      </c>
      <c r="Z1576" s="56" t="s">
        <v>3546</v>
      </c>
      <c r="AA1576" s="56" t="s">
        <v>4792</v>
      </c>
      <c r="AB1576" s="56" t="s">
        <v>4791</v>
      </c>
      <c r="AC1576" s="56" t="s">
        <v>3543</v>
      </c>
      <c r="AH1576" s="56" t="s">
        <v>3542</v>
      </c>
      <c r="AI1576" s="56" t="s">
        <v>3541</v>
      </c>
    </row>
    <row r="1577" spans="1:35" ht="33" customHeight="1">
      <c r="A1577" s="56" t="s">
        <v>4795</v>
      </c>
      <c r="B1577" s="57">
        <v>44365.274942129632</v>
      </c>
      <c r="C1577" s="56" t="s">
        <v>3803</v>
      </c>
      <c r="D1577" s="56" t="s">
        <v>4426</v>
      </c>
      <c r="E1577" s="56" t="s">
        <v>4794</v>
      </c>
      <c r="F1577" s="56" t="s">
        <v>4793</v>
      </c>
      <c r="G1577" s="58" t="s">
        <v>1493</v>
      </c>
      <c r="H1577" s="56">
        <v>2</v>
      </c>
      <c r="I1577" s="56" t="s">
        <v>3586</v>
      </c>
      <c r="J1577" s="56">
        <v>149</v>
      </c>
      <c r="K1577" s="56">
        <v>149</v>
      </c>
      <c r="P1577" s="56">
        <v>0</v>
      </c>
      <c r="S1577" s="56">
        <v>0</v>
      </c>
      <c r="T1577" s="56" t="s">
        <v>27</v>
      </c>
      <c r="V1577" s="56" t="s">
        <v>3549</v>
      </c>
      <c r="W1577" s="56" t="s">
        <v>3548</v>
      </c>
      <c r="X1577" s="56" t="s">
        <v>3547</v>
      </c>
      <c r="Z1577" s="56" t="s">
        <v>3546</v>
      </c>
      <c r="AA1577" s="56" t="s">
        <v>4792</v>
      </c>
      <c r="AB1577" s="56" t="s">
        <v>4791</v>
      </c>
      <c r="AC1577" s="56" t="s">
        <v>3543</v>
      </c>
      <c r="AH1577" s="56" t="s">
        <v>3542</v>
      </c>
      <c r="AI1577" s="56" t="s">
        <v>3541</v>
      </c>
    </row>
    <row r="1578" spans="1:35" ht="33" customHeight="1">
      <c r="A1578" s="56" t="s">
        <v>4795</v>
      </c>
      <c r="B1578" s="57">
        <v>44365.274942129632</v>
      </c>
      <c r="C1578" s="56" t="s">
        <v>3803</v>
      </c>
      <c r="D1578" s="56" t="s">
        <v>4426</v>
      </c>
      <c r="E1578" s="56" t="s">
        <v>4794</v>
      </c>
      <c r="F1578" s="56" t="s">
        <v>4793</v>
      </c>
      <c r="G1578" s="58" t="s">
        <v>3299</v>
      </c>
      <c r="H1578" s="56">
        <v>1</v>
      </c>
      <c r="I1578" s="56" t="s">
        <v>3576</v>
      </c>
      <c r="J1578" s="56">
        <v>260</v>
      </c>
      <c r="K1578" s="56">
        <v>260</v>
      </c>
      <c r="P1578" s="56">
        <v>0</v>
      </c>
      <c r="S1578" s="56">
        <v>0</v>
      </c>
      <c r="T1578" s="56" t="s">
        <v>27</v>
      </c>
      <c r="V1578" s="56" t="s">
        <v>3549</v>
      </c>
      <c r="W1578" s="56" t="s">
        <v>3548</v>
      </c>
      <c r="X1578" s="56" t="s">
        <v>3547</v>
      </c>
      <c r="Z1578" s="56" t="s">
        <v>3546</v>
      </c>
      <c r="AA1578" s="56" t="s">
        <v>4792</v>
      </c>
      <c r="AB1578" s="56" t="s">
        <v>4791</v>
      </c>
      <c r="AC1578" s="56" t="s">
        <v>3543</v>
      </c>
      <c r="AH1578" s="56" t="s">
        <v>3542</v>
      </c>
      <c r="AI1578" s="56" t="s">
        <v>3541</v>
      </c>
    </row>
    <row r="1579" spans="1:35" ht="33" customHeight="1">
      <c r="A1579" s="56" t="s">
        <v>4795</v>
      </c>
      <c r="B1579" s="57">
        <v>44365.274942129632</v>
      </c>
      <c r="C1579" s="56" t="s">
        <v>3803</v>
      </c>
      <c r="D1579" s="56" t="s">
        <v>4426</v>
      </c>
      <c r="E1579" s="56" t="s">
        <v>4794</v>
      </c>
      <c r="F1579" s="56" t="s">
        <v>4793</v>
      </c>
      <c r="G1579" s="58" t="s">
        <v>3196</v>
      </c>
      <c r="H1579" s="56">
        <v>2</v>
      </c>
      <c r="I1579" s="56" t="s">
        <v>2550</v>
      </c>
      <c r="J1579" s="56">
        <v>120</v>
      </c>
      <c r="K1579" s="56">
        <v>120</v>
      </c>
      <c r="P1579" s="56">
        <v>0</v>
      </c>
      <c r="S1579" s="56">
        <v>0</v>
      </c>
      <c r="T1579" s="56" t="s">
        <v>27</v>
      </c>
      <c r="V1579" s="56" t="s">
        <v>3549</v>
      </c>
      <c r="W1579" s="56" t="s">
        <v>3548</v>
      </c>
      <c r="X1579" s="56" t="s">
        <v>3547</v>
      </c>
      <c r="Z1579" s="56" t="s">
        <v>3546</v>
      </c>
      <c r="AA1579" s="56" t="s">
        <v>4792</v>
      </c>
      <c r="AB1579" s="56" t="s">
        <v>4791</v>
      </c>
      <c r="AC1579" s="56" t="s">
        <v>3543</v>
      </c>
      <c r="AH1579" s="56" t="s">
        <v>3542</v>
      </c>
      <c r="AI1579" s="56" t="s">
        <v>3541</v>
      </c>
    </row>
    <row r="1580" spans="1:35" ht="33" customHeight="1">
      <c r="A1580" s="56" t="s">
        <v>4795</v>
      </c>
      <c r="B1580" s="57">
        <v>44365.274942129632</v>
      </c>
      <c r="C1580" s="56" t="s">
        <v>3803</v>
      </c>
      <c r="D1580" s="56" t="s">
        <v>4426</v>
      </c>
      <c r="E1580" s="56" t="s">
        <v>4794</v>
      </c>
      <c r="F1580" s="56" t="s">
        <v>4793</v>
      </c>
      <c r="G1580" s="58" t="s">
        <v>3551</v>
      </c>
      <c r="H1580" s="56">
        <v>1</v>
      </c>
      <c r="I1580" s="56" t="s">
        <v>3550</v>
      </c>
      <c r="J1580" s="56">
        <v>0</v>
      </c>
      <c r="K1580" s="56">
        <v>0</v>
      </c>
      <c r="P1580" s="56">
        <v>0</v>
      </c>
      <c r="S1580" s="56">
        <v>0</v>
      </c>
      <c r="T1580" s="56" t="s">
        <v>27</v>
      </c>
      <c r="V1580" s="56" t="s">
        <v>3549</v>
      </c>
      <c r="W1580" s="56" t="s">
        <v>3548</v>
      </c>
      <c r="X1580" s="56" t="s">
        <v>3547</v>
      </c>
      <c r="Z1580" s="56" t="s">
        <v>3546</v>
      </c>
      <c r="AA1580" s="56" t="s">
        <v>4792</v>
      </c>
      <c r="AB1580" s="56" t="s">
        <v>4791</v>
      </c>
      <c r="AC1580" s="56" t="s">
        <v>3543</v>
      </c>
      <c r="AH1580" s="56" t="s">
        <v>3542</v>
      </c>
      <c r="AI1580" s="56" t="s">
        <v>3541</v>
      </c>
    </row>
    <row r="1581" spans="1:35" ht="33" customHeight="1">
      <c r="A1581" s="56" t="s">
        <v>4790</v>
      </c>
      <c r="B1581" s="57">
        <v>44365.29965277778</v>
      </c>
      <c r="C1581" s="56" t="s">
        <v>3803</v>
      </c>
      <c r="D1581" s="56" t="s">
        <v>3802</v>
      </c>
      <c r="E1581" s="56" t="s">
        <v>4789</v>
      </c>
      <c r="F1581" s="56" t="s">
        <v>4788</v>
      </c>
      <c r="G1581" s="58" t="s">
        <v>2165</v>
      </c>
      <c r="H1581" s="56">
        <v>1</v>
      </c>
      <c r="I1581" s="56" t="s">
        <v>3694</v>
      </c>
      <c r="J1581" s="56">
        <v>128</v>
      </c>
      <c r="K1581" s="56">
        <v>128</v>
      </c>
      <c r="L1581" s="56">
        <v>826</v>
      </c>
      <c r="M1581" s="56">
        <v>60</v>
      </c>
      <c r="N1581" s="56">
        <v>0</v>
      </c>
      <c r="O1581" s="56">
        <v>0</v>
      </c>
      <c r="P1581" s="56">
        <v>0</v>
      </c>
      <c r="Q1581" s="56">
        <v>886</v>
      </c>
      <c r="R1581" s="56">
        <v>0</v>
      </c>
      <c r="S1581" s="56">
        <v>0</v>
      </c>
      <c r="T1581" s="56" t="s">
        <v>3562</v>
      </c>
      <c r="U1581" s="56">
        <v>886</v>
      </c>
      <c r="V1581" s="56" t="s">
        <v>3561</v>
      </c>
      <c r="W1581" s="56" t="s">
        <v>3548</v>
      </c>
      <c r="X1581" s="56" t="s">
        <v>39</v>
      </c>
      <c r="Y1581" s="56" t="s">
        <v>4787</v>
      </c>
      <c r="Z1581" s="56" t="s">
        <v>4786</v>
      </c>
      <c r="AC1581" s="56" t="s">
        <v>3543</v>
      </c>
      <c r="AD1581" s="56" t="s">
        <v>24</v>
      </c>
      <c r="AE1581" s="56" t="s">
        <v>4530</v>
      </c>
      <c r="AF1581" s="56" t="s">
        <v>4785</v>
      </c>
      <c r="AH1581" s="56" t="s">
        <v>3542</v>
      </c>
      <c r="AI1581" s="56" t="s">
        <v>3723</v>
      </c>
    </row>
    <row r="1582" spans="1:35" ht="33" customHeight="1">
      <c r="A1582" s="56" t="s">
        <v>4790</v>
      </c>
      <c r="B1582" s="57">
        <v>44365.29965277778</v>
      </c>
      <c r="C1582" s="56" t="s">
        <v>3803</v>
      </c>
      <c r="D1582" s="56" t="s">
        <v>3802</v>
      </c>
      <c r="E1582" s="56" t="s">
        <v>4789</v>
      </c>
      <c r="F1582" s="56" t="s">
        <v>4788</v>
      </c>
      <c r="G1582" s="58" t="s">
        <v>1531</v>
      </c>
      <c r="H1582" s="56">
        <v>1</v>
      </c>
      <c r="I1582" s="56" t="s">
        <v>3696</v>
      </c>
      <c r="J1582" s="56">
        <v>299</v>
      </c>
      <c r="K1582" s="56">
        <v>299</v>
      </c>
      <c r="P1582" s="56">
        <v>0</v>
      </c>
      <c r="S1582" s="56">
        <v>0</v>
      </c>
      <c r="T1582" s="56" t="s">
        <v>3562</v>
      </c>
      <c r="V1582" s="56" t="s">
        <v>3561</v>
      </c>
      <c r="W1582" s="56" t="s">
        <v>3548</v>
      </c>
      <c r="X1582" s="56" t="s">
        <v>39</v>
      </c>
      <c r="Y1582" s="56" t="s">
        <v>4787</v>
      </c>
      <c r="Z1582" s="56" t="s">
        <v>4786</v>
      </c>
      <c r="AC1582" s="56" t="s">
        <v>3543</v>
      </c>
      <c r="AD1582" s="56" t="s">
        <v>24</v>
      </c>
      <c r="AE1582" s="56" t="s">
        <v>4530</v>
      </c>
      <c r="AF1582" s="56" t="s">
        <v>4785</v>
      </c>
      <c r="AH1582" s="56" t="s">
        <v>3542</v>
      </c>
      <c r="AI1582" s="56" t="s">
        <v>3723</v>
      </c>
    </row>
    <row r="1583" spans="1:35" ht="33" customHeight="1">
      <c r="A1583" s="56" t="s">
        <v>4790</v>
      </c>
      <c r="B1583" s="57">
        <v>44365.29965277778</v>
      </c>
      <c r="C1583" s="56" t="s">
        <v>3803</v>
      </c>
      <c r="D1583" s="56" t="s">
        <v>3802</v>
      </c>
      <c r="E1583" s="56" t="s">
        <v>4789</v>
      </c>
      <c r="F1583" s="56" t="s">
        <v>4788</v>
      </c>
      <c r="G1583" s="58" t="s">
        <v>3171</v>
      </c>
      <c r="H1583" s="56">
        <v>1</v>
      </c>
      <c r="I1583" s="56" t="s">
        <v>3695</v>
      </c>
      <c r="J1583" s="56">
        <v>399</v>
      </c>
      <c r="K1583" s="56">
        <v>399</v>
      </c>
      <c r="P1583" s="56">
        <v>0</v>
      </c>
      <c r="S1583" s="56">
        <v>0</v>
      </c>
      <c r="T1583" s="56" t="s">
        <v>3562</v>
      </c>
      <c r="V1583" s="56" t="s">
        <v>3561</v>
      </c>
      <c r="W1583" s="56" t="s">
        <v>3548</v>
      </c>
      <c r="X1583" s="56" t="s">
        <v>39</v>
      </c>
      <c r="Y1583" s="56" t="s">
        <v>4787</v>
      </c>
      <c r="Z1583" s="56" t="s">
        <v>4786</v>
      </c>
      <c r="AC1583" s="56" t="s">
        <v>3543</v>
      </c>
      <c r="AD1583" s="56" t="s">
        <v>24</v>
      </c>
      <c r="AE1583" s="56" t="s">
        <v>4530</v>
      </c>
      <c r="AF1583" s="56" t="s">
        <v>4785</v>
      </c>
      <c r="AH1583" s="56" t="s">
        <v>3542</v>
      </c>
      <c r="AI1583" s="56" t="s">
        <v>3723</v>
      </c>
    </row>
    <row r="1584" spans="1:35" ht="33" customHeight="1">
      <c r="A1584" s="56" t="s">
        <v>4790</v>
      </c>
      <c r="B1584" s="57">
        <v>44365.29965277778</v>
      </c>
      <c r="C1584" s="56" t="s">
        <v>3803</v>
      </c>
      <c r="D1584" s="56" t="s">
        <v>3802</v>
      </c>
      <c r="E1584" s="56" t="s">
        <v>4789</v>
      </c>
      <c r="F1584" s="56" t="s">
        <v>4788</v>
      </c>
      <c r="G1584" s="58" t="s">
        <v>3551</v>
      </c>
      <c r="H1584" s="56">
        <v>1</v>
      </c>
      <c r="I1584" s="56" t="s">
        <v>3550</v>
      </c>
      <c r="J1584" s="56">
        <v>0</v>
      </c>
      <c r="K1584" s="56">
        <v>0</v>
      </c>
      <c r="P1584" s="56">
        <v>0</v>
      </c>
      <c r="S1584" s="56">
        <v>0</v>
      </c>
      <c r="T1584" s="56" t="s">
        <v>3562</v>
      </c>
      <c r="V1584" s="56" t="s">
        <v>3561</v>
      </c>
      <c r="W1584" s="56" t="s">
        <v>3548</v>
      </c>
      <c r="X1584" s="56" t="s">
        <v>39</v>
      </c>
      <c r="Y1584" s="56" t="s">
        <v>4787</v>
      </c>
      <c r="Z1584" s="56" t="s">
        <v>4786</v>
      </c>
      <c r="AC1584" s="56" t="s">
        <v>3543</v>
      </c>
      <c r="AD1584" s="56" t="s">
        <v>24</v>
      </c>
      <c r="AE1584" s="56" t="s">
        <v>4530</v>
      </c>
      <c r="AF1584" s="56" t="s">
        <v>4785</v>
      </c>
      <c r="AH1584" s="56" t="s">
        <v>3542</v>
      </c>
      <c r="AI1584" s="56" t="s">
        <v>3723</v>
      </c>
    </row>
    <row r="1585" spans="1:35" ht="33" customHeight="1">
      <c r="A1585" s="56" t="s">
        <v>4784</v>
      </c>
      <c r="B1585" s="57">
        <v>44365.309178240743</v>
      </c>
      <c r="C1585" s="56" t="s">
        <v>3803</v>
      </c>
      <c r="D1585" s="56" t="s">
        <v>4426</v>
      </c>
      <c r="E1585" s="56" t="s">
        <v>4783</v>
      </c>
      <c r="F1585" s="56" t="s">
        <v>4782</v>
      </c>
      <c r="G1585" s="58" t="s">
        <v>3681</v>
      </c>
      <c r="H1585" s="56">
        <v>1</v>
      </c>
      <c r="I1585" s="56" t="s">
        <v>3569</v>
      </c>
      <c r="J1585" s="56">
        <v>894</v>
      </c>
      <c r="K1585" s="56">
        <v>750</v>
      </c>
      <c r="L1585" s="56">
        <v>1955</v>
      </c>
      <c r="M1585" s="56">
        <v>0</v>
      </c>
      <c r="N1585" s="56">
        <v>0</v>
      </c>
      <c r="O1585" s="56">
        <v>168</v>
      </c>
      <c r="P1585" s="56">
        <v>0</v>
      </c>
      <c r="Q1585" s="56">
        <v>1787</v>
      </c>
      <c r="R1585" s="56">
        <v>0</v>
      </c>
      <c r="S1585" s="56">
        <v>0</v>
      </c>
      <c r="T1585" s="56" t="s">
        <v>27</v>
      </c>
      <c r="U1585" s="56">
        <v>1787</v>
      </c>
      <c r="V1585" s="56" t="s">
        <v>3549</v>
      </c>
      <c r="W1585" s="56" t="s">
        <v>3548</v>
      </c>
      <c r="X1585" s="56" t="s">
        <v>3547</v>
      </c>
      <c r="Z1585" s="56" t="s">
        <v>3546</v>
      </c>
      <c r="AA1585" s="56" t="s">
        <v>4781</v>
      </c>
      <c r="AB1585" s="56" t="s">
        <v>4780</v>
      </c>
      <c r="AC1585" s="56" t="s">
        <v>3543</v>
      </c>
      <c r="AH1585" s="56" t="s">
        <v>3542</v>
      </c>
      <c r="AI1585" s="56" t="s">
        <v>3541</v>
      </c>
    </row>
    <row r="1586" spans="1:35" ht="33" customHeight="1">
      <c r="A1586" s="56" t="s">
        <v>4784</v>
      </c>
      <c r="B1586" s="57">
        <v>44365.309178240743</v>
      </c>
      <c r="C1586" s="56" t="s">
        <v>3803</v>
      </c>
      <c r="D1586" s="56" t="s">
        <v>4426</v>
      </c>
      <c r="E1586" s="56" t="s">
        <v>4783</v>
      </c>
      <c r="F1586" s="56" t="s">
        <v>4782</v>
      </c>
      <c r="G1586" s="58" t="s">
        <v>1493</v>
      </c>
      <c r="H1586" s="56">
        <v>1</v>
      </c>
      <c r="I1586" s="56" t="s">
        <v>3601</v>
      </c>
      <c r="J1586" s="56">
        <v>135</v>
      </c>
      <c r="K1586" s="56">
        <v>135</v>
      </c>
      <c r="P1586" s="56">
        <v>0</v>
      </c>
      <c r="S1586" s="56">
        <v>0</v>
      </c>
      <c r="T1586" s="56" t="s">
        <v>27</v>
      </c>
      <c r="V1586" s="56" t="s">
        <v>3549</v>
      </c>
      <c r="W1586" s="56" t="s">
        <v>3548</v>
      </c>
      <c r="X1586" s="56" t="s">
        <v>3547</v>
      </c>
      <c r="Z1586" s="56" t="s">
        <v>3546</v>
      </c>
      <c r="AA1586" s="56" t="s">
        <v>4781</v>
      </c>
      <c r="AB1586" s="56" t="s">
        <v>4780</v>
      </c>
      <c r="AC1586" s="56" t="s">
        <v>3543</v>
      </c>
      <c r="AH1586" s="56" t="s">
        <v>3542</v>
      </c>
      <c r="AI1586" s="56" t="s">
        <v>3541</v>
      </c>
    </row>
    <row r="1587" spans="1:35" ht="33" customHeight="1">
      <c r="A1587" s="56" t="s">
        <v>4784</v>
      </c>
      <c r="B1587" s="57">
        <v>44365.309178240743</v>
      </c>
      <c r="C1587" s="56" t="s">
        <v>3803</v>
      </c>
      <c r="D1587" s="56" t="s">
        <v>4426</v>
      </c>
      <c r="E1587" s="56" t="s">
        <v>4783</v>
      </c>
      <c r="F1587" s="56" t="s">
        <v>4782</v>
      </c>
      <c r="G1587" s="58" t="s">
        <v>3955</v>
      </c>
      <c r="H1587" s="56">
        <v>1</v>
      </c>
      <c r="I1587" s="56" t="s">
        <v>3954</v>
      </c>
      <c r="J1587" s="56">
        <v>499</v>
      </c>
      <c r="K1587" s="56">
        <v>480</v>
      </c>
      <c r="P1587" s="56">
        <v>0</v>
      </c>
      <c r="S1587" s="56">
        <v>0</v>
      </c>
      <c r="T1587" s="56" t="s">
        <v>27</v>
      </c>
      <c r="V1587" s="56" t="s">
        <v>3549</v>
      </c>
      <c r="W1587" s="56" t="s">
        <v>3548</v>
      </c>
      <c r="X1587" s="56" t="s">
        <v>3547</v>
      </c>
      <c r="Z1587" s="56" t="s">
        <v>3546</v>
      </c>
      <c r="AA1587" s="56" t="s">
        <v>4781</v>
      </c>
      <c r="AB1587" s="56" t="s">
        <v>4780</v>
      </c>
      <c r="AC1587" s="56" t="s">
        <v>3543</v>
      </c>
      <c r="AH1587" s="56" t="s">
        <v>3542</v>
      </c>
      <c r="AI1587" s="56" t="s">
        <v>3541</v>
      </c>
    </row>
    <row r="1588" spans="1:35" ht="33" customHeight="1">
      <c r="A1588" s="56" t="s">
        <v>4784</v>
      </c>
      <c r="B1588" s="57">
        <v>44365.309178240743</v>
      </c>
      <c r="C1588" s="56" t="s">
        <v>3803</v>
      </c>
      <c r="D1588" s="56" t="s">
        <v>4426</v>
      </c>
      <c r="E1588" s="56" t="s">
        <v>4783</v>
      </c>
      <c r="F1588" s="56" t="s">
        <v>4782</v>
      </c>
      <c r="G1588" s="58" t="s">
        <v>3196</v>
      </c>
      <c r="H1588" s="56">
        <v>2</v>
      </c>
      <c r="I1588" s="56" t="s">
        <v>2550</v>
      </c>
      <c r="J1588" s="56">
        <v>120</v>
      </c>
      <c r="K1588" s="56">
        <v>120</v>
      </c>
      <c r="P1588" s="56">
        <v>0</v>
      </c>
      <c r="S1588" s="56">
        <v>0</v>
      </c>
      <c r="T1588" s="56" t="s">
        <v>27</v>
      </c>
      <c r="V1588" s="56" t="s">
        <v>3549</v>
      </c>
      <c r="W1588" s="56" t="s">
        <v>3548</v>
      </c>
      <c r="X1588" s="56" t="s">
        <v>3547</v>
      </c>
      <c r="Z1588" s="56" t="s">
        <v>3546</v>
      </c>
      <c r="AA1588" s="56" t="s">
        <v>4781</v>
      </c>
      <c r="AB1588" s="56" t="s">
        <v>4780</v>
      </c>
      <c r="AC1588" s="56" t="s">
        <v>3543</v>
      </c>
      <c r="AH1588" s="56" t="s">
        <v>3542</v>
      </c>
      <c r="AI1588" s="56" t="s">
        <v>3541</v>
      </c>
    </row>
    <row r="1589" spans="1:35" ht="33" customHeight="1">
      <c r="A1589" s="56" t="s">
        <v>4784</v>
      </c>
      <c r="B1589" s="57">
        <v>44365.309178240743</v>
      </c>
      <c r="C1589" s="56" t="s">
        <v>3803</v>
      </c>
      <c r="D1589" s="56" t="s">
        <v>4426</v>
      </c>
      <c r="E1589" s="56" t="s">
        <v>4783</v>
      </c>
      <c r="F1589" s="56" t="s">
        <v>4782</v>
      </c>
      <c r="G1589" s="58" t="s">
        <v>1484</v>
      </c>
      <c r="H1589" s="56">
        <v>1</v>
      </c>
      <c r="I1589" s="56" t="s">
        <v>4174</v>
      </c>
      <c r="J1589" s="56">
        <v>350</v>
      </c>
      <c r="K1589" s="56">
        <v>350</v>
      </c>
      <c r="P1589" s="56">
        <v>0</v>
      </c>
      <c r="S1589" s="56">
        <v>0</v>
      </c>
      <c r="T1589" s="56" t="s">
        <v>27</v>
      </c>
      <c r="V1589" s="56" t="s">
        <v>3549</v>
      </c>
      <c r="W1589" s="56" t="s">
        <v>3548</v>
      </c>
      <c r="X1589" s="56" t="s">
        <v>3547</v>
      </c>
      <c r="Z1589" s="56" t="s">
        <v>3546</v>
      </c>
      <c r="AA1589" s="56" t="s">
        <v>4781</v>
      </c>
      <c r="AB1589" s="56" t="s">
        <v>4780</v>
      </c>
      <c r="AC1589" s="56" t="s">
        <v>3543</v>
      </c>
      <c r="AH1589" s="56" t="s">
        <v>3542</v>
      </c>
      <c r="AI1589" s="56" t="s">
        <v>3541</v>
      </c>
    </row>
    <row r="1590" spans="1:35" ht="33" customHeight="1">
      <c r="A1590" s="56" t="s">
        <v>4784</v>
      </c>
      <c r="B1590" s="57">
        <v>44365.309178240743</v>
      </c>
      <c r="C1590" s="56" t="s">
        <v>3803</v>
      </c>
      <c r="D1590" s="56" t="s">
        <v>4426</v>
      </c>
      <c r="E1590" s="56" t="s">
        <v>4783</v>
      </c>
      <c r="F1590" s="56" t="s">
        <v>4782</v>
      </c>
      <c r="G1590" s="58" t="s">
        <v>3551</v>
      </c>
      <c r="H1590" s="56">
        <v>1</v>
      </c>
      <c r="I1590" s="56" t="s">
        <v>3550</v>
      </c>
      <c r="J1590" s="56">
        <v>0</v>
      </c>
      <c r="K1590" s="56">
        <v>0</v>
      </c>
      <c r="P1590" s="56">
        <v>0</v>
      </c>
      <c r="S1590" s="56">
        <v>0</v>
      </c>
      <c r="T1590" s="56" t="s">
        <v>27</v>
      </c>
      <c r="V1590" s="56" t="s">
        <v>3549</v>
      </c>
      <c r="W1590" s="56" t="s">
        <v>3548</v>
      </c>
      <c r="X1590" s="56" t="s">
        <v>3547</v>
      </c>
      <c r="Z1590" s="56" t="s">
        <v>3546</v>
      </c>
      <c r="AA1590" s="56" t="s">
        <v>4781</v>
      </c>
      <c r="AB1590" s="56" t="s">
        <v>4780</v>
      </c>
      <c r="AC1590" s="56" t="s">
        <v>3543</v>
      </c>
      <c r="AH1590" s="56" t="s">
        <v>3542</v>
      </c>
      <c r="AI1590" s="56" t="s">
        <v>3541</v>
      </c>
    </row>
    <row r="1591" spans="1:35" ht="33" customHeight="1">
      <c r="A1591" s="56" t="s">
        <v>4784</v>
      </c>
      <c r="B1591" s="57">
        <v>44365.309178240743</v>
      </c>
      <c r="C1591" s="56" t="s">
        <v>3803</v>
      </c>
      <c r="D1591" s="56" t="s">
        <v>4426</v>
      </c>
      <c r="E1591" s="56" t="s">
        <v>4783</v>
      </c>
      <c r="F1591" s="56" t="s">
        <v>4782</v>
      </c>
      <c r="G1591" s="58" t="s">
        <v>1713</v>
      </c>
      <c r="H1591" s="56">
        <v>1</v>
      </c>
      <c r="I1591" s="56" t="s">
        <v>3568</v>
      </c>
      <c r="J1591" s="56">
        <v>0</v>
      </c>
      <c r="K1591" s="56">
        <v>0</v>
      </c>
      <c r="P1591" s="56">
        <v>0</v>
      </c>
      <c r="S1591" s="56">
        <v>0</v>
      </c>
      <c r="T1591" s="56" t="s">
        <v>27</v>
      </c>
      <c r="V1591" s="56" t="s">
        <v>3549</v>
      </c>
      <c r="W1591" s="56" t="s">
        <v>3548</v>
      </c>
      <c r="X1591" s="56" t="s">
        <v>3547</v>
      </c>
      <c r="Z1591" s="56" t="s">
        <v>3546</v>
      </c>
      <c r="AA1591" s="56" t="s">
        <v>4781</v>
      </c>
      <c r="AB1591" s="56" t="s">
        <v>4780</v>
      </c>
      <c r="AC1591" s="56" t="s">
        <v>3543</v>
      </c>
      <c r="AH1591" s="56" t="s">
        <v>3542</v>
      </c>
      <c r="AI1591" s="56" t="s">
        <v>3541</v>
      </c>
    </row>
    <row r="1592" spans="1:35" ht="33" customHeight="1">
      <c r="A1592" s="56" t="s">
        <v>4779</v>
      </c>
      <c r="B1592" s="57">
        <v>44365.327210648145</v>
      </c>
      <c r="C1592" s="56" t="s">
        <v>4512</v>
      </c>
      <c r="D1592" s="56" t="s">
        <v>4511</v>
      </c>
      <c r="E1592" s="56" t="s">
        <v>4778</v>
      </c>
      <c r="F1592" s="56" t="s">
        <v>4777</v>
      </c>
      <c r="G1592" s="58" t="s">
        <v>3196</v>
      </c>
      <c r="H1592" s="56">
        <v>1</v>
      </c>
      <c r="I1592" s="56" t="s">
        <v>2550</v>
      </c>
      <c r="J1592" s="56">
        <v>120</v>
      </c>
      <c r="K1592" s="56">
        <v>120</v>
      </c>
      <c r="L1592" s="56">
        <v>120</v>
      </c>
      <c r="M1592" s="56">
        <v>65</v>
      </c>
      <c r="N1592" s="56">
        <v>0</v>
      </c>
      <c r="O1592" s="56">
        <v>0</v>
      </c>
      <c r="P1592" s="56">
        <v>0</v>
      </c>
      <c r="Q1592" s="56">
        <v>185</v>
      </c>
      <c r="R1592" s="56">
        <v>0</v>
      </c>
      <c r="S1592" s="56">
        <v>0</v>
      </c>
      <c r="T1592" s="56" t="s">
        <v>3562</v>
      </c>
      <c r="U1592" s="56">
        <v>185</v>
      </c>
      <c r="V1592" s="56" t="s">
        <v>3549</v>
      </c>
      <c r="W1592" s="56" t="s">
        <v>3548</v>
      </c>
      <c r="X1592" s="56" t="s">
        <v>3547</v>
      </c>
      <c r="Z1592" s="56" t="s">
        <v>3546</v>
      </c>
      <c r="AA1592" s="56" t="s">
        <v>4776</v>
      </c>
      <c r="AB1592" s="56" t="s">
        <v>4775</v>
      </c>
      <c r="AC1592" s="56" t="s">
        <v>3842</v>
      </c>
      <c r="AD1592" s="56" t="s">
        <v>24</v>
      </c>
      <c r="AE1592" s="56" t="s">
        <v>3725</v>
      </c>
      <c r="AF1592" s="56" t="s">
        <v>4774</v>
      </c>
      <c r="AH1592" s="56" t="s">
        <v>3542</v>
      </c>
      <c r="AI1592" s="56" t="s">
        <v>3723</v>
      </c>
    </row>
    <row r="1593" spans="1:35" ht="33" customHeight="1">
      <c r="A1593" s="56" t="s">
        <v>4779</v>
      </c>
      <c r="B1593" s="57">
        <v>44365.327210648145</v>
      </c>
      <c r="C1593" s="56" t="s">
        <v>4512</v>
      </c>
      <c r="D1593" s="56" t="s">
        <v>4511</v>
      </c>
      <c r="E1593" s="56" t="s">
        <v>4778</v>
      </c>
      <c r="F1593" s="56" t="s">
        <v>4777</v>
      </c>
      <c r="G1593" s="58" t="s">
        <v>3551</v>
      </c>
      <c r="H1593" s="56">
        <v>1</v>
      </c>
      <c r="I1593" s="56" t="s">
        <v>3550</v>
      </c>
      <c r="J1593" s="56">
        <v>0</v>
      </c>
      <c r="K1593" s="56">
        <v>0</v>
      </c>
      <c r="P1593" s="56">
        <v>0</v>
      </c>
      <c r="S1593" s="56">
        <v>0</v>
      </c>
      <c r="T1593" s="56" t="s">
        <v>3562</v>
      </c>
      <c r="V1593" s="56" t="s">
        <v>3549</v>
      </c>
      <c r="W1593" s="56" t="s">
        <v>3548</v>
      </c>
      <c r="X1593" s="56" t="s">
        <v>3547</v>
      </c>
      <c r="Z1593" s="56" t="s">
        <v>3546</v>
      </c>
      <c r="AA1593" s="56" t="s">
        <v>4776</v>
      </c>
      <c r="AB1593" s="56" t="s">
        <v>4775</v>
      </c>
      <c r="AC1593" s="56" t="s">
        <v>3842</v>
      </c>
      <c r="AD1593" s="56" t="s">
        <v>24</v>
      </c>
      <c r="AE1593" s="56" t="s">
        <v>3725</v>
      </c>
      <c r="AF1593" s="56" t="s">
        <v>4774</v>
      </c>
      <c r="AH1593" s="56" t="s">
        <v>3542</v>
      </c>
      <c r="AI1593" s="56" t="s">
        <v>3723</v>
      </c>
    </row>
    <row r="1594" spans="1:35" ht="33" customHeight="1">
      <c r="A1594" s="56" t="s">
        <v>4773</v>
      </c>
      <c r="B1594" s="57">
        <v>44365.351620370369</v>
      </c>
      <c r="C1594" s="56" t="s">
        <v>3803</v>
      </c>
      <c r="D1594" s="56" t="s">
        <v>4426</v>
      </c>
      <c r="E1594" s="56" t="s">
        <v>4772</v>
      </c>
      <c r="F1594" s="56" t="s">
        <v>4771</v>
      </c>
      <c r="G1594" s="58" t="s">
        <v>3953</v>
      </c>
      <c r="H1594" s="56">
        <v>1</v>
      </c>
      <c r="I1594" s="56" t="s">
        <v>3669</v>
      </c>
      <c r="J1594" s="56">
        <v>897</v>
      </c>
      <c r="K1594" s="56">
        <v>888</v>
      </c>
      <c r="L1594" s="56">
        <v>888</v>
      </c>
      <c r="M1594" s="56">
        <v>65</v>
      </c>
      <c r="N1594" s="56">
        <v>0</v>
      </c>
      <c r="O1594" s="56">
        <v>0</v>
      </c>
      <c r="P1594" s="56">
        <v>0</v>
      </c>
      <c r="Q1594" s="56">
        <v>953</v>
      </c>
      <c r="R1594" s="56">
        <v>0</v>
      </c>
      <c r="S1594" s="56">
        <v>0</v>
      </c>
      <c r="T1594" s="56" t="s">
        <v>27</v>
      </c>
      <c r="U1594" s="56">
        <v>953</v>
      </c>
      <c r="V1594" s="56" t="s">
        <v>3549</v>
      </c>
      <c r="W1594" s="56" t="s">
        <v>3548</v>
      </c>
      <c r="X1594" s="56" t="s">
        <v>3547</v>
      </c>
      <c r="Z1594" s="56" t="s">
        <v>3546</v>
      </c>
      <c r="AA1594" s="56" t="s">
        <v>4770</v>
      </c>
      <c r="AB1594" s="56" t="s">
        <v>4769</v>
      </c>
      <c r="AC1594" s="56" t="s">
        <v>3543</v>
      </c>
      <c r="AH1594" s="56" t="s">
        <v>3542</v>
      </c>
      <c r="AI1594" s="56" t="s">
        <v>3541</v>
      </c>
    </row>
    <row r="1595" spans="1:35" ht="33" customHeight="1">
      <c r="A1595" s="56" t="s">
        <v>4773</v>
      </c>
      <c r="B1595" s="57">
        <v>44365.351620370369</v>
      </c>
      <c r="C1595" s="56" t="s">
        <v>3803</v>
      </c>
      <c r="D1595" s="56" t="s">
        <v>4426</v>
      </c>
      <c r="E1595" s="56" t="s">
        <v>4772</v>
      </c>
      <c r="F1595" s="56" t="s">
        <v>4771</v>
      </c>
      <c r="G1595" s="58" t="s">
        <v>3551</v>
      </c>
      <c r="H1595" s="56">
        <v>1</v>
      </c>
      <c r="I1595" s="56" t="s">
        <v>3550</v>
      </c>
      <c r="J1595" s="56">
        <v>0</v>
      </c>
      <c r="K1595" s="56">
        <v>0</v>
      </c>
      <c r="P1595" s="56">
        <v>0</v>
      </c>
      <c r="S1595" s="56">
        <v>0</v>
      </c>
      <c r="T1595" s="56" t="s">
        <v>27</v>
      </c>
      <c r="V1595" s="56" t="s">
        <v>3549</v>
      </c>
      <c r="W1595" s="56" t="s">
        <v>3548</v>
      </c>
      <c r="X1595" s="56" t="s">
        <v>3547</v>
      </c>
      <c r="Z1595" s="56" t="s">
        <v>3546</v>
      </c>
      <c r="AA1595" s="56" t="s">
        <v>4770</v>
      </c>
      <c r="AB1595" s="56" t="s">
        <v>4769</v>
      </c>
      <c r="AC1595" s="56" t="s">
        <v>3543</v>
      </c>
      <c r="AH1595" s="56" t="s">
        <v>3542</v>
      </c>
      <c r="AI1595" s="56" t="s">
        <v>3541</v>
      </c>
    </row>
    <row r="1596" spans="1:35" ht="33" customHeight="1">
      <c r="A1596" s="56" t="s">
        <v>4767</v>
      </c>
      <c r="B1596" s="57">
        <v>44365.409212962964</v>
      </c>
      <c r="C1596" s="56" t="s">
        <v>3803</v>
      </c>
      <c r="D1596" s="56" t="s">
        <v>4426</v>
      </c>
      <c r="E1596" s="56" t="s">
        <v>4766</v>
      </c>
      <c r="F1596" s="56" t="s">
        <v>4765</v>
      </c>
      <c r="G1596" s="58" t="s">
        <v>4768</v>
      </c>
      <c r="H1596" s="56">
        <v>1</v>
      </c>
      <c r="I1596" s="56" t="s">
        <v>3577</v>
      </c>
      <c r="J1596" s="56">
        <v>700</v>
      </c>
      <c r="K1596" s="56">
        <v>599</v>
      </c>
      <c r="L1596" s="56">
        <v>599</v>
      </c>
      <c r="M1596" s="56">
        <v>65</v>
      </c>
      <c r="N1596" s="56">
        <v>0</v>
      </c>
      <c r="O1596" s="56">
        <v>0</v>
      </c>
      <c r="P1596" s="56">
        <v>0</v>
      </c>
      <c r="Q1596" s="56">
        <v>664</v>
      </c>
      <c r="R1596" s="56">
        <v>0</v>
      </c>
      <c r="S1596" s="56">
        <v>0</v>
      </c>
      <c r="T1596" s="56" t="s">
        <v>3562</v>
      </c>
      <c r="U1596" s="56">
        <v>664</v>
      </c>
      <c r="V1596" s="56" t="s">
        <v>3561</v>
      </c>
      <c r="W1596" s="56" t="s">
        <v>3548</v>
      </c>
      <c r="X1596" s="56" t="s">
        <v>3716</v>
      </c>
      <c r="Z1596" s="56" t="s">
        <v>3546</v>
      </c>
      <c r="AA1596" s="56" t="s">
        <v>4764</v>
      </c>
      <c r="AB1596" s="56" t="s">
        <v>4763</v>
      </c>
      <c r="AC1596" s="56" t="s">
        <v>3543</v>
      </c>
      <c r="AD1596" s="56" t="s">
        <v>24</v>
      </c>
      <c r="AE1596" s="56" t="s">
        <v>4530</v>
      </c>
      <c r="AF1596" s="56" t="s">
        <v>4762</v>
      </c>
      <c r="AH1596" s="56" t="s">
        <v>3542</v>
      </c>
      <c r="AI1596" s="56" t="s">
        <v>3723</v>
      </c>
    </row>
    <row r="1597" spans="1:35" ht="33" customHeight="1">
      <c r="A1597" s="56" t="s">
        <v>4767</v>
      </c>
      <c r="B1597" s="57">
        <v>44365.409212962964</v>
      </c>
      <c r="C1597" s="56" t="s">
        <v>3803</v>
      </c>
      <c r="D1597" s="56" t="s">
        <v>4426</v>
      </c>
      <c r="E1597" s="56" t="s">
        <v>4766</v>
      </c>
      <c r="F1597" s="56" t="s">
        <v>4765</v>
      </c>
      <c r="G1597" s="58" t="s">
        <v>3551</v>
      </c>
      <c r="H1597" s="56">
        <v>1</v>
      </c>
      <c r="I1597" s="56" t="s">
        <v>3550</v>
      </c>
      <c r="J1597" s="56">
        <v>0</v>
      </c>
      <c r="K1597" s="56">
        <v>0</v>
      </c>
      <c r="P1597" s="56">
        <v>0</v>
      </c>
      <c r="S1597" s="56">
        <v>0</v>
      </c>
      <c r="T1597" s="56" t="s">
        <v>3562</v>
      </c>
      <c r="V1597" s="56" t="s">
        <v>3561</v>
      </c>
      <c r="W1597" s="56" t="s">
        <v>3548</v>
      </c>
      <c r="X1597" s="56" t="s">
        <v>3716</v>
      </c>
      <c r="Z1597" s="56" t="s">
        <v>3546</v>
      </c>
      <c r="AA1597" s="56" t="s">
        <v>4764</v>
      </c>
      <c r="AB1597" s="56" t="s">
        <v>4763</v>
      </c>
      <c r="AC1597" s="56" t="s">
        <v>3543</v>
      </c>
      <c r="AD1597" s="56" t="s">
        <v>24</v>
      </c>
      <c r="AE1597" s="56" t="s">
        <v>4530</v>
      </c>
      <c r="AF1597" s="56" t="s">
        <v>4762</v>
      </c>
      <c r="AH1597" s="56" t="s">
        <v>3542</v>
      </c>
      <c r="AI1597" s="56" t="s">
        <v>3723</v>
      </c>
    </row>
    <row r="1598" spans="1:35" ht="33" customHeight="1">
      <c r="A1598" s="56" t="s">
        <v>4761</v>
      </c>
      <c r="B1598" s="57">
        <v>44365.437916666669</v>
      </c>
      <c r="C1598" s="56" t="s">
        <v>3803</v>
      </c>
      <c r="D1598" s="56" t="s">
        <v>4426</v>
      </c>
      <c r="E1598" s="56" t="s">
        <v>4760</v>
      </c>
      <c r="F1598" s="56" t="s">
        <v>4759</v>
      </c>
      <c r="G1598" s="58" t="s">
        <v>3654</v>
      </c>
      <c r="H1598" s="56">
        <v>1</v>
      </c>
      <c r="I1598" s="56" t="s">
        <v>3653</v>
      </c>
      <c r="J1598" s="56">
        <v>447</v>
      </c>
      <c r="K1598" s="56">
        <v>430</v>
      </c>
      <c r="L1598" s="56">
        <v>725</v>
      </c>
      <c r="M1598" s="56">
        <v>65</v>
      </c>
      <c r="N1598" s="56">
        <v>0</v>
      </c>
      <c r="O1598" s="56">
        <v>0</v>
      </c>
      <c r="P1598" s="56">
        <v>0</v>
      </c>
      <c r="Q1598" s="56">
        <v>790</v>
      </c>
      <c r="R1598" s="56">
        <v>0</v>
      </c>
      <c r="S1598" s="56">
        <v>0</v>
      </c>
      <c r="T1598" s="56" t="s">
        <v>27</v>
      </c>
      <c r="U1598" s="56">
        <v>790</v>
      </c>
      <c r="V1598" s="56" t="s">
        <v>3549</v>
      </c>
      <c r="W1598" s="56" t="s">
        <v>3548</v>
      </c>
      <c r="X1598" s="56" t="s">
        <v>3547</v>
      </c>
      <c r="Z1598" s="56" t="s">
        <v>3546</v>
      </c>
      <c r="AA1598" s="56" t="s">
        <v>1189</v>
      </c>
      <c r="AB1598" s="56" t="s">
        <v>4758</v>
      </c>
      <c r="AC1598" s="56" t="s">
        <v>3543</v>
      </c>
      <c r="AH1598" s="56" t="s">
        <v>3542</v>
      </c>
      <c r="AI1598" s="56" t="s">
        <v>3541</v>
      </c>
    </row>
    <row r="1599" spans="1:35" ht="33" customHeight="1">
      <c r="A1599" s="56" t="s">
        <v>4761</v>
      </c>
      <c r="B1599" s="57">
        <v>44365.437916666669</v>
      </c>
      <c r="C1599" s="56" t="s">
        <v>3803</v>
      </c>
      <c r="D1599" s="56" t="s">
        <v>4426</v>
      </c>
      <c r="E1599" s="56" t="s">
        <v>4760</v>
      </c>
      <c r="F1599" s="56" t="s">
        <v>4759</v>
      </c>
      <c r="G1599" s="58" t="s">
        <v>1510</v>
      </c>
      <c r="H1599" s="56">
        <v>1</v>
      </c>
      <c r="I1599" s="56" t="s">
        <v>359</v>
      </c>
      <c r="J1599" s="56">
        <v>295</v>
      </c>
      <c r="K1599" s="56">
        <v>295</v>
      </c>
      <c r="P1599" s="56">
        <v>0</v>
      </c>
      <c r="S1599" s="56">
        <v>0</v>
      </c>
      <c r="T1599" s="56" t="s">
        <v>27</v>
      </c>
      <c r="V1599" s="56" t="s">
        <v>3549</v>
      </c>
      <c r="W1599" s="56" t="s">
        <v>3548</v>
      </c>
      <c r="X1599" s="56" t="s">
        <v>3547</v>
      </c>
      <c r="Z1599" s="56" t="s">
        <v>3546</v>
      </c>
      <c r="AA1599" s="56" t="s">
        <v>1189</v>
      </c>
      <c r="AB1599" s="56" t="s">
        <v>4758</v>
      </c>
      <c r="AC1599" s="56" t="s">
        <v>3543</v>
      </c>
      <c r="AH1599" s="56" t="s">
        <v>3542</v>
      </c>
      <c r="AI1599" s="56" t="s">
        <v>3541</v>
      </c>
    </row>
    <row r="1600" spans="1:35" ht="33" customHeight="1">
      <c r="A1600" s="56" t="s">
        <v>4761</v>
      </c>
      <c r="B1600" s="57">
        <v>44365.437916666669</v>
      </c>
      <c r="C1600" s="56" t="s">
        <v>3803</v>
      </c>
      <c r="D1600" s="56" t="s">
        <v>4426</v>
      </c>
      <c r="E1600" s="56" t="s">
        <v>4760</v>
      </c>
      <c r="F1600" s="56" t="s">
        <v>4759</v>
      </c>
      <c r="G1600" s="58" t="s">
        <v>3551</v>
      </c>
      <c r="H1600" s="56">
        <v>1</v>
      </c>
      <c r="I1600" s="56" t="s">
        <v>3550</v>
      </c>
      <c r="J1600" s="56">
        <v>0</v>
      </c>
      <c r="K1600" s="56">
        <v>0</v>
      </c>
      <c r="P1600" s="56">
        <v>0</v>
      </c>
      <c r="S1600" s="56">
        <v>0</v>
      </c>
      <c r="T1600" s="56" t="s">
        <v>27</v>
      </c>
      <c r="V1600" s="56" t="s">
        <v>3549</v>
      </c>
      <c r="W1600" s="56" t="s">
        <v>3548</v>
      </c>
      <c r="X1600" s="56" t="s">
        <v>3547</v>
      </c>
      <c r="Z1600" s="56" t="s">
        <v>3546</v>
      </c>
      <c r="AA1600" s="56" t="s">
        <v>1189</v>
      </c>
      <c r="AB1600" s="56" t="s">
        <v>4758</v>
      </c>
      <c r="AC1600" s="56" t="s">
        <v>3543</v>
      </c>
      <c r="AH1600" s="56" t="s">
        <v>3542</v>
      </c>
      <c r="AI1600" s="56" t="s">
        <v>3541</v>
      </c>
    </row>
    <row r="1601" spans="1:35" ht="33" customHeight="1">
      <c r="A1601" s="56" t="s">
        <v>4757</v>
      </c>
      <c r="B1601" s="57">
        <v>44365.443506944444</v>
      </c>
      <c r="C1601" s="56" t="s">
        <v>3803</v>
      </c>
      <c r="D1601" s="56" t="s">
        <v>25</v>
      </c>
      <c r="E1601" s="56" t="s">
        <v>4756</v>
      </c>
      <c r="F1601" s="56" t="s">
        <v>4755</v>
      </c>
      <c r="G1601" s="58" t="s">
        <v>3196</v>
      </c>
      <c r="H1601" s="56">
        <v>1</v>
      </c>
      <c r="I1601" s="56" t="s">
        <v>2550</v>
      </c>
      <c r="J1601" s="56">
        <v>120</v>
      </c>
      <c r="K1601" s="56">
        <v>120</v>
      </c>
      <c r="L1601" s="56">
        <v>1036</v>
      </c>
      <c r="M1601" s="56">
        <v>0</v>
      </c>
      <c r="N1601" s="56">
        <v>0</v>
      </c>
      <c r="O1601" s="56">
        <v>100</v>
      </c>
      <c r="P1601" s="56">
        <v>0</v>
      </c>
      <c r="Q1601" s="56">
        <v>936</v>
      </c>
      <c r="R1601" s="56">
        <v>0</v>
      </c>
      <c r="S1601" s="56">
        <v>0</v>
      </c>
      <c r="T1601" s="56" t="s">
        <v>27</v>
      </c>
      <c r="U1601" s="56">
        <v>936</v>
      </c>
      <c r="V1601" s="56" t="s">
        <v>3612</v>
      </c>
      <c r="W1601" s="56" t="s">
        <v>3548</v>
      </c>
      <c r="X1601" s="56" t="s">
        <v>3611</v>
      </c>
      <c r="Z1601" s="56" t="s">
        <v>3546</v>
      </c>
      <c r="AA1601" s="56" t="s">
        <v>4754</v>
      </c>
      <c r="AB1601" s="56" t="s">
        <v>4753</v>
      </c>
      <c r="AC1601" s="56" t="s">
        <v>3543</v>
      </c>
      <c r="AH1601" s="56" t="s">
        <v>3542</v>
      </c>
      <c r="AI1601" s="56" t="s">
        <v>3541</v>
      </c>
    </row>
    <row r="1602" spans="1:35" ht="33" customHeight="1">
      <c r="A1602" s="56" t="s">
        <v>4757</v>
      </c>
      <c r="B1602" s="57">
        <v>44365.443506944444</v>
      </c>
      <c r="C1602" s="56" t="s">
        <v>3803</v>
      </c>
      <c r="D1602" s="56" t="s">
        <v>25</v>
      </c>
      <c r="E1602" s="56" t="s">
        <v>4756</v>
      </c>
      <c r="F1602" s="56" t="s">
        <v>4755</v>
      </c>
      <c r="G1602" s="58" t="s">
        <v>1531</v>
      </c>
      <c r="H1602" s="56">
        <v>1</v>
      </c>
      <c r="I1602" s="56" t="s">
        <v>3696</v>
      </c>
      <c r="J1602" s="56">
        <v>299</v>
      </c>
      <c r="K1602" s="56">
        <v>299</v>
      </c>
      <c r="P1602" s="56">
        <v>0</v>
      </c>
      <c r="S1602" s="56">
        <v>0</v>
      </c>
      <c r="T1602" s="56" t="s">
        <v>27</v>
      </c>
      <c r="V1602" s="56" t="s">
        <v>3612</v>
      </c>
      <c r="W1602" s="56" t="s">
        <v>3548</v>
      </c>
      <c r="X1602" s="56" t="s">
        <v>3611</v>
      </c>
      <c r="Z1602" s="56" t="s">
        <v>3546</v>
      </c>
      <c r="AA1602" s="56" t="s">
        <v>4754</v>
      </c>
      <c r="AB1602" s="56" t="s">
        <v>4753</v>
      </c>
      <c r="AC1602" s="56" t="s">
        <v>3543</v>
      </c>
      <c r="AH1602" s="56" t="s">
        <v>3542</v>
      </c>
      <c r="AI1602" s="56" t="s">
        <v>3541</v>
      </c>
    </row>
    <row r="1603" spans="1:35" ht="33" customHeight="1">
      <c r="A1603" s="56" t="s">
        <v>4757</v>
      </c>
      <c r="B1603" s="57">
        <v>44365.443506944444</v>
      </c>
      <c r="C1603" s="56" t="s">
        <v>3803</v>
      </c>
      <c r="D1603" s="56" t="s">
        <v>25</v>
      </c>
      <c r="E1603" s="56" t="s">
        <v>4756</v>
      </c>
      <c r="F1603" s="56" t="s">
        <v>4755</v>
      </c>
      <c r="G1603" s="58" t="s">
        <v>1508</v>
      </c>
      <c r="H1603" s="56">
        <v>1</v>
      </c>
      <c r="I1603" s="56" t="s">
        <v>3696</v>
      </c>
      <c r="J1603" s="56">
        <v>299</v>
      </c>
      <c r="K1603" s="56">
        <v>299</v>
      </c>
      <c r="P1603" s="56">
        <v>0</v>
      </c>
      <c r="S1603" s="56">
        <v>0</v>
      </c>
      <c r="T1603" s="56" t="s">
        <v>27</v>
      </c>
      <c r="V1603" s="56" t="s">
        <v>3612</v>
      </c>
      <c r="W1603" s="56" t="s">
        <v>3548</v>
      </c>
      <c r="X1603" s="56" t="s">
        <v>3611</v>
      </c>
      <c r="Z1603" s="56" t="s">
        <v>3546</v>
      </c>
      <c r="AA1603" s="56" t="s">
        <v>4754</v>
      </c>
      <c r="AB1603" s="56" t="s">
        <v>4753</v>
      </c>
      <c r="AC1603" s="56" t="s">
        <v>3543</v>
      </c>
      <c r="AH1603" s="56" t="s">
        <v>3542</v>
      </c>
      <c r="AI1603" s="56" t="s">
        <v>3541</v>
      </c>
    </row>
    <row r="1604" spans="1:35" ht="33" customHeight="1">
      <c r="A1604" s="56" t="s">
        <v>4757</v>
      </c>
      <c r="B1604" s="57">
        <v>44365.443506944444</v>
      </c>
      <c r="C1604" s="56" t="s">
        <v>3803</v>
      </c>
      <c r="D1604" s="56" t="s">
        <v>25</v>
      </c>
      <c r="E1604" s="56" t="s">
        <v>4756</v>
      </c>
      <c r="F1604" s="56" t="s">
        <v>4755</v>
      </c>
      <c r="G1604" s="58" t="s">
        <v>3192</v>
      </c>
      <c r="H1604" s="56">
        <v>1</v>
      </c>
      <c r="I1604" s="56" t="s">
        <v>4653</v>
      </c>
      <c r="J1604" s="56">
        <v>168</v>
      </c>
      <c r="K1604" s="56">
        <v>168</v>
      </c>
      <c r="P1604" s="56">
        <v>0</v>
      </c>
      <c r="S1604" s="56">
        <v>0</v>
      </c>
      <c r="T1604" s="56" t="s">
        <v>27</v>
      </c>
      <c r="V1604" s="56" t="s">
        <v>3612</v>
      </c>
      <c r="W1604" s="56" t="s">
        <v>3548</v>
      </c>
      <c r="X1604" s="56" t="s">
        <v>3611</v>
      </c>
      <c r="Z1604" s="56" t="s">
        <v>3546</v>
      </c>
      <c r="AA1604" s="56" t="s">
        <v>4754</v>
      </c>
      <c r="AB1604" s="56" t="s">
        <v>4753</v>
      </c>
      <c r="AC1604" s="56" t="s">
        <v>3543</v>
      </c>
      <c r="AH1604" s="56" t="s">
        <v>3542</v>
      </c>
      <c r="AI1604" s="56" t="s">
        <v>3541</v>
      </c>
    </row>
    <row r="1605" spans="1:35" ht="33" customHeight="1">
      <c r="A1605" s="56" t="s">
        <v>4757</v>
      </c>
      <c r="B1605" s="57">
        <v>44365.443506944444</v>
      </c>
      <c r="C1605" s="56" t="s">
        <v>3803</v>
      </c>
      <c r="D1605" s="56" t="s">
        <v>25</v>
      </c>
      <c r="E1605" s="56" t="s">
        <v>4756</v>
      </c>
      <c r="F1605" s="56" t="s">
        <v>4755</v>
      </c>
      <c r="G1605" s="58" t="s">
        <v>1500</v>
      </c>
      <c r="H1605" s="56">
        <v>1</v>
      </c>
      <c r="I1605" s="56" t="s">
        <v>3231</v>
      </c>
      <c r="J1605" s="56">
        <v>250</v>
      </c>
      <c r="K1605" s="56">
        <v>150</v>
      </c>
      <c r="P1605" s="56">
        <v>0</v>
      </c>
      <c r="S1605" s="56">
        <v>0</v>
      </c>
      <c r="T1605" s="56" t="s">
        <v>27</v>
      </c>
      <c r="V1605" s="56" t="s">
        <v>3612</v>
      </c>
      <c r="W1605" s="56" t="s">
        <v>3548</v>
      </c>
      <c r="X1605" s="56" t="s">
        <v>3611</v>
      </c>
      <c r="Z1605" s="56" t="s">
        <v>3546</v>
      </c>
      <c r="AA1605" s="56" t="s">
        <v>4754</v>
      </c>
      <c r="AB1605" s="56" t="s">
        <v>4753</v>
      </c>
      <c r="AC1605" s="56" t="s">
        <v>3543</v>
      </c>
      <c r="AH1605" s="56" t="s">
        <v>3542</v>
      </c>
      <c r="AI1605" s="56" t="s">
        <v>3541</v>
      </c>
    </row>
    <row r="1606" spans="1:35" ht="33" customHeight="1">
      <c r="A1606" s="56" t="s">
        <v>4757</v>
      </c>
      <c r="B1606" s="57">
        <v>44365.443506944444</v>
      </c>
      <c r="C1606" s="56" t="s">
        <v>3803</v>
      </c>
      <c r="D1606" s="56" t="s">
        <v>25</v>
      </c>
      <c r="E1606" s="56" t="s">
        <v>4756</v>
      </c>
      <c r="F1606" s="56" t="s">
        <v>4755</v>
      </c>
      <c r="G1606" s="58" t="s">
        <v>3551</v>
      </c>
      <c r="H1606" s="56">
        <v>1</v>
      </c>
      <c r="I1606" s="56" t="s">
        <v>3550</v>
      </c>
      <c r="J1606" s="56">
        <v>0</v>
      </c>
      <c r="K1606" s="56">
        <v>0</v>
      </c>
      <c r="P1606" s="56">
        <v>0</v>
      </c>
      <c r="S1606" s="56">
        <v>0</v>
      </c>
      <c r="T1606" s="56" t="s">
        <v>27</v>
      </c>
      <c r="V1606" s="56" t="s">
        <v>3612</v>
      </c>
      <c r="W1606" s="56" t="s">
        <v>3548</v>
      </c>
      <c r="X1606" s="56" t="s">
        <v>3611</v>
      </c>
      <c r="Z1606" s="56" t="s">
        <v>3546</v>
      </c>
      <c r="AA1606" s="56" t="s">
        <v>4754</v>
      </c>
      <c r="AB1606" s="56" t="s">
        <v>4753</v>
      </c>
      <c r="AC1606" s="56" t="s">
        <v>3543</v>
      </c>
      <c r="AH1606" s="56" t="s">
        <v>3542</v>
      </c>
      <c r="AI1606" s="56" t="s">
        <v>3541</v>
      </c>
    </row>
    <row r="1607" spans="1:35" ht="33" customHeight="1">
      <c r="A1607" s="56" t="s">
        <v>4757</v>
      </c>
      <c r="B1607" s="57">
        <v>44365.443506944444</v>
      </c>
      <c r="C1607" s="56" t="s">
        <v>3803</v>
      </c>
      <c r="D1607" s="56" t="s">
        <v>25</v>
      </c>
      <c r="E1607" s="56" t="s">
        <v>4756</v>
      </c>
      <c r="F1607" s="56" t="s">
        <v>4755</v>
      </c>
      <c r="G1607" s="58" t="s">
        <v>1498</v>
      </c>
      <c r="H1607" s="56">
        <v>1</v>
      </c>
      <c r="I1607" s="56" t="s">
        <v>4016</v>
      </c>
      <c r="J1607" s="56">
        <v>0</v>
      </c>
      <c r="K1607" s="56">
        <v>0</v>
      </c>
      <c r="P1607" s="56">
        <v>0</v>
      </c>
      <c r="S1607" s="56">
        <v>0</v>
      </c>
      <c r="T1607" s="56" t="s">
        <v>27</v>
      </c>
      <c r="V1607" s="56" t="s">
        <v>3612</v>
      </c>
      <c r="W1607" s="56" t="s">
        <v>3548</v>
      </c>
      <c r="X1607" s="56" t="s">
        <v>3611</v>
      </c>
      <c r="Z1607" s="56" t="s">
        <v>3546</v>
      </c>
      <c r="AA1607" s="56" t="s">
        <v>4754</v>
      </c>
      <c r="AB1607" s="56" t="s">
        <v>4753</v>
      </c>
      <c r="AC1607" s="56" t="s">
        <v>3543</v>
      </c>
      <c r="AH1607" s="56" t="s">
        <v>3542</v>
      </c>
      <c r="AI1607" s="56" t="s">
        <v>3541</v>
      </c>
    </row>
    <row r="1608" spans="1:35" ht="33" customHeight="1">
      <c r="A1608" s="56" t="s">
        <v>4752</v>
      </c>
      <c r="B1608" s="57">
        <v>44365.496608796297</v>
      </c>
      <c r="C1608" s="56" t="s">
        <v>3803</v>
      </c>
      <c r="D1608" s="56" t="s">
        <v>3802</v>
      </c>
      <c r="E1608" s="56" t="s">
        <v>4751</v>
      </c>
      <c r="F1608" s="56" t="s">
        <v>4750</v>
      </c>
      <c r="G1608" s="58" t="s">
        <v>3811</v>
      </c>
      <c r="H1608" s="56">
        <v>1</v>
      </c>
      <c r="I1608" s="56" t="s">
        <v>3669</v>
      </c>
      <c r="J1608" s="56">
        <v>897</v>
      </c>
      <c r="K1608" s="56">
        <v>888</v>
      </c>
      <c r="L1608" s="56">
        <v>1578</v>
      </c>
      <c r="M1608" s="56">
        <v>0</v>
      </c>
      <c r="N1608" s="56">
        <v>0</v>
      </c>
      <c r="O1608" s="56">
        <v>100</v>
      </c>
      <c r="P1608" s="56">
        <v>0</v>
      </c>
      <c r="Q1608" s="56">
        <v>1478</v>
      </c>
      <c r="R1608" s="56">
        <v>0</v>
      </c>
      <c r="S1608" s="56">
        <v>0</v>
      </c>
      <c r="T1608" s="56" t="s">
        <v>3562</v>
      </c>
      <c r="U1608" s="56">
        <v>1478</v>
      </c>
      <c r="V1608" s="56" t="s">
        <v>59</v>
      </c>
      <c r="W1608" s="56" t="s">
        <v>3548</v>
      </c>
      <c r="X1608" s="56" t="s">
        <v>39</v>
      </c>
      <c r="Y1608" s="56" t="s">
        <v>4749</v>
      </c>
      <c r="Z1608" s="56" t="s">
        <v>4748</v>
      </c>
      <c r="AC1608" s="56" t="s">
        <v>3543</v>
      </c>
      <c r="AD1608" s="56" t="s">
        <v>24</v>
      </c>
      <c r="AE1608" s="56" t="s">
        <v>4530</v>
      </c>
      <c r="AF1608" s="56" t="s">
        <v>4747</v>
      </c>
      <c r="AH1608" s="56" t="s">
        <v>3542</v>
      </c>
      <c r="AI1608" s="56" t="s">
        <v>3723</v>
      </c>
    </row>
    <row r="1609" spans="1:35" ht="33" customHeight="1">
      <c r="A1609" s="56" t="s">
        <v>4752</v>
      </c>
      <c r="B1609" s="57">
        <v>44365.496608796297</v>
      </c>
      <c r="C1609" s="56" t="s">
        <v>3803</v>
      </c>
      <c r="D1609" s="56" t="s">
        <v>3802</v>
      </c>
      <c r="E1609" s="56" t="s">
        <v>4751</v>
      </c>
      <c r="F1609" s="56" t="s">
        <v>4750</v>
      </c>
      <c r="G1609" s="58" t="s">
        <v>3654</v>
      </c>
      <c r="H1609" s="56">
        <v>1</v>
      </c>
      <c r="I1609" s="56" t="s">
        <v>3653</v>
      </c>
      <c r="J1609" s="56">
        <v>447</v>
      </c>
      <c r="K1609" s="56">
        <v>430</v>
      </c>
      <c r="P1609" s="56">
        <v>0</v>
      </c>
      <c r="S1609" s="56">
        <v>0</v>
      </c>
      <c r="T1609" s="56" t="s">
        <v>3562</v>
      </c>
      <c r="V1609" s="56" t="s">
        <v>59</v>
      </c>
      <c r="W1609" s="56" t="s">
        <v>3548</v>
      </c>
      <c r="X1609" s="56" t="s">
        <v>39</v>
      </c>
      <c r="Y1609" s="56" t="s">
        <v>4749</v>
      </c>
      <c r="Z1609" s="56" t="s">
        <v>4748</v>
      </c>
      <c r="AC1609" s="56" t="s">
        <v>3543</v>
      </c>
      <c r="AD1609" s="56" t="s">
        <v>24</v>
      </c>
      <c r="AE1609" s="56" t="s">
        <v>4530</v>
      </c>
      <c r="AF1609" s="56" t="s">
        <v>4747</v>
      </c>
      <c r="AH1609" s="56" t="s">
        <v>3542</v>
      </c>
      <c r="AI1609" s="56" t="s">
        <v>3723</v>
      </c>
    </row>
    <row r="1610" spans="1:35" ht="33" customHeight="1">
      <c r="A1610" s="56" t="s">
        <v>4752</v>
      </c>
      <c r="B1610" s="57">
        <v>44365.496608796297</v>
      </c>
      <c r="C1610" s="56" t="s">
        <v>3803</v>
      </c>
      <c r="D1610" s="56" t="s">
        <v>3802</v>
      </c>
      <c r="E1610" s="56" t="s">
        <v>4751</v>
      </c>
      <c r="F1610" s="56" t="s">
        <v>4750</v>
      </c>
      <c r="G1610" s="58" t="s">
        <v>3299</v>
      </c>
      <c r="H1610" s="56">
        <v>1</v>
      </c>
      <c r="I1610" s="56" t="s">
        <v>3576</v>
      </c>
      <c r="J1610" s="56">
        <v>260</v>
      </c>
      <c r="K1610" s="56">
        <v>260</v>
      </c>
      <c r="P1610" s="56">
        <v>0</v>
      </c>
      <c r="S1610" s="56">
        <v>0</v>
      </c>
      <c r="T1610" s="56" t="s">
        <v>3562</v>
      </c>
      <c r="V1610" s="56" t="s">
        <v>59</v>
      </c>
      <c r="W1610" s="56" t="s">
        <v>3548</v>
      </c>
      <c r="X1610" s="56" t="s">
        <v>39</v>
      </c>
      <c r="Y1610" s="56" t="s">
        <v>4749</v>
      </c>
      <c r="Z1610" s="56" t="s">
        <v>4748</v>
      </c>
      <c r="AC1610" s="56" t="s">
        <v>3543</v>
      </c>
      <c r="AD1610" s="56" t="s">
        <v>24</v>
      </c>
      <c r="AE1610" s="56" t="s">
        <v>4530</v>
      </c>
      <c r="AF1610" s="56" t="s">
        <v>4747</v>
      </c>
      <c r="AH1610" s="56" t="s">
        <v>3542</v>
      </c>
      <c r="AI1610" s="56" t="s">
        <v>3723</v>
      </c>
    </row>
    <row r="1611" spans="1:35" ht="33" customHeight="1">
      <c r="A1611" s="56" t="s">
        <v>4752</v>
      </c>
      <c r="B1611" s="57">
        <v>44365.496608796297</v>
      </c>
      <c r="C1611" s="56" t="s">
        <v>3803</v>
      </c>
      <c r="D1611" s="56" t="s">
        <v>3802</v>
      </c>
      <c r="E1611" s="56" t="s">
        <v>4751</v>
      </c>
      <c r="F1611" s="56" t="s">
        <v>4750</v>
      </c>
      <c r="G1611" s="58" t="s">
        <v>3551</v>
      </c>
      <c r="H1611" s="56">
        <v>1</v>
      </c>
      <c r="I1611" s="56" t="s">
        <v>3550</v>
      </c>
      <c r="J1611" s="56">
        <v>0</v>
      </c>
      <c r="K1611" s="56">
        <v>0</v>
      </c>
      <c r="P1611" s="56">
        <v>0</v>
      </c>
      <c r="S1611" s="56">
        <v>0</v>
      </c>
      <c r="T1611" s="56" t="s">
        <v>3562</v>
      </c>
      <c r="V1611" s="56" t="s">
        <v>59</v>
      </c>
      <c r="W1611" s="56" t="s">
        <v>3548</v>
      </c>
      <c r="X1611" s="56" t="s">
        <v>39</v>
      </c>
      <c r="Y1611" s="56" t="s">
        <v>4749</v>
      </c>
      <c r="Z1611" s="56" t="s">
        <v>4748</v>
      </c>
      <c r="AC1611" s="56" t="s">
        <v>3543</v>
      </c>
      <c r="AD1611" s="56" t="s">
        <v>24</v>
      </c>
      <c r="AE1611" s="56" t="s">
        <v>4530</v>
      </c>
      <c r="AF1611" s="56" t="s">
        <v>4747</v>
      </c>
      <c r="AH1611" s="56" t="s">
        <v>3542</v>
      </c>
      <c r="AI1611" s="56" t="s">
        <v>3723</v>
      </c>
    </row>
    <row r="1612" spans="1:35" ht="33" customHeight="1">
      <c r="A1612" s="56" t="s">
        <v>4752</v>
      </c>
      <c r="B1612" s="57">
        <v>44365.496608796297</v>
      </c>
      <c r="C1612" s="56" t="s">
        <v>3803</v>
      </c>
      <c r="D1612" s="56" t="s">
        <v>3802</v>
      </c>
      <c r="E1612" s="56" t="s">
        <v>4751</v>
      </c>
      <c r="F1612" s="56" t="s">
        <v>4750</v>
      </c>
      <c r="G1612" s="58" t="s">
        <v>1713</v>
      </c>
      <c r="H1612" s="56">
        <v>1</v>
      </c>
      <c r="I1612" s="56" t="s">
        <v>3568</v>
      </c>
      <c r="J1612" s="56">
        <v>0</v>
      </c>
      <c r="K1612" s="56">
        <v>0</v>
      </c>
      <c r="P1612" s="56">
        <v>0</v>
      </c>
      <c r="S1612" s="56">
        <v>0</v>
      </c>
      <c r="T1612" s="56" t="s">
        <v>3562</v>
      </c>
      <c r="V1612" s="56" t="s">
        <v>59</v>
      </c>
      <c r="W1612" s="56" t="s">
        <v>3548</v>
      </c>
      <c r="X1612" s="56" t="s">
        <v>39</v>
      </c>
      <c r="Y1612" s="56" t="s">
        <v>4749</v>
      </c>
      <c r="Z1612" s="56" t="s">
        <v>4748</v>
      </c>
      <c r="AC1612" s="56" t="s">
        <v>3543</v>
      </c>
      <c r="AD1612" s="56" t="s">
        <v>24</v>
      </c>
      <c r="AE1612" s="56" t="s">
        <v>4530</v>
      </c>
      <c r="AF1612" s="56" t="s">
        <v>4747</v>
      </c>
      <c r="AH1612" s="56" t="s">
        <v>3542</v>
      </c>
      <c r="AI1612" s="56" t="s">
        <v>3723</v>
      </c>
    </row>
    <row r="1613" spans="1:35" ht="33" customHeight="1">
      <c r="A1613" s="56" t="s">
        <v>4746</v>
      </c>
      <c r="B1613" s="57">
        <v>44365.50204861111</v>
      </c>
      <c r="C1613" s="56" t="s">
        <v>3803</v>
      </c>
      <c r="D1613" s="56" t="s">
        <v>3802</v>
      </c>
      <c r="E1613" s="56" t="s">
        <v>4745</v>
      </c>
      <c r="F1613" s="56" t="s">
        <v>4744</v>
      </c>
      <c r="G1613" s="58" t="s">
        <v>3580</v>
      </c>
      <c r="H1613" s="56">
        <v>3</v>
      </c>
      <c r="I1613" s="56" t="s">
        <v>4671</v>
      </c>
      <c r="J1613" s="56">
        <v>336</v>
      </c>
      <c r="K1613" s="56">
        <v>320</v>
      </c>
      <c r="L1613" s="56">
        <v>960</v>
      </c>
      <c r="M1613" s="56">
        <v>0</v>
      </c>
      <c r="N1613" s="56">
        <v>0</v>
      </c>
      <c r="O1613" s="56">
        <v>0</v>
      </c>
      <c r="P1613" s="56">
        <v>0</v>
      </c>
      <c r="Q1613" s="56">
        <v>960</v>
      </c>
      <c r="R1613" s="56">
        <v>0</v>
      </c>
      <c r="S1613" s="56">
        <v>0</v>
      </c>
      <c r="T1613" s="56" t="s">
        <v>3562</v>
      </c>
      <c r="U1613" s="56">
        <v>960</v>
      </c>
      <c r="V1613" s="56" t="s">
        <v>3865</v>
      </c>
      <c r="W1613" s="56" t="s">
        <v>3548</v>
      </c>
      <c r="X1613" s="56" t="s">
        <v>39</v>
      </c>
      <c r="Y1613" s="56" t="s">
        <v>3958</v>
      </c>
      <c r="Z1613" s="56" t="s">
        <v>4743</v>
      </c>
      <c r="AC1613" s="56" t="s">
        <v>3543</v>
      </c>
      <c r="AD1613" s="56" t="s">
        <v>24</v>
      </c>
      <c r="AE1613" s="56" t="s">
        <v>3862</v>
      </c>
      <c r="AF1613" s="56" t="s">
        <v>4742</v>
      </c>
      <c r="AH1613" s="56" t="s">
        <v>3542</v>
      </c>
      <c r="AI1613" s="56" t="s">
        <v>3723</v>
      </c>
    </row>
    <row r="1614" spans="1:35" ht="33" customHeight="1">
      <c r="A1614" s="56" t="s">
        <v>4746</v>
      </c>
      <c r="B1614" s="57">
        <v>44365.50204861111</v>
      </c>
      <c r="C1614" s="56" t="s">
        <v>3803</v>
      </c>
      <c r="D1614" s="56" t="s">
        <v>3802</v>
      </c>
      <c r="E1614" s="56" t="s">
        <v>4745</v>
      </c>
      <c r="F1614" s="56" t="s">
        <v>4744</v>
      </c>
      <c r="G1614" s="58" t="s">
        <v>3551</v>
      </c>
      <c r="H1614" s="56">
        <v>1</v>
      </c>
      <c r="I1614" s="56" t="s">
        <v>3550</v>
      </c>
      <c r="J1614" s="56">
        <v>0</v>
      </c>
      <c r="K1614" s="56">
        <v>0</v>
      </c>
      <c r="P1614" s="56">
        <v>0</v>
      </c>
      <c r="S1614" s="56">
        <v>0</v>
      </c>
      <c r="T1614" s="56" t="s">
        <v>3562</v>
      </c>
      <c r="V1614" s="56" t="s">
        <v>3865</v>
      </c>
      <c r="W1614" s="56" t="s">
        <v>3548</v>
      </c>
      <c r="X1614" s="56" t="s">
        <v>39</v>
      </c>
      <c r="Y1614" s="56" t="s">
        <v>3958</v>
      </c>
      <c r="Z1614" s="56" t="s">
        <v>4743</v>
      </c>
      <c r="AC1614" s="56" t="s">
        <v>3543</v>
      </c>
      <c r="AD1614" s="56" t="s">
        <v>24</v>
      </c>
      <c r="AE1614" s="56" t="s">
        <v>3862</v>
      </c>
      <c r="AF1614" s="56" t="s">
        <v>4742</v>
      </c>
      <c r="AH1614" s="56" t="s">
        <v>3542</v>
      </c>
      <c r="AI1614" s="56" t="s">
        <v>3723</v>
      </c>
    </row>
    <row r="1615" spans="1:35" ht="33" customHeight="1">
      <c r="A1615" s="56" t="s">
        <v>4741</v>
      </c>
      <c r="B1615" s="57">
        <v>44365.514108796298</v>
      </c>
      <c r="C1615" s="56" t="s">
        <v>3803</v>
      </c>
      <c r="D1615" s="56" t="s">
        <v>3802</v>
      </c>
      <c r="E1615" s="56" t="s">
        <v>4740</v>
      </c>
      <c r="F1615" s="56" t="s">
        <v>4739</v>
      </c>
      <c r="G1615" s="58" t="s">
        <v>3811</v>
      </c>
      <c r="H1615" s="56">
        <v>1</v>
      </c>
      <c r="I1615" s="56" t="s">
        <v>3669</v>
      </c>
      <c r="J1615" s="56">
        <v>897</v>
      </c>
      <c r="K1615" s="56">
        <v>888</v>
      </c>
      <c r="L1615" s="56">
        <v>997</v>
      </c>
      <c r="M1615" s="56">
        <v>0</v>
      </c>
      <c r="N1615" s="56">
        <v>0</v>
      </c>
      <c r="O1615" s="56">
        <v>0</v>
      </c>
      <c r="P1615" s="56">
        <v>0</v>
      </c>
      <c r="Q1615" s="56">
        <v>997</v>
      </c>
      <c r="R1615" s="56">
        <v>0</v>
      </c>
      <c r="S1615" s="56">
        <v>0</v>
      </c>
      <c r="T1615" s="56" t="s">
        <v>3562</v>
      </c>
      <c r="U1615" s="56">
        <v>997</v>
      </c>
      <c r="V1615" s="56" t="s">
        <v>3561</v>
      </c>
      <c r="W1615" s="56" t="s">
        <v>3548</v>
      </c>
      <c r="X1615" s="56" t="s">
        <v>39</v>
      </c>
      <c r="Y1615" s="56" t="s">
        <v>3677</v>
      </c>
      <c r="Z1615" s="56" t="s">
        <v>4738</v>
      </c>
      <c r="AC1615" s="56" t="s">
        <v>3543</v>
      </c>
      <c r="AD1615" s="56" t="s">
        <v>24</v>
      </c>
      <c r="AE1615" s="56" t="s">
        <v>4530</v>
      </c>
      <c r="AF1615" s="56" t="s">
        <v>4737</v>
      </c>
      <c r="AH1615" s="56" t="s">
        <v>3542</v>
      </c>
      <c r="AI1615" s="56" t="s">
        <v>3723</v>
      </c>
    </row>
    <row r="1616" spans="1:35" ht="33" customHeight="1">
      <c r="A1616" s="56" t="s">
        <v>4741</v>
      </c>
      <c r="B1616" s="57">
        <v>44365.514108796298</v>
      </c>
      <c r="C1616" s="56" t="s">
        <v>3803</v>
      </c>
      <c r="D1616" s="56" t="s">
        <v>3802</v>
      </c>
      <c r="E1616" s="56" t="s">
        <v>4740</v>
      </c>
      <c r="F1616" s="56" t="s">
        <v>4739</v>
      </c>
      <c r="G1616" s="58" t="s">
        <v>2165</v>
      </c>
      <c r="H1616" s="56">
        <v>1</v>
      </c>
      <c r="I1616" s="56" t="s">
        <v>3721</v>
      </c>
      <c r="J1616" s="56">
        <v>109</v>
      </c>
      <c r="K1616" s="56">
        <v>109</v>
      </c>
      <c r="P1616" s="56">
        <v>0</v>
      </c>
      <c r="S1616" s="56">
        <v>0</v>
      </c>
      <c r="T1616" s="56" t="s">
        <v>3562</v>
      </c>
      <c r="V1616" s="56" t="s">
        <v>3561</v>
      </c>
      <c r="W1616" s="56" t="s">
        <v>3548</v>
      </c>
      <c r="X1616" s="56" t="s">
        <v>39</v>
      </c>
      <c r="Y1616" s="56" t="s">
        <v>3677</v>
      </c>
      <c r="Z1616" s="56" t="s">
        <v>4738</v>
      </c>
      <c r="AC1616" s="56" t="s">
        <v>3543</v>
      </c>
      <c r="AD1616" s="56" t="s">
        <v>24</v>
      </c>
      <c r="AE1616" s="56" t="s">
        <v>4530</v>
      </c>
      <c r="AF1616" s="56" t="s">
        <v>4737</v>
      </c>
      <c r="AH1616" s="56" t="s">
        <v>3542</v>
      </c>
      <c r="AI1616" s="56" t="s">
        <v>3723</v>
      </c>
    </row>
    <row r="1617" spans="1:35" ht="33" customHeight="1">
      <c r="A1617" s="56" t="s">
        <v>4741</v>
      </c>
      <c r="B1617" s="57">
        <v>44365.514108796298</v>
      </c>
      <c r="C1617" s="56" t="s">
        <v>3803</v>
      </c>
      <c r="D1617" s="56" t="s">
        <v>3802</v>
      </c>
      <c r="E1617" s="56" t="s">
        <v>4740</v>
      </c>
      <c r="F1617" s="56" t="s">
        <v>4739</v>
      </c>
      <c r="G1617" s="58" t="s">
        <v>3551</v>
      </c>
      <c r="H1617" s="56">
        <v>1</v>
      </c>
      <c r="I1617" s="56" t="s">
        <v>3550</v>
      </c>
      <c r="J1617" s="56">
        <v>0</v>
      </c>
      <c r="K1617" s="56">
        <v>0</v>
      </c>
      <c r="P1617" s="56">
        <v>0</v>
      </c>
      <c r="S1617" s="56">
        <v>0</v>
      </c>
      <c r="T1617" s="56" t="s">
        <v>3562</v>
      </c>
      <c r="V1617" s="56" t="s">
        <v>3561</v>
      </c>
      <c r="W1617" s="56" t="s">
        <v>3548</v>
      </c>
      <c r="X1617" s="56" t="s">
        <v>39</v>
      </c>
      <c r="Y1617" s="56" t="s">
        <v>3677</v>
      </c>
      <c r="Z1617" s="56" t="s">
        <v>4738</v>
      </c>
      <c r="AC1617" s="56" t="s">
        <v>3543</v>
      </c>
      <c r="AD1617" s="56" t="s">
        <v>24</v>
      </c>
      <c r="AE1617" s="56" t="s">
        <v>4530</v>
      </c>
      <c r="AF1617" s="56" t="s">
        <v>4737</v>
      </c>
      <c r="AH1617" s="56" t="s">
        <v>3542</v>
      </c>
      <c r="AI1617" s="56" t="s">
        <v>3723</v>
      </c>
    </row>
    <row r="1618" spans="1:35" ht="33" customHeight="1">
      <c r="A1618" s="56" t="s">
        <v>4735</v>
      </c>
      <c r="B1618" s="57">
        <v>44365.52783564815</v>
      </c>
      <c r="C1618" s="56" t="s">
        <v>3803</v>
      </c>
      <c r="D1618" s="56" t="s">
        <v>4426</v>
      </c>
      <c r="E1618" s="56" t="s">
        <v>4734</v>
      </c>
      <c r="F1618" s="56" t="s">
        <v>4733</v>
      </c>
      <c r="G1618" s="58" t="s">
        <v>3942</v>
      </c>
      <c r="H1618" s="56">
        <v>1</v>
      </c>
      <c r="I1618" s="56" t="s">
        <v>4736</v>
      </c>
      <c r="J1618" s="56">
        <v>840</v>
      </c>
      <c r="K1618" s="56">
        <v>750</v>
      </c>
      <c r="L1618" s="56">
        <v>1020</v>
      </c>
      <c r="M1618" s="56">
        <v>0</v>
      </c>
      <c r="N1618" s="56">
        <v>0</v>
      </c>
      <c r="O1618" s="56">
        <v>0</v>
      </c>
      <c r="P1618" s="56">
        <v>0</v>
      </c>
      <c r="Q1618" s="56">
        <v>1020</v>
      </c>
      <c r="R1618" s="56">
        <v>0</v>
      </c>
      <c r="S1618" s="56">
        <v>0</v>
      </c>
      <c r="T1618" s="56" t="s">
        <v>27</v>
      </c>
      <c r="U1618" s="56">
        <v>1020</v>
      </c>
      <c r="V1618" s="56" t="s">
        <v>3549</v>
      </c>
      <c r="W1618" s="56" t="s">
        <v>3548</v>
      </c>
      <c r="X1618" s="56" t="s">
        <v>3547</v>
      </c>
      <c r="Z1618" s="56" t="s">
        <v>3546</v>
      </c>
      <c r="AA1618" s="56" t="s">
        <v>4732</v>
      </c>
      <c r="AB1618" s="56" t="s">
        <v>4731</v>
      </c>
      <c r="AC1618" s="56" t="s">
        <v>3543</v>
      </c>
      <c r="AH1618" s="56" t="s">
        <v>3542</v>
      </c>
      <c r="AI1618" s="56" t="s">
        <v>3541</v>
      </c>
    </row>
    <row r="1619" spans="1:35" ht="33" customHeight="1">
      <c r="A1619" s="56" t="s">
        <v>4735</v>
      </c>
      <c r="B1619" s="57">
        <v>44365.52783564815</v>
      </c>
      <c r="C1619" s="56" t="s">
        <v>3803</v>
      </c>
      <c r="D1619" s="56" t="s">
        <v>4426</v>
      </c>
      <c r="E1619" s="56" t="s">
        <v>4734</v>
      </c>
      <c r="F1619" s="56" t="s">
        <v>4733</v>
      </c>
      <c r="G1619" s="58" t="s">
        <v>3196</v>
      </c>
      <c r="H1619" s="56">
        <v>1</v>
      </c>
      <c r="I1619" s="56" t="s">
        <v>2550</v>
      </c>
      <c r="J1619" s="56">
        <v>120</v>
      </c>
      <c r="K1619" s="56">
        <v>120</v>
      </c>
      <c r="P1619" s="56">
        <v>0</v>
      </c>
      <c r="S1619" s="56">
        <v>0</v>
      </c>
      <c r="T1619" s="56" t="s">
        <v>27</v>
      </c>
      <c r="V1619" s="56" t="s">
        <v>3549</v>
      </c>
      <c r="W1619" s="56" t="s">
        <v>3548</v>
      </c>
      <c r="X1619" s="56" t="s">
        <v>3547</v>
      </c>
      <c r="Z1619" s="56" t="s">
        <v>3546</v>
      </c>
      <c r="AA1619" s="56" t="s">
        <v>4732</v>
      </c>
      <c r="AB1619" s="56" t="s">
        <v>4731</v>
      </c>
      <c r="AC1619" s="56" t="s">
        <v>3543</v>
      </c>
      <c r="AH1619" s="56" t="s">
        <v>3542</v>
      </c>
      <c r="AI1619" s="56" t="s">
        <v>3541</v>
      </c>
    </row>
    <row r="1620" spans="1:35" ht="33" customHeight="1">
      <c r="A1620" s="56" t="s">
        <v>4735</v>
      </c>
      <c r="B1620" s="57">
        <v>44365.52783564815</v>
      </c>
      <c r="C1620" s="56" t="s">
        <v>3803</v>
      </c>
      <c r="D1620" s="56" t="s">
        <v>4426</v>
      </c>
      <c r="E1620" s="56" t="s">
        <v>4734</v>
      </c>
      <c r="F1620" s="56" t="s">
        <v>4733</v>
      </c>
      <c r="G1620" s="58" t="s">
        <v>1500</v>
      </c>
      <c r="H1620" s="56">
        <v>1</v>
      </c>
      <c r="I1620" s="56" t="s">
        <v>3231</v>
      </c>
      <c r="J1620" s="56">
        <v>250</v>
      </c>
      <c r="K1620" s="56">
        <v>150</v>
      </c>
      <c r="P1620" s="56">
        <v>0</v>
      </c>
      <c r="S1620" s="56">
        <v>0</v>
      </c>
      <c r="T1620" s="56" t="s">
        <v>27</v>
      </c>
      <c r="V1620" s="56" t="s">
        <v>3549</v>
      </c>
      <c r="W1620" s="56" t="s">
        <v>3548</v>
      </c>
      <c r="X1620" s="56" t="s">
        <v>3547</v>
      </c>
      <c r="Z1620" s="56" t="s">
        <v>3546</v>
      </c>
      <c r="AA1620" s="56" t="s">
        <v>4732</v>
      </c>
      <c r="AB1620" s="56" t="s">
        <v>4731</v>
      </c>
      <c r="AC1620" s="56" t="s">
        <v>3543</v>
      </c>
      <c r="AH1620" s="56" t="s">
        <v>3542</v>
      </c>
      <c r="AI1620" s="56" t="s">
        <v>3541</v>
      </c>
    </row>
    <row r="1621" spans="1:35" ht="33" customHeight="1">
      <c r="A1621" s="56" t="s">
        <v>4735</v>
      </c>
      <c r="B1621" s="57">
        <v>44365.52783564815</v>
      </c>
      <c r="C1621" s="56" t="s">
        <v>3803</v>
      </c>
      <c r="D1621" s="56" t="s">
        <v>4426</v>
      </c>
      <c r="E1621" s="56" t="s">
        <v>4734</v>
      </c>
      <c r="F1621" s="56" t="s">
        <v>4733</v>
      </c>
      <c r="G1621" s="58" t="s">
        <v>3551</v>
      </c>
      <c r="H1621" s="56">
        <v>1</v>
      </c>
      <c r="I1621" s="56" t="s">
        <v>3550</v>
      </c>
      <c r="J1621" s="56">
        <v>0</v>
      </c>
      <c r="K1621" s="56">
        <v>0</v>
      </c>
      <c r="P1621" s="56">
        <v>0</v>
      </c>
      <c r="S1621" s="56">
        <v>0</v>
      </c>
      <c r="T1621" s="56" t="s">
        <v>27</v>
      </c>
      <c r="V1621" s="56" t="s">
        <v>3549</v>
      </c>
      <c r="W1621" s="56" t="s">
        <v>3548</v>
      </c>
      <c r="X1621" s="56" t="s">
        <v>3547</v>
      </c>
      <c r="Z1621" s="56" t="s">
        <v>3546</v>
      </c>
      <c r="AA1621" s="56" t="s">
        <v>4732</v>
      </c>
      <c r="AB1621" s="56" t="s">
        <v>4731</v>
      </c>
      <c r="AC1621" s="56" t="s">
        <v>3543</v>
      </c>
      <c r="AH1621" s="56" t="s">
        <v>3542</v>
      </c>
      <c r="AI1621" s="56" t="s">
        <v>3541</v>
      </c>
    </row>
    <row r="1622" spans="1:35" ht="33" customHeight="1">
      <c r="A1622" s="56" t="s">
        <v>4730</v>
      </c>
      <c r="B1622" s="57">
        <v>44365.535219907404</v>
      </c>
      <c r="C1622" s="56" t="s">
        <v>3803</v>
      </c>
      <c r="D1622" s="56" t="s">
        <v>3802</v>
      </c>
      <c r="E1622" s="56" t="s">
        <v>4729</v>
      </c>
      <c r="F1622" s="56" t="s">
        <v>4728</v>
      </c>
      <c r="G1622" s="58" t="s">
        <v>3654</v>
      </c>
      <c r="H1622" s="56">
        <v>1</v>
      </c>
      <c r="I1622" s="56" t="s">
        <v>3653</v>
      </c>
      <c r="J1622" s="56">
        <v>447</v>
      </c>
      <c r="K1622" s="56">
        <v>430</v>
      </c>
      <c r="L1622" s="56">
        <v>550</v>
      </c>
      <c r="M1622" s="56">
        <v>60</v>
      </c>
      <c r="N1622" s="56">
        <v>0</v>
      </c>
      <c r="O1622" s="56">
        <v>0</v>
      </c>
      <c r="P1622" s="56">
        <v>0</v>
      </c>
      <c r="Q1622" s="56">
        <v>610</v>
      </c>
      <c r="R1622" s="56">
        <v>0</v>
      </c>
      <c r="S1622" s="56">
        <v>0</v>
      </c>
      <c r="T1622" s="56" t="s">
        <v>3562</v>
      </c>
      <c r="U1622" s="56">
        <v>610</v>
      </c>
      <c r="V1622" s="56" t="s">
        <v>59</v>
      </c>
      <c r="W1622" s="56" t="s">
        <v>3548</v>
      </c>
      <c r="X1622" s="56" t="s">
        <v>39</v>
      </c>
      <c r="Y1622" s="56" t="s">
        <v>4515</v>
      </c>
      <c r="Z1622" s="56" t="s">
        <v>4727</v>
      </c>
      <c r="AC1622" s="56" t="s">
        <v>3543</v>
      </c>
      <c r="AD1622" s="56" t="s">
        <v>24</v>
      </c>
      <c r="AE1622" s="56" t="s">
        <v>4530</v>
      </c>
      <c r="AF1622" s="56" t="s">
        <v>4726</v>
      </c>
      <c r="AH1622" s="56" t="s">
        <v>3542</v>
      </c>
      <c r="AI1622" s="56" t="s">
        <v>3723</v>
      </c>
    </row>
    <row r="1623" spans="1:35" ht="33" customHeight="1">
      <c r="A1623" s="56" t="s">
        <v>4730</v>
      </c>
      <c r="B1623" s="57">
        <v>44365.535219907404</v>
      </c>
      <c r="C1623" s="56" t="s">
        <v>3803</v>
      </c>
      <c r="D1623" s="56" t="s">
        <v>3802</v>
      </c>
      <c r="E1623" s="56" t="s">
        <v>4729</v>
      </c>
      <c r="F1623" s="56" t="s">
        <v>4728</v>
      </c>
      <c r="G1623" s="58" t="s">
        <v>3196</v>
      </c>
      <c r="H1623" s="56">
        <v>1</v>
      </c>
      <c r="I1623" s="56" t="s">
        <v>2550</v>
      </c>
      <c r="J1623" s="56">
        <v>120</v>
      </c>
      <c r="K1623" s="56">
        <v>120</v>
      </c>
      <c r="P1623" s="56">
        <v>0</v>
      </c>
      <c r="S1623" s="56">
        <v>0</v>
      </c>
      <c r="T1623" s="56" t="s">
        <v>3562</v>
      </c>
      <c r="V1623" s="56" t="s">
        <v>59</v>
      </c>
      <c r="W1623" s="56" t="s">
        <v>3548</v>
      </c>
      <c r="X1623" s="56" t="s">
        <v>39</v>
      </c>
      <c r="Y1623" s="56" t="s">
        <v>4515</v>
      </c>
      <c r="Z1623" s="56" t="s">
        <v>4727</v>
      </c>
      <c r="AC1623" s="56" t="s">
        <v>3543</v>
      </c>
      <c r="AD1623" s="56" t="s">
        <v>24</v>
      </c>
      <c r="AE1623" s="56" t="s">
        <v>4530</v>
      </c>
      <c r="AF1623" s="56" t="s">
        <v>4726</v>
      </c>
      <c r="AH1623" s="56" t="s">
        <v>3542</v>
      </c>
      <c r="AI1623" s="56" t="s">
        <v>3723</v>
      </c>
    </row>
    <row r="1624" spans="1:35" ht="33" customHeight="1">
      <c r="A1624" s="56" t="s">
        <v>4730</v>
      </c>
      <c r="B1624" s="57">
        <v>44365.535219907404</v>
      </c>
      <c r="C1624" s="56" t="s">
        <v>3803</v>
      </c>
      <c r="D1624" s="56" t="s">
        <v>3802</v>
      </c>
      <c r="E1624" s="56" t="s">
        <v>4729</v>
      </c>
      <c r="F1624" s="56" t="s">
        <v>4728</v>
      </c>
      <c r="G1624" s="58" t="s">
        <v>3551</v>
      </c>
      <c r="H1624" s="56">
        <v>1</v>
      </c>
      <c r="I1624" s="56" t="s">
        <v>3550</v>
      </c>
      <c r="J1624" s="56">
        <v>0</v>
      </c>
      <c r="K1624" s="56">
        <v>0</v>
      </c>
      <c r="P1624" s="56">
        <v>0</v>
      </c>
      <c r="S1624" s="56">
        <v>0</v>
      </c>
      <c r="T1624" s="56" t="s">
        <v>3562</v>
      </c>
      <c r="V1624" s="56" t="s">
        <v>59</v>
      </c>
      <c r="W1624" s="56" t="s">
        <v>3548</v>
      </c>
      <c r="X1624" s="56" t="s">
        <v>39</v>
      </c>
      <c r="Y1624" s="56" t="s">
        <v>4515</v>
      </c>
      <c r="Z1624" s="56" t="s">
        <v>4727</v>
      </c>
      <c r="AC1624" s="56" t="s">
        <v>3543</v>
      </c>
      <c r="AD1624" s="56" t="s">
        <v>24</v>
      </c>
      <c r="AE1624" s="56" t="s">
        <v>4530</v>
      </c>
      <c r="AF1624" s="56" t="s">
        <v>4726</v>
      </c>
      <c r="AH1624" s="56" t="s">
        <v>3542</v>
      </c>
      <c r="AI1624" s="56" t="s">
        <v>3723</v>
      </c>
    </row>
    <row r="1625" spans="1:35" ht="33" customHeight="1">
      <c r="A1625" s="56" t="s">
        <v>4725</v>
      </c>
      <c r="B1625" s="57">
        <v>44365.540509259263</v>
      </c>
      <c r="C1625" s="56" t="s">
        <v>3803</v>
      </c>
      <c r="D1625" s="56" t="s">
        <v>3802</v>
      </c>
      <c r="E1625" s="56" t="s">
        <v>4724</v>
      </c>
      <c r="F1625" s="56" t="s">
        <v>4723</v>
      </c>
      <c r="G1625" s="58" t="s">
        <v>2171</v>
      </c>
      <c r="H1625" s="56">
        <v>1</v>
      </c>
      <c r="I1625" s="56" t="s">
        <v>3762</v>
      </c>
      <c r="J1625" s="56">
        <v>350</v>
      </c>
      <c r="K1625" s="56">
        <v>350</v>
      </c>
      <c r="L1625" s="56">
        <v>1156</v>
      </c>
      <c r="M1625" s="56">
        <v>0</v>
      </c>
      <c r="N1625" s="56">
        <v>0</v>
      </c>
      <c r="O1625" s="56">
        <v>116</v>
      </c>
      <c r="P1625" s="56">
        <v>0</v>
      </c>
      <c r="Q1625" s="56">
        <v>1040</v>
      </c>
      <c r="R1625" s="56">
        <v>0</v>
      </c>
      <c r="S1625" s="56">
        <v>0</v>
      </c>
      <c r="T1625" s="56" t="s">
        <v>3562</v>
      </c>
      <c r="U1625" s="56">
        <v>1040</v>
      </c>
      <c r="V1625" s="56" t="s">
        <v>59</v>
      </c>
      <c r="W1625" s="56" t="s">
        <v>3548</v>
      </c>
      <c r="X1625" s="56" t="s">
        <v>39</v>
      </c>
      <c r="Y1625" s="56" t="s">
        <v>4722</v>
      </c>
      <c r="Z1625" s="56" t="s">
        <v>4721</v>
      </c>
      <c r="AC1625" s="56" t="s">
        <v>3543</v>
      </c>
      <c r="AD1625" s="56" t="s">
        <v>24</v>
      </c>
      <c r="AE1625" s="56" t="s">
        <v>4530</v>
      </c>
      <c r="AF1625" s="56" t="s">
        <v>4720</v>
      </c>
      <c r="AH1625" s="56" t="s">
        <v>3542</v>
      </c>
      <c r="AI1625" s="56" t="s">
        <v>3723</v>
      </c>
    </row>
    <row r="1626" spans="1:35" ht="33" customHeight="1">
      <c r="A1626" s="56" t="s">
        <v>4725</v>
      </c>
      <c r="B1626" s="57">
        <v>44365.540509259263</v>
      </c>
      <c r="C1626" s="56" t="s">
        <v>3803</v>
      </c>
      <c r="D1626" s="56" t="s">
        <v>3802</v>
      </c>
      <c r="E1626" s="56" t="s">
        <v>4724</v>
      </c>
      <c r="F1626" s="56" t="s">
        <v>4723</v>
      </c>
      <c r="G1626" s="58" t="s">
        <v>3299</v>
      </c>
      <c r="H1626" s="56">
        <v>1</v>
      </c>
      <c r="I1626" s="56" t="s">
        <v>3576</v>
      </c>
      <c r="J1626" s="56">
        <v>299</v>
      </c>
      <c r="K1626" s="56">
        <v>299</v>
      </c>
      <c r="P1626" s="56">
        <v>0</v>
      </c>
      <c r="S1626" s="56">
        <v>0</v>
      </c>
      <c r="T1626" s="56" t="s">
        <v>3562</v>
      </c>
      <c r="V1626" s="56" t="s">
        <v>59</v>
      </c>
      <c r="W1626" s="56" t="s">
        <v>3548</v>
      </c>
      <c r="X1626" s="56" t="s">
        <v>39</v>
      </c>
      <c r="Y1626" s="56" t="s">
        <v>4722</v>
      </c>
      <c r="Z1626" s="56" t="s">
        <v>4721</v>
      </c>
      <c r="AC1626" s="56" t="s">
        <v>3543</v>
      </c>
      <c r="AD1626" s="56" t="s">
        <v>24</v>
      </c>
      <c r="AE1626" s="56" t="s">
        <v>4530</v>
      </c>
      <c r="AF1626" s="56" t="s">
        <v>4720</v>
      </c>
      <c r="AH1626" s="56" t="s">
        <v>3542</v>
      </c>
      <c r="AI1626" s="56" t="s">
        <v>3723</v>
      </c>
    </row>
    <row r="1627" spans="1:35" ht="33" customHeight="1">
      <c r="A1627" s="56" t="s">
        <v>4725</v>
      </c>
      <c r="B1627" s="57">
        <v>44365.540509259263</v>
      </c>
      <c r="C1627" s="56" t="s">
        <v>3803</v>
      </c>
      <c r="D1627" s="56" t="s">
        <v>3802</v>
      </c>
      <c r="E1627" s="56" t="s">
        <v>4724</v>
      </c>
      <c r="F1627" s="56" t="s">
        <v>4723</v>
      </c>
      <c r="G1627" s="58" t="s">
        <v>1506</v>
      </c>
      <c r="H1627" s="56">
        <v>1</v>
      </c>
      <c r="I1627" s="56" t="s">
        <v>3696</v>
      </c>
      <c r="J1627" s="56">
        <v>299</v>
      </c>
      <c r="K1627" s="56">
        <v>299</v>
      </c>
      <c r="P1627" s="56">
        <v>0</v>
      </c>
      <c r="S1627" s="56">
        <v>0</v>
      </c>
      <c r="T1627" s="56" t="s">
        <v>3562</v>
      </c>
      <c r="V1627" s="56" t="s">
        <v>59</v>
      </c>
      <c r="W1627" s="56" t="s">
        <v>3548</v>
      </c>
      <c r="X1627" s="56" t="s">
        <v>39</v>
      </c>
      <c r="Y1627" s="56" t="s">
        <v>4722</v>
      </c>
      <c r="Z1627" s="56" t="s">
        <v>4721</v>
      </c>
      <c r="AC1627" s="56" t="s">
        <v>3543</v>
      </c>
      <c r="AD1627" s="56" t="s">
        <v>24</v>
      </c>
      <c r="AE1627" s="56" t="s">
        <v>4530</v>
      </c>
      <c r="AF1627" s="56" t="s">
        <v>4720</v>
      </c>
      <c r="AH1627" s="56" t="s">
        <v>3542</v>
      </c>
      <c r="AI1627" s="56" t="s">
        <v>3723</v>
      </c>
    </row>
    <row r="1628" spans="1:35" ht="33" customHeight="1">
      <c r="A1628" s="56" t="s">
        <v>4725</v>
      </c>
      <c r="B1628" s="57">
        <v>44365.540509259263</v>
      </c>
      <c r="C1628" s="56" t="s">
        <v>3803</v>
      </c>
      <c r="D1628" s="56" t="s">
        <v>3802</v>
      </c>
      <c r="E1628" s="56" t="s">
        <v>4724</v>
      </c>
      <c r="F1628" s="56" t="s">
        <v>4723</v>
      </c>
      <c r="G1628" s="58" t="s">
        <v>1713</v>
      </c>
      <c r="H1628" s="56">
        <v>1</v>
      </c>
      <c r="I1628" s="56" t="s">
        <v>3587</v>
      </c>
      <c r="J1628" s="56">
        <v>149</v>
      </c>
      <c r="K1628" s="56">
        <v>149</v>
      </c>
      <c r="P1628" s="56">
        <v>0</v>
      </c>
      <c r="S1628" s="56">
        <v>0</v>
      </c>
      <c r="T1628" s="56" t="s">
        <v>3562</v>
      </c>
      <c r="V1628" s="56" t="s">
        <v>59</v>
      </c>
      <c r="W1628" s="56" t="s">
        <v>3548</v>
      </c>
      <c r="X1628" s="56" t="s">
        <v>39</v>
      </c>
      <c r="Y1628" s="56" t="s">
        <v>4722</v>
      </c>
      <c r="Z1628" s="56" t="s">
        <v>4721</v>
      </c>
      <c r="AC1628" s="56" t="s">
        <v>3543</v>
      </c>
      <c r="AD1628" s="56" t="s">
        <v>24</v>
      </c>
      <c r="AE1628" s="56" t="s">
        <v>4530</v>
      </c>
      <c r="AF1628" s="56" t="s">
        <v>4720</v>
      </c>
      <c r="AH1628" s="56" t="s">
        <v>3542</v>
      </c>
      <c r="AI1628" s="56" t="s">
        <v>3723</v>
      </c>
    </row>
    <row r="1629" spans="1:35" ht="33" customHeight="1">
      <c r="A1629" s="56" t="s">
        <v>4725</v>
      </c>
      <c r="B1629" s="57">
        <v>44365.540509259263</v>
      </c>
      <c r="C1629" s="56" t="s">
        <v>3803</v>
      </c>
      <c r="D1629" s="56" t="s">
        <v>3802</v>
      </c>
      <c r="E1629" s="56" t="s">
        <v>4724</v>
      </c>
      <c r="F1629" s="56" t="s">
        <v>4723</v>
      </c>
      <c r="G1629" s="58" t="s">
        <v>3217</v>
      </c>
      <c r="H1629" s="56">
        <v>1</v>
      </c>
      <c r="I1629" s="56" t="s">
        <v>3720</v>
      </c>
      <c r="J1629" s="56">
        <v>59</v>
      </c>
      <c r="K1629" s="56">
        <v>59</v>
      </c>
      <c r="P1629" s="56">
        <v>0</v>
      </c>
      <c r="S1629" s="56">
        <v>0</v>
      </c>
      <c r="T1629" s="56" t="s">
        <v>3562</v>
      </c>
      <c r="V1629" s="56" t="s">
        <v>59</v>
      </c>
      <c r="W1629" s="56" t="s">
        <v>3548</v>
      </c>
      <c r="X1629" s="56" t="s">
        <v>39</v>
      </c>
      <c r="Y1629" s="56" t="s">
        <v>4722</v>
      </c>
      <c r="Z1629" s="56" t="s">
        <v>4721</v>
      </c>
      <c r="AC1629" s="56" t="s">
        <v>3543</v>
      </c>
      <c r="AD1629" s="56" t="s">
        <v>24</v>
      </c>
      <c r="AE1629" s="56" t="s">
        <v>4530</v>
      </c>
      <c r="AF1629" s="56" t="s">
        <v>4720</v>
      </c>
      <c r="AH1629" s="56" t="s">
        <v>3542</v>
      </c>
      <c r="AI1629" s="56" t="s">
        <v>3723</v>
      </c>
    </row>
    <row r="1630" spans="1:35" ht="33" customHeight="1">
      <c r="A1630" s="56" t="s">
        <v>4725</v>
      </c>
      <c r="B1630" s="57">
        <v>44365.540509259263</v>
      </c>
      <c r="C1630" s="56" t="s">
        <v>3803</v>
      </c>
      <c r="D1630" s="56" t="s">
        <v>3802</v>
      </c>
      <c r="E1630" s="56" t="s">
        <v>4724</v>
      </c>
      <c r="F1630" s="56" t="s">
        <v>4723</v>
      </c>
      <c r="G1630" s="58" t="s">
        <v>3551</v>
      </c>
      <c r="H1630" s="56">
        <v>1</v>
      </c>
      <c r="I1630" s="56" t="s">
        <v>3550</v>
      </c>
      <c r="J1630" s="56">
        <v>0</v>
      </c>
      <c r="K1630" s="56">
        <v>0</v>
      </c>
      <c r="P1630" s="56">
        <v>0</v>
      </c>
      <c r="S1630" s="56">
        <v>0</v>
      </c>
      <c r="T1630" s="56" t="s">
        <v>3562</v>
      </c>
      <c r="V1630" s="56" t="s">
        <v>59</v>
      </c>
      <c r="W1630" s="56" t="s">
        <v>3548</v>
      </c>
      <c r="X1630" s="56" t="s">
        <v>39</v>
      </c>
      <c r="Y1630" s="56" t="s">
        <v>4722</v>
      </c>
      <c r="Z1630" s="56" t="s">
        <v>4721</v>
      </c>
      <c r="AC1630" s="56" t="s">
        <v>3543</v>
      </c>
      <c r="AD1630" s="56" t="s">
        <v>24</v>
      </c>
      <c r="AE1630" s="56" t="s">
        <v>4530</v>
      </c>
      <c r="AF1630" s="56" t="s">
        <v>4720</v>
      </c>
      <c r="AH1630" s="56" t="s">
        <v>3542</v>
      </c>
      <c r="AI1630" s="56" t="s">
        <v>3723</v>
      </c>
    </row>
    <row r="1631" spans="1:35" ht="33" customHeight="1">
      <c r="A1631" s="56" t="s">
        <v>4719</v>
      </c>
      <c r="B1631" s="57">
        <v>44365.544768518521</v>
      </c>
      <c r="C1631" s="56" t="s">
        <v>3803</v>
      </c>
      <c r="D1631" s="56" t="s">
        <v>4426</v>
      </c>
      <c r="E1631" s="56" t="s">
        <v>4718</v>
      </c>
      <c r="F1631" s="56" t="s">
        <v>4717</v>
      </c>
      <c r="G1631" s="58" t="s">
        <v>3580</v>
      </c>
      <c r="H1631" s="56">
        <v>1</v>
      </c>
      <c r="I1631" s="56" t="s">
        <v>4671</v>
      </c>
      <c r="J1631" s="56">
        <v>336</v>
      </c>
      <c r="K1631" s="56">
        <v>320</v>
      </c>
      <c r="L1631" s="56">
        <v>1049</v>
      </c>
      <c r="M1631" s="56">
        <v>0</v>
      </c>
      <c r="N1631" s="56">
        <v>0</v>
      </c>
      <c r="O1631" s="56">
        <v>100</v>
      </c>
      <c r="P1631" s="56">
        <v>0</v>
      </c>
      <c r="Q1631" s="56">
        <v>949</v>
      </c>
      <c r="R1631" s="56">
        <v>0</v>
      </c>
      <c r="S1631" s="56">
        <v>0</v>
      </c>
      <c r="T1631" s="56" t="s">
        <v>27</v>
      </c>
      <c r="U1631" s="56">
        <v>949</v>
      </c>
      <c r="V1631" s="56" t="s">
        <v>3549</v>
      </c>
      <c r="W1631" s="56" t="s">
        <v>3548</v>
      </c>
      <c r="X1631" s="56" t="s">
        <v>3547</v>
      </c>
      <c r="Z1631" s="56" t="s">
        <v>3546</v>
      </c>
      <c r="AA1631" s="56" t="s">
        <v>4716</v>
      </c>
      <c r="AB1631" s="56" t="s">
        <v>4715</v>
      </c>
      <c r="AC1631" s="56" t="s">
        <v>3543</v>
      </c>
      <c r="AH1631" s="56" t="s">
        <v>3542</v>
      </c>
      <c r="AI1631" s="56" t="s">
        <v>3541</v>
      </c>
    </row>
    <row r="1632" spans="1:35" ht="33" customHeight="1">
      <c r="A1632" s="56" t="s">
        <v>4719</v>
      </c>
      <c r="B1632" s="57">
        <v>44365.544768518521</v>
      </c>
      <c r="C1632" s="56" t="s">
        <v>3803</v>
      </c>
      <c r="D1632" s="56" t="s">
        <v>4426</v>
      </c>
      <c r="E1632" s="56" t="s">
        <v>4718</v>
      </c>
      <c r="F1632" s="56" t="s">
        <v>4717</v>
      </c>
      <c r="G1632" s="58" t="s">
        <v>3654</v>
      </c>
      <c r="H1632" s="56">
        <v>1</v>
      </c>
      <c r="I1632" s="56" t="s">
        <v>3653</v>
      </c>
      <c r="J1632" s="56">
        <v>447</v>
      </c>
      <c r="K1632" s="56">
        <v>430</v>
      </c>
      <c r="P1632" s="56">
        <v>0</v>
      </c>
      <c r="S1632" s="56">
        <v>0</v>
      </c>
      <c r="T1632" s="56" t="s">
        <v>27</v>
      </c>
      <c r="V1632" s="56" t="s">
        <v>3549</v>
      </c>
      <c r="W1632" s="56" t="s">
        <v>3548</v>
      </c>
      <c r="X1632" s="56" t="s">
        <v>3547</v>
      </c>
      <c r="Z1632" s="56" t="s">
        <v>3546</v>
      </c>
      <c r="AA1632" s="56" t="s">
        <v>4716</v>
      </c>
      <c r="AB1632" s="56" t="s">
        <v>4715</v>
      </c>
      <c r="AC1632" s="56" t="s">
        <v>3543</v>
      </c>
      <c r="AH1632" s="56" t="s">
        <v>3542</v>
      </c>
      <c r="AI1632" s="56" t="s">
        <v>3541</v>
      </c>
    </row>
    <row r="1633" spans="1:35" ht="33" customHeight="1">
      <c r="A1633" s="56" t="s">
        <v>4719</v>
      </c>
      <c r="B1633" s="57">
        <v>44365.544768518521</v>
      </c>
      <c r="C1633" s="56" t="s">
        <v>3803</v>
      </c>
      <c r="D1633" s="56" t="s">
        <v>4426</v>
      </c>
      <c r="E1633" s="56" t="s">
        <v>4718</v>
      </c>
      <c r="F1633" s="56" t="s">
        <v>4717</v>
      </c>
      <c r="G1633" s="58" t="s">
        <v>1508</v>
      </c>
      <c r="H1633" s="56">
        <v>1</v>
      </c>
      <c r="I1633" s="56" t="s">
        <v>3696</v>
      </c>
      <c r="J1633" s="56">
        <v>299</v>
      </c>
      <c r="K1633" s="56">
        <v>299</v>
      </c>
      <c r="P1633" s="56">
        <v>0</v>
      </c>
      <c r="S1633" s="56">
        <v>0</v>
      </c>
      <c r="T1633" s="56" t="s">
        <v>27</v>
      </c>
      <c r="V1633" s="56" t="s">
        <v>3549</v>
      </c>
      <c r="W1633" s="56" t="s">
        <v>3548</v>
      </c>
      <c r="X1633" s="56" t="s">
        <v>3547</v>
      </c>
      <c r="Z1633" s="56" t="s">
        <v>3546</v>
      </c>
      <c r="AA1633" s="56" t="s">
        <v>4716</v>
      </c>
      <c r="AB1633" s="56" t="s">
        <v>4715</v>
      </c>
      <c r="AC1633" s="56" t="s">
        <v>3543</v>
      </c>
      <c r="AH1633" s="56" t="s">
        <v>3542</v>
      </c>
      <c r="AI1633" s="56" t="s">
        <v>3541</v>
      </c>
    </row>
    <row r="1634" spans="1:35" ht="33" customHeight="1">
      <c r="A1634" s="56" t="s">
        <v>4719</v>
      </c>
      <c r="B1634" s="57">
        <v>44365.544768518521</v>
      </c>
      <c r="C1634" s="56" t="s">
        <v>3803</v>
      </c>
      <c r="D1634" s="56" t="s">
        <v>4426</v>
      </c>
      <c r="E1634" s="56" t="s">
        <v>4718</v>
      </c>
      <c r="F1634" s="56" t="s">
        <v>4717</v>
      </c>
      <c r="G1634" s="58" t="s">
        <v>3551</v>
      </c>
      <c r="H1634" s="56">
        <v>1</v>
      </c>
      <c r="I1634" s="56" t="s">
        <v>3550</v>
      </c>
      <c r="J1634" s="56">
        <v>0</v>
      </c>
      <c r="K1634" s="56">
        <v>0</v>
      </c>
      <c r="P1634" s="56">
        <v>0</v>
      </c>
      <c r="S1634" s="56">
        <v>0</v>
      </c>
      <c r="T1634" s="56" t="s">
        <v>27</v>
      </c>
      <c r="V1634" s="56" t="s">
        <v>3549</v>
      </c>
      <c r="W1634" s="56" t="s">
        <v>3548</v>
      </c>
      <c r="X1634" s="56" t="s">
        <v>3547</v>
      </c>
      <c r="Z1634" s="56" t="s">
        <v>3546</v>
      </c>
      <c r="AA1634" s="56" t="s">
        <v>4716</v>
      </c>
      <c r="AB1634" s="56" t="s">
        <v>4715</v>
      </c>
      <c r="AC1634" s="56" t="s">
        <v>3543</v>
      </c>
      <c r="AH1634" s="56" t="s">
        <v>3542</v>
      </c>
      <c r="AI1634" s="56" t="s">
        <v>3541</v>
      </c>
    </row>
    <row r="1635" spans="1:35" ht="33" customHeight="1">
      <c r="A1635" s="56" t="s">
        <v>4714</v>
      </c>
      <c r="B1635" s="57">
        <v>44365.545104166667</v>
      </c>
      <c r="C1635" s="56" t="s">
        <v>3803</v>
      </c>
      <c r="D1635" s="56" t="s">
        <v>4426</v>
      </c>
      <c r="E1635" s="56" t="s">
        <v>4713</v>
      </c>
      <c r="F1635" s="56" t="s">
        <v>4712</v>
      </c>
      <c r="G1635" s="58" t="s">
        <v>3580</v>
      </c>
      <c r="H1635" s="56">
        <v>1</v>
      </c>
      <c r="I1635" s="56" t="s">
        <v>4671</v>
      </c>
      <c r="J1635" s="56">
        <v>336</v>
      </c>
      <c r="K1635" s="56">
        <v>320</v>
      </c>
      <c r="L1635" s="56">
        <v>320</v>
      </c>
      <c r="M1635" s="56">
        <v>65</v>
      </c>
      <c r="N1635" s="56">
        <v>0</v>
      </c>
      <c r="O1635" s="56">
        <v>0</v>
      </c>
      <c r="P1635" s="56">
        <v>0</v>
      </c>
      <c r="Q1635" s="56">
        <v>385</v>
      </c>
      <c r="R1635" s="56">
        <v>0</v>
      </c>
      <c r="S1635" s="56">
        <v>0</v>
      </c>
      <c r="T1635" s="56" t="s">
        <v>27</v>
      </c>
      <c r="U1635" s="56">
        <v>385</v>
      </c>
      <c r="V1635" s="56" t="s">
        <v>3549</v>
      </c>
      <c r="W1635" s="56" t="s">
        <v>3548</v>
      </c>
      <c r="X1635" s="56" t="s">
        <v>3547</v>
      </c>
      <c r="Z1635" s="56" t="s">
        <v>3546</v>
      </c>
      <c r="AA1635" s="56" t="s">
        <v>4711</v>
      </c>
      <c r="AB1635" s="56" t="s">
        <v>4710</v>
      </c>
      <c r="AC1635" s="56" t="s">
        <v>3543</v>
      </c>
      <c r="AH1635" s="56" t="s">
        <v>3542</v>
      </c>
      <c r="AI1635" s="56" t="s">
        <v>3541</v>
      </c>
    </row>
    <row r="1636" spans="1:35" ht="33" customHeight="1">
      <c r="A1636" s="56" t="s">
        <v>4714</v>
      </c>
      <c r="B1636" s="57">
        <v>44365.545104166667</v>
      </c>
      <c r="C1636" s="56" t="s">
        <v>3803</v>
      </c>
      <c r="D1636" s="56" t="s">
        <v>4426</v>
      </c>
      <c r="E1636" s="56" t="s">
        <v>4713</v>
      </c>
      <c r="F1636" s="56" t="s">
        <v>4712</v>
      </c>
      <c r="G1636" s="58" t="s">
        <v>3551</v>
      </c>
      <c r="H1636" s="56">
        <v>1</v>
      </c>
      <c r="I1636" s="56" t="s">
        <v>3550</v>
      </c>
      <c r="J1636" s="56">
        <v>0</v>
      </c>
      <c r="K1636" s="56">
        <v>0</v>
      </c>
      <c r="P1636" s="56">
        <v>0</v>
      </c>
      <c r="S1636" s="56">
        <v>0</v>
      </c>
      <c r="T1636" s="56" t="s">
        <v>27</v>
      </c>
      <c r="V1636" s="56" t="s">
        <v>3549</v>
      </c>
      <c r="W1636" s="56" t="s">
        <v>3548</v>
      </c>
      <c r="X1636" s="56" t="s">
        <v>3547</v>
      </c>
      <c r="Z1636" s="56" t="s">
        <v>3546</v>
      </c>
      <c r="AA1636" s="56" t="s">
        <v>4711</v>
      </c>
      <c r="AB1636" s="56" t="s">
        <v>4710</v>
      </c>
      <c r="AC1636" s="56" t="s">
        <v>3543</v>
      </c>
      <c r="AH1636" s="56" t="s">
        <v>3542</v>
      </c>
      <c r="AI1636" s="56" t="s">
        <v>3541</v>
      </c>
    </row>
    <row r="1637" spans="1:35" ht="33" customHeight="1">
      <c r="A1637" s="56" t="s">
        <v>4709</v>
      </c>
      <c r="B1637" s="57">
        <v>44365.569027777776</v>
      </c>
      <c r="C1637" s="56" t="s">
        <v>3803</v>
      </c>
      <c r="D1637" s="56" t="s">
        <v>3802</v>
      </c>
      <c r="E1637" s="56" t="s">
        <v>4708</v>
      </c>
      <c r="F1637" s="56" t="s">
        <v>4707</v>
      </c>
      <c r="G1637" s="58" t="s">
        <v>3849</v>
      </c>
      <c r="H1637" s="56">
        <v>1</v>
      </c>
      <c r="I1637" s="56" t="s">
        <v>3848</v>
      </c>
      <c r="J1637" s="56">
        <v>1396</v>
      </c>
      <c r="K1637" s="56">
        <v>1320</v>
      </c>
      <c r="L1637" s="56">
        <v>1514</v>
      </c>
      <c r="M1637" s="56">
        <v>0</v>
      </c>
      <c r="N1637" s="56">
        <v>0</v>
      </c>
      <c r="O1637" s="56">
        <v>100</v>
      </c>
      <c r="P1637" s="56">
        <v>0</v>
      </c>
      <c r="Q1637" s="56">
        <v>1414</v>
      </c>
      <c r="R1637" s="56">
        <v>0</v>
      </c>
      <c r="S1637" s="56">
        <v>0</v>
      </c>
      <c r="T1637" s="56" t="s">
        <v>3562</v>
      </c>
      <c r="U1637" s="56">
        <v>1414</v>
      </c>
      <c r="V1637" s="56" t="s">
        <v>59</v>
      </c>
      <c r="W1637" s="56" t="s">
        <v>3548</v>
      </c>
      <c r="X1637" s="56" t="s">
        <v>39</v>
      </c>
      <c r="Y1637" s="56" t="s">
        <v>4706</v>
      </c>
      <c r="Z1637" s="56" t="s">
        <v>4705</v>
      </c>
      <c r="AC1637" s="56" t="s">
        <v>3543</v>
      </c>
      <c r="AD1637" s="56" t="s">
        <v>24</v>
      </c>
      <c r="AE1637" s="56" t="s">
        <v>4530</v>
      </c>
      <c r="AF1637" s="56" t="s">
        <v>4704</v>
      </c>
      <c r="AH1637" s="56" t="s">
        <v>3542</v>
      </c>
      <c r="AI1637" s="56" t="s">
        <v>3723</v>
      </c>
    </row>
    <row r="1638" spans="1:35" ht="33" customHeight="1">
      <c r="A1638" s="56" t="s">
        <v>4709</v>
      </c>
      <c r="B1638" s="57">
        <v>44365.569027777776</v>
      </c>
      <c r="C1638" s="56" t="s">
        <v>3803</v>
      </c>
      <c r="D1638" s="56" t="s">
        <v>3802</v>
      </c>
      <c r="E1638" s="56" t="s">
        <v>4708</v>
      </c>
      <c r="F1638" s="56" t="s">
        <v>4707</v>
      </c>
      <c r="G1638" s="58" t="s">
        <v>1493</v>
      </c>
      <c r="H1638" s="56">
        <v>1</v>
      </c>
      <c r="I1638" s="56" t="s">
        <v>3601</v>
      </c>
      <c r="J1638" s="56">
        <v>135</v>
      </c>
      <c r="K1638" s="56">
        <v>135</v>
      </c>
      <c r="P1638" s="56">
        <v>0</v>
      </c>
      <c r="S1638" s="56">
        <v>0</v>
      </c>
      <c r="T1638" s="56" t="s">
        <v>3562</v>
      </c>
      <c r="V1638" s="56" t="s">
        <v>59</v>
      </c>
      <c r="W1638" s="56" t="s">
        <v>3548</v>
      </c>
      <c r="X1638" s="56" t="s">
        <v>39</v>
      </c>
      <c r="Y1638" s="56" t="s">
        <v>4706</v>
      </c>
      <c r="Z1638" s="56" t="s">
        <v>4705</v>
      </c>
      <c r="AC1638" s="56" t="s">
        <v>3543</v>
      </c>
      <c r="AD1638" s="56" t="s">
        <v>24</v>
      </c>
      <c r="AE1638" s="56" t="s">
        <v>4530</v>
      </c>
      <c r="AF1638" s="56" t="s">
        <v>4704</v>
      </c>
      <c r="AH1638" s="56" t="s">
        <v>3542</v>
      </c>
      <c r="AI1638" s="56" t="s">
        <v>3723</v>
      </c>
    </row>
    <row r="1639" spans="1:35" ht="33" customHeight="1">
      <c r="A1639" s="56" t="s">
        <v>4709</v>
      </c>
      <c r="B1639" s="57">
        <v>44365.569027777776</v>
      </c>
      <c r="C1639" s="56" t="s">
        <v>3803</v>
      </c>
      <c r="D1639" s="56" t="s">
        <v>3802</v>
      </c>
      <c r="E1639" s="56" t="s">
        <v>4708</v>
      </c>
      <c r="F1639" s="56" t="s">
        <v>4707</v>
      </c>
      <c r="G1639" s="58" t="s">
        <v>3217</v>
      </c>
      <c r="H1639" s="56">
        <v>1</v>
      </c>
      <c r="I1639" s="56" t="s">
        <v>3720</v>
      </c>
      <c r="J1639" s="56">
        <v>59</v>
      </c>
      <c r="K1639" s="56">
        <v>59</v>
      </c>
      <c r="P1639" s="56">
        <v>0</v>
      </c>
      <c r="S1639" s="56">
        <v>0</v>
      </c>
      <c r="T1639" s="56" t="s">
        <v>3562</v>
      </c>
      <c r="V1639" s="56" t="s">
        <v>59</v>
      </c>
      <c r="W1639" s="56" t="s">
        <v>3548</v>
      </c>
      <c r="X1639" s="56" t="s">
        <v>39</v>
      </c>
      <c r="Y1639" s="56" t="s">
        <v>4706</v>
      </c>
      <c r="Z1639" s="56" t="s">
        <v>4705</v>
      </c>
      <c r="AC1639" s="56" t="s">
        <v>3543</v>
      </c>
      <c r="AD1639" s="56" t="s">
        <v>24</v>
      </c>
      <c r="AE1639" s="56" t="s">
        <v>4530</v>
      </c>
      <c r="AF1639" s="56" t="s">
        <v>4704</v>
      </c>
      <c r="AH1639" s="56" t="s">
        <v>3542</v>
      </c>
      <c r="AI1639" s="56" t="s">
        <v>3723</v>
      </c>
    </row>
    <row r="1640" spans="1:35" ht="33" customHeight="1">
      <c r="A1640" s="56" t="s">
        <v>4709</v>
      </c>
      <c r="B1640" s="57">
        <v>44365.569027777776</v>
      </c>
      <c r="C1640" s="56" t="s">
        <v>3803</v>
      </c>
      <c r="D1640" s="56" t="s">
        <v>3802</v>
      </c>
      <c r="E1640" s="56" t="s">
        <v>4708</v>
      </c>
      <c r="F1640" s="56" t="s">
        <v>4707</v>
      </c>
      <c r="G1640" s="58" t="s">
        <v>3551</v>
      </c>
      <c r="H1640" s="56">
        <v>1</v>
      </c>
      <c r="I1640" s="56" t="s">
        <v>3550</v>
      </c>
      <c r="J1640" s="56">
        <v>0</v>
      </c>
      <c r="K1640" s="56">
        <v>0</v>
      </c>
      <c r="P1640" s="56">
        <v>0</v>
      </c>
      <c r="S1640" s="56">
        <v>0</v>
      </c>
      <c r="T1640" s="56" t="s">
        <v>3562</v>
      </c>
      <c r="V1640" s="56" t="s">
        <v>59</v>
      </c>
      <c r="W1640" s="56" t="s">
        <v>3548</v>
      </c>
      <c r="X1640" s="56" t="s">
        <v>39</v>
      </c>
      <c r="Y1640" s="56" t="s">
        <v>4706</v>
      </c>
      <c r="Z1640" s="56" t="s">
        <v>4705</v>
      </c>
      <c r="AC1640" s="56" t="s">
        <v>3543</v>
      </c>
      <c r="AD1640" s="56" t="s">
        <v>24</v>
      </c>
      <c r="AE1640" s="56" t="s">
        <v>4530</v>
      </c>
      <c r="AF1640" s="56" t="s">
        <v>4704</v>
      </c>
      <c r="AH1640" s="56" t="s">
        <v>3542</v>
      </c>
      <c r="AI1640" s="56" t="s">
        <v>3723</v>
      </c>
    </row>
    <row r="1641" spans="1:35" ht="33" customHeight="1">
      <c r="A1641" s="56" t="s">
        <v>4709</v>
      </c>
      <c r="B1641" s="57">
        <v>44365.569027777776</v>
      </c>
      <c r="C1641" s="56" t="s">
        <v>3803</v>
      </c>
      <c r="D1641" s="56" t="s">
        <v>3802</v>
      </c>
      <c r="E1641" s="56" t="s">
        <v>4708</v>
      </c>
      <c r="F1641" s="56" t="s">
        <v>4707</v>
      </c>
      <c r="G1641" s="58" t="s">
        <v>1713</v>
      </c>
      <c r="H1641" s="56">
        <v>1</v>
      </c>
      <c r="I1641" s="56" t="s">
        <v>3568</v>
      </c>
      <c r="J1641" s="56">
        <v>0</v>
      </c>
      <c r="K1641" s="56">
        <v>0</v>
      </c>
      <c r="P1641" s="56">
        <v>0</v>
      </c>
      <c r="S1641" s="56">
        <v>0</v>
      </c>
      <c r="T1641" s="56" t="s">
        <v>3562</v>
      </c>
      <c r="V1641" s="56" t="s">
        <v>59</v>
      </c>
      <c r="W1641" s="56" t="s">
        <v>3548</v>
      </c>
      <c r="X1641" s="56" t="s">
        <v>39</v>
      </c>
      <c r="Y1641" s="56" t="s">
        <v>4706</v>
      </c>
      <c r="Z1641" s="56" t="s">
        <v>4705</v>
      </c>
      <c r="AC1641" s="56" t="s">
        <v>3543</v>
      </c>
      <c r="AD1641" s="56" t="s">
        <v>24</v>
      </c>
      <c r="AE1641" s="56" t="s">
        <v>4530</v>
      </c>
      <c r="AF1641" s="56" t="s">
        <v>4704</v>
      </c>
      <c r="AH1641" s="56" t="s">
        <v>3542</v>
      </c>
      <c r="AI1641" s="56" t="s">
        <v>3723</v>
      </c>
    </row>
    <row r="1642" spans="1:35" ht="33" customHeight="1">
      <c r="A1642" s="56" t="s">
        <v>4703</v>
      </c>
      <c r="B1642" s="57">
        <v>44365.582835648151</v>
      </c>
      <c r="C1642" s="56" t="s">
        <v>3803</v>
      </c>
      <c r="D1642" s="56" t="s">
        <v>4426</v>
      </c>
      <c r="E1642" s="56" t="s">
        <v>4702</v>
      </c>
      <c r="F1642" s="56" t="s">
        <v>4701</v>
      </c>
      <c r="G1642" s="58" t="s">
        <v>3580</v>
      </c>
      <c r="H1642" s="56">
        <v>1</v>
      </c>
      <c r="I1642" s="56" t="s">
        <v>4671</v>
      </c>
      <c r="J1642" s="56">
        <v>336</v>
      </c>
      <c r="K1642" s="56">
        <v>320</v>
      </c>
      <c r="L1642" s="56">
        <v>1217</v>
      </c>
      <c r="M1642" s="56">
        <v>0</v>
      </c>
      <c r="N1642" s="56">
        <v>0</v>
      </c>
      <c r="O1642" s="56">
        <v>122</v>
      </c>
      <c r="P1642" s="56">
        <v>0</v>
      </c>
      <c r="Q1642" s="56">
        <v>1095</v>
      </c>
      <c r="R1642" s="56">
        <v>0</v>
      </c>
      <c r="S1642" s="56">
        <v>0</v>
      </c>
      <c r="T1642" s="56" t="s">
        <v>27</v>
      </c>
      <c r="U1642" s="56">
        <v>1095</v>
      </c>
      <c r="V1642" s="56" t="s">
        <v>3612</v>
      </c>
      <c r="W1642" s="56" t="s">
        <v>3548</v>
      </c>
      <c r="X1642" s="56" t="s">
        <v>3611</v>
      </c>
      <c r="Z1642" s="56" t="s">
        <v>3546</v>
      </c>
      <c r="AA1642" s="56" t="s">
        <v>4700</v>
      </c>
      <c r="AB1642" s="56" t="s">
        <v>4699</v>
      </c>
      <c r="AC1642" s="56" t="s">
        <v>3543</v>
      </c>
      <c r="AH1642" s="56" t="s">
        <v>3542</v>
      </c>
      <c r="AI1642" s="56" t="s">
        <v>3541</v>
      </c>
    </row>
    <row r="1643" spans="1:35" ht="33" customHeight="1">
      <c r="A1643" s="56" t="s">
        <v>4703</v>
      </c>
      <c r="B1643" s="57">
        <v>44365.582835648151</v>
      </c>
      <c r="C1643" s="56" t="s">
        <v>3803</v>
      </c>
      <c r="D1643" s="56" t="s">
        <v>4426</v>
      </c>
      <c r="E1643" s="56" t="s">
        <v>4702</v>
      </c>
      <c r="F1643" s="56" t="s">
        <v>4701</v>
      </c>
      <c r="G1643" s="58" t="s">
        <v>3299</v>
      </c>
      <c r="H1643" s="56">
        <v>3</v>
      </c>
      <c r="I1643" s="56" t="s">
        <v>3576</v>
      </c>
      <c r="J1643" s="56">
        <v>299</v>
      </c>
      <c r="K1643" s="56">
        <v>299</v>
      </c>
      <c r="P1643" s="56">
        <v>0</v>
      </c>
      <c r="S1643" s="56">
        <v>0</v>
      </c>
      <c r="T1643" s="56" t="s">
        <v>27</v>
      </c>
      <c r="V1643" s="56" t="s">
        <v>3612</v>
      </c>
      <c r="W1643" s="56" t="s">
        <v>3548</v>
      </c>
      <c r="X1643" s="56" t="s">
        <v>3611</v>
      </c>
      <c r="Z1643" s="56" t="s">
        <v>3546</v>
      </c>
      <c r="AA1643" s="56" t="s">
        <v>4700</v>
      </c>
      <c r="AB1643" s="56" t="s">
        <v>4699</v>
      </c>
      <c r="AC1643" s="56" t="s">
        <v>3543</v>
      </c>
      <c r="AH1643" s="56" t="s">
        <v>3542</v>
      </c>
      <c r="AI1643" s="56" t="s">
        <v>3541</v>
      </c>
    </row>
    <row r="1644" spans="1:35" ht="33" customHeight="1">
      <c r="A1644" s="56" t="s">
        <v>4703</v>
      </c>
      <c r="B1644" s="57">
        <v>44365.582835648151</v>
      </c>
      <c r="C1644" s="56" t="s">
        <v>3803</v>
      </c>
      <c r="D1644" s="56" t="s">
        <v>4426</v>
      </c>
      <c r="E1644" s="56" t="s">
        <v>4702</v>
      </c>
      <c r="F1644" s="56" t="s">
        <v>4701</v>
      </c>
      <c r="G1644" s="58" t="s">
        <v>3551</v>
      </c>
      <c r="H1644" s="56">
        <v>1</v>
      </c>
      <c r="I1644" s="56" t="s">
        <v>3550</v>
      </c>
      <c r="J1644" s="56">
        <v>0</v>
      </c>
      <c r="K1644" s="56">
        <v>0</v>
      </c>
      <c r="P1644" s="56">
        <v>0</v>
      </c>
      <c r="S1644" s="56">
        <v>0</v>
      </c>
      <c r="T1644" s="56" t="s">
        <v>27</v>
      </c>
      <c r="V1644" s="56" t="s">
        <v>3612</v>
      </c>
      <c r="W1644" s="56" t="s">
        <v>3548</v>
      </c>
      <c r="X1644" s="56" t="s">
        <v>3611</v>
      </c>
      <c r="Z1644" s="56" t="s">
        <v>3546</v>
      </c>
      <c r="AA1644" s="56" t="s">
        <v>4700</v>
      </c>
      <c r="AB1644" s="56" t="s">
        <v>4699</v>
      </c>
      <c r="AC1644" s="56" t="s">
        <v>3543</v>
      </c>
      <c r="AH1644" s="56" t="s">
        <v>3542</v>
      </c>
      <c r="AI1644" s="56" t="s">
        <v>3541</v>
      </c>
    </row>
    <row r="1645" spans="1:35" ht="33" customHeight="1">
      <c r="A1645" s="56" t="s">
        <v>4697</v>
      </c>
      <c r="B1645" s="57">
        <v>44365.603831018518</v>
      </c>
      <c r="C1645" s="56" t="s">
        <v>3803</v>
      </c>
      <c r="D1645" s="56" t="s">
        <v>25</v>
      </c>
      <c r="E1645" s="56" t="s">
        <v>4696</v>
      </c>
      <c r="F1645" s="56" t="s">
        <v>4695</v>
      </c>
      <c r="G1645" s="58" t="s">
        <v>3603</v>
      </c>
      <c r="H1645" s="56">
        <v>1</v>
      </c>
      <c r="I1645" s="56" t="s">
        <v>3602</v>
      </c>
      <c r="J1645" s="56">
        <v>447</v>
      </c>
      <c r="K1645" s="56">
        <v>399</v>
      </c>
      <c r="L1645" s="56">
        <v>1239</v>
      </c>
      <c r="M1645" s="56">
        <v>0</v>
      </c>
      <c r="N1645" s="56">
        <v>0</v>
      </c>
      <c r="O1645" s="56">
        <v>124</v>
      </c>
      <c r="P1645" s="56">
        <v>0</v>
      </c>
      <c r="Q1645" s="56">
        <v>1115</v>
      </c>
      <c r="R1645" s="56">
        <v>0</v>
      </c>
      <c r="S1645" s="56">
        <v>0</v>
      </c>
      <c r="T1645" s="56" t="s">
        <v>27</v>
      </c>
      <c r="U1645" s="56">
        <v>1115</v>
      </c>
      <c r="V1645" s="56" t="s">
        <v>3612</v>
      </c>
      <c r="W1645" s="56" t="s">
        <v>3548</v>
      </c>
      <c r="X1645" s="56" t="s">
        <v>3611</v>
      </c>
      <c r="Z1645" s="56" t="s">
        <v>3546</v>
      </c>
      <c r="AA1645" s="56" t="s">
        <v>4694</v>
      </c>
      <c r="AB1645" s="56" t="s">
        <v>4693</v>
      </c>
      <c r="AC1645" s="56" t="s">
        <v>3543</v>
      </c>
      <c r="AH1645" s="56" t="s">
        <v>3542</v>
      </c>
      <c r="AI1645" s="56" t="s">
        <v>3541</v>
      </c>
    </row>
    <row r="1646" spans="1:35" ht="33" customHeight="1">
      <c r="A1646" s="56" t="s">
        <v>4697</v>
      </c>
      <c r="B1646" s="57">
        <v>44365.603831018518</v>
      </c>
      <c r="C1646" s="56" t="s">
        <v>3803</v>
      </c>
      <c r="D1646" s="56" t="s">
        <v>25</v>
      </c>
      <c r="E1646" s="56" t="s">
        <v>4696</v>
      </c>
      <c r="F1646" s="56" t="s">
        <v>4695</v>
      </c>
      <c r="G1646" s="58" t="s">
        <v>4467</v>
      </c>
      <c r="H1646" s="56">
        <v>1</v>
      </c>
      <c r="I1646" s="56" t="s">
        <v>3769</v>
      </c>
      <c r="J1646" s="56">
        <v>405</v>
      </c>
      <c r="K1646" s="56">
        <v>390</v>
      </c>
      <c r="P1646" s="56">
        <v>0</v>
      </c>
      <c r="S1646" s="56">
        <v>0</v>
      </c>
      <c r="T1646" s="56" t="s">
        <v>27</v>
      </c>
      <c r="V1646" s="56" t="s">
        <v>3612</v>
      </c>
      <c r="W1646" s="56" t="s">
        <v>3548</v>
      </c>
      <c r="X1646" s="56" t="s">
        <v>3611</v>
      </c>
      <c r="Z1646" s="56" t="s">
        <v>3546</v>
      </c>
      <c r="AA1646" s="56" t="s">
        <v>4694</v>
      </c>
      <c r="AB1646" s="56" t="s">
        <v>4693</v>
      </c>
      <c r="AC1646" s="56" t="s">
        <v>3543</v>
      </c>
      <c r="AH1646" s="56" t="s">
        <v>3542</v>
      </c>
      <c r="AI1646" s="56" t="s">
        <v>3541</v>
      </c>
    </row>
    <row r="1647" spans="1:35" ht="33" customHeight="1">
      <c r="A1647" s="56" t="s">
        <v>4697</v>
      </c>
      <c r="B1647" s="57">
        <v>44365.603831018518</v>
      </c>
      <c r="C1647" s="56" t="s">
        <v>3803</v>
      </c>
      <c r="D1647" s="56" t="s">
        <v>25</v>
      </c>
      <c r="E1647" s="56" t="s">
        <v>4696</v>
      </c>
      <c r="F1647" s="56" t="s">
        <v>4695</v>
      </c>
      <c r="G1647" s="58" t="s">
        <v>4698</v>
      </c>
      <c r="H1647" s="56">
        <v>1</v>
      </c>
      <c r="I1647" s="56" t="s">
        <v>3746</v>
      </c>
      <c r="J1647" s="56">
        <v>660</v>
      </c>
      <c r="K1647" s="56">
        <v>450</v>
      </c>
      <c r="P1647" s="56">
        <v>0</v>
      </c>
      <c r="S1647" s="56">
        <v>0</v>
      </c>
      <c r="T1647" s="56" t="s">
        <v>27</v>
      </c>
      <c r="V1647" s="56" t="s">
        <v>3612</v>
      </c>
      <c r="W1647" s="56" t="s">
        <v>3548</v>
      </c>
      <c r="X1647" s="56" t="s">
        <v>3611</v>
      </c>
      <c r="Z1647" s="56" t="s">
        <v>3546</v>
      </c>
      <c r="AA1647" s="56" t="s">
        <v>4694</v>
      </c>
      <c r="AB1647" s="56" t="s">
        <v>4693</v>
      </c>
      <c r="AC1647" s="56" t="s">
        <v>3543</v>
      </c>
      <c r="AH1647" s="56" t="s">
        <v>3542</v>
      </c>
      <c r="AI1647" s="56" t="s">
        <v>3541</v>
      </c>
    </row>
    <row r="1648" spans="1:35" ht="33" customHeight="1">
      <c r="A1648" s="56" t="s">
        <v>4697</v>
      </c>
      <c r="B1648" s="57">
        <v>44365.603831018518</v>
      </c>
      <c r="C1648" s="56" t="s">
        <v>3803</v>
      </c>
      <c r="D1648" s="56" t="s">
        <v>25</v>
      </c>
      <c r="E1648" s="56" t="s">
        <v>4696</v>
      </c>
      <c r="F1648" s="56" t="s">
        <v>4695</v>
      </c>
      <c r="G1648" s="58" t="s">
        <v>3551</v>
      </c>
      <c r="H1648" s="56">
        <v>1</v>
      </c>
      <c r="I1648" s="56" t="s">
        <v>3550</v>
      </c>
      <c r="J1648" s="56">
        <v>0</v>
      </c>
      <c r="K1648" s="56">
        <v>0</v>
      </c>
      <c r="P1648" s="56">
        <v>0</v>
      </c>
      <c r="S1648" s="56">
        <v>0</v>
      </c>
      <c r="T1648" s="56" t="s">
        <v>27</v>
      </c>
      <c r="V1648" s="56" t="s">
        <v>3612</v>
      </c>
      <c r="W1648" s="56" t="s">
        <v>3548</v>
      </c>
      <c r="X1648" s="56" t="s">
        <v>3611</v>
      </c>
      <c r="Z1648" s="56" t="s">
        <v>3546</v>
      </c>
      <c r="AA1648" s="56" t="s">
        <v>4694</v>
      </c>
      <c r="AB1648" s="56" t="s">
        <v>4693</v>
      </c>
      <c r="AC1648" s="56" t="s">
        <v>3543</v>
      </c>
      <c r="AH1648" s="56" t="s">
        <v>3542</v>
      </c>
      <c r="AI1648" s="56" t="s">
        <v>3541</v>
      </c>
    </row>
    <row r="1649" spans="1:35" ht="33" customHeight="1">
      <c r="A1649" s="56" t="s">
        <v>4692</v>
      </c>
      <c r="B1649" s="57">
        <v>44365.605231481481</v>
      </c>
      <c r="C1649" s="56" t="s">
        <v>3803</v>
      </c>
      <c r="D1649" s="56" t="s">
        <v>4426</v>
      </c>
      <c r="E1649" s="56" t="s">
        <v>4691</v>
      </c>
      <c r="F1649" s="56" t="s">
        <v>4690</v>
      </c>
      <c r="G1649" s="58" t="s">
        <v>3580</v>
      </c>
      <c r="H1649" s="56">
        <v>1</v>
      </c>
      <c r="I1649" s="56" t="s">
        <v>4671</v>
      </c>
      <c r="J1649" s="56">
        <v>336</v>
      </c>
      <c r="K1649" s="56">
        <v>320</v>
      </c>
      <c r="L1649" s="56">
        <v>1105</v>
      </c>
      <c r="M1649" s="56">
        <v>0</v>
      </c>
      <c r="N1649" s="56">
        <v>0</v>
      </c>
      <c r="O1649" s="56">
        <v>100</v>
      </c>
      <c r="P1649" s="56">
        <v>0</v>
      </c>
      <c r="Q1649" s="56">
        <v>1005</v>
      </c>
      <c r="R1649" s="56">
        <v>0</v>
      </c>
      <c r="S1649" s="56">
        <v>0</v>
      </c>
      <c r="T1649" s="56" t="s">
        <v>27</v>
      </c>
      <c r="U1649" s="56">
        <v>1005</v>
      </c>
      <c r="V1649" s="56" t="s">
        <v>3549</v>
      </c>
      <c r="W1649" s="56" t="s">
        <v>3548</v>
      </c>
      <c r="X1649" s="56" t="s">
        <v>3547</v>
      </c>
      <c r="Z1649" s="56" t="s">
        <v>3546</v>
      </c>
      <c r="AA1649" s="56" t="s">
        <v>4689</v>
      </c>
      <c r="AB1649" s="56" t="s">
        <v>4688</v>
      </c>
      <c r="AC1649" s="56" t="s">
        <v>3543</v>
      </c>
      <c r="AH1649" s="56" t="s">
        <v>3542</v>
      </c>
      <c r="AI1649" s="56" t="s">
        <v>3541</v>
      </c>
    </row>
    <row r="1650" spans="1:35" ht="33" customHeight="1">
      <c r="A1650" s="56" t="s">
        <v>4692</v>
      </c>
      <c r="B1650" s="57">
        <v>44365.605231481481</v>
      </c>
      <c r="C1650" s="56" t="s">
        <v>3803</v>
      </c>
      <c r="D1650" s="56" t="s">
        <v>4426</v>
      </c>
      <c r="E1650" s="56" t="s">
        <v>4691</v>
      </c>
      <c r="F1650" s="56" t="s">
        <v>4690</v>
      </c>
      <c r="G1650" s="58" t="s">
        <v>1493</v>
      </c>
      <c r="H1650" s="56">
        <v>1</v>
      </c>
      <c r="I1650" s="56" t="s">
        <v>3586</v>
      </c>
      <c r="J1650" s="56">
        <v>149</v>
      </c>
      <c r="K1650" s="56">
        <v>149</v>
      </c>
      <c r="P1650" s="56">
        <v>0</v>
      </c>
      <c r="S1650" s="56">
        <v>0</v>
      </c>
      <c r="T1650" s="56" t="s">
        <v>27</v>
      </c>
      <c r="V1650" s="56" t="s">
        <v>3549</v>
      </c>
      <c r="W1650" s="56" t="s">
        <v>3548</v>
      </c>
      <c r="X1650" s="56" t="s">
        <v>3547</v>
      </c>
      <c r="Z1650" s="56" t="s">
        <v>3546</v>
      </c>
      <c r="AA1650" s="56" t="s">
        <v>4689</v>
      </c>
      <c r="AB1650" s="56" t="s">
        <v>4688</v>
      </c>
      <c r="AC1650" s="56" t="s">
        <v>3543</v>
      </c>
      <c r="AH1650" s="56" t="s">
        <v>3542</v>
      </c>
      <c r="AI1650" s="56" t="s">
        <v>3541</v>
      </c>
    </row>
    <row r="1651" spans="1:35" ht="33" customHeight="1">
      <c r="A1651" s="56" t="s">
        <v>4692</v>
      </c>
      <c r="B1651" s="57">
        <v>44365.605231481481</v>
      </c>
      <c r="C1651" s="56" t="s">
        <v>3803</v>
      </c>
      <c r="D1651" s="56" t="s">
        <v>4426</v>
      </c>
      <c r="E1651" s="56" t="s">
        <v>4691</v>
      </c>
      <c r="F1651" s="56" t="s">
        <v>4690</v>
      </c>
      <c r="G1651" s="58" t="s">
        <v>1491</v>
      </c>
      <c r="H1651" s="56">
        <v>1</v>
      </c>
      <c r="I1651" s="56" t="s">
        <v>3586</v>
      </c>
      <c r="J1651" s="56">
        <v>149</v>
      </c>
      <c r="K1651" s="56">
        <v>149</v>
      </c>
      <c r="P1651" s="56">
        <v>0</v>
      </c>
      <c r="S1651" s="56">
        <v>0</v>
      </c>
      <c r="T1651" s="56" t="s">
        <v>27</v>
      </c>
      <c r="V1651" s="56" t="s">
        <v>3549</v>
      </c>
      <c r="W1651" s="56" t="s">
        <v>3548</v>
      </c>
      <c r="X1651" s="56" t="s">
        <v>3547</v>
      </c>
      <c r="Z1651" s="56" t="s">
        <v>3546</v>
      </c>
      <c r="AA1651" s="56" t="s">
        <v>4689</v>
      </c>
      <c r="AB1651" s="56" t="s">
        <v>4688</v>
      </c>
      <c r="AC1651" s="56" t="s">
        <v>3543</v>
      </c>
      <c r="AH1651" s="56" t="s">
        <v>3542</v>
      </c>
      <c r="AI1651" s="56" t="s">
        <v>3541</v>
      </c>
    </row>
    <row r="1652" spans="1:35" ht="33" customHeight="1">
      <c r="A1652" s="56" t="s">
        <v>4692</v>
      </c>
      <c r="B1652" s="57">
        <v>44365.605231481481</v>
      </c>
      <c r="C1652" s="56" t="s">
        <v>3803</v>
      </c>
      <c r="D1652" s="56" t="s">
        <v>4426</v>
      </c>
      <c r="E1652" s="56" t="s">
        <v>4691</v>
      </c>
      <c r="F1652" s="56" t="s">
        <v>4690</v>
      </c>
      <c r="G1652" s="58" t="s">
        <v>1512</v>
      </c>
      <c r="H1652" s="56">
        <v>1</v>
      </c>
      <c r="I1652" s="56" t="s">
        <v>3740</v>
      </c>
      <c r="J1652" s="56">
        <v>220</v>
      </c>
      <c r="K1652" s="56">
        <v>168</v>
      </c>
      <c r="P1652" s="56">
        <v>0</v>
      </c>
      <c r="S1652" s="56">
        <v>0</v>
      </c>
      <c r="T1652" s="56" t="s">
        <v>27</v>
      </c>
      <c r="V1652" s="56" t="s">
        <v>3549</v>
      </c>
      <c r="W1652" s="56" t="s">
        <v>3548</v>
      </c>
      <c r="X1652" s="56" t="s">
        <v>3547</v>
      </c>
      <c r="Z1652" s="56" t="s">
        <v>3546</v>
      </c>
      <c r="AA1652" s="56" t="s">
        <v>4689</v>
      </c>
      <c r="AB1652" s="56" t="s">
        <v>4688</v>
      </c>
      <c r="AC1652" s="56" t="s">
        <v>3543</v>
      </c>
      <c r="AH1652" s="56" t="s">
        <v>3542</v>
      </c>
      <c r="AI1652" s="56" t="s">
        <v>3541</v>
      </c>
    </row>
    <row r="1653" spans="1:35" ht="33" customHeight="1">
      <c r="A1653" s="56" t="s">
        <v>4692</v>
      </c>
      <c r="B1653" s="57">
        <v>44365.605231481481</v>
      </c>
      <c r="C1653" s="56" t="s">
        <v>3803</v>
      </c>
      <c r="D1653" s="56" t="s">
        <v>4426</v>
      </c>
      <c r="E1653" s="56" t="s">
        <v>4691</v>
      </c>
      <c r="F1653" s="56" t="s">
        <v>4690</v>
      </c>
      <c r="G1653" s="58" t="s">
        <v>3299</v>
      </c>
      <c r="H1653" s="56">
        <v>1</v>
      </c>
      <c r="I1653" s="56" t="s">
        <v>3576</v>
      </c>
      <c r="J1653" s="56">
        <v>260</v>
      </c>
      <c r="K1653" s="56">
        <v>260</v>
      </c>
      <c r="P1653" s="56">
        <v>0</v>
      </c>
      <c r="S1653" s="56">
        <v>0</v>
      </c>
      <c r="T1653" s="56" t="s">
        <v>27</v>
      </c>
      <c r="V1653" s="56" t="s">
        <v>3549</v>
      </c>
      <c r="W1653" s="56" t="s">
        <v>3548</v>
      </c>
      <c r="X1653" s="56" t="s">
        <v>3547</v>
      </c>
      <c r="Z1653" s="56" t="s">
        <v>3546</v>
      </c>
      <c r="AA1653" s="56" t="s">
        <v>4689</v>
      </c>
      <c r="AB1653" s="56" t="s">
        <v>4688</v>
      </c>
      <c r="AC1653" s="56" t="s">
        <v>3543</v>
      </c>
      <c r="AH1653" s="56" t="s">
        <v>3542</v>
      </c>
      <c r="AI1653" s="56" t="s">
        <v>3541</v>
      </c>
    </row>
    <row r="1654" spans="1:35" ht="33" customHeight="1">
      <c r="A1654" s="56" t="s">
        <v>4692</v>
      </c>
      <c r="B1654" s="57">
        <v>44365.605231481481</v>
      </c>
      <c r="C1654" s="56" t="s">
        <v>3803</v>
      </c>
      <c r="D1654" s="56" t="s">
        <v>4426</v>
      </c>
      <c r="E1654" s="56" t="s">
        <v>4691</v>
      </c>
      <c r="F1654" s="56" t="s">
        <v>4690</v>
      </c>
      <c r="G1654" s="58" t="s">
        <v>3222</v>
      </c>
      <c r="H1654" s="56">
        <v>1</v>
      </c>
      <c r="I1654" s="56" t="s">
        <v>3712</v>
      </c>
      <c r="J1654" s="56">
        <v>59</v>
      </c>
      <c r="K1654" s="56">
        <v>59</v>
      </c>
      <c r="P1654" s="56">
        <v>0</v>
      </c>
      <c r="S1654" s="56">
        <v>0</v>
      </c>
      <c r="T1654" s="56" t="s">
        <v>27</v>
      </c>
      <c r="V1654" s="56" t="s">
        <v>3549</v>
      </c>
      <c r="W1654" s="56" t="s">
        <v>3548</v>
      </c>
      <c r="X1654" s="56" t="s">
        <v>3547</v>
      </c>
      <c r="Z1654" s="56" t="s">
        <v>3546</v>
      </c>
      <c r="AA1654" s="56" t="s">
        <v>4689</v>
      </c>
      <c r="AB1654" s="56" t="s">
        <v>4688</v>
      </c>
      <c r="AC1654" s="56" t="s">
        <v>3543</v>
      </c>
      <c r="AH1654" s="56" t="s">
        <v>3542</v>
      </c>
      <c r="AI1654" s="56" t="s">
        <v>3541</v>
      </c>
    </row>
    <row r="1655" spans="1:35" ht="33" customHeight="1">
      <c r="A1655" s="56" t="s">
        <v>4692</v>
      </c>
      <c r="B1655" s="57">
        <v>44365.605231481481</v>
      </c>
      <c r="C1655" s="56" t="s">
        <v>3803</v>
      </c>
      <c r="D1655" s="56" t="s">
        <v>4426</v>
      </c>
      <c r="E1655" s="56" t="s">
        <v>4691</v>
      </c>
      <c r="F1655" s="56" t="s">
        <v>4690</v>
      </c>
      <c r="G1655" s="58" t="s">
        <v>3551</v>
      </c>
      <c r="H1655" s="56">
        <v>1</v>
      </c>
      <c r="I1655" s="56" t="s">
        <v>3550</v>
      </c>
      <c r="J1655" s="56">
        <v>0</v>
      </c>
      <c r="K1655" s="56">
        <v>0</v>
      </c>
      <c r="P1655" s="56">
        <v>0</v>
      </c>
      <c r="S1655" s="56">
        <v>0</v>
      </c>
      <c r="T1655" s="56" t="s">
        <v>27</v>
      </c>
      <c r="V1655" s="56" t="s">
        <v>3549</v>
      </c>
      <c r="W1655" s="56" t="s">
        <v>3548</v>
      </c>
      <c r="X1655" s="56" t="s">
        <v>3547</v>
      </c>
      <c r="Z1655" s="56" t="s">
        <v>3546</v>
      </c>
      <c r="AA1655" s="56" t="s">
        <v>4689</v>
      </c>
      <c r="AB1655" s="56" t="s">
        <v>4688</v>
      </c>
      <c r="AC1655" s="56" t="s">
        <v>3543</v>
      </c>
      <c r="AH1655" s="56" t="s">
        <v>3542</v>
      </c>
      <c r="AI1655" s="56" t="s">
        <v>3541</v>
      </c>
    </row>
    <row r="1656" spans="1:35" ht="33" customHeight="1">
      <c r="A1656" s="56" t="s">
        <v>4687</v>
      </c>
      <c r="B1656" s="57">
        <v>44365.606944444444</v>
      </c>
      <c r="C1656" s="56" t="s">
        <v>3803</v>
      </c>
      <c r="D1656" s="56" t="s">
        <v>4426</v>
      </c>
      <c r="E1656" s="56" t="s">
        <v>4686</v>
      </c>
      <c r="F1656" s="56" t="s">
        <v>4685</v>
      </c>
      <c r="G1656" s="58" t="s">
        <v>1514</v>
      </c>
      <c r="H1656" s="56">
        <v>1</v>
      </c>
      <c r="I1656" s="56" t="s">
        <v>3740</v>
      </c>
      <c r="J1656" s="56">
        <v>220</v>
      </c>
      <c r="K1656" s="56">
        <v>168</v>
      </c>
      <c r="L1656" s="56">
        <v>336</v>
      </c>
      <c r="M1656" s="56">
        <v>65</v>
      </c>
      <c r="N1656" s="56">
        <v>0</v>
      </c>
      <c r="O1656" s="56">
        <v>0</v>
      </c>
      <c r="P1656" s="56">
        <v>0</v>
      </c>
      <c r="Q1656" s="56">
        <v>401</v>
      </c>
      <c r="R1656" s="56">
        <v>0</v>
      </c>
      <c r="S1656" s="56">
        <v>0</v>
      </c>
      <c r="T1656" s="56" t="s">
        <v>3562</v>
      </c>
      <c r="U1656" s="56">
        <v>401</v>
      </c>
      <c r="V1656" s="56" t="s">
        <v>3561</v>
      </c>
      <c r="W1656" s="56" t="s">
        <v>3548</v>
      </c>
      <c r="X1656" s="56" t="s">
        <v>3765</v>
      </c>
      <c r="Z1656" s="56" t="s">
        <v>3546</v>
      </c>
      <c r="AA1656" s="56" t="s">
        <v>4684</v>
      </c>
      <c r="AB1656" s="56" t="s">
        <v>4683</v>
      </c>
      <c r="AC1656" s="56" t="s">
        <v>3842</v>
      </c>
      <c r="AD1656" s="56" t="s">
        <v>24</v>
      </c>
      <c r="AE1656" s="56" t="s">
        <v>4530</v>
      </c>
      <c r="AF1656" s="56" t="s">
        <v>4682</v>
      </c>
      <c r="AH1656" s="56" t="s">
        <v>3542</v>
      </c>
      <c r="AI1656" s="56" t="s">
        <v>3723</v>
      </c>
    </row>
    <row r="1657" spans="1:35" ht="33" customHeight="1">
      <c r="A1657" s="56" t="s">
        <v>4687</v>
      </c>
      <c r="B1657" s="57">
        <v>44365.606944444444</v>
      </c>
      <c r="C1657" s="56" t="s">
        <v>3803</v>
      </c>
      <c r="D1657" s="56" t="s">
        <v>4426</v>
      </c>
      <c r="E1657" s="56" t="s">
        <v>4686</v>
      </c>
      <c r="F1657" s="56" t="s">
        <v>4685</v>
      </c>
      <c r="G1657" s="58" t="s">
        <v>1517</v>
      </c>
      <c r="H1657" s="56">
        <v>1</v>
      </c>
      <c r="I1657" s="56" t="s">
        <v>3740</v>
      </c>
      <c r="J1657" s="56">
        <v>220</v>
      </c>
      <c r="K1657" s="56">
        <v>168</v>
      </c>
      <c r="P1657" s="56">
        <v>0</v>
      </c>
      <c r="S1657" s="56">
        <v>0</v>
      </c>
      <c r="T1657" s="56" t="s">
        <v>3562</v>
      </c>
      <c r="V1657" s="56" t="s">
        <v>3561</v>
      </c>
      <c r="W1657" s="56" t="s">
        <v>3548</v>
      </c>
      <c r="X1657" s="56" t="s">
        <v>3765</v>
      </c>
      <c r="Z1657" s="56" t="s">
        <v>3546</v>
      </c>
      <c r="AA1657" s="56" t="s">
        <v>4684</v>
      </c>
      <c r="AB1657" s="56" t="s">
        <v>4683</v>
      </c>
      <c r="AC1657" s="56" t="s">
        <v>3842</v>
      </c>
      <c r="AD1657" s="56" t="s">
        <v>24</v>
      </c>
      <c r="AE1657" s="56" t="s">
        <v>4530</v>
      </c>
      <c r="AF1657" s="56" t="s">
        <v>4682</v>
      </c>
      <c r="AH1657" s="56" t="s">
        <v>3542</v>
      </c>
      <c r="AI1657" s="56" t="s">
        <v>3723</v>
      </c>
    </row>
    <row r="1658" spans="1:35" ht="33" customHeight="1">
      <c r="A1658" s="56" t="s">
        <v>4687</v>
      </c>
      <c r="B1658" s="57">
        <v>44365.606944444444</v>
      </c>
      <c r="C1658" s="56" t="s">
        <v>3803</v>
      </c>
      <c r="D1658" s="56" t="s">
        <v>4426</v>
      </c>
      <c r="E1658" s="56" t="s">
        <v>4686</v>
      </c>
      <c r="F1658" s="56" t="s">
        <v>4685</v>
      </c>
      <c r="G1658" s="58" t="s">
        <v>3551</v>
      </c>
      <c r="H1658" s="56">
        <v>1</v>
      </c>
      <c r="I1658" s="56" t="s">
        <v>3550</v>
      </c>
      <c r="J1658" s="56">
        <v>0</v>
      </c>
      <c r="K1658" s="56">
        <v>0</v>
      </c>
      <c r="P1658" s="56">
        <v>0</v>
      </c>
      <c r="S1658" s="56">
        <v>0</v>
      </c>
      <c r="T1658" s="56" t="s">
        <v>3562</v>
      </c>
      <c r="V1658" s="56" t="s">
        <v>3561</v>
      </c>
      <c r="W1658" s="56" t="s">
        <v>3548</v>
      </c>
      <c r="X1658" s="56" t="s">
        <v>3765</v>
      </c>
      <c r="Z1658" s="56" t="s">
        <v>3546</v>
      </c>
      <c r="AA1658" s="56" t="s">
        <v>4684</v>
      </c>
      <c r="AB1658" s="56" t="s">
        <v>4683</v>
      </c>
      <c r="AC1658" s="56" t="s">
        <v>3842</v>
      </c>
      <c r="AD1658" s="56" t="s">
        <v>24</v>
      </c>
      <c r="AE1658" s="56" t="s">
        <v>4530</v>
      </c>
      <c r="AF1658" s="56" t="s">
        <v>4682</v>
      </c>
      <c r="AH1658" s="56" t="s">
        <v>3542</v>
      </c>
      <c r="AI1658" s="56" t="s">
        <v>3723</v>
      </c>
    </row>
    <row r="1659" spans="1:35" ht="33" customHeight="1">
      <c r="A1659" s="56" t="s">
        <v>4681</v>
      </c>
      <c r="B1659" s="57">
        <v>44365.607083333336</v>
      </c>
      <c r="C1659" s="56" t="s">
        <v>3803</v>
      </c>
      <c r="D1659" s="56" t="s">
        <v>3802</v>
      </c>
      <c r="E1659" s="56" t="s">
        <v>4680</v>
      </c>
      <c r="F1659" s="56" t="s">
        <v>4679</v>
      </c>
      <c r="G1659" s="58" t="s">
        <v>3570</v>
      </c>
      <c r="H1659" s="56">
        <v>1</v>
      </c>
      <c r="I1659" s="56" t="s">
        <v>3569</v>
      </c>
      <c r="J1659" s="56">
        <v>894</v>
      </c>
      <c r="K1659" s="56">
        <v>750</v>
      </c>
      <c r="L1659" s="56">
        <v>1500</v>
      </c>
      <c r="M1659" s="56">
        <v>0</v>
      </c>
      <c r="N1659" s="56">
        <v>0</v>
      </c>
      <c r="O1659" s="56">
        <v>100</v>
      </c>
      <c r="P1659" s="56">
        <v>0</v>
      </c>
      <c r="Q1659" s="56">
        <v>1400</v>
      </c>
      <c r="R1659" s="56">
        <v>0</v>
      </c>
      <c r="S1659" s="56">
        <v>0</v>
      </c>
      <c r="T1659" s="56" t="s">
        <v>3562</v>
      </c>
      <c r="U1659" s="56">
        <v>1400</v>
      </c>
      <c r="V1659" s="56" t="s">
        <v>3561</v>
      </c>
      <c r="W1659" s="56" t="s">
        <v>3548</v>
      </c>
      <c r="X1659" s="56" t="s">
        <v>39</v>
      </c>
      <c r="Y1659" s="56" t="s">
        <v>4515</v>
      </c>
      <c r="Z1659" s="56" t="s">
        <v>4678</v>
      </c>
      <c r="AC1659" s="56" t="s">
        <v>3543</v>
      </c>
      <c r="AD1659" s="56" t="s">
        <v>24</v>
      </c>
      <c r="AE1659" s="56" t="s">
        <v>4530</v>
      </c>
      <c r="AF1659" s="56" t="s">
        <v>4677</v>
      </c>
      <c r="AH1659" s="56" t="s">
        <v>3542</v>
      </c>
      <c r="AI1659" s="56" t="s">
        <v>3723</v>
      </c>
    </row>
    <row r="1660" spans="1:35" ht="33" customHeight="1">
      <c r="A1660" s="56" t="s">
        <v>4681</v>
      </c>
      <c r="B1660" s="57">
        <v>44365.607083333336</v>
      </c>
      <c r="C1660" s="56" t="s">
        <v>3803</v>
      </c>
      <c r="D1660" s="56" t="s">
        <v>3802</v>
      </c>
      <c r="E1660" s="56" t="s">
        <v>4680</v>
      </c>
      <c r="F1660" s="56" t="s">
        <v>4679</v>
      </c>
      <c r="G1660" s="58" t="s">
        <v>3681</v>
      </c>
      <c r="H1660" s="56">
        <v>1</v>
      </c>
      <c r="I1660" s="56" t="s">
        <v>3569</v>
      </c>
      <c r="J1660" s="56">
        <v>894</v>
      </c>
      <c r="K1660" s="56">
        <v>750</v>
      </c>
      <c r="P1660" s="56">
        <v>0</v>
      </c>
      <c r="S1660" s="56">
        <v>0</v>
      </c>
      <c r="T1660" s="56" t="s">
        <v>3562</v>
      </c>
      <c r="V1660" s="56" t="s">
        <v>3561</v>
      </c>
      <c r="W1660" s="56" t="s">
        <v>3548</v>
      </c>
      <c r="X1660" s="56" t="s">
        <v>39</v>
      </c>
      <c r="Y1660" s="56" t="s">
        <v>4515</v>
      </c>
      <c r="Z1660" s="56" t="s">
        <v>4678</v>
      </c>
      <c r="AC1660" s="56" t="s">
        <v>3543</v>
      </c>
      <c r="AD1660" s="56" t="s">
        <v>24</v>
      </c>
      <c r="AE1660" s="56" t="s">
        <v>4530</v>
      </c>
      <c r="AF1660" s="56" t="s">
        <v>4677</v>
      </c>
      <c r="AH1660" s="56" t="s">
        <v>3542</v>
      </c>
      <c r="AI1660" s="56" t="s">
        <v>3723</v>
      </c>
    </row>
    <row r="1661" spans="1:35" ht="33" customHeight="1">
      <c r="A1661" s="56" t="s">
        <v>4681</v>
      </c>
      <c r="B1661" s="57">
        <v>44365.607083333336</v>
      </c>
      <c r="C1661" s="56" t="s">
        <v>3803</v>
      </c>
      <c r="D1661" s="56" t="s">
        <v>3802</v>
      </c>
      <c r="E1661" s="56" t="s">
        <v>4680</v>
      </c>
      <c r="F1661" s="56" t="s">
        <v>4679</v>
      </c>
      <c r="G1661" s="58" t="s">
        <v>3551</v>
      </c>
      <c r="H1661" s="56">
        <v>1</v>
      </c>
      <c r="I1661" s="56" t="s">
        <v>3550</v>
      </c>
      <c r="J1661" s="56">
        <v>0</v>
      </c>
      <c r="K1661" s="56">
        <v>0</v>
      </c>
      <c r="P1661" s="56">
        <v>0</v>
      </c>
      <c r="S1661" s="56">
        <v>0</v>
      </c>
      <c r="T1661" s="56" t="s">
        <v>3562</v>
      </c>
      <c r="V1661" s="56" t="s">
        <v>3561</v>
      </c>
      <c r="W1661" s="56" t="s">
        <v>3548</v>
      </c>
      <c r="X1661" s="56" t="s">
        <v>39</v>
      </c>
      <c r="Y1661" s="56" t="s">
        <v>4515</v>
      </c>
      <c r="Z1661" s="56" t="s">
        <v>4678</v>
      </c>
      <c r="AC1661" s="56" t="s">
        <v>3543</v>
      </c>
      <c r="AD1661" s="56" t="s">
        <v>24</v>
      </c>
      <c r="AE1661" s="56" t="s">
        <v>4530</v>
      </c>
      <c r="AF1661" s="56" t="s">
        <v>4677</v>
      </c>
      <c r="AH1661" s="56" t="s">
        <v>3542</v>
      </c>
      <c r="AI1661" s="56" t="s">
        <v>3723</v>
      </c>
    </row>
    <row r="1662" spans="1:35" ht="33" customHeight="1">
      <c r="A1662" s="56" t="s">
        <v>4681</v>
      </c>
      <c r="B1662" s="57">
        <v>44365.607083333336</v>
      </c>
      <c r="C1662" s="56" t="s">
        <v>3803</v>
      </c>
      <c r="D1662" s="56" t="s">
        <v>3802</v>
      </c>
      <c r="E1662" s="56" t="s">
        <v>4680</v>
      </c>
      <c r="F1662" s="56" t="s">
        <v>4679</v>
      </c>
      <c r="G1662" s="58" t="s">
        <v>1713</v>
      </c>
      <c r="H1662" s="56">
        <v>1</v>
      </c>
      <c r="I1662" s="56" t="s">
        <v>3568</v>
      </c>
      <c r="J1662" s="56">
        <v>0</v>
      </c>
      <c r="K1662" s="56">
        <v>0</v>
      </c>
      <c r="P1662" s="56">
        <v>0</v>
      </c>
      <c r="S1662" s="56">
        <v>0</v>
      </c>
      <c r="T1662" s="56" t="s">
        <v>3562</v>
      </c>
      <c r="V1662" s="56" t="s">
        <v>3561</v>
      </c>
      <c r="W1662" s="56" t="s">
        <v>3548</v>
      </c>
      <c r="X1662" s="56" t="s">
        <v>39</v>
      </c>
      <c r="Y1662" s="56" t="s">
        <v>4515</v>
      </c>
      <c r="Z1662" s="56" t="s">
        <v>4678</v>
      </c>
      <c r="AC1662" s="56" t="s">
        <v>3543</v>
      </c>
      <c r="AD1662" s="56" t="s">
        <v>24</v>
      </c>
      <c r="AE1662" s="56" t="s">
        <v>4530</v>
      </c>
      <c r="AF1662" s="56" t="s">
        <v>4677</v>
      </c>
      <c r="AH1662" s="56" t="s">
        <v>3542</v>
      </c>
      <c r="AI1662" s="56" t="s">
        <v>3723</v>
      </c>
    </row>
    <row r="1663" spans="1:35" ht="33" customHeight="1">
      <c r="A1663" s="56" t="s">
        <v>4676</v>
      </c>
      <c r="B1663" s="57">
        <v>44365.621261574073</v>
      </c>
      <c r="C1663" s="56" t="s">
        <v>3803</v>
      </c>
      <c r="D1663" s="56" t="s">
        <v>3802</v>
      </c>
      <c r="E1663" s="56" t="s">
        <v>4675</v>
      </c>
      <c r="F1663" s="56" t="s">
        <v>4674</v>
      </c>
      <c r="G1663" s="58" t="s">
        <v>3654</v>
      </c>
      <c r="H1663" s="56">
        <v>1</v>
      </c>
      <c r="I1663" s="56" t="s">
        <v>3653</v>
      </c>
      <c r="J1663" s="56">
        <v>447</v>
      </c>
      <c r="K1663" s="56">
        <v>430</v>
      </c>
      <c r="L1663" s="56">
        <v>430</v>
      </c>
      <c r="M1663" s="56">
        <v>60</v>
      </c>
      <c r="N1663" s="56">
        <v>0</v>
      </c>
      <c r="O1663" s="56">
        <v>0</v>
      </c>
      <c r="P1663" s="56">
        <v>0</v>
      </c>
      <c r="Q1663" s="56">
        <v>490</v>
      </c>
      <c r="R1663" s="56">
        <v>0</v>
      </c>
      <c r="S1663" s="56">
        <v>0</v>
      </c>
      <c r="T1663" s="56" t="s">
        <v>3562</v>
      </c>
      <c r="U1663" s="56">
        <v>490</v>
      </c>
      <c r="V1663" s="56" t="s">
        <v>3561</v>
      </c>
      <c r="W1663" s="56" t="s">
        <v>3548</v>
      </c>
      <c r="X1663" s="56" t="s">
        <v>39</v>
      </c>
      <c r="Y1663" s="56" t="s">
        <v>4617</v>
      </c>
      <c r="Z1663" s="56" t="s">
        <v>4673</v>
      </c>
      <c r="AC1663" s="56" t="s">
        <v>3543</v>
      </c>
      <c r="AD1663" s="56" t="s">
        <v>24</v>
      </c>
      <c r="AE1663" s="56" t="s">
        <v>4530</v>
      </c>
      <c r="AF1663" s="56" t="s">
        <v>4672</v>
      </c>
      <c r="AH1663" s="56" t="s">
        <v>3542</v>
      </c>
      <c r="AI1663" s="56" t="s">
        <v>3723</v>
      </c>
    </row>
    <row r="1664" spans="1:35" ht="33" customHeight="1">
      <c r="A1664" s="56" t="s">
        <v>4676</v>
      </c>
      <c r="B1664" s="57">
        <v>44365.621261574073</v>
      </c>
      <c r="C1664" s="56" t="s">
        <v>3803</v>
      </c>
      <c r="D1664" s="56" t="s">
        <v>3802</v>
      </c>
      <c r="E1664" s="56" t="s">
        <v>4675</v>
      </c>
      <c r="F1664" s="56" t="s">
        <v>4674</v>
      </c>
      <c r="G1664" s="58" t="s">
        <v>3551</v>
      </c>
      <c r="H1664" s="56">
        <v>1</v>
      </c>
      <c r="I1664" s="56" t="s">
        <v>3550</v>
      </c>
      <c r="J1664" s="56">
        <v>0</v>
      </c>
      <c r="K1664" s="56">
        <v>0</v>
      </c>
      <c r="P1664" s="56">
        <v>0</v>
      </c>
      <c r="S1664" s="56">
        <v>0</v>
      </c>
      <c r="T1664" s="56" t="s">
        <v>3562</v>
      </c>
      <c r="V1664" s="56" t="s">
        <v>3561</v>
      </c>
      <c r="W1664" s="56" t="s">
        <v>3548</v>
      </c>
      <c r="X1664" s="56" t="s">
        <v>39</v>
      </c>
      <c r="Y1664" s="56" t="s">
        <v>4617</v>
      </c>
      <c r="Z1664" s="56" t="s">
        <v>4673</v>
      </c>
      <c r="AC1664" s="56" t="s">
        <v>3543</v>
      </c>
      <c r="AD1664" s="56" t="s">
        <v>24</v>
      </c>
      <c r="AE1664" s="56" t="s">
        <v>4530</v>
      </c>
      <c r="AF1664" s="56" t="s">
        <v>4672</v>
      </c>
      <c r="AH1664" s="56" t="s">
        <v>3542</v>
      </c>
      <c r="AI1664" s="56" t="s">
        <v>3723</v>
      </c>
    </row>
    <row r="1665" spans="1:35" ht="33" customHeight="1">
      <c r="A1665" s="56" t="s">
        <v>4670</v>
      </c>
      <c r="B1665" s="57">
        <v>44365.637071759258</v>
      </c>
      <c r="C1665" s="56" t="s">
        <v>3803</v>
      </c>
      <c r="D1665" s="56" t="s">
        <v>4426</v>
      </c>
      <c r="E1665" s="56" t="s">
        <v>4669</v>
      </c>
      <c r="F1665" s="56" t="s">
        <v>4668</v>
      </c>
      <c r="G1665" s="58" t="s">
        <v>3580</v>
      </c>
      <c r="H1665" s="56">
        <v>1</v>
      </c>
      <c r="I1665" s="56" t="s">
        <v>4671</v>
      </c>
      <c r="J1665" s="56">
        <v>336</v>
      </c>
      <c r="K1665" s="56">
        <v>320</v>
      </c>
      <c r="L1665" s="56">
        <v>320</v>
      </c>
      <c r="M1665" s="56">
        <v>65</v>
      </c>
      <c r="N1665" s="56">
        <v>0</v>
      </c>
      <c r="O1665" s="56">
        <v>0</v>
      </c>
      <c r="P1665" s="56">
        <v>0</v>
      </c>
      <c r="Q1665" s="56">
        <v>385</v>
      </c>
      <c r="R1665" s="56">
        <v>0</v>
      </c>
      <c r="S1665" s="56">
        <v>0</v>
      </c>
      <c r="T1665" s="56" t="s">
        <v>27</v>
      </c>
      <c r="U1665" s="56">
        <v>385</v>
      </c>
      <c r="V1665" s="56" t="s">
        <v>3549</v>
      </c>
      <c r="W1665" s="56" t="s">
        <v>3548</v>
      </c>
      <c r="X1665" s="56" t="s">
        <v>3547</v>
      </c>
      <c r="Z1665" s="56" t="s">
        <v>3546</v>
      </c>
      <c r="AA1665" s="56" t="s">
        <v>4667</v>
      </c>
      <c r="AB1665" s="56" t="s">
        <v>4666</v>
      </c>
      <c r="AC1665" s="56" t="s">
        <v>3543</v>
      </c>
      <c r="AH1665" s="56" t="s">
        <v>3542</v>
      </c>
      <c r="AI1665" s="56" t="s">
        <v>3541</v>
      </c>
    </row>
    <row r="1666" spans="1:35" ht="33" customHeight="1">
      <c r="A1666" s="56" t="s">
        <v>4670</v>
      </c>
      <c r="B1666" s="57">
        <v>44365.637071759258</v>
      </c>
      <c r="C1666" s="56" t="s">
        <v>3803</v>
      </c>
      <c r="D1666" s="56" t="s">
        <v>4426</v>
      </c>
      <c r="E1666" s="56" t="s">
        <v>4669</v>
      </c>
      <c r="F1666" s="56" t="s">
        <v>4668</v>
      </c>
      <c r="G1666" s="58" t="s">
        <v>3551</v>
      </c>
      <c r="H1666" s="56">
        <v>1</v>
      </c>
      <c r="I1666" s="56" t="s">
        <v>3550</v>
      </c>
      <c r="J1666" s="56">
        <v>0</v>
      </c>
      <c r="K1666" s="56">
        <v>0</v>
      </c>
      <c r="P1666" s="56">
        <v>0</v>
      </c>
      <c r="S1666" s="56">
        <v>0</v>
      </c>
      <c r="T1666" s="56" t="s">
        <v>27</v>
      </c>
      <c r="V1666" s="56" t="s">
        <v>3549</v>
      </c>
      <c r="W1666" s="56" t="s">
        <v>3548</v>
      </c>
      <c r="X1666" s="56" t="s">
        <v>3547</v>
      </c>
      <c r="Z1666" s="56" t="s">
        <v>3546</v>
      </c>
      <c r="AA1666" s="56" t="s">
        <v>4667</v>
      </c>
      <c r="AB1666" s="56" t="s">
        <v>4666</v>
      </c>
      <c r="AC1666" s="56" t="s">
        <v>3543</v>
      </c>
      <c r="AH1666" s="56" t="s">
        <v>3542</v>
      </c>
      <c r="AI1666" s="56" t="s">
        <v>3541</v>
      </c>
    </row>
    <row r="1667" spans="1:35" ht="33" customHeight="1">
      <c r="A1667" s="56" t="s">
        <v>4665</v>
      </c>
      <c r="B1667" s="57">
        <v>44365.646018518521</v>
      </c>
      <c r="C1667" s="56" t="s">
        <v>3803</v>
      </c>
      <c r="D1667" s="56" t="s">
        <v>4426</v>
      </c>
      <c r="E1667" s="56" t="s">
        <v>4664</v>
      </c>
      <c r="F1667" s="56" t="s">
        <v>4663</v>
      </c>
      <c r="G1667" s="58" t="s">
        <v>2165</v>
      </c>
      <c r="H1667" s="56">
        <v>1</v>
      </c>
      <c r="I1667" s="56" t="s">
        <v>3694</v>
      </c>
      <c r="J1667" s="56">
        <v>128</v>
      </c>
      <c r="K1667" s="56">
        <v>128</v>
      </c>
      <c r="L1667" s="56">
        <v>384</v>
      </c>
      <c r="M1667" s="56">
        <v>65</v>
      </c>
      <c r="N1667" s="56">
        <v>0</v>
      </c>
      <c r="O1667" s="56">
        <v>0</v>
      </c>
      <c r="P1667" s="56">
        <v>0</v>
      </c>
      <c r="Q1667" s="56">
        <v>449</v>
      </c>
      <c r="R1667" s="56">
        <v>0</v>
      </c>
      <c r="S1667" s="56">
        <v>0</v>
      </c>
      <c r="T1667" s="56" t="s">
        <v>27</v>
      </c>
      <c r="U1667" s="56">
        <v>449</v>
      </c>
      <c r="V1667" s="56" t="s">
        <v>3549</v>
      </c>
      <c r="W1667" s="56" t="s">
        <v>3548</v>
      </c>
      <c r="X1667" s="56" t="s">
        <v>3547</v>
      </c>
      <c r="Z1667" s="56" t="s">
        <v>3546</v>
      </c>
      <c r="AA1667" s="56" t="s">
        <v>4662</v>
      </c>
      <c r="AB1667" s="56" t="s">
        <v>4661</v>
      </c>
      <c r="AC1667" s="56" t="s">
        <v>3543</v>
      </c>
      <c r="AH1667" s="56" t="s">
        <v>3542</v>
      </c>
      <c r="AI1667" s="56" t="s">
        <v>3541</v>
      </c>
    </row>
    <row r="1668" spans="1:35" ht="33" customHeight="1">
      <c r="A1668" s="56" t="s">
        <v>4665</v>
      </c>
      <c r="B1668" s="57">
        <v>44365.646018518521</v>
      </c>
      <c r="C1668" s="56" t="s">
        <v>3803</v>
      </c>
      <c r="D1668" s="56" t="s">
        <v>4426</v>
      </c>
      <c r="E1668" s="56" t="s">
        <v>4664</v>
      </c>
      <c r="F1668" s="56" t="s">
        <v>4663</v>
      </c>
      <c r="G1668" s="58" t="s">
        <v>2163</v>
      </c>
      <c r="H1668" s="56">
        <v>1</v>
      </c>
      <c r="I1668" s="56" t="s">
        <v>3694</v>
      </c>
      <c r="J1668" s="56">
        <v>128</v>
      </c>
      <c r="K1668" s="56">
        <v>128</v>
      </c>
      <c r="P1668" s="56">
        <v>0</v>
      </c>
      <c r="S1668" s="56">
        <v>0</v>
      </c>
      <c r="T1668" s="56" t="s">
        <v>27</v>
      </c>
      <c r="V1668" s="56" t="s">
        <v>3549</v>
      </c>
      <c r="W1668" s="56" t="s">
        <v>3548</v>
      </c>
      <c r="X1668" s="56" t="s">
        <v>3547</v>
      </c>
      <c r="Z1668" s="56" t="s">
        <v>3546</v>
      </c>
      <c r="AA1668" s="56" t="s">
        <v>4662</v>
      </c>
      <c r="AB1668" s="56" t="s">
        <v>4661</v>
      </c>
      <c r="AC1668" s="56" t="s">
        <v>3543</v>
      </c>
      <c r="AH1668" s="56" t="s">
        <v>3542</v>
      </c>
      <c r="AI1668" s="56" t="s">
        <v>3541</v>
      </c>
    </row>
    <row r="1669" spans="1:35" ht="33" customHeight="1">
      <c r="A1669" s="56" t="s">
        <v>4665</v>
      </c>
      <c r="B1669" s="57">
        <v>44365.646018518521</v>
      </c>
      <c r="C1669" s="56" t="s">
        <v>3803</v>
      </c>
      <c r="D1669" s="56" t="s">
        <v>4426</v>
      </c>
      <c r="E1669" s="56" t="s">
        <v>4664</v>
      </c>
      <c r="F1669" s="56" t="s">
        <v>4663</v>
      </c>
      <c r="G1669" s="58" t="s">
        <v>2161</v>
      </c>
      <c r="H1669" s="56">
        <v>1</v>
      </c>
      <c r="I1669" s="56" t="s">
        <v>3694</v>
      </c>
      <c r="J1669" s="56">
        <v>128</v>
      </c>
      <c r="K1669" s="56">
        <v>128</v>
      </c>
      <c r="P1669" s="56">
        <v>0</v>
      </c>
      <c r="S1669" s="56">
        <v>0</v>
      </c>
      <c r="T1669" s="56" t="s">
        <v>27</v>
      </c>
      <c r="V1669" s="56" t="s">
        <v>3549</v>
      </c>
      <c r="W1669" s="56" t="s">
        <v>3548</v>
      </c>
      <c r="X1669" s="56" t="s">
        <v>3547</v>
      </c>
      <c r="Z1669" s="56" t="s">
        <v>3546</v>
      </c>
      <c r="AA1669" s="56" t="s">
        <v>4662</v>
      </c>
      <c r="AB1669" s="56" t="s">
        <v>4661</v>
      </c>
      <c r="AC1669" s="56" t="s">
        <v>3543</v>
      </c>
      <c r="AH1669" s="56" t="s">
        <v>3542</v>
      </c>
      <c r="AI1669" s="56" t="s">
        <v>3541</v>
      </c>
    </row>
    <row r="1670" spans="1:35" ht="33" customHeight="1">
      <c r="A1670" s="56" t="s">
        <v>4665</v>
      </c>
      <c r="B1670" s="57">
        <v>44365.646018518521</v>
      </c>
      <c r="C1670" s="56" t="s">
        <v>3803</v>
      </c>
      <c r="D1670" s="56" t="s">
        <v>4426</v>
      </c>
      <c r="E1670" s="56" t="s">
        <v>4664</v>
      </c>
      <c r="F1670" s="56" t="s">
        <v>4663</v>
      </c>
      <c r="G1670" s="58" t="s">
        <v>3551</v>
      </c>
      <c r="H1670" s="56">
        <v>1</v>
      </c>
      <c r="I1670" s="56" t="s">
        <v>3550</v>
      </c>
      <c r="J1670" s="56">
        <v>0</v>
      </c>
      <c r="K1670" s="56">
        <v>0</v>
      </c>
      <c r="P1670" s="56">
        <v>0</v>
      </c>
      <c r="S1670" s="56">
        <v>0</v>
      </c>
      <c r="T1670" s="56" t="s">
        <v>27</v>
      </c>
      <c r="V1670" s="56" t="s">
        <v>3549</v>
      </c>
      <c r="W1670" s="56" t="s">
        <v>3548</v>
      </c>
      <c r="X1670" s="56" t="s">
        <v>3547</v>
      </c>
      <c r="Z1670" s="56" t="s">
        <v>3546</v>
      </c>
      <c r="AA1670" s="56" t="s">
        <v>4662</v>
      </c>
      <c r="AB1670" s="56" t="s">
        <v>4661</v>
      </c>
      <c r="AC1670" s="56" t="s">
        <v>3543</v>
      </c>
      <c r="AH1670" s="56" t="s">
        <v>3542</v>
      </c>
      <c r="AI1670" s="56" t="s">
        <v>3541</v>
      </c>
    </row>
    <row r="1671" spans="1:35" ht="33" customHeight="1">
      <c r="A1671" s="56" t="s">
        <v>4660</v>
      </c>
      <c r="B1671" s="57">
        <v>44365.652372685188</v>
      </c>
      <c r="C1671" s="56" t="s">
        <v>3803</v>
      </c>
      <c r="D1671" s="56" t="s">
        <v>3802</v>
      </c>
      <c r="E1671" s="56" t="s">
        <v>4659</v>
      </c>
      <c r="F1671" s="56" t="s">
        <v>4658</v>
      </c>
      <c r="G1671" s="58" t="s">
        <v>3603</v>
      </c>
      <c r="H1671" s="56">
        <v>1</v>
      </c>
      <c r="I1671" s="56" t="s">
        <v>3602</v>
      </c>
      <c r="J1671" s="56">
        <v>447</v>
      </c>
      <c r="K1671" s="56">
        <v>399</v>
      </c>
      <c r="L1671" s="56">
        <v>1365</v>
      </c>
      <c r="M1671" s="56">
        <v>0</v>
      </c>
      <c r="N1671" s="56">
        <v>0</v>
      </c>
      <c r="O1671" s="56">
        <v>137</v>
      </c>
      <c r="P1671" s="56">
        <v>0</v>
      </c>
      <c r="Q1671" s="56">
        <v>1228</v>
      </c>
      <c r="R1671" s="56">
        <v>0</v>
      </c>
      <c r="S1671" s="56">
        <v>0</v>
      </c>
      <c r="T1671" s="56" t="s">
        <v>3562</v>
      </c>
      <c r="U1671" s="56">
        <v>1228</v>
      </c>
      <c r="V1671" s="56" t="s">
        <v>3561</v>
      </c>
      <c r="W1671" s="56" t="s">
        <v>3548</v>
      </c>
      <c r="X1671" s="56" t="s">
        <v>39</v>
      </c>
      <c r="Y1671" s="56" t="s">
        <v>4657</v>
      </c>
      <c r="Z1671" s="56" t="s">
        <v>4656</v>
      </c>
      <c r="AC1671" s="56" t="s">
        <v>3543</v>
      </c>
      <c r="AD1671" s="56" t="s">
        <v>24</v>
      </c>
      <c r="AE1671" s="56" t="s">
        <v>4530</v>
      </c>
      <c r="AF1671" s="56" t="s">
        <v>4655</v>
      </c>
      <c r="AH1671" s="56" t="s">
        <v>3542</v>
      </c>
      <c r="AI1671" s="56" t="s">
        <v>3723</v>
      </c>
    </row>
    <row r="1672" spans="1:35" ht="33" customHeight="1">
      <c r="A1672" s="56" t="s">
        <v>4660</v>
      </c>
      <c r="B1672" s="57">
        <v>44365.652372685188</v>
      </c>
      <c r="C1672" s="56" t="s">
        <v>3803</v>
      </c>
      <c r="D1672" s="56" t="s">
        <v>3802</v>
      </c>
      <c r="E1672" s="56" t="s">
        <v>4659</v>
      </c>
      <c r="F1672" s="56" t="s">
        <v>4658</v>
      </c>
      <c r="G1672" s="58" t="s">
        <v>1531</v>
      </c>
      <c r="H1672" s="56">
        <v>1</v>
      </c>
      <c r="I1672" s="56" t="s">
        <v>3696</v>
      </c>
      <c r="J1672" s="56">
        <v>299</v>
      </c>
      <c r="K1672" s="56">
        <v>299</v>
      </c>
      <c r="P1672" s="56">
        <v>0</v>
      </c>
      <c r="S1672" s="56">
        <v>0</v>
      </c>
      <c r="T1672" s="56" t="s">
        <v>3562</v>
      </c>
      <c r="V1672" s="56" t="s">
        <v>3561</v>
      </c>
      <c r="W1672" s="56" t="s">
        <v>3548</v>
      </c>
      <c r="X1672" s="56" t="s">
        <v>39</v>
      </c>
      <c r="Y1672" s="56" t="s">
        <v>4657</v>
      </c>
      <c r="Z1672" s="56" t="s">
        <v>4656</v>
      </c>
      <c r="AC1672" s="56" t="s">
        <v>3543</v>
      </c>
      <c r="AD1672" s="56" t="s">
        <v>24</v>
      </c>
      <c r="AE1672" s="56" t="s">
        <v>4530</v>
      </c>
      <c r="AF1672" s="56" t="s">
        <v>4655</v>
      </c>
      <c r="AH1672" s="56" t="s">
        <v>3542</v>
      </c>
      <c r="AI1672" s="56" t="s">
        <v>3723</v>
      </c>
    </row>
    <row r="1673" spans="1:35" ht="33" customHeight="1">
      <c r="A1673" s="56" t="s">
        <v>4660</v>
      </c>
      <c r="B1673" s="57">
        <v>44365.652372685188</v>
      </c>
      <c r="C1673" s="56" t="s">
        <v>3803</v>
      </c>
      <c r="D1673" s="56" t="s">
        <v>3802</v>
      </c>
      <c r="E1673" s="56" t="s">
        <v>4659</v>
      </c>
      <c r="F1673" s="56" t="s">
        <v>4658</v>
      </c>
      <c r="G1673" s="58" t="s">
        <v>3192</v>
      </c>
      <c r="H1673" s="56">
        <v>1</v>
      </c>
      <c r="I1673" s="56" t="s">
        <v>4653</v>
      </c>
      <c r="J1673" s="56">
        <v>168</v>
      </c>
      <c r="K1673" s="56">
        <v>168</v>
      </c>
      <c r="P1673" s="56">
        <v>0</v>
      </c>
      <c r="S1673" s="56">
        <v>0</v>
      </c>
      <c r="T1673" s="56" t="s">
        <v>3562</v>
      </c>
      <c r="V1673" s="56" t="s">
        <v>3561</v>
      </c>
      <c r="W1673" s="56" t="s">
        <v>3548</v>
      </c>
      <c r="X1673" s="56" t="s">
        <v>39</v>
      </c>
      <c r="Y1673" s="56" t="s">
        <v>4657</v>
      </c>
      <c r="Z1673" s="56" t="s">
        <v>4656</v>
      </c>
      <c r="AC1673" s="56" t="s">
        <v>3543</v>
      </c>
      <c r="AD1673" s="56" t="s">
        <v>24</v>
      </c>
      <c r="AE1673" s="56" t="s">
        <v>4530</v>
      </c>
      <c r="AF1673" s="56" t="s">
        <v>4655</v>
      </c>
      <c r="AH1673" s="56" t="s">
        <v>3542</v>
      </c>
      <c r="AI1673" s="56" t="s">
        <v>3723</v>
      </c>
    </row>
    <row r="1674" spans="1:35" ht="33" customHeight="1">
      <c r="A1674" s="56" t="s">
        <v>4660</v>
      </c>
      <c r="B1674" s="57">
        <v>44365.652372685188</v>
      </c>
      <c r="C1674" s="56" t="s">
        <v>3803</v>
      </c>
      <c r="D1674" s="56" t="s">
        <v>3802</v>
      </c>
      <c r="E1674" s="56" t="s">
        <v>4659</v>
      </c>
      <c r="F1674" s="56" t="s">
        <v>4658</v>
      </c>
      <c r="G1674" s="58" t="s">
        <v>1491</v>
      </c>
      <c r="H1674" s="56">
        <v>1</v>
      </c>
      <c r="I1674" s="56" t="s">
        <v>3586</v>
      </c>
      <c r="J1674" s="56">
        <v>149</v>
      </c>
      <c r="K1674" s="56">
        <v>149</v>
      </c>
      <c r="P1674" s="56">
        <v>0</v>
      </c>
      <c r="S1674" s="56">
        <v>0</v>
      </c>
      <c r="T1674" s="56" t="s">
        <v>3562</v>
      </c>
      <c r="V1674" s="56" t="s">
        <v>3561</v>
      </c>
      <c r="W1674" s="56" t="s">
        <v>3548</v>
      </c>
      <c r="X1674" s="56" t="s">
        <v>39</v>
      </c>
      <c r="Y1674" s="56" t="s">
        <v>4657</v>
      </c>
      <c r="Z1674" s="56" t="s">
        <v>4656</v>
      </c>
      <c r="AC1674" s="56" t="s">
        <v>3543</v>
      </c>
      <c r="AD1674" s="56" t="s">
        <v>24</v>
      </c>
      <c r="AE1674" s="56" t="s">
        <v>4530</v>
      </c>
      <c r="AF1674" s="56" t="s">
        <v>4655</v>
      </c>
      <c r="AH1674" s="56" t="s">
        <v>3542</v>
      </c>
      <c r="AI1674" s="56" t="s">
        <v>3723</v>
      </c>
    </row>
    <row r="1675" spans="1:35" ht="33" customHeight="1">
      <c r="A1675" s="56" t="s">
        <v>4660</v>
      </c>
      <c r="B1675" s="57">
        <v>44365.652372685188</v>
      </c>
      <c r="C1675" s="56" t="s">
        <v>3803</v>
      </c>
      <c r="D1675" s="56" t="s">
        <v>3802</v>
      </c>
      <c r="E1675" s="56" t="s">
        <v>4659</v>
      </c>
      <c r="F1675" s="56" t="s">
        <v>4658</v>
      </c>
      <c r="G1675" s="58" t="s">
        <v>2171</v>
      </c>
      <c r="H1675" s="56">
        <v>1</v>
      </c>
      <c r="I1675" s="56" t="s">
        <v>3762</v>
      </c>
      <c r="J1675" s="56">
        <v>350</v>
      </c>
      <c r="K1675" s="56">
        <v>350</v>
      </c>
      <c r="P1675" s="56">
        <v>0</v>
      </c>
      <c r="S1675" s="56">
        <v>0</v>
      </c>
      <c r="T1675" s="56" t="s">
        <v>3562</v>
      </c>
      <c r="V1675" s="56" t="s">
        <v>3561</v>
      </c>
      <c r="W1675" s="56" t="s">
        <v>3548</v>
      </c>
      <c r="X1675" s="56" t="s">
        <v>39</v>
      </c>
      <c r="Y1675" s="56" t="s">
        <v>4657</v>
      </c>
      <c r="Z1675" s="56" t="s">
        <v>4656</v>
      </c>
      <c r="AC1675" s="56" t="s">
        <v>3543</v>
      </c>
      <c r="AD1675" s="56" t="s">
        <v>24</v>
      </c>
      <c r="AE1675" s="56" t="s">
        <v>4530</v>
      </c>
      <c r="AF1675" s="56" t="s">
        <v>4655</v>
      </c>
      <c r="AH1675" s="56" t="s">
        <v>3542</v>
      </c>
      <c r="AI1675" s="56" t="s">
        <v>3723</v>
      </c>
    </row>
    <row r="1676" spans="1:35" ht="33" customHeight="1">
      <c r="A1676" s="56" t="s">
        <v>4660</v>
      </c>
      <c r="B1676" s="57">
        <v>44365.652372685188</v>
      </c>
      <c r="C1676" s="56" t="s">
        <v>3803</v>
      </c>
      <c r="D1676" s="56" t="s">
        <v>3802</v>
      </c>
      <c r="E1676" s="56" t="s">
        <v>4659</v>
      </c>
      <c r="F1676" s="56" t="s">
        <v>4658</v>
      </c>
      <c r="G1676" s="58" t="s">
        <v>3551</v>
      </c>
      <c r="H1676" s="56">
        <v>1</v>
      </c>
      <c r="I1676" s="56" t="s">
        <v>3550</v>
      </c>
      <c r="J1676" s="56">
        <v>0</v>
      </c>
      <c r="K1676" s="56">
        <v>0</v>
      </c>
      <c r="P1676" s="56">
        <v>0</v>
      </c>
      <c r="S1676" s="56">
        <v>0</v>
      </c>
      <c r="T1676" s="56" t="s">
        <v>3562</v>
      </c>
      <c r="V1676" s="56" t="s">
        <v>3561</v>
      </c>
      <c r="W1676" s="56" t="s">
        <v>3548</v>
      </c>
      <c r="X1676" s="56" t="s">
        <v>39</v>
      </c>
      <c r="Y1676" s="56" t="s">
        <v>4657</v>
      </c>
      <c r="Z1676" s="56" t="s">
        <v>4656</v>
      </c>
      <c r="AC1676" s="56" t="s">
        <v>3543</v>
      </c>
      <c r="AD1676" s="56" t="s">
        <v>24</v>
      </c>
      <c r="AE1676" s="56" t="s">
        <v>4530</v>
      </c>
      <c r="AF1676" s="56" t="s">
        <v>4655</v>
      </c>
      <c r="AH1676" s="56" t="s">
        <v>3542</v>
      </c>
      <c r="AI1676" s="56" t="s">
        <v>3723</v>
      </c>
    </row>
    <row r="1677" spans="1:35" ht="33" customHeight="1">
      <c r="A1677" s="56" t="s">
        <v>4660</v>
      </c>
      <c r="B1677" s="57">
        <v>44365.652372685188</v>
      </c>
      <c r="C1677" s="56" t="s">
        <v>3803</v>
      </c>
      <c r="D1677" s="56" t="s">
        <v>3802</v>
      </c>
      <c r="E1677" s="56" t="s">
        <v>4659</v>
      </c>
      <c r="F1677" s="56" t="s">
        <v>4658</v>
      </c>
      <c r="G1677" s="58" t="s">
        <v>1498</v>
      </c>
      <c r="H1677" s="56">
        <v>1</v>
      </c>
      <c r="I1677" s="56" t="s">
        <v>4016</v>
      </c>
      <c r="J1677" s="56">
        <v>0</v>
      </c>
      <c r="K1677" s="56">
        <v>0</v>
      </c>
      <c r="P1677" s="56">
        <v>0</v>
      </c>
      <c r="S1677" s="56">
        <v>0</v>
      </c>
      <c r="T1677" s="56" t="s">
        <v>3562</v>
      </c>
      <c r="V1677" s="56" t="s">
        <v>3561</v>
      </c>
      <c r="W1677" s="56" t="s">
        <v>3548</v>
      </c>
      <c r="X1677" s="56" t="s">
        <v>39</v>
      </c>
      <c r="Y1677" s="56" t="s">
        <v>4657</v>
      </c>
      <c r="Z1677" s="56" t="s">
        <v>4656</v>
      </c>
      <c r="AC1677" s="56" t="s">
        <v>3543</v>
      </c>
      <c r="AD1677" s="56" t="s">
        <v>24</v>
      </c>
      <c r="AE1677" s="56" t="s">
        <v>4530</v>
      </c>
      <c r="AF1677" s="56" t="s">
        <v>4655</v>
      </c>
      <c r="AH1677" s="56" t="s">
        <v>3542</v>
      </c>
      <c r="AI1677" s="56" t="s">
        <v>3723</v>
      </c>
    </row>
    <row r="1678" spans="1:35" ht="33" customHeight="1">
      <c r="A1678" s="56" t="s">
        <v>4652</v>
      </c>
      <c r="B1678" s="57">
        <v>44365.679791666669</v>
      </c>
      <c r="C1678" s="56" t="s">
        <v>3803</v>
      </c>
      <c r="D1678" s="56" t="s">
        <v>3802</v>
      </c>
      <c r="E1678" s="56" t="s">
        <v>4651</v>
      </c>
      <c r="F1678" s="56" t="s">
        <v>4650</v>
      </c>
      <c r="G1678" s="58" t="s">
        <v>3171</v>
      </c>
      <c r="H1678" s="56">
        <v>1</v>
      </c>
      <c r="I1678" s="56" t="s">
        <v>3695</v>
      </c>
      <c r="J1678" s="56">
        <v>399</v>
      </c>
      <c r="K1678" s="56">
        <v>399</v>
      </c>
      <c r="L1678" s="56">
        <v>1162</v>
      </c>
      <c r="M1678" s="56">
        <v>0</v>
      </c>
      <c r="N1678" s="56">
        <v>0</v>
      </c>
      <c r="O1678" s="56">
        <v>117</v>
      </c>
      <c r="P1678" s="56">
        <v>0</v>
      </c>
      <c r="Q1678" s="56">
        <v>1045</v>
      </c>
      <c r="R1678" s="56">
        <v>0</v>
      </c>
      <c r="S1678" s="56">
        <v>0</v>
      </c>
      <c r="T1678" s="56" t="s">
        <v>27</v>
      </c>
      <c r="U1678" s="56">
        <v>1045</v>
      </c>
      <c r="V1678" s="56" t="s">
        <v>3736</v>
      </c>
      <c r="W1678" s="56" t="s">
        <v>3548</v>
      </c>
      <c r="X1678" s="56" t="s">
        <v>3735</v>
      </c>
      <c r="Y1678" s="56" t="s">
        <v>4649</v>
      </c>
      <c r="Z1678" s="56" t="s">
        <v>4648</v>
      </c>
      <c r="AC1678" s="56" t="s">
        <v>3543</v>
      </c>
      <c r="AH1678" s="56" t="s">
        <v>3542</v>
      </c>
      <c r="AI1678" s="56" t="s">
        <v>3541</v>
      </c>
    </row>
    <row r="1679" spans="1:35" ht="33" customHeight="1">
      <c r="A1679" s="56" t="s">
        <v>4652</v>
      </c>
      <c r="B1679" s="57">
        <v>44365.679791666669</v>
      </c>
      <c r="C1679" s="56" t="s">
        <v>3803</v>
      </c>
      <c r="D1679" s="56" t="s">
        <v>3802</v>
      </c>
      <c r="E1679" s="56" t="s">
        <v>4651</v>
      </c>
      <c r="F1679" s="56" t="s">
        <v>4650</v>
      </c>
      <c r="G1679" s="58" t="s">
        <v>4654</v>
      </c>
      <c r="H1679" s="56">
        <v>1</v>
      </c>
      <c r="I1679" s="56" t="s">
        <v>3746</v>
      </c>
      <c r="J1679" s="56">
        <v>660</v>
      </c>
      <c r="K1679" s="56">
        <v>450</v>
      </c>
      <c r="P1679" s="56">
        <v>0</v>
      </c>
      <c r="S1679" s="56">
        <v>0</v>
      </c>
      <c r="T1679" s="56" t="s">
        <v>27</v>
      </c>
      <c r="V1679" s="56" t="s">
        <v>3736</v>
      </c>
      <c r="W1679" s="56" t="s">
        <v>3548</v>
      </c>
      <c r="X1679" s="56" t="s">
        <v>3735</v>
      </c>
      <c r="Y1679" s="56" t="s">
        <v>4649</v>
      </c>
      <c r="Z1679" s="56" t="s">
        <v>4648</v>
      </c>
      <c r="AC1679" s="56" t="s">
        <v>3543</v>
      </c>
      <c r="AH1679" s="56" t="s">
        <v>3542</v>
      </c>
      <c r="AI1679" s="56" t="s">
        <v>3541</v>
      </c>
    </row>
    <row r="1680" spans="1:35" ht="33" customHeight="1">
      <c r="A1680" s="56" t="s">
        <v>4652</v>
      </c>
      <c r="B1680" s="57">
        <v>44365.679791666669</v>
      </c>
      <c r="C1680" s="56" t="s">
        <v>3803</v>
      </c>
      <c r="D1680" s="56" t="s">
        <v>3802</v>
      </c>
      <c r="E1680" s="56" t="s">
        <v>4651</v>
      </c>
      <c r="F1680" s="56" t="s">
        <v>4650</v>
      </c>
      <c r="G1680" s="58" t="s">
        <v>2156</v>
      </c>
      <c r="H1680" s="56">
        <v>1</v>
      </c>
      <c r="I1680" s="56" t="s">
        <v>1376</v>
      </c>
      <c r="J1680" s="56">
        <v>145</v>
      </c>
      <c r="K1680" s="56">
        <v>145</v>
      </c>
      <c r="P1680" s="56">
        <v>0</v>
      </c>
      <c r="S1680" s="56">
        <v>0</v>
      </c>
      <c r="T1680" s="56" t="s">
        <v>27</v>
      </c>
      <c r="V1680" s="56" t="s">
        <v>3736</v>
      </c>
      <c r="W1680" s="56" t="s">
        <v>3548</v>
      </c>
      <c r="X1680" s="56" t="s">
        <v>3735</v>
      </c>
      <c r="Y1680" s="56" t="s">
        <v>4649</v>
      </c>
      <c r="Z1680" s="56" t="s">
        <v>4648</v>
      </c>
      <c r="AC1680" s="56" t="s">
        <v>3543</v>
      </c>
      <c r="AH1680" s="56" t="s">
        <v>3542</v>
      </c>
      <c r="AI1680" s="56" t="s">
        <v>3541</v>
      </c>
    </row>
    <row r="1681" spans="1:35" ht="33" customHeight="1">
      <c r="A1681" s="56" t="s">
        <v>4652</v>
      </c>
      <c r="B1681" s="57">
        <v>44365.679791666669</v>
      </c>
      <c r="C1681" s="56" t="s">
        <v>3803</v>
      </c>
      <c r="D1681" s="56" t="s">
        <v>3802</v>
      </c>
      <c r="E1681" s="56" t="s">
        <v>4651</v>
      </c>
      <c r="F1681" s="56" t="s">
        <v>4650</v>
      </c>
      <c r="G1681" s="58" t="s">
        <v>3192</v>
      </c>
      <c r="H1681" s="56">
        <v>1</v>
      </c>
      <c r="I1681" s="56" t="s">
        <v>4653</v>
      </c>
      <c r="J1681" s="56">
        <v>168</v>
      </c>
      <c r="K1681" s="56">
        <v>168</v>
      </c>
      <c r="P1681" s="56">
        <v>0</v>
      </c>
      <c r="S1681" s="56">
        <v>0</v>
      </c>
      <c r="T1681" s="56" t="s">
        <v>27</v>
      </c>
      <c r="V1681" s="56" t="s">
        <v>3736</v>
      </c>
      <c r="W1681" s="56" t="s">
        <v>3548</v>
      </c>
      <c r="X1681" s="56" t="s">
        <v>3735</v>
      </c>
      <c r="Y1681" s="56" t="s">
        <v>4649</v>
      </c>
      <c r="Z1681" s="56" t="s">
        <v>4648</v>
      </c>
      <c r="AC1681" s="56" t="s">
        <v>3543</v>
      </c>
      <c r="AH1681" s="56" t="s">
        <v>3542</v>
      </c>
      <c r="AI1681" s="56" t="s">
        <v>3541</v>
      </c>
    </row>
    <row r="1682" spans="1:35" ht="33" customHeight="1">
      <c r="A1682" s="56" t="s">
        <v>4652</v>
      </c>
      <c r="B1682" s="57">
        <v>44365.679791666669</v>
      </c>
      <c r="C1682" s="56" t="s">
        <v>3803</v>
      </c>
      <c r="D1682" s="56" t="s">
        <v>3802</v>
      </c>
      <c r="E1682" s="56" t="s">
        <v>4651</v>
      </c>
      <c r="F1682" s="56" t="s">
        <v>4650</v>
      </c>
      <c r="G1682" s="58" t="s">
        <v>3551</v>
      </c>
      <c r="H1682" s="56">
        <v>1</v>
      </c>
      <c r="I1682" s="56" t="s">
        <v>3550</v>
      </c>
      <c r="J1682" s="56">
        <v>0</v>
      </c>
      <c r="K1682" s="56">
        <v>0</v>
      </c>
      <c r="P1682" s="56">
        <v>0</v>
      </c>
      <c r="S1682" s="56">
        <v>0</v>
      </c>
      <c r="T1682" s="56" t="s">
        <v>27</v>
      </c>
      <c r="V1682" s="56" t="s">
        <v>3736</v>
      </c>
      <c r="W1682" s="56" t="s">
        <v>3548</v>
      </c>
      <c r="X1682" s="56" t="s">
        <v>3735</v>
      </c>
      <c r="Y1682" s="56" t="s">
        <v>4649</v>
      </c>
      <c r="Z1682" s="56" t="s">
        <v>4648</v>
      </c>
      <c r="AC1682" s="56" t="s">
        <v>3543</v>
      </c>
      <c r="AH1682" s="56" t="s">
        <v>3542</v>
      </c>
      <c r="AI1682" s="56" t="s">
        <v>3541</v>
      </c>
    </row>
    <row r="1683" spans="1:35" ht="33" customHeight="1">
      <c r="A1683" s="56" t="s">
        <v>4652</v>
      </c>
      <c r="B1683" s="57">
        <v>44365.679791666669</v>
      </c>
      <c r="C1683" s="56" t="s">
        <v>3803</v>
      </c>
      <c r="D1683" s="56" t="s">
        <v>3802</v>
      </c>
      <c r="E1683" s="56" t="s">
        <v>4651</v>
      </c>
      <c r="F1683" s="56" t="s">
        <v>4650</v>
      </c>
      <c r="G1683" s="58" t="s">
        <v>1498</v>
      </c>
      <c r="H1683" s="56">
        <v>1</v>
      </c>
      <c r="I1683" s="56" t="s">
        <v>4016</v>
      </c>
      <c r="J1683" s="56">
        <v>0</v>
      </c>
      <c r="K1683" s="56">
        <v>0</v>
      </c>
      <c r="P1683" s="56">
        <v>0</v>
      </c>
      <c r="S1683" s="56">
        <v>0</v>
      </c>
      <c r="T1683" s="56" t="s">
        <v>27</v>
      </c>
      <c r="V1683" s="56" t="s">
        <v>3736</v>
      </c>
      <c r="W1683" s="56" t="s">
        <v>3548</v>
      </c>
      <c r="X1683" s="56" t="s">
        <v>3735</v>
      </c>
      <c r="Y1683" s="56" t="s">
        <v>4649</v>
      </c>
      <c r="Z1683" s="56" t="s">
        <v>4648</v>
      </c>
      <c r="AC1683" s="56" t="s">
        <v>3543</v>
      </c>
      <c r="AH1683" s="56" t="s">
        <v>3542</v>
      </c>
      <c r="AI1683" s="56" t="s">
        <v>3541</v>
      </c>
    </row>
    <row r="1684" spans="1:35" ht="33" customHeight="1">
      <c r="A1684" s="56" t="s">
        <v>4647</v>
      </c>
      <c r="B1684" s="57">
        <v>44365.689664351848</v>
      </c>
      <c r="C1684" s="56" t="s">
        <v>3803</v>
      </c>
      <c r="D1684" s="56" t="s">
        <v>25</v>
      </c>
      <c r="E1684" s="56" t="s">
        <v>4646</v>
      </c>
      <c r="F1684" s="56" t="s">
        <v>4645</v>
      </c>
      <c r="G1684" s="58" t="s">
        <v>3811</v>
      </c>
      <c r="H1684" s="56">
        <v>1</v>
      </c>
      <c r="I1684" s="56" t="s">
        <v>3669</v>
      </c>
      <c r="J1684" s="56">
        <v>897</v>
      </c>
      <c r="K1684" s="56">
        <v>888</v>
      </c>
      <c r="L1684" s="56">
        <v>888</v>
      </c>
      <c r="M1684" s="56">
        <v>65</v>
      </c>
      <c r="N1684" s="56">
        <v>0</v>
      </c>
      <c r="O1684" s="56">
        <v>0</v>
      </c>
      <c r="P1684" s="56">
        <v>0</v>
      </c>
      <c r="Q1684" s="56">
        <v>953</v>
      </c>
      <c r="R1684" s="56">
        <v>0</v>
      </c>
      <c r="S1684" s="56">
        <v>0</v>
      </c>
      <c r="T1684" s="56" t="s">
        <v>27</v>
      </c>
      <c r="U1684" s="56">
        <v>953</v>
      </c>
      <c r="V1684" s="56" t="s">
        <v>3612</v>
      </c>
      <c r="W1684" s="56" t="s">
        <v>3548</v>
      </c>
      <c r="X1684" s="56" t="s">
        <v>3611</v>
      </c>
      <c r="Z1684" s="56" t="s">
        <v>3546</v>
      </c>
      <c r="AA1684" s="56" t="s">
        <v>4644</v>
      </c>
      <c r="AB1684" s="56" t="s">
        <v>4643</v>
      </c>
      <c r="AC1684" s="56" t="s">
        <v>3543</v>
      </c>
      <c r="AH1684" s="56" t="s">
        <v>3542</v>
      </c>
      <c r="AI1684" s="56" t="s">
        <v>3541</v>
      </c>
    </row>
    <row r="1685" spans="1:35" ht="33" customHeight="1">
      <c r="A1685" s="56" t="s">
        <v>4647</v>
      </c>
      <c r="B1685" s="57">
        <v>44365.689664351848</v>
      </c>
      <c r="C1685" s="56" t="s">
        <v>3803</v>
      </c>
      <c r="D1685" s="56" t="s">
        <v>25</v>
      </c>
      <c r="E1685" s="56" t="s">
        <v>4646</v>
      </c>
      <c r="F1685" s="56" t="s">
        <v>4645</v>
      </c>
      <c r="G1685" s="58" t="s">
        <v>3551</v>
      </c>
      <c r="H1685" s="56">
        <v>1</v>
      </c>
      <c r="I1685" s="56" t="s">
        <v>3550</v>
      </c>
      <c r="J1685" s="56">
        <v>0</v>
      </c>
      <c r="K1685" s="56">
        <v>0</v>
      </c>
      <c r="P1685" s="56">
        <v>0</v>
      </c>
      <c r="S1685" s="56">
        <v>0</v>
      </c>
      <c r="T1685" s="56" t="s">
        <v>27</v>
      </c>
      <c r="V1685" s="56" t="s">
        <v>3612</v>
      </c>
      <c r="W1685" s="56" t="s">
        <v>3548</v>
      </c>
      <c r="X1685" s="56" t="s">
        <v>3611</v>
      </c>
      <c r="Z1685" s="56" t="s">
        <v>3546</v>
      </c>
      <c r="AA1685" s="56" t="s">
        <v>4644</v>
      </c>
      <c r="AB1685" s="56" t="s">
        <v>4643</v>
      </c>
      <c r="AC1685" s="56" t="s">
        <v>3543</v>
      </c>
      <c r="AH1685" s="56" t="s">
        <v>3542</v>
      </c>
      <c r="AI1685" s="56" t="s">
        <v>3541</v>
      </c>
    </row>
    <row r="1686" spans="1:35" ht="33" customHeight="1">
      <c r="A1686" s="56" t="s">
        <v>4647</v>
      </c>
      <c r="B1686" s="57">
        <v>44365.689664351848</v>
      </c>
      <c r="C1686" s="56" t="s">
        <v>3803</v>
      </c>
      <c r="D1686" s="56" t="s">
        <v>25</v>
      </c>
      <c r="E1686" s="56" t="s">
        <v>4646</v>
      </c>
      <c r="F1686" s="56" t="s">
        <v>4645</v>
      </c>
      <c r="G1686" s="58" t="s">
        <v>1498</v>
      </c>
      <c r="H1686" s="56">
        <v>1</v>
      </c>
      <c r="I1686" s="56" t="s">
        <v>4016</v>
      </c>
      <c r="J1686" s="56">
        <v>0</v>
      </c>
      <c r="K1686" s="56">
        <v>0</v>
      </c>
      <c r="P1686" s="56">
        <v>0</v>
      </c>
      <c r="S1686" s="56">
        <v>0</v>
      </c>
      <c r="T1686" s="56" t="s">
        <v>27</v>
      </c>
      <c r="V1686" s="56" t="s">
        <v>3612</v>
      </c>
      <c r="W1686" s="56" t="s">
        <v>3548</v>
      </c>
      <c r="X1686" s="56" t="s">
        <v>3611</v>
      </c>
      <c r="Z1686" s="56" t="s">
        <v>3546</v>
      </c>
      <c r="AA1686" s="56" t="s">
        <v>4644</v>
      </c>
      <c r="AB1686" s="56" t="s">
        <v>4643</v>
      </c>
      <c r="AC1686" s="56" t="s">
        <v>3543</v>
      </c>
      <c r="AH1686" s="56" t="s">
        <v>3542</v>
      </c>
      <c r="AI1686" s="56" t="s">
        <v>3541</v>
      </c>
    </row>
    <row r="1687" spans="1:35" ht="33" customHeight="1">
      <c r="A1687" s="56" t="s">
        <v>4642</v>
      </c>
      <c r="B1687" s="57">
        <v>44365.692928240744</v>
      </c>
      <c r="C1687" s="56" t="s">
        <v>3803</v>
      </c>
      <c r="D1687" s="56" t="s">
        <v>4426</v>
      </c>
      <c r="E1687" s="56" t="s">
        <v>4641</v>
      </c>
      <c r="F1687" s="56" t="s">
        <v>4640</v>
      </c>
      <c r="G1687" s="58" t="s">
        <v>3732</v>
      </c>
      <c r="H1687" s="56">
        <v>1</v>
      </c>
      <c r="I1687" s="56" t="s">
        <v>3731</v>
      </c>
      <c r="J1687" s="56">
        <v>867</v>
      </c>
      <c r="K1687" s="56">
        <v>550</v>
      </c>
      <c r="L1687" s="56">
        <v>1445</v>
      </c>
      <c r="M1687" s="56">
        <v>0</v>
      </c>
      <c r="N1687" s="56">
        <v>0</v>
      </c>
      <c r="O1687" s="56">
        <v>100</v>
      </c>
      <c r="P1687" s="56">
        <v>0</v>
      </c>
      <c r="Q1687" s="56">
        <v>1345</v>
      </c>
      <c r="R1687" s="56">
        <v>0</v>
      </c>
      <c r="S1687" s="56">
        <v>0</v>
      </c>
      <c r="T1687" s="56" t="s">
        <v>27</v>
      </c>
      <c r="U1687" s="56">
        <v>1345</v>
      </c>
      <c r="V1687" s="56" t="s">
        <v>3549</v>
      </c>
      <c r="W1687" s="56" t="s">
        <v>3548</v>
      </c>
      <c r="X1687" s="56" t="s">
        <v>3547</v>
      </c>
      <c r="Z1687" s="56" t="s">
        <v>3546</v>
      </c>
      <c r="AA1687" s="56" t="s">
        <v>4639</v>
      </c>
      <c r="AB1687" s="56" t="s">
        <v>4638</v>
      </c>
      <c r="AC1687" s="56" t="s">
        <v>3543</v>
      </c>
      <c r="AH1687" s="56" t="s">
        <v>3542</v>
      </c>
      <c r="AI1687" s="56" t="s">
        <v>3541</v>
      </c>
    </row>
    <row r="1688" spans="1:35" ht="33" customHeight="1">
      <c r="A1688" s="56" t="s">
        <v>4642</v>
      </c>
      <c r="B1688" s="57">
        <v>44365.692928240744</v>
      </c>
      <c r="C1688" s="56" t="s">
        <v>3803</v>
      </c>
      <c r="D1688" s="56" t="s">
        <v>4426</v>
      </c>
      <c r="E1688" s="56" t="s">
        <v>4641</v>
      </c>
      <c r="F1688" s="56" t="s">
        <v>4640</v>
      </c>
      <c r="G1688" s="58" t="s">
        <v>2156</v>
      </c>
      <c r="H1688" s="56">
        <v>1</v>
      </c>
      <c r="I1688" s="56" t="s">
        <v>1376</v>
      </c>
      <c r="J1688" s="56">
        <v>145</v>
      </c>
      <c r="K1688" s="56">
        <v>145</v>
      </c>
      <c r="P1688" s="56">
        <v>0</v>
      </c>
      <c r="S1688" s="56">
        <v>0</v>
      </c>
      <c r="T1688" s="56" t="s">
        <v>27</v>
      </c>
      <c r="V1688" s="56" t="s">
        <v>3549</v>
      </c>
      <c r="W1688" s="56" t="s">
        <v>3548</v>
      </c>
      <c r="X1688" s="56" t="s">
        <v>3547</v>
      </c>
      <c r="Z1688" s="56" t="s">
        <v>3546</v>
      </c>
      <c r="AA1688" s="56" t="s">
        <v>4639</v>
      </c>
      <c r="AB1688" s="56" t="s">
        <v>4638</v>
      </c>
      <c r="AC1688" s="56" t="s">
        <v>3543</v>
      </c>
      <c r="AH1688" s="56" t="s">
        <v>3542</v>
      </c>
      <c r="AI1688" s="56" t="s">
        <v>3541</v>
      </c>
    </row>
    <row r="1689" spans="1:35" ht="33" customHeight="1">
      <c r="A1689" s="56" t="s">
        <v>4642</v>
      </c>
      <c r="B1689" s="57">
        <v>44365.692928240744</v>
      </c>
      <c r="C1689" s="56" t="s">
        <v>3803</v>
      </c>
      <c r="D1689" s="56" t="s">
        <v>4426</v>
      </c>
      <c r="E1689" s="56" t="s">
        <v>4641</v>
      </c>
      <c r="F1689" s="56" t="s">
        <v>4640</v>
      </c>
      <c r="G1689" s="58" t="s">
        <v>3681</v>
      </c>
      <c r="H1689" s="56">
        <v>1</v>
      </c>
      <c r="I1689" s="56" t="s">
        <v>3569</v>
      </c>
      <c r="J1689" s="56">
        <v>894</v>
      </c>
      <c r="K1689" s="56">
        <v>750</v>
      </c>
      <c r="P1689" s="56">
        <v>0</v>
      </c>
      <c r="S1689" s="56">
        <v>0</v>
      </c>
      <c r="T1689" s="56" t="s">
        <v>27</v>
      </c>
      <c r="V1689" s="56" t="s">
        <v>3549</v>
      </c>
      <c r="W1689" s="56" t="s">
        <v>3548</v>
      </c>
      <c r="X1689" s="56" t="s">
        <v>3547</v>
      </c>
      <c r="Z1689" s="56" t="s">
        <v>3546</v>
      </c>
      <c r="AA1689" s="56" t="s">
        <v>4639</v>
      </c>
      <c r="AB1689" s="56" t="s">
        <v>4638</v>
      </c>
      <c r="AC1689" s="56" t="s">
        <v>3543</v>
      </c>
      <c r="AH1689" s="56" t="s">
        <v>3542</v>
      </c>
      <c r="AI1689" s="56" t="s">
        <v>3541</v>
      </c>
    </row>
    <row r="1690" spans="1:35" ht="33" customHeight="1">
      <c r="A1690" s="56" t="s">
        <v>4642</v>
      </c>
      <c r="B1690" s="57">
        <v>44365.692928240744</v>
      </c>
      <c r="C1690" s="56" t="s">
        <v>3803</v>
      </c>
      <c r="D1690" s="56" t="s">
        <v>4426</v>
      </c>
      <c r="E1690" s="56" t="s">
        <v>4641</v>
      </c>
      <c r="F1690" s="56" t="s">
        <v>4640</v>
      </c>
      <c r="G1690" s="58" t="s">
        <v>3551</v>
      </c>
      <c r="H1690" s="56">
        <v>1</v>
      </c>
      <c r="I1690" s="56" t="s">
        <v>3550</v>
      </c>
      <c r="J1690" s="56">
        <v>0</v>
      </c>
      <c r="K1690" s="56">
        <v>0</v>
      </c>
      <c r="P1690" s="56">
        <v>0</v>
      </c>
      <c r="S1690" s="56">
        <v>0</v>
      </c>
      <c r="T1690" s="56" t="s">
        <v>27</v>
      </c>
      <c r="V1690" s="56" t="s">
        <v>3549</v>
      </c>
      <c r="W1690" s="56" t="s">
        <v>3548</v>
      </c>
      <c r="X1690" s="56" t="s">
        <v>3547</v>
      </c>
      <c r="Z1690" s="56" t="s">
        <v>3546</v>
      </c>
      <c r="AA1690" s="56" t="s">
        <v>4639</v>
      </c>
      <c r="AB1690" s="56" t="s">
        <v>4638</v>
      </c>
      <c r="AC1690" s="56" t="s">
        <v>3543</v>
      </c>
      <c r="AH1690" s="56" t="s">
        <v>3542</v>
      </c>
      <c r="AI1690" s="56" t="s">
        <v>3541</v>
      </c>
    </row>
    <row r="1691" spans="1:35" ht="33" customHeight="1">
      <c r="A1691" s="56" t="s">
        <v>4642</v>
      </c>
      <c r="B1691" s="57">
        <v>44365.692928240744</v>
      </c>
      <c r="C1691" s="56" t="s">
        <v>3803</v>
      </c>
      <c r="D1691" s="56" t="s">
        <v>4426</v>
      </c>
      <c r="E1691" s="56" t="s">
        <v>4641</v>
      </c>
      <c r="F1691" s="56" t="s">
        <v>4640</v>
      </c>
      <c r="G1691" s="58" t="s">
        <v>1498</v>
      </c>
      <c r="H1691" s="56">
        <v>1</v>
      </c>
      <c r="I1691" s="56" t="s">
        <v>4016</v>
      </c>
      <c r="J1691" s="56">
        <v>0</v>
      </c>
      <c r="K1691" s="56">
        <v>0</v>
      </c>
      <c r="P1691" s="56">
        <v>0</v>
      </c>
      <c r="S1691" s="56">
        <v>0</v>
      </c>
      <c r="T1691" s="56" t="s">
        <v>27</v>
      </c>
      <c r="V1691" s="56" t="s">
        <v>3549</v>
      </c>
      <c r="W1691" s="56" t="s">
        <v>3548</v>
      </c>
      <c r="X1691" s="56" t="s">
        <v>3547</v>
      </c>
      <c r="Z1691" s="56" t="s">
        <v>3546</v>
      </c>
      <c r="AA1691" s="56" t="s">
        <v>4639</v>
      </c>
      <c r="AB1691" s="56" t="s">
        <v>4638</v>
      </c>
      <c r="AC1691" s="56" t="s">
        <v>3543</v>
      </c>
      <c r="AH1691" s="56" t="s">
        <v>3542</v>
      </c>
      <c r="AI1691" s="56" t="s">
        <v>3541</v>
      </c>
    </row>
    <row r="1692" spans="1:35" ht="33" customHeight="1">
      <c r="A1692" s="56" t="s">
        <v>4636</v>
      </c>
      <c r="B1692" s="57">
        <v>44365.69771990741</v>
      </c>
      <c r="C1692" s="56" t="s">
        <v>3803</v>
      </c>
      <c r="D1692" s="56" t="s">
        <v>4426</v>
      </c>
      <c r="E1692" s="56" t="s">
        <v>4635</v>
      </c>
      <c r="F1692" s="56" t="s">
        <v>4634</v>
      </c>
      <c r="G1692" s="58" t="s">
        <v>3670</v>
      </c>
      <c r="H1692" s="56">
        <v>1</v>
      </c>
      <c r="I1692" s="56" t="s">
        <v>3669</v>
      </c>
      <c r="J1692" s="56">
        <v>897</v>
      </c>
      <c r="K1692" s="56">
        <v>888</v>
      </c>
      <c r="L1692" s="56">
        <v>1848</v>
      </c>
      <c r="M1692" s="56">
        <v>0</v>
      </c>
      <c r="N1692" s="56">
        <v>0</v>
      </c>
      <c r="O1692" s="56">
        <v>100</v>
      </c>
      <c r="P1692" s="56">
        <v>0</v>
      </c>
      <c r="Q1692" s="56">
        <v>1748</v>
      </c>
      <c r="R1692" s="56">
        <v>0</v>
      </c>
      <c r="S1692" s="56">
        <v>0</v>
      </c>
      <c r="T1692" s="56" t="s">
        <v>27</v>
      </c>
      <c r="U1692" s="56">
        <v>1748</v>
      </c>
      <c r="V1692" s="56" t="s">
        <v>3549</v>
      </c>
      <c r="W1692" s="56" t="s">
        <v>3548</v>
      </c>
      <c r="X1692" s="56" t="s">
        <v>3547</v>
      </c>
      <c r="Z1692" s="56" t="s">
        <v>3546</v>
      </c>
      <c r="AA1692" s="56" t="s">
        <v>4633</v>
      </c>
      <c r="AB1692" s="56" t="s">
        <v>4632</v>
      </c>
      <c r="AC1692" s="56" t="s">
        <v>3543</v>
      </c>
      <c r="AH1692" s="56" t="s">
        <v>3542</v>
      </c>
      <c r="AI1692" s="56" t="s">
        <v>3541</v>
      </c>
    </row>
    <row r="1693" spans="1:35" ht="33" customHeight="1">
      <c r="A1693" s="56" t="s">
        <v>4636</v>
      </c>
      <c r="B1693" s="57">
        <v>44365.69771990741</v>
      </c>
      <c r="C1693" s="56" t="s">
        <v>3803</v>
      </c>
      <c r="D1693" s="56" t="s">
        <v>4426</v>
      </c>
      <c r="E1693" s="56" t="s">
        <v>4635</v>
      </c>
      <c r="F1693" s="56" t="s">
        <v>4634</v>
      </c>
      <c r="G1693" s="58" t="s">
        <v>4637</v>
      </c>
      <c r="H1693" s="56">
        <v>1</v>
      </c>
      <c r="I1693" s="56" t="s">
        <v>3753</v>
      </c>
      <c r="J1693" s="56">
        <v>997</v>
      </c>
      <c r="K1693" s="56">
        <v>960</v>
      </c>
      <c r="P1693" s="56">
        <v>0</v>
      </c>
      <c r="S1693" s="56">
        <v>0</v>
      </c>
      <c r="T1693" s="56" t="s">
        <v>27</v>
      </c>
      <c r="V1693" s="56" t="s">
        <v>3549</v>
      </c>
      <c r="W1693" s="56" t="s">
        <v>3548</v>
      </c>
      <c r="X1693" s="56" t="s">
        <v>3547</v>
      </c>
      <c r="Z1693" s="56" t="s">
        <v>3546</v>
      </c>
      <c r="AA1693" s="56" t="s">
        <v>4633</v>
      </c>
      <c r="AB1693" s="56" t="s">
        <v>4632</v>
      </c>
      <c r="AC1693" s="56" t="s">
        <v>3543</v>
      </c>
      <c r="AH1693" s="56" t="s">
        <v>3542</v>
      </c>
      <c r="AI1693" s="56" t="s">
        <v>3541</v>
      </c>
    </row>
    <row r="1694" spans="1:35" ht="33" customHeight="1">
      <c r="A1694" s="56" t="s">
        <v>4636</v>
      </c>
      <c r="B1694" s="57">
        <v>44365.69771990741</v>
      </c>
      <c r="C1694" s="56" t="s">
        <v>3803</v>
      </c>
      <c r="D1694" s="56" t="s">
        <v>4426</v>
      </c>
      <c r="E1694" s="56" t="s">
        <v>4635</v>
      </c>
      <c r="F1694" s="56" t="s">
        <v>4634</v>
      </c>
      <c r="G1694" s="58" t="s">
        <v>3551</v>
      </c>
      <c r="H1694" s="56">
        <v>1</v>
      </c>
      <c r="I1694" s="56" t="s">
        <v>3550</v>
      </c>
      <c r="J1694" s="56">
        <v>0</v>
      </c>
      <c r="K1694" s="56">
        <v>0</v>
      </c>
      <c r="P1694" s="56">
        <v>0</v>
      </c>
      <c r="S1694" s="56">
        <v>0</v>
      </c>
      <c r="T1694" s="56" t="s">
        <v>27</v>
      </c>
      <c r="V1694" s="56" t="s">
        <v>3549</v>
      </c>
      <c r="W1694" s="56" t="s">
        <v>3548</v>
      </c>
      <c r="X1694" s="56" t="s">
        <v>3547</v>
      </c>
      <c r="Z1694" s="56" t="s">
        <v>3546</v>
      </c>
      <c r="AA1694" s="56" t="s">
        <v>4633</v>
      </c>
      <c r="AB1694" s="56" t="s">
        <v>4632</v>
      </c>
      <c r="AC1694" s="56" t="s">
        <v>3543</v>
      </c>
      <c r="AH1694" s="56" t="s">
        <v>3542</v>
      </c>
      <c r="AI1694" s="56" t="s">
        <v>3541</v>
      </c>
    </row>
    <row r="1695" spans="1:35" ht="33" customHeight="1">
      <c r="A1695" s="56" t="s">
        <v>4636</v>
      </c>
      <c r="B1695" s="57">
        <v>44365.69771990741</v>
      </c>
      <c r="C1695" s="56" t="s">
        <v>3803</v>
      </c>
      <c r="D1695" s="56" t="s">
        <v>4426</v>
      </c>
      <c r="E1695" s="56" t="s">
        <v>4635</v>
      </c>
      <c r="F1695" s="56" t="s">
        <v>4634</v>
      </c>
      <c r="G1695" s="58" t="s">
        <v>1713</v>
      </c>
      <c r="H1695" s="56">
        <v>1</v>
      </c>
      <c r="I1695" s="56" t="s">
        <v>3568</v>
      </c>
      <c r="J1695" s="56">
        <v>0</v>
      </c>
      <c r="K1695" s="56">
        <v>0</v>
      </c>
      <c r="P1695" s="56">
        <v>0</v>
      </c>
      <c r="S1695" s="56">
        <v>0</v>
      </c>
      <c r="T1695" s="56" t="s">
        <v>27</v>
      </c>
      <c r="V1695" s="56" t="s">
        <v>3549</v>
      </c>
      <c r="W1695" s="56" t="s">
        <v>3548</v>
      </c>
      <c r="X1695" s="56" t="s">
        <v>3547</v>
      </c>
      <c r="Z1695" s="56" t="s">
        <v>3546</v>
      </c>
      <c r="AA1695" s="56" t="s">
        <v>4633</v>
      </c>
      <c r="AB1695" s="56" t="s">
        <v>4632</v>
      </c>
      <c r="AC1695" s="56" t="s">
        <v>3543</v>
      </c>
      <c r="AH1695" s="56" t="s">
        <v>3542</v>
      </c>
      <c r="AI1695" s="56" t="s">
        <v>3541</v>
      </c>
    </row>
    <row r="1696" spans="1:35" ht="33" customHeight="1">
      <c r="A1696" s="56" t="s">
        <v>4636</v>
      </c>
      <c r="B1696" s="57">
        <v>44365.69771990741</v>
      </c>
      <c r="C1696" s="56" t="s">
        <v>3803</v>
      </c>
      <c r="D1696" s="56" t="s">
        <v>4426</v>
      </c>
      <c r="E1696" s="56" t="s">
        <v>4635</v>
      </c>
      <c r="F1696" s="56" t="s">
        <v>4634</v>
      </c>
      <c r="G1696" s="58" t="s">
        <v>1498</v>
      </c>
      <c r="H1696" s="56">
        <v>1</v>
      </c>
      <c r="I1696" s="56" t="s">
        <v>4016</v>
      </c>
      <c r="J1696" s="56">
        <v>0</v>
      </c>
      <c r="K1696" s="56">
        <v>0</v>
      </c>
      <c r="P1696" s="56">
        <v>0</v>
      </c>
      <c r="S1696" s="56">
        <v>0</v>
      </c>
      <c r="T1696" s="56" t="s">
        <v>27</v>
      </c>
      <c r="V1696" s="56" t="s">
        <v>3549</v>
      </c>
      <c r="W1696" s="56" t="s">
        <v>3548</v>
      </c>
      <c r="X1696" s="56" t="s">
        <v>3547</v>
      </c>
      <c r="Z1696" s="56" t="s">
        <v>3546</v>
      </c>
      <c r="AA1696" s="56" t="s">
        <v>4633</v>
      </c>
      <c r="AB1696" s="56" t="s">
        <v>4632</v>
      </c>
      <c r="AC1696" s="56" t="s">
        <v>3543</v>
      </c>
      <c r="AH1696" s="56" t="s">
        <v>3542</v>
      </c>
      <c r="AI1696" s="56" t="s">
        <v>3541</v>
      </c>
    </row>
    <row r="1697" spans="1:35" ht="33" customHeight="1">
      <c r="A1697" s="56" t="s">
        <v>4631</v>
      </c>
      <c r="B1697" s="57">
        <v>44365.72965277778</v>
      </c>
      <c r="C1697" s="56" t="s">
        <v>3803</v>
      </c>
      <c r="D1697" s="56" t="s">
        <v>3802</v>
      </c>
      <c r="E1697" s="56" t="s">
        <v>4630</v>
      </c>
      <c r="F1697" s="56" t="s">
        <v>4629</v>
      </c>
      <c r="G1697" s="58" t="s">
        <v>3670</v>
      </c>
      <c r="H1697" s="56">
        <v>1</v>
      </c>
      <c r="I1697" s="56" t="s">
        <v>3669</v>
      </c>
      <c r="J1697" s="56">
        <v>897</v>
      </c>
      <c r="K1697" s="56">
        <v>888</v>
      </c>
      <c r="L1697" s="56">
        <v>1607</v>
      </c>
      <c r="M1697" s="56">
        <v>0</v>
      </c>
      <c r="N1697" s="56">
        <v>0</v>
      </c>
      <c r="O1697" s="56">
        <v>100</v>
      </c>
      <c r="P1697" s="56">
        <v>0</v>
      </c>
      <c r="Q1697" s="56">
        <v>1507</v>
      </c>
      <c r="R1697" s="56">
        <v>0</v>
      </c>
      <c r="S1697" s="56">
        <v>0</v>
      </c>
      <c r="T1697" s="56" t="s">
        <v>3562</v>
      </c>
      <c r="U1697" s="56">
        <v>1507</v>
      </c>
      <c r="V1697" s="56" t="s">
        <v>59</v>
      </c>
      <c r="W1697" s="56" t="s">
        <v>3548</v>
      </c>
      <c r="X1697" s="56" t="s">
        <v>39</v>
      </c>
      <c r="Y1697" s="56" t="s">
        <v>4628</v>
      </c>
      <c r="Z1697" s="56" t="s">
        <v>4627</v>
      </c>
      <c r="AC1697" s="56" t="s">
        <v>3543</v>
      </c>
      <c r="AD1697" s="56" t="s">
        <v>24</v>
      </c>
      <c r="AE1697" s="56" t="s">
        <v>4530</v>
      </c>
      <c r="AF1697" s="56" t="s">
        <v>4626</v>
      </c>
      <c r="AH1697" s="56" t="s">
        <v>3542</v>
      </c>
      <c r="AI1697" s="56" t="s">
        <v>3723</v>
      </c>
    </row>
    <row r="1698" spans="1:35" ht="33" customHeight="1">
      <c r="A1698" s="56" t="s">
        <v>4631</v>
      </c>
      <c r="B1698" s="57">
        <v>44365.72965277778</v>
      </c>
      <c r="C1698" s="56" t="s">
        <v>3803</v>
      </c>
      <c r="D1698" s="56" t="s">
        <v>3802</v>
      </c>
      <c r="E1698" s="56" t="s">
        <v>4630</v>
      </c>
      <c r="F1698" s="56" t="s">
        <v>4629</v>
      </c>
      <c r="G1698" s="58" t="s">
        <v>3593</v>
      </c>
      <c r="H1698" s="56">
        <v>1</v>
      </c>
      <c r="I1698" s="56" t="s">
        <v>3577</v>
      </c>
      <c r="J1698" s="56">
        <v>700</v>
      </c>
      <c r="K1698" s="56">
        <v>599</v>
      </c>
      <c r="P1698" s="56">
        <v>0</v>
      </c>
      <c r="S1698" s="56">
        <v>0</v>
      </c>
      <c r="T1698" s="56" t="s">
        <v>3562</v>
      </c>
      <c r="V1698" s="56" t="s">
        <v>59</v>
      </c>
      <c r="W1698" s="56" t="s">
        <v>3548</v>
      </c>
      <c r="X1698" s="56" t="s">
        <v>39</v>
      </c>
      <c r="Y1698" s="56" t="s">
        <v>4628</v>
      </c>
      <c r="Z1698" s="56" t="s">
        <v>4627</v>
      </c>
      <c r="AC1698" s="56" t="s">
        <v>3543</v>
      </c>
      <c r="AD1698" s="56" t="s">
        <v>24</v>
      </c>
      <c r="AE1698" s="56" t="s">
        <v>4530</v>
      </c>
      <c r="AF1698" s="56" t="s">
        <v>4626</v>
      </c>
      <c r="AH1698" s="56" t="s">
        <v>3542</v>
      </c>
      <c r="AI1698" s="56" t="s">
        <v>3723</v>
      </c>
    </row>
    <row r="1699" spans="1:35" ht="33" customHeight="1">
      <c r="A1699" s="56" t="s">
        <v>4631</v>
      </c>
      <c r="B1699" s="57">
        <v>44365.72965277778</v>
      </c>
      <c r="C1699" s="56" t="s">
        <v>3803</v>
      </c>
      <c r="D1699" s="56" t="s">
        <v>3802</v>
      </c>
      <c r="E1699" s="56" t="s">
        <v>4630</v>
      </c>
      <c r="F1699" s="56" t="s">
        <v>4629</v>
      </c>
      <c r="G1699" s="58" t="s">
        <v>3196</v>
      </c>
      <c r="H1699" s="56">
        <v>1</v>
      </c>
      <c r="I1699" s="56" t="s">
        <v>2550</v>
      </c>
      <c r="J1699" s="56">
        <v>120</v>
      </c>
      <c r="K1699" s="56">
        <v>120</v>
      </c>
      <c r="P1699" s="56">
        <v>0</v>
      </c>
      <c r="S1699" s="56">
        <v>0</v>
      </c>
      <c r="T1699" s="56" t="s">
        <v>3562</v>
      </c>
      <c r="V1699" s="56" t="s">
        <v>59</v>
      </c>
      <c r="W1699" s="56" t="s">
        <v>3548</v>
      </c>
      <c r="X1699" s="56" t="s">
        <v>39</v>
      </c>
      <c r="Y1699" s="56" t="s">
        <v>4628</v>
      </c>
      <c r="Z1699" s="56" t="s">
        <v>4627</v>
      </c>
      <c r="AC1699" s="56" t="s">
        <v>3543</v>
      </c>
      <c r="AD1699" s="56" t="s">
        <v>24</v>
      </c>
      <c r="AE1699" s="56" t="s">
        <v>4530</v>
      </c>
      <c r="AF1699" s="56" t="s">
        <v>4626</v>
      </c>
      <c r="AH1699" s="56" t="s">
        <v>3542</v>
      </c>
      <c r="AI1699" s="56" t="s">
        <v>3723</v>
      </c>
    </row>
    <row r="1700" spans="1:35" ht="33" customHeight="1">
      <c r="A1700" s="56" t="s">
        <v>4631</v>
      </c>
      <c r="B1700" s="57">
        <v>44365.72965277778</v>
      </c>
      <c r="C1700" s="56" t="s">
        <v>3803</v>
      </c>
      <c r="D1700" s="56" t="s">
        <v>3802</v>
      </c>
      <c r="E1700" s="56" t="s">
        <v>4630</v>
      </c>
      <c r="F1700" s="56" t="s">
        <v>4629</v>
      </c>
      <c r="G1700" s="58" t="s">
        <v>3551</v>
      </c>
      <c r="H1700" s="56">
        <v>1</v>
      </c>
      <c r="I1700" s="56" t="s">
        <v>3550</v>
      </c>
      <c r="J1700" s="56">
        <v>0</v>
      </c>
      <c r="K1700" s="56">
        <v>0</v>
      </c>
      <c r="P1700" s="56">
        <v>0</v>
      </c>
      <c r="S1700" s="56">
        <v>0</v>
      </c>
      <c r="T1700" s="56" t="s">
        <v>3562</v>
      </c>
      <c r="V1700" s="56" t="s">
        <v>59</v>
      </c>
      <c r="W1700" s="56" t="s">
        <v>3548</v>
      </c>
      <c r="X1700" s="56" t="s">
        <v>39</v>
      </c>
      <c r="Y1700" s="56" t="s">
        <v>4628</v>
      </c>
      <c r="Z1700" s="56" t="s">
        <v>4627</v>
      </c>
      <c r="AC1700" s="56" t="s">
        <v>3543</v>
      </c>
      <c r="AD1700" s="56" t="s">
        <v>24</v>
      </c>
      <c r="AE1700" s="56" t="s">
        <v>4530</v>
      </c>
      <c r="AF1700" s="56" t="s">
        <v>4626</v>
      </c>
      <c r="AH1700" s="56" t="s">
        <v>3542</v>
      </c>
      <c r="AI1700" s="56" t="s">
        <v>3723</v>
      </c>
    </row>
    <row r="1701" spans="1:35" ht="33" customHeight="1">
      <c r="A1701" s="56" t="s">
        <v>4631</v>
      </c>
      <c r="B1701" s="57">
        <v>44365.72965277778</v>
      </c>
      <c r="C1701" s="56" t="s">
        <v>3803</v>
      </c>
      <c r="D1701" s="56" t="s">
        <v>3802</v>
      </c>
      <c r="E1701" s="56" t="s">
        <v>4630</v>
      </c>
      <c r="F1701" s="56" t="s">
        <v>4629</v>
      </c>
      <c r="G1701" s="58" t="s">
        <v>1713</v>
      </c>
      <c r="H1701" s="56">
        <v>1</v>
      </c>
      <c r="I1701" s="56" t="s">
        <v>3568</v>
      </c>
      <c r="J1701" s="56">
        <v>0</v>
      </c>
      <c r="K1701" s="56">
        <v>0</v>
      </c>
      <c r="P1701" s="56">
        <v>0</v>
      </c>
      <c r="S1701" s="56">
        <v>0</v>
      </c>
      <c r="T1701" s="56" t="s">
        <v>3562</v>
      </c>
      <c r="V1701" s="56" t="s">
        <v>59</v>
      </c>
      <c r="W1701" s="56" t="s">
        <v>3548</v>
      </c>
      <c r="X1701" s="56" t="s">
        <v>39</v>
      </c>
      <c r="Y1701" s="56" t="s">
        <v>4628</v>
      </c>
      <c r="Z1701" s="56" t="s">
        <v>4627</v>
      </c>
      <c r="AC1701" s="56" t="s">
        <v>3543</v>
      </c>
      <c r="AD1701" s="56" t="s">
        <v>24</v>
      </c>
      <c r="AE1701" s="56" t="s">
        <v>4530</v>
      </c>
      <c r="AF1701" s="56" t="s">
        <v>4626</v>
      </c>
      <c r="AH1701" s="56" t="s">
        <v>3542</v>
      </c>
      <c r="AI1701" s="56" t="s">
        <v>3723</v>
      </c>
    </row>
    <row r="1702" spans="1:35" ht="33" customHeight="1">
      <c r="A1702" s="56" t="s">
        <v>4631</v>
      </c>
      <c r="B1702" s="57">
        <v>44365.72965277778</v>
      </c>
      <c r="C1702" s="56" t="s">
        <v>3803</v>
      </c>
      <c r="D1702" s="56" t="s">
        <v>3802</v>
      </c>
      <c r="E1702" s="56" t="s">
        <v>4630</v>
      </c>
      <c r="F1702" s="56" t="s">
        <v>4629</v>
      </c>
      <c r="G1702" s="58" t="s">
        <v>1498</v>
      </c>
      <c r="H1702" s="56">
        <v>1</v>
      </c>
      <c r="I1702" s="56" t="s">
        <v>4016</v>
      </c>
      <c r="J1702" s="56">
        <v>0</v>
      </c>
      <c r="K1702" s="56">
        <v>0</v>
      </c>
      <c r="P1702" s="56">
        <v>0</v>
      </c>
      <c r="S1702" s="56">
        <v>0</v>
      </c>
      <c r="T1702" s="56" t="s">
        <v>3562</v>
      </c>
      <c r="V1702" s="56" t="s">
        <v>59</v>
      </c>
      <c r="W1702" s="56" t="s">
        <v>3548</v>
      </c>
      <c r="X1702" s="56" t="s">
        <v>39</v>
      </c>
      <c r="Y1702" s="56" t="s">
        <v>4628</v>
      </c>
      <c r="Z1702" s="56" t="s">
        <v>4627</v>
      </c>
      <c r="AC1702" s="56" t="s">
        <v>3543</v>
      </c>
      <c r="AD1702" s="56" t="s">
        <v>24</v>
      </c>
      <c r="AE1702" s="56" t="s">
        <v>4530</v>
      </c>
      <c r="AF1702" s="56" t="s">
        <v>4626</v>
      </c>
      <c r="AH1702" s="56" t="s">
        <v>3542</v>
      </c>
      <c r="AI1702" s="56" t="s">
        <v>3723</v>
      </c>
    </row>
    <row r="1703" spans="1:35" ht="33" customHeight="1">
      <c r="A1703" s="56" t="s">
        <v>4625</v>
      </c>
      <c r="B1703" s="57">
        <v>44365.731886574074</v>
      </c>
      <c r="C1703" s="56" t="s">
        <v>3803</v>
      </c>
      <c r="D1703" s="56" t="s">
        <v>3802</v>
      </c>
      <c r="E1703" s="56" t="s">
        <v>4624</v>
      </c>
      <c r="F1703" s="56" t="s">
        <v>4623</v>
      </c>
      <c r="G1703" s="58" t="s">
        <v>3811</v>
      </c>
      <c r="H1703" s="56">
        <v>1</v>
      </c>
      <c r="I1703" s="56" t="s">
        <v>3669</v>
      </c>
      <c r="J1703" s="56">
        <v>897</v>
      </c>
      <c r="K1703" s="56">
        <v>888</v>
      </c>
      <c r="L1703" s="56">
        <v>1037</v>
      </c>
      <c r="M1703" s="56">
        <v>0</v>
      </c>
      <c r="N1703" s="56">
        <v>18</v>
      </c>
      <c r="O1703" s="56">
        <v>102</v>
      </c>
      <c r="P1703" s="56">
        <v>0</v>
      </c>
      <c r="Q1703" s="56">
        <v>917</v>
      </c>
      <c r="R1703" s="56">
        <v>0</v>
      </c>
      <c r="S1703" s="56">
        <v>0</v>
      </c>
      <c r="T1703" s="56" t="s">
        <v>3562</v>
      </c>
      <c r="U1703" s="56">
        <v>917</v>
      </c>
      <c r="V1703" s="56" t="s">
        <v>59</v>
      </c>
      <c r="W1703" s="56" t="s">
        <v>3548</v>
      </c>
      <c r="X1703" s="56" t="s">
        <v>39</v>
      </c>
      <c r="Y1703" s="56" t="s">
        <v>4187</v>
      </c>
      <c r="Z1703" s="56" t="s">
        <v>4622</v>
      </c>
      <c r="AC1703" s="56" t="s">
        <v>3543</v>
      </c>
      <c r="AD1703" s="56" t="s">
        <v>24</v>
      </c>
      <c r="AE1703" s="56" t="s">
        <v>4530</v>
      </c>
      <c r="AF1703" s="56" t="s">
        <v>4621</v>
      </c>
      <c r="AH1703" s="56" t="s">
        <v>3542</v>
      </c>
      <c r="AI1703" s="56" t="s">
        <v>3723</v>
      </c>
    </row>
    <row r="1704" spans="1:35" ht="33" customHeight="1">
      <c r="A1704" s="56" t="s">
        <v>4625</v>
      </c>
      <c r="B1704" s="57">
        <v>44365.731886574074</v>
      </c>
      <c r="C1704" s="56" t="s">
        <v>3803</v>
      </c>
      <c r="D1704" s="56" t="s">
        <v>3802</v>
      </c>
      <c r="E1704" s="56" t="s">
        <v>4624</v>
      </c>
      <c r="F1704" s="56" t="s">
        <v>4623</v>
      </c>
      <c r="G1704" s="58" t="s">
        <v>1713</v>
      </c>
      <c r="H1704" s="56">
        <v>1</v>
      </c>
      <c r="I1704" s="56" t="s">
        <v>3587</v>
      </c>
      <c r="J1704" s="56">
        <v>149</v>
      </c>
      <c r="K1704" s="56">
        <v>149</v>
      </c>
      <c r="P1704" s="56">
        <v>0</v>
      </c>
      <c r="S1704" s="56">
        <v>0</v>
      </c>
      <c r="T1704" s="56" t="s">
        <v>3562</v>
      </c>
      <c r="V1704" s="56" t="s">
        <v>59</v>
      </c>
      <c r="W1704" s="56" t="s">
        <v>3548</v>
      </c>
      <c r="X1704" s="56" t="s">
        <v>39</v>
      </c>
      <c r="Y1704" s="56" t="s">
        <v>4187</v>
      </c>
      <c r="Z1704" s="56" t="s">
        <v>4622</v>
      </c>
      <c r="AC1704" s="56" t="s">
        <v>3543</v>
      </c>
      <c r="AD1704" s="56" t="s">
        <v>24</v>
      </c>
      <c r="AE1704" s="56" t="s">
        <v>4530</v>
      </c>
      <c r="AF1704" s="56" t="s">
        <v>4621</v>
      </c>
      <c r="AH1704" s="56" t="s">
        <v>3542</v>
      </c>
      <c r="AI1704" s="56" t="s">
        <v>3723</v>
      </c>
    </row>
    <row r="1705" spans="1:35" ht="33" customHeight="1">
      <c r="A1705" s="56" t="s">
        <v>4625</v>
      </c>
      <c r="B1705" s="57">
        <v>44365.731886574074</v>
      </c>
      <c r="C1705" s="56" t="s">
        <v>3803</v>
      </c>
      <c r="D1705" s="56" t="s">
        <v>3802</v>
      </c>
      <c r="E1705" s="56" t="s">
        <v>4624</v>
      </c>
      <c r="F1705" s="56" t="s">
        <v>4623</v>
      </c>
      <c r="G1705" s="58" t="s">
        <v>3551</v>
      </c>
      <c r="H1705" s="56">
        <v>1</v>
      </c>
      <c r="I1705" s="56" t="s">
        <v>3550</v>
      </c>
      <c r="J1705" s="56">
        <v>0</v>
      </c>
      <c r="K1705" s="56">
        <v>0</v>
      </c>
      <c r="P1705" s="56">
        <v>0</v>
      </c>
      <c r="S1705" s="56">
        <v>0</v>
      </c>
      <c r="T1705" s="56" t="s">
        <v>3562</v>
      </c>
      <c r="V1705" s="56" t="s">
        <v>59</v>
      </c>
      <c r="W1705" s="56" t="s">
        <v>3548</v>
      </c>
      <c r="X1705" s="56" t="s">
        <v>39</v>
      </c>
      <c r="Y1705" s="56" t="s">
        <v>4187</v>
      </c>
      <c r="Z1705" s="56" t="s">
        <v>4622</v>
      </c>
      <c r="AC1705" s="56" t="s">
        <v>3543</v>
      </c>
      <c r="AD1705" s="56" t="s">
        <v>24</v>
      </c>
      <c r="AE1705" s="56" t="s">
        <v>4530</v>
      </c>
      <c r="AF1705" s="56" t="s">
        <v>4621</v>
      </c>
      <c r="AH1705" s="56" t="s">
        <v>3542</v>
      </c>
      <c r="AI1705" s="56" t="s">
        <v>3723</v>
      </c>
    </row>
    <row r="1706" spans="1:35" ht="33" customHeight="1">
      <c r="A1706" s="56" t="s">
        <v>4625</v>
      </c>
      <c r="B1706" s="57">
        <v>44365.731886574074</v>
      </c>
      <c r="C1706" s="56" t="s">
        <v>3803</v>
      </c>
      <c r="D1706" s="56" t="s">
        <v>3802</v>
      </c>
      <c r="E1706" s="56" t="s">
        <v>4624</v>
      </c>
      <c r="F1706" s="56" t="s">
        <v>4623</v>
      </c>
      <c r="G1706" s="58" t="s">
        <v>1498</v>
      </c>
      <c r="H1706" s="56">
        <v>1</v>
      </c>
      <c r="I1706" s="56" t="s">
        <v>4016</v>
      </c>
      <c r="J1706" s="56">
        <v>0</v>
      </c>
      <c r="K1706" s="56">
        <v>0</v>
      </c>
      <c r="P1706" s="56">
        <v>0</v>
      </c>
      <c r="S1706" s="56">
        <v>0</v>
      </c>
      <c r="T1706" s="56" t="s">
        <v>3562</v>
      </c>
      <c r="V1706" s="56" t="s">
        <v>59</v>
      </c>
      <c r="W1706" s="56" t="s">
        <v>3548</v>
      </c>
      <c r="X1706" s="56" t="s">
        <v>39</v>
      </c>
      <c r="Y1706" s="56" t="s">
        <v>4187</v>
      </c>
      <c r="Z1706" s="56" t="s">
        <v>4622</v>
      </c>
      <c r="AC1706" s="56" t="s">
        <v>3543</v>
      </c>
      <c r="AD1706" s="56" t="s">
        <v>24</v>
      </c>
      <c r="AE1706" s="56" t="s">
        <v>4530</v>
      </c>
      <c r="AF1706" s="56" t="s">
        <v>4621</v>
      </c>
      <c r="AH1706" s="56" t="s">
        <v>3542</v>
      </c>
      <c r="AI1706" s="56" t="s">
        <v>3723</v>
      </c>
    </row>
    <row r="1707" spans="1:35" ht="33" customHeight="1">
      <c r="A1707" s="56" t="s">
        <v>4620</v>
      </c>
      <c r="B1707" s="57">
        <v>44365.735462962963</v>
      </c>
      <c r="C1707" s="56" t="s">
        <v>3803</v>
      </c>
      <c r="D1707" s="56" t="s">
        <v>3802</v>
      </c>
      <c r="E1707" s="56" t="s">
        <v>4619</v>
      </c>
      <c r="F1707" s="56" t="s">
        <v>4618</v>
      </c>
      <c r="G1707" s="58" t="s">
        <v>3811</v>
      </c>
      <c r="H1707" s="56">
        <v>1</v>
      </c>
      <c r="I1707" s="56" t="s">
        <v>3669</v>
      </c>
      <c r="J1707" s="56">
        <v>897</v>
      </c>
      <c r="K1707" s="56">
        <v>888</v>
      </c>
      <c r="L1707" s="56">
        <v>1645</v>
      </c>
      <c r="M1707" s="56">
        <v>0</v>
      </c>
      <c r="N1707" s="56">
        <v>0</v>
      </c>
      <c r="O1707" s="56">
        <v>100</v>
      </c>
      <c r="P1707" s="56">
        <v>0</v>
      </c>
      <c r="Q1707" s="56">
        <v>1545</v>
      </c>
      <c r="R1707" s="56">
        <v>0</v>
      </c>
      <c r="S1707" s="56">
        <v>0</v>
      </c>
      <c r="T1707" s="56" t="s">
        <v>3562</v>
      </c>
      <c r="U1707" s="56">
        <v>1545</v>
      </c>
      <c r="V1707" s="56" t="s">
        <v>3561</v>
      </c>
      <c r="W1707" s="56" t="s">
        <v>3548</v>
      </c>
      <c r="X1707" s="56" t="s">
        <v>39</v>
      </c>
      <c r="Y1707" s="56" t="s">
        <v>4617</v>
      </c>
      <c r="Z1707" s="56" t="s">
        <v>4616</v>
      </c>
      <c r="AC1707" s="56" t="s">
        <v>3543</v>
      </c>
      <c r="AD1707" s="56" t="s">
        <v>24</v>
      </c>
      <c r="AE1707" s="56" t="s">
        <v>4530</v>
      </c>
      <c r="AF1707" s="56" t="s">
        <v>4615</v>
      </c>
      <c r="AH1707" s="56" t="s">
        <v>3542</v>
      </c>
      <c r="AI1707" s="56" t="s">
        <v>3723</v>
      </c>
    </row>
    <row r="1708" spans="1:35" ht="33" customHeight="1">
      <c r="A1708" s="56" t="s">
        <v>4620</v>
      </c>
      <c r="B1708" s="57">
        <v>44365.735462962963</v>
      </c>
      <c r="C1708" s="56" t="s">
        <v>3803</v>
      </c>
      <c r="D1708" s="56" t="s">
        <v>3802</v>
      </c>
      <c r="E1708" s="56" t="s">
        <v>4619</v>
      </c>
      <c r="F1708" s="56" t="s">
        <v>4618</v>
      </c>
      <c r="G1708" s="58" t="s">
        <v>3955</v>
      </c>
      <c r="H1708" s="56">
        <v>1</v>
      </c>
      <c r="I1708" s="56" t="s">
        <v>3954</v>
      </c>
      <c r="J1708" s="56">
        <v>499</v>
      </c>
      <c r="K1708" s="56">
        <v>480</v>
      </c>
      <c r="P1708" s="56">
        <v>0</v>
      </c>
      <c r="S1708" s="56">
        <v>0</v>
      </c>
      <c r="T1708" s="56" t="s">
        <v>3562</v>
      </c>
      <c r="V1708" s="56" t="s">
        <v>3561</v>
      </c>
      <c r="W1708" s="56" t="s">
        <v>3548</v>
      </c>
      <c r="X1708" s="56" t="s">
        <v>39</v>
      </c>
      <c r="Y1708" s="56" t="s">
        <v>4617</v>
      </c>
      <c r="Z1708" s="56" t="s">
        <v>4616</v>
      </c>
      <c r="AC1708" s="56" t="s">
        <v>3543</v>
      </c>
      <c r="AD1708" s="56" t="s">
        <v>24</v>
      </c>
      <c r="AE1708" s="56" t="s">
        <v>4530</v>
      </c>
      <c r="AF1708" s="56" t="s">
        <v>4615</v>
      </c>
      <c r="AH1708" s="56" t="s">
        <v>3542</v>
      </c>
      <c r="AI1708" s="56" t="s">
        <v>3723</v>
      </c>
    </row>
    <row r="1709" spans="1:35" ht="33" customHeight="1">
      <c r="A1709" s="56" t="s">
        <v>4620</v>
      </c>
      <c r="B1709" s="57">
        <v>44365.735462962963</v>
      </c>
      <c r="C1709" s="56" t="s">
        <v>3803</v>
      </c>
      <c r="D1709" s="56" t="s">
        <v>3802</v>
      </c>
      <c r="E1709" s="56" t="s">
        <v>4619</v>
      </c>
      <c r="F1709" s="56" t="s">
        <v>4618</v>
      </c>
      <c r="G1709" s="58" t="s">
        <v>1493</v>
      </c>
      <c r="H1709" s="56">
        <v>1</v>
      </c>
      <c r="I1709" s="56" t="s">
        <v>3586</v>
      </c>
      <c r="J1709" s="56">
        <v>149</v>
      </c>
      <c r="K1709" s="56">
        <v>149</v>
      </c>
      <c r="P1709" s="56">
        <v>0</v>
      </c>
      <c r="S1709" s="56">
        <v>0</v>
      </c>
      <c r="T1709" s="56" t="s">
        <v>3562</v>
      </c>
      <c r="V1709" s="56" t="s">
        <v>3561</v>
      </c>
      <c r="W1709" s="56" t="s">
        <v>3548</v>
      </c>
      <c r="X1709" s="56" t="s">
        <v>39</v>
      </c>
      <c r="Y1709" s="56" t="s">
        <v>4617</v>
      </c>
      <c r="Z1709" s="56" t="s">
        <v>4616</v>
      </c>
      <c r="AC1709" s="56" t="s">
        <v>3543</v>
      </c>
      <c r="AD1709" s="56" t="s">
        <v>24</v>
      </c>
      <c r="AE1709" s="56" t="s">
        <v>4530</v>
      </c>
      <c r="AF1709" s="56" t="s">
        <v>4615</v>
      </c>
      <c r="AH1709" s="56" t="s">
        <v>3542</v>
      </c>
      <c r="AI1709" s="56" t="s">
        <v>3723</v>
      </c>
    </row>
    <row r="1710" spans="1:35" ht="33" customHeight="1">
      <c r="A1710" s="56" t="s">
        <v>4620</v>
      </c>
      <c r="B1710" s="57">
        <v>44365.735462962963</v>
      </c>
      <c r="C1710" s="56" t="s">
        <v>3803</v>
      </c>
      <c r="D1710" s="56" t="s">
        <v>3802</v>
      </c>
      <c r="E1710" s="56" t="s">
        <v>4619</v>
      </c>
      <c r="F1710" s="56" t="s">
        <v>4618</v>
      </c>
      <c r="G1710" s="58" t="s">
        <v>2165</v>
      </c>
      <c r="H1710" s="56">
        <v>1</v>
      </c>
      <c r="I1710" s="56" t="s">
        <v>3694</v>
      </c>
      <c r="J1710" s="56">
        <v>128</v>
      </c>
      <c r="K1710" s="56">
        <v>128</v>
      </c>
      <c r="P1710" s="56">
        <v>0</v>
      </c>
      <c r="S1710" s="56">
        <v>0</v>
      </c>
      <c r="T1710" s="56" t="s">
        <v>3562</v>
      </c>
      <c r="V1710" s="56" t="s">
        <v>3561</v>
      </c>
      <c r="W1710" s="56" t="s">
        <v>3548</v>
      </c>
      <c r="X1710" s="56" t="s">
        <v>39</v>
      </c>
      <c r="Y1710" s="56" t="s">
        <v>4617</v>
      </c>
      <c r="Z1710" s="56" t="s">
        <v>4616</v>
      </c>
      <c r="AC1710" s="56" t="s">
        <v>3543</v>
      </c>
      <c r="AD1710" s="56" t="s">
        <v>24</v>
      </c>
      <c r="AE1710" s="56" t="s">
        <v>4530</v>
      </c>
      <c r="AF1710" s="56" t="s">
        <v>4615</v>
      </c>
      <c r="AH1710" s="56" t="s">
        <v>3542</v>
      </c>
      <c r="AI1710" s="56" t="s">
        <v>3723</v>
      </c>
    </row>
    <row r="1711" spans="1:35" ht="33" customHeight="1">
      <c r="A1711" s="56" t="s">
        <v>4620</v>
      </c>
      <c r="B1711" s="57">
        <v>44365.735462962963</v>
      </c>
      <c r="C1711" s="56" t="s">
        <v>3803</v>
      </c>
      <c r="D1711" s="56" t="s">
        <v>3802</v>
      </c>
      <c r="E1711" s="56" t="s">
        <v>4619</v>
      </c>
      <c r="F1711" s="56" t="s">
        <v>4618</v>
      </c>
      <c r="G1711" s="58" t="s">
        <v>3551</v>
      </c>
      <c r="H1711" s="56">
        <v>1</v>
      </c>
      <c r="I1711" s="56" t="s">
        <v>3550</v>
      </c>
      <c r="J1711" s="56">
        <v>0</v>
      </c>
      <c r="K1711" s="56">
        <v>0</v>
      </c>
      <c r="P1711" s="56">
        <v>0</v>
      </c>
      <c r="S1711" s="56">
        <v>0</v>
      </c>
      <c r="T1711" s="56" t="s">
        <v>3562</v>
      </c>
      <c r="V1711" s="56" t="s">
        <v>3561</v>
      </c>
      <c r="W1711" s="56" t="s">
        <v>3548</v>
      </c>
      <c r="X1711" s="56" t="s">
        <v>39</v>
      </c>
      <c r="Y1711" s="56" t="s">
        <v>4617</v>
      </c>
      <c r="Z1711" s="56" t="s">
        <v>4616</v>
      </c>
      <c r="AC1711" s="56" t="s">
        <v>3543</v>
      </c>
      <c r="AD1711" s="56" t="s">
        <v>24</v>
      </c>
      <c r="AE1711" s="56" t="s">
        <v>4530</v>
      </c>
      <c r="AF1711" s="56" t="s">
        <v>4615</v>
      </c>
      <c r="AH1711" s="56" t="s">
        <v>3542</v>
      </c>
      <c r="AI1711" s="56" t="s">
        <v>3723</v>
      </c>
    </row>
    <row r="1712" spans="1:35" ht="33" customHeight="1">
      <c r="A1712" s="56" t="s">
        <v>4620</v>
      </c>
      <c r="B1712" s="57">
        <v>44365.735462962963</v>
      </c>
      <c r="C1712" s="56" t="s">
        <v>3803</v>
      </c>
      <c r="D1712" s="56" t="s">
        <v>3802</v>
      </c>
      <c r="E1712" s="56" t="s">
        <v>4619</v>
      </c>
      <c r="F1712" s="56" t="s">
        <v>4618</v>
      </c>
      <c r="G1712" s="58" t="s">
        <v>1713</v>
      </c>
      <c r="H1712" s="56">
        <v>1</v>
      </c>
      <c r="I1712" s="56" t="s">
        <v>3568</v>
      </c>
      <c r="J1712" s="56">
        <v>0</v>
      </c>
      <c r="K1712" s="56">
        <v>0</v>
      </c>
      <c r="P1712" s="56">
        <v>0</v>
      </c>
      <c r="S1712" s="56">
        <v>0</v>
      </c>
      <c r="T1712" s="56" t="s">
        <v>3562</v>
      </c>
      <c r="V1712" s="56" t="s">
        <v>3561</v>
      </c>
      <c r="W1712" s="56" t="s">
        <v>3548</v>
      </c>
      <c r="X1712" s="56" t="s">
        <v>39</v>
      </c>
      <c r="Y1712" s="56" t="s">
        <v>4617</v>
      </c>
      <c r="Z1712" s="56" t="s">
        <v>4616</v>
      </c>
      <c r="AC1712" s="56" t="s">
        <v>3543</v>
      </c>
      <c r="AD1712" s="56" t="s">
        <v>24</v>
      </c>
      <c r="AE1712" s="56" t="s">
        <v>4530</v>
      </c>
      <c r="AF1712" s="56" t="s">
        <v>4615</v>
      </c>
      <c r="AH1712" s="56" t="s">
        <v>3542</v>
      </c>
      <c r="AI1712" s="56" t="s">
        <v>3723</v>
      </c>
    </row>
    <row r="1713" spans="1:35" ht="33" customHeight="1">
      <c r="A1713" s="56" t="s">
        <v>4620</v>
      </c>
      <c r="B1713" s="57">
        <v>44365.735462962963</v>
      </c>
      <c r="C1713" s="56" t="s">
        <v>3803</v>
      </c>
      <c r="D1713" s="56" t="s">
        <v>3802</v>
      </c>
      <c r="E1713" s="56" t="s">
        <v>4619</v>
      </c>
      <c r="F1713" s="56" t="s">
        <v>4618</v>
      </c>
      <c r="G1713" s="58" t="s">
        <v>1498</v>
      </c>
      <c r="H1713" s="56">
        <v>1</v>
      </c>
      <c r="I1713" s="56" t="s">
        <v>4016</v>
      </c>
      <c r="J1713" s="56">
        <v>0</v>
      </c>
      <c r="K1713" s="56">
        <v>0</v>
      </c>
      <c r="P1713" s="56">
        <v>0</v>
      </c>
      <c r="S1713" s="56">
        <v>0</v>
      </c>
      <c r="T1713" s="56" t="s">
        <v>3562</v>
      </c>
      <c r="V1713" s="56" t="s">
        <v>3561</v>
      </c>
      <c r="W1713" s="56" t="s">
        <v>3548</v>
      </c>
      <c r="X1713" s="56" t="s">
        <v>39</v>
      </c>
      <c r="Y1713" s="56" t="s">
        <v>4617</v>
      </c>
      <c r="Z1713" s="56" t="s">
        <v>4616</v>
      </c>
      <c r="AC1713" s="56" t="s">
        <v>3543</v>
      </c>
      <c r="AD1713" s="56" t="s">
        <v>24</v>
      </c>
      <c r="AE1713" s="56" t="s">
        <v>4530</v>
      </c>
      <c r="AF1713" s="56" t="s">
        <v>4615</v>
      </c>
      <c r="AH1713" s="56" t="s">
        <v>3542</v>
      </c>
      <c r="AI1713" s="56" t="s">
        <v>3723</v>
      </c>
    </row>
    <row r="1714" spans="1:35" ht="33" customHeight="1">
      <c r="A1714" s="56" t="s">
        <v>4614</v>
      </c>
      <c r="B1714" s="57">
        <v>44365.760694444441</v>
      </c>
      <c r="C1714" s="56" t="s">
        <v>3803</v>
      </c>
      <c r="D1714" s="56" t="s">
        <v>3802</v>
      </c>
      <c r="E1714" s="56" t="s">
        <v>4613</v>
      </c>
      <c r="F1714" s="56" t="s">
        <v>4612</v>
      </c>
      <c r="G1714" s="58" t="s">
        <v>1493</v>
      </c>
      <c r="H1714" s="56">
        <v>2</v>
      </c>
      <c r="I1714" s="56" t="s">
        <v>3586</v>
      </c>
      <c r="J1714" s="56">
        <v>149</v>
      </c>
      <c r="K1714" s="56">
        <v>149</v>
      </c>
      <c r="L1714" s="56">
        <v>1724</v>
      </c>
      <c r="M1714" s="56">
        <v>0</v>
      </c>
      <c r="N1714" s="56">
        <v>0</v>
      </c>
      <c r="O1714" s="56">
        <v>100</v>
      </c>
      <c r="P1714" s="56">
        <v>0</v>
      </c>
      <c r="Q1714" s="56">
        <v>1624</v>
      </c>
      <c r="R1714" s="56">
        <v>0</v>
      </c>
      <c r="S1714" s="56">
        <v>0</v>
      </c>
      <c r="T1714" s="56" t="s">
        <v>3562</v>
      </c>
      <c r="U1714" s="56">
        <v>1624</v>
      </c>
      <c r="V1714" s="56" t="s">
        <v>59</v>
      </c>
      <c r="W1714" s="56" t="s">
        <v>3548</v>
      </c>
      <c r="X1714" s="56" t="s">
        <v>39</v>
      </c>
      <c r="Y1714" s="56" t="s">
        <v>3727</v>
      </c>
      <c r="Z1714" s="56" t="s">
        <v>4611</v>
      </c>
      <c r="AC1714" s="56" t="s">
        <v>3623</v>
      </c>
      <c r="AD1714" s="56" t="s">
        <v>24</v>
      </c>
      <c r="AE1714" s="56" t="s">
        <v>4530</v>
      </c>
      <c r="AF1714" s="56" t="s">
        <v>4610</v>
      </c>
      <c r="AG1714" s="56" t="s">
        <v>4609</v>
      </c>
      <c r="AH1714" s="56" t="s">
        <v>3621</v>
      </c>
      <c r="AI1714" s="56" t="s">
        <v>3723</v>
      </c>
    </row>
    <row r="1715" spans="1:35" ht="33" customHeight="1">
      <c r="A1715" s="56" t="s">
        <v>4614</v>
      </c>
      <c r="B1715" s="57">
        <v>44365.760694444441</v>
      </c>
      <c r="C1715" s="56" t="s">
        <v>3803</v>
      </c>
      <c r="D1715" s="56" t="s">
        <v>3802</v>
      </c>
      <c r="E1715" s="56" t="s">
        <v>4613</v>
      </c>
      <c r="F1715" s="56" t="s">
        <v>4612</v>
      </c>
      <c r="G1715" s="58" t="s">
        <v>3196</v>
      </c>
      <c r="H1715" s="56">
        <v>2</v>
      </c>
      <c r="I1715" s="56" t="s">
        <v>2550</v>
      </c>
      <c r="J1715" s="56">
        <v>120</v>
      </c>
      <c r="K1715" s="56">
        <v>120</v>
      </c>
      <c r="P1715" s="56">
        <v>0</v>
      </c>
      <c r="S1715" s="56">
        <v>0</v>
      </c>
      <c r="T1715" s="56" t="s">
        <v>3562</v>
      </c>
      <c r="V1715" s="56" t="s">
        <v>59</v>
      </c>
      <c r="W1715" s="56" t="s">
        <v>3548</v>
      </c>
      <c r="X1715" s="56" t="s">
        <v>39</v>
      </c>
      <c r="Y1715" s="56" t="s">
        <v>3727</v>
      </c>
      <c r="Z1715" s="56" t="s">
        <v>4611</v>
      </c>
      <c r="AC1715" s="56" t="s">
        <v>3623</v>
      </c>
      <c r="AD1715" s="56" t="s">
        <v>24</v>
      </c>
      <c r="AE1715" s="56" t="s">
        <v>4530</v>
      </c>
      <c r="AF1715" s="56" t="s">
        <v>4610</v>
      </c>
      <c r="AG1715" s="56" t="s">
        <v>4609</v>
      </c>
      <c r="AH1715" s="56" t="s">
        <v>3621</v>
      </c>
      <c r="AI1715" s="56" t="s">
        <v>3723</v>
      </c>
    </row>
    <row r="1716" spans="1:35" ht="33" customHeight="1">
      <c r="A1716" s="56" t="s">
        <v>4614</v>
      </c>
      <c r="B1716" s="57">
        <v>44365.760694444441</v>
      </c>
      <c r="C1716" s="56" t="s">
        <v>3803</v>
      </c>
      <c r="D1716" s="56" t="s">
        <v>3802</v>
      </c>
      <c r="E1716" s="56" t="s">
        <v>4613</v>
      </c>
      <c r="F1716" s="56" t="s">
        <v>4612</v>
      </c>
      <c r="G1716" s="58" t="s">
        <v>3811</v>
      </c>
      <c r="H1716" s="56">
        <v>1</v>
      </c>
      <c r="I1716" s="56" t="s">
        <v>3669</v>
      </c>
      <c r="J1716" s="56">
        <v>897</v>
      </c>
      <c r="K1716" s="56">
        <v>888</v>
      </c>
      <c r="P1716" s="56">
        <v>0</v>
      </c>
      <c r="S1716" s="56">
        <v>0</v>
      </c>
      <c r="T1716" s="56" t="s">
        <v>3562</v>
      </c>
      <c r="V1716" s="56" t="s">
        <v>59</v>
      </c>
      <c r="W1716" s="56" t="s">
        <v>3548</v>
      </c>
      <c r="X1716" s="56" t="s">
        <v>39</v>
      </c>
      <c r="Y1716" s="56" t="s">
        <v>3727</v>
      </c>
      <c r="Z1716" s="56" t="s">
        <v>4611</v>
      </c>
      <c r="AC1716" s="56" t="s">
        <v>3623</v>
      </c>
      <c r="AD1716" s="56" t="s">
        <v>24</v>
      </c>
      <c r="AE1716" s="56" t="s">
        <v>4530</v>
      </c>
      <c r="AF1716" s="56" t="s">
        <v>4610</v>
      </c>
      <c r="AG1716" s="56" t="s">
        <v>4609</v>
      </c>
      <c r="AH1716" s="56" t="s">
        <v>3621</v>
      </c>
      <c r="AI1716" s="56" t="s">
        <v>3723</v>
      </c>
    </row>
    <row r="1717" spans="1:35" ht="33" customHeight="1">
      <c r="A1717" s="56" t="s">
        <v>4614</v>
      </c>
      <c r="B1717" s="57">
        <v>44365.760694444441</v>
      </c>
      <c r="C1717" s="56" t="s">
        <v>3803</v>
      </c>
      <c r="D1717" s="56" t="s">
        <v>3802</v>
      </c>
      <c r="E1717" s="56" t="s">
        <v>4613</v>
      </c>
      <c r="F1717" s="56" t="s">
        <v>4612</v>
      </c>
      <c r="G1717" s="58" t="s">
        <v>3187</v>
      </c>
      <c r="H1717" s="56">
        <v>2</v>
      </c>
      <c r="I1717" s="56" t="s">
        <v>3761</v>
      </c>
      <c r="J1717" s="56">
        <v>149</v>
      </c>
      <c r="K1717" s="56">
        <v>149</v>
      </c>
      <c r="P1717" s="56">
        <v>0</v>
      </c>
      <c r="S1717" s="56">
        <v>0</v>
      </c>
      <c r="T1717" s="56" t="s">
        <v>3562</v>
      </c>
      <c r="V1717" s="56" t="s">
        <v>59</v>
      </c>
      <c r="W1717" s="56" t="s">
        <v>3548</v>
      </c>
      <c r="X1717" s="56" t="s">
        <v>39</v>
      </c>
      <c r="Y1717" s="56" t="s">
        <v>3727</v>
      </c>
      <c r="Z1717" s="56" t="s">
        <v>4611</v>
      </c>
      <c r="AC1717" s="56" t="s">
        <v>3623</v>
      </c>
      <c r="AD1717" s="56" t="s">
        <v>24</v>
      </c>
      <c r="AE1717" s="56" t="s">
        <v>4530</v>
      </c>
      <c r="AF1717" s="56" t="s">
        <v>4610</v>
      </c>
      <c r="AG1717" s="56" t="s">
        <v>4609</v>
      </c>
      <c r="AH1717" s="56" t="s">
        <v>3621</v>
      </c>
      <c r="AI1717" s="56" t="s">
        <v>3723</v>
      </c>
    </row>
    <row r="1718" spans="1:35" ht="33" customHeight="1">
      <c r="A1718" s="56" t="s">
        <v>4614</v>
      </c>
      <c r="B1718" s="57">
        <v>44365.760694444441</v>
      </c>
      <c r="C1718" s="56" t="s">
        <v>3803</v>
      </c>
      <c r="D1718" s="56" t="s">
        <v>3802</v>
      </c>
      <c r="E1718" s="56" t="s">
        <v>4613</v>
      </c>
      <c r="F1718" s="56" t="s">
        <v>4612</v>
      </c>
      <c r="G1718" s="58" t="s">
        <v>3551</v>
      </c>
      <c r="H1718" s="56">
        <v>1</v>
      </c>
      <c r="I1718" s="56" t="s">
        <v>3550</v>
      </c>
      <c r="J1718" s="56">
        <v>0</v>
      </c>
      <c r="K1718" s="56">
        <v>0</v>
      </c>
      <c r="P1718" s="56">
        <v>0</v>
      </c>
      <c r="S1718" s="56">
        <v>0</v>
      </c>
      <c r="T1718" s="56" t="s">
        <v>3562</v>
      </c>
      <c r="V1718" s="56" t="s">
        <v>59</v>
      </c>
      <c r="W1718" s="56" t="s">
        <v>3548</v>
      </c>
      <c r="X1718" s="56" t="s">
        <v>39</v>
      </c>
      <c r="Y1718" s="56" t="s">
        <v>3727</v>
      </c>
      <c r="Z1718" s="56" t="s">
        <v>4611</v>
      </c>
      <c r="AC1718" s="56" t="s">
        <v>3623</v>
      </c>
      <c r="AD1718" s="56" t="s">
        <v>24</v>
      </c>
      <c r="AE1718" s="56" t="s">
        <v>4530</v>
      </c>
      <c r="AF1718" s="56" t="s">
        <v>4610</v>
      </c>
      <c r="AG1718" s="56" t="s">
        <v>4609</v>
      </c>
      <c r="AH1718" s="56" t="s">
        <v>3621</v>
      </c>
      <c r="AI1718" s="56" t="s">
        <v>3723</v>
      </c>
    </row>
    <row r="1719" spans="1:35" ht="33" customHeight="1">
      <c r="A1719" s="56" t="s">
        <v>4614</v>
      </c>
      <c r="B1719" s="57">
        <v>44365.760694444441</v>
      </c>
      <c r="C1719" s="56" t="s">
        <v>3803</v>
      </c>
      <c r="D1719" s="56" t="s">
        <v>3802</v>
      </c>
      <c r="E1719" s="56" t="s">
        <v>4613</v>
      </c>
      <c r="F1719" s="56" t="s">
        <v>4612</v>
      </c>
      <c r="G1719" s="58" t="s">
        <v>1713</v>
      </c>
      <c r="H1719" s="56">
        <v>1</v>
      </c>
      <c r="I1719" s="56" t="s">
        <v>3568</v>
      </c>
      <c r="J1719" s="56">
        <v>0</v>
      </c>
      <c r="K1719" s="56">
        <v>0</v>
      </c>
      <c r="P1719" s="56">
        <v>0</v>
      </c>
      <c r="S1719" s="56">
        <v>0</v>
      </c>
      <c r="T1719" s="56" t="s">
        <v>3562</v>
      </c>
      <c r="V1719" s="56" t="s">
        <v>59</v>
      </c>
      <c r="W1719" s="56" t="s">
        <v>3548</v>
      </c>
      <c r="X1719" s="56" t="s">
        <v>39</v>
      </c>
      <c r="Y1719" s="56" t="s">
        <v>3727</v>
      </c>
      <c r="Z1719" s="56" t="s">
        <v>4611</v>
      </c>
      <c r="AC1719" s="56" t="s">
        <v>3623</v>
      </c>
      <c r="AD1719" s="56" t="s">
        <v>24</v>
      </c>
      <c r="AE1719" s="56" t="s">
        <v>4530</v>
      </c>
      <c r="AF1719" s="56" t="s">
        <v>4610</v>
      </c>
      <c r="AG1719" s="56" t="s">
        <v>4609</v>
      </c>
      <c r="AH1719" s="56" t="s">
        <v>3621</v>
      </c>
      <c r="AI1719" s="56" t="s">
        <v>3723</v>
      </c>
    </row>
    <row r="1720" spans="1:35" ht="33" customHeight="1">
      <c r="A1720" s="56" t="s">
        <v>4614</v>
      </c>
      <c r="B1720" s="57">
        <v>44365.760694444441</v>
      </c>
      <c r="C1720" s="56" t="s">
        <v>3803</v>
      </c>
      <c r="D1720" s="56" t="s">
        <v>3802</v>
      </c>
      <c r="E1720" s="56" t="s">
        <v>4613</v>
      </c>
      <c r="F1720" s="56" t="s">
        <v>4612</v>
      </c>
      <c r="G1720" s="58" t="s">
        <v>1498</v>
      </c>
      <c r="H1720" s="56">
        <v>1</v>
      </c>
      <c r="I1720" s="56" t="s">
        <v>4016</v>
      </c>
      <c r="J1720" s="56">
        <v>0</v>
      </c>
      <c r="K1720" s="56">
        <v>0</v>
      </c>
      <c r="P1720" s="56">
        <v>0</v>
      </c>
      <c r="S1720" s="56">
        <v>0</v>
      </c>
      <c r="T1720" s="56" t="s">
        <v>3562</v>
      </c>
      <c r="V1720" s="56" t="s">
        <v>59</v>
      </c>
      <c r="W1720" s="56" t="s">
        <v>3548</v>
      </c>
      <c r="X1720" s="56" t="s">
        <v>39</v>
      </c>
      <c r="Y1720" s="56" t="s">
        <v>3727</v>
      </c>
      <c r="Z1720" s="56" t="s">
        <v>4611</v>
      </c>
      <c r="AC1720" s="56" t="s">
        <v>3623</v>
      </c>
      <c r="AD1720" s="56" t="s">
        <v>24</v>
      </c>
      <c r="AE1720" s="56" t="s">
        <v>4530</v>
      </c>
      <c r="AF1720" s="56" t="s">
        <v>4610</v>
      </c>
      <c r="AG1720" s="56" t="s">
        <v>4609</v>
      </c>
      <c r="AH1720" s="56" t="s">
        <v>3621</v>
      </c>
      <c r="AI1720" s="56" t="s">
        <v>3723</v>
      </c>
    </row>
    <row r="1721" spans="1:35" ht="33" customHeight="1">
      <c r="A1721" s="56" t="s">
        <v>4607</v>
      </c>
      <c r="B1721" s="57">
        <v>44365.870821759258</v>
      </c>
      <c r="C1721" s="56" t="s">
        <v>4512</v>
      </c>
      <c r="D1721" s="56" t="s">
        <v>4511</v>
      </c>
      <c r="E1721" s="56" t="s">
        <v>3641</v>
      </c>
      <c r="F1721" s="56" t="s">
        <v>3640</v>
      </c>
      <c r="G1721" s="58" t="s">
        <v>3580</v>
      </c>
      <c r="H1721" s="56">
        <v>1</v>
      </c>
      <c r="I1721" s="56" t="s">
        <v>3579</v>
      </c>
      <c r="J1721" s="56">
        <v>336</v>
      </c>
      <c r="K1721" s="56">
        <v>320</v>
      </c>
      <c r="L1721" s="56">
        <v>1357</v>
      </c>
      <c r="M1721" s="56">
        <v>0</v>
      </c>
      <c r="N1721" s="56">
        <v>0</v>
      </c>
      <c r="O1721" s="56">
        <v>100</v>
      </c>
      <c r="P1721" s="56">
        <v>0</v>
      </c>
      <c r="Q1721" s="56">
        <v>1257</v>
      </c>
      <c r="R1721" s="56">
        <v>0</v>
      </c>
      <c r="S1721" s="56">
        <v>0</v>
      </c>
      <c r="T1721" s="56" t="s">
        <v>3562</v>
      </c>
      <c r="U1721" s="56">
        <v>1257</v>
      </c>
      <c r="V1721" s="56" t="s">
        <v>3612</v>
      </c>
      <c r="W1721" s="56" t="s">
        <v>3548</v>
      </c>
      <c r="X1721" s="56" t="s">
        <v>3611</v>
      </c>
      <c r="Z1721" s="56" t="s">
        <v>3546</v>
      </c>
      <c r="AA1721" s="56" t="s">
        <v>3639</v>
      </c>
      <c r="AB1721" s="56" t="s">
        <v>3638</v>
      </c>
      <c r="AC1721" s="56" t="s">
        <v>3543</v>
      </c>
      <c r="AD1721" s="56" t="s">
        <v>24</v>
      </c>
      <c r="AE1721" s="56" t="s">
        <v>3862</v>
      </c>
      <c r="AF1721" s="56" t="s">
        <v>4606</v>
      </c>
      <c r="AH1721" s="56" t="s">
        <v>3542</v>
      </c>
      <c r="AI1721" s="56" t="s">
        <v>3723</v>
      </c>
    </row>
    <row r="1722" spans="1:35" ht="33" customHeight="1">
      <c r="A1722" s="56" t="s">
        <v>4607</v>
      </c>
      <c r="B1722" s="57">
        <v>44365.870821759258</v>
      </c>
      <c r="C1722" s="56" t="s">
        <v>4512</v>
      </c>
      <c r="D1722" s="56" t="s">
        <v>4511</v>
      </c>
      <c r="E1722" s="56" t="s">
        <v>3641</v>
      </c>
      <c r="F1722" s="56" t="s">
        <v>3640</v>
      </c>
      <c r="G1722" s="58" t="s">
        <v>1713</v>
      </c>
      <c r="H1722" s="56">
        <v>1</v>
      </c>
      <c r="I1722" s="56" t="s">
        <v>3587</v>
      </c>
      <c r="J1722" s="56">
        <v>149</v>
      </c>
      <c r="K1722" s="56">
        <v>149</v>
      </c>
      <c r="P1722" s="56">
        <v>0</v>
      </c>
      <c r="S1722" s="56">
        <v>0</v>
      </c>
      <c r="T1722" s="56" t="s">
        <v>3562</v>
      </c>
      <c r="V1722" s="56" t="s">
        <v>3612</v>
      </c>
      <c r="W1722" s="56" t="s">
        <v>3548</v>
      </c>
      <c r="X1722" s="56" t="s">
        <v>3611</v>
      </c>
      <c r="Z1722" s="56" t="s">
        <v>3546</v>
      </c>
      <c r="AA1722" s="56" t="s">
        <v>3639</v>
      </c>
      <c r="AB1722" s="56" t="s">
        <v>3638</v>
      </c>
      <c r="AC1722" s="56" t="s">
        <v>3543</v>
      </c>
      <c r="AD1722" s="56" t="s">
        <v>24</v>
      </c>
      <c r="AE1722" s="56" t="s">
        <v>3862</v>
      </c>
      <c r="AF1722" s="56" t="s">
        <v>4606</v>
      </c>
      <c r="AH1722" s="56" t="s">
        <v>3542</v>
      </c>
      <c r="AI1722" s="56" t="s">
        <v>3723</v>
      </c>
    </row>
    <row r="1723" spans="1:35" ht="33" customHeight="1">
      <c r="A1723" s="56" t="s">
        <v>4607</v>
      </c>
      <c r="B1723" s="57">
        <v>44365.870821759258</v>
      </c>
      <c r="C1723" s="56" t="s">
        <v>4512</v>
      </c>
      <c r="D1723" s="56" t="s">
        <v>4511</v>
      </c>
      <c r="E1723" s="56" t="s">
        <v>3641</v>
      </c>
      <c r="F1723" s="56" t="s">
        <v>3640</v>
      </c>
      <c r="G1723" s="58" t="s">
        <v>4608</v>
      </c>
      <c r="H1723" s="56">
        <v>1</v>
      </c>
      <c r="I1723" s="56" t="s">
        <v>3669</v>
      </c>
      <c r="J1723" s="56">
        <v>897</v>
      </c>
      <c r="K1723" s="56">
        <v>888</v>
      </c>
      <c r="P1723" s="56">
        <v>0</v>
      </c>
      <c r="S1723" s="56">
        <v>0</v>
      </c>
      <c r="T1723" s="56" t="s">
        <v>3562</v>
      </c>
      <c r="V1723" s="56" t="s">
        <v>3612</v>
      </c>
      <c r="W1723" s="56" t="s">
        <v>3548</v>
      </c>
      <c r="X1723" s="56" t="s">
        <v>3611</v>
      </c>
      <c r="Z1723" s="56" t="s">
        <v>3546</v>
      </c>
      <c r="AA1723" s="56" t="s">
        <v>3639</v>
      </c>
      <c r="AB1723" s="56" t="s">
        <v>3638</v>
      </c>
      <c r="AC1723" s="56" t="s">
        <v>3543</v>
      </c>
      <c r="AD1723" s="56" t="s">
        <v>24</v>
      </c>
      <c r="AE1723" s="56" t="s">
        <v>3862</v>
      </c>
      <c r="AF1723" s="56" t="s">
        <v>4606</v>
      </c>
      <c r="AH1723" s="56" t="s">
        <v>3542</v>
      </c>
      <c r="AI1723" s="56" t="s">
        <v>3723</v>
      </c>
    </row>
    <row r="1724" spans="1:35" ht="33" customHeight="1">
      <c r="A1724" s="56" t="s">
        <v>4607</v>
      </c>
      <c r="B1724" s="57">
        <v>44365.870821759258</v>
      </c>
      <c r="C1724" s="56" t="s">
        <v>4512</v>
      </c>
      <c r="D1724" s="56" t="s">
        <v>4511</v>
      </c>
      <c r="E1724" s="56" t="s">
        <v>3641</v>
      </c>
      <c r="F1724" s="56" t="s">
        <v>3640</v>
      </c>
      <c r="G1724" s="58" t="s">
        <v>3551</v>
      </c>
      <c r="H1724" s="56">
        <v>1</v>
      </c>
      <c r="I1724" s="56" t="s">
        <v>3550</v>
      </c>
      <c r="J1724" s="56">
        <v>0</v>
      </c>
      <c r="K1724" s="56">
        <v>0</v>
      </c>
      <c r="P1724" s="56">
        <v>0</v>
      </c>
      <c r="S1724" s="56">
        <v>0</v>
      </c>
      <c r="T1724" s="56" t="s">
        <v>3562</v>
      </c>
      <c r="V1724" s="56" t="s">
        <v>3612</v>
      </c>
      <c r="W1724" s="56" t="s">
        <v>3548</v>
      </c>
      <c r="X1724" s="56" t="s">
        <v>3611</v>
      </c>
      <c r="Z1724" s="56" t="s">
        <v>3546</v>
      </c>
      <c r="AA1724" s="56" t="s">
        <v>3639</v>
      </c>
      <c r="AB1724" s="56" t="s">
        <v>3638</v>
      </c>
      <c r="AC1724" s="56" t="s">
        <v>3543</v>
      </c>
      <c r="AD1724" s="56" t="s">
        <v>24</v>
      </c>
      <c r="AE1724" s="56" t="s">
        <v>3862</v>
      </c>
      <c r="AF1724" s="56" t="s">
        <v>4606</v>
      </c>
      <c r="AH1724" s="56" t="s">
        <v>3542</v>
      </c>
      <c r="AI1724" s="56" t="s">
        <v>3723</v>
      </c>
    </row>
    <row r="1725" spans="1:35" ht="33" customHeight="1">
      <c r="A1725" s="56" t="s">
        <v>4607</v>
      </c>
      <c r="B1725" s="57">
        <v>44365.870821759258</v>
      </c>
      <c r="C1725" s="56" t="s">
        <v>4512</v>
      </c>
      <c r="D1725" s="56" t="s">
        <v>4511</v>
      </c>
      <c r="E1725" s="56" t="s">
        <v>3641</v>
      </c>
      <c r="F1725" s="56" t="s">
        <v>3640</v>
      </c>
      <c r="G1725" s="58" t="s">
        <v>1498</v>
      </c>
      <c r="H1725" s="56">
        <v>1</v>
      </c>
      <c r="I1725" s="56" t="s">
        <v>4016</v>
      </c>
      <c r="J1725" s="56">
        <v>0</v>
      </c>
      <c r="K1725" s="56">
        <v>0</v>
      </c>
      <c r="P1725" s="56">
        <v>0</v>
      </c>
      <c r="S1725" s="56">
        <v>0</v>
      </c>
      <c r="T1725" s="56" t="s">
        <v>3562</v>
      </c>
      <c r="V1725" s="56" t="s">
        <v>3612</v>
      </c>
      <c r="W1725" s="56" t="s">
        <v>3548</v>
      </c>
      <c r="X1725" s="56" t="s">
        <v>3611</v>
      </c>
      <c r="Z1725" s="56" t="s">
        <v>3546</v>
      </c>
      <c r="AA1725" s="56" t="s">
        <v>3639</v>
      </c>
      <c r="AB1725" s="56" t="s">
        <v>3638</v>
      </c>
      <c r="AC1725" s="56" t="s">
        <v>3543</v>
      </c>
      <c r="AD1725" s="56" t="s">
        <v>24</v>
      </c>
      <c r="AE1725" s="56" t="s">
        <v>3862</v>
      </c>
      <c r="AF1725" s="56" t="s">
        <v>4606</v>
      </c>
      <c r="AH1725" s="56" t="s">
        <v>3542</v>
      </c>
      <c r="AI1725" s="56" t="s">
        <v>3723</v>
      </c>
    </row>
    <row r="1726" spans="1:35" ht="33" customHeight="1">
      <c r="A1726" s="56" t="s">
        <v>4604</v>
      </c>
      <c r="B1726" s="57">
        <v>44365.87972222222</v>
      </c>
      <c r="C1726" s="56" t="s">
        <v>3803</v>
      </c>
      <c r="D1726" s="56" t="s">
        <v>4426</v>
      </c>
      <c r="E1726" s="56" t="s">
        <v>4603</v>
      </c>
      <c r="F1726" s="56" t="s">
        <v>4602</v>
      </c>
      <c r="G1726" s="58" t="s">
        <v>4605</v>
      </c>
      <c r="H1726" s="56">
        <v>2</v>
      </c>
      <c r="I1726" s="56" t="s">
        <v>3753</v>
      </c>
      <c r="J1726" s="56">
        <v>997</v>
      </c>
      <c r="K1726" s="56">
        <v>960</v>
      </c>
      <c r="L1726" s="56">
        <v>1920</v>
      </c>
      <c r="M1726" s="56">
        <v>0</v>
      </c>
      <c r="N1726" s="56">
        <v>0</v>
      </c>
      <c r="O1726" s="56">
        <v>100</v>
      </c>
      <c r="P1726" s="56">
        <v>0</v>
      </c>
      <c r="Q1726" s="56">
        <v>1820</v>
      </c>
      <c r="R1726" s="56">
        <v>0</v>
      </c>
      <c r="S1726" s="56">
        <v>0</v>
      </c>
      <c r="T1726" s="56" t="s">
        <v>27</v>
      </c>
      <c r="U1726" s="56">
        <v>1820</v>
      </c>
      <c r="V1726" s="56" t="s">
        <v>3549</v>
      </c>
      <c r="W1726" s="56" t="s">
        <v>3548</v>
      </c>
      <c r="X1726" s="56" t="s">
        <v>3547</v>
      </c>
      <c r="Z1726" s="56" t="s">
        <v>3546</v>
      </c>
      <c r="AA1726" s="56" t="s">
        <v>4601</v>
      </c>
      <c r="AB1726" s="56" t="s">
        <v>4600</v>
      </c>
      <c r="AC1726" s="56" t="s">
        <v>3543</v>
      </c>
      <c r="AH1726" s="56" t="s">
        <v>3542</v>
      </c>
      <c r="AI1726" s="56" t="s">
        <v>3541</v>
      </c>
    </row>
    <row r="1727" spans="1:35" ht="33" customHeight="1">
      <c r="A1727" s="56" t="s">
        <v>4604</v>
      </c>
      <c r="B1727" s="57">
        <v>44365.87972222222</v>
      </c>
      <c r="C1727" s="56" t="s">
        <v>3803</v>
      </c>
      <c r="D1727" s="56" t="s">
        <v>4426</v>
      </c>
      <c r="E1727" s="56" t="s">
        <v>4603</v>
      </c>
      <c r="F1727" s="56" t="s">
        <v>4602</v>
      </c>
      <c r="G1727" s="58" t="s">
        <v>3551</v>
      </c>
      <c r="H1727" s="56">
        <v>1</v>
      </c>
      <c r="I1727" s="56" t="s">
        <v>3550</v>
      </c>
      <c r="J1727" s="56">
        <v>0</v>
      </c>
      <c r="K1727" s="56">
        <v>0</v>
      </c>
      <c r="P1727" s="56">
        <v>0</v>
      </c>
      <c r="S1727" s="56">
        <v>0</v>
      </c>
      <c r="T1727" s="56" t="s">
        <v>27</v>
      </c>
      <c r="V1727" s="56" t="s">
        <v>3549</v>
      </c>
      <c r="W1727" s="56" t="s">
        <v>3548</v>
      </c>
      <c r="X1727" s="56" t="s">
        <v>3547</v>
      </c>
      <c r="Z1727" s="56" t="s">
        <v>3546</v>
      </c>
      <c r="AA1727" s="56" t="s">
        <v>4601</v>
      </c>
      <c r="AB1727" s="56" t="s">
        <v>4600</v>
      </c>
      <c r="AC1727" s="56" t="s">
        <v>3543</v>
      </c>
      <c r="AH1727" s="56" t="s">
        <v>3542</v>
      </c>
      <c r="AI1727" s="56" t="s">
        <v>3541</v>
      </c>
    </row>
    <row r="1728" spans="1:35" ht="33" customHeight="1">
      <c r="A1728" s="56" t="s">
        <v>4604</v>
      </c>
      <c r="B1728" s="57">
        <v>44365.87972222222</v>
      </c>
      <c r="C1728" s="56" t="s">
        <v>3803</v>
      </c>
      <c r="D1728" s="56" t="s">
        <v>4426</v>
      </c>
      <c r="E1728" s="56" t="s">
        <v>4603</v>
      </c>
      <c r="F1728" s="56" t="s">
        <v>4602</v>
      </c>
      <c r="G1728" s="58" t="s">
        <v>1713</v>
      </c>
      <c r="H1728" s="56">
        <v>1</v>
      </c>
      <c r="I1728" s="56" t="s">
        <v>3568</v>
      </c>
      <c r="J1728" s="56">
        <v>0</v>
      </c>
      <c r="K1728" s="56">
        <v>0</v>
      </c>
      <c r="P1728" s="56">
        <v>0</v>
      </c>
      <c r="S1728" s="56">
        <v>0</v>
      </c>
      <c r="T1728" s="56" t="s">
        <v>27</v>
      </c>
      <c r="V1728" s="56" t="s">
        <v>3549</v>
      </c>
      <c r="W1728" s="56" t="s">
        <v>3548</v>
      </c>
      <c r="X1728" s="56" t="s">
        <v>3547</v>
      </c>
      <c r="Z1728" s="56" t="s">
        <v>3546</v>
      </c>
      <c r="AA1728" s="56" t="s">
        <v>4601</v>
      </c>
      <c r="AB1728" s="56" t="s">
        <v>4600</v>
      </c>
      <c r="AC1728" s="56" t="s">
        <v>3543</v>
      </c>
      <c r="AH1728" s="56" t="s">
        <v>3542</v>
      </c>
      <c r="AI1728" s="56" t="s">
        <v>3541</v>
      </c>
    </row>
    <row r="1729" spans="1:35" ht="33" customHeight="1">
      <c r="A1729" s="56" t="s">
        <v>4604</v>
      </c>
      <c r="B1729" s="57">
        <v>44365.87972222222</v>
      </c>
      <c r="C1729" s="56" t="s">
        <v>3803</v>
      </c>
      <c r="D1729" s="56" t="s">
        <v>4426</v>
      </c>
      <c r="E1729" s="56" t="s">
        <v>4603</v>
      </c>
      <c r="F1729" s="56" t="s">
        <v>4602</v>
      </c>
      <c r="G1729" s="58" t="s">
        <v>1498</v>
      </c>
      <c r="H1729" s="56">
        <v>1</v>
      </c>
      <c r="I1729" s="56" t="s">
        <v>4016</v>
      </c>
      <c r="J1729" s="56">
        <v>0</v>
      </c>
      <c r="K1729" s="56">
        <v>0</v>
      </c>
      <c r="P1729" s="56">
        <v>0</v>
      </c>
      <c r="S1729" s="56">
        <v>0</v>
      </c>
      <c r="T1729" s="56" t="s">
        <v>27</v>
      </c>
      <c r="V1729" s="56" t="s">
        <v>3549</v>
      </c>
      <c r="W1729" s="56" t="s">
        <v>3548</v>
      </c>
      <c r="X1729" s="56" t="s">
        <v>3547</v>
      </c>
      <c r="Z1729" s="56" t="s">
        <v>3546</v>
      </c>
      <c r="AA1729" s="56" t="s">
        <v>4601</v>
      </c>
      <c r="AB1729" s="56" t="s">
        <v>4600</v>
      </c>
      <c r="AC1729" s="56" t="s">
        <v>3543</v>
      </c>
      <c r="AH1729" s="56" t="s">
        <v>3542</v>
      </c>
      <c r="AI1729" s="56" t="s">
        <v>3541</v>
      </c>
    </row>
    <row r="1730" spans="1:35" ht="33" customHeight="1">
      <c r="A1730" s="56" t="s">
        <v>4599</v>
      </c>
      <c r="B1730" s="57">
        <v>44365.886342592596</v>
      </c>
      <c r="C1730" s="56" t="s">
        <v>3803</v>
      </c>
      <c r="D1730" s="56" t="s">
        <v>4426</v>
      </c>
      <c r="E1730" s="56" t="s">
        <v>4598</v>
      </c>
      <c r="F1730" s="56" t="s">
        <v>4597</v>
      </c>
      <c r="G1730" s="58" t="s">
        <v>1491</v>
      </c>
      <c r="H1730" s="56">
        <v>1</v>
      </c>
      <c r="I1730" s="56" t="s">
        <v>3586</v>
      </c>
      <c r="J1730" s="56">
        <v>149</v>
      </c>
      <c r="K1730" s="56">
        <v>149</v>
      </c>
      <c r="L1730" s="56">
        <v>697</v>
      </c>
      <c r="M1730" s="56">
        <v>65</v>
      </c>
      <c r="N1730" s="56">
        <v>0</v>
      </c>
      <c r="O1730" s="56">
        <v>0</v>
      </c>
      <c r="P1730" s="56">
        <v>0</v>
      </c>
      <c r="Q1730" s="56">
        <v>762</v>
      </c>
      <c r="R1730" s="56">
        <v>0</v>
      </c>
      <c r="S1730" s="56">
        <v>0</v>
      </c>
      <c r="T1730" s="56" t="s">
        <v>27</v>
      </c>
      <c r="U1730" s="56">
        <v>762</v>
      </c>
      <c r="V1730" s="56" t="s">
        <v>3549</v>
      </c>
      <c r="W1730" s="56" t="s">
        <v>3548</v>
      </c>
      <c r="X1730" s="56" t="s">
        <v>3547</v>
      </c>
      <c r="Z1730" s="56" t="s">
        <v>3546</v>
      </c>
      <c r="AA1730" s="56" t="s">
        <v>4596</v>
      </c>
      <c r="AB1730" s="56" t="s">
        <v>4595</v>
      </c>
      <c r="AC1730" s="56" t="s">
        <v>3543</v>
      </c>
      <c r="AH1730" s="56" t="s">
        <v>3542</v>
      </c>
      <c r="AI1730" s="56" t="s">
        <v>3541</v>
      </c>
    </row>
    <row r="1731" spans="1:35" ht="33" customHeight="1">
      <c r="A1731" s="56" t="s">
        <v>4599</v>
      </c>
      <c r="B1731" s="57">
        <v>44365.886342592596</v>
      </c>
      <c r="C1731" s="56" t="s">
        <v>3803</v>
      </c>
      <c r="D1731" s="56" t="s">
        <v>4426</v>
      </c>
      <c r="E1731" s="56" t="s">
        <v>4598</v>
      </c>
      <c r="F1731" s="56" t="s">
        <v>4597</v>
      </c>
      <c r="G1731" s="58" t="s">
        <v>1493</v>
      </c>
      <c r="H1731" s="56">
        <v>1</v>
      </c>
      <c r="I1731" s="56" t="s">
        <v>3586</v>
      </c>
      <c r="J1731" s="56">
        <v>149</v>
      </c>
      <c r="K1731" s="56">
        <v>149</v>
      </c>
      <c r="P1731" s="56">
        <v>0</v>
      </c>
      <c r="S1731" s="56">
        <v>0</v>
      </c>
      <c r="T1731" s="56" t="s">
        <v>27</v>
      </c>
      <c r="V1731" s="56" t="s">
        <v>3549</v>
      </c>
      <c r="W1731" s="56" t="s">
        <v>3548</v>
      </c>
      <c r="X1731" s="56" t="s">
        <v>3547</v>
      </c>
      <c r="Z1731" s="56" t="s">
        <v>3546</v>
      </c>
      <c r="AA1731" s="56" t="s">
        <v>4596</v>
      </c>
      <c r="AB1731" s="56" t="s">
        <v>4595</v>
      </c>
      <c r="AC1731" s="56" t="s">
        <v>3543</v>
      </c>
      <c r="AH1731" s="56" t="s">
        <v>3542</v>
      </c>
      <c r="AI1731" s="56" t="s">
        <v>3541</v>
      </c>
    </row>
    <row r="1732" spans="1:35" ht="33" customHeight="1">
      <c r="A1732" s="56" t="s">
        <v>4599</v>
      </c>
      <c r="B1732" s="57">
        <v>44365.886342592596</v>
      </c>
      <c r="C1732" s="56" t="s">
        <v>3803</v>
      </c>
      <c r="D1732" s="56" t="s">
        <v>4426</v>
      </c>
      <c r="E1732" s="56" t="s">
        <v>4598</v>
      </c>
      <c r="F1732" s="56" t="s">
        <v>4597</v>
      </c>
      <c r="G1732" s="58" t="s">
        <v>4070</v>
      </c>
      <c r="H1732" s="56">
        <v>1</v>
      </c>
      <c r="I1732" s="56" t="s">
        <v>3602</v>
      </c>
      <c r="J1732" s="56">
        <v>447</v>
      </c>
      <c r="K1732" s="56">
        <v>399</v>
      </c>
      <c r="P1732" s="56">
        <v>0</v>
      </c>
      <c r="S1732" s="56">
        <v>0</v>
      </c>
      <c r="T1732" s="56" t="s">
        <v>27</v>
      </c>
      <c r="V1732" s="56" t="s">
        <v>3549</v>
      </c>
      <c r="W1732" s="56" t="s">
        <v>3548</v>
      </c>
      <c r="X1732" s="56" t="s">
        <v>3547</v>
      </c>
      <c r="Z1732" s="56" t="s">
        <v>3546</v>
      </c>
      <c r="AA1732" s="56" t="s">
        <v>4596</v>
      </c>
      <c r="AB1732" s="56" t="s">
        <v>4595</v>
      </c>
      <c r="AC1732" s="56" t="s">
        <v>3543</v>
      </c>
      <c r="AH1732" s="56" t="s">
        <v>3542</v>
      </c>
      <c r="AI1732" s="56" t="s">
        <v>3541</v>
      </c>
    </row>
    <row r="1733" spans="1:35" ht="33" customHeight="1">
      <c r="A1733" s="56" t="s">
        <v>4599</v>
      </c>
      <c r="B1733" s="57">
        <v>44365.886342592596</v>
      </c>
      <c r="C1733" s="56" t="s">
        <v>3803</v>
      </c>
      <c r="D1733" s="56" t="s">
        <v>4426</v>
      </c>
      <c r="E1733" s="56" t="s">
        <v>4598</v>
      </c>
      <c r="F1733" s="56" t="s">
        <v>4597</v>
      </c>
      <c r="G1733" s="58" t="s">
        <v>3551</v>
      </c>
      <c r="H1733" s="56">
        <v>1</v>
      </c>
      <c r="I1733" s="56" t="s">
        <v>3550</v>
      </c>
      <c r="J1733" s="56">
        <v>0</v>
      </c>
      <c r="K1733" s="56">
        <v>0</v>
      </c>
      <c r="P1733" s="56">
        <v>0</v>
      </c>
      <c r="S1733" s="56">
        <v>0</v>
      </c>
      <c r="T1733" s="56" t="s">
        <v>27</v>
      </c>
      <c r="V1733" s="56" t="s">
        <v>3549</v>
      </c>
      <c r="W1733" s="56" t="s">
        <v>3548</v>
      </c>
      <c r="X1733" s="56" t="s">
        <v>3547</v>
      </c>
      <c r="Z1733" s="56" t="s">
        <v>3546</v>
      </c>
      <c r="AA1733" s="56" t="s">
        <v>4596</v>
      </c>
      <c r="AB1733" s="56" t="s">
        <v>4595</v>
      </c>
      <c r="AC1733" s="56" t="s">
        <v>3543</v>
      </c>
      <c r="AH1733" s="56" t="s">
        <v>3542</v>
      </c>
      <c r="AI1733" s="56" t="s">
        <v>3541</v>
      </c>
    </row>
    <row r="1734" spans="1:35" ht="33" customHeight="1">
      <c r="A1734" s="56" t="s">
        <v>4593</v>
      </c>
      <c r="B1734" s="57">
        <v>44365.891238425924</v>
      </c>
      <c r="C1734" s="56" t="s">
        <v>3803</v>
      </c>
      <c r="D1734" s="56" t="s">
        <v>3802</v>
      </c>
      <c r="E1734" s="56" t="s">
        <v>4592</v>
      </c>
      <c r="F1734" s="56" t="s">
        <v>4591</v>
      </c>
      <c r="G1734" s="58" t="s">
        <v>3668</v>
      </c>
      <c r="H1734" s="56">
        <v>2</v>
      </c>
      <c r="I1734" s="56" t="s">
        <v>3577</v>
      </c>
      <c r="J1734" s="56">
        <v>700</v>
      </c>
      <c r="K1734" s="56">
        <v>599</v>
      </c>
      <c r="L1734" s="56">
        <v>1906</v>
      </c>
      <c r="M1734" s="56">
        <v>0</v>
      </c>
      <c r="N1734" s="56">
        <v>0</v>
      </c>
      <c r="O1734" s="56">
        <v>100</v>
      </c>
      <c r="P1734" s="56">
        <v>0</v>
      </c>
      <c r="Q1734" s="56">
        <v>1806</v>
      </c>
      <c r="R1734" s="56">
        <v>0</v>
      </c>
      <c r="S1734" s="56">
        <v>0</v>
      </c>
      <c r="T1734" s="56" t="s">
        <v>3562</v>
      </c>
      <c r="U1734" s="56">
        <v>1806</v>
      </c>
      <c r="V1734" s="56" t="s">
        <v>3561</v>
      </c>
      <c r="W1734" s="56" t="s">
        <v>3548</v>
      </c>
      <c r="X1734" s="56" t="s">
        <v>39</v>
      </c>
      <c r="Y1734" s="56" t="s">
        <v>4205</v>
      </c>
      <c r="Z1734" s="56" t="s">
        <v>4590</v>
      </c>
      <c r="AC1734" s="56" t="s">
        <v>3543</v>
      </c>
      <c r="AD1734" s="56" t="s">
        <v>24</v>
      </c>
      <c r="AE1734" s="56" t="s">
        <v>4530</v>
      </c>
      <c r="AF1734" s="56" t="s">
        <v>4589</v>
      </c>
      <c r="AH1734" s="56" t="s">
        <v>3542</v>
      </c>
      <c r="AI1734" s="56" t="s">
        <v>3723</v>
      </c>
    </row>
    <row r="1735" spans="1:35" ht="33" customHeight="1">
      <c r="A1735" s="56" t="s">
        <v>4593</v>
      </c>
      <c r="B1735" s="57">
        <v>44365.891238425924</v>
      </c>
      <c r="C1735" s="56" t="s">
        <v>3803</v>
      </c>
      <c r="D1735" s="56" t="s">
        <v>3802</v>
      </c>
      <c r="E1735" s="56" t="s">
        <v>4592</v>
      </c>
      <c r="F1735" s="56" t="s">
        <v>4591</v>
      </c>
      <c r="G1735" s="58" t="s">
        <v>4594</v>
      </c>
      <c r="H1735" s="56">
        <v>1</v>
      </c>
      <c r="I1735" s="56" t="s">
        <v>3577</v>
      </c>
      <c r="J1735" s="56">
        <v>700</v>
      </c>
      <c r="K1735" s="56">
        <v>599</v>
      </c>
      <c r="P1735" s="56">
        <v>0</v>
      </c>
      <c r="S1735" s="56">
        <v>0</v>
      </c>
      <c r="T1735" s="56" t="s">
        <v>3562</v>
      </c>
      <c r="V1735" s="56" t="s">
        <v>3561</v>
      </c>
      <c r="W1735" s="56" t="s">
        <v>3548</v>
      </c>
      <c r="X1735" s="56" t="s">
        <v>39</v>
      </c>
      <c r="Y1735" s="56" t="s">
        <v>4205</v>
      </c>
      <c r="Z1735" s="56" t="s">
        <v>4590</v>
      </c>
      <c r="AC1735" s="56" t="s">
        <v>3543</v>
      </c>
      <c r="AD1735" s="56" t="s">
        <v>24</v>
      </c>
      <c r="AE1735" s="56" t="s">
        <v>4530</v>
      </c>
      <c r="AF1735" s="56" t="s">
        <v>4589</v>
      </c>
      <c r="AH1735" s="56" t="s">
        <v>3542</v>
      </c>
      <c r="AI1735" s="56" t="s">
        <v>3723</v>
      </c>
    </row>
    <row r="1736" spans="1:35" ht="33" customHeight="1">
      <c r="A1736" s="56" t="s">
        <v>4593</v>
      </c>
      <c r="B1736" s="57">
        <v>44365.891238425924</v>
      </c>
      <c r="C1736" s="56" t="s">
        <v>3803</v>
      </c>
      <c r="D1736" s="56" t="s">
        <v>3802</v>
      </c>
      <c r="E1736" s="56" t="s">
        <v>4592</v>
      </c>
      <c r="F1736" s="56" t="s">
        <v>4591</v>
      </c>
      <c r="G1736" s="58" t="s">
        <v>2165</v>
      </c>
      <c r="H1736" s="56">
        <v>1</v>
      </c>
      <c r="I1736" s="56" t="s">
        <v>3721</v>
      </c>
      <c r="J1736" s="56">
        <v>109</v>
      </c>
      <c r="K1736" s="56">
        <v>109</v>
      </c>
      <c r="P1736" s="56">
        <v>0</v>
      </c>
      <c r="S1736" s="56">
        <v>0</v>
      </c>
      <c r="T1736" s="56" t="s">
        <v>3562</v>
      </c>
      <c r="V1736" s="56" t="s">
        <v>3561</v>
      </c>
      <c r="W1736" s="56" t="s">
        <v>3548</v>
      </c>
      <c r="X1736" s="56" t="s">
        <v>39</v>
      </c>
      <c r="Y1736" s="56" t="s">
        <v>4205</v>
      </c>
      <c r="Z1736" s="56" t="s">
        <v>4590</v>
      </c>
      <c r="AC1736" s="56" t="s">
        <v>3543</v>
      </c>
      <c r="AD1736" s="56" t="s">
        <v>24</v>
      </c>
      <c r="AE1736" s="56" t="s">
        <v>4530</v>
      </c>
      <c r="AF1736" s="56" t="s">
        <v>4589</v>
      </c>
      <c r="AH1736" s="56" t="s">
        <v>3542</v>
      </c>
      <c r="AI1736" s="56" t="s">
        <v>3723</v>
      </c>
    </row>
    <row r="1737" spans="1:35" ht="33" customHeight="1">
      <c r="A1737" s="56" t="s">
        <v>4593</v>
      </c>
      <c r="B1737" s="57">
        <v>44365.891238425924</v>
      </c>
      <c r="C1737" s="56" t="s">
        <v>3803</v>
      </c>
      <c r="D1737" s="56" t="s">
        <v>3802</v>
      </c>
      <c r="E1737" s="56" t="s">
        <v>4592</v>
      </c>
      <c r="F1737" s="56" t="s">
        <v>4591</v>
      </c>
      <c r="G1737" s="58" t="s">
        <v>3551</v>
      </c>
      <c r="H1737" s="56">
        <v>1</v>
      </c>
      <c r="I1737" s="56" t="s">
        <v>3550</v>
      </c>
      <c r="J1737" s="56">
        <v>0</v>
      </c>
      <c r="K1737" s="56">
        <v>0</v>
      </c>
      <c r="P1737" s="56">
        <v>0</v>
      </c>
      <c r="S1737" s="56">
        <v>0</v>
      </c>
      <c r="T1737" s="56" t="s">
        <v>3562</v>
      </c>
      <c r="V1737" s="56" t="s">
        <v>3561</v>
      </c>
      <c r="W1737" s="56" t="s">
        <v>3548</v>
      </c>
      <c r="X1737" s="56" t="s">
        <v>39</v>
      </c>
      <c r="Y1737" s="56" t="s">
        <v>4205</v>
      </c>
      <c r="Z1737" s="56" t="s">
        <v>4590</v>
      </c>
      <c r="AC1737" s="56" t="s">
        <v>3543</v>
      </c>
      <c r="AD1737" s="56" t="s">
        <v>24</v>
      </c>
      <c r="AE1737" s="56" t="s">
        <v>4530</v>
      </c>
      <c r="AF1737" s="56" t="s">
        <v>4589</v>
      </c>
      <c r="AH1737" s="56" t="s">
        <v>3542</v>
      </c>
      <c r="AI1737" s="56" t="s">
        <v>3723</v>
      </c>
    </row>
    <row r="1738" spans="1:35" ht="33" customHeight="1">
      <c r="A1738" s="56" t="s">
        <v>4593</v>
      </c>
      <c r="B1738" s="57">
        <v>44365.891238425924</v>
      </c>
      <c r="C1738" s="56" t="s">
        <v>3803</v>
      </c>
      <c r="D1738" s="56" t="s">
        <v>3802</v>
      </c>
      <c r="E1738" s="56" t="s">
        <v>4592</v>
      </c>
      <c r="F1738" s="56" t="s">
        <v>4591</v>
      </c>
      <c r="G1738" s="58" t="s">
        <v>1713</v>
      </c>
      <c r="H1738" s="56">
        <v>1</v>
      </c>
      <c r="I1738" s="56" t="s">
        <v>3568</v>
      </c>
      <c r="J1738" s="56">
        <v>0</v>
      </c>
      <c r="K1738" s="56">
        <v>0</v>
      </c>
      <c r="P1738" s="56">
        <v>0</v>
      </c>
      <c r="S1738" s="56">
        <v>0</v>
      </c>
      <c r="T1738" s="56" t="s">
        <v>3562</v>
      </c>
      <c r="V1738" s="56" t="s">
        <v>3561</v>
      </c>
      <c r="W1738" s="56" t="s">
        <v>3548</v>
      </c>
      <c r="X1738" s="56" t="s">
        <v>39</v>
      </c>
      <c r="Y1738" s="56" t="s">
        <v>4205</v>
      </c>
      <c r="Z1738" s="56" t="s">
        <v>4590</v>
      </c>
      <c r="AC1738" s="56" t="s">
        <v>3543</v>
      </c>
      <c r="AD1738" s="56" t="s">
        <v>24</v>
      </c>
      <c r="AE1738" s="56" t="s">
        <v>4530</v>
      </c>
      <c r="AF1738" s="56" t="s">
        <v>4589</v>
      </c>
      <c r="AH1738" s="56" t="s">
        <v>3542</v>
      </c>
      <c r="AI1738" s="56" t="s">
        <v>3723</v>
      </c>
    </row>
    <row r="1739" spans="1:35" ht="33" customHeight="1">
      <c r="A1739" s="56" t="s">
        <v>4593</v>
      </c>
      <c r="B1739" s="57">
        <v>44365.891238425924</v>
      </c>
      <c r="C1739" s="56" t="s">
        <v>3803</v>
      </c>
      <c r="D1739" s="56" t="s">
        <v>3802</v>
      </c>
      <c r="E1739" s="56" t="s">
        <v>4592</v>
      </c>
      <c r="F1739" s="56" t="s">
        <v>4591</v>
      </c>
      <c r="G1739" s="58" t="s">
        <v>1498</v>
      </c>
      <c r="H1739" s="56">
        <v>1</v>
      </c>
      <c r="I1739" s="56" t="s">
        <v>4016</v>
      </c>
      <c r="J1739" s="56">
        <v>0</v>
      </c>
      <c r="K1739" s="56">
        <v>0</v>
      </c>
      <c r="P1739" s="56">
        <v>0</v>
      </c>
      <c r="S1739" s="56">
        <v>0</v>
      </c>
      <c r="T1739" s="56" t="s">
        <v>3562</v>
      </c>
      <c r="V1739" s="56" t="s">
        <v>3561</v>
      </c>
      <c r="W1739" s="56" t="s">
        <v>3548</v>
      </c>
      <c r="X1739" s="56" t="s">
        <v>39</v>
      </c>
      <c r="Y1739" s="56" t="s">
        <v>4205</v>
      </c>
      <c r="Z1739" s="56" t="s">
        <v>4590</v>
      </c>
      <c r="AC1739" s="56" t="s">
        <v>3543</v>
      </c>
      <c r="AD1739" s="56" t="s">
        <v>24</v>
      </c>
      <c r="AE1739" s="56" t="s">
        <v>4530</v>
      </c>
      <c r="AF1739" s="56" t="s">
        <v>4589</v>
      </c>
      <c r="AH1739" s="56" t="s">
        <v>3542</v>
      </c>
      <c r="AI1739" s="56" t="s">
        <v>3723</v>
      </c>
    </row>
    <row r="1740" spans="1:35" ht="33" customHeight="1">
      <c r="A1740" s="56" t="s">
        <v>4588</v>
      </c>
      <c r="B1740" s="57">
        <v>44365.896701388891</v>
      </c>
      <c r="C1740" s="56" t="s">
        <v>3803</v>
      </c>
      <c r="D1740" s="56" t="s">
        <v>3802</v>
      </c>
      <c r="E1740" s="56" t="s">
        <v>4587</v>
      </c>
      <c r="F1740" s="56" t="s">
        <v>4586</v>
      </c>
      <c r="G1740" s="58" t="s">
        <v>3942</v>
      </c>
      <c r="H1740" s="56">
        <v>1</v>
      </c>
      <c r="I1740" s="56" t="s">
        <v>3941</v>
      </c>
      <c r="J1740" s="56">
        <v>840</v>
      </c>
      <c r="K1740" s="56">
        <v>750</v>
      </c>
      <c r="L1740" s="56">
        <v>1208</v>
      </c>
      <c r="M1740" s="56">
        <v>0</v>
      </c>
      <c r="N1740" s="56">
        <v>0</v>
      </c>
      <c r="O1740" s="56">
        <v>121</v>
      </c>
      <c r="P1740" s="56">
        <v>0</v>
      </c>
      <c r="Q1740" s="56">
        <v>1087</v>
      </c>
      <c r="R1740" s="56">
        <v>0</v>
      </c>
      <c r="S1740" s="56">
        <v>0</v>
      </c>
      <c r="T1740" s="56" t="s">
        <v>3562</v>
      </c>
      <c r="U1740" s="56">
        <v>1087</v>
      </c>
      <c r="V1740" s="56" t="s">
        <v>3561</v>
      </c>
      <c r="W1740" s="56" t="s">
        <v>3548</v>
      </c>
      <c r="X1740" s="56" t="s">
        <v>39</v>
      </c>
      <c r="Y1740" s="56" t="s">
        <v>4585</v>
      </c>
      <c r="Z1740" s="56" t="s">
        <v>4584</v>
      </c>
      <c r="AC1740" s="56" t="s">
        <v>3842</v>
      </c>
      <c r="AD1740" s="56" t="s">
        <v>24</v>
      </c>
      <c r="AE1740" s="56" t="s">
        <v>4530</v>
      </c>
      <c r="AF1740" s="56" t="s">
        <v>4583</v>
      </c>
      <c r="AH1740" s="56" t="s">
        <v>3542</v>
      </c>
      <c r="AI1740" s="56" t="s">
        <v>3723</v>
      </c>
    </row>
    <row r="1741" spans="1:35" ht="33" customHeight="1">
      <c r="A1741" s="56" t="s">
        <v>4588</v>
      </c>
      <c r="B1741" s="57">
        <v>44365.896701388891</v>
      </c>
      <c r="C1741" s="56" t="s">
        <v>3803</v>
      </c>
      <c r="D1741" s="56" t="s">
        <v>3802</v>
      </c>
      <c r="E1741" s="56" t="s">
        <v>4587</v>
      </c>
      <c r="F1741" s="56" t="s">
        <v>4586</v>
      </c>
      <c r="G1741" s="58" t="s">
        <v>3603</v>
      </c>
      <c r="H1741" s="56">
        <v>1</v>
      </c>
      <c r="I1741" s="56" t="s">
        <v>3602</v>
      </c>
      <c r="J1741" s="56">
        <v>447</v>
      </c>
      <c r="K1741" s="56">
        <v>399</v>
      </c>
      <c r="P1741" s="56">
        <v>0</v>
      </c>
      <c r="S1741" s="56">
        <v>0</v>
      </c>
      <c r="T1741" s="56" t="s">
        <v>3562</v>
      </c>
      <c r="V1741" s="56" t="s">
        <v>3561</v>
      </c>
      <c r="W1741" s="56" t="s">
        <v>3548</v>
      </c>
      <c r="X1741" s="56" t="s">
        <v>39</v>
      </c>
      <c r="Y1741" s="56" t="s">
        <v>4585</v>
      </c>
      <c r="Z1741" s="56" t="s">
        <v>4584</v>
      </c>
      <c r="AC1741" s="56" t="s">
        <v>3842</v>
      </c>
      <c r="AD1741" s="56" t="s">
        <v>24</v>
      </c>
      <c r="AE1741" s="56" t="s">
        <v>4530</v>
      </c>
      <c r="AF1741" s="56" t="s">
        <v>4583</v>
      </c>
      <c r="AH1741" s="56" t="s">
        <v>3542</v>
      </c>
      <c r="AI1741" s="56" t="s">
        <v>3723</v>
      </c>
    </row>
    <row r="1742" spans="1:35" ht="33" customHeight="1">
      <c r="A1742" s="56" t="s">
        <v>4588</v>
      </c>
      <c r="B1742" s="57">
        <v>44365.896701388891</v>
      </c>
      <c r="C1742" s="56" t="s">
        <v>3803</v>
      </c>
      <c r="D1742" s="56" t="s">
        <v>3802</v>
      </c>
      <c r="E1742" s="56" t="s">
        <v>4587</v>
      </c>
      <c r="F1742" s="56" t="s">
        <v>4586</v>
      </c>
      <c r="G1742" s="58" t="s">
        <v>3222</v>
      </c>
      <c r="H1742" s="56">
        <v>1</v>
      </c>
      <c r="I1742" s="56" t="s">
        <v>3712</v>
      </c>
      <c r="J1742" s="56">
        <v>59</v>
      </c>
      <c r="K1742" s="56">
        <v>59</v>
      </c>
      <c r="P1742" s="56">
        <v>0</v>
      </c>
      <c r="S1742" s="56">
        <v>0</v>
      </c>
      <c r="T1742" s="56" t="s">
        <v>3562</v>
      </c>
      <c r="V1742" s="56" t="s">
        <v>3561</v>
      </c>
      <c r="W1742" s="56" t="s">
        <v>3548</v>
      </c>
      <c r="X1742" s="56" t="s">
        <v>39</v>
      </c>
      <c r="Y1742" s="56" t="s">
        <v>4585</v>
      </c>
      <c r="Z1742" s="56" t="s">
        <v>4584</v>
      </c>
      <c r="AC1742" s="56" t="s">
        <v>3842</v>
      </c>
      <c r="AD1742" s="56" t="s">
        <v>24</v>
      </c>
      <c r="AE1742" s="56" t="s">
        <v>4530</v>
      </c>
      <c r="AF1742" s="56" t="s">
        <v>4583</v>
      </c>
      <c r="AH1742" s="56" t="s">
        <v>3542</v>
      </c>
      <c r="AI1742" s="56" t="s">
        <v>3723</v>
      </c>
    </row>
    <row r="1743" spans="1:35" ht="33" customHeight="1">
      <c r="A1743" s="56" t="s">
        <v>4588</v>
      </c>
      <c r="B1743" s="57">
        <v>44365.896701388891</v>
      </c>
      <c r="C1743" s="56" t="s">
        <v>3803</v>
      </c>
      <c r="D1743" s="56" t="s">
        <v>3802</v>
      </c>
      <c r="E1743" s="56" t="s">
        <v>4587</v>
      </c>
      <c r="F1743" s="56" t="s">
        <v>4586</v>
      </c>
      <c r="G1743" s="58" t="s">
        <v>3551</v>
      </c>
      <c r="H1743" s="56">
        <v>1</v>
      </c>
      <c r="I1743" s="56" t="s">
        <v>3550</v>
      </c>
      <c r="J1743" s="56">
        <v>0</v>
      </c>
      <c r="K1743" s="56">
        <v>0</v>
      </c>
      <c r="P1743" s="56">
        <v>0</v>
      </c>
      <c r="S1743" s="56">
        <v>0</v>
      </c>
      <c r="T1743" s="56" t="s">
        <v>3562</v>
      </c>
      <c r="V1743" s="56" t="s">
        <v>3561</v>
      </c>
      <c r="W1743" s="56" t="s">
        <v>3548</v>
      </c>
      <c r="X1743" s="56" t="s">
        <v>39</v>
      </c>
      <c r="Y1743" s="56" t="s">
        <v>4585</v>
      </c>
      <c r="Z1743" s="56" t="s">
        <v>4584</v>
      </c>
      <c r="AC1743" s="56" t="s">
        <v>3842</v>
      </c>
      <c r="AD1743" s="56" t="s">
        <v>24</v>
      </c>
      <c r="AE1743" s="56" t="s">
        <v>4530</v>
      </c>
      <c r="AF1743" s="56" t="s">
        <v>4583</v>
      </c>
      <c r="AH1743" s="56" t="s">
        <v>3542</v>
      </c>
      <c r="AI1743" s="56" t="s">
        <v>3723</v>
      </c>
    </row>
    <row r="1744" spans="1:35" ht="33" customHeight="1">
      <c r="A1744" s="56" t="s">
        <v>4588</v>
      </c>
      <c r="B1744" s="57">
        <v>44365.896701388891</v>
      </c>
      <c r="C1744" s="56" t="s">
        <v>3803</v>
      </c>
      <c r="D1744" s="56" t="s">
        <v>3802</v>
      </c>
      <c r="E1744" s="56" t="s">
        <v>4587</v>
      </c>
      <c r="F1744" s="56" t="s">
        <v>4586</v>
      </c>
      <c r="G1744" s="58" t="s">
        <v>1498</v>
      </c>
      <c r="H1744" s="56">
        <v>1</v>
      </c>
      <c r="I1744" s="56" t="s">
        <v>4016</v>
      </c>
      <c r="J1744" s="56">
        <v>0</v>
      </c>
      <c r="K1744" s="56">
        <v>0</v>
      </c>
      <c r="P1744" s="56">
        <v>0</v>
      </c>
      <c r="S1744" s="56">
        <v>0</v>
      </c>
      <c r="T1744" s="56" t="s">
        <v>3562</v>
      </c>
      <c r="V1744" s="56" t="s">
        <v>3561</v>
      </c>
      <c r="W1744" s="56" t="s">
        <v>3548</v>
      </c>
      <c r="X1744" s="56" t="s">
        <v>39</v>
      </c>
      <c r="Y1744" s="56" t="s">
        <v>4585</v>
      </c>
      <c r="Z1744" s="56" t="s">
        <v>4584</v>
      </c>
      <c r="AC1744" s="56" t="s">
        <v>3842</v>
      </c>
      <c r="AD1744" s="56" t="s">
        <v>24</v>
      </c>
      <c r="AE1744" s="56" t="s">
        <v>4530</v>
      </c>
      <c r="AF1744" s="56" t="s">
        <v>4583</v>
      </c>
      <c r="AH1744" s="56" t="s">
        <v>3542</v>
      </c>
      <c r="AI1744" s="56" t="s">
        <v>3723</v>
      </c>
    </row>
    <row r="1745" spans="1:35" ht="33" customHeight="1">
      <c r="A1745" s="56" t="s">
        <v>4582</v>
      </c>
      <c r="B1745" s="57">
        <v>44365.899814814817</v>
      </c>
      <c r="C1745" s="56" t="s">
        <v>3803</v>
      </c>
      <c r="D1745" s="56" t="s">
        <v>3802</v>
      </c>
      <c r="E1745" s="56" t="s">
        <v>4581</v>
      </c>
      <c r="F1745" s="56" t="s">
        <v>4580</v>
      </c>
      <c r="G1745" s="58" t="s">
        <v>1508</v>
      </c>
      <c r="H1745" s="56">
        <v>1</v>
      </c>
      <c r="I1745" s="56" t="s">
        <v>3696</v>
      </c>
      <c r="J1745" s="56">
        <v>299</v>
      </c>
      <c r="K1745" s="56">
        <v>299</v>
      </c>
      <c r="L1745" s="56">
        <v>467</v>
      </c>
      <c r="M1745" s="56">
        <v>60</v>
      </c>
      <c r="N1745" s="56">
        <v>0</v>
      </c>
      <c r="O1745" s="56">
        <v>0</v>
      </c>
      <c r="P1745" s="56">
        <v>0</v>
      </c>
      <c r="Q1745" s="56">
        <v>527</v>
      </c>
      <c r="R1745" s="56">
        <v>0</v>
      </c>
      <c r="S1745" s="56">
        <v>0</v>
      </c>
      <c r="T1745" s="56" t="s">
        <v>3562</v>
      </c>
      <c r="U1745" s="56">
        <v>527</v>
      </c>
      <c r="V1745" s="56" t="s">
        <v>3561</v>
      </c>
      <c r="W1745" s="56" t="s">
        <v>3548</v>
      </c>
      <c r="X1745" s="56" t="s">
        <v>39</v>
      </c>
      <c r="Y1745" s="56" t="s">
        <v>4538</v>
      </c>
      <c r="Z1745" s="56" t="s">
        <v>4579</v>
      </c>
      <c r="AC1745" s="56" t="s">
        <v>3543</v>
      </c>
      <c r="AD1745" s="56" t="s">
        <v>24</v>
      </c>
      <c r="AE1745" s="56" t="s">
        <v>4530</v>
      </c>
      <c r="AF1745" s="56" t="s">
        <v>4578</v>
      </c>
      <c r="AH1745" s="56" t="s">
        <v>3542</v>
      </c>
      <c r="AI1745" s="56" t="s">
        <v>3723</v>
      </c>
    </row>
    <row r="1746" spans="1:35" ht="33" customHeight="1">
      <c r="A1746" s="56" t="s">
        <v>4582</v>
      </c>
      <c r="B1746" s="57">
        <v>44365.899814814817</v>
      </c>
      <c r="C1746" s="56" t="s">
        <v>3803</v>
      </c>
      <c r="D1746" s="56" t="s">
        <v>3802</v>
      </c>
      <c r="E1746" s="56" t="s">
        <v>4581</v>
      </c>
      <c r="F1746" s="56" t="s">
        <v>4580</v>
      </c>
      <c r="G1746" s="58" t="s">
        <v>1512</v>
      </c>
      <c r="H1746" s="56">
        <v>1</v>
      </c>
      <c r="I1746" s="56" t="s">
        <v>3740</v>
      </c>
      <c r="J1746" s="56">
        <v>220</v>
      </c>
      <c r="K1746" s="56">
        <v>168</v>
      </c>
      <c r="P1746" s="56">
        <v>0</v>
      </c>
      <c r="S1746" s="56">
        <v>0</v>
      </c>
      <c r="T1746" s="56" t="s">
        <v>3562</v>
      </c>
      <c r="V1746" s="56" t="s">
        <v>3561</v>
      </c>
      <c r="W1746" s="56" t="s">
        <v>3548</v>
      </c>
      <c r="X1746" s="56" t="s">
        <v>39</v>
      </c>
      <c r="Y1746" s="56" t="s">
        <v>4538</v>
      </c>
      <c r="Z1746" s="56" t="s">
        <v>4579</v>
      </c>
      <c r="AC1746" s="56" t="s">
        <v>3543</v>
      </c>
      <c r="AD1746" s="56" t="s">
        <v>24</v>
      </c>
      <c r="AE1746" s="56" t="s">
        <v>4530</v>
      </c>
      <c r="AF1746" s="56" t="s">
        <v>4578</v>
      </c>
      <c r="AH1746" s="56" t="s">
        <v>3542</v>
      </c>
      <c r="AI1746" s="56" t="s">
        <v>3723</v>
      </c>
    </row>
    <row r="1747" spans="1:35" ht="33" customHeight="1">
      <c r="A1747" s="56" t="s">
        <v>4582</v>
      </c>
      <c r="B1747" s="57">
        <v>44365.899814814817</v>
      </c>
      <c r="C1747" s="56" t="s">
        <v>3803</v>
      </c>
      <c r="D1747" s="56" t="s">
        <v>3802</v>
      </c>
      <c r="E1747" s="56" t="s">
        <v>4581</v>
      </c>
      <c r="F1747" s="56" t="s">
        <v>4580</v>
      </c>
      <c r="G1747" s="58" t="s">
        <v>3551</v>
      </c>
      <c r="H1747" s="56">
        <v>1</v>
      </c>
      <c r="I1747" s="56" t="s">
        <v>3550</v>
      </c>
      <c r="J1747" s="56">
        <v>0</v>
      </c>
      <c r="K1747" s="56">
        <v>0</v>
      </c>
      <c r="P1747" s="56">
        <v>0</v>
      </c>
      <c r="S1747" s="56">
        <v>0</v>
      </c>
      <c r="T1747" s="56" t="s">
        <v>3562</v>
      </c>
      <c r="V1747" s="56" t="s">
        <v>3561</v>
      </c>
      <c r="W1747" s="56" t="s">
        <v>3548</v>
      </c>
      <c r="X1747" s="56" t="s">
        <v>39</v>
      </c>
      <c r="Y1747" s="56" t="s">
        <v>4538</v>
      </c>
      <c r="Z1747" s="56" t="s">
        <v>4579</v>
      </c>
      <c r="AC1747" s="56" t="s">
        <v>3543</v>
      </c>
      <c r="AD1747" s="56" t="s">
        <v>24</v>
      </c>
      <c r="AE1747" s="56" t="s">
        <v>4530</v>
      </c>
      <c r="AF1747" s="56" t="s">
        <v>4578</v>
      </c>
      <c r="AH1747" s="56" t="s">
        <v>3542</v>
      </c>
      <c r="AI1747" s="56" t="s">
        <v>3723</v>
      </c>
    </row>
    <row r="1748" spans="1:35" ht="33" customHeight="1">
      <c r="A1748" s="56" t="s">
        <v>4577</v>
      </c>
      <c r="B1748" s="57">
        <v>44365.906006944446</v>
      </c>
      <c r="C1748" s="56" t="s">
        <v>3803</v>
      </c>
      <c r="D1748" s="56" t="s">
        <v>3802</v>
      </c>
      <c r="E1748" s="56" t="s">
        <v>4576</v>
      </c>
      <c r="F1748" s="56" t="s">
        <v>4575</v>
      </c>
      <c r="G1748" s="58" t="s">
        <v>3580</v>
      </c>
      <c r="H1748" s="56">
        <v>1</v>
      </c>
      <c r="I1748" s="56" t="s">
        <v>3579</v>
      </c>
      <c r="J1748" s="56">
        <v>336</v>
      </c>
      <c r="K1748" s="56">
        <v>320</v>
      </c>
      <c r="L1748" s="56">
        <v>1108</v>
      </c>
      <c r="M1748" s="56">
        <v>0</v>
      </c>
      <c r="N1748" s="56">
        <v>0</v>
      </c>
      <c r="O1748" s="56">
        <v>108</v>
      </c>
      <c r="P1748" s="56">
        <v>0</v>
      </c>
      <c r="Q1748" s="56">
        <v>1000</v>
      </c>
      <c r="R1748" s="56">
        <v>0</v>
      </c>
      <c r="S1748" s="56">
        <v>0</v>
      </c>
      <c r="T1748" s="56" t="s">
        <v>3562</v>
      </c>
      <c r="U1748" s="56">
        <v>1000</v>
      </c>
      <c r="V1748" s="56" t="s">
        <v>59</v>
      </c>
      <c r="W1748" s="56" t="s">
        <v>3548</v>
      </c>
      <c r="X1748" s="56" t="s">
        <v>39</v>
      </c>
      <c r="Y1748" s="56" t="s">
        <v>4463</v>
      </c>
      <c r="Z1748" s="56" t="s">
        <v>4574</v>
      </c>
      <c r="AC1748" s="56" t="s">
        <v>3543</v>
      </c>
      <c r="AD1748" s="56" t="s">
        <v>24</v>
      </c>
      <c r="AE1748" s="56" t="s">
        <v>4530</v>
      </c>
      <c r="AF1748" s="56" t="s">
        <v>4573</v>
      </c>
      <c r="AH1748" s="56" t="s">
        <v>3542</v>
      </c>
      <c r="AI1748" s="56" t="s">
        <v>3723</v>
      </c>
    </row>
    <row r="1749" spans="1:35" ht="33" customHeight="1">
      <c r="A1749" s="56" t="s">
        <v>4577</v>
      </c>
      <c r="B1749" s="57">
        <v>44365.906006944446</v>
      </c>
      <c r="C1749" s="56" t="s">
        <v>3803</v>
      </c>
      <c r="D1749" s="56" t="s">
        <v>3802</v>
      </c>
      <c r="E1749" s="56" t="s">
        <v>4576</v>
      </c>
      <c r="F1749" s="56" t="s">
        <v>4575</v>
      </c>
      <c r="G1749" s="58" t="s">
        <v>1713</v>
      </c>
      <c r="H1749" s="56">
        <v>1</v>
      </c>
      <c r="I1749" s="56" t="s">
        <v>3587</v>
      </c>
      <c r="J1749" s="56">
        <v>149</v>
      </c>
      <c r="K1749" s="56">
        <v>149</v>
      </c>
      <c r="P1749" s="56">
        <v>0</v>
      </c>
      <c r="S1749" s="56">
        <v>0</v>
      </c>
      <c r="T1749" s="56" t="s">
        <v>3562</v>
      </c>
      <c r="V1749" s="56" t="s">
        <v>59</v>
      </c>
      <c r="W1749" s="56" t="s">
        <v>3548</v>
      </c>
      <c r="X1749" s="56" t="s">
        <v>39</v>
      </c>
      <c r="Y1749" s="56" t="s">
        <v>4463</v>
      </c>
      <c r="Z1749" s="56" t="s">
        <v>4574</v>
      </c>
      <c r="AC1749" s="56" t="s">
        <v>3543</v>
      </c>
      <c r="AD1749" s="56" t="s">
        <v>24</v>
      </c>
      <c r="AE1749" s="56" t="s">
        <v>4530</v>
      </c>
      <c r="AF1749" s="56" t="s">
        <v>4573</v>
      </c>
      <c r="AH1749" s="56" t="s">
        <v>3542</v>
      </c>
      <c r="AI1749" s="56" t="s">
        <v>3723</v>
      </c>
    </row>
    <row r="1750" spans="1:35" ht="33" customHeight="1">
      <c r="A1750" s="56" t="s">
        <v>4577</v>
      </c>
      <c r="B1750" s="57">
        <v>44365.906006944446</v>
      </c>
      <c r="C1750" s="56" t="s">
        <v>3803</v>
      </c>
      <c r="D1750" s="56" t="s">
        <v>3802</v>
      </c>
      <c r="E1750" s="56" t="s">
        <v>4576</v>
      </c>
      <c r="F1750" s="56" t="s">
        <v>4575</v>
      </c>
      <c r="G1750" s="58" t="s">
        <v>3603</v>
      </c>
      <c r="H1750" s="56">
        <v>1</v>
      </c>
      <c r="I1750" s="56" t="s">
        <v>3602</v>
      </c>
      <c r="J1750" s="56">
        <v>447</v>
      </c>
      <c r="K1750" s="56">
        <v>399</v>
      </c>
      <c r="P1750" s="56">
        <v>0</v>
      </c>
      <c r="S1750" s="56">
        <v>0</v>
      </c>
      <c r="T1750" s="56" t="s">
        <v>3562</v>
      </c>
      <c r="V1750" s="56" t="s">
        <v>59</v>
      </c>
      <c r="W1750" s="56" t="s">
        <v>3548</v>
      </c>
      <c r="X1750" s="56" t="s">
        <v>39</v>
      </c>
      <c r="Y1750" s="56" t="s">
        <v>4463</v>
      </c>
      <c r="Z1750" s="56" t="s">
        <v>4574</v>
      </c>
      <c r="AC1750" s="56" t="s">
        <v>3543</v>
      </c>
      <c r="AD1750" s="56" t="s">
        <v>24</v>
      </c>
      <c r="AE1750" s="56" t="s">
        <v>4530</v>
      </c>
      <c r="AF1750" s="56" t="s">
        <v>4573</v>
      </c>
      <c r="AH1750" s="56" t="s">
        <v>3542</v>
      </c>
      <c r="AI1750" s="56" t="s">
        <v>3723</v>
      </c>
    </row>
    <row r="1751" spans="1:35" ht="33" customHeight="1">
      <c r="A1751" s="56" t="s">
        <v>4577</v>
      </c>
      <c r="B1751" s="57">
        <v>44365.906006944446</v>
      </c>
      <c r="C1751" s="56" t="s">
        <v>3803</v>
      </c>
      <c r="D1751" s="56" t="s">
        <v>3802</v>
      </c>
      <c r="E1751" s="56" t="s">
        <v>4576</v>
      </c>
      <c r="F1751" s="56" t="s">
        <v>4575</v>
      </c>
      <c r="G1751" s="58" t="s">
        <v>3196</v>
      </c>
      <c r="H1751" s="56">
        <v>2</v>
      </c>
      <c r="I1751" s="56" t="s">
        <v>2550</v>
      </c>
      <c r="J1751" s="56">
        <v>120</v>
      </c>
      <c r="K1751" s="56">
        <v>120</v>
      </c>
      <c r="P1751" s="56">
        <v>0</v>
      </c>
      <c r="S1751" s="56">
        <v>0</v>
      </c>
      <c r="T1751" s="56" t="s">
        <v>3562</v>
      </c>
      <c r="V1751" s="56" t="s">
        <v>59</v>
      </c>
      <c r="W1751" s="56" t="s">
        <v>3548</v>
      </c>
      <c r="X1751" s="56" t="s">
        <v>39</v>
      </c>
      <c r="Y1751" s="56" t="s">
        <v>4463</v>
      </c>
      <c r="Z1751" s="56" t="s">
        <v>4574</v>
      </c>
      <c r="AC1751" s="56" t="s">
        <v>3543</v>
      </c>
      <c r="AD1751" s="56" t="s">
        <v>24</v>
      </c>
      <c r="AE1751" s="56" t="s">
        <v>4530</v>
      </c>
      <c r="AF1751" s="56" t="s">
        <v>4573</v>
      </c>
      <c r="AH1751" s="56" t="s">
        <v>3542</v>
      </c>
      <c r="AI1751" s="56" t="s">
        <v>3723</v>
      </c>
    </row>
    <row r="1752" spans="1:35" ht="33" customHeight="1">
      <c r="A1752" s="56" t="s">
        <v>4577</v>
      </c>
      <c r="B1752" s="57">
        <v>44365.906006944446</v>
      </c>
      <c r="C1752" s="56" t="s">
        <v>3803</v>
      </c>
      <c r="D1752" s="56" t="s">
        <v>3802</v>
      </c>
      <c r="E1752" s="56" t="s">
        <v>4576</v>
      </c>
      <c r="F1752" s="56" t="s">
        <v>4575</v>
      </c>
      <c r="G1752" s="58" t="s">
        <v>3551</v>
      </c>
      <c r="H1752" s="56">
        <v>1</v>
      </c>
      <c r="I1752" s="56" t="s">
        <v>3550</v>
      </c>
      <c r="J1752" s="56">
        <v>0</v>
      </c>
      <c r="K1752" s="56">
        <v>0</v>
      </c>
      <c r="P1752" s="56">
        <v>0</v>
      </c>
      <c r="S1752" s="56">
        <v>0</v>
      </c>
      <c r="T1752" s="56" t="s">
        <v>3562</v>
      </c>
      <c r="V1752" s="56" t="s">
        <v>59</v>
      </c>
      <c r="W1752" s="56" t="s">
        <v>3548</v>
      </c>
      <c r="X1752" s="56" t="s">
        <v>39</v>
      </c>
      <c r="Y1752" s="56" t="s">
        <v>4463</v>
      </c>
      <c r="Z1752" s="56" t="s">
        <v>4574</v>
      </c>
      <c r="AC1752" s="56" t="s">
        <v>3543</v>
      </c>
      <c r="AD1752" s="56" t="s">
        <v>24</v>
      </c>
      <c r="AE1752" s="56" t="s">
        <v>4530</v>
      </c>
      <c r="AF1752" s="56" t="s">
        <v>4573</v>
      </c>
      <c r="AH1752" s="56" t="s">
        <v>3542</v>
      </c>
      <c r="AI1752" s="56" t="s">
        <v>3723</v>
      </c>
    </row>
    <row r="1753" spans="1:35" ht="33" customHeight="1">
      <c r="A1753" s="56" t="s">
        <v>4577</v>
      </c>
      <c r="B1753" s="57">
        <v>44365.906006944446</v>
      </c>
      <c r="C1753" s="56" t="s">
        <v>3803</v>
      </c>
      <c r="D1753" s="56" t="s">
        <v>3802</v>
      </c>
      <c r="E1753" s="56" t="s">
        <v>4576</v>
      </c>
      <c r="F1753" s="56" t="s">
        <v>4575</v>
      </c>
      <c r="G1753" s="58" t="s">
        <v>1498</v>
      </c>
      <c r="H1753" s="56">
        <v>1</v>
      </c>
      <c r="I1753" s="56" t="s">
        <v>4016</v>
      </c>
      <c r="J1753" s="56">
        <v>0</v>
      </c>
      <c r="K1753" s="56">
        <v>0</v>
      </c>
      <c r="P1753" s="56">
        <v>0</v>
      </c>
      <c r="S1753" s="56">
        <v>0</v>
      </c>
      <c r="T1753" s="56" t="s">
        <v>3562</v>
      </c>
      <c r="V1753" s="56" t="s">
        <v>59</v>
      </c>
      <c r="W1753" s="56" t="s">
        <v>3548</v>
      </c>
      <c r="X1753" s="56" t="s">
        <v>39</v>
      </c>
      <c r="Y1753" s="56" t="s">
        <v>4463</v>
      </c>
      <c r="Z1753" s="56" t="s">
        <v>4574</v>
      </c>
      <c r="AC1753" s="56" t="s">
        <v>3543</v>
      </c>
      <c r="AD1753" s="56" t="s">
        <v>24</v>
      </c>
      <c r="AE1753" s="56" t="s">
        <v>4530</v>
      </c>
      <c r="AF1753" s="56" t="s">
        <v>4573</v>
      </c>
      <c r="AH1753" s="56" t="s">
        <v>3542</v>
      </c>
      <c r="AI1753" s="56" t="s">
        <v>3723</v>
      </c>
    </row>
    <row r="1754" spans="1:35" ht="33" customHeight="1">
      <c r="A1754" s="56" t="s">
        <v>4572</v>
      </c>
      <c r="B1754" s="57">
        <v>44365.907164351855</v>
      </c>
      <c r="C1754" s="56" t="s">
        <v>3803</v>
      </c>
      <c r="D1754" s="56" t="s">
        <v>3802</v>
      </c>
      <c r="E1754" s="56" t="s">
        <v>4571</v>
      </c>
      <c r="F1754" s="56" t="s">
        <v>4570</v>
      </c>
      <c r="G1754" s="58" t="s">
        <v>3580</v>
      </c>
      <c r="H1754" s="56">
        <v>1</v>
      </c>
      <c r="I1754" s="56" t="s">
        <v>3579</v>
      </c>
      <c r="J1754" s="56">
        <v>336</v>
      </c>
      <c r="K1754" s="56">
        <v>320</v>
      </c>
      <c r="L1754" s="56">
        <v>1418</v>
      </c>
      <c r="M1754" s="56">
        <v>0</v>
      </c>
      <c r="N1754" s="56">
        <v>0</v>
      </c>
      <c r="O1754" s="56">
        <v>142</v>
      </c>
      <c r="P1754" s="56">
        <v>0</v>
      </c>
      <c r="Q1754" s="56">
        <v>1276</v>
      </c>
      <c r="R1754" s="56">
        <v>0</v>
      </c>
      <c r="S1754" s="56">
        <v>0</v>
      </c>
      <c r="T1754" s="56" t="s">
        <v>3562</v>
      </c>
      <c r="U1754" s="56">
        <v>1276</v>
      </c>
      <c r="V1754" s="56" t="s">
        <v>59</v>
      </c>
      <c r="W1754" s="56" t="s">
        <v>3548</v>
      </c>
      <c r="X1754" s="56" t="s">
        <v>39</v>
      </c>
      <c r="Y1754" s="56" t="s">
        <v>4569</v>
      </c>
      <c r="Z1754" s="56" t="s">
        <v>4568</v>
      </c>
      <c r="AC1754" s="56" t="s">
        <v>3543</v>
      </c>
      <c r="AD1754" s="56" t="s">
        <v>24</v>
      </c>
      <c r="AE1754" s="56" t="s">
        <v>4530</v>
      </c>
      <c r="AF1754" s="56" t="s">
        <v>4567</v>
      </c>
      <c r="AH1754" s="56" t="s">
        <v>3542</v>
      </c>
      <c r="AI1754" s="56" t="s">
        <v>3723</v>
      </c>
    </row>
    <row r="1755" spans="1:35" ht="33" customHeight="1">
      <c r="A1755" s="56" t="s">
        <v>4572</v>
      </c>
      <c r="B1755" s="57">
        <v>44365.907164351855</v>
      </c>
      <c r="C1755" s="56" t="s">
        <v>3803</v>
      </c>
      <c r="D1755" s="56" t="s">
        <v>3802</v>
      </c>
      <c r="E1755" s="56" t="s">
        <v>4571</v>
      </c>
      <c r="F1755" s="56" t="s">
        <v>4570</v>
      </c>
      <c r="G1755" s="58" t="s">
        <v>3174</v>
      </c>
      <c r="H1755" s="56">
        <v>1</v>
      </c>
      <c r="I1755" s="56" t="s">
        <v>3791</v>
      </c>
      <c r="J1755" s="56">
        <v>299</v>
      </c>
      <c r="K1755" s="56">
        <v>299</v>
      </c>
      <c r="P1755" s="56">
        <v>0</v>
      </c>
      <c r="S1755" s="56">
        <v>0</v>
      </c>
      <c r="T1755" s="56" t="s">
        <v>3562</v>
      </c>
      <c r="V1755" s="56" t="s">
        <v>59</v>
      </c>
      <c r="W1755" s="56" t="s">
        <v>3548</v>
      </c>
      <c r="X1755" s="56" t="s">
        <v>39</v>
      </c>
      <c r="Y1755" s="56" t="s">
        <v>4569</v>
      </c>
      <c r="Z1755" s="56" t="s">
        <v>4568</v>
      </c>
      <c r="AC1755" s="56" t="s">
        <v>3543</v>
      </c>
      <c r="AD1755" s="56" t="s">
        <v>24</v>
      </c>
      <c r="AE1755" s="56" t="s">
        <v>4530</v>
      </c>
      <c r="AF1755" s="56" t="s">
        <v>4567</v>
      </c>
      <c r="AH1755" s="56" t="s">
        <v>3542</v>
      </c>
      <c r="AI1755" s="56" t="s">
        <v>3723</v>
      </c>
    </row>
    <row r="1756" spans="1:35" ht="33" customHeight="1">
      <c r="A1756" s="56" t="s">
        <v>4572</v>
      </c>
      <c r="B1756" s="57">
        <v>44365.907164351855</v>
      </c>
      <c r="C1756" s="56" t="s">
        <v>3803</v>
      </c>
      <c r="D1756" s="56" t="s">
        <v>3802</v>
      </c>
      <c r="E1756" s="56" t="s">
        <v>4571</v>
      </c>
      <c r="F1756" s="56" t="s">
        <v>4570</v>
      </c>
      <c r="G1756" s="58" t="s">
        <v>3656</v>
      </c>
      <c r="H1756" s="56">
        <v>1</v>
      </c>
      <c r="I1756" s="56" t="s">
        <v>3655</v>
      </c>
      <c r="J1756" s="56">
        <v>1107</v>
      </c>
      <c r="K1756" s="56">
        <v>799</v>
      </c>
      <c r="P1756" s="56">
        <v>0</v>
      </c>
      <c r="S1756" s="56">
        <v>0</v>
      </c>
      <c r="T1756" s="56" t="s">
        <v>3562</v>
      </c>
      <c r="V1756" s="56" t="s">
        <v>59</v>
      </c>
      <c r="W1756" s="56" t="s">
        <v>3548</v>
      </c>
      <c r="X1756" s="56" t="s">
        <v>39</v>
      </c>
      <c r="Y1756" s="56" t="s">
        <v>4569</v>
      </c>
      <c r="Z1756" s="56" t="s">
        <v>4568</v>
      </c>
      <c r="AC1756" s="56" t="s">
        <v>3543</v>
      </c>
      <c r="AD1756" s="56" t="s">
        <v>24</v>
      </c>
      <c r="AE1756" s="56" t="s">
        <v>4530</v>
      </c>
      <c r="AF1756" s="56" t="s">
        <v>4567</v>
      </c>
      <c r="AH1756" s="56" t="s">
        <v>3542</v>
      </c>
      <c r="AI1756" s="56" t="s">
        <v>3723</v>
      </c>
    </row>
    <row r="1757" spans="1:35" ht="33" customHeight="1">
      <c r="A1757" s="56" t="s">
        <v>4572</v>
      </c>
      <c r="B1757" s="57">
        <v>44365.907164351855</v>
      </c>
      <c r="C1757" s="56" t="s">
        <v>3803</v>
      </c>
      <c r="D1757" s="56" t="s">
        <v>3802</v>
      </c>
      <c r="E1757" s="56" t="s">
        <v>4571</v>
      </c>
      <c r="F1757" s="56" t="s">
        <v>4570</v>
      </c>
      <c r="G1757" s="58" t="s">
        <v>3551</v>
      </c>
      <c r="H1757" s="56">
        <v>1</v>
      </c>
      <c r="I1757" s="56" t="s">
        <v>3550</v>
      </c>
      <c r="J1757" s="56">
        <v>0</v>
      </c>
      <c r="K1757" s="56">
        <v>0</v>
      </c>
      <c r="P1757" s="56">
        <v>0</v>
      </c>
      <c r="S1757" s="56">
        <v>0</v>
      </c>
      <c r="T1757" s="56" t="s">
        <v>3562</v>
      </c>
      <c r="V1757" s="56" t="s">
        <v>59</v>
      </c>
      <c r="W1757" s="56" t="s">
        <v>3548</v>
      </c>
      <c r="X1757" s="56" t="s">
        <v>39</v>
      </c>
      <c r="Y1757" s="56" t="s">
        <v>4569</v>
      </c>
      <c r="Z1757" s="56" t="s">
        <v>4568</v>
      </c>
      <c r="AC1757" s="56" t="s">
        <v>3543</v>
      </c>
      <c r="AD1757" s="56" t="s">
        <v>24</v>
      </c>
      <c r="AE1757" s="56" t="s">
        <v>4530</v>
      </c>
      <c r="AF1757" s="56" t="s">
        <v>4567</v>
      </c>
      <c r="AH1757" s="56" t="s">
        <v>3542</v>
      </c>
      <c r="AI1757" s="56" t="s">
        <v>3723</v>
      </c>
    </row>
    <row r="1758" spans="1:35" ht="33" customHeight="1">
      <c r="A1758" s="56" t="s">
        <v>4572</v>
      </c>
      <c r="B1758" s="57">
        <v>44365.907164351855</v>
      </c>
      <c r="C1758" s="56" t="s">
        <v>3803</v>
      </c>
      <c r="D1758" s="56" t="s">
        <v>3802</v>
      </c>
      <c r="E1758" s="56" t="s">
        <v>4571</v>
      </c>
      <c r="F1758" s="56" t="s">
        <v>4570</v>
      </c>
      <c r="G1758" s="58" t="s">
        <v>1498</v>
      </c>
      <c r="H1758" s="56">
        <v>1</v>
      </c>
      <c r="I1758" s="56" t="s">
        <v>4016</v>
      </c>
      <c r="J1758" s="56">
        <v>0</v>
      </c>
      <c r="K1758" s="56">
        <v>0</v>
      </c>
      <c r="P1758" s="56">
        <v>0</v>
      </c>
      <c r="S1758" s="56">
        <v>0</v>
      </c>
      <c r="T1758" s="56" t="s">
        <v>3562</v>
      </c>
      <c r="V1758" s="56" t="s">
        <v>59</v>
      </c>
      <c r="W1758" s="56" t="s">
        <v>3548</v>
      </c>
      <c r="X1758" s="56" t="s">
        <v>39</v>
      </c>
      <c r="Y1758" s="56" t="s">
        <v>4569</v>
      </c>
      <c r="Z1758" s="56" t="s">
        <v>4568</v>
      </c>
      <c r="AC1758" s="56" t="s">
        <v>3543</v>
      </c>
      <c r="AD1758" s="56" t="s">
        <v>24</v>
      </c>
      <c r="AE1758" s="56" t="s">
        <v>4530</v>
      </c>
      <c r="AF1758" s="56" t="s">
        <v>4567</v>
      </c>
      <c r="AH1758" s="56" t="s">
        <v>3542</v>
      </c>
      <c r="AI1758" s="56" t="s">
        <v>3723</v>
      </c>
    </row>
    <row r="1759" spans="1:35" ht="33" customHeight="1">
      <c r="A1759" s="56" t="s">
        <v>4566</v>
      </c>
      <c r="B1759" s="57">
        <v>44365.907384259262</v>
      </c>
      <c r="C1759" s="56" t="s">
        <v>3803</v>
      </c>
      <c r="D1759" s="56" t="s">
        <v>4426</v>
      </c>
      <c r="E1759" s="56" t="s">
        <v>4565</v>
      </c>
      <c r="F1759" s="56" t="s">
        <v>4564</v>
      </c>
      <c r="G1759" s="58" t="s">
        <v>3656</v>
      </c>
      <c r="H1759" s="56">
        <v>1</v>
      </c>
      <c r="I1759" s="56" t="s">
        <v>3655</v>
      </c>
      <c r="J1759" s="56">
        <v>1107</v>
      </c>
      <c r="K1759" s="56">
        <v>799</v>
      </c>
      <c r="L1759" s="56">
        <v>1119</v>
      </c>
      <c r="M1759" s="56">
        <v>0</v>
      </c>
      <c r="N1759" s="56">
        <v>0</v>
      </c>
      <c r="O1759" s="56">
        <v>112</v>
      </c>
      <c r="P1759" s="56">
        <v>0</v>
      </c>
      <c r="Q1759" s="56">
        <v>1007</v>
      </c>
      <c r="R1759" s="56">
        <v>0</v>
      </c>
      <c r="S1759" s="56">
        <v>0</v>
      </c>
      <c r="T1759" s="56" t="s">
        <v>27</v>
      </c>
      <c r="U1759" s="56">
        <v>1007</v>
      </c>
      <c r="V1759" s="56" t="s">
        <v>3549</v>
      </c>
      <c r="W1759" s="56" t="s">
        <v>3548</v>
      </c>
      <c r="X1759" s="56" t="s">
        <v>3547</v>
      </c>
      <c r="Z1759" s="56" t="s">
        <v>3546</v>
      </c>
      <c r="AA1759" s="56" t="s">
        <v>1095</v>
      </c>
      <c r="AB1759" s="56" t="s">
        <v>4563</v>
      </c>
      <c r="AC1759" s="56" t="s">
        <v>3543</v>
      </c>
      <c r="AH1759" s="56" t="s">
        <v>3542</v>
      </c>
      <c r="AI1759" s="56" t="s">
        <v>3541</v>
      </c>
    </row>
    <row r="1760" spans="1:35" ht="33" customHeight="1">
      <c r="A1760" s="56" t="s">
        <v>4566</v>
      </c>
      <c r="B1760" s="57">
        <v>44365.907384259262</v>
      </c>
      <c r="C1760" s="56" t="s">
        <v>3803</v>
      </c>
      <c r="D1760" s="56" t="s">
        <v>4426</v>
      </c>
      <c r="E1760" s="56" t="s">
        <v>4565</v>
      </c>
      <c r="F1760" s="56" t="s">
        <v>4564</v>
      </c>
      <c r="G1760" s="58" t="s">
        <v>3580</v>
      </c>
      <c r="H1760" s="56">
        <v>1</v>
      </c>
      <c r="I1760" s="56" t="s">
        <v>3579</v>
      </c>
      <c r="J1760" s="56">
        <v>336</v>
      </c>
      <c r="K1760" s="56">
        <v>320</v>
      </c>
      <c r="P1760" s="56">
        <v>0</v>
      </c>
      <c r="S1760" s="56">
        <v>0</v>
      </c>
      <c r="T1760" s="56" t="s">
        <v>27</v>
      </c>
      <c r="V1760" s="56" t="s">
        <v>3549</v>
      </c>
      <c r="W1760" s="56" t="s">
        <v>3548</v>
      </c>
      <c r="X1760" s="56" t="s">
        <v>3547</v>
      </c>
      <c r="Z1760" s="56" t="s">
        <v>3546</v>
      </c>
      <c r="AA1760" s="56" t="s">
        <v>1095</v>
      </c>
      <c r="AB1760" s="56" t="s">
        <v>4563</v>
      </c>
      <c r="AC1760" s="56" t="s">
        <v>3543</v>
      </c>
      <c r="AH1760" s="56" t="s">
        <v>3542</v>
      </c>
      <c r="AI1760" s="56" t="s">
        <v>3541</v>
      </c>
    </row>
    <row r="1761" spans="1:35" ht="33" customHeight="1">
      <c r="A1761" s="56" t="s">
        <v>4566</v>
      </c>
      <c r="B1761" s="57">
        <v>44365.907384259262</v>
      </c>
      <c r="C1761" s="56" t="s">
        <v>3803</v>
      </c>
      <c r="D1761" s="56" t="s">
        <v>4426</v>
      </c>
      <c r="E1761" s="56" t="s">
        <v>4565</v>
      </c>
      <c r="F1761" s="56" t="s">
        <v>4564</v>
      </c>
      <c r="G1761" s="58" t="s">
        <v>3551</v>
      </c>
      <c r="H1761" s="56">
        <v>1</v>
      </c>
      <c r="I1761" s="56" t="s">
        <v>3550</v>
      </c>
      <c r="J1761" s="56">
        <v>0</v>
      </c>
      <c r="K1761" s="56">
        <v>0</v>
      </c>
      <c r="P1761" s="56">
        <v>0</v>
      </c>
      <c r="S1761" s="56">
        <v>0</v>
      </c>
      <c r="T1761" s="56" t="s">
        <v>27</v>
      </c>
      <c r="V1761" s="56" t="s">
        <v>3549</v>
      </c>
      <c r="W1761" s="56" t="s">
        <v>3548</v>
      </c>
      <c r="X1761" s="56" t="s">
        <v>3547</v>
      </c>
      <c r="Z1761" s="56" t="s">
        <v>3546</v>
      </c>
      <c r="AA1761" s="56" t="s">
        <v>1095</v>
      </c>
      <c r="AB1761" s="56" t="s">
        <v>4563</v>
      </c>
      <c r="AC1761" s="56" t="s">
        <v>3543</v>
      </c>
      <c r="AH1761" s="56" t="s">
        <v>3542</v>
      </c>
      <c r="AI1761" s="56" t="s">
        <v>3541</v>
      </c>
    </row>
    <row r="1762" spans="1:35" ht="33" customHeight="1">
      <c r="A1762" s="56" t="s">
        <v>4566</v>
      </c>
      <c r="B1762" s="57">
        <v>44365.907384259262</v>
      </c>
      <c r="C1762" s="56" t="s">
        <v>3803</v>
      </c>
      <c r="D1762" s="56" t="s">
        <v>4426</v>
      </c>
      <c r="E1762" s="56" t="s">
        <v>4565</v>
      </c>
      <c r="F1762" s="56" t="s">
        <v>4564</v>
      </c>
      <c r="G1762" s="58" t="s">
        <v>1498</v>
      </c>
      <c r="H1762" s="56">
        <v>1</v>
      </c>
      <c r="I1762" s="56" t="s">
        <v>4016</v>
      </c>
      <c r="J1762" s="56">
        <v>0</v>
      </c>
      <c r="K1762" s="56">
        <v>0</v>
      </c>
      <c r="P1762" s="56">
        <v>0</v>
      </c>
      <c r="S1762" s="56">
        <v>0</v>
      </c>
      <c r="T1762" s="56" t="s">
        <v>27</v>
      </c>
      <c r="V1762" s="56" t="s">
        <v>3549</v>
      </c>
      <c r="W1762" s="56" t="s">
        <v>3548</v>
      </c>
      <c r="X1762" s="56" t="s">
        <v>3547</v>
      </c>
      <c r="Z1762" s="56" t="s">
        <v>3546</v>
      </c>
      <c r="AA1762" s="56" t="s">
        <v>1095</v>
      </c>
      <c r="AB1762" s="56" t="s">
        <v>4563</v>
      </c>
      <c r="AC1762" s="56" t="s">
        <v>3543</v>
      </c>
      <c r="AH1762" s="56" t="s">
        <v>3542</v>
      </c>
      <c r="AI1762" s="56" t="s">
        <v>3541</v>
      </c>
    </row>
    <row r="1763" spans="1:35" ht="33" customHeight="1">
      <c r="A1763" s="56" t="s">
        <v>4562</v>
      </c>
      <c r="B1763" s="57">
        <v>44365.907824074071</v>
      </c>
      <c r="C1763" s="56" t="s">
        <v>3803</v>
      </c>
      <c r="D1763" s="56" t="s">
        <v>3802</v>
      </c>
      <c r="E1763" s="56" t="s">
        <v>4561</v>
      </c>
      <c r="F1763" s="56" t="s">
        <v>4560</v>
      </c>
      <c r="G1763" s="58" t="s">
        <v>3580</v>
      </c>
      <c r="H1763" s="56">
        <v>1</v>
      </c>
      <c r="I1763" s="56" t="s">
        <v>3579</v>
      </c>
      <c r="J1763" s="56">
        <v>336</v>
      </c>
      <c r="K1763" s="56">
        <v>320</v>
      </c>
      <c r="L1763" s="56">
        <v>1218</v>
      </c>
      <c r="M1763" s="56">
        <v>0</v>
      </c>
      <c r="N1763" s="56">
        <v>0</v>
      </c>
      <c r="O1763" s="56">
        <v>122</v>
      </c>
      <c r="P1763" s="56">
        <v>0</v>
      </c>
      <c r="Q1763" s="56">
        <v>1096</v>
      </c>
      <c r="R1763" s="56">
        <v>0</v>
      </c>
      <c r="S1763" s="56">
        <v>0</v>
      </c>
      <c r="T1763" s="56" t="s">
        <v>3562</v>
      </c>
      <c r="U1763" s="56">
        <v>1096</v>
      </c>
      <c r="V1763" s="56" t="s">
        <v>59</v>
      </c>
      <c r="W1763" s="56" t="s">
        <v>3548</v>
      </c>
      <c r="X1763" s="56" t="s">
        <v>39</v>
      </c>
      <c r="Y1763" s="56" t="s">
        <v>4559</v>
      </c>
      <c r="Z1763" s="56" t="s">
        <v>4558</v>
      </c>
      <c r="AC1763" s="56" t="s">
        <v>3543</v>
      </c>
      <c r="AD1763" s="56" t="s">
        <v>24</v>
      </c>
      <c r="AE1763" s="56" t="s">
        <v>4530</v>
      </c>
      <c r="AF1763" s="56" t="s">
        <v>4557</v>
      </c>
      <c r="AH1763" s="56" t="s">
        <v>3542</v>
      </c>
      <c r="AI1763" s="56" t="s">
        <v>3723</v>
      </c>
    </row>
    <row r="1764" spans="1:35" ht="33" customHeight="1">
      <c r="A1764" s="56" t="s">
        <v>4562</v>
      </c>
      <c r="B1764" s="57">
        <v>44365.907824074071</v>
      </c>
      <c r="C1764" s="56" t="s">
        <v>3803</v>
      </c>
      <c r="D1764" s="56" t="s">
        <v>3802</v>
      </c>
      <c r="E1764" s="56" t="s">
        <v>4561</v>
      </c>
      <c r="F1764" s="56" t="s">
        <v>4560</v>
      </c>
      <c r="G1764" s="58" t="s">
        <v>3174</v>
      </c>
      <c r="H1764" s="56">
        <v>1</v>
      </c>
      <c r="I1764" s="56" t="s">
        <v>3791</v>
      </c>
      <c r="J1764" s="56">
        <v>299</v>
      </c>
      <c r="K1764" s="56">
        <v>299</v>
      </c>
      <c r="P1764" s="56">
        <v>0</v>
      </c>
      <c r="S1764" s="56">
        <v>0</v>
      </c>
      <c r="T1764" s="56" t="s">
        <v>3562</v>
      </c>
      <c r="V1764" s="56" t="s">
        <v>59</v>
      </c>
      <c r="W1764" s="56" t="s">
        <v>3548</v>
      </c>
      <c r="X1764" s="56" t="s">
        <v>39</v>
      </c>
      <c r="Y1764" s="56" t="s">
        <v>4559</v>
      </c>
      <c r="Z1764" s="56" t="s">
        <v>4558</v>
      </c>
      <c r="AC1764" s="56" t="s">
        <v>3543</v>
      </c>
      <c r="AD1764" s="56" t="s">
        <v>24</v>
      </c>
      <c r="AE1764" s="56" t="s">
        <v>4530</v>
      </c>
      <c r="AF1764" s="56" t="s">
        <v>4557</v>
      </c>
      <c r="AH1764" s="56" t="s">
        <v>3542</v>
      </c>
      <c r="AI1764" s="56" t="s">
        <v>3723</v>
      </c>
    </row>
    <row r="1765" spans="1:35" ht="33" customHeight="1">
      <c r="A1765" s="56" t="s">
        <v>4562</v>
      </c>
      <c r="B1765" s="57">
        <v>44365.907824074071</v>
      </c>
      <c r="C1765" s="56" t="s">
        <v>3803</v>
      </c>
      <c r="D1765" s="56" t="s">
        <v>3802</v>
      </c>
      <c r="E1765" s="56" t="s">
        <v>4561</v>
      </c>
      <c r="F1765" s="56" t="s">
        <v>4560</v>
      </c>
      <c r="G1765" s="58" t="s">
        <v>3668</v>
      </c>
      <c r="H1765" s="56">
        <v>1</v>
      </c>
      <c r="I1765" s="56" t="s">
        <v>3577</v>
      </c>
      <c r="J1765" s="56">
        <v>700</v>
      </c>
      <c r="K1765" s="56">
        <v>599</v>
      </c>
      <c r="P1765" s="56">
        <v>0</v>
      </c>
      <c r="S1765" s="56">
        <v>0</v>
      </c>
      <c r="T1765" s="56" t="s">
        <v>3562</v>
      </c>
      <c r="V1765" s="56" t="s">
        <v>59</v>
      </c>
      <c r="W1765" s="56" t="s">
        <v>3548</v>
      </c>
      <c r="X1765" s="56" t="s">
        <v>39</v>
      </c>
      <c r="Y1765" s="56" t="s">
        <v>4559</v>
      </c>
      <c r="Z1765" s="56" t="s">
        <v>4558</v>
      </c>
      <c r="AC1765" s="56" t="s">
        <v>3543</v>
      </c>
      <c r="AD1765" s="56" t="s">
        <v>24</v>
      </c>
      <c r="AE1765" s="56" t="s">
        <v>4530</v>
      </c>
      <c r="AF1765" s="56" t="s">
        <v>4557</v>
      </c>
      <c r="AH1765" s="56" t="s">
        <v>3542</v>
      </c>
      <c r="AI1765" s="56" t="s">
        <v>3723</v>
      </c>
    </row>
    <row r="1766" spans="1:35" ht="33" customHeight="1">
      <c r="A1766" s="56" t="s">
        <v>4562</v>
      </c>
      <c r="B1766" s="57">
        <v>44365.907824074071</v>
      </c>
      <c r="C1766" s="56" t="s">
        <v>3803</v>
      </c>
      <c r="D1766" s="56" t="s">
        <v>3802</v>
      </c>
      <c r="E1766" s="56" t="s">
        <v>4561</v>
      </c>
      <c r="F1766" s="56" t="s">
        <v>4560</v>
      </c>
      <c r="G1766" s="58" t="s">
        <v>3551</v>
      </c>
      <c r="H1766" s="56">
        <v>1</v>
      </c>
      <c r="I1766" s="56" t="s">
        <v>3550</v>
      </c>
      <c r="J1766" s="56">
        <v>0</v>
      </c>
      <c r="K1766" s="56">
        <v>0</v>
      </c>
      <c r="P1766" s="56">
        <v>0</v>
      </c>
      <c r="S1766" s="56">
        <v>0</v>
      </c>
      <c r="T1766" s="56" t="s">
        <v>3562</v>
      </c>
      <c r="V1766" s="56" t="s">
        <v>59</v>
      </c>
      <c r="W1766" s="56" t="s">
        <v>3548</v>
      </c>
      <c r="X1766" s="56" t="s">
        <v>39</v>
      </c>
      <c r="Y1766" s="56" t="s">
        <v>4559</v>
      </c>
      <c r="Z1766" s="56" t="s">
        <v>4558</v>
      </c>
      <c r="AC1766" s="56" t="s">
        <v>3543</v>
      </c>
      <c r="AD1766" s="56" t="s">
        <v>24</v>
      </c>
      <c r="AE1766" s="56" t="s">
        <v>4530</v>
      </c>
      <c r="AF1766" s="56" t="s">
        <v>4557</v>
      </c>
      <c r="AH1766" s="56" t="s">
        <v>3542</v>
      </c>
      <c r="AI1766" s="56" t="s">
        <v>3723</v>
      </c>
    </row>
    <row r="1767" spans="1:35" ht="33" customHeight="1">
      <c r="A1767" s="56" t="s">
        <v>4562</v>
      </c>
      <c r="B1767" s="57">
        <v>44365.907824074071</v>
      </c>
      <c r="C1767" s="56" t="s">
        <v>3803</v>
      </c>
      <c r="D1767" s="56" t="s">
        <v>3802</v>
      </c>
      <c r="E1767" s="56" t="s">
        <v>4561</v>
      </c>
      <c r="F1767" s="56" t="s">
        <v>4560</v>
      </c>
      <c r="G1767" s="58" t="s">
        <v>1498</v>
      </c>
      <c r="H1767" s="56">
        <v>1</v>
      </c>
      <c r="I1767" s="56" t="s">
        <v>4016</v>
      </c>
      <c r="J1767" s="56">
        <v>0</v>
      </c>
      <c r="K1767" s="56">
        <v>0</v>
      </c>
      <c r="P1767" s="56">
        <v>0</v>
      </c>
      <c r="S1767" s="56">
        <v>0</v>
      </c>
      <c r="T1767" s="56" t="s">
        <v>3562</v>
      </c>
      <c r="V1767" s="56" t="s">
        <v>59</v>
      </c>
      <c r="W1767" s="56" t="s">
        <v>3548</v>
      </c>
      <c r="X1767" s="56" t="s">
        <v>39</v>
      </c>
      <c r="Y1767" s="56" t="s">
        <v>4559</v>
      </c>
      <c r="Z1767" s="56" t="s">
        <v>4558</v>
      </c>
      <c r="AC1767" s="56" t="s">
        <v>3543</v>
      </c>
      <c r="AD1767" s="56" t="s">
        <v>24</v>
      </c>
      <c r="AE1767" s="56" t="s">
        <v>4530</v>
      </c>
      <c r="AF1767" s="56" t="s">
        <v>4557</v>
      </c>
      <c r="AH1767" s="56" t="s">
        <v>3542</v>
      </c>
      <c r="AI1767" s="56" t="s">
        <v>3723</v>
      </c>
    </row>
    <row r="1768" spans="1:35" ht="33" customHeight="1">
      <c r="A1768" s="56" t="s">
        <v>4556</v>
      </c>
      <c r="B1768" s="57">
        <v>44365.912685185183</v>
      </c>
      <c r="C1768" s="56" t="s">
        <v>3803</v>
      </c>
      <c r="D1768" s="56" t="s">
        <v>4426</v>
      </c>
      <c r="E1768" s="56" t="s">
        <v>4555</v>
      </c>
      <c r="F1768" s="56" t="s">
        <v>4554</v>
      </c>
      <c r="G1768" s="58" t="s">
        <v>1491</v>
      </c>
      <c r="H1768" s="56">
        <v>3</v>
      </c>
      <c r="I1768" s="56" t="s">
        <v>3586</v>
      </c>
      <c r="J1768" s="56">
        <v>149</v>
      </c>
      <c r="K1768" s="56">
        <v>149</v>
      </c>
      <c r="L1768" s="56">
        <v>1212</v>
      </c>
      <c r="M1768" s="56">
        <v>0</v>
      </c>
      <c r="N1768" s="56">
        <v>0</v>
      </c>
      <c r="O1768" s="56">
        <v>100</v>
      </c>
      <c r="P1768" s="56">
        <v>0</v>
      </c>
      <c r="Q1768" s="56">
        <v>1112</v>
      </c>
      <c r="R1768" s="56">
        <v>0</v>
      </c>
      <c r="S1768" s="56">
        <v>0</v>
      </c>
      <c r="T1768" s="56" t="s">
        <v>27</v>
      </c>
      <c r="U1768" s="56">
        <v>1112</v>
      </c>
      <c r="V1768" s="56" t="s">
        <v>3549</v>
      </c>
      <c r="W1768" s="56" t="s">
        <v>3548</v>
      </c>
      <c r="X1768" s="56" t="s">
        <v>3547</v>
      </c>
      <c r="Z1768" s="56" t="s">
        <v>3546</v>
      </c>
      <c r="AA1768" s="56" t="s">
        <v>4553</v>
      </c>
      <c r="AB1768" s="56" t="s">
        <v>4552</v>
      </c>
      <c r="AC1768" s="56" t="s">
        <v>3543</v>
      </c>
      <c r="AH1768" s="56" t="s">
        <v>3542</v>
      </c>
      <c r="AI1768" s="56" t="s">
        <v>3541</v>
      </c>
    </row>
    <row r="1769" spans="1:35" ht="33" customHeight="1">
      <c r="A1769" s="56" t="s">
        <v>4556</v>
      </c>
      <c r="B1769" s="57">
        <v>44365.912685185183</v>
      </c>
      <c r="C1769" s="56" t="s">
        <v>3803</v>
      </c>
      <c r="D1769" s="56" t="s">
        <v>4426</v>
      </c>
      <c r="E1769" s="56" t="s">
        <v>4555</v>
      </c>
      <c r="F1769" s="56" t="s">
        <v>4554</v>
      </c>
      <c r="G1769" s="58" t="s">
        <v>3196</v>
      </c>
      <c r="H1769" s="56">
        <v>3</v>
      </c>
      <c r="I1769" s="56" t="s">
        <v>2550</v>
      </c>
      <c r="J1769" s="56">
        <v>120</v>
      </c>
      <c r="K1769" s="56">
        <v>120</v>
      </c>
      <c r="P1769" s="56">
        <v>0</v>
      </c>
      <c r="S1769" s="56">
        <v>0</v>
      </c>
      <c r="T1769" s="56" t="s">
        <v>27</v>
      </c>
      <c r="V1769" s="56" t="s">
        <v>3549</v>
      </c>
      <c r="W1769" s="56" t="s">
        <v>3548</v>
      </c>
      <c r="X1769" s="56" t="s">
        <v>3547</v>
      </c>
      <c r="Z1769" s="56" t="s">
        <v>3546</v>
      </c>
      <c r="AA1769" s="56" t="s">
        <v>4553</v>
      </c>
      <c r="AB1769" s="56" t="s">
        <v>4552</v>
      </c>
      <c r="AC1769" s="56" t="s">
        <v>3543</v>
      </c>
      <c r="AH1769" s="56" t="s">
        <v>3542</v>
      </c>
      <c r="AI1769" s="56" t="s">
        <v>3541</v>
      </c>
    </row>
    <row r="1770" spans="1:35" ht="33" customHeight="1">
      <c r="A1770" s="56" t="s">
        <v>4556</v>
      </c>
      <c r="B1770" s="57">
        <v>44365.912685185183</v>
      </c>
      <c r="C1770" s="56" t="s">
        <v>3803</v>
      </c>
      <c r="D1770" s="56" t="s">
        <v>4426</v>
      </c>
      <c r="E1770" s="56" t="s">
        <v>4555</v>
      </c>
      <c r="F1770" s="56" t="s">
        <v>4554</v>
      </c>
      <c r="G1770" s="58" t="s">
        <v>1493</v>
      </c>
      <c r="H1770" s="56">
        <v>3</v>
      </c>
      <c r="I1770" s="56" t="s">
        <v>3601</v>
      </c>
      <c r="J1770" s="56">
        <v>135</v>
      </c>
      <c r="K1770" s="56">
        <v>135</v>
      </c>
      <c r="P1770" s="56">
        <v>0</v>
      </c>
      <c r="S1770" s="56">
        <v>0</v>
      </c>
      <c r="T1770" s="56" t="s">
        <v>27</v>
      </c>
      <c r="V1770" s="56" t="s">
        <v>3549</v>
      </c>
      <c r="W1770" s="56" t="s">
        <v>3548</v>
      </c>
      <c r="X1770" s="56" t="s">
        <v>3547</v>
      </c>
      <c r="Z1770" s="56" t="s">
        <v>3546</v>
      </c>
      <c r="AA1770" s="56" t="s">
        <v>4553</v>
      </c>
      <c r="AB1770" s="56" t="s">
        <v>4552</v>
      </c>
      <c r="AC1770" s="56" t="s">
        <v>3543</v>
      </c>
      <c r="AH1770" s="56" t="s">
        <v>3542</v>
      </c>
      <c r="AI1770" s="56" t="s">
        <v>3541</v>
      </c>
    </row>
    <row r="1771" spans="1:35" ht="33" customHeight="1">
      <c r="A1771" s="56" t="s">
        <v>4556</v>
      </c>
      <c r="B1771" s="57">
        <v>44365.912685185183</v>
      </c>
      <c r="C1771" s="56" t="s">
        <v>3803</v>
      </c>
      <c r="D1771" s="56" t="s">
        <v>4426</v>
      </c>
      <c r="E1771" s="56" t="s">
        <v>4555</v>
      </c>
      <c r="F1771" s="56" t="s">
        <v>4554</v>
      </c>
      <c r="G1771" s="58" t="s">
        <v>3551</v>
      </c>
      <c r="H1771" s="56">
        <v>1</v>
      </c>
      <c r="I1771" s="56" t="s">
        <v>3550</v>
      </c>
      <c r="J1771" s="56">
        <v>0</v>
      </c>
      <c r="K1771" s="56">
        <v>0</v>
      </c>
      <c r="P1771" s="56">
        <v>0</v>
      </c>
      <c r="S1771" s="56">
        <v>0</v>
      </c>
      <c r="T1771" s="56" t="s">
        <v>27</v>
      </c>
      <c r="V1771" s="56" t="s">
        <v>3549</v>
      </c>
      <c r="W1771" s="56" t="s">
        <v>3548</v>
      </c>
      <c r="X1771" s="56" t="s">
        <v>3547</v>
      </c>
      <c r="Z1771" s="56" t="s">
        <v>3546</v>
      </c>
      <c r="AA1771" s="56" t="s">
        <v>4553</v>
      </c>
      <c r="AB1771" s="56" t="s">
        <v>4552</v>
      </c>
      <c r="AC1771" s="56" t="s">
        <v>3543</v>
      </c>
      <c r="AH1771" s="56" t="s">
        <v>3542</v>
      </c>
      <c r="AI1771" s="56" t="s">
        <v>3541</v>
      </c>
    </row>
    <row r="1772" spans="1:35" ht="33" customHeight="1">
      <c r="A1772" s="56" t="s">
        <v>4556</v>
      </c>
      <c r="B1772" s="57">
        <v>44365.912685185183</v>
      </c>
      <c r="C1772" s="56" t="s">
        <v>3803</v>
      </c>
      <c r="D1772" s="56" t="s">
        <v>4426</v>
      </c>
      <c r="E1772" s="56" t="s">
        <v>4555</v>
      </c>
      <c r="F1772" s="56" t="s">
        <v>4554</v>
      </c>
      <c r="G1772" s="58" t="s">
        <v>1498</v>
      </c>
      <c r="H1772" s="56">
        <v>1</v>
      </c>
      <c r="I1772" s="56" t="s">
        <v>4016</v>
      </c>
      <c r="J1772" s="56">
        <v>0</v>
      </c>
      <c r="K1772" s="56">
        <v>0</v>
      </c>
      <c r="P1772" s="56">
        <v>0</v>
      </c>
      <c r="S1772" s="56">
        <v>0</v>
      </c>
      <c r="T1772" s="56" t="s">
        <v>27</v>
      </c>
      <c r="V1772" s="56" t="s">
        <v>3549</v>
      </c>
      <c r="W1772" s="56" t="s">
        <v>3548</v>
      </c>
      <c r="X1772" s="56" t="s">
        <v>3547</v>
      </c>
      <c r="Z1772" s="56" t="s">
        <v>3546</v>
      </c>
      <c r="AA1772" s="56" t="s">
        <v>4553</v>
      </c>
      <c r="AB1772" s="56" t="s">
        <v>4552</v>
      </c>
      <c r="AC1772" s="56" t="s">
        <v>3543</v>
      </c>
      <c r="AH1772" s="56" t="s">
        <v>3542</v>
      </c>
      <c r="AI1772" s="56" t="s">
        <v>3541</v>
      </c>
    </row>
    <row r="1773" spans="1:35" ht="33" customHeight="1">
      <c r="A1773" s="56" t="s">
        <v>4550</v>
      </c>
      <c r="B1773" s="57">
        <v>44365.913912037038</v>
      </c>
      <c r="C1773" s="56" t="s">
        <v>3554</v>
      </c>
      <c r="D1773" s="56" t="s">
        <v>25</v>
      </c>
      <c r="E1773" s="56" t="s">
        <v>4549</v>
      </c>
      <c r="F1773" s="56" t="s">
        <v>4548</v>
      </c>
      <c r="G1773" s="58" t="s">
        <v>3942</v>
      </c>
      <c r="H1773" s="56">
        <v>1</v>
      </c>
      <c r="I1773" s="56" t="s">
        <v>3941</v>
      </c>
      <c r="J1773" s="56">
        <v>840</v>
      </c>
      <c r="K1773" s="56">
        <v>750</v>
      </c>
      <c r="L1773" s="56">
        <v>1067</v>
      </c>
      <c r="M1773" s="56">
        <v>0</v>
      </c>
      <c r="N1773" s="56">
        <v>0</v>
      </c>
      <c r="O1773" s="56">
        <v>29</v>
      </c>
      <c r="P1773" s="56">
        <v>0</v>
      </c>
      <c r="Q1773" s="56">
        <v>1038</v>
      </c>
      <c r="R1773" s="56">
        <v>0</v>
      </c>
      <c r="S1773" s="56">
        <v>0</v>
      </c>
      <c r="T1773" s="56" t="s">
        <v>27</v>
      </c>
      <c r="U1773" s="56">
        <v>1038</v>
      </c>
      <c r="V1773" s="56" t="s">
        <v>3865</v>
      </c>
      <c r="W1773" s="56" t="s">
        <v>3548</v>
      </c>
      <c r="X1773" s="56" t="s">
        <v>39</v>
      </c>
      <c r="Y1773" s="56" t="s">
        <v>3629</v>
      </c>
      <c r="Z1773" s="56" t="s">
        <v>4547</v>
      </c>
      <c r="AC1773" s="56" t="s">
        <v>3543</v>
      </c>
      <c r="AH1773" s="56" t="s">
        <v>3542</v>
      </c>
      <c r="AI1773" s="56" t="s">
        <v>3541</v>
      </c>
    </row>
    <row r="1774" spans="1:35" ht="33" customHeight="1">
      <c r="A1774" s="56" t="s">
        <v>4550</v>
      </c>
      <c r="B1774" s="57">
        <v>44365.913912037038</v>
      </c>
      <c r="C1774" s="56" t="s">
        <v>3554</v>
      </c>
      <c r="D1774" s="56" t="s">
        <v>25</v>
      </c>
      <c r="E1774" s="56" t="s">
        <v>4549</v>
      </c>
      <c r="F1774" s="56" t="s">
        <v>4548</v>
      </c>
      <c r="G1774" s="58" t="s">
        <v>3222</v>
      </c>
      <c r="H1774" s="56">
        <v>2</v>
      </c>
      <c r="I1774" s="56" t="s">
        <v>3712</v>
      </c>
      <c r="J1774" s="56">
        <v>59</v>
      </c>
      <c r="K1774" s="56">
        <v>59</v>
      </c>
      <c r="P1774" s="56">
        <v>0</v>
      </c>
      <c r="S1774" s="56">
        <v>0</v>
      </c>
      <c r="T1774" s="56" t="s">
        <v>27</v>
      </c>
      <c r="V1774" s="56" t="s">
        <v>3865</v>
      </c>
      <c r="W1774" s="56" t="s">
        <v>3548</v>
      </c>
      <c r="X1774" s="56" t="s">
        <v>39</v>
      </c>
      <c r="Y1774" s="56" t="s">
        <v>3629</v>
      </c>
      <c r="Z1774" s="56" t="s">
        <v>4547</v>
      </c>
      <c r="AC1774" s="56" t="s">
        <v>3543</v>
      </c>
      <c r="AH1774" s="56" t="s">
        <v>3542</v>
      </c>
      <c r="AI1774" s="56" t="s">
        <v>3541</v>
      </c>
    </row>
    <row r="1775" spans="1:35" ht="33" customHeight="1">
      <c r="A1775" s="56" t="s">
        <v>4550</v>
      </c>
      <c r="B1775" s="57">
        <v>44365.913912037038</v>
      </c>
      <c r="C1775" s="56" t="s">
        <v>3554</v>
      </c>
      <c r="D1775" s="56" t="s">
        <v>25</v>
      </c>
      <c r="E1775" s="56" t="s">
        <v>4549</v>
      </c>
      <c r="F1775" s="56" t="s">
        <v>4548</v>
      </c>
      <c r="G1775" s="58" t="s">
        <v>4551</v>
      </c>
      <c r="H1775" s="56">
        <v>1</v>
      </c>
      <c r="I1775" s="56" t="s">
        <v>3692</v>
      </c>
      <c r="J1775" s="56">
        <v>207</v>
      </c>
      <c r="K1775" s="56">
        <v>199</v>
      </c>
      <c r="P1775" s="56">
        <v>0</v>
      </c>
      <c r="S1775" s="56">
        <v>0</v>
      </c>
      <c r="T1775" s="56" t="s">
        <v>27</v>
      </c>
      <c r="V1775" s="56" t="s">
        <v>3865</v>
      </c>
      <c r="W1775" s="56" t="s">
        <v>3548</v>
      </c>
      <c r="X1775" s="56" t="s">
        <v>39</v>
      </c>
      <c r="Y1775" s="56" t="s">
        <v>3629</v>
      </c>
      <c r="Z1775" s="56" t="s">
        <v>4547</v>
      </c>
      <c r="AC1775" s="56" t="s">
        <v>3543</v>
      </c>
      <c r="AH1775" s="56" t="s">
        <v>3542</v>
      </c>
      <c r="AI1775" s="56" t="s">
        <v>3541</v>
      </c>
    </row>
    <row r="1776" spans="1:35" ht="33" customHeight="1">
      <c r="A1776" s="56" t="s">
        <v>4550</v>
      </c>
      <c r="B1776" s="57">
        <v>44365.913912037038</v>
      </c>
      <c r="C1776" s="56" t="s">
        <v>3554</v>
      </c>
      <c r="D1776" s="56" t="s">
        <v>25</v>
      </c>
      <c r="E1776" s="56" t="s">
        <v>4549</v>
      </c>
      <c r="F1776" s="56" t="s">
        <v>4548</v>
      </c>
      <c r="G1776" s="58" t="s">
        <v>3551</v>
      </c>
      <c r="H1776" s="56">
        <v>1</v>
      </c>
      <c r="I1776" s="56" t="s">
        <v>3550</v>
      </c>
      <c r="J1776" s="56">
        <v>0</v>
      </c>
      <c r="K1776" s="56">
        <v>0</v>
      </c>
      <c r="P1776" s="56">
        <v>0</v>
      </c>
      <c r="S1776" s="56">
        <v>0</v>
      </c>
      <c r="T1776" s="56" t="s">
        <v>27</v>
      </c>
      <c r="V1776" s="56" t="s">
        <v>3865</v>
      </c>
      <c r="W1776" s="56" t="s">
        <v>3548</v>
      </c>
      <c r="X1776" s="56" t="s">
        <v>39</v>
      </c>
      <c r="Y1776" s="56" t="s">
        <v>3629</v>
      </c>
      <c r="Z1776" s="56" t="s">
        <v>4547</v>
      </c>
      <c r="AC1776" s="56" t="s">
        <v>3543</v>
      </c>
      <c r="AH1776" s="56" t="s">
        <v>3542</v>
      </c>
      <c r="AI1776" s="56" t="s">
        <v>3541</v>
      </c>
    </row>
    <row r="1777" spans="1:35" ht="33" customHeight="1">
      <c r="A1777" s="56" t="s">
        <v>4550</v>
      </c>
      <c r="B1777" s="57">
        <v>44365.913912037038</v>
      </c>
      <c r="C1777" s="56" t="s">
        <v>3554</v>
      </c>
      <c r="D1777" s="56" t="s">
        <v>25</v>
      </c>
      <c r="E1777" s="56" t="s">
        <v>4549</v>
      </c>
      <c r="F1777" s="56" t="s">
        <v>4548</v>
      </c>
      <c r="G1777" s="58" t="s">
        <v>1498</v>
      </c>
      <c r="H1777" s="56">
        <v>1</v>
      </c>
      <c r="I1777" s="56" t="s">
        <v>4016</v>
      </c>
      <c r="J1777" s="56">
        <v>0</v>
      </c>
      <c r="K1777" s="56">
        <v>0</v>
      </c>
      <c r="P1777" s="56">
        <v>0</v>
      </c>
      <c r="S1777" s="56">
        <v>0</v>
      </c>
      <c r="T1777" s="56" t="s">
        <v>27</v>
      </c>
      <c r="V1777" s="56" t="s">
        <v>3865</v>
      </c>
      <c r="W1777" s="56" t="s">
        <v>3548</v>
      </c>
      <c r="X1777" s="56" t="s">
        <v>39</v>
      </c>
      <c r="Y1777" s="56" t="s">
        <v>3629</v>
      </c>
      <c r="Z1777" s="56" t="s">
        <v>4547</v>
      </c>
      <c r="AC1777" s="56" t="s">
        <v>3543</v>
      </c>
      <c r="AH1777" s="56" t="s">
        <v>3542</v>
      </c>
      <c r="AI1777" s="56" t="s">
        <v>3541</v>
      </c>
    </row>
    <row r="1778" spans="1:35" ht="33" customHeight="1">
      <c r="A1778" s="56" t="s">
        <v>4546</v>
      </c>
      <c r="B1778" s="57">
        <v>44365.917673611111</v>
      </c>
      <c r="C1778" s="56" t="s">
        <v>3803</v>
      </c>
      <c r="D1778" s="56" t="s">
        <v>3802</v>
      </c>
      <c r="E1778" s="56" t="s">
        <v>4545</v>
      </c>
      <c r="F1778" s="56" t="s">
        <v>4544</v>
      </c>
      <c r="G1778" s="58" t="s">
        <v>3811</v>
      </c>
      <c r="H1778" s="56">
        <v>1</v>
      </c>
      <c r="I1778" s="56" t="s">
        <v>3669</v>
      </c>
      <c r="J1778" s="56">
        <v>897</v>
      </c>
      <c r="K1778" s="56">
        <v>888</v>
      </c>
      <c r="L1778" s="56">
        <v>1006</v>
      </c>
      <c r="M1778" s="56">
        <v>0</v>
      </c>
      <c r="N1778" s="56">
        <v>0</v>
      </c>
      <c r="O1778" s="56">
        <v>101</v>
      </c>
      <c r="P1778" s="56">
        <v>0</v>
      </c>
      <c r="Q1778" s="56">
        <v>905</v>
      </c>
      <c r="R1778" s="56">
        <v>0</v>
      </c>
      <c r="S1778" s="56">
        <v>0</v>
      </c>
      <c r="T1778" s="56" t="s">
        <v>3562</v>
      </c>
      <c r="U1778" s="56">
        <v>905</v>
      </c>
      <c r="V1778" s="56" t="s">
        <v>3561</v>
      </c>
      <c r="W1778" s="56" t="s">
        <v>3548</v>
      </c>
      <c r="X1778" s="56" t="s">
        <v>39</v>
      </c>
      <c r="Y1778" s="56" t="s">
        <v>4140</v>
      </c>
      <c r="Z1778" s="56" t="s">
        <v>4543</v>
      </c>
      <c r="AC1778" s="56" t="s">
        <v>3543</v>
      </c>
      <c r="AD1778" s="56" t="s">
        <v>24</v>
      </c>
      <c r="AE1778" s="56" t="s">
        <v>4530</v>
      </c>
      <c r="AF1778" s="56" t="s">
        <v>4542</v>
      </c>
      <c r="AH1778" s="56" t="s">
        <v>3542</v>
      </c>
      <c r="AI1778" s="56" t="s">
        <v>3723</v>
      </c>
    </row>
    <row r="1779" spans="1:35" ht="33" customHeight="1">
      <c r="A1779" s="56" t="s">
        <v>4546</v>
      </c>
      <c r="B1779" s="57">
        <v>44365.917673611111</v>
      </c>
      <c r="C1779" s="56" t="s">
        <v>3803</v>
      </c>
      <c r="D1779" s="56" t="s">
        <v>3802</v>
      </c>
      <c r="E1779" s="56" t="s">
        <v>4545</v>
      </c>
      <c r="F1779" s="56" t="s">
        <v>4544</v>
      </c>
      <c r="G1779" s="58" t="s">
        <v>3222</v>
      </c>
      <c r="H1779" s="56">
        <v>2</v>
      </c>
      <c r="I1779" s="56" t="s">
        <v>3712</v>
      </c>
      <c r="J1779" s="56">
        <v>59</v>
      </c>
      <c r="K1779" s="56">
        <v>59</v>
      </c>
      <c r="P1779" s="56">
        <v>0</v>
      </c>
      <c r="S1779" s="56">
        <v>0</v>
      </c>
      <c r="T1779" s="56" t="s">
        <v>3562</v>
      </c>
      <c r="V1779" s="56" t="s">
        <v>3561</v>
      </c>
      <c r="W1779" s="56" t="s">
        <v>3548</v>
      </c>
      <c r="X1779" s="56" t="s">
        <v>39</v>
      </c>
      <c r="Y1779" s="56" t="s">
        <v>4140</v>
      </c>
      <c r="Z1779" s="56" t="s">
        <v>4543</v>
      </c>
      <c r="AC1779" s="56" t="s">
        <v>3543</v>
      </c>
      <c r="AD1779" s="56" t="s">
        <v>24</v>
      </c>
      <c r="AE1779" s="56" t="s">
        <v>4530</v>
      </c>
      <c r="AF1779" s="56" t="s">
        <v>4542</v>
      </c>
      <c r="AH1779" s="56" t="s">
        <v>3542</v>
      </c>
      <c r="AI1779" s="56" t="s">
        <v>3723</v>
      </c>
    </row>
    <row r="1780" spans="1:35" ht="33" customHeight="1">
      <c r="A1780" s="56" t="s">
        <v>4546</v>
      </c>
      <c r="B1780" s="57">
        <v>44365.917673611111</v>
      </c>
      <c r="C1780" s="56" t="s">
        <v>3803</v>
      </c>
      <c r="D1780" s="56" t="s">
        <v>3802</v>
      </c>
      <c r="E1780" s="56" t="s">
        <v>4545</v>
      </c>
      <c r="F1780" s="56" t="s">
        <v>4544</v>
      </c>
      <c r="G1780" s="58" t="s">
        <v>3551</v>
      </c>
      <c r="H1780" s="56">
        <v>1</v>
      </c>
      <c r="I1780" s="56" t="s">
        <v>3550</v>
      </c>
      <c r="J1780" s="56">
        <v>0</v>
      </c>
      <c r="K1780" s="56">
        <v>0</v>
      </c>
      <c r="P1780" s="56">
        <v>0</v>
      </c>
      <c r="S1780" s="56">
        <v>0</v>
      </c>
      <c r="T1780" s="56" t="s">
        <v>3562</v>
      </c>
      <c r="V1780" s="56" t="s">
        <v>3561</v>
      </c>
      <c r="W1780" s="56" t="s">
        <v>3548</v>
      </c>
      <c r="X1780" s="56" t="s">
        <v>39</v>
      </c>
      <c r="Y1780" s="56" t="s">
        <v>4140</v>
      </c>
      <c r="Z1780" s="56" t="s">
        <v>4543</v>
      </c>
      <c r="AC1780" s="56" t="s">
        <v>3543</v>
      </c>
      <c r="AD1780" s="56" t="s">
        <v>24</v>
      </c>
      <c r="AE1780" s="56" t="s">
        <v>4530</v>
      </c>
      <c r="AF1780" s="56" t="s">
        <v>4542</v>
      </c>
      <c r="AH1780" s="56" t="s">
        <v>3542</v>
      </c>
      <c r="AI1780" s="56" t="s">
        <v>3723</v>
      </c>
    </row>
    <row r="1781" spans="1:35" ht="33" customHeight="1">
      <c r="A1781" s="56" t="s">
        <v>4546</v>
      </c>
      <c r="B1781" s="57">
        <v>44365.917673611111</v>
      </c>
      <c r="C1781" s="56" t="s">
        <v>3803</v>
      </c>
      <c r="D1781" s="56" t="s">
        <v>3802</v>
      </c>
      <c r="E1781" s="56" t="s">
        <v>4545</v>
      </c>
      <c r="F1781" s="56" t="s">
        <v>4544</v>
      </c>
      <c r="G1781" s="58" t="s">
        <v>1498</v>
      </c>
      <c r="H1781" s="56">
        <v>1</v>
      </c>
      <c r="I1781" s="56" t="s">
        <v>4016</v>
      </c>
      <c r="J1781" s="56">
        <v>0</v>
      </c>
      <c r="K1781" s="56">
        <v>0</v>
      </c>
      <c r="P1781" s="56">
        <v>0</v>
      </c>
      <c r="S1781" s="56">
        <v>0</v>
      </c>
      <c r="T1781" s="56" t="s">
        <v>3562</v>
      </c>
      <c r="V1781" s="56" t="s">
        <v>3561</v>
      </c>
      <c r="W1781" s="56" t="s">
        <v>3548</v>
      </c>
      <c r="X1781" s="56" t="s">
        <v>39</v>
      </c>
      <c r="Y1781" s="56" t="s">
        <v>4140</v>
      </c>
      <c r="Z1781" s="56" t="s">
        <v>4543</v>
      </c>
      <c r="AC1781" s="56" t="s">
        <v>3543</v>
      </c>
      <c r="AD1781" s="56" t="s">
        <v>24</v>
      </c>
      <c r="AE1781" s="56" t="s">
        <v>4530</v>
      </c>
      <c r="AF1781" s="56" t="s">
        <v>4542</v>
      </c>
      <c r="AH1781" s="56" t="s">
        <v>3542</v>
      </c>
      <c r="AI1781" s="56" t="s">
        <v>3723</v>
      </c>
    </row>
    <row r="1782" spans="1:35" ht="33" customHeight="1">
      <c r="A1782" s="56" t="s">
        <v>4541</v>
      </c>
      <c r="B1782" s="57">
        <v>44365.923773148148</v>
      </c>
      <c r="C1782" s="56" t="s">
        <v>3803</v>
      </c>
      <c r="D1782" s="56" t="s">
        <v>3802</v>
      </c>
      <c r="E1782" s="56" t="s">
        <v>4540</v>
      </c>
      <c r="F1782" s="56" t="s">
        <v>4539</v>
      </c>
      <c r="G1782" s="58" t="s">
        <v>3747</v>
      </c>
      <c r="H1782" s="56">
        <v>1</v>
      </c>
      <c r="I1782" s="56" t="s">
        <v>3746</v>
      </c>
      <c r="J1782" s="56">
        <v>660</v>
      </c>
      <c r="K1782" s="56">
        <v>450</v>
      </c>
      <c r="L1782" s="56">
        <v>1318</v>
      </c>
      <c r="M1782" s="56">
        <v>0</v>
      </c>
      <c r="N1782" s="56">
        <v>0</v>
      </c>
      <c r="O1782" s="56">
        <v>100</v>
      </c>
      <c r="P1782" s="56">
        <v>0</v>
      </c>
      <c r="Q1782" s="56">
        <v>1218</v>
      </c>
      <c r="R1782" s="56">
        <v>0</v>
      </c>
      <c r="S1782" s="56">
        <v>0</v>
      </c>
      <c r="T1782" s="56" t="s">
        <v>3562</v>
      </c>
      <c r="U1782" s="56">
        <v>1218</v>
      </c>
      <c r="V1782" s="56" t="s">
        <v>3561</v>
      </c>
      <c r="W1782" s="56" t="s">
        <v>3548</v>
      </c>
      <c r="X1782" s="56" t="s">
        <v>39</v>
      </c>
      <c r="Y1782" s="56" t="s">
        <v>4538</v>
      </c>
      <c r="Z1782" s="56" t="s">
        <v>4537</v>
      </c>
      <c r="AC1782" s="56" t="s">
        <v>3543</v>
      </c>
      <c r="AD1782" s="56" t="s">
        <v>24</v>
      </c>
      <c r="AE1782" s="56" t="s">
        <v>4530</v>
      </c>
      <c r="AF1782" s="56" t="s">
        <v>4536</v>
      </c>
      <c r="AH1782" s="56" t="s">
        <v>3542</v>
      </c>
      <c r="AI1782" s="56" t="s">
        <v>3723</v>
      </c>
    </row>
    <row r="1783" spans="1:35" ht="33" customHeight="1">
      <c r="A1783" s="56" t="s">
        <v>4541</v>
      </c>
      <c r="B1783" s="57">
        <v>44365.923773148148</v>
      </c>
      <c r="C1783" s="56" t="s">
        <v>3803</v>
      </c>
      <c r="D1783" s="56" t="s">
        <v>3802</v>
      </c>
      <c r="E1783" s="56" t="s">
        <v>4540</v>
      </c>
      <c r="F1783" s="56" t="s">
        <v>4539</v>
      </c>
      <c r="G1783" s="58" t="s">
        <v>1713</v>
      </c>
      <c r="H1783" s="56">
        <v>1</v>
      </c>
      <c r="I1783" s="56" t="s">
        <v>3587</v>
      </c>
      <c r="J1783" s="56">
        <v>149</v>
      </c>
      <c r="K1783" s="56">
        <v>149</v>
      </c>
      <c r="P1783" s="56">
        <v>0</v>
      </c>
      <c r="S1783" s="56">
        <v>0</v>
      </c>
      <c r="T1783" s="56" t="s">
        <v>3562</v>
      </c>
      <c r="V1783" s="56" t="s">
        <v>3561</v>
      </c>
      <c r="W1783" s="56" t="s">
        <v>3548</v>
      </c>
      <c r="X1783" s="56" t="s">
        <v>39</v>
      </c>
      <c r="Y1783" s="56" t="s">
        <v>4538</v>
      </c>
      <c r="Z1783" s="56" t="s">
        <v>4537</v>
      </c>
      <c r="AC1783" s="56" t="s">
        <v>3543</v>
      </c>
      <c r="AD1783" s="56" t="s">
        <v>24</v>
      </c>
      <c r="AE1783" s="56" t="s">
        <v>4530</v>
      </c>
      <c r="AF1783" s="56" t="s">
        <v>4536</v>
      </c>
      <c r="AH1783" s="56" t="s">
        <v>3542</v>
      </c>
      <c r="AI1783" s="56" t="s">
        <v>3723</v>
      </c>
    </row>
    <row r="1784" spans="1:35" ht="33" customHeight="1">
      <c r="A1784" s="56" t="s">
        <v>4541</v>
      </c>
      <c r="B1784" s="57">
        <v>44365.923773148148</v>
      </c>
      <c r="C1784" s="56" t="s">
        <v>3803</v>
      </c>
      <c r="D1784" s="56" t="s">
        <v>3802</v>
      </c>
      <c r="E1784" s="56" t="s">
        <v>4540</v>
      </c>
      <c r="F1784" s="56" t="s">
        <v>4539</v>
      </c>
      <c r="G1784" s="58" t="s">
        <v>3580</v>
      </c>
      <c r="H1784" s="56">
        <v>1</v>
      </c>
      <c r="I1784" s="56" t="s">
        <v>3579</v>
      </c>
      <c r="J1784" s="56">
        <v>336</v>
      </c>
      <c r="K1784" s="56">
        <v>320</v>
      </c>
      <c r="P1784" s="56">
        <v>0</v>
      </c>
      <c r="S1784" s="56">
        <v>0</v>
      </c>
      <c r="T1784" s="56" t="s">
        <v>3562</v>
      </c>
      <c r="V1784" s="56" t="s">
        <v>3561</v>
      </c>
      <c r="W1784" s="56" t="s">
        <v>3548</v>
      </c>
      <c r="X1784" s="56" t="s">
        <v>39</v>
      </c>
      <c r="Y1784" s="56" t="s">
        <v>4538</v>
      </c>
      <c r="Z1784" s="56" t="s">
        <v>4537</v>
      </c>
      <c r="AC1784" s="56" t="s">
        <v>3543</v>
      </c>
      <c r="AD1784" s="56" t="s">
        <v>24</v>
      </c>
      <c r="AE1784" s="56" t="s">
        <v>4530</v>
      </c>
      <c r="AF1784" s="56" t="s">
        <v>4536</v>
      </c>
      <c r="AH1784" s="56" t="s">
        <v>3542</v>
      </c>
      <c r="AI1784" s="56" t="s">
        <v>3723</v>
      </c>
    </row>
    <row r="1785" spans="1:35" ht="33" customHeight="1">
      <c r="A1785" s="56" t="s">
        <v>4541</v>
      </c>
      <c r="B1785" s="57">
        <v>44365.923773148148</v>
      </c>
      <c r="C1785" s="56" t="s">
        <v>3803</v>
      </c>
      <c r="D1785" s="56" t="s">
        <v>3802</v>
      </c>
      <c r="E1785" s="56" t="s">
        <v>4540</v>
      </c>
      <c r="F1785" s="56" t="s">
        <v>4539</v>
      </c>
      <c r="G1785" s="58" t="s">
        <v>3603</v>
      </c>
      <c r="H1785" s="56">
        <v>1</v>
      </c>
      <c r="I1785" s="56" t="s">
        <v>3602</v>
      </c>
      <c r="J1785" s="56">
        <v>447</v>
      </c>
      <c r="K1785" s="56">
        <v>399</v>
      </c>
      <c r="P1785" s="56">
        <v>0</v>
      </c>
      <c r="S1785" s="56">
        <v>0</v>
      </c>
      <c r="T1785" s="56" t="s">
        <v>3562</v>
      </c>
      <c r="V1785" s="56" t="s">
        <v>3561</v>
      </c>
      <c r="W1785" s="56" t="s">
        <v>3548</v>
      </c>
      <c r="X1785" s="56" t="s">
        <v>39</v>
      </c>
      <c r="Y1785" s="56" t="s">
        <v>4538</v>
      </c>
      <c r="Z1785" s="56" t="s">
        <v>4537</v>
      </c>
      <c r="AC1785" s="56" t="s">
        <v>3543</v>
      </c>
      <c r="AD1785" s="56" t="s">
        <v>24</v>
      </c>
      <c r="AE1785" s="56" t="s">
        <v>4530</v>
      </c>
      <c r="AF1785" s="56" t="s">
        <v>4536</v>
      </c>
      <c r="AH1785" s="56" t="s">
        <v>3542</v>
      </c>
      <c r="AI1785" s="56" t="s">
        <v>3723</v>
      </c>
    </row>
    <row r="1786" spans="1:35" ht="33" customHeight="1">
      <c r="A1786" s="56" t="s">
        <v>4541</v>
      </c>
      <c r="B1786" s="57">
        <v>44365.923773148148</v>
      </c>
      <c r="C1786" s="56" t="s">
        <v>3803</v>
      </c>
      <c r="D1786" s="56" t="s">
        <v>3802</v>
      </c>
      <c r="E1786" s="56" t="s">
        <v>4540</v>
      </c>
      <c r="F1786" s="56" t="s">
        <v>4539</v>
      </c>
      <c r="G1786" s="58" t="s">
        <v>3551</v>
      </c>
      <c r="H1786" s="56">
        <v>1</v>
      </c>
      <c r="I1786" s="56" t="s">
        <v>3550</v>
      </c>
      <c r="J1786" s="56">
        <v>0</v>
      </c>
      <c r="K1786" s="56">
        <v>0</v>
      </c>
      <c r="P1786" s="56">
        <v>0</v>
      </c>
      <c r="S1786" s="56">
        <v>0</v>
      </c>
      <c r="T1786" s="56" t="s">
        <v>3562</v>
      </c>
      <c r="V1786" s="56" t="s">
        <v>3561</v>
      </c>
      <c r="W1786" s="56" t="s">
        <v>3548</v>
      </c>
      <c r="X1786" s="56" t="s">
        <v>39</v>
      </c>
      <c r="Y1786" s="56" t="s">
        <v>4538</v>
      </c>
      <c r="Z1786" s="56" t="s">
        <v>4537</v>
      </c>
      <c r="AC1786" s="56" t="s">
        <v>3543</v>
      </c>
      <c r="AD1786" s="56" t="s">
        <v>24</v>
      </c>
      <c r="AE1786" s="56" t="s">
        <v>4530</v>
      </c>
      <c r="AF1786" s="56" t="s">
        <v>4536</v>
      </c>
      <c r="AH1786" s="56" t="s">
        <v>3542</v>
      </c>
      <c r="AI1786" s="56" t="s">
        <v>3723</v>
      </c>
    </row>
    <row r="1787" spans="1:35" ht="33" customHeight="1">
      <c r="A1787" s="56" t="s">
        <v>4541</v>
      </c>
      <c r="B1787" s="57">
        <v>44365.923773148148</v>
      </c>
      <c r="C1787" s="56" t="s">
        <v>3803</v>
      </c>
      <c r="D1787" s="56" t="s">
        <v>3802</v>
      </c>
      <c r="E1787" s="56" t="s">
        <v>4540</v>
      </c>
      <c r="F1787" s="56" t="s">
        <v>4539</v>
      </c>
      <c r="G1787" s="58" t="s">
        <v>1498</v>
      </c>
      <c r="H1787" s="56">
        <v>1</v>
      </c>
      <c r="I1787" s="56" t="s">
        <v>4016</v>
      </c>
      <c r="J1787" s="56">
        <v>0</v>
      </c>
      <c r="K1787" s="56">
        <v>0</v>
      </c>
      <c r="P1787" s="56">
        <v>0</v>
      </c>
      <c r="S1787" s="56">
        <v>0</v>
      </c>
      <c r="T1787" s="56" t="s">
        <v>3562</v>
      </c>
      <c r="V1787" s="56" t="s">
        <v>3561</v>
      </c>
      <c r="W1787" s="56" t="s">
        <v>3548</v>
      </c>
      <c r="X1787" s="56" t="s">
        <v>39</v>
      </c>
      <c r="Y1787" s="56" t="s">
        <v>4538</v>
      </c>
      <c r="Z1787" s="56" t="s">
        <v>4537</v>
      </c>
      <c r="AC1787" s="56" t="s">
        <v>3543</v>
      </c>
      <c r="AD1787" s="56" t="s">
        <v>24</v>
      </c>
      <c r="AE1787" s="56" t="s">
        <v>4530</v>
      </c>
      <c r="AF1787" s="56" t="s">
        <v>4536</v>
      </c>
      <c r="AH1787" s="56" t="s">
        <v>3542</v>
      </c>
      <c r="AI1787" s="56" t="s">
        <v>3723</v>
      </c>
    </row>
    <row r="1788" spans="1:35" ht="33" customHeight="1">
      <c r="A1788" s="56" t="s">
        <v>4534</v>
      </c>
      <c r="B1788" s="57">
        <v>44365.924930555557</v>
      </c>
      <c r="C1788" s="56" t="s">
        <v>3803</v>
      </c>
      <c r="D1788" s="56" t="s">
        <v>3802</v>
      </c>
      <c r="E1788" s="56" t="s">
        <v>4533</v>
      </c>
      <c r="F1788" s="56" t="s">
        <v>4532</v>
      </c>
      <c r="G1788" s="58" t="s">
        <v>4535</v>
      </c>
      <c r="H1788" s="56">
        <v>1</v>
      </c>
      <c r="I1788" s="56" t="s">
        <v>3669</v>
      </c>
      <c r="J1788" s="56">
        <v>897</v>
      </c>
      <c r="K1788" s="56">
        <v>888</v>
      </c>
      <c r="L1788" s="56">
        <v>1023</v>
      </c>
      <c r="M1788" s="56">
        <v>0</v>
      </c>
      <c r="N1788" s="56">
        <v>0</v>
      </c>
      <c r="O1788" s="56">
        <v>100</v>
      </c>
      <c r="P1788" s="56">
        <v>0</v>
      </c>
      <c r="Q1788" s="56">
        <v>923</v>
      </c>
      <c r="R1788" s="56">
        <v>0</v>
      </c>
      <c r="S1788" s="56">
        <v>0</v>
      </c>
      <c r="T1788" s="56" t="s">
        <v>3562</v>
      </c>
      <c r="U1788" s="56">
        <v>923</v>
      </c>
      <c r="V1788" s="56" t="s">
        <v>3561</v>
      </c>
      <c r="W1788" s="56" t="s">
        <v>3548</v>
      </c>
      <c r="X1788" s="56" t="s">
        <v>39</v>
      </c>
      <c r="Y1788" s="56" t="s">
        <v>3617</v>
      </c>
      <c r="Z1788" s="56" t="s">
        <v>4531</v>
      </c>
      <c r="AC1788" s="56" t="s">
        <v>3543</v>
      </c>
      <c r="AD1788" s="56" t="s">
        <v>24</v>
      </c>
      <c r="AE1788" s="56" t="s">
        <v>4530</v>
      </c>
      <c r="AF1788" s="56" t="s">
        <v>4529</v>
      </c>
      <c r="AH1788" s="56" t="s">
        <v>3542</v>
      </c>
      <c r="AI1788" s="56" t="s">
        <v>3723</v>
      </c>
    </row>
    <row r="1789" spans="1:35" ht="33" customHeight="1">
      <c r="A1789" s="56" t="s">
        <v>4534</v>
      </c>
      <c r="B1789" s="57">
        <v>44365.924930555557</v>
      </c>
      <c r="C1789" s="56" t="s">
        <v>3803</v>
      </c>
      <c r="D1789" s="56" t="s">
        <v>3802</v>
      </c>
      <c r="E1789" s="56" t="s">
        <v>4533</v>
      </c>
      <c r="F1789" s="56" t="s">
        <v>4532</v>
      </c>
      <c r="G1789" s="58" t="s">
        <v>1493</v>
      </c>
      <c r="H1789" s="56">
        <v>1</v>
      </c>
      <c r="I1789" s="56" t="s">
        <v>3601</v>
      </c>
      <c r="J1789" s="56">
        <v>135</v>
      </c>
      <c r="K1789" s="56">
        <v>135</v>
      </c>
      <c r="P1789" s="56">
        <v>0</v>
      </c>
      <c r="S1789" s="56">
        <v>0</v>
      </c>
      <c r="T1789" s="56" t="s">
        <v>3562</v>
      </c>
      <c r="V1789" s="56" t="s">
        <v>3561</v>
      </c>
      <c r="W1789" s="56" t="s">
        <v>3548</v>
      </c>
      <c r="X1789" s="56" t="s">
        <v>39</v>
      </c>
      <c r="Y1789" s="56" t="s">
        <v>3617</v>
      </c>
      <c r="Z1789" s="56" t="s">
        <v>4531</v>
      </c>
      <c r="AC1789" s="56" t="s">
        <v>3543</v>
      </c>
      <c r="AD1789" s="56" t="s">
        <v>24</v>
      </c>
      <c r="AE1789" s="56" t="s">
        <v>4530</v>
      </c>
      <c r="AF1789" s="56" t="s">
        <v>4529</v>
      </c>
      <c r="AH1789" s="56" t="s">
        <v>3542</v>
      </c>
      <c r="AI1789" s="56" t="s">
        <v>3723</v>
      </c>
    </row>
    <row r="1790" spans="1:35" ht="33" customHeight="1">
      <c r="A1790" s="56" t="s">
        <v>4534</v>
      </c>
      <c r="B1790" s="57">
        <v>44365.924930555557</v>
      </c>
      <c r="C1790" s="56" t="s">
        <v>3803</v>
      </c>
      <c r="D1790" s="56" t="s">
        <v>3802</v>
      </c>
      <c r="E1790" s="56" t="s">
        <v>4533</v>
      </c>
      <c r="F1790" s="56" t="s">
        <v>4532</v>
      </c>
      <c r="G1790" s="58" t="s">
        <v>3551</v>
      </c>
      <c r="H1790" s="56">
        <v>1</v>
      </c>
      <c r="I1790" s="56" t="s">
        <v>3550</v>
      </c>
      <c r="J1790" s="56">
        <v>0</v>
      </c>
      <c r="K1790" s="56">
        <v>0</v>
      </c>
      <c r="P1790" s="56">
        <v>0</v>
      </c>
      <c r="S1790" s="56">
        <v>0</v>
      </c>
      <c r="T1790" s="56" t="s">
        <v>3562</v>
      </c>
      <c r="V1790" s="56" t="s">
        <v>3561</v>
      </c>
      <c r="W1790" s="56" t="s">
        <v>3548</v>
      </c>
      <c r="X1790" s="56" t="s">
        <v>39</v>
      </c>
      <c r="Y1790" s="56" t="s">
        <v>3617</v>
      </c>
      <c r="Z1790" s="56" t="s">
        <v>4531</v>
      </c>
      <c r="AC1790" s="56" t="s">
        <v>3543</v>
      </c>
      <c r="AD1790" s="56" t="s">
        <v>24</v>
      </c>
      <c r="AE1790" s="56" t="s">
        <v>4530</v>
      </c>
      <c r="AF1790" s="56" t="s">
        <v>4529</v>
      </c>
      <c r="AH1790" s="56" t="s">
        <v>3542</v>
      </c>
      <c r="AI1790" s="56" t="s">
        <v>3723</v>
      </c>
    </row>
    <row r="1791" spans="1:35" ht="33" customHeight="1">
      <c r="A1791" s="56" t="s">
        <v>4534</v>
      </c>
      <c r="B1791" s="57">
        <v>44365.924930555557</v>
      </c>
      <c r="C1791" s="56" t="s">
        <v>3803</v>
      </c>
      <c r="D1791" s="56" t="s">
        <v>3802</v>
      </c>
      <c r="E1791" s="56" t="s">
        <v>4533</v>
      </c>
      <c r="F1791" s="56" t="s">
        <v>4532</v>
      </c>
      <c r="G1791" s="58" t="s">
        <v>1498</v>
      </c>
      <c r="H1791" s="56">
        <v>1</v>
      </c>
      <c r="I1791" s="56" t="s">
        <v>4016</v>
      </c>
      <c r="J1791" s="56">
        <v>0</v>
      </c>
      <c r="K1791" s="56">
        <v>0</v>
      </c>
      <c r="P1791" s="56">
        <v>0</v>
      </c>
      <c r="S1791" s="56">
        <v>0</v>
      </c>
      <c r="T1791" s="56" t="s">
        <v>3562</v>
      </c>
      <c r="V1791" s="56" t="s">
        <v>3561</v>
      </c>
      <c r="W1791" s="56" t="s">
        <v>3548</v>
      </c>
      <c r="X1791" s="56" t="s">
        <v>39</v>
      </c>
      <c r="Y1791" s="56" t="s">
        <v>3617</v>
      </c>
      <c r="Z1791" s="56" t="s">
        <v>4531</v>
      </c>
      <c r="AC1791" s="56" t="s">
        <v>3543</v>
      </c>
      <c r="AD1791" s="56" t="s">
        <v>24</v>
      </c>
      <c r="AE1791" s="56" t="s">
        <v>4530</v>
      </c>
      <c r="AF1791" s="56" t="s">
        <v>4529</v>
      </c>
      <c r="AH1791" s="56" t="s">
        <v>3542</v>
      </c>
      <c r="AI1791" s="56" t="s">
        <v>3723</v>
      </c>
    </row>
    <row r="1792" spans="1:35" ht="33" customHeight="1">
      <c r="A1792" s="56" t="s">
        <v>4528</v>
      </c>
      <c r="B1792" s="57">
        <v>44365.929085648146</v>
      </c>
      <c r="C1792" s="56" t="s">
        <v>3803</v>
      </c>
      <c r="D1792" s="56" t="s">
        <v>3802</v>
      </c>
      <c r="E1792" s="56" t="s">
        <v>4527</v>
      </c>
      <c r="F1792" s="56" t="s">
        <v>4526</v>
      </c>
      <c r="G1792" s="58" t="s">
        <v>3593</v>
      </c>
      <c r="H1792" s="56">
        <v>1</v>
      </c>
      <c r="I1792" s="56" t="s">
        <v>3577</v>
      </c>
      <c r="J1792" s="56">
        <v>700</v>
      </c>
      <c r="K1792" s="56">
        <v>599</v>
      </c>
      <c r="L1792" s="56">
        <v>2655</v>
      </c>
      <c r="M1792" s="56">
        <v>0</v>
      </c>
      <c r="N1792" s="56">
        <v>0</v>
      </c>
      <c r="O1792" s="56">
        <v>167</v>
      </c>
      <c r="P1792" s="56">
        <v>0</v>
      </c>
      <c r="Q1792" s="56">
        <v>2488</v>
      </c>
      <c r="R1792" s="56">
        <v>0</v>
      </c>
      <c r="S1792" s="56">
        <v>0</v>
      </c>
      <c r="T1792" s="56" t="s">
        <v>27</v>
      </c>
      <c r="U1792" s="56">
        <v>2488</v>
      </c>
      <c r="V1792" s="56" t="s">
        <v>3736</v>
      </c>
      <c r="W1792" s="56" t="s">
        <v>3548</v>
      </c>
      <c r="X1792" s="56" t="s">
        <v>3735</v>
      </c>
      <c r="Y1792" s="56" t="s">
        <v>4525</v>
      </c>
      <c r="Z1792" s="56" t="s">
        <v>4524</v>
      </c>
      <c r="AC1792" s="56" t="s">
        <v>3543</v>
      </c>
      <c r="AH1792" s="56" t="s">
        <v>3542</v>
      </c>
      <c r="AI1792" s="56" t="s">
        <v>3541</v>
      </c>
    </row>
    <row r="1793" spans="1:35" ht="33" customHeight="1">
      <c r="A1793" s="56" t="s">
        <v>4528</v>
      </c>
      <c r="B1793" s="57">
        <v>44365.929085648146</v>
      </c>
      <c r="C1793" s="56" t="s">
        <v>3803</v>
      </c>
      <c r="D1793" s="56" t="s">
        <v>3802</v>
      </c>
      <c r="E1793" s="56" t="s">
        <v>4527</v>
      </c>
      <c r="F1793" s="56" t="s">
        <v>4526</v>
      </c>
      <c r="G1793" s="58" t="s">
        <v>1493</v>
      </c>
      <c r="H1793" s="56">
        <v>1</v>
      </c>
      <c r="I1793" s="56" t="s">
        <v>3601</v>
      </c>
      <c r="J1793" s="56">
        <v>135</v>
      </c>
      <c r="K1793" s="56">
        <v>135</v>
      </c>
      <c r="P1793" s="56">
        <v>0</v>
      </c>
      <c r="S1793" s="56">
        <v>0</v>
      </c>
      <c r="T1793" s="56" t="s">
        <v>27</v>
      </c>
      <c r="V1793" s="56" t="s">
        <v>3736</v>
      </c>
      <c r="W1793" s="56" t="s">
        <v>3548</v>
      </c>
      <c r="X1793" s="56" t="s">
        <v>3735</v>
      </c>
      <c r="Y1793" s="56" t="s">
        <v>4525</v>
      </c>
      <c r="Z1793" s="56" t="s">
        <v>4524</v>
      </c>
      <c r="AC1793" s="56" t="s">
        <v>3543</v>
      </c>
      <c r="AH1793" s="56" t="s">
        <v>3542</v>
      </c>
      <c r="AI1793" s="56" t="s">
        <v>3541</v>
      </c>
    </row>
    <row r="1794" spans="1:35" ht="33" customHeight="1">
      <c r="A1794" s="56" t="s">
        <v>4528</v>
      </c>
      <c r="B1794" s="57">
        <v>44365.929085648146</v>
      </c>
      <c r="C1794" s="56" t="s">
        <v>3803</v>
      </c>
      <c r="D1794" s="56" t="s">
        <v>3802</v>
      </c>
      <c r="E1794" s="56" t="s">
        <v>4527</v>
      </c>
      <c r="F1794" s="56" t="s">
        <v>4526</v>
      </c>
      <c r="G1794" s="58" t="s">
        <v>3299</v>
      </c>
      <c r="H1794" s="56">
        <v>1</v>
      </c>
      <c r="I1794" s="56" t="s">
        <v>3576</v>
      </c>
      <c r="J1794" s="56">
        <v>299</v>
      </c>
      <c r="K1794" s="56">
        <v>299</v>
      </c>
      <c r="P1794" s="56">
        <v>0</v>
      </c>
      <c r="S1794" s="56">
        <v>0</v>
      </c>
      <c r="T1794" s="56" t="s">
        <v>27</v>
      </c>
      <c r="V1794" s="56" t="s">
        <v>3736</v>
      </c>
      <c r="W1794" s="56" t="s">
        <v>3548</v>
      </c>
      <c r="X1794" s="56" t="s">
        <v>3735</v>
      </c>
      <c r="Y1794" s="56" t="s">
        <v>4525</v>
      </c>
      <c r="Z1794" s="56" t="s">
        <v>4524</v>
      </c>
      <c r="AC1794" s="56" t="s">
        <v>3543</v>
      </c>
      <c r="AH1794" s="56" t="s">
        <v>3542</v>
      </c>
      <c r="AI1794" s="56" t="s">
        <v>3541</v>
      </c>
    </row>
    <row r="1795" spans="1:35" ht="33" customHeight="1">
      <c r="A1795" s="56" t="s">
        <v>4528</v>
      </c>
      <c r="B1795" s="57">
        <v>44365.929085648146</v>
      </c>
      <c r="C1795" s="56" t="s">
        <v>3803</v>
      </c>
      <c r="D1795" s="56" t="s">
        <v>3802</v>
      </c>
      <c r="E1795" s="56" t="s">
        <v>4527</v>
      </c>
      <c r="F1795" s="56" t="s">
        <v>4526</v>
      </c>
      <c r="G1795" s="58" t="s">
        <v>1491</v>
      </c>
      <c r="H1795" s="56">
        <v>1</v>
      </c>
      <c r="I1795" s="56" t="s">
        <v>3771</v>
      </c>
      <c r="J1795" s="56">
        <v>135</v>
      </c>
      <c r="K1795" s="56">
        <v>135</v>
      </c>
      <c r="P1795" s="56">
        <v>0</v>
      </c>
      <c r="S1795" s="56">
        <v>0</v>
      </c>
      <c r="T1795" s="56" t="s">
        <v>27</v>
      </c>
      <c r="V1795" s="56" t="s">
        <v>3736</v>
      </c>
      <c r="W1795" s="56" t="s">
        <v>3548</v>
      </c>
      <c r="X1795" s="56" t="s">
        <v>3735</v>
      </c>
      <c r="Y1795" s="56" t="s">
        <v>4525</v>
      </c>
      <c r="Z1795" s="56" t="s">
        <v>4524</v>
      </c>
      <c r="AC1795" s="56" t="s">
        <v>3543</v>
      </c>
      <c r="AH1795" s="56" t="s">
        <v>3542</v>
      </c>
      <c r="AI1795" s="56" t="s">
        <v>3541</v>
      </c>
    </row>
    <row r="1796" spans="1:35" ht="33" customHeight="1">
      <c r="A1796" s="56" t="s">
        <v>4528</v>
      </c>
      <c r="B1796" s="57">
        <v>44365.929085648146</v>
      </c>
      <c r="C1796" s="56" t="s">
        <v>3803</v>
      </c>
      <c r="D1796" s="56" t="s">
        <v>3802</v>
      </c>
      <c r="E1796" s="56" t="s">
        <v>4527</v>
      </c>
      <c r="F1796" s="56" t="s">
        <v>4526</v>
      </c>
      <c r="G1796" s="58" t="s">
        <v>3578</v>
      </c>
      <c r="H1796" s="56">
        <v>1</v>
      </c>
      <c r="I1796" s="56" t="s">
        <v>3577</v>
      </c>
      <c r="J1796" s="56">
        <v>700</v>
      </c>
      <c r="K1796" s="56">
        <v>599</v>
      </c>
      <c r="P1796" s="56">
        <v>0</v>
      </c>
      <c r="S1796" s="56">
        <v>0</v>
      </c>
      <c r="T1796" s="56" t="s">
        <v>27</v>
      </c>
      <c r="V1796" s="56" t="s">
        <v>3736</v>
      </c>
      <c r="W1796" s="56" t="s">
        <v>3548</v>
      </c>
      <c r="X1796" s="56" t="s">
        <v>3735</v>
      </c>
      <c r="Y1796" s="56" t="s">
        <v>4525</v>
      </c>
      <c r="Z1796" s="56" t="s">
        <v>4524</v>
      </c>
      <c r="AC1796" s="56" t="s">
        <v>3543</v>
      </c>
      <c r="AH1796" s="56" t="s">
        <v>3542</v>
      </c>
      <c r="AI1796" s="56" t="s">
        <v>3541</v>
      </c>
    </row>
    <row r="1797" spans="1:35" ht="33" customHeight="1">
      <c r="A1797" s="56" t="s">
        <v>4528</v>
      </c>
      <c r="B1797" s="57">
        <v>44365.929085648146</v>
      </c>
      <c r="C1797" s="56" t="s">
        <v>3803</v>
      </c>
      <c r="D1797" s="56" t="s">
        <v>3802</v>
      </c>
      <c r="E1797" s="56" t="s">
        <v>4527</v>
      </c>
      <c r="F1797" s="56" t="s">
        <v>4526</v>
      </c>
      <c r="G1797" s="58" t="s">
        <v>3811</v>
      </c>
      <c r="H1797" s="56">
        <v>1</v>
      </c>
      <c r="I1797" s="56" t="s">
        <v>3669</v>
      </c>
      <c r="J1797" s="56">
        <v>897</v>
      </c>
      <c r="K1797" s="56">
        <v>888</v>
      </c>
      <c r="P1797" s="56">
        <v>0</v>
      </c>
      <c r="S1797" s="56">
        <v>0</v>
      </c>
      <c r="T1797" s="56" t="s">
        <v>27</v>
      </c>
      <c r="V1797" s="56" t="s">
        <v>3736</v>
      </c>
      <c r="W1797" s="56" t="s">
        <v>3548</v>
      </c>
      <c r="X1797" s="56" t="s">
        <v>3735</v>
      </c>
      <c r="Y1797" s="56" t="s">
        <v>4525</v>
      </c>
      <c r="Z1797" s="56" t="s">
        <v>4524</v>
      </c>
      <c r="AC1797" s="56" t="s">
        <v>3543</v>
      </c>
      <c r="AH1797" s="56" t="s">
        <v>3542</v>
      </c>
      <c r="AI1797" s="56" t="s">
        <v>3541</v>
      </c>
    </row>
    <row r="1798" spans="1:35" ht="33" customHeight="1">
      <c r="A1798" s="56" t="s">
        <v>4528</v>
      </c>
      <c r="B1798" s="57">
        <v>44365.929085648146</v>
      </c>
      <c r="C1798" s="56" t="s">
        <v>3803</v>
      </c>
      <c r="D1798" s="56" t="s">
        <v>3802</v>
      </c>
      <c r="E1798" s="56" t="s">
        <v>4527</v>
      </c>
      <c r="F1798" s="56" t="s">
        <v>4526</v>
      </c>
      <c r="G1798" s="58" t="s">
        <v>3551</v>
      </c>
      <c r="H1798" s="56">
        <v>1</v>
      </c>
      <c r="I1798" s="56" t="s">
        <v>3550</v>
      </c>
      <c r="J1798" s="56">
        <v>0</v>
      </c>
      <c r="K1798" s="56">
        <v>0</v>
      </c>
      <c r="P1798" s="56">
        <v>0</v>
      </c>
      <c r="S1798" s="56">
        <v>0</v>
      </c>
      <c r="T1798" s="56" t="s">
        <v>27</v>
      </c>
      <c r="V1798" s="56" t="s">
        <v>3736</v>
      </c>
      <c r="W1798" s="56" t="s">
        <v>3548</v>
      </c>
      <c r="X1798" s="56" t="s">
        <v>3735</v>
      </c>
      <c r="Y1798" s="56" t="s">
        <v>4525</v>
      </c>
      <c r="Z1798" s="56" t="s">
        <v>4524</v>
      </c>
      <c r="AC1798" s="56" t="s">
        <v>3543</v>
      </c>
      <c r="AH1798" s="56" t="s">
        <v>3542</v>
      </c>
      <c r="AI1798" s="56" t="s">
        <v>3541</v>
      </c>
    </row>
    <row r="1799" spans="1:35" ht="33" customHeight="1">
      <c r="A1799" s="56" t="s">
        <v>4528</v>
      </c>
      <c r="B1799" s="57">
        <v>44365.929085648146</v>
      </c>
      <c r="C1799" s="56" t="s">
        <v>3803</v>
      </c>
      <c r="D1799" s="56" t="s">
        <v>3802</v>
      </c>
      <c r="E1799" s="56" t="s">
        <v>4527</v>
      </c>
      <c r="F1799" s="56" t="s">
        <v>4526</v>
      </c>
      <c r="G1799" s="58" t="s">
        <v>1713</v>
      </c>
      <c r="H1799" s="56">
        <v>1</v>
      </c>
      <c r="I1799" s="56" t="s">
        <v>3568</v>
      </c>
      <c r="J1799" s="56">
        <v>0</v>
      </c>
      <c r="K1799" s="56">
        <v>0</v>
      </c>
      <c r="P1799" s="56">
        <v>0</v>
      </c>
      <c r="S1799" s="56">
        <v>0</v>
      </c>
      <c r="T1799" s="56" t="s">
        <v>27</v>
      </c>
      <c r="V1799" s="56" t="s">
        <v>3736</v>
      </c>
      <c r="W1799" s="56" t="s">
        <v>3548</v>
      </c>
      <c r="X1799" s="56" t="s">
        <v>3735</v>
      </c>
      <c r="Y1799" s="56" t="s">
        <v>4525</v>
      </c>
      <c r="Z1799" s="56" t="s">
        <v>4524</v>
      </c>
      <c r="AC1799" s="56" t="s">
        <v>3543</v>
      </c>
      <c r="AH1799" s="56" t="s">
        <v>3542</v>
      </c>
      <c r="AI1799" s="56" t="s">
        <v>3541</v>
      </c>
    </row>
    <row r="1800" spans="1:35" ht="33" customHeight="1">
      <c r="A1800" s="56" t="s">
        <v>4528</v>
      </c>
      <c r="B1800" s="57">
        <v>44365.929085648146</v>
      </c>
      <c r="C1800" s="56" t="s">
        <v>3803</v>
      </c>
      <c r="D1800" s="56" t="s">
        <v>3802</v>
      </c>
      <c r="E1800" s="56" t="s">
        <v>4527</v>
      </c>
      <c r="F1800" s="56" t="s">
        <v>4526</v>
      </c>
      <c r="G1800" s="58" t="s">
        <v>1498</v>
      </c>
      <c r="H1800" s="56">
        <v>1</v>
      </c>
      <c r="I1800" s="56" t="s">
        <v>4016</v>
      </c>
      <c r="J1800" s="56">
        <v>0</v>
      </c>
      <c r="K1800" s="56">
        <v>0</v>
      </c>
      <c r="P1800" s="56">
        <v>0</v>
      </c>
      <c r="S1800" s="56">
        <v>0</v>
      </c>
      <c r="T1800" s="56" t="s">
        <v>27</v>
      </c>
      <c r="V1800" s="56" t="s">
        <v>3736</v>
      </c>
      <c r="W1800" s="56" t="s">
        <v>3548</v>
      </c>
      <c r="X1800" s="56" t="s">
        <v>3735</v>
      </c>
      <c r="Y1800" s="56" t="s">
        <v>4525</v>
      </c>
      <c r="Z1800" s="56" t="s">
        <v>4524</v>
      </c>
      <c r="AC1800" s="56" t="s">
        <v>3543</v>
      </c>
      <c r="AH1800" s="56" t="s">
        <v>3542</v>
      </c>
      <c r="AI1800" s="56" t="s">
        <v>3541</v>
      </c>
    </row>
    <row r="1801" spans="1:35" ht="33" customHeight="1">
      <c r="A1801" s="56" t="s">
        <v>4528</v>
      </c>
      <c r="B1801" s="57">
        <v>44365.929085648146</v>
      </c>
      <c r="C1801" s="56" t="s">
        <v>3803</v>
      </c>
      <c r="D1801" s="56" t="s">
        <v>3802</v>
      </c>
      <c r="E1801" s="56" t="s">
        <v>4527</v>
      </c>
      <c r="F1801" s="56" t="s">
        <v>4526</v>
      </c>
      <c r="G1801" s="58" t="s">
        <v>3564</v>
      </c>
      <c r="H1801" s="56">
        <v>1</v>
      </c>
      <c r="I1801" s="56" t="s">
        <v>3563</v>
      </c>
      <c r="J1801" s="56">
        <v>0</v>
      </c>
      <c r="K1801" s="56">
        <v>0</v>
      </c>
      <c r="P1801" s="56">
        <v>0</v>
      </c>
      <c r="S1801" s="56">
        <v>0</v>
      </c>
      <c r="T1801" s="56" t="s">
        <v>27</v>
      </c>
      <c r="V1801" s="56" t="s">
        <v>3736</v>
      </c>
      <c r="W1801" s="56" t="s">
        <v>3548</v>
      </c>
      <c r="X1801" s="56" t="s">
        <v>3735</v>
      </c>
      <c r="Y1801" s="56" t="s">
        <v>4525</v>
      </c>
      <c r="Z1801" s="56" t="s">
        <v>4524</v>
      </c>
      <c r="AC1801" s="56" t="s">
        <v>3543</v>
      </c>
      <c r="AH1801" s="56" t="s">
        <v>3542</v>
      </c>
      <c r="AI1801" s="56" t="s">
        <v>3541</v>
      </c>
    </row>
    <row r="1802" spans="1:35" ht="33" customHeight="1">
      <c r="A1802" s="56" t="s">
        <v>4523</v>
      </c>
      <c r="B1802" s="57">
        <v>44365.946284722224</v>
      </c>
      <c r="C1802" s="56" t="s">
        <v>3803</v>
      </c>
      <c r="D1802" s="56" t="s">
        <v>25</v>
      </c>
      <c r="E1802" s="56" t="s">
        <v>4522</v>
      </c>
      <c r="F1802" s="56" t="s">
        <v>4521</v>
      </c>
      <c r="G1802" s="58" t="s">
        <v>3654</v>
      </c>
      <c r="H1802" s="56">
        <v>1</v>
      </c>
      <c r="I1802" s="56" t="s">
        <v>3653</v>
      </c>
      <c r="J1802" s="56">
        <v>447</v>
      </c>
      <c r="K1802" s="56">
        <v>430</v>
      </c>
      <c r="L1802" s="56">
        <v>1148</v>
      </c>
      <c r="M1802" s="56">
        <v>0</v>
      </c>
      <c r="N1802" s="56">
        <v>0</v>
      </c>
      <c r="O1802" s="56">
        <v>100</v>
      </c>
      <c r="P1802" s="56">
        <v>0</v>
      </c>
      <c r="Q1802" s="56">
        <v>1048</v>
      </c>
      <c r="R1802" s="56">
        <v>0</v>
      </c>
      <c r="S1802" s="56">
        <v>0</v>
      </c>
      <c r="T1802" s="56" t="s">
        <v>27</v>
      </c>
      <c r="U1802" s="56">
        <v>1048</v>
      </c>
      <c r="V1802" s="56" t="s">
        <v>3612</v>
      </c>
      <c r="W1802" s="56" t="s">
        <v>3548</v>
      </c>
      <c r="X1802" s="56" t="s">
        <v>3611</v>
      </c>
      <c r="Z1802" s="56" t="s">
        <v>3546</v>
      </c>
      <c r="AA1802" s="56" t="s">
        <v>4520</v>
      </c>
      <c r="AB1802" s="56" t="s">
        <v>4519</v>
      </c>
      <c r="AC1802" s="56" t="s">
        <v>3543</v>
      </c>
      <c r="AH1802" s="56" t="s">
        <v>3542</v>
      </c>
      <c r="AI1802" s="56" t="s">
        <v>3541</v>
      </c>
    </row>
    <row r="1803" spans="1:35" ht="33" customHeight="1">
      <c r="A1803" s="56" t="s">
        <v>4523</v>
      </c>
      <c r="B1803" s="57">
        <v>44365.946284722224</v>
      </c>
      <c r="C1803" s="56" t="s">
        <v>3803</v>
      </c>
      <c r="D1803" s="56" t="s">
        <v>25</v>
      </c>
      <c r="E1803" s="56" t="s">
        <v>4522</v>
      </c>
      <c r="F1803" s="56" t="s">
        <v>4521</v>
      </c>
      <c r="G1803" s="58" t="s">
        <v>3299</v>
      </c>
      <c r="H1803" s="56">
        <v>1</v>
      </c>
      <c r="I1803" s="56" t="s">
        <v>3576</v>
      </c>
      <c r="J1803" s="56">
        <v>260</v>
      </c>
      <c r="K1803" s="56">
        <v>260</v>
      </c>
      <c r="P1803" s="56">
        <v>0</v>
      </c>
      <c r="S1803" s="56">
        <v>0</v>
      </c>
      <c r="T1803" s="56" t="s">
        <v>27</v>
      </c>
      <c r="V1803" s="56" t="s">
        <v>3612</v>
      </c>
      <c r="W1803" s="56" t="s">
        <v>3548</v>
      </c>
      <c r="X1803" s="56" t="s">
        <v>3611</v>
      </c>
      <c r="Z1803" s="56" t="s">
        <v>3546</v>
      </c>
      <c r="AA1803" s="56" t="s">
        <v>4520</v>
      </c>
      <c r="AB1803" s="56" t="s">
        <v>4519</v>
      </c>
      <c r="AC1803" s="56" t="s">
        <v>3543</v>
      </c>
      <c r="AH1803" s="56" t="s">
        <v>3542</v>
      </c>
      <c r="AI1803" s="56" t="s">
        <v>3541</v>
      </c>
    </row>
    <row r="1804" spans="1:35" ht="33" customHeight="1">
      <c r="A1804" s="56" t="s">
        <v>4523</v>
      </c>
      <c r="B1804" s="57">
        <v>44365.946284722224</v>
      </c>
      <c r="C1804" s="56" t="s">
        <v>3803</v>
      </c>
      <c r="D1804" s="56" t="s">
        <v>25</v>
      </c>
      <c r="E1804" s="56" t="s">
        <v>4522</v>
      </c>
      <c r="F1804" s="56" t="s">
        <v>4521</v>
      </c>
      <c r="G1804" s="58" t="s">
        <v>3171</v>
      </c>
      <c r="H1804" s="56">
        <v>1</v>
      </c>
      <c r="I1804" s="56" t="s">
        <v>3695</v>
      </c>
      <c r="J1804" s="56">
        <v>399</v>
      </c>
      <c r="K1804" s="56">
        <v>399</v>
      </c>
      <c r="P1804" s="56">
        <v>0</v>
      </c>
      <c r="S1804" s="56">
        <v>0</v>
      </c>
      <c r="T1804" s="56" t="s">
        <v>27</v>
      </c>
      <c r="V1804" s="56" t="s">
        <v>3612</v>
      </c>
      <c r="W1804" s="56" t="s">
        <v>3548</v>
      </c>
      <c r="X1804" s="56" t="s">
        <v>3611</v>
      </c>
      <c r="Z1804" s="56" t="s">
        <v>3546</v>
      </c>
      <c r="AA1804" s="56" t="s">
        <v>4520</v>
      </c>
      <c r="AB1804" s="56" t="s">
        <v>4519</v>
      </c>
      <c r="AC1804" s="56" t="s">
        <v>3543</v>
      </c>
      <c r="AH1804" s="56" t="s">
        <v>3542</v>
      </c>
      <c r="AI1804" s="56" t="s">
        <v>3541</v>
      </c>
    </row>
    <row r="1805" spans="1:35" ht="33" customHeight="1">
      <c r="A1805" s="56" t="s">
        <v>4523</v>
      </c>
      <c r="B1805" s="57">
        <v>44365.946284722224</v>
      </c>
      <c r="C1805" s="56" t="s">
        <v>3803</v>
      </c>
      <c r="D1805" s="56" t="s">
        <v>25</v>
      </c>
      <c r="E1805" s="56" t="s">
        <v>4522</v>
      </c>
      <c r="F1805" s="56" t="s">
        <v>4521</v>
      </c>
      <c r="G1805" s="58" t="s">
        <v>3217</v>
      </c>
      <c r="H1805" s="56">
        <v>1</v>
      </c>
      <c r="I1805" s="56" t="s">
        <v>3720</v>
      </c>
      <c r="J1805" s="56">
        <v>59</v>
      </c>
      <c r="K1805" s="56">
        <v>59</v>
      </c>
      <c r="P1805" s="56">
        <v>0</v>
      </c>
      <c r="S1805" s="56">
        <v>0</v>
      </c>
      <c r="T1805" s="56" t="s">
        <v>27</v>
      </c>
      <c r="V1805" s="56" t="s">
        <v>3612</v>
      </c>
      <c r="W1805" s="56" t="s">
        <v>3548</v>
      </c>
      <c r="X1805" s="56" t="s">
        <v>3611</v>
      </c>
      <c r="Z1805" s="56" t="s">
        <v>3546</v>
      </c>
      <c r="AA1805" s="56" t="s">
        <v>4520</v>
      </c>
      <c r="AB1805" s="56" t="s">
        <v>4519</v>
      </c>
      <c r="AC1805" s="56" t="s">
        <v>3543</v>
      </c>
      <c r="AH1805" s="56" t="s">
        <v>3542</v>
      </c>
      <c r="AI1805" s="56" t="s">
        <v>3541</v>
      </c>
    </row>
    <row r="1806" spans="1:35" ht="33" customHeight="1">
      <c r="A1806" s="56" t="s">
        <v>4523</v>
      </c>
      <c r="B1806" s="57">
        <v>44365.946284722224</v>
      </c>
      <c r="C1806" s="56" t="s">
        <v>3803</v>
      </c>
      <c r="D1806" s="56" t="s">
        <v>25</v>
      </c>
      <c r="E1806" s="56" t="s">
        <v>4522</v>
      </c>
      <c r="F1806" s="56" t="s">
        <v>4521</v>
      </c>
      <c r="G1806" s="58" t="s">
        <v>3551</v>
      </c>
      <c r="H1806" s="56">
        <v>1</v>
      </c>
      <c r="I1806" s="56" t="s">
        <v>3550</v>
      </c>
      <c r="J1806" s="56">
        <v>0</v>
      </c>
      <c r="K1806" s="56">
        <v>0</v>
      </c>
      <c r="P1806" s="56">
        <v>0</v>
      </c>
      <c r="S1806" s="56">
        <v>0</v>
      </c>
      <c r="T1806" s="56" t="s">
        <v>27</v>
      </c>
      <c r="V1806" s="56" t="s">
        <v>3612</v>
      </c>
      <c r="W1806" s="56" t="s">
        <v>3548</v>
      </c>
      <c r="X1806" s="56" t="s">
        <v>3611</v>
      </c>
      <c r="Z1806" s="56" t="s">
        <v>3546</v>
      </c>
      <c r="AA1806" s="56" t="s">
        <v>4520</v>
      </c>
      <c r="AB1806" s="56" t="s">
        <v>4519</v>
      </c>
      <c r="AC1806" s="56" t="s">
        <v>3543</v>
      </c>
      <c r="AH1806" s="56" t="s">
        <v>3542</v>
      </c>
      <c r="AI1806" s="56" t="s">
        <v>3541</v>
      </c>
    </row>
    <row r="1807" spans="1:35" ht="33" customHeight="1">
      <c r="A1807" s="56" t="s">
        <v>4523</v>
      </c>
      <c r="B1807" s="57">
        <v>44365.946284722224</v>
      </c>
      <c r="C1807" s="56" t="s">
        <v>3803</v>
      </c>
      <c r="D1807" s="56" t="s">
        <v>25</v>
      </c>
      <c r="E1807" s="56" t="s">
        <v>4522</v>
      </c>
      <c r="F1807" s="56" t="s">
        <v>4521</v>
      </c>
      <c r="G1807" s="58" t="s">
        <v>1498</v>
      </c>
      <c r="H1807" s="56">
        <v>1</v>
      </c>
      <c r="I1807" s="56" t="s">
        <v>4016</v>
      </c>
      <c r="J1807" s="56">
        <v>0</v>
      </c>
      <c r="K1807" s="56">
        <v>0</v>
      </c>
      <c r="P1807" s="56">
        <v>0</v>
      </c>
      <c r="S1807" s="56">
        <v>0</v>
      </c>
      <c r="T1807" s="56" t="s">
        <v>27</v>
      </c>
      <c r="V1807" s="56" t="s">
        <v>3612</v>
      </c>
      <c r="W1807" s="56" t="s">
        <v>3548</v>
      </c>
      <c r="X1807" s="56" t="s">
        <v>3611</v>
      </c>
      <c r="Z1807" s="56" t="s">
        <v>3546</v>
      </c>
      <c r="AA1807" s="56" t="s">
        <v>4520</v>
      </c>
      <c r="AB1807" s="56" t="s">
        <v>4519</v>
      </c>
      <c r="AC1807" s="56" t="s">
        <v>3543</v>
      </c>
      <c r="AH1807" s="56" t="s">
        <v>3542</v>
      </c>
      <c r="AI1807" s="56" t="s">
        <v>3541</v>
      </c>
    </row>
    <row r="1808" spans="1:35" ht="33" customHeight="1">
      <c r="A1808" s="56" t="s">
        <v>4518</v>
      </c>
      <c r="B1808" s="57">
        <v>44365.963819444441</v>
      </c>
      <c r="C1808" s="56" t="s">
        <v>3554</v>
      </c>
      <c r="D1808" s="56" t="s">
        <v>25</v>
      </c>
      <c r="E1808" s="56" t="s">
        <v>4517</v>
      </c>
      <c r="F1808" s="56" t="s">
        <v>4516</v>
      </c>
      <c r="G1808" s="58" t="s">
        <v>3942</v>
      </c>
      <c r="H1808" s="56">
        <v>1</v>
      </c>
      <c r="I1808" s="56" t="s">
        <v>3941</v>
      </c>
      <c r="J1808" s="56">
        <v>840</v>
      </c>
      <c r="K1808" s="56">
        <v>750</v>
      </c>
      <c r="L1808" s="56">
        <v>1100</v>
      </c>
      <c r="M1808" s="56">
        <v>0</v>
      </c>
      <c r="N1808" s="56">
        <v>0</v>
      </c>
      <c r="O1808" s="56">
        <v>100</v>
      </c>
      <c r="P1808" s="56">
        <v>0</v>
      </c>
      <c r="Q1808" s="56">
        <v>1000</v>
      </c>
      <c r="R1808" s="56">
        <v>0</v>
      </c>
      <c r="S1808" s="56">
        <v>0</v>
      </c>
      <c r="T1808" s="56" t="s">
        <v>27</v>
      </c>
      <c r="U1808" s="56">
        <v>1000</v>
      </c>
      <c r="V1808" s="56" t="s">
        <v>3865</v>
      </c>
      <c r="W1808" s="56" t="s">
        <v>3548</v>
      </c>
      <c r="X1808" s="56" t="s">
        <v>39</v>
      </c>
      <c r="Y1808" s="56" t="s">
        <v>4515</v>
      </c>
      <c r="Z1808" s="56" t="s">
        <v>4514</v>
      </c>
      <c r="AC1808" s="56" t="s">
        <v>3543</v>
      </c>
      <c r="AH1808" s="56" t="s">
        <v>3542</v>
      </c>
      <c r="AI1808" s="56" t="s">
        <v>3541</v>
      </c>
    </row>
    <row r="1809" spans="1:35" ht="33" customHeight="1">
      <c r="A1809" s="56" t="s">
        <v>4518</v>
      </c>
      <c r="B1809" s="57">
        <v>44365.963819444441</v>
      </c>
      <c r="C1809" s="56" t="s">
        <v>3554</v>
      </c>
      <c r="D1809" s="56" t="s">
        <v>25</v>
      </c>
      <c r="E1809" s="56" t="s">
        <v>4517</v>
      </c>
      <c r="F1809" s="56" t="s">
        <v>4516</v>
      </c>
      <c r="G1809" s="58" t="s">
        <v>1484</v>
      </c>
      <c r="H1809" s="56">
        <v>1</v>
      </c>
      <c r="I1809" s="56" t="s">
        <v>4174</v>
      </c>
      <c r="J1809" s="56">
        <v>350</v>
      </c>
      <c r="K1809" s="56">
        <v>350</v>
      </c>
      <c r="P1809" s="56">
        <v>0</v>
      </c>
      <c r="S1809" s="56">
        <v>0</v>
      </c>
      <c r="T1809" s="56" t="s">
        <v>27</v>
      </c>
      <c r="V1809" s="56" t="s">
        <v>3865</v>
      </c>
      <c r="W1809" s="56" t="s">
        <v>3548</v>
      </c>
      <c r="X1809" s="56" t="s">
        <v>39</v>
      </c>
      <c r="Y1809" s="56" t="s">
        <v>4515</v>
      </c>
      <c r="Z1809" s="56" t="s">
        <v>4514</v>
      </c>
      <c r="AC1809" s="56" t="s">
        <v>3543</v>
      </c>
      <c r="AH1809" s="56" t="s">
        <v>3542</v>
      </c>
      <c r="AI1809" s="56" t="s">
        <v>3541</v>
      </c>
    </row>
    <row r="1810" spans="1:35" ht="33" customHeight="1">
      <c r="A1810" s="56" t="s">
        <v>4518</v>
      </c>
      <c r="B1810" s="57">
        <v>44365.963819444441</v>
      </c>
      <c r="C1810" s="56" t="s">
        <v>3554</v>
      </c>
      <c r="D1810" s="56" t="s">
        <v>25</v>
      </c>
      <c r="E1810" s="56" t="s">
        <v>4517</v>
      </c>
      <c r="F1810" s="56" t="s">
        <v>4516</v>
      </c>
      <c r="G1810" s="58" t="s">
        <v>3551</v>
      </c>
      <c r="H1810" s="56">
        <v>1</v>
      </c>
      <c r="I1810" s="56" t="s">
        <v>3550</v>
      </c>
      <c r="J1810" s="56">
        <v>0</v>
      </c>
      <c r="K1810" s="56">
        <v>0</v>
      </c>
      <c r="P1810" s="56">
        <v>0</v>
      </c>
      <c r="S1810" s="56">
        <v>0</v>
      </c>
      <c r="T1810" s="56" t="s">
        <v>27</v>
      </c>
      <c r="V1810" s="56" t="s">
        <v>3865</v>
      </c>
      <c r="W1810" s="56" t="s">
        <v>3548</v>
      </c>
      <c r="X1810" s="56" t="s">
        <v>39</v>
      </c>
      <c r="Y1810" s="56" t="s">
        <v>4515</v>
      </c>
      <c r="Z1810" s="56" t="s">
        <v>4514</v>
      </c>
      <c r="AC1810" s="56" t="s">
        <v>3543</v>
      </c>
      <c r="AH1810" s="56" t="s">
        <v>3542</v>
      </c>
      <c r="AI1810" s="56" t="s">
        <v>3541</v>
      </c>
    </row>
    <row r="1811" spans="1:35" ht="33" customHeight="1">
      <c r="A1811" s="56" t="s">
        <v>4518</v>
      </c>
      <c r="B1811" s="57">
        <v>44365.963819444441</v>
      </c>
      <c r="C1811" s="56" t="s">
        <v>3554</v>
      </c>
      <c r="D1811" s="56" t="s">
        <v>25</v>
      </c>
      <c r="E1811" s="56" t="s">
        <v>4517</v>
      </c>
      <c r="F1811" s="56" t="s">
        <v>4516</v>
      </c>
      <c r="G1811" s="58" t="s">
        <v>1498</v>
      </c>
      <c r="H1811" s="56">
        <v>1</v>
      </c>
      <c r="I1811" s="56" t="s">
        <v>4016</v>
      </c>
      <c r="J1811" s="56">
        <v>0</v>
      </c>
      <c r="K1811" s="56">
        <v>0</v>
      </c>
      <c r="P1811" s="56">
        <v>0</v>
      </c>
      <c r="S1811" s="56">
        <v>0</v>
      </c>
      <c r="T1811" s="56" t="s">
        <v>27</v>
      </c>
      <c r="V1811" s="56" t="s">
        <v>3865</v>
      </c>
      <c r="W1811" s="56" t="s">
        <v>3548</v>
      </c>
      <c r="X1811" s="56" t="s">
        <v>39</v>
      </c>
      <c r="Y1811" s="56" t="s">
        <v>4515</v>
      </c>
      <c r="Z1811" s="56" t="s">
        <v>4514</v>
      </c>
      <c r="AC1811" s="56" t="s">
        <v>3543</v>
      </c>
      <c r="AH1811" s="56" t="s">
        <v>3542</v>
      </c>
      <c r="AI1811" s="56" t="s">
        <v>3541</v>
      </c>
    </row>
    <row r="1812" spans="1:35" ht="33" customHeight="1">
      <c r="A1812" s="56" t="s">
        <v>4513</v>
      </c>
      <c r="B1812" s="57">
        <v>44365.968807870369</v>
      </c>
      <c r="C1812" s="56" t="s">
        <v>4512</v>
      </c>
      <c r="D1812" s="56" t="s">
        <v>4511</v>
      </c>
      <c r="E1812" s="56" t="s">
        <v>4510</v>
      </c>
      <c r="F1812" s="56" t="s">
        <v>4509</v>
      </c>
      <c r="G1812" s="58" t="s">
        <v>1508</v>
      </c>
      <c r="H1812" s="56">
        <v>1</v>
      </c>
      <c r="I1812" s="56" t="s">
        <v>3696</v>
      </c>
      <c r="J1812" s="56">
        <v>299</v>
      </c>
      <c r="K1812" s="56">
        <v>299</v>
      </c>
      <c r="L1812" s="56">
        <v>1134</v>
      </c>
      <c r="M1812" s="56">
        <v>0</v>
      </c>
      <c r="N1812" s="56">
        <v>0</v>
      </c>
      <c r="O1812" s="56">
        <v>100</v>
      </c>
      <c r="P1812" s="56">
        <v>0</v>
      </c>
      <c r="Q1812" s="56">
        <v>1034</v>
      </c>
      <c r="R1812" s="56">
        <v>0</v>
      </c>
      <c r="S1812" s="56">
        <v>0</v>
      </c>
      <c r="T1812" s="56" t="s">
        <v>3562</v>
      </c>
      <c r="U1812" s="56">
        <v>1034</v>
      </c>
      <c r="V1812" s="56" t="s">
        <v>3612</v>
      </c>
      <c r="W1812" s="56" t="s">
        <v>3548</v>
      </c>
      <c r="X1812" s="56" t="s">
        <v>3611</v>
      </c>
      <c r="Z1812" s="56" t="s">
        <v>3546</v>
      </c>
      <c r="AA1812" s="56" t="s">
        <v>4508</v>
      </c>
      <c r="AB1812" s="56" t="s">
        <v>4507</v>
      </c>
      <c r="AC1812" s="56" t="s">
        <v>3543</v>
      </c>
      <c r="AD1812" s="56" t="s">
        <v>24</v>
      </c>
      <c r="AE1812" s="56" t="s">
        <v>3725</v>
      </c>
      <c r="AF1812" s="56" t="s">
        <v>4506</v>
      </c>
      <c r="AH1812" s="56" t="s">
        <v>3542</v>
      </c>
      <c r="AI1812" s="56" t="s">
        <v>3723</v>
      </c>
    </row>
    <row r="1813" spans="1:35" ht="33" customHeight="1">
      <c r="A1813" s="56" t="s">
        <v>4513</v>
      </c>
      <c r="B1813" s="57">
        <v>44365.968807870369</v>
      </c>
      <c r="C1813" s="56" t="s">
        <v>4512</v>
      </c>
      <c r="D1813" s="56" t="s">
        <v>4511</v>
      </c>
      <c r="E1813" s="56" t="s">
        <v>4510</v>
      </c>
      <c r="F1813" s="56" t="s">
        <v>4509</v>
      </c>
      <c r="G1813" s="58" t="s">
        <v>4467</v>
      </c>
      <c r="H1813" s="56">
        <v>1</v>
      </c>
      <c r="I1813" s="56" t="s">
        <v>3769</v>
      </c>
      <c r="J1813" s="56">
        <v>405</v>
      </c>
      <c r="K1813" s="56">
        <v>390</v>
      </c>
      <c r="P1813" s="56">
        <v>0</v>
      </c>
      <c r="S1813" s="56">
        <v>0</v>
      </c>
      <c r="T1813" s="56" t="s">
        <v>3562</v>
      </c>
      <c r="V1813" s="56" t="s">
        <v>3612</v>
      </c>
      <c r="W1813" s="56" t="s">
        <v>3548</v>
      </c>
      <c r="X1813" s="56" t="s">
        <v>3611</v>
      </c>
      <c r="Z1813" s="56" t="s">
        <v>3546</v>
      </c>
      <c r="AA1813" s="56" t="s">
        <v>4508</v>
      </c>
      <c r="AB1813" s="56" t="s">
        <v>4507</v>
      </c>
      <c r="AC1813" s="56" t="s">
        <v>3543</v>
      </c>
      <c r="AD1813" s="56" t="s">
        <v>24</v>
      </c>
      <c r="AE1813" s="56" t="s">
        <v>3725</v>
      </c>
      <c r="AF1813" s="56" t="s">
        <v>4506</v>
      </c>
      <c r="AH1813" s="56" t="s">
        <v>3542</v>
      </c>
      <c r="AI1813" s="56" t="s">
        <v>3723</v>
      </c>
    </row>
    <row r="1814" spans="1:35" ht="33" customHeight="1">
      <c r="A1814" s="56" t="s">
        <v>4513</v>
      </c>
      <c r="B1814" s="57">
        <v>44365.968807870369</v>
      </c>
      <c r="C1814" s="56" t="s">
        <v>4512</v>
      </c>
      <c r="D1814" s="56" t="s">
        <v>4511</v>
      </c>
      <c r="E1814" s="56" t="s">
        <v>4510</v>
      </c>
      <c r="F1814" s="56" t="s">
        <v>4509</v>
      </c>
      <c r="G1814" s="58" t="s">
        <v>1510</v>
      </c>
      <c r="H1814" s="56">
        <v>1</v>
      </c>
      <c r="I1814" s="56" t="s">
        <v>359</v>
      </c>
      <c r="J1814" s="56">
        <v>295</v>
      </c>
      <c r="K1814" s="56">
        <v>295</v>
      </c>
      <c r="P1814" s="56">
        <v>0</v>
      </c>
      <c r="S1814" s="56">
        <v>0</v>
      </c>
      <c r="T1814" s="56" t="s">
        <v>3562</v>
      </c>
      <c r="V1814" s="56" t="s">
        <v>3612</v>
      </c>
      <c r="W1814" s="56" t="s">
        <v>3548</v>
      </c>
      <c r="X1814" s="56" t="s">
        <v>3611</v>
      </c>
      <c r="Z1814" s="56" t="s">
        <v>3546</v>
      </c>
      <c r="AA1814" s="56" t="s">
        <v>4508</v>
      </c>
      <c r="AB1814" s="56" t="s">
        <v>4507</v>
      </c>
      <c r="AC1814" s="56" t="s">
        <v>3543</v>
      </c>
      <c r="AD1814" s="56" t="s">
        <v>24</v>
      </c>
      <c r="AE1814" s="56" t="s">
        <v>3725</v>
      </c>
      <c r="AF1814" s="56" t="s">
        <v>4506</v>
      </c>
      <c r="AH1814" s="56" t="s">
        <v>3542</v>
      </c>
      <c r="AI1814" s="56" t="s">
        <v>3723</v>
      </c>
    </row>
    <row r="1815" spans="1:35" ht="33" customHeight="1">
      <c r="A1815" s="56" t="s">
        <v>4513</v>
      </c>
      <c r="B1815" s="57">
        <v>44365.968807870369</v>
      </c>
      <c r="C1815" s="56" t="s">
        <v>4512</v>
      </c>
      <c r="D1815" s="56" t="s">
        <v>4511</v>
      </c>
      <c r="E1815" s="56" t="s">
        <v>4510</v>
      </c>
      <c r="F1815" s="56" t="s">
        <v>4509</v>
      </c>
      <c r="G1815" s="58" t="s">
        <v>1500</v>
      </c>
      <c r="H1815" s="56">
        <v>1</v>
      </c>
      <c r="I1815" s="56" t="s">
        <v>3231</v>
      </c>
      <c r="J1815" s="56">
        <v>250</v>
      </c>
      <c r="K1815" s="56">
        <v>150</v>
      </c>
      <c r="P1815" s="56">
        <v>0</v>
      </c>
      <c r="S1815" s="56">
        <v>0</v>
      </c>
      <c r="T1815" s="56" t="s">
        <v>3562</v>
      </c>
      <c r="V1815" s="56" t="s">
        <v>3612</v>
      </c>
      <c r="W1815" s="56" t="s">
        <v>3548</v>
      </c>
      <c r="X1815" s="56" t="s">
        <v>3611</v>
      </c>
      <c r="Z1815" s="56" t="s">
        <v>3546</v>
      </c>
      <c r="AA1815" s="56" t="s">
        <v>4508</v>
      </c>
      <c r="AB1815" s="56" t="s">
        <v>4507</v>
      </c>
      <c r="AC1815" s="56" t="s">
        <v>3543</v>
      </c>
      <c r="AD1815" s="56" t="s">
        <v>24</v>
      </c>
      <c r="AE1815" s="56" t="s">
        <v>3725</v>
      </c>
      <c r="AF1815" s="56" t="s">
        <v>4506</v>
      </c>
      <c r="AH1815" s="56" t="s">
        <v>3542</v>
      </c>
      <c r="AI1815" s="56" t="s">
        <v>3723</v>
      </c>
    </row>
    <row r="1816" spans="1:35" ht="33" customHeight="1">
      <c r="A1816" s="56" t="s">
        <v>4513</v>
      </c>
      <c r="B1816" s="57">
        <v>44365.968807870369</v>
      </c>
      <c r="C1816" s="56" t="s">
        <v>4512</v>
      </c>
      <c r="D1816" s="56" t="s">
        <v>4511</v>
      </c>
      <c r="E1816" s="56" t="s">
        <v>4510</v>
      </c>
      <c r="F1816" s="56" t="s">
        <v>4509</v>
      </c>
      <c r="G1816" s="58" t="s">
        <v>3551</v>
      </c>
      <c r="H1816" s="56">
        <v>1</v>
      </c>
      <c r="I1816" s="56" t="s">
        <v>3550</v>
      </c>
      <c r="J1816" s="56">
        <v>0</v>
      </c>
      <c r="K1816" s="56">
        <v>0</v>
      </c>
      <c r="P1816" s="56">
        <v>0</v>
      </c>
      <c r="S1816" s="56">
        <v>0</v>
      </c>
      <c r="T1816" s="56" t="s">
        <v>3562</v>
      </c>
      <c r="V1816" s="56" t="s">
        <v>3612</v>
      </c>
      <c r="W1816" s="56" t="s">
        <v>3548</v>
      </c>
      <c r="X1816" s="56" t="s">
        <v>3611</v>
      </c>
      <c r="Z1816" s="56" t="s">
        <v>3546</v>
      </c>
      <c r="AA1816" s="56" t="s">
        <v>4508</v>
      </c>
      <c r="AB1816" s="56" t="s">
        <v>4507</v>
      </c>
      <c r="AC1816" s="56" t="s">
        <v>3543</v>
      </c>
      <c r="AD1816" s="56" t="s">
        <v>24</v>
      </c>
      <c r="AE1816" s="56" t="s">
        <v>3725</v>
      </c>
      <c r="AF1816" s="56" t="s">
        <v>4506</v>
      </c>
      <c r="AH1816" s="56" t="s">
        <v>3542</v>
      </c>
      <c r="AI1816" s="56" t="s">
        <v>3723</v>
      </c>
    </row>
    <row r="1817" spans="1:35" ht="33" customHeight="1">
      <c r="A1817" s="56" t="s">
        <v>4513</v>
      </c>
      <c r="B1817" s="57">
        <v>44365.968807870369</v>
      </c>
      <c r="C1817" s="56" t="s">
        <v>4512</v>
      </c>
      <c r="D1817" s="56" t="s">
        <v>4511</v>
      </c>
      <c r="E1817" s="56" t="s">
        <v>4510</v>
      </c>
      <c r="F1817" s="56" t="s">
        <v>4509</v>
      </c>
      <c r="G1817" s="58" t="s">
        <v>1498</v>
      </c>
      <c r="H1817" s="56">
        <v>1</v>
      </c>
      <c r="I1817" s="56" t="s">
        <v>4016</v>
      </c>
      <c r="J1817" s="56">
        <v>0</v>
      </c>
      <c r="K1817" s="56">
        <v>0</v>
      </c>
      <c r="P1817" s="56">
        <v>0</v>
      </c>
      <c r="S1817" s="56">
        <v>0</v>
      </c>
      <c r="T1817" s="56" t="s">
        <v>3562</v>
      </c>
      <c r="V1817" s="56" t="s">
        <v>3612</v>
      </c>
      <c r="W1817" s="56" t="s">
        <v>3548</v>
      </c>
      <c r="X1817" s="56" t="s">
        <v>3611</v>
      </c>
      <c r="Z1817" s="56" t="s">
        <v>3546</v>
      </c>
      <c r="AA1817" s="56" t="s">
        <v>4508</v>
      </c>
      <c r="AB1817" s="56" t="s">
        <v>4507</v>
      </c>
      <c r="AC1817" s="56" t="s">
        <v>3543</v>
      </c>
      <c r="AD1817" s="56" t="s">
        <v>24</v>
      </c>
      <c r="AE1817" s="56" t="s">
        <v>3725</v>
      </c>
      <c r="AF1817" s="56" t="s">
        <v>4506</v>
      </c>
      <c r="AH1817" s="56" t="s">
        <v>3542</v>
      </c>
      <c r="AI1817" s="56" t="s">
        <v>3723</v>
      </c>
    </row>
    <row r="1818" spans="1:35" ht="33" customHeight="1">
      <c r="A1818" s="56" t="s">
        <v>4505</v>
      </c>
      <c r="B1818" s="57">
        <v>44365.981203703705</v>
      </c>
      <c r="C1818" s="56" t="s">
        <v>3803</v>
      </c>
      <c r="D1818" s="56" t="s">
        <v>25</v>
      </c>
      <c r="E1818" s="56" t="s">
        <v>4504</v>
      </c>
      <c r="F1818" s="56" t="s">
        <v>4503</v>
      </c>
      <c r="G1818" s="58" t="s">
        <v>3654</v>
      </c>
      <c r="H1818" s="56">
        <v>2</v>
      </c>
      <c r="I1818" s="56" t="s">
        <v>3653</v>
      </c>
      <c r="J1818" s="56">
        <v>447</v>
      </c>
      <c r="K1818" s="56">
        <v>430</v>
      </c>
      <c r="L1818" s="56">
        <v>1304</v>
      </c>
      <c r="M1818" s="56">
        <v>0</v>
      </c>
      <c r="N1818" s="56">
        <v>0</v>
      </c>
      <c r="O1818" s="56">
        <v>100</v>
      </c>
      <c r="P1818" s="56">
        <v>0</v>
      </c>
      <c r="Q1818" s="56">
        <v>1204</v>
      </c>
      <c r="R1818" s="56">
        <v>0</v>
      </c>
      <c r="S1818" s="56">
        <v>0</v>
      </c>
      <c r="T1818" s="56" t="s">
        <v>27</v>
      </c>
      <c r="U1818" s="56">
        <v>1204</v>
      </c>
      <c r="V1818" s="56" t="s">
        <v>3612</v>
      </c>
      <c r="W1818" s="56" t="s">
        <v>3548</v>
      </c>
      <c r="X1818" s="56" t="s">
        <v>3611</v>
      </c>
      <c r="Z1818" s="56" t="s">
        <v>3546</v>
      </c>
      <c r="AA1818" s="56" t="s">
        <v>4502</v>
      </c>
      <c r="AB1818" s="56" t="s">
        <v>4501</v>
      </c>
      <c r="AC1818" s="56" t="s">
        <v>3543</v>
      </c>
      <c r="AH1818" s="56" t="s">
        <v>3542</v>
      </c>
      <c r="AI1818" s="56" t="s">
        <v>3541</v>
      </c>
    </row>
    <row r="1819" spans="1:35" ht="33" customHeight="1">
      <c r="A1819" s="56" t="s">
        <v>4505</v>
      </c>
      <c r="B1819" s="57">
        <v>44365.981203703705</v>
      </c>
      <c r="C1819" s="56" t="s">
        <v>3803</v>
      </c>
      <c r="D1819" s="56" t="s">
        <v>25</v>
      </c>
      <c r="E1819" s="56" t="s">
        <v>4504</v>
      </c>
      <c r="F1819" s="56" t="s">
        <v>4503</v>
      </c>
      <c r="G1819" s="58" t="s">
        <v>1713</v>
      </c>
      <c r="H1819" s="56">
        <v>1</v>
      </c>
      <c r="I1819" s="56" t="s">
        <v>3587</v>
      </c>
      <c r="J1819" s="56">
        <v>149</v>
      </c>
      <c r="K1819" s="56">
        <v>149</v>
      </c>
      <c r="P1819" s="56">
        <v>0</v>
      </c>
      <c r="S1819" s="56">
        <v>0</v>
      </c>
      <c r="T1819" s="56" t="s">
        <v>27</v>
      </c>
      <c r="V1819" s="56" t="s">
        <v>3612</v>
      </c>
      <c r="W1819" s="56" t="s">
        <v>3548</v>
      </c>
      <c r="X1819" s="56" t="s">
        <v>3611</v>
      </c>
      <c r="Z1819" s="56" t="s">
        <v>3546</v>
      </c>
      <c r="AA1819" s="56" t="s">
        <v>4502</v>
      </c>
      <c r="AB1819" s="56" t="s">
        <v>4501</v>
      </c>
      <c r="AC1819" s="56" t="s">
        <v>3543</v>
      </c>
      <c r="AH1819" s="56" t="s">
        <v>3542</v>
      </c>
      <c r="AI1819" s="56" t="s">
        <v>3541</v>
      </c>
    </row>
    <row r="1820" spans="1:35" ht="33" customHeight="1">
      <c r="A1820" s="56" t="s">
        <v>4505</v>
      </c>
      <c r="B1820" s="57">
        <v>44365.981203703705</v>
      </c>
      <c r="C1820" s="56" t="s">
        <v>3803</v>
      </c>
      <c r="D1820" s="56" t="s">
        <v>25</v>
      </c>
      <c r="E1820" s="56" t="s">
        <v>4504</v>
      </c>
      <c r="F1820" s="56" t="s">
        <v>4503</v>
      </c>
      <c r="G1820" s="58" t="s">
        <v>1510</v>
      </c>
      <c r="H1820" s="56">
        <v>1</v>
      </c>
      <c r="I1820" s="56" t="s">
        <v>359</v>
      </c>
      <c r="J1820" s="56">
        <v>295</v>
      </c>
      <c r="K1820" s="56">
        <v>295</v>
      </c>
      <c r="P1820" s="56">
        <v>0</v>
      </c>
      <c r="S1820" s="56">
        <v>0</v>
      </c>
      <c r="T1820" s="56" t="s">
        <v>27</v>
      </c>
      <c r="V1820" s="56" t="s">
        <v>3612</v>
      </c>
      <c r="W1820" s="56" t="s">
        <v>3548</v>
      </c>
      <c r="X1820" s="56" t="s">
        <v>3611</v>
      </c>
      <c r="Z1820" s="56" t="s">
        <v>3546</v>
      </c>
      <c r="AA1820" s="56" t="s">
        <v>4502</v>
      </c>
      <c r="AB1820" s="56" t="s">
        <v>4501</v>
      </c>
      <c r="AC1820" s="56" t="s">
        <v>3543</v>
      </c>
      <c r="AH1820" s="56" t="s">
        <v>3542</v>
      </c>
      <c r="AI1820" s="56" t="s">
        <v>3541</v>
      </c>
    </row>
    <row r="1821" spans="1:35" ht="33" customHeight="1">
      <c r="A1821" s="56" t="s">
        <v>4505</v>
      </c>
      <c r="B1821" s="57">
        <v>44365.981203703705</v>
      </c>
      <c r="C1821" s="56" t="s">
        <v>3803</v>
      </c>
      <c r="D1821" s="56" t="s">
        <v>25</v>
      </c>
      <c r="E1821" s="56" t="s">
        <v>4504</v>
      </c>
      <c r="F1821" s="56" t="s">
        <v>4503</v>
      </c>
      <c r="G1821" s="58" t="s">
        <v>3551</v>
      </c>
      <c r="H1821" s="56">
        <v>1</v>
      </c>
      <c r="I1821" s="56" t="s">
        <v>3550</v>
      </c>
      <c r="J1821" s="56">
        <v>0</v>
      </c>
      <c r="K1821" s="56">
        <v>0</v>
      </c>
      <c r="P1821" s="56">
        <v>0</v>
      </c>
      <c r="S1821" s="56">
        <v>0</v>
      </c>
      <c r="T1821" s="56" t="s">
        <v>27</v>
      </c>
      <c r="V1821" s="56" t="s">
        <v>3612</v>
      </c>
      <c r="W1821" s="56" t="s">
        <v>3548</v>
      </c>
      <c r="X1821" s="56" t="s">
        <v>3611</v>
      </c>
      <c r="Z1821" s="56" t="s">
        <v>3546</v>
      </c>
      <c r="AA1821" s="56" t="s">
        <v>4502</v>
      </c>
      <c r="AB1821" s="56" t="s">
        <v>4501</v>
      </c>
      <c r="AC1821" s="56" t="s">
        <v>3543</v>
      </c>
      <c r="AH1821" s="56" t="s">
        <v>3542</v>
      </c>
      <c r="AI1821" s="56" t="s">
        <v>3541</v>
      </c>
    </row>
    <row r="1822" spans="1:35" ht="33" customHeight="1">
      <c r="A1822" s="56" t="s">
        <v>4505</v>
      </c>
      <c r="B1822" s="57">
        <v>44365.981203703705</v>
      </c>
      <c r="C1822" s="56" t="s">
        <v>3803</v>
      </c>
      <c r="D1822" s="56" t="s">
        <v>25</v>
      </c>
      <c r="E1822" s="56" t="s">
        <v>4504</v>
      </c>
      <c r="F1822" s="56" t="s">
        <v>4503</v>
      </c>
      <c r="G1822" s="58" t="s">
        <v>1498</v>
      </c>
      <c r="H1822" s="56">
        <v>1</v>
      </c>
      <c r="I1822" s="56" t="s">
        <v>4016</v>
      </c>
      <c r="J1822" s="56">
        <v>0</v>
      </c>
      <c r="K1822" s="56">
        <v>0</v>
      </c>
      <c r="P1822" s="56">
        <v>0</v>
      </c>
      <c r="S1822" s="56">
        <v>0</v>
      </c>
      <c r="T1822" s="56" t="s">
        <v>27</v>
      </c>
      <c r="V1822" s="56" t="s">
        <v>3612</v>
      </c>
      <c r="W1822" s="56" t="s">
        <v>3548</v>
      </c>
      <c r="X1822" s="56" t="s">
        <v>3611</v>
      </c>
      <c r="Z1822" s="56" t="s">
        <v>3546</v>
      </c>
      <c r="AA1822" s="56" t="s">
        <v>4502</v>
      </c>
      <c r="AB1822" s="56" t="s">
        <v>4501</v>
      </c>
      <c r="AC1822" s="56" t="s">
        <v>3543</v>
      </c>
      <c r="AH1822" s="56" t="s">
        <v>3542</v>
      </c>
      <c r="AI1822" s="56" t="s">
        <v>3541</v>
      </c>
    </row>
    <row r="1823" spans="1:35" ht="33" customHeight="1">
      <c r="A1823" s="56" t="s">
        <v>4500</v>
      </c>
      <c r="B1823" s="57">
        <v>44365.997025462966</v>
      </c>
      <c r="C1823" s="56" t="s">
        <v>3803</v>
      </c>
      <c r="D1823" s="56" t="s">
        <v>4426</v>
      </c>
      <c r="E1823" s="56" t="s">
        <v>4499</v>
      </c>
      <c r="F1823" s="56" t="s">
        <v>4498</v>
      </c>
      <c r="G1823" s="58" t="s">
        <v>3670</v>
      </c>
      <c r="H1823" s="56">
        <v>1</v>
      </c>
      <c r="I1823" s="56" t="s">
        <v>3669</v>
      </c>
      <c r="J1823" s="56">
        <v>897</v>
      </c>
      <c r="K1823" s="56">
        <v>888</v>
      </c>
      <c r="L1823" s="56">
        <v>1287</v>
      </c>
      <c r="M1823" s="56">
        <v>0</v>
      </c>
      <c r="N1823" s="56">
        <v>0</v>
      </c>
      <c r="O1823" s="56">
        <v>100</v>
      </c>
      <c r="P1823" s="56">
        <v>0</v>
      </c>
      <c r="Q1823" s="56">
        <v>1187</v>
      </c>
      <c r="R1823" s="56">
        <v>0</v>
      </c>
      <c r="S1823" s="56">
        <v>0</v>
      </c>
      <c r="T1823" s="56" t="s">
        <v>27</v>
      </c>
      <c r="U1823" s="56">
        <v>1187</v>
      </c>
      <c r="V1823" s="56" t="s">
        <v>3612</v>
      </c>
      <c r="W1823" s="56" t="s">
        <v>3548</v>
      </c>
      <c r="X1823" s="56" t="s">
        <v>3611</v>
      </c>
      <c r="Z1823" s="56" t="s">
        <v>3546</v>
      </c>
      <c r="AA1823" s="56" t="s">
        <v>4497</v>
      </c>
      <c r="AB1823" s="56" t="s">
        <v>4496</v>
      </c>
      <c r="AC1823" s="56" t="s">
        <v>3543</v>
      </c>
      <c r="AH1823" s="56" t="s">
        <v>3542</v>
      </c>
      <c r="AI1823" s="56" t="s">
        <v>3541</v>
      </c>
    </row>
    <row r="1824" spans="1:35" ht="33" customHeight="1">
      <c r="A1824" s="56" t="s">
        <v>4500</v>
      </c>
      <c r="B1824" s="57">
        <v>44365.997025462966</v>
      </c>
      <c r="C1824" s="56" t="s">
        <v>3803</v>
      </c>
      <c r="D1824" s="56" t="s">
        <v>4426</v>
      </c>
      <c r="E1824" s="56" t="s">
        <v>4499</v>
      </c>
      <c r="F1824" s="56" t="s">
        <v>4498</v>
      </c>
      <c r="G1824" s="58" t="s">
        <v>3934</v>
      </c>
      <c r="H1824" s="56">
        <v>1</v>
      </c>
      <c r="I1824" s="56" t="s">
        <v>3602</v>
      </c>
      <c r="J1824" s="56">
        <v>447</v>
      </c>
      <c r="K1824" s="56">
        <v>399</v>
      </c>
      <c r="P1824" s="56">
        <v>0</v>
      </c>
      <c r="S1824" s="56">
        <v>0</v>
      </c>
      <c r="T1824" s="56" t="s">
        <v>27</v>
      </c>
      <c r="V1824" s="56" t="s">
        <v>3612</v>
      </c>
      <c r="W1824" s="56" t="s">
        <v>3548</v>
      </c>
      <c r="X1824" s="56" t="s">
        <v>3611</v>
      </c>
      <c r="Z1824" s="56" t="s">
        <v>3546</v>
      </c>
      <c r="AA1824" s="56" t="s">
        <v>4497</v>
      </c>
      <c r="AB1824" s="56" t="s">
        <v>4496</v>
      </c>
      <c r="AC1824" s="56" t="s">
        <v>3543</v>
      </c>
      <c r="AH1824" s="56" t="s">
        <v>3542</v>
      </c>
      <c r="AI1824" s="56" t="s">
        <v>3541</v>
      </c>
    </row>
    <row r="1825" spans="1:35" ht="33" customHeight="1">
      <c r="A1825" s="56" t="s">
        <v>4500</v>
      </c>
      <c r="B1825" s="57">
        <v>44365.997025462966</v>
      </c>
      <c r="C1825" s="56" t="s">
        <v>3803</v>
      </c>
      <c r="D1825" s="56" t="s">
        <v>4426</v>
      </c>
      <c r="E1825" s="56" t="s">
        <v>4499</v>
      </c>
      <c r="F1825" s="56" t="s">
        <v>4498</v>
      </c>
      <c r="G1825" s="58" t="s">
        <v>3551</v>
      </c>
      <c r="H1825" s="56">
        <v>1</v>
      </c>
      <c r="I1825" s="56" t="s">
        <v>3550</v>
      </c>
      <c r="J1825" s="56">
        <v>0</v>
      </c>
      <c r="K1825" s="56">
        <v>0</v>
      </c>
      <c r="P1825" s="56">
        <v>0</v>
      </c>
      <c r="S1825" s="56">
        <v>0</v>
      </c>
      <c r="T1825" s="56" t="s">
        <v>27</v>
      </c>
      <c r="V1825" s="56" t="s">
        <v>3612</v>
      </c>
      <c r="W1825" s="56" t="s">
        <v>3548</v>
      </c>
      <c r="X1825" s="56" t="s">
        <v>3611</v>
      </c>
      <c r="Z1825" s="56" t="s">
        <v>3546</v>
      </c>
      <c r="AA1825" s="56" t="s">
        <v>4497</v>
      </c>
      <c r="AB1825" s="56" t="s">
        <v>4496</v>
      </c>
      <c r="AC1825" s="56" t="s">
        <v>3543</v>
      </c>
      <c r="AH1825" s="56" t="s">
        <v>3542</v>
      </c>
      <c r="AI1825" s="56" t="s">
        <v>3541</v>
      </c>
    </row>
    <row r="1826" spans="1:35" ht="33" customHeight="1">
      <c r="A1826" s="56" t="s">
        <v>4500</v>
      </c>
      <c r="B1826" s="57">
        <v>44365.997025462966</v>
      </c>
      <c r="C1826" s="56" t="s">
        <v>3803</v>
      </c>
      <c r="D1826" s="56" t="s">
        <v>4426</v>
      </c>
      <c r="E1826" s="56" t="s">
        <v>4499</v>
      </c>
      <c r="F1826" s="56" t="s">
        <v>4498</v>
      </c>
      <c r="G1826" s="58" t="s">
        <v>1498</v>
      </c>
      <c r="H1826" s="56">
        <v>1</v>
      </c>
      <c r="I1826" s="56" t="s">
        <v>4016</v>
      </c>
      <c r="J1826" s="56">
        <v>0</v>
      </c>
      <c r="K1826" s="56">
        <v>0</v>
      </c>
      <c r="P1826" s="56">
        <v>0</v>
      </c>
      <c r="S1826" s="56">
        <v>0</v>
      </c>
      <c r="T1826" s="56" t="s">
        <v>27</v>
      </c>
      <c r="V1826" s="56" t="s">
        <v>3612</v>
      </c>
      <c r="W1826" s="56" t="s">
        <v>3548</v>
      </c>
      <c r="X1826" s="56" t="s">
        <v>3611</v>
      </c>
      <c r="Z1826" s="56" t="s">
        <v>3546</v>
      </c>
      <c r="AA1826" s="56" t="s">
        <v>4497</v>
      </c>
      <c r="AB1826" s="56" t="s">
        <v>4496</v>
      </c>
      <c r="AC1826" s="56" t="s">
        <v>3543</v>
      </c>
      <c r="AH1826" s="56" t="s">
        <v>3542</v>
      </c>
      <c r="AI1826" s="56" t="s">
        <v>3541</v>
      </c>
    </row>
    <row r="1827" spans="1:35" ht="33" customHeight="1">
      <c r="A1827" s="56" t="s">
        <v>4495</v>
      </c>
      <c r="B1827" s="57">
        <v>44366.007245370369</v>
      </c>
      <c r="C1827" s="56" t="s">
        <v>3803</v>
      </c>
      <c r="D1827" s="56" t="s">
        <v>25</v>
      </c>
      <c r="E1827" s="56" t="s">
        <v>4494</v>
      </c>
      <c r="F1827" s="56" t="s">
        <v>4493</v>
      </c>
      <c r="G1827" s="58" t="s">
        <v>3681</v>
      </c>
      <c r="H1827" s="56">
        <v>1</v>
      </c>
      <c r="I1827" s="56" t="s">
        <v>3569</v>
      </c>
      <c r="J1827" s="56">
        <v>894</v>
      </c>
      <c r="K1827" s="56">
        <v>750</v>
      </c>
      <c r="L1827" s="56">
        <v>1948</v>
      </c>
      <c r="M1827" s="56">
        <v>0</v>
      </c>
      <c r="N1827" s="56">
        <v>0</v>
      </c>
      <c r="O1827" s="56">
        <v>100</v>
      </c>
      <c r="P1827" s="56">
        <v>0</v>
      </c>
      <c r="Q1827" s="56">
        <v>1848</v>
      </c>
      <c r="R1827" s="56">
        <v>0</v>
      </c>
      <c r="S1827" s="56">
        <v>0</v>
      </c>
      <c r="T1827" s="56" t="s">
        <v>27</v>
      </c>
      <c r="U1827" s="56">
        <v>1848</v>
      </c>
      <c r="V1827" s="56" t="s">
        <v>3612</v>
      </c>
      <c r="W1827" s="56" t="s">
        <v>3548</v>
      </c>
      <c r="X1827" s="56" t="s">
        <v>3611</v>
      </c>
      <c r="Z1827" s="56" t="s">
        <v>3546</v>
      </c>
      <c r="AA1827" s="56" t="s">
        <v>4492</v>
      </c>
      <c r="AB1827" s="56" t="s">
        <v>4491</v>
      </c>
      <c r="AC1827" s="56" t="s">
        <v>3543</v>
      </c>
      <c r="AH1827" s="56" t="s">
        <v>3542</v>
      </c>
      <c r="AI1827" s="56" t="s">
        <v>3541</v>
      </c>
    </row>
    <row r="1828" spans="1:35" ht="33" customHeight="1">
      <c r="A1828" s="56" t="s">
        <v>4495</v>
      </c>
      <c r="B1828" s="57">
        <v>44366.007245370369</v>
      </c>
      <c r="C1828" s="56" t="s">
        <v>3803</v>
      </c>
      <c r="D1828" s="56" t="s">
        <v>25</v>
      </c>
      <c r="E1828" s="56" t="s">
        <v>4494</v>
      </c>
      <c r="F1828" s="56" t="s">
        <v>4493</v>
      </c>
      <c r="G1828" s="58" t="s">
        <v>4137</v>
      </c>
      <c r="H1828" s="56">
        <v>1</v>
      </c>
      <c r="I1828" s="56" t="s">
        <v>3577</v>
      </c>
      <c r="J1828" s="56">
        <v>700</v>
      </c>
      <c r="K1828" s="56">
        <v>599</v>
      </c>
      <c r="P1828" s="56">
        <v>0</v>
      </c>
      <c r="S1828" s="56">
        <v>0</v>
      </c>
      <c r="T1828" s="56" t="s">
        <v>27</v>
      </c>
      <c r="V1828" s="56" t="s">
        <v>3612</v>
      </c>
      <c r="W1828" s="56" t="s">
        <v>3548</v>
      </c>
      <c r="X1828" s="56" t="s">
        <v>3611</v>
      </c>
      <c r="Z1828" s="56" t="s">
        <v>3546</v>
      </c>
      <c r="AA1828" s="56" t="s">
        <v>4492</v>
      </c>
      <c r="AB1828" s="56" t="s">
        <v>4491</v>
      </c>
      <c r="AC1828" s="56" t="s">
        <v>3543</v>
      </c>
      <c r="AH1828" s="56" t="s">
        <v>3542</v>
      </c>
      <c r="AI1828" s="56" t="s">
        <v>3541</v>
      </c>
    </row>
    <row r="1829" spans="1:35" ht="33" customHeight="1">
      <c r="A1829" s="56" t="s">
        <v>4495</v>
      </c>
      <c r="B1829" s="57">
        <v>44366.007245370369</v>
      </c>
      <c r="C1829" s="56" t="s">
        <v>3803</v>
      </c>
      <c r="D1829" s="56" t="s">
        <v>25</v>
      </c>
      <c r="E1829" s="56" t="s">
        <v>4494</v>
      </c>
      <c r="F1829" s="56" t="s">
        <v>4493</v>
      </c>
      <c r="G1829" s="58" t="s">
        <v>3593</v>
      </c>
      <c r="H1829" s="56">
        <v>1</v>
      </c>
      <c r="I1829" s="56" t="s">
        <v>3577</v>
      </c>
      <c r="J1829" s="56">
        <v>700</v>
      </c>
      <c r="K1829" s="56">
        <v>599</v>
      </c>
      <c r="P1829" s="56">
        <v>0</v>
      </c>
      <c r="S1829" s="56">
        <v>0</v>
      </c>
      <c r="T1829" s="56" t="s">
        <v>27</v>
      </c>
      <c r="V1829" s="56" t="s">
        <v>3612</v>
      </c>
      <c r="W1829" s="56" t="s">
        <v>3548</v>
      </c>
      <c r="X1829" s="56" t="s">
        <v>3611</v>
      </c>
      <c r="Z1829" s="56" t="s">
        <v>3546</v>
      </c>
      <c r="AA1829" s="56" t="s">
        <v>4492</v>
      </c>
      <c r="AB1829" s="56" t="s">
        <v>4491</v>
      </c>
      <c r="AC1829" s="56" t="s">
        <v>3543</v>
      </c>
      <c r="AH1829" s="56" t="s">
        <v>3542</v>
      </c>
      <c r="AI1829" s="56" t="s">
        <v>3541</v>
      </c>
    </row>
    <row r="1830" spans="1:35" ht="33" customHeight="1">
      <c r="A1830" s="56" t="s">
        <v>4495</v>
      </c>
      <c r="B1830" s="57">
        <v>44366.007245370369</v>
      </c>
      <c r="C1830" s="56" t="s">
        <v>3803</v>
      </c>
      <c r="D1830" s="56" t="s">
        <v>25</v>
      </c>
      <c r="E1830" s="56" t="s">
        <v>4494</v>
      </c>
      <c r="F1830" s="56" t="s">
        <v>4493</v>
      </c>
      <c r="G1830" s="58" t="s">
        <v>3551</v>
      </c>
      <c r="H1830" s="56">
        <v>1</v>
      </c>
      <c r="I1830" s="56" t="s">
        <v>3550</v>
      </c>
      <c r="J1830" s="56">
        <v>0</v>
      </c>
      <c r="K1830" s="56">
        <v>0</v>
      </c>
      <c r="P1830" s="56">
        <v>0</v>
      </c>
      <c r="S1830" s="56">
        <v>0</v>
      </c>
      <c r="T1830" s="56" t="s">
        <v>27</v>
      </c>
      <c r="V1830" s="56" t="s">
        <v>3612</v>
      </c>
      <c r="W1830" s="56" t="s">
        <v>3548</v>
      </c>
      <c r="X1830" s="56" t="s">
        <v>3611</v>
      </c>
      <c r="Z1830" s="56" t="s">
        <v>3546</v>
      </c>
      <c r="AA1830" s="56" t="s">
        <v>4492</v>
      </c>
      <c r="AB1830" s="56" t="s">
        <v>4491</v>
      </c>
      <c r="AC1830" s="56" t="s">
        <v>3543</v>
      </c>
      <c r="AH1830" s="56" t="s">
        <v>3542</v>
      </c>
      <c r="AI1830" s="56" t="s">
        <v>3541</v>
      </c>
    </row>
    <row r="1831" spans="1:35" ht="33" customHeight="1">
      <c r="A1831" s="56" t="s">
        <v>4495</v>
      </c>
      <c r="B1831" s="57">
        <v>44366.007245370369</v>
      </c>
      <c r="C1831" s="56" t="s">
        <v>3803</v>
      </c>
      <c r="D1831" s="56" t="s">
        <v>25</v>
      </c>
      <c r="E1831" s="56" t="s">
        <v>4494</v>
      </c>
      <c r="F1831" s="56" t="s">
        <v>4493</v>
      </c>
      <c r="G1831" s="58" t="s">
        <v>1713</v>
      </c>
      <c r="H1831" s="56">
        <v>1</v>
      </c>
      <c r="I1831" s="56" t="s">
        <v>3568</v>
      </c>
      <c r="J1831" s="56">
        <v>0</v>
      </c>
      <c r="K1831" s="56">
        <v>0</v>
      </c>
      <c r="P1831" s="56">
        <v>0</v>
      </c>
      <c r="S1831" s="56">
        <v>0</v>
      </c>
      <c r="T1831" s="56" t="s">
        <v>27</v>
      </c>
      <c r="V1831" s="56" t="s">
        <v>3612</v>
      </c>
      <c r="W1831" s="56" t="s">
        <v>3548</v>
      </c>
      <c r="X1831" s="56" t="s">
        <v>3611</v>
      </c>
      <c r="Z1831" s="56" t="s">
        <v>3546</v>
      </c>
      <c r="AA1831" s="56" t="s">
        <v>4492</v>
      </c>
      <c r="AB1831" s="56" t="s">
        <v>4491</v>
      </c>
      <c r="AC1831" s="56" t="s">
        <v>3543</v>
      </c>
      <c r="AH1831" s="56" t="s">
        <v>3542</v>
      </c>
      <c r="AI1831" s="56" t="s">
        <v>3541</v>
      </c>
    </row>
    <row r="1832" spans="1:35" ht="33" customHeight="1">
      <c r="A1832" s="56" t="s">
        <v>4495</v>
      </c>
      <c r="B1832" s="57">
        <v>44366.007245370369</v>
      </c>
      <c r="C1832" s="56" t="s">
        <v>3803</v>
      </c>
      <c r="D1832" s="56" t="s">
        <v>25</v>
      </c>
      <c r="E1832" s="56" t="s">
        <v>4494</v>
      </c>
      <c r="F1832" s="56" t="s">
        <v>4493</v>
      </c>
      <c r="G1832" s="58" t="s">
        <v>1498</v>
      </c>
      <c r="H1832" s="56">
        <v>1</v>
      </c>
      <c r="I1832" s="56" t="s">
        <v>4016</v>
      </c>
      <c r="J1832" s="56">
        <v>0</v>
      </c>
      <c r="K1832" s="56">
        <v>0</v>
      </c>
      <c r="P1832" s="56">
        <v>0</v>
      </c>
      <c r="S1832" s="56">
        <v>0</v>
      </c>
      <c r="T1832" s="56" t="s">
        <v>27</v>
      </c>
      <c r="V1832" s="56" t="s">
        <v>3612</v>
      </c>
      <c r="W1832" s="56" t="s">
        <v>3548</v>
      </c>
      <c r="X1832" s="56" t="s">
        <v>3611</v>
      </c>
      <c r="Z1832" s="56" t="s">
        <v>3546</v>
      </c>
      <c r="AA1832" s="56" t="s">
        <v>4492</v>
      </c>
      <c r="AB1832" s="56" t="s">
        <v>4491</v>
      </c>
      <c r="AC1832" s="56" t="s">
        <v>3543</v>
      </c>
      <c r="AH1832" s="56" t="s">
        <v>3542</v>
      </c>
      <c r="AI1832" s="56" t="s">
        <v>3541</v>
      </c>
    </row>
    <row r="1833" spans="1:35" ht="33" customHeight="1">
      <c r="A1833" s="56" t="s">
        <v>4489</v>
      </c>
      <c r="B1833" s="57">
        <v>44366.010324074072</v>
      </c>
      <c r="C1833" s="56" t="s">
        <v>3803</v>
      </c>
      <c r="D1833" s="56" t="s">
        <v>3802</v>
      </c>
      <c r="E1833" s="56" t="s">
        <v>4488</v>
      </c>
      <c r="F1833" s="56" t="s">
        <v>4487</v>
      </c>
      <c r="G1833" s="58" t="s">
        <v>4137</v>
      </c>
      <c r="H1833" s="56">
        <v>1</v>
      </c>
      <c r="I1833" s="56" t="s">
        <v>3577</v>
      </c>
      <c r="J1833" s="56">
        <v>700</v>
      </c>
      <c r="K1833" s="56">
        <v>599</v>
      </c>
      <c r="L1833" s="56">
        <v>1482</v>
      </c>
      <c r="M1833" s="56">
        <v>0</v>
      </c>
      <c r="N1833" s="56">
        <v>0</v>
      </c>
      <c r="O1833" s="56">
        <v>149</v>
      </c>
      <c r="P1833" s="56">
        <v>0</v>
      </c>
      <c r="Q1833" s="56">
        <v>1333</v>
      </c>
      <c r="R1833" s="56">
        <v>0</v>
      </c>
      <c r="S1833" s="56">
        <v>0</v>
      </c>
      <c r="T1833" s="56" t="s">
        <v>3562</v>
      </c>
      <c r="U1833" s="56">
        <v>1333</v>
      </c>
      <c r="V1833" s="56" t="s">
        <v>3561</v>
      </c>
      <c r="W1833" s="56" t="s">
        <v>3548</v>
      </c>
      <c r="X1833" s="56" t="s">
        <v>39</v>
      </c>
      <c r="Y1833" s="56" t="s">
        <v>3787</v>
      </c>
      <c r="Z1833" s="56" t="s">
        <v>4486</v>
      </c>
      <c r="AC1833" s="56" t="s">
        <v>3543</v>
      </c>
      <c r="AD1833" s="56" t="s">
        <v>24</v>
      </c>
      <c r="AE1833" s="56" t="s">
        <v>4145</v>
      </c>
      <c r="AF1833" s="56" t="s">
        <v>4485</v>
      </c>
      <c r="AH1833" s="56" t="s">
        <v>3542</v>
      </c>
      <c r="AI1833" s="56" t="s">
        <v>3723</v>
      </c>
    </row>
    <row r="1834" spans="1:35" ht="33" customHeight="1">
      <c r="A1834" s="56" t="s">
        <v>4489</v>
      </c>
      <c r="B1834" s="57">
        <v>44366.010324074072</v>
      </c>
      <c r="C1834" s="56" t="s">
        <v>3803</v>
      </c>
      <c r="D1834" s="56" t="s">
        <v>3802</v>
      </c>
      <c r="E1834" s="56" t="s">
        <v>4488</v>
      </c>
      <c r="F1834" s="56" t="s">
        <v>4487</v>
      </c>
      <c r="G1834" s="58" t="s">
        <v>1493</v>
      </c>
      <c r="H1834" s="56">
        <v>1</v>
      </c>
      <c r="I1834" s="56" t="s">
        <v>3601</v>
      </c>
      <c r="J1834" s="56">
        <v>135</v>
      </c>
      <c r="K1834" s="56">
        <v>135</v>
      </c>
      <c r="P1834" s="56">
        <v>0</v>
      </c>
      <c r="S1834" s="56">
        <v>0</v>
      </c>
      <c r="T1834" s="56" t="s">
        <v>3562</v>
      </c>
      <c r="V1834" s="56" t="s">
        <v>3561</v>
      </c>
      <c r="W1834" s="56" t="s">
        <v>3548</v>
      </c>
      <c r="X1834" s="56" t="s">
        <v>39</v>
      </c>
      <c r="Y1834" s="56" t="s">
        <v>3787</v>
      </c>
      <c r="Z1834" s="56" t="s">
        <v>4486</v>
      </c>
      <c r="AC1834" s="56" t="s">
        <v>3543</v>
      </c>
      <c r="AD1834" s="56" t="s">
        <v>24</v>
      </c>
      <c r="AE1834" s="56" t="s">
        <v>4145</v>
      </c>
      <c r="AF1834" s="56" t="s">
        <v>4485</v>
      </c>
      <c r="AH1834" s="56" t="s">
        <v>3542</v>
      </c>
      <c r="AI1834" s="56" t="s">
        <v>3723</v>
      </c>
    </row>
    <row r="1835" spans="1:35" ht="33" customHeight="1">
      <c r="A1835" s="56" t="s">
        <v>4489</v>
      </c>
      <c r="B1835" s="57">
        <v>44366.010324074072</v>
      </c>
      <c r="C1835" s="56" t="s">
        <v>3803</v>
      </c>
      <c r="D1835" s="56" t="s">
        <v>3802</v>
      </c>
      <c r="E1835" s="56" t="s">
        <v>4488</v>
      </c>
      <c r="F1835" s="56" t="s">
        <v>4487</v>
      </c>
      <c r="G1835" s="58" t="s">
        <v>4490</v>
      </c>
      <c r="H1835" s="56">
        <v>1</v>
      </c>
      <c r="I1835" s="56" t="s">
        <v>3577</v>
      </c>
      <c r="J1835" s="56">
        <v>700</v>
      </c>
      <c r="K1835" s="56">
        <v>599</v>
      </c>
      <c r="P1835" s="56">
        <v>0</v>
      </c>
      <c r="S1835" s="56">
        <v>0</v>
      </c>
      <c r="T1835" s="56" t="s">
        <v>3562</v>
      </c>
      <c r="V1835" s="56" t="s">
        <v>3561</v>
      </c>
      <c r="W1835" s="56" t="s">
        <v>3548</v>
      </c>
      <c r="X1835" s="56" t="s">
        <v>39</v>
      </c>
      <c r="Y1835" s="56" t="s">
        <v>3787</v>
      </c>
      <c r="Z1835" s="56" t="s">
        <v>4486</v>
      </c>
      <c r="AC1835" s="56" t="s">
        <v>3543</v>
      </c>
      <c r="AD1835" s="56" t="s">
        <v>24</v>
      </c>
      <c r="AE1835" s="56" t="s">
        <v>4145</v>
      </c>
      <c r="AF1835" s="56" t="s">
        <v>4485</v>
      </c>
      <c r="AH1835" s="56" t="s">
        <v>3542</v>
      </c>
      <c r="AI1835" s="56" t="s">
        <v>3723</v>
      </c>
    </row>
    <row r="1836" spans="1:35" ht="33" customHeight="1">
      <c r="A1836" s="56" t="s">
        <v>4489</v>
      </c>
      <c r="B1836" s="57">
        <v>44366.010324074072</v>
      </c>
      <c r="C1836" s="56" t="s">
        <v>3803</v>
      </c>
      <c r="D1836" s="56" t="s">
        <v>3802</v>
      </c>
      <c r="E1836" s="56" t="s">
        <v>4488</v>
      </c>
      <c r="F1836" s="56" t="s">
        <v>4487</v>
      </c>
      <c r="G1836" s="58" t="s">
        <v>1491</v>
      </c>
      <c r="H1836" s="56">
        <v>1</v>
      </c>
      <c r="I1836" s="56" t="s">
        <v>3586</v>
      </c>
      <c r="J1836" s="56">
        <v>149</v>
      </c>
      <c r="K1836" s="56">
        <v>149</v>
      </c>
      <c r="P1836" s="56">
        <v>0</v>
      </c>
      <c r="S1836" s="56">
        <v>0</v>
      </c>
      <c r="T1836" s="56" t="s">
        <v>3562</v>
      </c>
      <c r="V1836" s="56" t="s">
        <v>3561</v>
      </c>
      <c r="W1836" s="56" t="s">
        <v>3548</v>
      </c>
      <c r="X1836" s="56" t="s">
        <v>39</v>
      </c>
      <c r="Y1836" s="56" t="s">
        <v>3787</v>
      </c>
      <c r="Z1836" s="56" t="s">
        <v>4486</v>
      </c>
      <c r="AC1836" s="56" t="s">
        <v>3543</v>
      </c>
      <c r="AD1836" s="56" t="s">
        <v>24</v>
      </c>
      <c r="AE1836" s="56" t="s">
        <v>4145</v>
      </c>
      <c r="AF1836" s="56" t="s">
        <v>4485</v>
      </c>
      <c r="AH1836" s="56" t="s">
        <v>3542</v>
      </c>
      <c r="AI1836" s="56" t="s">
        <v>3723</v>
      </c>
    </row>
    <row r="1837" spans="1:35" ht="33" customHeight="1">
      <c r="A1837" s="56" t="s">
        <v>4489</v>
      </c>
      <c r="B1837" s="57">
        <v>44366.010324074072</v>
      </c>
      <c r="C1837" s="56" t="s">
        <v>3803</v>
      </c>
      <c r="D1837" s="56" t="s">
        <v>3802</v>
      </c>
      <c r="E1837" s="56" t="s">
        <v>4488</v>
      </c>
      <c r="F1837" s="56" t="s">
        <v>4487</v>
      </c>
      <c r="G1837" s="58" t="s">
        <v>3551</v>
      </c>
      <c r="H1837" s="56">
        <v>1</v>
      </c>
      <c r="I1837" s="56" t="s">
        <v>3550</v>
      </c>
      <c r="J1837" s="56">
        <v>0</v>
      </c>
      <c r="K1837" s="56">
        <v>0</v>
      </c>
      <c r="P1837" s="56">
        <v>0</v>
      </c>
      <c r="S1837" s="56">
        <v>0</v>
      </c>
      <c r="T1837" s="56" t="s">
        <v>3562</v>
      </c>
      <c r="V1837" s="56" t="s">
        <v>3561</v>
      </c>
      <c r="W1837" s="56" t="s">
        <v>3548</v>
      </c>
      <c r="X1837" s="56" t="s">
        <v>39</v>
      </c>
      <c r="Y1837" s="56" t="s">
        <v>3787</v>
      </c>
      <c r="Z1837" s="56" t="s">
        <v>4486</v>
      </c>
      <c r="AC1837" s="56" t="s">
        <v>3543</v>
      </c>
      <c r="AD1837" s="56" t="s">
        <v>24</v>
      </c>
      <c r="AE1837" s="56" t="s">
        <v>4145</v>
      </c>
      <c r="AF1837" s="56" t="s">
        <v>4485</v>
      </c>
      <c r="AH1837" s="56" t="s">
        <v>3542</v>
      </c>
      <c r="AI1837" s="56" t="s">
        <v>3723</v>
      </c>
    </row>
    <row r="1838" spans="1:35" ht="33" customHeight="1">
      <c r="A1838" s="56" t="s">
        <v>4489</v>
      </c>
      <c r="B1838" s="57">
        <v>44366.010324074072</v>
      </c>
      <c r="C1838" s="56" t="s">
        <v>3803</v>
      </c>
      <c r="D1838" s="56" t="s">
        <v>3802</v>
      </c>
      <c r="E1838" s="56" t="s">
        <v>4488</v>
      </c>
      <c r="F1838" s="56" t="s">
        <v>4487</v>
      </c>
      <c r="G1838" s="58" t="s">
        <v>1498</v>
      </c>
      <c r="H1838" s="56">
        <v>1</v>
      </c>
      <c r="I1838" s="56" t="s">
        <v>4016</v>
      </c>
      <c r="J1838" s="56">
        <v>0</v>
      </c>
      <c r="K1838" s="56">
        <v>0</v>
      </c>
      <c r="P1838" s="56">
        <v>0</v>
      </c>
      <c r="S1838" s="56">
        <v>0</v>
      </c>
      <c r="T1838" s="56" t="s">
        <v>3562</v>
      </c>
      <c r="V1838" s="56" t="s">
        <v>3561</v>
      </c>
      <c r="W1838" s="56" t="s">
        <v>3548</v>
      </c>
      <c r="X1838" s="56" t="s">
        <v>39</v>
      </c>
      <c r="Y1838" s="56" t="s">
        <v>3787</v>
      </c>
      <c r="Z1838" s="56" t="s">
        <v>4486</v>
      </c>
      <c r="AC1838" s="56" t="s">
        <v>3543</v>
      </c>
      <c r="AD1838" s="56" t="s">
        <v>24</v>
      </c>
      <c r="AE1838" s="56" t="s">
        <v>4145</v>
      </c>
      <c r="AF1838" s="56" t="s">
        <v>4485</v>
      </c>
      <c r="AH1838" s="56" t="s">
        <v>3542</v>
      </c>
      <c r="AI1838" s="56" t="s">
        <v>3723</v>
      </c>
    </row>
    <row r="1839" spans="1:35" ht="33" customHeight="1">
      <c r="A1839" s="56" t="s">
        <v>4483</v>
      </c>
      <c r="B1839" s="57">
        <v>44366.016365740739</v>
      </c>
      <c r="C1839" s="56" t="s">
        <v>3803</v>
      </c>
      <c r="D1839" s="56" t="s">
        <v>4426</v>
      </c>
      <c r="E1839" s="56" t="s">
        <v>4482</v>
      </c>
      <c r="F1839" s="56" t="s">
        <v>4481</v>
      </c>
      <c r="G1839" s="58" t="s">
        <v>4484</v>
      </c>
      <c r="H1839" s="56">
        <v>1</v>
      </c>
      <c r="I1839" s="56" t="s">
        <v>3669</v>
      </c>
      <c r="J1839" s="56">
        <v>897</v>
      </c>
      <c r="K1839" s="56">
        <v>888</v>
      </c>
      <c r="L1839" s="56">
        <v>1278</v>
      </c>
      <c r="M1839" s="56">
        <v>0</v>
      </c>
      <c r="N1839" s="56">
        <v>0</v>
      </c>
      <c r="O1839" s="56">
        <v>128</v>
      </c>
      <c r="P1839" s="56">
        <v>0</v>
      </c>
      <c r="Q1839" s="56">
        <v>1150</v>
      </c>
      <c r="R1839" s="56">
        <v>0</v>
      </c>
      <c r="S1839" s="56">
        <v>0</v>
      </c>
      <c r="T1839" s="56" t="s">
        <v>3562</v>
      </c>
      <c r="U1839" s="56">
        <v>1150</v>
      </c>
      <c r="V1839" s="56" t="s">
        <v>59</v>
      </c>
      <c r="W1839" s="56" t="s">
        <v>3548</v>
      </c>
      <c r="X1839" s="56" t="s">
        <v>3716</v>
      </c>
      <c r="Z1839" s="56" t="s">
        <v>3546</v>
      </c>
      <c r="AA1839" s="56" t="s">
        <v>763</v>
      </c>
      <c r="AB1839" s="56" t="s">
        <v>4480</v>
      </c>
      <c r="AC1839" s="56" t="s">
        <v>3543</v>
      </c>
      <c r="AD1839" s="56" t="s">
        <v>24</v>
      </c>
      <c r="AE1839" s="56" t="s">
        <v>4145</v>
      </c>
      <c r="AF1839" s="56" t="s">
        <v>4479</v>
      </c>
      <c r="AH1839" s="56" t="s">
        <v>3542</v>
      </c>
      <c r="AI1839" s="56" t="s">
        <v>3723</v>
      </c>
    </row>
    <row r="1840" spans="1:35" ht="33" customHeight="1">
      <c r="A1840" s="56" t="s">
        <v>4483</v>
      </c>
      <c r="B1840" s="57">
        <v>44366.016365740739</v>
      </c>
      <c r="C1840" s="56" t="s">
        <v>3803</v>
      </c>
      <c r="D1840" s="56" t="s">
        <v>4426</v>
      </c>
      <c r="E1840" s="56" t="s">
        <v>4482</v>
      </c>
      <c r="F1840" s="56" t="s">
        <v>4481</v>
      </c>
      <c r="G1840" s="58" t="s">
        <v>4467</v>
      </c>
      <c r="H1840" s="56">
        <v>1</v>
      </c>
      <c r="I1840" s="56" t="s">
        <v>3769</v>
      </c>
      <c r="J1840" s="56">
        <v>405</v>
      </c>
      <c r="K1840" s="56">
        <v>390</v>
      </c>
      <c r="P1840" s="56">
        <v>0</v>
      </c>
      <c r="S1840" s="56">
        <v>0</v>
      </c>
      <c r="T1840" s="56" t="s">
        <v>3562</v>
      </c>
      <c r="V1840" s="56" t="s">
        <v>59</v>
      </c>
      <c r="W1840" s="56" t="s">
        <v>3548</v>
      </c>
      <c r="X1840" s="56" t="s">
        <v>3716</v>
      </c>
      <c r="Z1840" s="56" t="s">
        <v>3546</v>
      </c>
      <c r="AA1840" s="56" t="s">
        <v>763</v>
      </c>
      <c r="AB1840" s="56" t="s">
        <v>4480</v>
      </c>
      <c r="AC1840" s="56" t="s">
        <v>3543</v>
      </c>
      <c r="AD1840" s="56" t="s">
        <v>24</v>
      </c>
      <c r="AE1840" s="56" t="s">
        <v>4145</v>
      </c>
      <c r="AF1840" s="56" t="s">
        <v>4479</v>
      </c>
      <c r="AH1840" s="56" t="s">
        <v>3542</v>
      </c>
      <c r="AI1840" s="56" t="s">
        <v>3723</v>
      </c>
    </row>
    <row r="1841" spans="1:35" ht="33" customHeight="1">
      <c r="A1841" s="56" t="s">
        <v>4483</v>
      </c>
      <c r="B1841" s="57">
        <v>44366.016365740739</v>
      </c>
      <c r="C1841" s="56" t="s">
        <v>3803</v>
      </c>
      <c r="D1841" s="56" t="s">
        <v>4426</v>
      </c>
      <c r="E1841" s="56" t="s">
        <v>4482</v>
      </c>
      <c r="F1841" s="56" t="s">
        <v>4481</v>
      </c>
      <c r="G1841" s="58" t="s">
        <v>3551</v>
      </c>
      <c r="H1841" s="56">
        <v>1</v>
      </c>
      <c r="I1841" s="56" t="s">
        <v>3550</v>
      </c>
      <c r="J1841" s="56">
        <v>0</v>
      </c>
      <c r="K1841" s="56">
        <v>0</v>
      </c>
      <c r="P1841" s="56">
        <v>0</v>
      </c>
      <c r="S1841" s="56">
        <v>0</v>
      </c>
      <c r="T1841" s="56" t="s">
        <v>3562</v>
      </c>
      <c r="V1841" s="56" t="s">
        <v>59</v>
      </c>
      <c r="W1841" s="56" t="s">
        <v>3548</v>
      </c>
      <c r="X1841" s="56" t="s">
        <v>3716</v>
      </c>
      <c r="Z1841" s="56" t="s">
        <v>3546</v>
      </c>
      <c r="AA1841" s="56" t="s">
        <v>763</v>
      </c>
      <c r="AB1841" s="56" t="s">
        <v>4480</v>
      </c>
      <c r="AC1841" s="56" t="s">
        <v>3543</v>
      </c>
      <c r="AD1841" s="56" t="s">
        <v>24</v>
      </c>
      <c r="AE1841" s="56" t="s">
        <v>4145</v>
      </c>
      <c r="AF1841" s="56" t="s">
        <v>4479</v>
      </c>
      <c r="AH1841" s="56" t="s">
        <v>3542</v>
      </c>
      <c r="AI1841" s="56" t="s">
        <v>3723</v>
      </c>
    </row>
    <row r="1842" spans="1:35" ht="33" customHeight="1">
      <c r="A1842" s="56" t="s">
        <v>4483</v>
      </c>
      <c r="B1842" s="57">
        <v>44366.016365740739</v>
      </c>
      <c r="C1842" s="56" t="s">
        <v>3803</v>
      </c>
      <c r="D1842" s="56" t="s">
        <v>4426</v>
      </c>
      <c r="E1842" s="56" t="s">
        <v>4482</v>
      </c>
      <c r="F1842" s="56" t="s">
        <v>4481</v>
      </c>
      <c r="G1842" s="58" t="s">
        <v>1498</v>
      </c>
      <c r="H1842" s="56">
        <v>1</v>
      </c>
      <c r="I1842" s="56" t="s">
        <v>4016</v>
      </c>
      <c r="J1842" s="56">
        <v>0</v>
      </c>
      <c r="K1842" s="56">
        <v>0</v>
      </c>
      <c r="P1842" s="56">
        <v>0</v>
      </c>
      <c r="S1842" s="56">
        <v>0</v>
      </c>
      <c r="T1842" s="56" t="s">
        <v>3562</v>
      </c>
      <c r="V1842" s="56" t="s">
        <v>59</v>
      </c>
      <c r="W1842" s="56" t="s">
        <v>3548</v>
      </c>
      <c r="X1842" s="56" t="s">
        <v>3716</v>
      </c>
      <c r="Z1842" s="56" t="s">
        <v>3546</v>
      </c>
      <c r="AA1842" s="56" t="s">
        <v>763</v>
      </c>
      <c r="AB1842" s="56" t="s">
        <v>4480</v>
      </c>
      <c r="AC1842" s="56" t="s">
        <v>3543</v>
      </c>
      <c r="AD1842" s="56" t="s">
        <v>24</v>
      </c>
      <c r="AE1842" s="56" t="s">
        <v>4145</v>
      </c>
      <c r="AF1842" s="56" t="s">
        <v>4479</v>
      </c>
      <c r="AH1842" s="56" t="s">
        <v>3542</v>
      </c>
      <c r="AI1842" s="56" t="s">
        <v>3723</v>
      </c>
    </row>
    <row r="1843" spans="1:35" ht="33" customHeight="1">
      <c r="A1843" s="56" t="s">
        <v>4478</v>
      </c>
      <c r="B1843" s="57">
        <v>44366.031828703701</v>
      </c>
      <c r="C1843" s="56" t="s">
        <v>3803</v>
      </c>
      <c r="D1843" s="56" t="s">
        <v>3802</v>
      </c>
      <c r="E1843" s="56" t="s">
        <v>4477</v>
      </c>
      <c r="F1843" s="56" t="s">
        <v>4476</v>
      </c>
      <c r="G1843" s="58" t="s">
        <v>1508</v>
      </c>
      <c r="H1843" s="56">
        <v>2</v>
      </c>
      <c r="I1843" s="56" t="s">
        <v>3696</v>
      </c>
      <c r="J1843" s="56">
        <v>299</v>
      </c>
      <c r="K1843" s="56">
        <v>299</v>
      </c>
      <c r="L1843" s="56">
        <v>2213</v>
      </c>
      <c r="M1843" s="56">
        <v>0</v>
      </c>
      <c r="N1843" s="56">
        <v>0</v>
      </c>
      <c r="O1843" s="56">
        <v>179</v>
      </c>
      <c r="P1843" s="56">
        <v>0</v>
      </c>
      <c r="Q1843" s="56">
        <v>2034</v>
      </c>
      <c r="R1843" s="56">
        <v>0</v>
      </c>
      <c r="S1843" s="56">
        <v>0</v>
      </c>
      <c r="T1843" s="56" t="s">
        <v>27</v>
      </c>
      <c r="U1843" s="56">
        <v>2034</v>
      </c>
      <c r="V1843" s="56" t="s">
        <v>3736</v>
      </c>
      <c r="W1843" s="56" t="s">
        <v>3548</v>
      </c>
      <c r="X1843" s="56" t="s">
        <v>3735</v>
      </c>
      <c r="Y1843" s="56" t="s">
        <v>4475</v>
      </c>
      <c r="Z1843" s="56" t="s">
        <v>4474</v>
      </c>
      <c r="AC1843" s="56" t="s">
        <v>3543</v>
      </c>
      <c r="AH1843" s="56" t="s">
        <v>3542</v>
      </c>
      <c r="AI1843" s="56" t="s">
        <v>3541</v>
      </c>
    </row>
    <row r="1844" spans="1:35" ht="33" customHeight="1">
      <c r="A1844" s="56" t="s">
        <v>4478</v>
      </c>
      <c r="B1844" s="57">
        <v>44366.031828703701</v>
      </c>
      <c r="C1844" s="56" t="s">
        <v>3803</v>
      </c>
      <c r="D1844" s="56" t="s">
        <v>3802</v>
      </c>
      <c r="E1844" s="56" t="s">
        <v>4477</v>
      </c>
      <c r="F1844" s="56" t="s">
        <v>4476</v>
      </c>
      <c r="G1844" s="58" t="s">
        <v>1506</v>
      </c>
      <c r="H1844" s="56">
        <v>2</v>
      </c>
      <c r="I1844" s="56" t="s">
        <v>3696</v>
      </c>
      <c r="J1844" s="56">
        <v>299</v>
      </c>
      <c r="K1844" s="56">
        <v>299</v>
      </c>
      <c r="P1844" s="56">
        <v>0</v>
      </c>
      <c r="S1844" s="56">
        <v>0</v>
      </c>
      <c r="T1844" s="56" t="s">
        <v>27</v>
      </c>
      <c r="V1844" s="56" t="s">
        <v>3736</v>
      </c>
      <c r="W1844" s="56" t="s">
        <v>3548</v>
      </c>
      <c r="X1844" s="56" t="s">
        <v>3735</v>
      </c>
      <c r="Y1844" s="56" t="s">
        <v>4475</v>
      </c>
      <c r="Z1844" s="56" t="s">
        <v>4474</v>
      </c>
      <c r="AC1844" s="56" t="s">
        <v>3543</v>
      </c>
      <c r="AH1844" s="56" t="s">
        <v>3542</v>
      </c>
      <c r="AI1844" s="56" t="s">
        <v>3541</v>
      </c>
    </row>
    <row r="1845" spans="1:35" ht="33" customHeight="1">
      <c r="A1845" s="56" t="s">
        <v>4478</v>
      </c>
      <c r="B1845" s="57">
        <v>44366.031828703701</v>
      </c>
      <c r="C1845" s="56" t="s">
        <v>3803</v>
      </c>
      <c r="D1845" s="56" t="s">
        <v>3802</v>
      </c>
      <c r="E1845" s="56" t="s">
        <v>4477</v>
      </c>
      <c r="F1845" s="56" t="s">
        <v>4476</v>
      </c>
      <c r="G1845" s="58" t="s">
        <v>1531</v>
      </c>
      <c r="H1845" s="56">
        <v>2</v>
      </c>
      <c r="I1845" s="56" t="s">
        <v>3696</v>
      </c>
      <c r="J1845" s="56">
        <v>299</v>
      </c>
      <c r="K1845" s="56">
        <v>299</v>
      </c>
      <c r="P1845" s="56">
        <v>0</v>
      </c>
      <c r="S1845" s="56">
        <v>0</v>
      </c>
      <c r="T1845" s="56" t="s">
        <v>27</v>
      </c>
      <c r="V1845" s="56" t="s">
        <v>3736</v>
      </c>
      <c r="W1845" s="56" t="s">
        <v>3548</v>
      </c>
      <c r="X1845" s="56" t="s">
        <v>3735</v>
      </c>
      <c r="Y1845" s="56" t="s">
        <v>4475</v>
      </c>
      <c r="Z1845" s="56" t="s">
        <v>4474</v>
      </c>
      <c r="AC1845" s="56" t="s">
        <v>3543</v>
      </c>
      <c r="AH1845" s="56" t="s">
        <v>3542</v>
      </c>
      <c r="AI1845" s="56" t="s">
        <v>3541</v>
      </c>
    </row>
    <row r="1846" spans="1:35" ht="33" customHeight="1">
      <c r="A1846" s="56" t="s">
        <v>4478</v>
      </c>
      <c r="B1846" s="57">
        <v>44366.031828703701</v>
      </c>
      <c r="C1846" s="56" t="s">
        <v>3803</v>
      </c>
      <c r="D1846" s="56" t="s">
        <v>3802</v>
      </c>
      <c r="E1846" s="56" t="s">
        <v>4477</v>
      </c>
      <c r="F1846" s="56" t="s">
        <v>4476</v>
      </c>
      <c r="G1846" s="58" t="s">
        <v>1491</v>
      </c>
      <c r="H1846" s="56">
        <v>1</v>
      </c>
      <c r="I1846" s="56" t="s">
        <v>3586</v>
      </c>
      <c r="J1846" s="56">
        <v>149</v>
      </c>
      <c r="K1846" s="56">
        <v>149</v>
      </c>
      <c r="P1846" s="56">
        <v>0</v>
      </c>
      <c r="S1846" s="56">
        <v>0</v>
      </c>
      <c r="T1846" s="56" t="s">
        <v>27</v>
      </c>
      <c r="V1846" s="56" t="s">
        <v>3736</v>
      </c>
      <c r="W1846" s="56" t="s">
        <v>3548</v>
      </c>
      <c r="X1846" s="56" t="s">
        <v>3735</v>
      </c>
      <c r="Y1846" s="56" t="s">
        <v>4475</v>
      </c>
      <c r="Z1846" s="56" t="s">
        <v>4474</v>
      </c>
      <c r="AC1846" s="56" t="s">
        <v>3543</v>
      </c>
      <c r="AH1846" s="56" t="s">
        <v>3542</v>
      </c>
      <c r="AI1846" s="56" t="s">
        <v>3541</v>
      </c>
    </row>
    <row r="1847" spans="1:35" ht="33" customHeight="1">
      <c r="A1847" s="56" t="s">
        <v>4478</v>
      </c>
      <c r="B1847" s="57">
        <v>44366.031828703701</v>
      </c>
      <c r="C1847" s="56" t="s">
        <v>3803</v>
      </c>
      <c r="D1847" s="56" t="s">
        <v>3802</v>
      </c>
      <c r="E1847" s="56" t="s">
        <v>4477</v>
      </c>
      <c r="F1847" s="56" t="s">
        <v>4476</v>
      </c>
      <c r="G1847" s="58" t="s">
        <v>1493</v>
      </c>
      <c r="H1847" s="56">
        <v>2</v>
      </c>
      <c r="I1847" s="56" t="s">
        <v>3601</v>
      </c>
      <c r="J1847" s="56">
        <v>135</v>
      </c>
      <c r="K1847" s="56">
        <v>135</v>
      </c>
      <c r="P1847" s="56">
        <v>0</v>
      </c>
      <c r="S1847" s="56">
        <v>0</v>
      </c>
      <c r="T1847" s="56" t="s">
        <v>27</v>
      </c>
      <c r="V1847" s="56" t="s">
        <v>3736</v>
      </c>
      <c r="W1847" s="56" t="s">
        <v>3548</v>
      </c>
      <c r="X1847" s="56" t="s">
        <v>3735</v>
      </c>
      <c r="Y1847" s="56" t="s">
        <v>4475</v>
      </c>
      <c r="Z1847" s="56" t="s">
        <v>4474</v>
      </c>
      <c r="AC1847" s="56" t="s">
        <v>3543</v>
      </c>
      <c r="AH1847" s="56" t="s">
        <v>3542</v>
      </c>
      <c r="AI1847" s="56" t="s">
        <v>3541</v>
      </c>
    </row>
    <row r="1848" spans="1:35" ht="33" customHeight="1">
      <c r="A1848" s="56" t="s">
        <v>4478</v>
      </c>
      <c r="B1848" s="57">
        <v>44366.031828703701</v>
      </c>
      <c r="C1848" s="56" t="s">
        <v>3803</v>
      </c>
      <c r="D1848" s="56" t="s">
        <v>3802</v>
      </c>
      <c r="E1848" s="56" t="s">
        <v>4477</v>
      </c>
      <c r="F1848" s="56" t="s">
        <v>4476</v>
      </c>
      <c r="G1848" s="58" t="s">
        <v>3551</v>
      </c>
      <c r="H1848" s="56">
        <v>1</v>
      </c>
      <c r="I1848" s="56" t="s">
        <v>3550</v>
      </c>
      <c r="J1848" s="56">
        <v>0</v>
      </c>
      <c r="K1848" s="56">
        <v>0</v>
      </c>
      <c r="P1848" s="56">
        <v>0</v>
      </c>
      <c r="S1848" s="56">
        <v>0</v>
      </c>
      <c r="T1848" s="56" t="s">
        <v>27</v>
      </c>
      <c r="V1848" s="56" t="s">
        <v>3736</v>
      </c>
      <c r="W1848" s="56" t="s">
        <v>3548</v>
      </c>
      <c r="X1848" s="56" t="s">
        <v>3735</v>
      </c>
      <c r="Y1848" s="56" t="s">
        <v>4475</v>
      </c>
      <c r="Z1848" s="56" t="s">
        <v>4474</v>
      </c>
      <c r="AC1848" s="56" t="s">
        <v>3543</v>
      </c>
      <c r="AH1848" s="56" t="s">
        <v>3542</v>
      </c>
      <c r="AI1848" s="56" t="s">
        <v>3541</v>
      </c>
    </row>
    <row r="1849" spans="1:35" ht="33" customHeight="1">
      <c r="A1849" s="56" t="s">
        <v>4478</v>
      </c>
      <c r="B1849" s="57">
        <v>44366.031828703701</v>
      </c>
      <c r="C1849" s="56" t="s">
        <v>3803</v>
      </c>
      <c r="D1849" s="56" t="s">
        <v>3802</v>
      </c>
      <c r="E1849" s="56" t="s">
        <v>4477</v>
      </c>
      <c r="F1849" s="56" t="s">
        <v>4476</v>
      </c>
      <c r="G1849" s="58" t="s">
        <v>1713</v>
      </c>
      <c r="H1849" s="56">
        <v>1</v>
      </c>
      <c r="I1849" s="56" t="s">
        <v>3568</v>
      </c>
      <c r="J1849" s="56">
        <v>0</v>
      </c>
      <c r="K1849" s="56">
        <v>0</v>
      </c>
      <c r="P1849" s="56">
        <v>0</v>
      </c>
      <c r="S1849" s="56">
        <v>0</v>
      </c>
      <c r="T1849" s="56" t="s">
        <v>27</v>
      </c>
      <c r="V1849" s="56" t="s">
        <v>3736</v>
      </c>
      <c r="W1849" s="56" t="s">
        <v>3548</v>
      </c>
      <c r="X1849" s="56" t="s">
        <v>3735</v>
      </c>
      <c r="Y1849" s="56" t="s">
        <v>4475</v>
      </c>
      <c r="Z1849" s="56" t="s">
        <v>4474</v>
      </c>
      <c r="AC1849" s="56" t="s">
        <v>3543</v>
      </c>
      <c r="AH1849" s="56" t="s">
        <v>3542</v>
      </c>
      <c r="AI1849" s="56" t="s">
        <v>3541</v>
      </c>
    </row>
    <row r="1850" spans="1:35" ht="33" customHeight="1">
      <c r="A1850" s="56" t="s">
        <v>4478</v>
      </c>
      <c r="B1850" s="57">
        <v>44366.031828703701</v>
      </c>
      <c r="C1850" s="56" t="s">
        <v>3803</v>
      </c>
      <c r="D1850" s="56" t="s">
        <v>3802</v>
      </c>
      <c r="E1850" s="56" t="s">
        <v>4477</v>
      </c>
      <c r="F1850" s="56" t="s">
        <v>4476</v>
      </c>
      <c r="G1850" s="58" t="s">
        <v>1498</v>
      </c>
      <c r="H1850" s="56">
        <v>1</v>
      </c>
      <c r="I1850" s="56" t="s">
        <v>4016</v>
      </c>
      <c r="J1850" s="56">
        <v>0</v>
      </c>
      <c r="K1850" s="56">
        <v>0</v>
      </c>
      <c r="P1850" s="56">
        <v>0</v>
      </c>
      <c r="S1850" s="56">
        <v>0</v>
      </c>
      <c r="T1850" s="56" t="s">
        <v>27</v>
      </c>
      <c r="V1850" s="56" t="s">
        <v>3736</v>
      </c>
      <c r="W1850" s="56" t="s">
        <v>3548</v>
      </c>
      <c r="X1850" s="56" t="s">
        <v>3735</v>
      </c>
      <c r="Y1850" s="56" t="s">
        <v>4475</v>
      </c>
      <c r="Z1850" s="56" t="s">
        <v>4474</v>
      </c>
      <c r="AC1850" s="56" t="s">
        <v>3543</v>
      </c>
      <c r="AH1850" s="56" t="s">
        <v>3542</v>
      </c>
      <c r="AI1850" s="56" t="s">
        <v>3541</v>
      </c>
    </row>
    <row r="1851" spans="1:35" ht="33" customHeight="1">
      <c r="A1851" s="56" t="s">
        <v>4478</v>
      </c>
      <c r="B1851" s="57">
        <v>44366.031828703701</v>
      </c>
      <c r="C1851" s="56" t="s">
        <v>3803</v>
      </c>
      <c r="D1851" s="56" t="s">
        <v>3802</v>
      </c>
      <c r="E1851" s="56" t="s">
        <v>4477</v>
      </c>
      <c r="F1851" s="56" t="s">
        <v>4476</v>
      </c>
      <c r="G1851" s="58" t="s">
        <v>3564</v>
      </c>
      <c r="H1851" s="56">
        <v>1</v>
      </c>
      <c r="I1851" s="56" t="s">
        <v>3563</v>
      </c>
      <c r="J1851" s="56">
        <v>0</v>
      </c>
      <c r="K1851" s="56">
        <v>0</v>
      </c>
      <c r="P1851" s="56">
        <v>0</v>
      </c>
      <c r="S1851" s="56">
        <v>0</v>
      </c>
      <c r="T1851" s="56" t="s">
        <v>27</v>
      </c>
      <c r="V1851" s="56" t="s">
        <v>3736</v>
      </c>
      <c r="W1851" s="56" t="s">
        <v>3548</v>
      </c>
      <c r="X1851" s="56" t="s">
        <v>3735</v>
      </c>
      <c r="Y1851" s="56" t="s">
        <v>4475</v>
      </c>
      <c r="Z1851" s="56" t="s">
        <v>4474</v>
      </c>
      <c r="AC1851" s="56" t="s">
        <v>3543</v>
      </c>
      <c r="AH1851" s="56" t="s">
        <v>3542</v>
      </c>
      <c r="AI1851" s="56" t="s">
        <v>3541</v>
      </c>
    </row>
    <row r="1852" spans="1:35" ht="33" customHeight="1">
      <c r="A1852" s="56" t="s">
        <v>4473</v>
      </c>
      <c r="B1852" s="57">
        <v>44366.061238425929</v>
      </c>
      <c r="C1852" s="56" t="s">
        <v>3803</v>
      </c>
      <c r="D1852" s="56" t="s">
        <v>3802</v>
      </c>
      <c r="E1852" s="56" t="s">
        <v>4472</v>
      </c>
      <c r="F1852" s="56" t="s">
        <v>4471</v>
      </c>
      <c r="G1852" s="58" t="s">
        <v>3580</v>
      </c>
      <c r="H1852" s="56">
        <v>1</v>
      </c>
      <c r="I1852" s="56" t="s">
        <v>3579</v>
      </c>
      <c r="J1852" s="56">
        <v>336</v>
      </c>
      <c r="K1852" s="56">
        <v>320</v>
      </c>
      <c r="L1852" s="56">
        <v>1119</v>
      </c>
      <c r="M1852" s="56">
        <v>0</v>
      </c>
      <c r="N1852" s="56">
        <v>0</v>
      </c>
      <c r="O1852" s="56">
        <v>112</v>
      </c>
      <c r="P1852" s="56">
        <v>0</v>
      </c>
      <c r="Q1852" s="56">
        <v>1007</v>
      </c>
      <c r="R1852" s="56">
        <v>0</v>
      </c>
      <c r="S1852" s="56">
        <v>0</v>
      </c>
      <c r="T1852" s="56" t="s">
        <v>3562</v>
      </c>
      <c r="U1852" s="56">
        <v>1007</v>
      </c>
      <c r="V1852" s="56" t="s">
        <v>3865</v>
      </c>
      <c r="W1852" s="56" t="s">
        <v>3548</v>
      </c>
      <c r="X1852" s="56" t="s">
        <v>39</v>
      </c>
      <c r="Y1852" s="56" t="s">
        <v>4470</v>
      </c>
      <c r="Z1852" s="56" t="s">
        <v>4469</v>
      </c>
      <c r="AC1852" s="56" t="s">
        <v>3543</v>
      </c>
      <c r="AD1852" s="56" t="s">
        <v>24</v>
      </c>
      <c r="AE1852" s="56" t="s">
        <v>4145</v>
      </c>
      <c r="AF1852" s="56" t="s">
        <v>4468</v>
      </c>
      <c r="AH1852" s="56" t="s">
        <v>3542</v>
      </c>
      <c r="AI1852" s="56" t="s">
        <v>3723</v>
      </c>
    </row>
    <row r="1853" spans="1:35" ht="33" customHeight="1">
      <c r="A1853" s="56" t="s">
        <v>4473</v>
      </c>
      <c r="B1853" s="57">
        <v>44366.061238425929</v>
      </c>
      <c r="C1853" s="56" t="s">
        <v>3803</v>
      </c>
      <c r="D1853" s="56" t="s">
        <v>3802</v>
      </c>
      <c r="E1853" s="56" t="s">
        <v>4472</v>
      </c>
      <c r="F1853" s="56" t="s">
        <v>4471</v>
      </c>
      <c r="G1853" s="58" t="s">
        <v>3656</v>
      </c>
      <c r="H1853" s="56">
        <v>1</v>
      </c>
      <c r="I1853" s="56" t="s">
        <v>3655</v>
      </c>
      <c r="J1853" s="56">
        <v>1107</v>
      </c>
      <c r="K1853" s="56">
        <v>799</v>
      </c>
      <c r="P1853" s="56">
        <v>0</v>
      </c>
      <c r="S1853" s="56">
        <v>0</v>
      </c>
      <c r="T1853" s="56" t="s">
        <v>3562</v>
      </c>
      <c r="V1853" s="56" t="s">
        <v>3865</v>
      </c>
      <c r="W1853" s="56" t="s">
        <v>3548</v>
      </c>
      <c r="X1853" s="56" t="s">
        <v>39</v>
      </c>
      <c r="Y1853" s="56" t="s">
        <v>4470</v>
      </c>
      <c r="Z1853" s="56" t="s">
        <v>4469</v>
      </c>
      <c r="AC1853" s="56" t="s">
        <v>3543</v>
      </c>
      <c r="AD1853" s="56" t="s">
        <v>24</v>
      </c>
      <c r="AE1853" s="56" t="s">
        <v>4145</v>
      </c>
      <c r="AF1853" s="56" t="s">
        <v>4468</v>
      </c>
      <c r="AH1853" s="56" t="s">
        <v>3542</v>
      </c>
      <c r="AI1853" s="56" t="s">
        <v>3723</v>
      </c>
    </row>
    <row r="1854" spans="1:35" ht="33" customHeight="1">
      <c r="A1854" s="56" t="s">
        <v>4473</v>
      </c>
      <c r="B1854" s="57">
        <v>44366.061238425929</v>
      </c>
      <c r="C1854" s="56" t="s">
        <v>3803</v>
      </c>
      <c r="D1854" s="56" t="s">
        <v>3802</v>
      </c>
      <c r="E1854" s="56" t="s">
        <v>4472</v>
      </c>
      <c r="F1854" s="56" t="s">
        <v>4471</v>
      </c>
      <c r="G1854" s="58" t="s">
        <v>3551</v>
      </c>
      <c r="H1854" s="56">
        <v>1</v>
      </c>
      <c r="I1854" s="56" t="s">
        <v>3550</v>
      </c>
      <c r="J1854" s="56">
        <v>0</v>
      </c>
      <c r="K1854" s="56">
        <v>0</v>
      </c>
      <c r="P1854" s="56">
        <v>0</v>
      </c>
      <c r="S1854" s="56">
        <v>0</v>
      </c>
      <c r="T1854" s="56" t="s">
        <v>3562</v>
      </c>
      <c r="V1854" s="56" t="s">
        <v>3865</v>
      </c>
      <c r="W1854" s="56" t="s">
        <v>3548</v>
      </c>
      <c r="X1854" s="56" t="s">
        <v>39</v>
      </c>
      <c r="Y1854" s="56" t="s">
        <v>4470</v>
      </c>
      <c r="Z1854" s="56" t="s">
        <v>4469</v>
      </c>
      <c r="AC1854" s="56" t="s">
        <v>3543</v>
      </c>
      <c r="AD1854" s="56" t="s">
        <v>24</v>
      </c>
      <c r="AE1854" s="56" t="s">
        <v>4145</v>
      </c>
      <c r="AF1854" s="56" t="s">
        <v>4468</v>
      </c>
      <c r="AH1854" s="56" t="s">
        <v>3542</v>
      </c>
      <c r="AI1854" s="56" t="s">
        <v>3723</v>
      </c>
    </row>
    <row r="1855" spans="1:35" ht="33" customHeight="1">
      <c r="A1855" s="56" t="s">
        <v>4473</v>
      </c>
      <c r="B1855" s="57">
        <v>44366.061238425929</v>
      </c>
      <c r="C1855" s="56" t="s">
        <v>3803</v>
      </c>
      <c r="D1855" s="56" t="s">
        <v>3802</v>
      </c>
      <c r="E1855" s="56" t="s">
        <v>4472</v>
      </c>
      <c r="F1855" s="56" t="s">
        <v>4471</v>
      </c>
      <c r="G1855" s="58" t="s">
        <v>1498</v>
      </c>
      <c r="H1855" s="56">
        <v>1</v>
      </c>
      <c r="I1855" s="56" t="s">
        <v>4016</v>
      </c>
      <c r="J1855" s="56">
        <v>0</v>
      </c>
      <c r="K1855" s="56">
        <v>0</v>
      </c>
      <c r="P1855" s="56">
        <v>0</v>
      </c>
      <c r="S1855" s="56">
        <v>0</v>
      </c>
      <c r="T1855" s="56" t="s">
        <v>3562</v>
      </c>
      <c r="V1855" s="56" t="s">
        <v>3865</v>
      </c>
      <c r="W1855" s="56" t="s">
        <v>3548</v>
      </c>
      <c r="X1855" s="56" t="s">
        <v>39</v>
      </c>
      <c r="Y1855" s="56" t="s">
        <v>4470</v>
      </c>
      <c r="Z1855" s="56" t="s">
        <v>4469</v>
      </c>
      <c r="AC1855" s="56" t="s">
        <v>3543</v>
      </c>
      <c r="AD1855" s="56" t="s">
        <v>24</v>
      </c>
      <c r="AE1855" s="56" t="s">
        <v>4145</v>
      </c>
      <c r="AF1855" s="56" t="s">
        <v>4468</v>
      </c>
      <c r="AH1855" s="56" t="s">
        <v>3542</v>
      </c>
      <c r="AI1855" s="56" t="s">
        <v>3723</v>
      </c>
    </row>
    <row r="1856" spans="1:35" ht="33" customHeight="1">
      <c r="A1856" s="56" t="s">
        <v>4466</v>
      </c>
      <c r="B1856" s="57">
        <v>44366.063379629632</v>
      </c>
      <c r="C1856" s="56" t="s">
        <v>3803</v>
      </c>
      <c r="D1856" s="56" t="s">
        <v>3802</v>
      </c>
      <c r="E1856" s="56" t="s">
        <v>4465</v>
      </c>
      <c r="F1856" s="56" t="s">
        <v>4464</v>
      </c>
      <c r="G1856" s="58" t="s">
        <v>4467</v>
      </c>
      <c r="H1856" s="56">
        <v>1</v>
      </c>
      <c r="I1856" s="56" t="s">
        <v>3769</v>
      </c>
      <c r="J1856" s="56">
        <v>405</v>
      </c>
      <c r="K1856" s="56">
        <v>390</v>
      </c>
      <c r="L1856" s="56">
        <v>1208</v>
      </c>
      <c r="M1856" s="56">
        <v>0</v>
      </c>
      <c r="N1856" s="56">
        <v>0</v>
      </c>
      <c r="O1856" s="56">
        <v>121</v>
      </c>
      <c r="P1856" s="56">
        <v>0</v>
      </c>
      <c r="Q1856" s="56">
        <v>1087</v>
      </c>
      <c r="R1856" s="56">
        <v>0</v>
      </c>
      <c r="S1856" s="56">
        <v>0</v>
      </c>
      <c r="T1856" s="56" t="s">
        <v>3562</v>
      </c>
      <c r="U1856" s="56">
        <v>1087</v>
      </c>
      <c r="V1856" s="56" t="s">
        <v>3561</v>
      </c>
      <c r="W1856" s="56" t="s">
        <v>3548</v>
      </c>
      <c r="X1856" s="56" t="s">
        <v>39</v>
      </c>
      <c r="Y1856" s="56" t="s">
        <v>4463</v>
      </c>
      <c r="Z1856" s="56" t="s">
        <v>4462</v>
      </c>
      <c r="AC1856" s="56" t="s">
        <v>3543</v>
      </c>
      <c r="AD1856" s="56" t="s">
        <v>24</v>
      </c>
      <c r="AE1856" s="56" t="s">
        <v>4145</v>
      </c>
      <c r="AF1856" s="56" t="s">
        <v>4461</v>
      </c>
      <c r="AH1856" s="56" t="s">
        <v>3542</v>
      </c>
      <c r="AI1856" s="56" t="s">
        <v>3723</v>
      </c>
    </row>
    <row r="1857" spans="1:35" ht="33" customHeight="1">
      <c r="A1857" s="56" t="s">
        <v>4466</v>
      </c>
      <c r="B1857" s="57">
        <v>44366.063379629632</v>
      </c>
      <c r="C1857" s="56" t="s">
        <v>3803</v>
      </c>
      <c r="D1857" s="56" t="s">
        <v>3802</v>
      </c>
      <c r="E1857" s="56" t="s">
        <v>4465</v>
      </c>
      <c r="F1857" s="56" t="s">
        <v>4464</v>
      </c>
      <c r="G1857" s="58" t="s">
        <v>3174</v>
      </c>
      <c r="H1857" s="56">
        <v>1</v>
      </c>
      <c r="I1857" s="56" t="s">
        <v>3791</v>
      </c>
      <c r="J1857" s="56">
        <v>299</v>
      </c>
      <c r="K1857" s="56">
        <v>299</v>
      </c>
      <c r="P1857" s="56">
        <v>0</v>
      </c>
      <c r="S1857" s="56">
        <v>0</v>
      </c>
      <c r="T1857" s="56" t="s">
        <v>3562</v>
      </c>
      <c r="V1857" s="56" t="s">
        <v>3561</v>
      </c>
      <c r="W1857" s="56" t="s">
        <v>3548</v>
      </c>
      <c r="X1857" s="56" t="s">
        <v>39</v>
      </c>
      <c r="Y1857" s="56" t="s">
        <v>4463</v>
      </c>
      <c r="Z1857" s="56" t="s">
        <v>4462</v>
      </c>
      <c r="AC1857" s="56" t="s">
        <v>3543</v>
      </c>
      <c r="AD1857" s="56" t="s">
        <v>24</v>
      </c>
      <c r="AE1857" s="56" t="s">
        <v>4145</v>
      </c>
      <c r="AF1857" s="56" t="s">
        <v>4461</v>
      </c>
      <c r="AH1857" s="56" t="s">
        <v>3542</v>
      </c>
      <c r="AI1857" s="56" t="s">
        <v>3723</v>
      </c>
    </row>
    <row r="1858" spans="1:35" ht="33" customHeight="1">
      <c r="A1858" s="56" t="s">
        <v>4466</v>
      </c>
      <c r="B1858" s="57">
        <v>44366.063379629632</v>
      </c>
      <c r="C1858" s="56" t="s">
        <v>3803</v>
      </c>
      <c r="D1858" s="56" t="s">
        <v>3802</v>
      </c>
      <c r="E1858" s="56" t="s">
        <v>4465</v>
      </c>
      <c r="F1858" s="56" t="s">
        <v>4464</v>
      </c>
      <c r="G1858" s="58" t="s">
        <v>3603</v>
      </c>
      <c r="H1858" s="56">
        <v>1</v>
      </c>
      <c r="I1858" s="56" t="s">
        <v>3602</v>
      </c>
      <c r="J1858" s="56">
        <v>447</v>
      </c>
      <c r="K1858" s="56">
        <v>399</v>
      </c>
      <c r="P1858" s="56">
        <v>0</v>
      </c>
      <c r="S1858" s="56">
        <v>0</v>
      </c>
      <c r="T1858" s="56" t="s">
        <v>3562</v>
      </c>
      <c r="V1858" s="56" t="s">
        <v>3561</v>
      </c>
      <c r="W1858" s="56" t="s">
        <v>3548</v>
      </c>
      <c r="X1858" s="56" t="s">
        <v>39</v>
      </c>
      <c r="Y1858" s="56" t="s">
        <v>4463</v>
      </c>
      <c r="Z1858" s="56" t="s">
        <v>4462</v>
      </c>
      <c r="AC1858" s="56" t="s">
        <v>3543</v>
      </c>
      <c r="AD1858" s="56" t="s">
        <v>24</v>
      </c>
      <c r="AE1858" s="56" t="s">
        <v>4145</v>
      </c>
      <c r="AF1858" s="56" t="s">
        <v>4461</v>
      </c>
      <c r="AH1858" s="56" t="s">
        <v>3542</v>
      </c>
      <c r="AI1858" s="56" t="s">
        <v>3723</v>
      </c>
    </row>
    <row r="1859" spans="1:35" ht="33" customHeight="1">
      <c r="A1859" s="56" t="s">
        <v>4466</v>
      </c>
      <c r="B1859" s="57">
        <v>44366.063379629632</v>
      </c>
      <c r="C1859" s="56" t="s">
        <v>3803</v>
      </c>
      <c r="D1859" s="56" t="s">
        <v>3802</v>
      </c>
      <c r="E1859" s="56" t="s">
        <v>4465</v>
      </c>
      <c r="F1859" s="56" t="s">
        <v>4464</v>
      </c>
      <c r="G1859" s="58" t="s">
        <v>3196</v>
      </c>
      <c r="H1859" s="56">
        <v>1</v>
      </c>
      <c r="I1859" s="56" t="s">
        <v>2550</v>
      </c>
      <c r="J1859" s="56">
        <v>120</v>
      </c>
      <c r="K1859" s="56">
        <v>120</v>
      </c>
      <c r="P1859" s="56">
        <v>0</v>
      </c>
      <c r="S1859" s="56">
        <v>0</v>
      </c>
      <c r="T1859" s="56" t="s">
        <v>3562</v>
      </c>
      <c r="V1859" s="56" t="s">
        <v>3561</v>
      </c>
      <c r="W1859" s="56" t="s">
        <v>3548</v>
      </c>
      <c r="X1859" s="56" t="s">
        <v>39</v>
      </c>
      <c r="Y1859" s="56" t="s">
        <v>4463</v>
      </c>
      <c r="Z1859" s="56" t="s">
        <v>4462</v>
      </c>
      <c r="AC1859" s="56" t="s">
        <v>3543</v>
      </c>
      <c r="AD1859" s="56" t="s">
        <v>24</v>
      </c>
      <c r="AE1859" s="56" t="s">
        <v>4145</v>
      </c>
      <c r="AF1859" s="56" t="s">
        <v>4461</v>
      </c>
      <c r="AH1859" s="56" t="s">
        <v>3542</v>
      </c>
      <c r="AI1859" s="56" t="s">
        <v>3723</v>
      </c>
    </row>
    <row r="1860" spans="1:35" ht="33" customHeight="1">
      <c r="A1860" s="56" t="s">
        <v>4466</v>
      </c>
      <c r="B1860" s="57">
        <v>44366.063379629632</v>
      </c>
      <c r="C1860" s="56" t="s">
        <v>3803</v>
      </c>
      <c r="D1860" s="56" t="s">
        <v>3802</v>
      </c>
      <c r="E1860" s="56" t="s">
        <v>4465</v>
      </c>
      <c r="F1860" s="56" t="s">
        <v>4464</v>
      </c>
      <c r="G1860" s="58" t="s">
        <v>3551</v>
      </c>
      <c r="H1860" s="56">
        <v>1</v>
      </c>
      <c r="I1860" s="56" t="s">
        <v>3550</v>
      </c>
      <c r="J1860" s="56">
        <v>0</v>
      </c>
      <c r="K1860" s="56">
        <v>0</v>
      </c>
      <c r="P1860" s="56">
        <v>0</v>
      </c>
      <c r="S1860" s="56">
        <v>0</v>
      </c>
      <c r="T1860" s="56" t="s">
        <v>3562</v>
      </c>
      <c r="V1860" s="56" t="s">
        <v>3561</v>
      </c>
      <c r="W1860" s="56" t="s">
        <v>3548</v>
      </c>
      <c r="X1860" s="56" t="s">
        <v>39</v>
      </c>
      <c r="Y1860" s="56" t="s">
        <v>4463</v>
      </c>
      <c r="Z1860" s="56" t="s">
        <v>4462</v>
      </c>
      <c r="AC1860" s="56" t="s">
        <v>3543</v>
      </c>
      <c r="AD1860" s="56" t="s">
        <v>24</v>
      </c>
      <c r="AE1860" s="56" t="s">
        <v>4145</v>
      </c>
      <c r="AF1860" s="56" t="s">
        <v>4461</v>
      </c>
      <c r="AH1860" s="56" t="s">
        <v>3542</v>
      </c>
      <c r="AI1860" s="56" t="s">
        <v>3723</v>
      </c>
    </row>
    <row r="1861" spans="1:35" ht="33" customHeight="1">
      <c r="A1861" s="56" t="s">
        <v>4466</v>
      </c>
      <c r="B1861" s="57">
        <v>44366.063379629632</v>
      </c>
      <c r="C1861" s="56" t="s">
        <v>3803</v>
      </c>
      <c r="D1861" s="56" t="s">
        <v>3802</v>
      </c>
      <c r="E1861" s="56" t="s">
        <v>4465</v>
      </c>
      <c r="F1861" s="56" t="s">
        <v>4464</v>
      </c>
      <c r="G1861" s="58" t="s">
        <v>1498</v>
      </c>
      <c r="H1861" s="56">
        <v>1</v>
      </c>
      <c r="I1861" s="56" t="s">
        <v>4016</v>
      </c>
      <c r="J1861" s="56">
        <v>0</v>
      </c>
      <c r="K1861" s="56">
        <v>0</v>
      </c>
      <c r="P1861" s="56">
        <v>0</v>
      </c>
      <c r="S1861" s="56">
        <v>0</v>
      </c>
      <c r="T1861" s="56" t="s">
        <v>3562</v>
      </c>
      <c r="V1861" s="56" t="s">
        <v>3561</v>
      </c>
      <c r="W1861" s="56" t="s">
        <v>3548</v>
      </c>
      <c r="X1861" s="56" t="s">
        <v>39</v>
      </c>
      <c r="Y1861" s="56" t="s">
        <v>4463</v>
      </c>
      <c r="Z1861" s="56" t="s">
        <v>4462</v>
      </c>
      <c r="AC1861" s="56" t="s">
        <v>3543</v>
      </c>
      <c r="AD1861" s="56" t="s">
        <v>24</v>
      </c>
      <c r="AE1861" s="56" t="s">
        <v>4145</v>
      </c>
      <c r="AF1861" s="56" t="s">
        <v>4461</v>
      </c>
      <c r="AH1861" s="56" t="s">
        <v>3542</v>
      </c>
      <c r="AI1861" s="56" t="s">
        <v>3723</v>
      </c>
    </row>
    <row r="1862" spans="1:35" ht="33" customHeight="1">
      <c r="A1862" s="56" t="s">
        <v>4460</v>
      </c>
      <c r="B1862" s="57">
        <v>44366.087268518517</v>
      </c>
      <c r="C1862" s="56" t="s">
        <v>3803</v>
      </c>
      <c r="D1862" s="56" t="s">
        <v>3802</v>
      </c>
      <c r="E1862" s="56" t="s">
        <v>4459</v>
      </c>
      <c r="F1862" s="56" t="s">
        <v>4458</v>
      </c>
      <c r="G1862" s="58" t="s">
        <v>3811</v>
      </c>
      <c r="H1862" s="56">
        <v>1</v>
      </c>
      <c r="I1862" s="56" t="s">
        <v>3669</v>
      </c>
      <c r="J1862" s="56">
        <v>897</v>
      </c>
      <c r="K1862" s="56">
        <v>888</v>
      </c>
      <c r="L1862" s="56">
        <v>1132</v>
      </c>
      <c r="M1862" s="56">
        <v>0</v>
      </c>
      <c r="N1862" s="56">
        <v>0</v>
      </c>
      <c r="O1862" s="56">
        <v>100</v>
      </c>
      <c r="P1862" s="56">
        <v>0</v>
      </c>
      <c r="Q1862" s="56">
        <v>1032</v>
      </c>
      <c r="R1862" s="56">
        <v>0</v>
      </c>
      <c r="S1862" s="56">
        <v>0</v>
      </c>
      <c r="T1862" s="56" t="s">
        <v>27</v>
      </c>
      <c r="U1862" s="56">
        <v>1032</v>
      </c>
      <c r="V1862" s="56" t="s">
        <v>3736</v>
      </c>
      <c r="W1862" s="56" t="s">
        <v>3548</v>
      </c>
      <c r="X1862" s="56" t="s">
        <v>3735</v>
      </c>
      <c r="Y1862" s="56" t="s">
        <v>4457</v>
      </c>
      <c r="Z1862" s="56" t="s">
        <v>4456</v>
      </c>
      <c r="AC1862" s="56" t="s">
        <v>3543</v>
      </c>
      <c r="AH1862" s="56" t="s">
        <v>3542</v>
      </c>
      <c r="AI1862" s="56" t="s">
        <v>3541</v>
      </c>
    </row>
    <row r="1863" spans="1:35" ht="33" customHeight="1">
      <c r="A1863" s="56" t="s">
        <v>4460</v>
      </c>
      <c r="B1863" s="57">
        <v>44366.087268518517</v>
      </c>
      <c r="C1863" s="56" t="s">
        <v>3803</v>
      </c>
      <c r="D1863" s="56" t="s">
        <v>3802</v>
      </c>
      <c r="E1863" s="56" t="s">
        <v>4459</v>
      </c>
      <c r="F1863" s="56" t="s">
        <v>4458</v>
      </c>
      <c r="G1863" s="58" t="s">
        <v>1491</v>
      </c>
      <c r="H1863" s="56">
        <v>1</v>
      </c>
      <c r="I1863" s="56" t="s">
        <v>3771</v>
      </c>
      <c r="J1863" s="56">
        <v>135</v>
      </c>
      <c r="K1863" s="56">
        <v>135</v>
      </c>
      <c r="P1863" s="56">
        <v>0</v>
      </c>
      <c r="S1863" s="56">
        <v>0</v>
      </c>
      <c r="T1863" s="56" t="s">
        <v>27</v>
      </c>
      <c r="V1863" s="56" t="s">
        <v>3736</v>
      </c>
      <c r="W1863" s="56" t="s">
        <v>3548</v>
      </c>
      <c r="X1863" s="56" t="s">
        <v>3735</v>
      </c>
      <c r="Y1863" s="56" t="s">
        <v>4457</v>
      </c>
      <c r="Z1863" s="56" t="s">
        <v>4456</v>
      </c>
      <c r="AC1863" s="56" t="s">
        <v>3543</v>
      </c>
      <c r="AH1863" s="56" t="s">
        <v>3542</v>
      </c>
      <c r="AI1863" s="56" t="s">
        <v>3541</v>
      </c>
    </row>
    <row r="1864" spans="1:35" ht="33" customHeight="1">
      <c r="A1864" s="56" t="s">
        <v>4460</v>
      </c>
      <c r="B1864" s="57">
        <v>44366.087268518517</v>
      </c>
      <c r="C1864" s="56" t="s">
        <v>3803</v>
      </c>
      <c r="D1864" s="56" t="s">
        <v>3802</v>
      </c>
      <c r="E1864" s="56" t="s">
        <v>4459</v>
      </c>
      <c r="F1864" s="56" t="s">
        <v>4458</v>
      </c>
      <c r="G1864" s="58" t="s">
        <v>2165</v>
      </c>
      <c r="H1864" s="56">
        <v>1</v>
      </c>
      <c r="I1864" s="56" t="s">
        <v>3721</v>
      </c>
      <c r="J1864" s="56">
        <v>109</v>
      </c>
      <c r="K1864" s="56">
        <v>109</v>
      </c>
      <c r="P1864" s="56">
        <v>0</v>
      </c>
      <c r="S1864" s="56">
        <v>0</v>
      </c>
      <c r="T1864" s="56" t="s">
        <v>27</v>
      </c>
      <c r="V1864" s="56" t="s">
        <v>3736</v>
      </c>
      <c r="W1864" s="56" t="s">
        <v>3548</v>
      </c>
      <c r="X1864" s="56" t="s">
        <v>3735</v>
      </c>
      <c r="Y1864" s="56" t="s">
        <v>4457</v>
      </c>
      <c r="Z1864" s="56" t="s">
        <v>4456</v>
      </c>
      <c r="AC1864" s="56" t="s">
        <v>3543</v>
      </c>
      <c r="AH1864" s="56" t="s">
        <v>3542</v>
      </c>
      <c r="AI1864" s="56" t="s">
        <v>3541</v>
      </c>
    </row>
    <row r="1865" spans="1:35" ht="33" customHeight="1">
      <c r="A1865" s="56" t="s">
        <v>4460</v>
      </c>
      <c r="B1865" s="57">
        <v>44366.087268518517</v>
      </c>
      <c r="C1865" s="56" t="s">
        <v>3803</v>
      </c>
      <c r="D1865" s="56" t="s">
        <v>3802</v>
      </c>
      <c r="E1865" s="56" t="s">
        <v>4459</v>
      </c>
      <c r="F1865" s="56" t="s">
        <v>4458</v>
      </c>
      <c r="G1865" s="58" t="s">
        <v>3551</v>
      </c>
      <c r="H1865" s="56">
        <v>1</v>
      </c>
      <c r="I1865" s="56" t="s">
        <v>3550</v>
      </c>
      <c r="J1865" s="56">
        <v>0</v>
      </c>
      <c r="K1865" s="56">
        <v>0</v>
      </c>
      <c r="P1865" s="56">
        <v>0</v>
      </c>
      <c r="S1865" s="56">
        <v>0</v>
      </c>
      <c r="T1865" s="56" t="s">
        <v>27</v>
      </c>
      <c r="V1865" s="56" t="s">
        <v>3736</v>
      </c>
      <c r="W1865" s="56" t="s">
        <v>3548</v>
      </c>
      <c r="X1865" s="56" t="s">
        <v>3735</v>
      </c>
      <c r="Y1865" s="56" t="s">
        <v>4457</v>
      </c>
      <c r="Z1865" s="56" t="s">
        <v>4456</v>
      </c>
      <c r="AC1865" s="56" t="s">
        <v>3543</v>
      </c>
      <c r="AH1865" s="56" t="s">
        <v>3542</v>
      </c>
      <c r="AI1865" s="56" t="s">
        <v>3541</v>
      </c>
    </row>
    <row r="1866" spans="1:35" ht="33" customHeight="1">
      <c r="A1866" s="56" t="s">
        <v>4460</v>
      </c>
      <c r="B1866" s="57">
        <v>44366.087268518517</v>
      </c>
      <c r="C1866" s="56" t="s">
        <v>3803</v>
      </c>
      <c r="D1866" s="56" t="s">
        <v>3802</v>
      </c>
      <c r="E1866" s="56" t="s">
        <v>4459</v>
      </c>
      <c r="F1866" s="56" t="s">
        <v>4458</v>
      </c>
      <c r="G1866" s="58" t="s">
        <v>1498</v>
      </c>
      <c r="H1866" s="56">
        <v>1</v>
      </c>
      <c r="I1866" s="56" t="s">
        <v>4016</v>
      </c>
      <c r="J1866" s="56">
        <v>0</v>
      </c>
      <c r="K1866" s="56">
        <v>0</v>
      </c>
      <c r="P1866" s="56">
        <v>0</v>
      </c>
      <c r="S1866" s="56">
        <v>0</v>
      </c>
      <c r="T1866" s="56" t="s">
        <v>27</v>
      </c>
      <c r="V1866" s="56" t="s">
        <v>3736</v>
      </c>
      <c r="W1866" s="56" t="s">
        <v>3548</v>
      </c>
      <c r="X1866" s="56" t="s">
        <v>3735</v>
      </c>
      <c r="Y1866" s="56" t="s">
        <v>4457</v>
      </c>
      <c r="Z1866" s="56" t="s">
        <v>4456</v>
      </c>
      <c r="AC1866" s="56" t="s">
        <v>3543</v>
      </c>
      <c r="AH1866" s="56" t="s">
        <v>3542</v>
      </c>
      <c r="AI1866" s="56" t="s">
        <v>3541</v>
      </c>
    </row>
    <row r="1867" spans="1:35" ht="33" customHeight="1">
      <c r="A1867" s="56" t="s">
        <v>4455</v>
      </c>
      <c r="B1867" s="57">
        <v>44366.093958333331</v>
      </c>
      <c r="C1867" s="56" t="s">
        <v>3803</v>
      </c>
      <c r="D1867" s="56" t="s">
        <v>4426</v>
      </c>
      <c r="E1867" s="56" t="s">
        <v>4454</v>
      </c>
      <c r="F1867" s="56" t="s">
        <v>4453</v>
      </c>
      <c r="G1867" s="58" t="s">
        <v>3922</v>
      </c>
      <c r="H1867" s="56">
        <v>1</v>
      </c>
      <c r="I1867" s="56" t="s">
        <v>3569</v>
      </c>
      <c r="J1867" s="56">
        <v>894</v>
      </c>
      <c r="K1867" s="56">
        <v>750</v>
      </c>
      <c r="L1867" s="56">
        <v>1549</v>
      </c>
      <c r="M1867" s="56">
        <v>0</v>
      </c>
      <c r="N1867" s="56">
        <v>0</v>
      </c>
      <c r="O1867" s="56">
        <v>100</v>
      </c>
      <c r="P1867" s="56">
        <v>0</v>
      </c>
      <c r="Q1867" s="56">
        <v>1449</v>
      </c>
      <c r="R1867" s="56">
        <v>0</v>
      </c>
      <c r="S1867" s="56">
        <v>0</v>
      </c>
      <c r="T1867" s="56" t="s">
        <v>27</v>
      </c>
      <c r="U1867" s="56">
        <v>1449</v>
      </c>
      <c r="V1867" s="56" t="s">
        <v>3549</v>
      </c>
      <c r="W1867" s="56" t="s">
        <v>3548</v>
      </c>
      <c r="X1867" s="56" t="s">
        <v>3547</v>
      </c>
      <c r="Z1867" s="56" t="s">
        <v>3546</v>
      </c>
      <c r="AA1867" s="56" t="s">
        <v>4452</v>
      </c>
      <c r="AB1867" s="56" t="s">
        <v>4451</v>
      </c>
      <c r="AC1867" s="56" t="s">
        <v>3543</v>
      </c>
      <c r="AH1867" s="56" t="s">
        <v>3542</v>
      </c>
      <c r="AI1867" s="56" t="s">
        <v>3541</v>
      </c>
    </row>
    <row r="1868" spans="1:35" ht="33" customHeight="1">
      <c r="A1868" s="56" t="s">
        <v>4455</v>
      </c>
      <c r="B1868" s="57">
        <v>44366.093958333331</v>
      </c>
      <c r="C1868" s="56" t="s">
        <v>3803</v>
      </c>
      <c r="D1868" s="56" t="s">
        <v>4426</v>
      </c>
      <c r="E1868" s="56" t="s">
        <v>4454</v>
      </c>
      <c r="F1868" s="56" t="s">
        <v>4453</v>
      </c>
      <c r="G1868" s="58" t="s">
        <v>3656</v>
      </c>
      <c r="H1868" s="56">
        <v>1</v>
      </c>
      <c r="I1868" s="56" t="s">
        <v>3655</v>
      </c>
      <c r="J1868" s="56">
        <v>1107</v>
      </c>
      <c r="K1868" s="56">
        <v>799</v>
      </c>
      <c r="P1868" s="56">
        <v>0</v>
      </c>
      <c r="S1868" s="56">
        <v>0</v>
      </c>
      <c r="T1868" s="56" t="s">
        <v>27</v>
      </c>
      <c r="V1868" s="56" t="s">
        <v>3549</v>
      </c>
      <c r="W1868" s="56" t="s">
        <v>3548</v>
      </c>
      <c r="X1868" s="56" t="s">
        <v>3547</v>
      </c>
      <c r="Z1868" s="56" t="s">
        <v>3546</v>
      </c>
      <c r="AA1868" s="56" t="s">
        <v>4452</v>
      </c>
      <c r="AB1868" s="56" t="s">
        <v>4451</v>
      </c>
      <c r="AC1868" s="56" t="s">
        <v>3543</v>
      </c>
      <c r="AH1868" s="56" t="s">
        <v>3542</v>
      </c>
      <c r="AI1868" s="56" t="s">
        <v>3541</v>
      </c>
    </row>
    <row r="1869" spans="1:35" ht="33" customHeight="1">
      <c r="A1869" s="56" t="s">
        <v>4455</v>
      </c>
      <c r="B1869" s="57">
        <v>44366.093958333331</v>
      </c>
      <c r="C1869" s="56" t="s">
        <v>3803</v>
      </c>
      <c r="D1869" s="56" t="s">
        <v>4426</v>
      </c>
      <c r="E1869" s="56" t="s">
        <v>4454</v>
      </c>
      <c r="F1869" s="56" t="s">
        <v>4453</v>
      </c>
      <c r="G1869" s="58" t="s">
        <v>3551</v>
      </c>
      <c r="H1869" s="56">
        <v>1</v>
      </c>
      <c r="I1869" s="56" t="s">
        <v>3550</v>
      </c>
      <c r="J1869" s="56">
        <v>0</v>
      </c>
      <c r="K1869" s="56">
        <v>0</v>
      </c>
      <c r="P1869" s="56">
        <v>0</v>
      </c>
      <c r="S1869" s="56">
        <v>0</v>
      </c>
      <c r="T1869" s="56" t="s">
        <v>27</v>
      </c>
      <c r="V1869" s="56" t="s">
        <v>3549</v>
      </c>
      <c r="W1869" s="56" t="s">
        <v>3548</v>
      </c>
      <c r="X1869" s="56" t="s">
        <v>3547</v>
      </c>
      <c r="Z1869" s="56" t="s">
        <v>3546</v>
      </c>
      <c r="AA1869" s="56" t="s">
        <v>4452</v>
      </c>
      <c r="AB1869" s="56" t="s">
        <v>4451</v>
      </c>
      <c r="AC1869" s="56" t="s">
        <v>3543</v>
      </c>
      <c r="AH1869" s="56" t="s">
        <v>3542</v>
      </c>
      <c r="AI1869" s="56" t="s">
        <v>3541</v>
      </c>
    </row>
    <row r="1870" spans="1:35" ht="33" customHeight="1">
      <c r="A1870" s="56" t="s">
        <v>4455</v>
      </c>
      <c r="B1870" s="57">
        <v>44366.093958333331</v>
      </c>
      <c r="C1870" s="56" t="s">
        <v>3803</v>
      </c>
      <c r="D1870" s="56" t="s">
        <v>4426</v>
      </c>
      <c r="E1870" s="56" t="s">
        <v>4454</v>
      </c>
      <c r="F1870" s="56" t="s">
        <v>4453</v>
      </c>
      <c r="G1870" s="58" t="s">
        <v>1713</v>
      </c>
      <c r="H1870" s="56">
        <v>1</v>
      </c>
      <c r="I1870" s="56" t="s">
        <v>3568</v>
      </c>
      <c r="J1870" s="56">
        <v>0</v>
      </c>
      <c r="K1870" s="56">
        <v>0</v>
      </c>
      <c r="P1870" s="56">
        <v>0</v>
      </c>
      <c r="S1870" s="56">
        <v>0</v>
      </c>
      <c r="T1870" s="56" t="s">
        <v>27</v>
      </c>
      <c r="V1870" s="56" t="s">
        <v>3549</v>
      </c>
      <c r="W1870" s="56" t="s">
        <v>3548</v>
      </c>
      <c r="X1870" s="56" t="s">
        <v>3547</v>
      </c>
      <c r="Z1870" s="56" t="s">
        <v>3546</v>
      </c>
      <c r="AA1870" s="56" t="s">
        <v>4452</v>
      </c>
      <c r="AB1870" s="56" t="s">
        <v>4451</v>
      </c>
      <c r="AC1870" s="56" t="s">
        <v>3543</v>
      </c>
      <c r="AH1870" s="56" t="s">
        <v>3542</v>
      </c>
      <c r="AI1870" s="56" t="s">
        <v>3541</v>
      </c>
    </row>
    <row r="1871" spans="1:35" ht="33" customHeight="1">
      <c r="A1871" s="56" t="s">
        <v>4455</v>
      </c>
      <c r="B1871" s="57">
        <v>44366.093958333331</v>
      </c>
      <c r="C1871" s="56" t="s">
        <v>3803</v>
      </c>
      <c r="D1871" s="56" t="s">
        <v>4426</v>
      </c>
      <c r="E1871" s="56" t="s">
        <v>4454</v>
      </c>
      <c r="F1871" s="56" t="s">
        <v>4453</v>
      </c>
      <c r="G1871" s="58" t="s">
        <v>1498</v>
      </c>
      <c r="H1871" s="56">
        <v>1</v>
      </c>
      <c r="I1871" s="56" t="s">
        <v>4016</v>
      </c>
      <c r="J1871" s="56">
        <v>0</v>
      </c>
      <c r="K1871" s="56">
        <v>0</v>
      </c>
      <c r="P1871" s="56">
        <v>0</v>
      </c>
      <c r="S1871" s="56">
        <v>0</v>
      </c>
      <c r="T1871" s="56" t="s">
        <v>27</v>
      </c>
      <c r="V1871" s="56" t="s">
        <v>3549</v>
      </c>
      <c r="W1871" s="56" t="s">
        <v>3548</v>
      </c>
      <c r="X1871" s="56" t="s">
        <v>3547</v>
      </c>
      <c r="Z1871" s="56" t="s">
        <v>3546</v>
      </c>
      <c r="AA1871" s="56" t="s">
        <v>4452</v>
      </c>
      <c r="AB1871" s="56" t="s">
        <v>4451</v>
      </c>
      <c r="AC1871" s="56" t="s">
        <v>3543</v>
      </c>
      <c r="AH1871" s="56" t="s">
        <v>3542</v>
      </c>
      <c r="AI1871" s="56" t="s">
        <v>3541</v>
      </c>
    </row>
    <row r="1872" spans="1:35" ht="33" customHeight="1">
      <c r="A1872" s="56" t="s">
        <v>4450</v>
      </c>
      <c r="B1872" s="57">
        <v>44366.100474537037</v>
      </c>
      <c r="C1872" s="56" t="s">
        <v>3803</v>
      </c>
      <c r="D1872" s="56" t="s">
        <v>4426</v>
      </c>
      <c r="E1872" s="56" t="s">
        <v>4449</v>
      </c>
      <c r="F1872" s="56" t="s">
        <v>4448</v>
      </c>
      <c r="G1872" s="58" t="s">
        <v>3603</v>
      </c>
      <c r="H1872" s="56">
        <v>1</v>
      </c>
      <c r="I1872" s="56" t="s">
        <v>3602</v>
      </c>
      <c r="J1872" s="56">
        <v>447</v>
      </c>
      <c r="K1872" s="56">
        <v>399</v>
      </c>
      <c r="L1872" s="56">
        <v>517</v>
      </c>
      <c r="M1872" s="56">
        <v>65</v>
      </c>
      <c r="N1872" s="56">
        <v>0</v>
      </c>
      <c r="O1872" s="56">
        <v>0</v>
      </c>
      <c r="P1872" s="56">
        <v>0</v>
      </c>
      <c r="Q1872" s="56">
        <v>582</v>
      </c>
      <c r="R1872" s="56">
        <v>0</v>
      </c>
      <c r="S1872" s="56">
        <v>0</v>
      </c>
      <c r="T1872" s="56" t="s">
        <v>27</v>
      </c>
      <c r="U1872" s="56">
        <v>582</v>
      </c>
      <c r="V1872" s="56" t="s">
        <v>3549</v>
      </c>
      <c r="W1872" s="56" t="s">
        <v>3548</v>
      </c>
      <c r="X1872" s="56" t="s">
        <v>3547</v>
      </c>
      <c r="Z1872" s="56" t="s">
        <v>3546</v>
      </c>
      <c r="AA1872" s="56" t="s">
        <v>4447</v>
      </c>
      <c r="AB1872" s="56" t="s">
        <v>4446</v>
      </c>
      <c r="AC1872" s="56" t="s">
        <v>3543</v>
      </c>
      <c r="AH1872" s="56" t="s">
        <v>3542</v>
      </c>
      <c r="AI1872" s="56" t="s">
        <v>3541</v>
      </c>
    </row>
    <row r="1873" spans="1:35" ht="33" customHeight="1">
      <c r="A1873" s="56" t="s">
        <v>4450</v>
      </c>
      <c r="B1873" s="57">
        <v>44366.100474537037</v>
      </c>
      <c r="C1873" s="56" t="s">
        <v>3803</v>
      </c>
      <c r="D1873" s="56" t="s">
        <v>4426</v>
      </c>
      <c r="E1873" s="56" t="s">
        <v>4449</v>
      </c>
      <c r="F1873" s="56" t="s">
        <v>4448</v>
      </c>
      <c r="G1873" s="58" t="s">
        <v>3217</v>
      </c>
      <c r="H1873" s="56">
        <v>1</v>
      </c>
      <c r="I1873" s="56" t="s">
        <v>3720</v>
      </c>
      <c r="J1873" s="56">
        <v>59</v>
      </c>
      <c r="K1873" s="56">
        <v>59</v>
      </c>
      <c r="P1873" s="56">
        <v>0</v>
      </c>
      <c r="S1873" s="56">
        <v>0</v>
      </c>
      <c r="T1873" s="56" t="s">
        <v>27</v>
      </c>
      <c r="V1873" s="56" t="s">
        <v>3549</v>
      </c>
      <c r="W1873" s="56" t="s">
        <v>3548</v>
      </c>
      <c r="X1873" s="56" t="s">
        <v>3547</v>
      </c>
      <c r="Z1873" s="56" t="s">
        <v>3546</v>
      </c>
      <c r="AA1873" s="56" t="s">
        <v>4447</v>
      </c>
      <c r="AB1873" s="56" t="s">
        <v>4446</v>
      </c>
      <c r="AC1873" s="56" t="s">
        <v>3543</v>
      </c>
      <c r="AH1873" s="56" t="s">
        <v>3542</v>
      </c>
      <c r="AI1873" s="56" t="s">
        <v>3541</v>
      </c>
    </row>
    <row r="1874" spans="1:35" ht="33" customHeight="1">
      <c r="A1874" s="56" t="s">
        <v>4450</v>
      </c>
      <c r="B1874" s="57">
        <v>44366.100474537037</v>
      </c>
      <c r="C1874" s="56" t="s">
        <v>3803</v>
      </c>
      <c r="D1874" s="56" t="s">
        <v>4426</v>
      </c>
      <c r="E1874" s="56" t="s">
        <v>4449</v>
      </c>
      <c r="F1874" s="56" t="s">
        <v>4448</v>
      </c>
      <c r="G1874" s="58" t="s">
        <v>3222</v>
      </c>
      <c r="H1874" s="56">
        <v>1</v>
      </c>
      <c r="I1874" s="56" t="s">
        <v>3712</v>
      </c>
      <c r="J1874" s="56">
        <v>59</v>
      </c>
      <c r="K1874" s="56">
        <v>59</v>
      </c>
      <c r="P1874" s="56">
        <v>0</v>
      </c>
      <c r="S1874" s="56">
        <v>0</v>
      </c>
      <c r="T1874" s="56" t="s">
        <v>27</v>
      </c>
      <c r="V1874" s="56" t="s">
        <v>3549</v>
      </c>
      <c r="W1874" s="56" t="s">
        <v>3548</v>
      </c>
      <c r="X1874" s="56" t="s">
        <v>3547</v>
      </c>
      <c r="Z1874" s="56" t="s">
        <v>3546</v>
      </c>
      <c r="AA1874" s="56" t="s">
        <v>4447</v>
      </c>
      <c r="AB1874" s="56" t="s">
        <v>4446</v>
      </c>
      <c r="AC1874" s="56" t="s">
        <v>3543</v>
      </c>
      <c r="AH1874" s="56" t="s">
        <v>3542</v>
      </c>
      <c r="AI1874" s="56" t="s">
        <v>3541</v>
      </c>
    </row>
    <row r="1875" spans="1:35" ht="33" customHeight="1">
      <c r="A1875" s="56" t="s">
        <v>4450</v>
      </c>
      <c r="B1875" s="57">
        <v>44366.100474537037</v>
      </c>
      <c r="C1875" s="56" t="s">
        <v>3803</v>
      </c>
      <c r="D1875" s="56" t="s">
        <v>4426</v>
      </c>
      <c r="E1875" s="56" t="s">
        <v>4449</v>
      </c>
      <c r="F1875" s="56" t="s">
        <v>4448</v>
      </c>
      <c r="G1875" s="58" t="s">
        <v>3551</v>
      </c>
      <c r="H1875" s="56">
        <v>1</v>
      </c>
      <c r="I1875" s="56" t="s">
        <v>3550</v>
      </c>
      <c r="J1875" s="56">
        <v>0</v>
      </c>
      <c r="K1875" s="56">
        <v>0</v>
      </c>
      <c r="P1875" s="56">
        <v>0</v>
      </c>
      <c r="S1875" s="56">
        <v>0</v>
      </c>
      <c r="T1875" s="56" t="s">
        <v>27</v>
      </c>
      <c r="V1875" s="56" t="s">
        <v>3549</v>
      </c>
      <c r="W1875" s="56" t="s">
        <v>3548</v>
      </c>
      <c r="X1875" s="56" t="s">
        <v>3547</v>
      </c>
      <c r="Z1875" s="56" t="s">
        <v>3546</v>
      </c>
      <c r="AA1875" s="56" t="s">
        <v>4447</v>
      </c>
      <c r="AB1875" s="56" t="s">
        <v>4446</v>
      </c>
      <c r="AC1875" s="56" t="s">
        <v>3543</v>
      </c>
      <c r="AH1875" s="56" t="s">
        <v>3542</v>
      </c>
      <c r="AI1875" s="56" t="s">
        <v>3541</v>
      </c>
    </row>
    <row r="1876" spans="1:35" ht="33" customHeight="1">
      <c r="A1876" s="56" t="s">
        <v>4444</v>
      </c>
      <c r="B1876" s="57">
        <v>44366.137002314812</v>
      </c>
      <c r="C1876" s="56" t="s">
        <v>3803</v>
      </c>
      <c r="D1876" s="56" t="s">
        <v>3802</v>
      </c>
      <c r="E1876" s="56" t="s">
        <v>4443</v>
      </c>
      <c r="F1876" s="56" t="s">
        <v>4442</v>
      </c>
      <c r="G1876" s="58" t="s">
        <v>4445</v>
      </c>
      <c r="H1876" s="56">
        <v>1</v>
      </c>
      <c r="I1876" s="56" t="s">
        <v>3769</v>
      </c>
      <c r="J1876" s="56">
        <v>405</v>
      </c>
      <c r="K1876" s="56">
        <v>390</v>
      </c>
      <c r="L1876" s="56">
        <v>2048</v>
      </c>
      <c r="M1876" s="56">
        <v>0</v>
      </c>
      <c r="N1876" s="56">
        <v>0</v>
      </c>
      <c r="O1876" s="56">
        <v>100</v>
      </c>
      <c r="P1876" s="56">
        <v>0</v>
      </c>
      <c r="Q1876" s="56">
        <v>1948</v>
      </c>
      <c r="R1876" s="56">
        <v>0</v>
      </c>
      <c r="S1876" s="56">
        <v>0</v>
      </c>
      <c r="T1876" s="56" t="s">
        <v>3562</v>
      </c>
      <c r="U1876" s="56">
        <v>1948</v>
      </c>
      <c r="V1876" s="56" t="s">
        <v>3561</v>
      </c>
      <c r="W1876" s="56" t="s">
        <v>3548</v>
      </c>
      <c r="X1876" s="56" t="s">
        <v>39</v>
      </c>
      <c r="Y1876" s="56" t="s">
        <v>4227</v>
      </c>
      <c r="Z1876" s="56" t="s">
        <v>4441</v>
      </c>
      <c r="AC1876" s="56" t="s">
        <v>3543</v>
      </c>
      <c r="AD1876" s="56" t="s">
        <v>24</v>
      </c>
      <c r="AE1876" s="56" t="s">
        <v>4145</v>
      </c>
      <c r="AF1876" s="56" t="s">
        <v>4440</v>
      </c>
      <c r="AH1876" s="56" t="s">
        <v>3542</v>
      </c>
      <c r="AI1876" s="56" t="s">
        <v>3723</v>
      </c>
    </row>
    <row r="1877" spans="1:35" ht="33" customHeight="1">
      <c r="A1877" s="56" t="s">
        <v>4444</v>
      </c>
      <c r="B1877" s="57">
        <v>44366.137002314812</v>
      </c>
      <c r="C1877" s="56" t="s">
        <v>3803</v>
      </c>
      <c r="D1877" s="56" t="s">
        <v>3802</v>
      </c>
      <c r="E1877" s="56" t="s">
        <v>4443</v>
      </c>
      <c r="F1877" s="56" t="s">
        <v>4442</v>
      </c>
      <c r="G1877" s="58" t="s">
        <v>3942</v>
      </c>
      <c r="H1877" s="56">
        <v>1</v>
      </c>
      <c r="I1877" s="56" t="s">
        <v>3941</v>
      </c>
      <c r="J1877" s="56">
        <v>840</v>
      </c>
      <c r="K1877" s="56">
        <v>750</v>
      </c>
      <c r="P1877" s="56">
        <v>0</v>
      </c>
      <c r="S1877" s="56">
        <v>0</v>
      </c>
      <c r="T1877" s="56" t="s">
        <v>3562</v>
      </c>
      <c r="V1877" s="56" t="s">
        <v>3561</v>
      </c>
      <c r="W1877" s="56" t="s">
        <v>3548</v>
      </c>
      <c r="X1877" s="56" t="s">
        <v>39</v>
      </c>
      <c r="Y1877" s="56" t="s">
        <v>4227</v>
      </c>
      <c r="Z1877" s="56" t="s">
        <v>4441</v>
      </c>
      <c r="AC1877" s="56" t="s">
        <v>3543</v>
      </c>
      <c r="AD1877" s="56" t="s">
        <v>24</v>
      </c>
      <c r="AE1877" s="56" t="s">
        <v>4145</v>
      </c>
      <c r="AF1877" s="56" t="s">
        <v>4440</v>
      </c>
      <c r="AH1877" s="56" t="s">
        <v>3542</v>
      </c>
      <c r="AI1877" s="56" t="s">
        <v>3723</v>
      </c>
    </row>
    <row r="1878" spans="1:35" ht="33" customHeight="1">
      <c r="A1878" s="56" t="s">
        <v>4444</v>
      </c>
      <c r="B1878" s="57">
        <v>44366.137002314812</v>
      </c>
      <c r="C1878" s="56" t="s">
        <v>3803</v>
      </c>
      <c r="D1878" s="56" t="s">
        <v>3802</v>
      </c>
      <c r="E1878" s="56" t="s">
        <v>4443</v>
      </c>
      <c r="F1878" s="56" t="s">
        <v>4442</v>
      </c>
      <c r="G1878" s="58" t="s">
        <v>3199</v>
      </c>
      <c r="H1878" s="56">
        <v>1</v>
      </c>
      <c r="I1878" s="56" t="s">
        <v>3834</v>
      </c>
      <c r="J1878" s="56">
        <v>119</v>
      </c>
      <c r="K1878" s="56">
        <v>99</v>
      </c>
      <c r="P1878" s="56">
        <v>0</v>
      </c>
      <c r="S1878" s="56">
        <v>0</v>
      </c>
      <c r="T1878" s="56" t="s">
        <v>3562</v>
      </c>
      <c r="V1878" s="56" t="s">
        <v>3561</v>
      </c>
      <c r="W1878" s="56" t="s">
        <v>3548</v>
      </c>
      <c r="X1878" s="56" t="s">
        <v>39</v>
      </c>
      <c r="Y1878" s="56" t="s">
        <v>4227</v>
      </c>
      <c r="Z1878" s="56" t="s">
        <v>4441</v>
      </c>
      <c r="AC1878" s="56" t="s">
        <v>3543</v>
      </c>
      <c r="AD1878" s="56" t="s">
        <v>24</v>
      </c>
      <c r="AE1878" s="56" t="s">
        <v>4145</v>
      </c>
      <c r="AF1878" s="56" t="s">
        <v>4440</v>
      </c>
      <c r="AH1878" s="56" t="s">
        <v>3542</v>
      </c>
      <c r="AI1878" s="56" t="s">
        <v>3723</v>
      </c>
    </row>
    <row r="1879" spans="1:35" ht="33" customHeight="1">
      <c r="A1879" s="56" t="s">
        <v>4444</v>
      </c>
      <c r="B1879" s="57">
        <v>44366.137002314812</v>
      </c>
      <c r="C1879" s="56" t="s">
        <v>3803</v>
      </c>
      <c r="D1879" s="56" t="s">
        <v>3802</v>
      </c>
      <c r="E1879" s="56" t="s">
        <v>4443</v>
      </c>
      <c r="F1879" s="56" t="s">
        <v>4442</v>
      </c>
      <c r="G1879" s="58" t="s">
        <v>3681</v>
      </c>
      <c r="H1879" s="56">
        <v>1</v>
      </c>
      <c r="I1879" s="56" t="s">
        <v>3569</v>
      </c>
      <c r="J1879" s="56">
        <v>894</v>
      </c>
      <c r="K1879" s="56">
        <v>750</v>
      </c>
      <c r="P1879" s="56">
        <v>0</v>
      </c>
      <c r="S1879" s="56">
        <v>0</v>
      </c>
      <c r="T1879" s="56" t="s">
        <v>3562</v>
      </c>
      <c r="V1879" s="56" t="s">
        <v>3561</v>
      </c>
      <c r="W1879" s="56" t="s">
        <v>3548</v>
      </c>
      <c r="X1879" s="56" t="s">
        <v>39</v>
      </c>
      <c r="Y1879" s="56" t="s">
        <v>4227</v>
      </c>
      <c r="Z1879" s="56" t="s">
        <v>4441</v>
      </c>
      <c r="AC1879" s="56" t="s">
        <v>3543</v>
      </c>
      <c r="AD1879" s="56" t="s">
        <v>24</v>
      </c>
      <c r="AE1879" s="56" t="s">
        <v>4145</v>
      </c>
      <c r="AF1879" s="56" t="s">
        <v>4440</v>
      </c>
      <c r="AH1879" s="56" t="s">
        <v>3542</v>
      </c>
      <c r="AI1879" s="56" t="s">
        <v>3723</v>
      </c>
    </row>
    <row r="1880" spans="1:35" ht="33" customHeight="1">
      <c r="A1880" s="56" t="s">
        <v>4444</v>
      </c>
      <c r="B1880" s="57">
        <v>44366.137002314812</v>
      </c>
      <c r="C1880" s="56" t="s">
        <v>3803</v>
      </c>
      <c r="D1880" s="56" t="s">
        <v>3802</v>
      </c>
      <c r="E1880" s="56" t="s">
        <v>4443</v>
      </c>
      <c r="F1880" s="56" t="s">
        <v>4442</v>
      </c>
      <c r="G1880" s="58" t="s">
        <v>3222</v>
      </c>
      <c r="H1880" s="56">
        <v>1</v>
      </c>
      <c r="I1880" s="56" t="s">
        <v>3712</v>
      </c>
      <c r="J1880" s="56">
        <v>59</v>
      </c>
      <c r="K1880" s="56">
        <v>59</v>
      </c>
      <c r="P1880" s="56">
        <v>0</v>
      </c>
      <c r="S1880" s="56">
        <v>0</v>
      </c>
      <c r="T1880" s="56" t="s">
        <v>3562</v>
      </c>
      <c r="V1880" s="56" t="s">
        <v>3561</v>
      </c>
      <c r="W1880" s="56" t="s">
        <v>3548</v>
      </c>
      <c r="X1880" s="56" t="s">
        <v>39</v>
      </c>
      <c r="Y1880" s="56" t="s">
        <v>4227</v>
      </c>
      <c r="Z1880" s="56" t="s">
        <v>4441</v>
      </c>
      <c r="AC1880" s="56" t="s">
        <v>3543</v>
      </c>
      <c r="AD1880" s="56" t="s">
        <v>24</v>
      </c>
      <c r="AE1880" s="56" t="s">
        <v>4145</v>
      </c>
      <c r="AF1880" s="56" t="s">
        <v>4440</v>
      </c>
      <c r="AH1880" s="56" t="s">
        <v>3542</v>
      </c>
      <c r="AI1880" s="56" t="s">
        <v>3723</v>
      </c>
    </row>
    <row r="1881" spans="1:35" ht="33" customHeight="1">
      <c r="A1881" s="56" t="s">
        <v>4444</v>
      </c>
      <c r="B1881" s="57">
        <v>44366.137002314812</v>
      </c>
      <c r="C1881" s="56" t="s">
        <v>3803</v>
      </c>
      <c r="D1881" s="56" t="s">
        <v>3802</v>
      </c>
      <c r="E1881" s="56" t="s">
        <v>4443</v>
      </c>
      <c r="F1881" s="56" t="s">
        <v>4442</v>
      </c>
      <c r="G1881" s="58" t="s">
        <v>3551</v>
      </c>
      <c r="H1881" s="56">
        <v>1</v>
      </c>
      <c r="I1881" s="56" t="s">
        <v>3550</v>
      </c>
      <c r="J1881" s="56">
        <v>0</v>
      </c>
      <c r="K1881" s="56">
        <v>0</v>
      </c>
      <c r="P1881" s="56">
        <v>0</v>
      </c>
      <c r="S1881" s="56">
        <v>0</v>
      </c>
      <c r="T1881" s="56" t="s">
        <v>3562</v>
      </c>
      <c r="V1881" s="56" t="s">
        <v>3561</v>
      </c>
      <c r="W1881" s="56" t="s">
        <v>3548</v>
      </c>
      <c r="X1881" s="56" t="s">
        <v>39</v>
      </c>
      <c r="Y1881" s="56" t="s">
        <v>4227</v>
      </c>
      <c r="Z1881" s="56" t="s">
        <v>4441</v>
      </c>
      <c r="AC1881" s="56" t="s">
        <v>3543</v>
      </c>
      <c r="AD1881" s="56" t="s">
        <v>24</v>
      </c>
      <c r="AE1881" s="56" t="s">
        <v>4145</v>
      </c>
      <c r="AF1881" s="56" t="s">
        <v>4440</v>
      </c>
      <c r="AH1881" s="56" t="s">
        <v>3542</v>
      </c>
      <c r="AI1881" s="56" t="s">
        <v>3723</v>
      </c>
    </row>
    <row r="1882" spans="1:35" ht="33" customHeight="1">
      <c r="A1882" s="56" t="s">
        <v>4444</v>
      </c>
      <c r="B1882" s="57">
        <v>44366.137002314812</v>
      </c>
      <c r="C1882" s="56" t="s">
        <v>3803</v>
      </c>
      <c r="D1882" s="56" t="s">
        <v>3802</v>
      </c>
      <c r="E1882" s="56" t="s">
        <v>4443</v>
      </c>
      <c r="F1882" s="56" t="s">
        <v>4442</v>
      </c>
      <c r="G1882" s="58" t="s">
        <v>1713</v>
      </c>
      <c r="H1882" s="56">
        <v>1</v>
      </c>
      <c r="I1882" s="56" t="s">
        <v>3568</v>
      </c>
      <c r="J1882" s="56">
        <v>0</v>
      </c>
      <c r="K1882" s="56">
        <v>0</v>
      </c>
      <c r="P1882" s="56">
        <v>0</v>
      </c>
      <c r="S1882" s="56">
        <v>0</v>
      </c>
      <c r="T1882" s="56" t="s">
        <v>3562</v>
      </c>
      <c r="V1882" s="56" t="s">
        <v>3561</v>
      </c>
      <c r="W1882" s="56" t="s">
        <v>3548</v>
      </c>
      <c r="X1882" s="56" t="s">
        <v>39</v>
      </c>
      <c r="Y1882" s="56" t="s">
        <v>4227</v>
      </c>
      <c r="Z1882" s="56" t="s">
        <v>4441</v>
      </c>
      <c r="AC1882" s="56" t="s">
        <v>3543</v>
      </c>
      <c r="AD1882" s="56" t="s">
        <v>24</v>
      </c>
      <c r="AE1882" s="56" t="s">
        <v>4145</v>
      </c>
      <c r="AF1882" s="56" t="s">
        <v>4440</v>
      </c>
      <c r="AH1882" s="56" t="s">
        <v>3542</v>
      </c>
      <c r="AI1882" s="56" t="s">
        <v>3723</v>
      </c>
    </row>
    <row r="1883" spans="1:35" ht="33" customHeight="1">
      <c r="A1883" s="56" t="s">
        <v>4444</v>
      </c>
      <c r="B1883" s="57">
        <v>44366.137002314812</v>
      </c>
      <c r="C1883" s="56" t="s">
        <v>3803</v>
      </c>
      <c r="D1883" s="56" t="s">
        <v>3802</v>
      </c>
      <c r="E1883" s="56" t="s">
        <v>4443</v>
      </c>
      <c r="F1883" s="56" t="s">
        <v>4442</v>
      </c>
      <c r="G1883" s="58" t="s">
        <v>1498</v>
      </c>
      <c r="H1883" s="56">
        <v>1</v>
      </c>
      <c r="I1883" s="56" t="s">
        <v>4016</v>
      </c>
      <c r="J1883" s="56">
        <v>0</v>
      </c>
      <c r="K1883" s="56">
        <v>0</v>
      </c>
      <c r="P1883" s="56">
        <v>0</v>
      </c>
      <c r="S1883" s="56">
        <v>0</v>
      </c>
      <c r="T1883" s="56" t="s">
        <v>3562</v>
      </c>
      <c r="V1883" s="56" t="s">
        <v>3561</v>
      </c>
      <c r="W1883" s="56" t="s">
        <v>3548</v>
      </c>
      <c r="X1883" s="56" t="s">
        <v>39</v>
      </c>
      <c r="Y1883" s="56" t="s">
        <v>4227</v>
      </c>
      <c r="Z1883" s="56" t="s">
        <v>4441</v>
      </c>
      <c r="AC1883" s="56" t="s">
        <v>3543</v>
      </c>
      <c r="AD1883" s="56" t="s">
        <v>24</v>
      </c>
      <c r="AE1883" s="56" t="s">
        <v>4145</v>
      </c>
      <c r="AF1883" s="56" t="s">
        <v>4440</v>
      </c>
      <c r="AH1883" s="56" t="s">
        <v>3542</v>
      </c>
      <c r="AI1883" s="56" t="s">
        <v>3723</v>
      </c>
    </row>
    <row r="1884" spans="1:35" ht="33" customHeight="1">
      <c r="A1884" s="56" t="s">
        <v>4444</v>
      </c>
      <c r="B1884" s="57">
        <v>44366.137002314812</v>
      </c>
      <c r="C1884" s="56" t="s">
        <v>3803</v>
      </c>
      <c r="D1884" s="56" t="s">
        <v>3802</v>
      </c>
      <c r="E1884" s="56" t="s">
        <v>4443</v>
      </c>
      <c r="F1884" s="56" t="s">
        <v>4442</v>
      </c>
      <c r="G1884" s="58" t="s">
        <v>3564</v>
      </c>
      <c r="H1884" s="56">
        <v>1</v>
      </c>
      <c r="I1884" s="56" t="s">
        <v>3563</v>
      </c>
      <c r="J1884" s="56">
        <v>0</v>
      </c>
      <c r="K1884" s="56">
        <v>0</v>
      </c>
      <c r="P1884" s="56">
        <v>0</v>
      </c>
      <c r="S1884" s="56">
        <v>0</v>
      </c>
      <c r="T1884" s="56" t="s">
        <v>3562</v>
      </c>
      <c r="V1884" s="56" t="s">
        <v>3561</v>
      </c>
      <c r="W1884" s="56" t="s">
        <v>3548</v>
      </c>
      <c r="X1884" s="56" t="s">
        <v>39</v>
      </c>
      <c r="Y1884" s="56" t="s">
        <v>4227</v>
      </c>
      <c r="Z1884" s="56" t="s">
        <v>4441</v>
      </c>
      <c r="AC1884" s="56" t="s">
        <v>3543</v>
      </c>
      <c r="AD1884" s="56" t="s">
        <v>24</v>
      </c>
      <c r="AE1884" s="56" t="s">
        <v>4145</v>
      </c>
      <c r="AF1884" s="56" t="s">
        <v>4440</v>
      </c>
      <c r="AH1884" s="56" t="s">
        <v>3542</v>
      </c>
      <c r="AI1884" s="56" t="s">
        <v>3723</v>
      </c>
    </row>
    <row r="1885" spans="1:35" ht="33" customHeight="1">
      <c r="A1885" s="56" t="s">
        <v>4438</v>
      </c>
      <c r="B1885" s="57">
        <v>44366.152175925927</v>
      </c>
      <c r="C1885" s="56" t="s">
        <v>3803</v>
      </c>
      <c r="D1885" s="56" t="s">
        <v>4426</v>
      </c>
      <c r="E1885" s="56" t="s">
        <v>4437</v>
      </c>
      <c r="F1885" s="56" t="s">
        <v>4436</v>
      </c>
      <c r="G1885" s="58" t="s">
        <v>4439</v>
      </c>
      <c r="H1885" s="56">
        <v>2</v>
      </c>
      <c r="I1885" s="56" t="s">
        <v>3655</v>
      </c>
      <c r="J1885" s="56">
        <v>1107</v>
      </c>
      <c r="K1885" s="56">
        <v>799</v>
      </c>
      <c r="L1885" s="56">
        <v>2606</v>
      </c>
      <c r="M1885" s="56">
        <v>0</v>
      </c>
      <c r="N1885" s="56">
        <v>0</v>
      </c>
      <c r="O1885" s="56">
        <v>100</v>
      </c>
      <c r="P1885" s="56">
        <v>0</v>
      </c>
      <c r="Q1885" s="56">
        <v>2506</v>
      </c>
      <c r="R1885" s="56">
        <v>0</v>
      </c>
      <c r="S1885" s="56">
        <v>0</v>
      </c>
      <c r="T1885" s="56" t="s">
        <v>27</v>
      </c>
      <c r="U1885" s="56">
        <v>2506</v>
      </c>
      <c r="V1885" s="56" t="s">
        <v>3549</v>
      </c>
      <c r="W1885" s="56" t="s">
        <v>3548</v>
      </c>
      <c r="X1885" s="56" t="s">
        <v>3547</v>
      </c>
      <c r="Z1885" s="56" t="s">
        <v>3546</v>
      </c>
      <c r="AA1885" s="56" t="s">
        <v>4435</v>
      </c>
      <c r="AB1885" s="56" t="s">
        <v>4434</v>
      </c>
      <c r="AC1885" s="56" t="s">
        <v>3543</v>
      </c>
      <c r="AH1885" s="56" t="s">
        <v>3542</v>
      </c>
      <c r="AI1885" s="56" t="s">
        <v>3541</v>
      </c>
    </row>
    <row r="1886" spans="1:35" ht="33" customHeight="1">
      <c r="A1886" s="56" t="s">
        <v>4438</v>
      </c>
      <c r="B1886" s="57">
        <v>44366.152175925927</v>
      </c>
      <c r="C1886" s="56" t="s">
        <v>3803</v>
      </c>
      <c r="D1886" s="56" t="s">
        <v>4426</v>
      </c>
      <c r="E1886" s="56" t="s">
        <v>4437</v>
      </c>
      <c r="F1886" s="56" t="s">
        <v>4436</v>
      </c>
      <c r="G1886" s="58" t="s">
        <v>3681</v>
      </c>
      <c r="H1886" s="56">
        <v>1</v>
      </c>
      <c r="I1886" s="56" t="s">
        <v>3569</v>
      </c>
      <c r="J1886" s="56">
        <v>894</v>
      </c>
      <c r="K1886" s="56">
        <v>750</v>
      </c>
      <c r="P1886" s="56">
        <v>0</v>
      </c>
      <c r="S1886" s="56">
        <v>0</v>
      </c>
      <c r="T1886" s="56" t="s">
        <v>27</v>
      </c>
      <c r="V1886" s="56" t="s">
        <v>3549</v>
      </c>
      <c r="W1886" s="56" t="s">
        <v>3548</v>
      </c>
      <c r="X1886" s="56" t="s">
        <v>3547</v>
      </c>
      <c r="Z1886" s="56" t="s">
        <v>3546</v>
      </c>
      <c r="AA1886" s="56" t="s">
        <v>4435</v>
      </c>
      <c r="AB1886" s="56" t="s">
        <v>4434</v>
      </c>
      <c r="AC1886" s="56" t="s">
        <v>3543</v>
      </c>
      <c r="AH1886" s="56" t="s">
        <v>3542</v>
      </c>
      <c r="AI1886" s="56" t="s">
        <v>3541</v>
      </c>
    </row>
    <row r="1887" spans="1:35" ht="33" customHeight="1">
      <c r="A1887" s="56" t="s">
        <v>4438</v>
      </c>
      <c r="B1887" s="57">
        <v>44366.152175925927</v>
      </c>
      <c r="C1887" s="56" t="s">
        <v>3803</v>
      </c>
      <c r="D1887" s="56" t="s">
        <v>4426</v>
      </c>
      <c r="E1887" s="56" t="s">
        <v>4437</v>
      </c>
      <c r="F1887" s="56" t="s">
        <v>4436</v>
      </c>
      <c r="G1887" s="58" t="s">
        <v>2165</v>
      </c>
      <c r="H1887" s="56">
        <v>1</v>
      </c>
      <c r="I1887" s="56" t="s">
        <v>3721</v>
      </c>
      <c r="J1887" s="56">
        <v>109</v>
      </c>
      <c r="K1887" s="56">
        <v>109</v>
      </c>
      <c r="P1887" s="56">
        <v>0</v>
      </c>
      <c r="S1887" s="56">
        <v>0</v>
      </c>
      <c r="T1887" s="56" t="s">
        <v>27</v>
      </c>
      <c r="V1887" s="56" t="s">
        <v>3549</v>
      </c>
      <c r="W1887" s="56" t="s">
        <v>3548</v>
      </c>
      <c r="X1887" s="56" t="s">
        <v>3547</v>
      </c>
      <c r="Z1887" s="56" t="s">
        <v>3546</v>
      </c>
      <c r="AA1887" s="56" t="s">
        <v>4435</v>
      </c>
      <c r="AB1887" s="56" t="s">
        <v>4434</v>
      </c>
      <c r="AC1887" s="56" t="s">
        <v>3543</v>
      </c>
      <c r="AH1887" s="56" t="s">
        <v>3542</v>
      </c>
      <c r="AI1887" s="56" t="s">
        <v>3541</v>
      </c>
    </row>
    <row r="1888" spans="1:35" ht="33" customHeight="1">
      <c r="A1888" s="56" t="s">
        <v>4438</v>
      </c>
      <c r="B1888" s="57">
        <v>44366.152175925927</v>
      </c>
      <c r="C1888" s="56" t="s">
        <v>3803</v>
      </c>
      <c r="D1888" s="56" t="s">
        <v>4426</v>
      </c>
      <c r="E1888" s="56" t="s">
        <v>4437</v>
      </c>
      <c r="F1888" s="56" t="s">
        <v>4436</v>
      </c>
      <c r="G1888" s="58" t="s">
        <v>1713</v>
      </c>
      <c r="H1888" s="56">
        <v>1</v>
      </c>
      <c r="I1888" s="56" t="s">
        <v>3587</v>
      </c>
      <c r="J1888" s="56">
        <v>149</v>
      </c>
      <c r="K1888" s="56">
        <v>149</v>
      </c>
      <c r="P1888" s="56">
        <v>0</v>
      </c>
      <c r="S1888" s="56">
        <v>0</v>
      </c>
      <c r="T1888" s="56" t="s">
        <v>27</v>
      </c>
      <c r="V1888" s="56" t="s">
        <v>3549</v>
      </c>
      <c r="W1888" s="56" t="s">
        <v>3548</v>
      </c>
      <c r="X1888" s="56" t="s">
        <v>3547</v>
      </c>
      <c r="Z1888" s="56" t="s">
        <v>3546</v>
      </c>
      <c r="AA1888" s="56" t="s">
        <v>4435</v>
      </c>
      <c r="AB1888" s="56" t="s">
        <v>4434</v>
      </c>
      <c r="AC1888" s="56" t="s">
        <v>3543</v>
      </c>
      <c r="AH1888" s="56" t="s">
        <v>3542</v>
      </c>
      <c r="AI1888" s="56" t="s">
        <v>3541</v>
      </c>
    </row>
    <row r="1889" spans="1:35" ht="33" customHeight="1">
      <c r="A1889" s="56" t="s">
        <v>4438</v>
      </c>
      <c r="B1889" s="57">
        <v>44366.152175925927</v>
      </c>
      <c r="C1889" s="56" t="s">
        <v>3803</v>
      </c>
      <c r="D1889" s="56" t="s">
        <v>4426</v>
      </c>
      <c r="E1889" s="56" t="s">
        <v>4437</v>
      </c>
      <c r="F1889" s="56" t="s">
        <v>4436</v>
      </c>
      <c r="G1889" s="58" t="s">
        <v>3551</v>
      </c>
      <c r="H1889" s="56">
        <v>1</v>
      </c>
      <c r="I1889" s="56" t="s">
        <v>3550</v>
      </c>
      <c r="J1889" s="56">
        <v>0</v>
      </c>
      <c r="K1889" s="56">
        <v>0</v>
      </c>
      <c r="P1889" s="56">
        <v>0</v>
      </c>
      <c r="S1889" s="56">
        <v>0</v>
      </c>
      <c r="T1889" s="56" t="s">
        <v>27</v>
      </c>
      <c r="V1889" s="56" t="s">
        <v>3549</v>
      </c>
      <c r="W1889" s="56" t="s">
        <v>3548</v>
      </c>
      <c r="X1889" s="56" t="s">
        <v>3547</v>
      </c>
      <c r="Z1889" s="56" t="s">
        <v>3546</v>
      </c>
      <c r="AA1889" s="56" t="s">
        <v>4435</v>
      </c>
      <c r="AB1889" s="56" t="s">
        <v>4434</v>
      </c>
      <c r="AC1889" s="56" t="s">
        <v>3543</v>
      </c>
      <c r="AH1889" s="56" t="s">
        <v>3542</v>
      </c>
      <c r="AI1889" s="56" t="s">
        <v>3541</v>
      </c>
    </row>
    <row r="1890" spans="1:35" ht="33" customHeight="1">
      <c r="A1890" s="56" t="s">
        <v>4438</v>
      </c>
      <c r="B1890" s="57">
        <v>44366.152175925927</v>
      </c>
      <c r="C1890" s="56" t="s">
        <v>3803</v>
      </c>
      <c r="D1890" s="56" t="s">
        <v>4426</v>
      </c>
      <c r="E1890" s="56" t="s">
        <v>4437</v>
      </c>
      <c r="F1890" s="56" t="s">
        <v>4436</v>
      </c>
      <c r="G1890" s="58" t="s">
        <v>1713</v>
      </c>
      <c r="H1890" s="56">
        <v>1</v>
      </c>
      <c r="I1890" s="56" t="s">
        <v>3568</v>
      </c>
      <c r="J1890" s="56">
        <v>0</v>
      </c>
      <c r="K1890" s="56">
        <v>0</v>
      </c>
      <c r="P1890" s="56">
        <v>0</v>
      </c>
      <c r="S1890" s="56">
        <v>0</v>
      </c>
      <c r="T1890" s="56" t="s">
        <v>27</v>
      </c>
      <c r="V1890" s="56" t="s">
        <v>3549</v>
      </c>
      <c r="W1890" s="56" t="s">
        <v>3548</v>
      </c>
      <c r="X1890" s="56" t="s">
        <v>3547</v>
      </c>
      <c r="Z1890" s="56" t="s">
        <v>3546</v>
      </c>
      <c r="AA1890" s="56" t="s">
        <v>4435</v>
      </c>
      <c r="AB1890" s="56" t="s">
        <v>4434</v>
      </c>
      <c r="AC1890" s="56" t="s">
        <v>3543</v>
      </c>
      <c r="AH1890" s="56" t="s">
        <v>3542</v>
      </c>
      <c r="AI1890" s="56" t="s">
        <v>3541</v>
      </c>
    </row>
    <row r="1891" spans="1:35" ht="33" customHeight="1">
      <c r="A1891" s="56" t="s">
        <v>4438</v>
      </c>
      <c r="B1891" s="57">
        <v>44366.152175925927</v>
      </c>
      <c r="C1891" s="56" t="s">
        <v>3803</v>
      </c>
      <c r="D1891" s="56" t="s">
        <v>4426</v>
      </c>
      <c r="E1891" s="56" t="s">
        <v>4437</v>
      </c>
      <c r="F1891" s="56" t="s">
        <v>4436</v>
      </c>
      <c r="G1891" s="58" t="s">
        <v>1498</v>
      </c>
      <c r="H1891" s="56">
        <v>1</v>
      </c>
      <c r="I1891" s="56" t="s">
        <v>4016</v>
      </c>
      <c r="J1891" s="56">
        <v>0</v>
      </c>
      <c r="K1891" s="56">
        <v>0</v>
      </c>
      <c r="P1891" s="56">
        <v>0</v>
      </c>
      <c r="S1891" s="56">
        <v>0</v>
      </c>
      <c r="T1891" s="56" t="s">
        <v>27</v>
      </c>
      <c r="V1891" s="56" t="s">
        <v>3549</v>
      </c>
      <c r="W1891" s="56" t="s">
        <v>3548</v>
      </c>
      <c r="X1891" s="56" t="s">
        <v>3547</v>
      </c>
      <c r="Z1891" s="56" t="s">
        <v>3546</v>
      </c>
      <c r="AA1891" s="56" t="s">
        <v>4435</v>
      </c>
      <c r="AB1891" s="56" t="s">
        <v>4434</v>
      </c>
      <c r="AC1891" s="56" t="s">
        <v>3543</v>
      </c>
      <c r="AH1891" s="56" t="s">
        <v>3542</v>
      </c>
      <c r="AI1891" s="56" t="s">
        <v>3541</v>
      </c>
    </row>
    <row r="1892" spans="1:35" ht="33" customHeight="1">
      <c r="A1892" s="56" t="s">
        <v>4438</v>
      </c>
      <c r="B1892" s="57">
        <v>44366.152175925927</v>
      </c>
      <c r="C1892" s="56" t="s">
        <v>3803</v>
      </c>
      <c r="D1892" s="56" t="s">
        <v>4426</v>
      </c>
      <c r="E1892" s="56" t="s">
        <v>4437</v>
      </c>
      <c r="F1892" s="56" t="s">
        <v>4436</v>
      </c>
      <c r="G1892" s="58" t="s">
        <v>3564</v>
      </c>
      <c r="H1892" s="56">
        <v>1</v>
      </c>
      <c r="I1892" s="56" t="s">
        <v>3563</v>
      </c>
      <c r="J1892" s="56">
        <v>0</v>
      </c>
      <c r="K1892" s="56">
        <v>0</v>
      </c>
      <c r="P1892" s="56">
        <v>0</v>
      </c>
      <c r="S1892" s="56">
        <v>0</v>
      </c>
      <c r="T1892" s="56" t="s">
        <v>27</v>
      </c>
      <c r="V1892" s="56" t="s">
        <v>3549</v>
      </c>
      <c r="W1892" s="56" t="s">
        <v>3548</v>
      </c>
      <c r="X1892" s="56" t="s">
        <v>3547</v>
      </c>
      <c r="Z1892" s="56" t="s">
        <v>3546</v>
      </c>
      <c r="AA1892" s="56" t="s">
        <v>4435</v>
      </c>
      <c r="AB1892" s="56" t="s">
        <v>4434</v>
      </c>
      <c r="AC1892" s="56" t="s">
        <v>3543</v>
      </c>
      <c r="AH1892" s="56" t="s">
        <v>3542</v>
      </c>
      <c r="AI1892" s="56" t="s">
        <v>3541</v>
      </c>
    </row>
    <row r="1893" spans="1:35" ht="33" customHeight="1">
      <c r="A1893" s="56" t="s">
        <v>4433</v>
      </c>
      <c r="B1893" s="57">
        <v>44366.195474537039</v>
      </c>
      <c r="C1893" s="56" t="s">
        <v>3803</v>
      </c>
      <c r="D1893" s="56" t="s">
        <v>25</v>
      </c>
      <c r="E1893" s="56" t="s">
        <v>4432</v>
      </c>
      <c r="F1893" s="56" t="s">
        <v>4431</v>
      </c>
      <c r="G1893" s="58" t="s">
        <v>1510</v>
      </c>
      <c r="H1893" s="56">
        <v>4</v>
      </c>
      <c r="I1893" s="56" t="s">
        <v>3696</v>
      </c>
      <c r="J1893" s="56">
        <v>299</v>
      </c>
      <c r="K1893" s="56">
        <v>299</v>
      </c>
      <c r="L1893" s="56">
        <v>1196</v>
      </c>
      <c r="M1893" s="56">
        <v>0</v>
      </c>
      <c r="N1893" s="56">
        <v>0</v>
      </c>
      <c r="O1893" s="56">
        <v>120</v>
      </c>
      <c r="P1893" s="56">
        <v>0</v>
      </c>
      <c r="Q1893" s="56">
        <v>1076</v>
      </c>
      <c r="R1893" s="56">
        <v>0</v>
      </c>
      <c r="S1893" s="56">
        <v>0</v>
      </c>
      <c r="T1893" s="56" t="s">
        <v>3562</v>
      </c>
      <c r="U1893" s="56">
        <v>1076</v>
      </c>
      <c r="V1893" s="56" t="s">
        <v>59</v>
      </c>
      <c r="W1893" s="56" t="s">
        <v>3548</v>
      </c>
      <c r="X1893" s="56" t="s">
        <v>3765</v>
      </c>
      <c r="Z1893" s="56" t="s">
        <v>3546</v>
      </c>
      <c r="AA1893" s="56" t="s">
        <v>4430</v>
      </c>
      <c r="AB1893" s="56" t="s">
        <v>4429</v>
      </c>
      <c r="AC1893" s="56" t="s">
        <v>3543</v>
      </c>
      <c r="AD1893" s="56" t="s">
        <v>24</v>
      </c>
      <c r="AE1893" s="56" t="s">
        <v>4145</v>
      </c>
      <c r="AF1893" s="56" t="s">
        <v>4428</v>
      </c>
      <c r="AH1893" s="56" t="s">
        <v>3542</v>
      </c>
      <c r="AI1893" s="56" t="s">
        <v>3723</v>
      </c>
    </row>
    <row r="1894" spans="1:35" ht="33" customHeight="1">
      <c r="A1894" s="56" t="s">
        <v>4433</v>
      </c>
      <c r="B1894" s="57">
        <v>44366.195474537039</v>
      </c>
      <c r="C1894" s="56" t="s">
        <v>3803</v>
      </c>
      <c r="D1894" s="56" t="s">
        <v>25</v>
      </c>
      <c r="E1894" s="56" t="s">
        <v>4432</v>
      </c>
      <c r="F1894" s="56" t="s">
        <v>4431</v>
      </c>
      <c r="G1894" s="58" t="s">
        <v>3551</v>
      </c>
      <c r="H1894" s="56">
        <v>1</v>
      </c>
      <c r="I1894" s="56" t="s">
        <v>3550</v>
      </c>
      <c r="J1894" s="56">
        <v>0</v>
      </c>
      <c r="K1894" s="56">
        <v>0</v>
      </c>
      <c r="P1894" s="56">
        <v>0</v>
      </c>
      <c r="S1894" s="56">
        <v>0</v>
      </c>
      <c r="T1894" s="56" t="s">
        <v>3562</v>
      </c>
      <c r="V1894" s="56" t="s">
        <v>59</v>
      </c>
      <c r="W1894" s="56" t="s">
        <v>3548</v>
      </c>
      <c r="X1894" s="56" t="s">
        <v>3765</v>
      </c>
      <c r="Z1894" s="56" t="s">
        <v>3546</v>
      </c>
      <c r="AA1894" s="56" t="s">
        <v>4430</v>
      </c>
      <c r="AB1894" s="56" t="s">
        <v>4429</v>
      </c>
      <c r="AC1894" s="56" t="s">
        <v>3543</v>
      </c>
      <c r="AD1894" s="56" t="s">
        <v>24</v>
      </c>
      <c r="AE1894" s="56" t="s">
        <v>4145</v>
      </c>
      <c r="AF1894" s="56" t="s">
        <v>4428</v>
      </c>
      <c r="AH1894" s="56" t="s">
        <v>3542</v>
      </c>
      <c r="AI1894" s="56" t="s">
        <v>3723</v>
      </c>
    </row>
    <row r="1895" spans="1:35" ht="33" customHeight="1">
      <c r="A1895" s="56" t="s">
        <v>4433</v>
      </c>
      <c r="B1895" s="57">
        <v>44366.195474537039</v>
      </c>
      <c r="C1895" s="56" t="s">
        <v>3803</v>
      </c>
      <c r="D1895" s="56" t="s">
        <v>25</v>
      </c>
      <c r="E1895" s="56" t="s">
        <v>4432</v>
      </c>
      <c r="F1895" s="56" t="s">
        <v>4431</v>
      </c>
      <c r="G1895" s="58" t="s">
        <v>1498</v>
      </c>
      <c r="H1895" s="56">
        <v>1</v>
      </c>
      <c r="I1895" s="56" t="s">
        <v>4016</v>
      </c>
      <c r="J1895" s="56">
        <v>0</v>
      </c>
      <c r="K1895" s="56">
        <v>0</v>
      </c>
      <c r="P1895" s="56">
        <v>0</v>
      </c>
      <c r="S1895" s="56">
        <v>0</v>
      </c>
      <c r="T1895" s="56" t="s">
        <v>3562</v>
      </c>
      <c r="V1895" s="56" t="s">
        <v>59</v>
      </c>
      <c r="W1895" s="56" t="s">
        <v>3548</v>
      </c>
      <c r="X1895" s="56" t="s">
        <v>3765</v>
      </c>
      <c r="Z1895" s="56" t="s">
        <v>3546</v>
      </c>
      <c r="AA1895" s="56" t="s">
        <v>4430</v>
      </c>
      <c r="AB1895" s="56" t="s">
        <v>4429</v>
      </c>
      <c r="AC1895" s="56" t="s">
        <v>3543</v>
      </c>
      <c r="AD1895" s="56" t="s">
        <v>24</v>
      </c>
      <c r="AE1895" s="56" t="s">
        <v>4145</v>
      </c>
      <c r="AF1895" s="56" t="s">
        <v>4428</v>
      </c>
      <c r="AH1895" s="56" t="s">
        <v>3542</v>
      </c>
      <c r="AI1895" s="56" t="s">
        <v>3723</v>
      </c>
    </row>
    <row r="1896" spans="1:35" ht="33" customHeight="1">
      <c r="A1896" s="56" t="s">
        <v>4427</v>
      </c>
      <c r="B1896" s="57">
        <v>44366.20685185185</v>
      </c>
      <c r="C1896" s="56" t="s">
        <v>3803</v>
      </c>
      <c r="D1896" s="56" t="s">
        <v>4426</v>
      </c>
      <c r="E1896" s="56" t="s">
        <v>4425</v>
      </c>
      <c r="F1896" s="56" t="s">
        <v>4424</v>
      </c>
      <c r="G1896" s="58" t="s">
        <v>3968</v>
      </c>
      <c r="H1896" s="56">
        <v>2</v>
      </c>
      <c r="I1896" s="56" t="s">
        <v>3669</v>
      </c>
      <c r="J1896" s="56">
        <v>897</v>
      </c>
      <c r="K1896" s="56">
        <v>888</v>
      </c>
      <c r="L1896" s="56">
        <v>2710</v>
      </c>
      <c r="M1896" s="56">
        <v>0</v>
      </c>
      <c r="N1896" s="56">
        <v>50</v>
      </c>
      <c r="O1896" s="56">
        <v>187</v>
      </c>
      <c r="P1896" s="56">
        <v>0</v>
      </c>
      <c r="Q1896" s="56">
        <v>2473</v>
      </c>
      <c r="R1896" s="56">
        <v>0</v>
      </c>
      <c r="S1896" s="56">
        <v>0</v>
      </c>
      <c r="T1896" s="56" t="s">
        <v>27</v>
      </c>
      <c r="U1896" s="56">
        <v>2473</v>
      </c>
      <c r="V1896" s="56" t="s">
        <v>3549</v>
      </c>
      <c r="W1896" s="56" t="s">
        <v>3548</v>
      </c>
      <c r="X1896" s="56" t="s">
        <v>3547</v>
      </c>
      <c r="Z1896" s="56" t="s">
        <v>3546</v>
      </c>
      <c r="AA1896" s="56" t="s">
        <v>4423</v>
      </c>
      <c r="AB1896" s="56" t="s">
        <v>4422</v>
      </c>
      <c r="AC1896" s="56" t="s">
        <v>3543</v>
      </c>
      <c r="AH1896" s="56" t="s">
        <v>3542</v>
      </c>
      <c r="AI1896" s="56" t="s">
        <v>3541</v>
      </c>
    </row>
    <row r="1897" spans="1:35" ht="33" customHeight="1">
      <c r="A1897" s="56" t="s">
        <v>4427</v>
      </c>
      <c r="B1897" s="57">
        <v>44366.20685185185</v>
      </c>
      <c r="C1897" s="56" t="s">
        <v>3803</v>
      </c>
      <c r="D1897" s="56" t="s">
        <v>4426</v>
      </c>
      <c r="E1897" s="56" t="s">
        <v>4425</v>
      </c>
      <c r="F1897" s="56" t="s">
        <v>4424</v>
      </c>
      <c r="G1897" s="58" t="s">
        <v>1491</v>
      </c>
      <c r="H1897" s="56">
        <v>1</v>
      </c>
      <c r="I1897" s="56" t="s">
        <v>3771</v>
      </c>
      <c r="J1897" s="56">
        <v>135</v>
      </c>
      <c r="K1897" s="56">
        <v>135</v>
      </c>
      <c r="P1897" s="56">
        <v>0</v>
      </c>
      <c r="S1897" s="56">
        <v>0</v>
      </c>
      <c r="T1897" s="56" t="s">
        <v>27</v>
      </c>
      <c r="V1897" s="56" t="s">
        <v>3549</v>
      </c>
      <c r="W1897" s="56" t="s">
        <v>3548</v>
      </c>
      <c r="X1897" s="56" t="s">
        <v>3547</v>
      </c>
      <c r="Z1897" s="56" t="s">
        <v>3546</v>
      </c>
      <c r="AA1897" s="56" t="s">
        <v>4423</v>
      </c>
      <c r="AB1897" s="56" t="s">
        <v>4422</v>
      </c>
      <c r="AC1897" s="56" t="s">
        <v>3543</v>
      </c>
      <c r="AH1897" s="56" t="s">
        <v>3542</v>
      </c>
      <c r="AI1897" s="56" t="s">
        <v>3541</v>
      </c>
    </row>
    <row r="1898" spans="1:35" ht="33" customHeight="1">
      <c r="A1898" s="56" t="s">
        <v>4427</v>
      </c>
      <c r="B1898" s="57">
        <v>44366.20685185185</v>
      </c>
      <c r="C1898" s="56" t="s">
        <v>3803</v>
      </c>
      <c r="D1898" s="56" t="s">
        <v>4426</v>
      </c>
      <c r="E1898" s="56" t="s">
        <v>4425</v>
      </c>
      <c r="F1898" s="56" t="s">
        <v>4424</v>
      </c>
      <c r="G1898" s="58" t="s">
        <v>3656</v>
      </c>
      <c r="H1898" s="56">
        <v>1</v>
      </c>
      <c r="I1898" s="56" t="s">
        <v>3655</v>
      </c>
      <c r="J1898" s="56">
        <v>1107</v>
      </c>
      <c r="K1898" s="56">
        <v>799</v>
      </c>
      <c r="P1898" s="56">
        <v>0</v>
      </c>
      <c r="S1898" s="56">
        <v>0</v>
      </c>
      <c r="T1898" s="56" t="s">
        <v>27</v>
      </c>
      <c r="V1898" s="56" t="s">
        <v>3549</v>
      </c>
      <c r="W1898" s="56" t="s">
        <v>3548</v>
      </c>
      <c r="X1898" s="56" t="s">
        <v>3547</v>
      </c>
      <c r="Z1898" s="56" t="s">
        <v>3546</v>
      </c>
      <c r="AA1898" s="56" t="s">
        <v>4423</v>
      </c>
      <c r="AB1898" s="56" t="s">
        <v>4422</v>
      </c>
      <c r="AC1898" s="56" t="s">
        <v>3543</v>
      </c>
      <c r="AH1898" s="56" t="s">
        <v>3542</v>
      </c>
      <c r="AI1898" s="56" t="s">
        <v>3541</v>
      </c>
    </row>
    <row r="1899" spans="1:35" ht="33" customHeight="1">
      <c r="A1899" s="56" t="s">
        <v>4427</v>
      </c>
      <c r="B1899" s="57">
        <v>44366.20685185185</v>
      </c>
      <c r="C1899" s="56" t="s">
        <v>3803</v>
      </c>
      <c r="D1899" s="56" t="s">
        <v>4426</v>
      </c>
      <c r="E1899" s="56" t="s">
        <v>4425</v>
      </c>
      <c r="F1899" s="56" t="s">
        <v>4424</v>
      </c>
      <c r="G1899" s="58" t="s">
        <v>3551</v>
      </c>
      <c r="H1899" s="56">
        <v>1</v>
      </c>
      <c r="I1899" s="56" t="s">
        <v>3550</v>
      </c>
      <c r="J1899" s="56">
        <v>0</v>
      </c>
      <c r="K1899" s="56">
        <v>0</v>
      </c>
      <c r="P1899" s="56">
        <v>0</v>
      </c>
      <c r="S1899" s="56">
        <v>0</v>
      </c>
      <c r="T1899" s="56" t="s">
        <v>27</v>
      </c>
      <c r="V1899" s="56" t="s">
        <v>3549</v>
      </c>
      <c r="W1899" s="56" t="s">
        <v>3548</v>
      </c>
      <c r="X1899" s="56" t="s">
        <v>3547</v>
      </c>
      <c r="Z1899" s="56" t="s">
        <v>3546</v>
      </c>
      <c r="AA1899" s="56" t="s">
        <v>4423</v>
      </c>
      <c r="AB1899" s="56" t="s">
        <v>4422</v>
      </c>
      <c r="AC1899" s="56" t="s">
        <v>3543</v>
      </c>
      <c r="AH1899" s="56" t="s">
        <v>3542</v>
      </c>
      <c r="AI1899" s="56" t="s">
        <v>3541</v>
      </c>
    </row>
    <row r="1900" spans="1:35" ht="33" customHeight="1">
      <c r="A1900" s="56" t="s">
        <v>4427</v>
      </c>
      <c r="B1900" s="57">
        <v>44366.20685185185</v>
      </c>
      <c r="C1900" s="56" t="s">
        <v>3803</v>
      </c>
      <c r="D1900" s="56" t="s">
        <v>4426</v>
      </c>
      <c r="E1900" s="56" t="s">
        <v>4425</v>
      </c>
      <c r="F1900" s="56" t="s">
        <v>4424</v>
      </c>
      <c r="G1900" s="58" t="s">
        <v>1713</v>
      </c>
      <c r="H1900" s="56">
        <v>1</v>
      </c>
      <c r="I1900" s="56" t="s">
        <v>3568</v>
      </c>
      <c r="J1900" s="56">
        <v>0</v>
      </c>
      <c r="K1900" s="56">
        <v>0</v>
      </c>
      <c r="P1900" s="56">
        <v>0</v>
      </c>
      <c r="S1900" s="56">
        <v>0</v>
      </c>
      <c r="T1900" s="56" t="s">
        <v>27</v>
      </c>
      <c r="V1900" s="56" t="s">
        <v>3549</v>
      </c>
      <c r="W1900" s="56" t="s">
        <v>3548</v>
      </c>
      <c r="X1900" s="56" t="s">
        <v>3547</v>
      </c>
      <c r="Z1900" s="56" t="s">
        <v>3546</v>
      </c>
      <c r="AA1900" s="56" t="s">
        <v>4423</v>
      </c>
      <c r="AB1900" s="56" t="s">
        <v>4422</v>
      </c>
      <c r="AC1900" s="56" t="s">
        <v>3543</v>
      </c>
      <c r="AH1900" s="56" t="s">
        <v>3542</v>
      </c>
      <c r="AI1900" s="56" t="s">
        <v>3541</v>
      </c>
    </row>
    <row r="1901" spans="1:35" ht="33" customHeight="1">
      <c r="A1901" s="56" t="s">
        <v>4427</v>
      </c>
      <c r="B1901" s="57">
        <v>44366.20685185185</v>
      </c>
      <c r="C1901" s="56" t="s">
        <v>3803</v>
      </c>
      <c r="D1901" s="56" t="s">
        <v>4426</v>
      </c>
      <c r="E1901" s="56" t="s">
        <v>4425</v>
      </c>
      <c r="F1901" s="56" t="s">
        <v>4424</v>
      </c>
      <c r="G1901" s="58" t="s">
        <v>1498</v>
      </c>
      <c r="H1901" s="56">
        <v>1</v>
      </c>
      <c r="I1901" s="56" t="s">
        <v>4016</v>
      </c>
      <c r="J1901" s="56">
        <v>0</v>
      </c>
      <c r="K1901" s="56">
        <v>0</v>
      </c>
      <c r="P1901" s="56">
        <v>0</v>
      </c>
      <c r="S1901" s="56">
        <v>0</v>
      </c>
      <c r="T1901" s="56" t="s">
        <v>27</v>
      </c>
      <c r="V1901" s="56" t="s">
        <v>3549</v>
      </c>
      <c r="W1901" s="56" t="s">
        <v>3548</v>
      </c>
      <c r="X1901" s="56" t="s">
        <v>3547</v>
      </c>
      <c r="Z1901" s="56" t="s">
        <v>3546</v>
      </c>
      <c r="AA1901" s="56" t="s">
        <v>4423</v>
      </c>
      <c r="AB1901" s="56" t="s">
        <v>4422</v>
      </c>
      <c r="AC1901" s="56" t="s">
        <v>3543</v>
      </c>
      <c r="AH1901" s="56" t="s">
        <v>3542</v>
      </c>
      <c r="AI1901" s="56" t="s">
        <v>3541</v>
      </c>
    </row>
    <row r="1902" spans="1:35" ht="33" customHeight="1">
      <c r="A1902" s="56" t="s">
        <v>4427</v>
      </c>
      <c r="B1902" s="57">
        <v>44366.20685185185</v>
      </c>
      <c r="C1902" s="56" t="s">
        <v>3803</v>
      </c>
      <c r="D1902" s="56" t="s">
        <v>4426</v>
      </c>
      <c r="E1902" s="56" t="s">
        <v>4425</v>
      </c>
      <c r="F1902" s="56" t="s">
        <v>4424</v>
      </c>
      <c r="G1902" s="58" t="s">
        <v>3564</v>
      </c>
      <c r="H1902" s="56">
        <v>1</v>
      </c>
      <c r="I1902" s="56" t="s">
        <v>3563</v>
      </c>
      <c r="J1902" s="56">
        <v>0</v>
      </c>
      <c r="K1902" s="56">
        <v>0</v>
      </c>
      <c r="P1902" s="56">
        <v>0</v>
      </c>
      <c r="S1902" s="56">
        <v>0</v>
      </c>
      <c r="T1902" s="56" t="s">
        <v>27</v>
      </c>
      <c r="V1902" s="56" t="s">
        <v>3549</v>
      </c>
      <c r="W1902" s="56" t="s">
        <v>3548</v>
      </c>
      <c r="X1902" s="56" t="s">
        <v>3547</v>
      </c>
      <c r="Z1902" s="56" t="s">
        <v>3546</v>
      </c>
      <c r="AA1902" s="56" t="s">
        <v>4423</v>
      </c>
      <c r="AB1902" s="56" t="s">
        <v>4422</v>
      </c>
      <c r="AC1902" s="56" t="s">
        <v>3543</v>
      </c>
      <c r="AH1902" s="56" t="s">
        <v>3542</v>
      </c>
      <c r="AI1902" s="56" t="s">
        <v>3541</v>
      </c>
    </row>
    <row r="1903" spans="1:35" ht="33" customHeight="1">
      <c r="A1903" s="56" t="s">
        <v>4421</v>
      </c>
      <c r="B1903" s="57">
        <v>44366.261157407411</v>
      </c>
      <c r="C1903" s="56" t="s">
        <v>3803</v>
      </c>
      <c r="D1903" s="56" t="s">
        <v>3802</v>
      </c>
      <c r="E1903" s="56" t="s">
        <v>4420</v>
      </c>
      <c r="F1903" s="56" t="s">
        <v>4419</v>
      </c>
      <c r="G1903" s="58" t="s">
        <v>3654</v>
      </c>
      <c r="H1903" s="56">
        <v>1</v>
      </c>
      <c r="I1903" s="56" t="s">
        <v>3653</v>
      </c>
      <c r="J1903" s="56">
        <v>447</v>
      </c>
      <c r="K1903" s="56">
        <v>430</v>
      </c>
      <c r="L1903" s="56">
        <v>1483</v>
      </c>
      <c r="M1903" s="56">
        <v>0</v>
      </c>
      <c r="N1903" s="56">
        <v>0</v>
      </c>
      <c r="O1903" s="56">
        <v>149</v>
      </c>
      <c r="P1903" s="56">
        <v>0</v>
      </c>
      <c r="Q1903" s="56">
        <v>1334</v>
      </c>
      <c r="R1903" s="56">
        <v>0</v>
      </c>
      <c r="S1903" s="56">
        <v>0</v>
      </c>
      <c r="T1903" s="56" t="s">
        <v>3562</v>
      </c>
      <c r="U1903" s="56">
        <v>1334</v>
      </c>
      <c r="V1903" s="56" t="s">
        <v>3561</v>
      </c>
      <c r="W1903" s="56" t="s">
        <v>3548</v>
      </c>
      <c r="X1903" s="56" t="s">
        <v>39</v>
      </c>
      <c r="Y1903" s="56" t="s">
        <v>4370</v>
      </c>
      <c r="Z1903" s="56" t="s">
        <v>4418</v>
      </c>
      <c r="AC1903" s="56" t="s">
        <v>3543</v>
      </c>
      <c r="AD1903" s="56" t="s">
        <v>24</v>
      </c>
      <c r="AE1903" s="56" t="s">
        <v>4145</v>
      </c>
      <c r="AF1903" s="56" t="s">
        <v>4417</v>
      </c>
      <c r="AH1903" s="56" t="s">
        <v>3542</v>
      </c>
      <c r="AI1903" s="56" t="s">
        <v>3723</v>
      </c>
    </row>
    <row r="1904" spans="1:35" ht="33" customHeight="1">
      <c r="A1904" s="56" t="s">
        <v>4421</v>
      </c>
      <c r="B1904" s="57">
        <v>44366.261157407411</v>
      </c>
      <c r="C1904" s="56" t="s">
        <v>3803</v>
      </c>
      <c r="D1904" s="56" t="s">
        <v>3802</v>
      </c>
      <c r="E1904" s="56" t="s">
        <v>4420</v>
      </c>
      <c r="F1904" s="56" t="s">
        <v>4419</v>
      </c>
      <c r="G1904" s="58" t="s">
        <v>1512</v>
      </c>
      <c r="H1904" s="56">
        <v>1</v>
      </c>
      <c r="I1904" s="56" t="s">
        <v>3657</v>
      </c>
      <c r="J1904" s="56">
        <v>165</v>
      </c>
      <c r="K1904" s="56">
        <v>165</v>
      </c>
      <c r="P1904" s="56">
        <v>0</v>
      </c>
      <c r="S1904" s="56">
        <v>0</v>
      </c>
      <c r="T1904" s="56" t="s">
        <v>3562</v>
      </c>
      <c r="V1904" s="56" t="s">
        <v>3561</v>
      </c>
      <c r="W1904" s="56" t="s">
        <v>3548</v>
      </c>
      <c r="X1904" s="56" t="s">
        <v>39</v>
      </c>
      <c r="Y1904" s="56" t="s">
        <v>4370</v>
      </c>
      <c r="Z1904" s="56" t="s">
        <v>4418</v>
      </c>
      <c r="AC1904" s="56" t="s">
        <v>3543</v>
      </c>
      <c r="AD1904" s="56" t="s">
        <v>24</v>
      </c>
      <c r="AE1904" s="56" t="s">
        <v>4145</v>
      </c>
      <c r="AF1904" s="56" t="s">
        <v>4417</v>
      </c>
      <c r="AH1904" s="56" t="s">
        <v>3542</v>
      </c>
      <c r="AI1904" s="56" t="s">
        <v>3723</v>
      </c>
    </row>
    <row r="1905" spans="1:35" ht="33" customHeight="1">
      <c r="A1905" s="56" t="s">
        <v>4421</v>
      </c>
      <c r="B1905" s="57">
        <v>44366.261157407411</v>
      </c>
      <c r="C1905" s="56" t="s">
        <v>3803</v>
      </c>
      <c r="D1905" s="56" t="s">
        <v>3802</v>
      </c>
      <c r="E1905" s="56" t="s">
        <v>4420</v>
      </c>
      <c r="F1905" s="56" t="s">
        <v>4419</v>
      </c>
      <c r="G1905" s="58" t="s">
        <v>3968</v>
      </c>
      <c r="H1905" s="56">
        <v>1</v>
      </c>
      <c r="I1905" s="56" t="s">
        <v>3669</v>
      </c>
      <c r="J1905" s="56">
        <v>897</v>
      </c>
      <c r="K1905" s="56">
        <v>888</v>
      </c>
      <c r="P1905" s="56">
        <v>0</v>
      </c>
      <c r="S1905" s="56">
        <v>0</v>
      </c>
      <c r="T1905" s="56" t="s">
        <v>3562</v>
      </c>
      <c r="V1905" s="56" t="s">
        <v>3561</v>
      </c>
      <c r="W1905" s="56" t="s">
        <v>3548</v>
      </c>
      <c r="X1905" s="56" t="s">
        <v>39</v>
      </c>
      <c r="Y1905" s="56" t="s">
        <v>4370</v>
      </c>
      <c r="Z1905" s="56" t="s">
        <v>4418</v>
      </c>
      <c r="AC1905" s="56" t="s">
        <v>3543</v>
      </c>
      <c r="AD1905" s="56" t="s">
        <v>24</v>
      </c>
      <c r="AE1905" s="56" t="s">
        <v>4145</v>
      </c>
      <c r="AF1905" s="56" t="s">
        <v>4417</v>
      </c>
      <c r="AH1905" s="56" t="s">
        <v>3542</v>
      </c>
      <c r="AI1905" s="56" t="s">
        <v>3723</v>
      </c>
    </row>
    <row r="1906" spans="1:35" ht="33" customHeight="1">
      <c r="A1906" s="56" t="s">
        <v>4421</v>
      </c>
      <c r="B1906" s="57">
        <v>44366.261157407411</v>
      </c>
      <c r="C1906" s="56" t="s">
        <v>3803</v>
      </c>
      <c r="D1906" s="56" t="s">
        <v>3802</v>
      </c>
      <c r="E1906" s="56" t="s">
        <v>4420</v>
      </c>
      <c r="F1906" s="56" t="s">
        <v>4419</v>
      </c>
      <c r="G1906" s="58" t="s">
        <v>3551</v>
      </c>
      <c r="H1906" s="56">
        <v>1</v>
      </c>
      <c r="I1906" s="56" t="s">
        <v>3550</v>
      </c>
      <c r="J1906" s="56">
        <v>0</v>
      </c>
      <c r="K1906" s="56">
        <v>0</v>
      </c>
      <c r="P1906" s="56">
        <v>0</v>
      </c>
      <c r="S1906" s="56">
        <v>0</v>
      </c>
      <c r="T1906" s="56" t="s">
        <v>3562</v>
      </c>
      <c r="V1906" s="56" t="s">
        <v>3561</v>
      </c>
      <c r="W1906" s="56" t="s">
        <v>3548</v>
      </c>
      <c r="X1906" s="56" t="s">
        <v>39</v>
      </c>
      <c r="Y1906" s="56" t="s">
        <v>4370</v>
      </c>
      <c r="Z1906" s="56" t="s">
        <v>4418</v>
      </c>
      <c r="AC1906" s="56" t="s">
        <v>3543</v>
      </c>
      <c r="AD1906" s="56" t="s">
        <v>24</v>
      </c>
      <c r="AE1906" s="56" t="s">
        <v>4145</v>
      </c>
      <c r="AF1906" s="56" t="s">
        <v>4417</v>
      </c>
      <c r="AH1906" s="56" t="s">
        <v>3542</v>
      </c>
      <c r="AI1906" s="56" t="s">
        <v>3723</v>
      </c>
    </row>
    <row r="1907" spans="1:35" ht="33" customHeight="1">
      <c r="A1907" s="56" t="s">
        <v>4421</v>
      </c>
      <c r="B1907" s="57">
        <v>44366.261157407411</v>
      </c>
      <c r="C1907" s="56" t="s">
        <v>3803</v>
      </c>
      <c r="D1907" s="56" t="s">
        <v>3802</v>
      </c>
      <c r="E1907" s="56" t="s">
        <v>4420</v>
      </c>
      <c r="F1907" s="56" t="s">
        <v>4419</v>
      </c>
      <c r="G1907" s="58" t="s">
        <v>1498</v>
      </c>
      <c r="H1907" s="56">
        <v>1</v>
      </c>
      <c r="I1907" s="56" t="s">
        <v>4016</v>
      </c>
      <c r="J1907" s="56">
        <v>0</v>
      </c>
      <c r="K1907" s="56">
        <v>0</v>
      </c>
      <c r="P1907" s="56">
        <v>0</v>
      </c>
      <c r="S1907" s="56">
        <v>0</v>
      </c>
      <c r="T1907" s="56" t="s">
        <v>3562</v>
      </c>
      <c r="V1907" s="56" t="s">
        <v>3561</v>
      </c>
      <c r="W1907" s="56" t="s">
        <v>3548</v>
      </c>
      <c r="X1907" s="56" t="s">
        <v>39</v>
      </c>
      <c r="Y1907" s="56" t="s">
        <v>4370</v>
      </c>
      <c r="Z1907" s="56" t="s">
        <v>4418</v>
      </c>
      <c r="AC1907" s="56" t="s">
        <v>3543</v>
      </c>
      <c r="AD1907" s="56" t="s">
        <v>24</v>
      </c>
      <c r="AE1907" s="56" t="s">
        <v>4145</v>
      </c>
      <c r="AF1907" s="56" t="s">
        <v>4417</v>
      </c>
      <c r="AH1907" s="56" t="s">
        <v>3542</v>
      </c>
      <c r="AI1907" s="56" t="s">
        <v>3723</v>
      </c>
    </row>
    <row r="1908" spans="1:35" ht="33" customHeight="1">
      <c r="A1908" s="56" t="s">
        <v>4416</v>
      </c>
      <c r="B1908" s="57">
        <v>44366.264479166668</v>
      </c>
      <c r="C1908" s="56" t="s">
        <v>3803</v>
      </c>
      <c r="D1908" s="56" t="s">
        <v>3802</v>
      </c>
      <c r="E1908" s="56" t="s">
        <v>4415</v>
      </c>
      <c r="F1908" s="56" t="s">
        <v>4414</v>
      </c>
      <c r="G1908" s="58" t="s">
        <v>3222</v>
      </c>
      <c r="H1908" s="56">
        <v>1</v>
      </c>
      <c r="I1908" s="56" t="s">
        <v>3712</v>
      </c>
      <c r="J1908" s="56">
        <v>59</v>
      </c>
      <c r="K1908" s="56">
        <v>59</v>
      </c>
      <c r="L1908" s="56">
        <v>1125</v>
      </c>
      <c r="M1908" s="56">
        <v>0</v>
      </c>
      <c r="N1908" s="56">
        <v>0</v>
      </c>
      <c r="O1908" s="56">
        <v>100</v>
      </c>
      <c r="P1908" s="56">
        <v>0</v>
      </c>
      <c r="Q1908" s="56">
        <v>1025</v>
      </c>
      <c r="R1908" s="56">
        <v>0</v>
      </c>
      <c r="S1908" s="56">
        <v>0</v>
      </c>
      <c r="T1908" s="56" t="s">
        <v>3562</v>
      </c>
      <c r="U1908" s="56">
        <v>1025</v>
      </c>
      <c r="V1908" s="56" t="s">
        <v>3561</v>
      </c>
      <c r="W1908" s="56" t="s">
        <v>3548</v>
      </c>
      <c r="X1908" s="56" t="s">
        <v>39</v>
      </c>
      <c r="Y1908" s="56" t="s">
        <v>4413</v>
      </c>
      <c r="Z1908" s="56" t="s">
        <v>4412</v>
      </c>
      <c r="AC1908" s="56" t="s">
        <v>3543</v>
      </c>
      <c r="AD1908" s="56" t="s">
        <v>24</v>
      </c>
      <c r="AE1908" s="56" t="s">
        <v>4145</v>
      </c>
      <c r="AF1908" s="56" t="s">
        <v>4411</v>
      </c>
      <c r="AH1908" s="56" t="s">
        <v>3542</v>
      </c>
      <c r="AI1908" s="56" t="s">
        <v>3723</v>
      </c>
    </row>
    <row r="1909" spans="1:35" ht="33" customHeight="1">
      <c r="A1909" s="56" t="s">
        <v>4416</v>
      </c>
      <c r="B1909" s="57">
        <v>44366.264479166668</v>
      </c>
      <c r="C1909" s="56" t="s">
        <v>3803</v>
      </c>
      <c r="D1909" s="56" t="s">
        <v>3802</v>
      </c>
      <c r="E1909" s="56" t="s">
        <v>4415</v>
      </c>
      <c r="F1909" s="56" t="s">
        <v>4414</v>
      </c>
      <c r="G1909" s="58" t="s">
        <v>3217</v>
      </c>
      <c r="H1909" s="56">
        <v>2</v>
      </c>
      <c r="I1909" s="56" t="s">
        <v>3720</v>
      </c>
      <c r="J1909" s="56">
        <v>59</v>
      </c>
      <c r="K1909" s="56">
        <v>59</v>
      </c>
      <c r="P1909" s="56">
        <v>0</v>
      </c>
      <c r="S1909" s="56">
        <v>0</v>
      </c>
      <c r="T1909" s="56" t="s">
        <v>3562</v>
      </c>
      <c r="V1909" s="56" t="s">
        <v>3561</v>
      </c>
      <c r="W1909" s="56" t="s">
        <v>3548</v>
      </c>
      <c r="X1909" s="56" t="s">
        <v>39</v>
      </c>
      <c r="Y1909" s="56" t="s">
        <v>4413</v>
      </c>
      <c r="Z1909" s="56" t="s">
        <v>4412</v>
      </c>
      <c r="AC1909" s="56" t="s">
        <v>3543</v>
      </c>
      <c r="AD1909" s="56" t="s">
        <v>24</v>
      </c>
      <c r="AE1909" s="56" t="s">
        <v>4145</v>
      </c>
      <c r="AF1909" s="56" t="s">
        <v>4411</v>
      </c>
      <c r="AH1909" s="56" t="s">
        <v>3542</v>
      </c>
      <c r="AI1909" s="56" t="s">
        <v>3723</v>
      </c>
    </row>
    <row r="1910" spans="1:35" ht="33" customHeight="1">
      <c r="A1910" s="56" t="s">
        <v>4416</v>
      </c>
      <c r="B1910" s="57">
        <v>44366.264479166668</v>
      </c>
      <c r="C1910" s="56" t="s">
        <v>3803</v>
      </c>
      <c r="D1910" s="56" t="s">
        <v>3802</v>
      </c>
      <c r="E1910" s="56" t="s">
        <v>4415</v>
      </c>
      <c r="F1910" s="56" t="s">
        <v>4414</v>
      </c>
      <c r="G1910" s="58" t="s">
        <v>3656</v>
      </c>
      <c r="H1910" s="56">
        <v>1</v>
      </c>
      <c r="I1910" s="56" t="s">
        <v>3655</v>
      </c>
      <c r="J1910" s="56">
        <v>1107</v>
      </c>
      <c r="K1910" s="56">
        <v>799</v>
      </c>
      <c r="P1910" s="56">
        <v>0</v>
      </c>
      <c r="S1910" s="56">
        <v>0</v>
      </c>
      <c r="T1910" s="56" t="s">
        <v>3562</v>
      </c>
      <c r="V1910" s="56" t="s">
        <v>3561</v>
      </c>
      <c r="W1910" s="56" t="s">
        <v>3548</v>
      </c>
      <c r="X1910" s="56" t="s">
        <v>39</v>
      </c>
      <c r="Y1910" s="56" t="s">
        <v>4413</v>
      </c>
      <c r="Z1910" s="56" t="s">
        <v>4412</v>
      </c>
      <c r="AC1910" s="56" t="s">
        <v>3543</v>
      </c>
      <c r="AD1910" s="56" t="s">
        <v>24</v>
      </c>
      <c r="AE1910" s="56" t="s">
        <v>4145</v>
      </c>
      <c r="AF1910" s="56" t="s">
        <v>4411</v>
      </c>
      <c r="AH1910" s="56" t="s">
        <v>3542</v>
      </c>
      <c r="AI1910" s="56" t="s">
        <v>3723</v>
      </c>
    </row>
    <row r="1911" spans="1:35" ht="33" customHeight="1">
      <c r="A1911" s="56" t="s">
        <v>4416</v>
      </c>
      <c r="B1911" s="57">
        <v>44366.264479166668</v>
      </c>
      <c r="C1911" s="56" t="s">
        <v>3803</v>
      </c>
      <c r="D1911" s="56" t="s">
        <v>3802</v>
      </c>
      <c r="E1911" s="56" t="s">
        <v>4415</v>
      </c>
      <c r="F1911" s="56" t="s">
        <v>4414</v>
      </c>
      <c r="G1911" s="58" t="s">
        <v>1713</v>
      </c>
      <c r="H1911" s="56">
        <v>1</v>
      </c>
      <c r="I1911" s="56" t="s">
        <v>3587</v>
      </c>
      <c r="J1911" s="56">
        <v>149</v>
      </c>
      <c r="K1911" s="56">
        <v>149</v>
      </c>
      <c r="P1911" s="56">
        <v>0</v>
      </c>
      <c r="S1911" s="56">
        <v>0</v>
      </c>
      <c r="T1911" s="56" t="s">
        <v>3562</v>
      </c>
      <c r="V1911" s="56" t="s">
        <v>3561</v>
      </c>
      <c r="W1911" s="56" t="s">
        <v>3548</v>
      </c>
      <c r="X1911" s="56" t="s">
        <v>39</v>
      </c>
      <c r="Y1911" s="56" t="s">
        <v>4413</v>
      </c>
      <c r="Z1911" s="56" t="s">
        <v>4412</v>
      </c>
      <c r="AC1911" s="56" t="s">
        <v>3543</v>
      </c>
      <c r="AD1911" s="56" t="s">
        <v>24</v>
      </c>
      <c r="AE1911" s="56" t="s">
        <v>4145</v>
      </c>
      <c r="AF1911" s="56" t="s">
        <v>4411</v>
      </c>
      <c r="AH1911" s="56" t="s">
        <v>3542</v>
      </c>
      <c r="AI1911" s="56" t="s">
        <v>3723</v>
      </c>
    </row>
    <row r="1912" spans="1:35" ht="33" customHeight="1">
      <c r="A1912" s="56" t="s">
        <v>4416</v>
      </c>
      <c r="B1912" s="57">
        <v>44366.264479166668</v>
      </c>
      <c r="C1912" s="56" t="s">
        <v>3803</v>
      </c>
      <c r="D1912" s="56" t="s">
        <v>3802</v>
      </c>
      <c r="E1912" s="56" t="s">
        <v>4415</v>
      </c>
      <c r="F1912" s="56" t="s">
        <v>4414</v>
      </c>
      <c r="G1912" s="58" t="s">
        <v>3551</v>
      </c>
      <c r="H1912" s="56">
        <v>1</v>
      </c>
      <c r="I1912" s="56" t="s">
        <v>3550</v>
      </c>
      <c r="J1912" s="56">
        <v>0</v>
      </c>
      <c r="K1912" s="56">
        <v>0</v>
      </c>
      <c r="P1912" s="56">
        <v>0</v>
      </c>
      <c r="S1912" s="56">
        <v>0</v>
      </c>
      <c r="T1912" s="56" t="s">
        <v>3562</v>
      </c>
      <c r="V1912" s="56" t="s">
        <v>3561</v>
      </c>
      <c r="W1912" s="56" t="s">
        <v>3548</v>
      </c>
      <c r="X1912" s="56" t="s">
        <v>39</v>
      </c>
      <c r="Y1912" s="56" t="s">
        <v>4413</v>
      </c>
      <c r="Z1912" s="56" t="s">
        <v>4412</v>
      </c>
      <c r="AC1912" s="56" t="s">
        <v>3543</v>
      </c>
      <c r="AD1912" s="56" t="s">
        <v>24</v>
      </c>
      <c r="AE1912" s="56" t="s">
        <v>4145</v>
      </c>
      <c r="AF1912" s="56" t="s">
        <v>4411</v>
      </c>
      <c r="AH1912" s="56" t="s">
        <v>3542</v>
      </c>
      <c r="AI1912" s="56" t="s">
        <v>3723</v>
      </c>
    </row>
    <row r="1913" spans="1:35" ht="33" customHeight="1">
      <c r="A1913" s="56" t="s">
        <v>4416</v>
      </c>
      <c r="B1913" s="57">
        <v>44366.264479166668</v>
      </c>
      <c r="C1913" s="56" t="s">
        <v>3803</v>
      </c>
      <c r="D1913" s="56" t="s">
        <v>3802</v>
      </c>
      <c r="E1913" s="56" t="s">
        <v>4415</v>
      </c>
      <c r="F1913" s="56" t="s">
        <v>4414</v>
      </c>
      <c r="G1913" s="58" t="s">
        <v>1498</v>
      </c>
      <c r="H1913" s="56">
        <v>1</v>
      </c>
      <c r="I1913" s="56" t="s">
        <v>4016</v>
      </c>
      <c r="J1913" s="56">
        <v>0</v>
      </c>
      <c r="K1913" s="56">
        <v>0</v>
      </c>
      <c r="P1913" s="56">
        <v>0</v>
      </c>
      <c r="S1913" s="56">
        <v>0</v>
      </c>
      <c r="T1913" s="56" t="s">
        <v>3562</v>
      </c>
      <c r="V1913" s="56" t="s">
        <v>3561</v>
      </c>
      <c r="W1913" s="56" t="s">
        <v>3548</v>
      </c>
      <c r="X1913" s="56" t="s">
        <v>39</v>
      </c>
      <c r="Y1913" s="56" t="s">
        <v>4413</v>
      </c>
      <c r="Z1913" s="56" t="s">
        <v>4412</v>
      </c>
      <c r="AC1913" s="56" t="s">
        <v>3543</v>
      </c>
      <c r="AD1913" s="56" t="s">
        <v>24</v>
      </c>
      <c r="AE1913" s="56" t="s">
        <v>4145</v>
      </c>
      <c r="AF1913" s="56" t="s">
        <v>4411</v>
      </c>
      <c r="AH1913" s="56" t="s">
        <v>3542</v>
      </c>
      <c r="AI1913" s="56" t="s">
        <v>3723</v>
      </c>
    </row>
    <row r="1914" spans="1:35" ht="33" customHeight="1">
      <c r="A1914" s="56" t="s">
        <v>4410</v>
      </c>
      <c r="B1914" s="57">
        <v>44366.327766203707</v>
      </c>
      <c r="C1914" s="56" t="s">
        <v>3803</v>
      </c>
      <c r="D1914" s="56" t="s">
        <v>25</v>
      </c>
      <c r="E1914" s="56" t="s">
        <v>4409</v>
      </c>
      <c r="F1914" s="56" t="s">
        <v>4408</v>
      </c>
      <c r="G1914" s="58" t="s">
        <v>3187</v>
      </c>
      <c r="H1914" s="56">
        <v>1</v>
      </c>
      <c r="I1914" s="56" t="s">
        <v>3761</v>
      </c>
      <c r="J1914" s="56">
        <v>149</v>
      </c>
      <c r="K1914" s="56">
        <v>149</v>
      </c>
      <c r="L1914" s="56">
        <v>637</v>
      </c>
      <c r="M1914" s="56">
        <v>65</v>
      </c>
      <c r="N1914" s="56">
        <v>0</v>
      </c>
      <c r="O1914" s="56">
        <v>0</v>
      </c>
      <c r="P1914" s="56">
        <v>0</v>
      </c>
      <c r="Q1914" s="56">
        <v>702</v>
      </c>
      <c r="R1914" s="56">
        <v>0</v>
      </c>
      <c r="S1914" s="56">
        <v>0</v>
      </c>
      <c r="T1914" s="56" t="s">
        <v>27</v>
      </c>
      <c r="U1914" s="56">
        <v>702</v>
      </c>
      <c r="V1914" s="56" t="s">
        <v>3612</v>
      </c>
      <c r="W1914" s="56" t="s">
        <v>3548</v>
      </c>
      <c r="X1914" s="56" t="s">
        <v>3611</v>
      </c>
      <c r="Z1914" s="56" t="s">
        <v>3546</v>
      </c>
      <c r="AA1914" s="56" t="s">
        <v>4407</v>
      </c>
      <c r="AB1914" s="56" t="s">
        <v>4406</v>
      </c>
      <c r="AC1914" s="56" t="s">
        <v>3543</v>
      </c>
      <c r="AH1914" s="56" t="s">
        <v>3542</v>
      </c>
      <c r="AI1914" s="56" t="s">
        <v>3541</v>
      </c>
    </row>
    <row r="1915" spans="1:35" ht="33" customHeight="1">
      <c r="A1915" s="56" t="s">
        <v>4410</v>
      </c>
      <c r="B1915" s="57">
        <v>44366.327766203707</v>
      </c>
      <c r="C1915" s="56" t="s">
        <v>3803</v>
      </c>
      <c r="D1915" s="56" t="s">
        <v>25</v>
      </c>
      <c r="E1915" s="56" t="s">
        <v>4409</v>
      </c>
      <c r="F1915" s="56" t="s">
        <v>4408</v>
      </c>
      <c r="G1915" s="58" t="s">
        <v>3580</v>
      </c>
      <c r="H1915" s="56">
        <v>1</v>
      </c>
      <c r="I1915" s="56" t="s">
        <v>3579</v>
      </c>
      <c r="J1915" s="56">
        <v>336</v>
      </c>
      <c r="K1915" s="56">
        <v>320</v>
      </c>
      <c r="P1915" s="56">
        <v>0</v>
      </c>
      <c r="S1915" s="56">
        <v>0</v>
      </c>
      <c r="T1915" s="56" t="s">
        <v>27</v>
      </c>
      <c r="V1915" s="56" t="s">
        <v>3612</v>
      </c>
      <c r="W1915" s="56" t="s">
        <v>3548</v>
      </c>
      <c r="X1915" s="56" t="s">
        <v>3611</v>
      </c>
      <c r="Z1915" s="56" t="s">
        <v>3546</v>
      </c>
      <c r="AA1915" s="56" t="s">
        <v>4407</v>
      </c>
      <c r="AB1915" s="56" t="s">
        <v>4406</v>
      </c>
      <c r="AC1915" s="56" t="s">
        <v>3543</v>
      </c>
      <c r="AH1915" s="56" t="s">
        <v>3542</v>
      </c>
      <c r="AI1915" s="56" t="s">
        <v>3541</v>
      </c>
    </row>
    <row r="1916" spans="1:35" ht="33" customHeight="1">
      <c r="A1916" s="56" t="s">
        <v>4410</v>
      </c>
      <c r="B1916" s="57">
        <v>44366.327766203707</v>
      </c>
      <c r="C1916" s="56" t="s">
        <v>3803</v>
      </c>
      <c r="D1916" s="56" t="s">
        <v>25</v>
      </c>
      <c r="E1916" s="56" t="s">
        <v>4409</v>
      </c>
      <c r="F1916" s="56" t="s">
        <v>4408</v>
      </c>
      <c r="G1916" s="58" t="s">
        <v>1512</v>
      </c>
      <c r="H1916" s="56">
        <v>1</v>
      </c>
      <c r="I1916" s="56" t="s">
        <v>3740</v>
      </c>
      <c r="J1916" s="56">
        <v>220</v>
      </c>
      <c r="K1916" s="56">
        <v>168</v>
      </c>
      <c r="P1916" s="56">
        <v>0</v>
      </c>
      <c r="S1916" s="56">
        <v>0</v>
      </c>
      <c r="T1916" s="56" t="s">
        <v>27</v>
      </c>
      <c r="V1916" s="56" t="s">
        <v>3612</v>
      </c>
      <c r="W1916" s="56" t="s">
        <v>3548</v>
      </c>
      <c r="X1916" s="56" t="s">
        <v>3611</v>
      </c>
      <c r="Z1916" s="56" t="s">
        <v>3546</v>
      </c>
      <c r="AA1916" s="56" t="s">
        <v>4407</v>
      </c>
      <c r="AB1916" s="56" t="s">
        <v>4406</v>
      </c>
      <c r="AC1916" s="56" t="s">
        <v>3543</v>
      </c>
      <c r="AH1916" s="56" t="s">
        <v>3542</v>
      </c>
      <c r="AI1916" s="56" t="s">
        <v>3541</v>
      </c>
    </row>
    <row r="1917" spans="1:35" ht="33" customHeight="1">
      <c r="A1917" s="56" t="s">
        <v>4410</v>
      </c>
      <c r="B1917" s="57">
        <v>44366.327766203707</v>
      </c>
      <c r="C1917" s="56" t="s">
        <v>3803</v>
      </c>
      <c r="D1917" s="56" t="s">
        <v>25</v>
      </c>
      <c r="E1917" s="56" t="s">
        <v>4409</v>
      </c>
      <c r="F1917" s="56" t="s">
        <v>4408</v>
      </c>
      <c r="G1917" s="58" t="s">
        <v>3551</v>
      </c>
      <c r="H1917" s="56">
        <v>1</v>
      </c>
      <c r="I1917" s="56" t="s">
        <v>3550</v>
      </c>
      <c r="J1917" s="56">
        <v>0</v>
      </c>
      <c r="K1917" s="56">
        <v>0</v>
      </c>
      <c r="P1917" s="56">
        <v>0</v>
      </c>
      <c r="S1917" s="56">
        <v>0</v>
      </c>
      <c r="T1917" s="56" t="s">
        <v>27</v>
      </c>
      <c r="V1917" s="56" t="s">
        <v>3612</v>
      </c>
      <c r="W1917" s="56" t="s">
        <v>3548</v>
      </c>
      <c r="X1917" s="56" t="s">
        <v>3611</v>
      </c>
      <c r="Z1917" s="56" t="s">
        <v>3546</v>
      </c>
      <c r="AA1917" s="56" t="s">
        <v>4407</v>
      </c>
      <c r="AB1917" s="56" t="s">
        <v>4406</v>
      </c>
      <c r="AC1917" s="56" t="s">
        <v>3543</v>
      </c>
      <c r="AH1917" s="56" t="s">
        <v>3542</v>
      </c>
      <c r="AI1917" s="56" t="s">
        <v>3541</v>
      </c>
    </row>
    <row r="1918" spans="1:35" ht="33" customHeight="1">
      <c r="A1918" s="56" t="s">
        <v>4405</v>
      </c>
      <c r="B1918" s="57">
        <v>44366.347592592596</v>
      </c>
      <c r="C1918" s="56" t="s">
        <v>3803</v>
      </c>
      <c r="D1918" s="56" t="s">
        <v>3802</v>
      </c>
      <c r="E1918" s="56" t="s">
        <v>4400</v>
      </c>
      <c r="F1918" s="56" t="s">
        <v>4399</v>
      </c>
      <c r="G1918" s="58" t="s">
        <v>3732</v>
      </c>
      <c r="H1918" s="56">
        <v>1</v>
      </c>
      <c r="I1918" s="56" t="s">
        <v>3731</v>
      </c>
      <c r="J1918" s="56">
        <v>867</v>
      </c>
      <c r="K1918" s="56">
        <v>550</v>
      </c>
      <c r="L1918" s="56">
        <v>1883</v>
      </c>
      <c r="M1918" s="56">
        <v>0</v>
      </c>
      <c r="N1918" s="56">
        <v>0</v>
      </c>
      <c r="O1918" s="56">
        <v>189</v>
      </c>
      <c r="P1918" s="56">
        <v>0</v>
      </c>
      <c r="Q1918" s="56">
        <v>1694</v>
      </c>
      <c r="R1918" s="56">
        <v>0</v>
      </c>
      <c r="S1918" s="56">
        <v>0</v>
      </c>
      <c r="T1918" s="56" t="s">
        <v>3562</v>
      </c>
      <c r="U1918" s="56">
        <v>1694</v>
      </c>
      <c r="V1918" s="56" t="s">
        <v>3561</v>
      </c>
      <c r="W1918" s="56" t="s">
        <v>3548</v>
      </c>
      <c r="X1918" s="56" t="s">
        <v>39</v>
      </c>
      <c r="Y1918" s="56" t="s">
        <v>4205</v>
      </c>
      <c r="Z1918" s="56" t="s">
        <v>4398</v>
      </c>
      <c r="AC1918" s="56" t="s">
        <v>3543</v>
      </c>
      <c r="AD1918" s="56" t="s">
        <v>24</v>
      </c>
      <c r="AE1918" s="56" t="s">
        <v>4145</v>
      </c>
      <c r="AF1918" s="56" t="s">
        <v>4404</v>
      </c>
      <c r="AH1918" s="56" t="s">
        <v>3542</v>
      </c>
      <c r="AI1918" s="56" t="s">
        <v>3723</v>
      </c>
    </row>
    <row r="1919" spans="1:35" ht="33" customHeight="1">
      <c r="A1919" s="56" t="s">
        <v>4405</v>
      </c>
      <c r="B1919" s="57">
        <v>44366.347592592596</v>
      </c>
      <c r="C1919" s="56" t="s">
        <v>3803</v>
      </c>
      <c r="D1919" s="56" t="s">
        <v>3802</v>
      </c>
      <c r="E1919" s="56" t="s">
        <v>4400</v>
      </c>
      <c r="F1919" s="56" t="s">
        <v>4399</v>
      </c>
      <c r="G1919" s="58" t="s">
        <v>3656</v>
      </c>
      <c r="H1919" s="56">
        <v>1</v>
      </c>
      <c r="I1919" s="56" t="s">
        <v>3655</v>
      </c>
      <c r="J1919" s="56">
        <v>1107</v>
      </c>
      <c r="K1919" s="56">
        <v>799</v>
      </c>
      <c r="P1919" s="56">
        <v>0</v>
      </c>
      <c r="S1919" s="56">
        <v>0</v>
      </c>
      <c r="T1919" s="56" t="s">
        <v>3562</v>
      </c>
      <c r="V1919" s="56" t="s">
        <v>3561</v>
      </c>
      <c r="W1919" s="56" t="s">
        <v>3548</v>
      </c>
      <c r="X1919" s="56" t="s">
        <v>39</v>
      </c>
      <c r="Y1919" s="56" t="s">
        <v>4205</v>
      </c>
      <c r="Z1919" s="56" t="s">
        <v>4398</v>
      </c>
      <c r="AC1919" s="56" t="s">
        <v>3543</v>
      </c>
      <c r="AD1919" s="56" t="s">
        <v>24</v>
      </c>
      <c r="AE1919" s="56" t="s">
        <v>4145</v>
      </c>
      <c r="AF1919" s="56" t="s">
        <v>4404</v>
      </c>
      <c r="AH1919" s="56" t="s">
        <v>3542</v>
      </c>
      <c r="AI1919" s="56" t="s">
        <v>3723</v>
      </c>
    </row>
    <row r="1920" spans="1:35" ht="33" customHeight="1">
      <c r="A1920" s="56" t="s">
        <v>4405</v>
      </c>
      <c r="B1920" s="57">
        <v>44366.347592592596</v>
      </c>
      <c r="C1920" s="56" t="s">
        <v>3803</v>
      </c>
      <c r="D1920" s="56" t="s">
        <v>3802</v>
      </c>
      <c r="E1920" s="56" t="s">
        <v>4400</v>
      </c>
      <c r="F1920" s="56" t="s">
        <v>4399</v>
      </c>
      <c r="G1920" s="58" t="s">
        <v>3222</v>
      </c>
      <c r="H1920" s="56">
        <v>2</v>
      </c>
      <c r="I1920" s="56" t="s">
        <v>3712</v>
      </c>
      <c r="J1920" s="56">
        <v>59</v>
      </c>
      <c r="K1920" s="56">
        <v>59</v>
      </c>
      <c r="P1920" s="56">
        <v>0</v>
      </c>
      <c r="S1920" s="56">
        <v>0</v>
      </c>
      <c r="T1920" s="56" t="s">
        <v>3562</v>
      </c>
      <c r="V1920" s="56" t="s">
        <v>3561</v>
      </c>
      <c r="W1920" s="56" t="s">
        <v>3548</v>
      </c>
      <c r="X1920" s="56" t="s">
        <v>39</v>
      </c>
      <c r="Y1920" s="56" t="s">
        <v>4205</v>
      </c>
      <c r="Z1920" s="56" t="s">
        <v>4398</v>
      </c>
      <c r="AC1920" s="56" t="s">
        <v>3543</v>
      </c>
      <c r="AD1920" s="56" t="s">
        <v>24</v>
      </c>
      <c r="AE1920" s="56" t="s">
        <v>4145</v>
      </c>
      <c r="AF1920" s="56" t="s">
        <v>4404</v>
      </c>
      <c r="AH1920" s="56" t="s">
        <v>3542</v>
      </c>
      <c r="AI1920" s="56" t="s">
        <v>3723</v>
      </c>
    </row>
    <row r="1921" spans="1:35" ht="33" customHeight="1">
      <c r="A1921" s="56" t="s">
        <v>4405</v>
      </c>
      <c r="B1921" s="57">
        <v>44366.347592592596</v>
      </c>
      <c r="C1921" s="56" t="s">
        <v>3803</v>
      </c>
      <c r="D1921" s="56" t="s">
        <v>3802</v>
      </c>
      <c r="E1921" s="56" t="s">
        <v>4400</v>
      </c>
      <c r="F1921" s="56" t="s">
        <v>4399</v>
      </c>
      <c r="G1921" s="58" t="s">
        <v>3217</v>
      </c>
      <c r="H1921" s="56">
        <v>2</v>
      </c>
      <c r="I1921" s="56" t="s">
        <v>3720</v>
      </c>
      <c r="J1921" s="56">
        <v>59</v>
      </c>
      <c r="K1921" s="56">
        <v>59</v>
      </c>
      <c r="P1921" s="56">
        <v>0</v>
      </c>
      <c r="S1921" s="56">
        <v>0</v>
      </c>
      <c r="T1921" s="56" t="s">
        <v>3562</v>
      </c>
      <c r="V1921" s="56" t="s">
        <v>3561</v>
      </c>
      <c r="W1921" s="56" t="s">
        <v>3548</v>
      </c>
      <c r="X1921" s="56" t="s">
        <v>39</v>
      </c>
      <c r="Y1921" s="56" t="s">
        <v>4205</v>
      </c>
      <c r="Z1921" s="56" t="s">
        <v>4398</v>
      </c>
      <c r="AC1921" s="56" t="s">
        <v>3543</v>
      </c>
      <c r="AD1921" s="56" t="s">
        <v>24</v>
      </c>
      <c r="AE1921" s="56" t="s">
        <v>4145</v>
      </c>
      <c r="AF1921" s="56" t="s">
        <v>4404</v>
      </c>
      <c r="AH1921" s="56" t="s">
        <v>3542</v>
      </c>
      <c r="AI1921" s="56" t="s">
        <v>3723</v>
      </c>
    </row>
    <row r="1922" spans="1:35" ht="33" customHeight="1">
      <c r="A1922" s="56" t="s">
        <v>4405</v>
      </c>
      <c r="B1922" s="57">
        <v>44366.347592592596</v>
      </c>
      <c r="C1922" s="56" t="s">
        <v>3803</v>
      </c>
      <c r="D1922" s="56" t="s">
        <v>3802</v>
      </c>
      <c r="E1922" s="56" t="s">
        <v>4400</v>
      </c>
      <c r="F1922" s="56" t="s">
        <v>4399</v>
      </c>
      <c r="G1922" s="58" t="s">
        <v>1713</v>
      </c>
      <c r="H1922" s="56">
        <v>2</v>
      </c>
      <c r="I1922" s="56" t="s">
        <v>3587</v>
      </c>
      <c r="J1922" s="56">
        <v>149</v>
      </c>
      <c r="K1922" s="56">
        <v>149</v>
      </c>
      <c r="P1922" s="56">
        <v>0</v>
      </c>
      <c r="S1922" s="56">
        <v>0</v>
      </c>
      <c r="T1922" s="56" t="s">
        <v>3562</v>
      </c>
      <c r="V1922" s="56" t="s">
        <v>3561</v>
      </c>
      <c r="W1922" s="56" t="s">
        <v>3548</v>
      </c>
      <c r="X1922" s="56" t="s">
        <v>39</v>
      </c>
      <c r="Y1922" s="56" t="s">
        <v>4205</v>
      </c>
      <c r="Z1922" s="56" t="s">
        <v>4398</v>
      </c>
      <c r="AC1922" s="56" t="s">
        <v>3543</v>
      </c>
      <c r="AD1922" s="56" t="s">
        <v>24</v>
      </c>
      <c r="AE1922" s="56" t="s">
        <v>4145</v>
      </c>
      <c r="AF1922" s="56" t="s">
        <v>4404</v>
      </c>
      <c r="AH1922" s="56" t="s">
        <v>3542</v>
      </c>
      <c r="AI1922" s="56" t="s">
        <v>3723</v>
      </c>
    </row>
    <row r="1923" spans="1:35" ht="33" customHeight="1">
      <c r="A1923" s="56" t="s">
        <v>4405</v>
      </c>
      <c r="B1923" s="57">
        <v>44366.347592592596</v>
      </c>
      <c r="C1923" s="56" t="s">
        <v>3803</v>
      </c>
      <c r="D1923" s="56" t="s">
        <v>3802</v>
      </c>
      <c r="E1923" s="56" t="s">
        <v>4400</v>
      </c>
      <c r="F1923" s="56" t="s">
        <v>4399</v>
      </c>
      <c r="G1923" s="58" t="s">
        <v>3551</v>
      </c>
      <c r="H1923" s="56">
        <v>1</v>
      </c>
      <c r="I1923" s="56" t="s">
        <v>3550</v>
      </c>
      <c r="J1923" s="56">
        <v>0</v>
      </c>
      <c r="K1923" s="56">
        <v>0</v>
      </c>
      <c r="P1923" s="56">
        <v>0</v>
      </c>
      <c r="S1923" s="56">
        <v>0</v>
      </c>
      <c r="T1923" s="56" t="s">
        <v>3562</v>
      </c>
      <c r="V1923" s="56" t="s">
        <v>3561</v>
      </c>
      <c r="W1923" s="56" t="s">
        <v>3548</v>
      </c>
      <c r="X1923" s="56" t="s">
        <v>39</v>
      </c>
      <c r="Y1923" s="56" t="s">
        <v>4205</v>
      </c>
      <c r="Z1923" s="56" t="s">
        <v>4398</v>
      </c>
      <c r="AC1923" s="56" t="s">
        <v>3543</v>
      </c>
      <c r="AD1923" s="56" t="s">
        <v>24</v>
      </c>
      <c r="AE1923" s="56" t="s">
        <v>4145</v>
      </c>
      <c r="AF1923" s="56" t="s">
        <v>4404</v>
      </c>
      <c r="AH1923" s="56" t="s">
        <v>3542</v>
      </c>
      <c r="AI1923" s="56" t="s">
        <v>3723</v>
      </c>
    </row>
    <row r="1924" spans="1:35" ht="33" customHeight="1">
      <c r="A1924" s="56" t="s">
        <v>4405</v>
      </c>
      <c r="B1924" s="57">
        <v>44366.347592592596</v>
      </c>
      <c r="C1924" s="56" t="s">
        <v>3803</v>
      </c>
      <c r="D1924" s="56" t="s">
        <v>3802</v>
      </c>
      <c r="E1924" s="56" t="s">
        <v>4400</v>
      </c>
      <c r="F1924" s="56" t="s">
        <v>4399</v>
      </c>
      <c r="G1924" s="58" t="s">
        <v>1713</v>
      </c>
      <c r="H1924" s="56">
        <v>1</v>
      </c>
      <c r="I1924" s="56" t="s">
        <v>3568</v>
      </c>
      <c r="J1924" s="56">
        <v>0</v>
      </c>
      <c r="K1924" s="56">
        <v>0</v>
      </c>
      <c r="P1924" s="56">
        <v>0</v>
      </c>
      <c r="S1924" s="56">
        <v>0</v>
      </c>
      <c r="T1924" s="56" t="s">
        <v>3562</v>
      </c>
      <c r="V1924" s="56" t="s">
        <v>3561</v>
      </c>
      <c r="W1924" s="56" t="s">
        <v>3548</v>
      </c>
      <c r="X1924" s="56" t="s">
        <v>39</v>
      </c>
      <c r="Y1924" s="56" t="s">
        <v>4205</v>
      </c>
      <c r="Z1924" s="56" t="s">
        <v>4398</v>
      </c>
      <c r="AC1924" s="56" t="s">
        <v>3543</v>
      </c>
      <c r="AD1924" s="56" t="s">
        <v>24</v>
      </c>
      <c r="AE1924" s="56" t="s">
        <v>4145</v>
      </c>
      <c r="AF1924" s="56" t="s">
        <v>4404</v>
      </c>
      <c r="AH1924" s="56" t="s">
        <v>3542</v>
      </c>
      <c r="AI1924" s="56" t="s">
        <v>3723</v>
      </c>
    </row>
    <row r="1925" spans="1:35" ht="33" customHeight="1">
      <c r="A1925" s="56" t="s">
        <v>4405</v>
      </c>
      <c r="B1925" s="57">
        <v>44366.347592592596</v>
      </c>
      <c r="C1925" s="56" t="s">
        <v>3803</v>
      </c>
      <c r="D1925" s="56" t="s">
        <v>3802</v>
      </c>
      <c r="E1925" s="56" t="s">
        <v>4400</v>
      </c>
      <c r="F1925" s="56" t="s">
        <v>4399</v>
      </c>
      <c r="G1925" s="58" t="s">
        <v>1498</v>
      </c>
      <c r="H1925" s="56">
        <v>1</v>
      </c>
      <c r="I1925" s="56" t="s">
        <v>4016</v>
      </c>
      <c r="J1925" s="56">
        <v>0</v>
      </c>
      <c r="K1925" s="56">
        <v>0</v>
      </c>
      <c r="P1925" s="56">
        <v>0</v>
      </c>
      <c r="S1925" s="56">
        <v>0</v>
      </c>
      <c r="T1925" s="56" t="s">
        <v>3562</v>
      </c>
      <c r="V1925" s="56" t="s">
        <v>3561</v>
      </c>
      <c r="W1925" s="56" t="s">
        <v>3548</v>
      </c>
      <c r="X1925" s="56" t="s">
        <v>39</v>
      </c>
      <c r="Y1925" s="56" t="s">
        <v>4205</v>
      </c>
      <c r="Z1925" s="56" t="s">
        <v>4398</v>
      </c>
      <c r="AC1925" s="56" t="s">
        <v>3543</v>
      </c>
      <c r="AD1925" s="56" t="s">
        <v>24</v>
      </c>
      <c r="AE1925" s="56" t="s">
        <v>4145</v>
      </c>
      <c r="AF1925" s="56" t="s">
        <v>4404</v>
      </c>
      <c r="AH1925" s="56" t="s">
        <v>3542</v>
      </c>
      <c r="AI1925" s="56" t="s">
        <v>3723</v>
      </c>
    </row>
    <row r="1926" spans="1:35" ht="33" customHeight="1">
      <c r="A1926" s="56" t="s">
        <v>4401</v>
      </c>
      <c r="B1926" s="57">
        <v>44366.355729166666</v>
      </c>
      <c r="C1926" s="56" t="s">
        <v>3803</v>
      </c>
      <c r="D1926" s="56" t="s">
        <v>3802</v>
      </c>
      <c r="E1926" s="56" t="s">
        <v>4400</v>
      </c>
      <c r="F1926" s="56" t="s">
        <v>4399</v>
      </c>
      <c r="G1926" s="58" t="s">
        <v>4403</v>
      </c>
      <c r="H1926" s="56">
        <v>1</v>
      </c>
      <c r="I1926" s="56" t="s">
        <v>3731</v>
      </c>
      <c r="J1926" s="56">
        <v>867</v>
      </c>
      <c r="K1926" s="56">
        <v>550</v>
      </c>
      <c r="L1926" s="56">
        <v>2005</v>
      </c>
      <c r="M1926" s="56">
        <v>0</v>
      </c>
      <c r="N1926" s="56">
        <v>0</v>
      </c>
      <c r="O1926" s="56">
        <v>154</v>
      </c>
      <c r="P1926" s="56">
        <v>0</v>
      </c>
      <c r="Q1926" s="56">
        <v>1851</v>
      </c>
      <c r="R1926" s="56">
        <v>0</v>
      </c>
      <c r="S1926" s="56">
        <v>0</v>
      </c>
      <c r="T1926" s="56" t="s">
        <v>3562</v>
      </c>
      <c r="U1926" s="56">
        <v>1851</v>
      </c>
      <c r="V1926" s="56" t="s">
        <v>3561</v>
      </c>
      <c r="W1926" s="56" t="s">
        <v>3548</v>
      </c>
      <c r="X1926" s="56" t="s">
        <v>39</v>
      </c>
      <c r="Y1926" s="56" t="s">
        <v>4205</v>
      </c>
      <c r="Z1926" s="56" t="s">
        <v>4398</v>
      </c>
      <c r="AC1926" s="56" t="s">
        <v>3543</v>
      </c>
      <c r="AD1926" s="56" t="s">
        <v>24</v>
      </c>
      <c r="AE1926" s="56" t="s">
        <v>4145</v>
      </c>
      <c r="AF1926" s="56" t="s">
        <v>4397</v>
      </c>
      <c r="AH1926" s="56" t="s">
        <v>3542</v>
      </c>
      <c r="AI1926" s="56" t="s">
        <v>3723</v>
      </c>
    </row>
    <row r="1927" spans="1:35" ht="33" customHeight="1">
      <c r="A1927" s="56" t="s">
        <v>4401</v>
      </c>
      <c r="B1927" s="57">
        <v>44366.355729166666</v>
      </c>
      <c r="C1927" s="56" t="s">
        <v>3803</v>
      </c>
      <c r="D1927" s="56" t="s">
        <v>3802</v>
      </c>
      <c r="E1927" s="56" t="s">
        <v>4400</v>
      </c>
      <c r="F1927" s="56" t="s">
        <v>4399</v>
      </c>
      <c r="G1927" s="58" t="s">
        <v>4402</v>
      </c>
      <c r="H1927" s="56">
        <v>1</v>
      </c>
      <c r="I1927" s="56" t="s">
        <v>3655</v>
      </c>
      <c r="J1927" s="56">
        <v>1107</v>
      </c>
      <c r="K1927" s="56">
        <v>799</v>
      </c>
      <c r="P1927" s="56">
        <v>0</v>
      </c>
      <c r="S1927" s="56">
        <v>0</v>
      </c>
      <c r="T1927" s="56" t="s">
        <v>3562</v>
      </c>
      <c r="V1927" s="56" t="s">
        <v>3561</v>
      </c>
      <c r="W1927" s="56" t="s">
        <v>3548</v>
      </c>
      <c r="X1927" s="56" t="s">
        <v>39</v>
      </c>
      <c r="Y1927" s="56" t="s">
        <v>4205</v>
      </c>
      <c r="Z1927" s="56" t="s">
        <v>4398</v>
      </c>
      <c r="AC1927" s="56" t="s">
        <v>3543</v>
      </c>
      <c r="AD1927" s="56" t="s">
        <v>24</v>
      </c>
      <c r="AE1927" s="56" t="s">
        <v>4145</v>
      </c>
      <c r="AF1927" s="56" t="s">
        <v>4397</v>
      </c>
      <c r="AH1927" s="56" t="s">
        <v>3542</v>
      </c>
      <c r="AI1927" s="56" t="s">
        <v>3723</v>
      </c>
    </row>
    <row r="1928" spans="1:35" ht="33" customHeight="1">
      <c r="A1928" s="56" t="s">
        <v>4401</v>
      </c>
      <c r="B1928" s="57">
        <v>44366.355729166666</v>
      </c>
      <c r="C1928" s="56" t="s">
        <v>3803</v>
      </c>
      <c r="D1928" s="56" t="s">
        <v>3802</v>
      </c>
      <c r="E1928" s="56" t="s">
        <v>4400</v>
      </c>
      <c r="F1928" s="56" t="s">
        <v>4399</v>
      </c>
      <c r="G1928" s="58" t="s">
        <v>3580</v>
      </c>
      <c r="H1928" s="56">
        <v>1</v>
      </c>
      <c r="I1928" s="56" t="s">
        <v>3579</v>
      </c>
      <c r="J1928" s="56">
        <v>336</v>
      </c>
      <c r="K1928" s="56">
        <v>320</v>
      </c>
      <c r="P1928" s="56">
        <v>0</v>
      </c>
      <c r="S1928" s="56">
        <v>0</v>
      </c>
      <c r="T1928" s="56" t="s">
        <v>3562</v>
      </c>
      <c r="V1928" s="56" t="s">
        <v>3561</v>
      </c>
      <c r="W1928" s="56" t="s">
        <v>3548</v>
      </c>
      <c r="X1928" s="56" t="s">
        <v>39</v>
      </c>
      <c r="Y1928" s="56" t="s">
        <v>4205</v>
      </c>
      <c r="Z1928" s="56" t="s">
        <v>4398</v>
      </c>
      <c r="AC1928" s="56" t="s">
        <v>3543</v>
      </c>
      <c r="AD1928" s="56" t="s">
        <v>24</v>
      </c>
      <c r="AE1928" s="56" t="s">
        <v>4145</v>
      </c>
      <c r="AF1928" s="56" t="s">
        <v>4397</v>
      </c>
      <c r="AH1928" s="56" t="s">
        <v>3542</v>
      </c>
      <c r="AI1928" s="56" t="s">
        <v>3723</v>
      </c>
    </row>
    <row r="1929" spans="1:35" ht="33" customHeight="1">
      <c r="A1929" s="56" t="s">
        <v>4401</v>
      </c>
      <c r="B1929" s="57">
        <v>44366.355729166666</v>
      </c>
      <c r="C1929" s="56" t="s">
        <v>3803</v>
      </c>
      <c r="D1929" s="56" t="s">
        <v>3802</v>
      </c>
      <c r="E1929" s="56" t="s">
        <v>4400</v>
      </c>
      <c r="F1929" s="56" t="s">
        <v>4399</v>
      </c>
      <c r="G1929" s="58" t="s">
        <v>2165</v>
      </c>
      <c r="H1929" s="56">
        <v>2</v>
      </c>
      <c r="I1929" s="56" t="s">
        <v>3721</v>
      </c>
      <c r="J1929" s="56">
        <v>109</v>
      </c>
      <c r="K1929" s="56">
        <v>109</v>
      </c>
      <c r="P1929" s="56">
        <v>0</v>
      </c>
      <c r="S1929" s="56">
        <v>0</v>
      </c>
      <c r="T1929" s="56" t="s">
        <v>3562</v>
      </c>
      <c r="V1929" s="56" t="s">
        <v>3561</v>
      </c>
      <c r="W1929" s="56" t="s">
        <v>3548</v>
      </c>
      <c r="X1929" s="56" t="s">
        <v>39</v>
      </c>
      <c r="Y1929" s="56" t="s">
        <v>4205</v>
      </c>
      <c r="Z1929" s="56" t="s">
        <v>4398</v>
      </c>
      <c r="AC1929" s="56" t="s">
        <v>3543</v>
      </c>
      <c r="AD1929" s="56" t="s">
        <v>24</v>
      </c>
      <c r="AE1929" s="56" t="s">
        <v>4145</v>
      </c>
      <c r="AF1929" s="56" t="s">
        <v>4397</v>
      </c>
      <c r="AH1929" s="56" t="s">
        <v>3542</v>
      </c>
      <c r="AI1929" s="56" t="s">
        <v>3723</v>
      </c>
    </row>
    <row r="1930" spans="1:35" ht="33" customHeight="1">
      <c r="A1930" s="56" t="s">
        <v>4401</v>
      </c>
      <c r="B1930" s="57">
        <v>44366.355729166666</v>
      </c>
      <c r="C1930" s="56" t="s">
        <v>3803</v>
      </c>
      <c r="D1930" s="56" t="s">
        <v>3802</v>
      </c>
      <c r="E1930" s="56" t="s">
        <v>4400</v>
      </c>
      <c r="F1930" s="56" t="s">
        <v>4399</v>
      </c>
      <c r="G1930" s="58" t="s">
        <v>3217</v>
      </c>
      <c r="H1930" s="56">
        <v>2</v>
      </c>
      <c r="I1930" s="56" t="s">
        <v>3720</v>
      </c>
      <c r="J1930" s="56">
        <v>59</v>
      </c>
      <c r="K1930" s="56">
        <v>59</v>
      </c>
      <c r="P1930" s="56">
        <v>0</v>
      </c>
      <c r="S1930" s="56">
        <v>0</v>
      </c>
      <c r="T1930" s="56" t="s">
        <v>3562</v>
      </c>
      <c r="V1930" s="56" t="s">
        <v>3561</v>
      </c>
      <c r="W1930" s="56" t="s">
        <v>3548</v>
      </c>
      <c r="X1930" s="56" t="s">
        <v>39</v>
      </c>
      <c r="Y1930" s="56" t="s">
        <v>4205</v>
      </c>
      <c r="Z1930" s="56" t="s">
        <v>4398</v>
      </c>
      <c r="AC1930" s="56" t="s">
        <v>3543</v>
      </c>
      <c r="AD1930" s="56" t="s">
        <v>24</v>
      </c>
      <c r="AE1930" s="56" t="s">
        <v>4145</v>
      </c>
      <c r="AF1930" s="56" t="s">
        <v>4397</v>
      </c>
      <c r="AH1930" s="56" t="s">
        <v>3542</v>
      </c>
      <c r="AI1930" s="56" t="s">
        <v>3723</v>
      </c>
    </row>
    <row r="1931" spans="1:35" ht="33" customHeight="1">
      <c r="A1931" s="56" t="s">
        <v>4401</v>
      </c>
      <c r="B1931" s="57">
        <v>44366.355729166666</v>
      </c>
      <c r="C1931" s="56" t="s">
        <v>3803</v>
      </c>
      <c r="D1931" s="56" t="s">
        <v>3802</v>
      </c>
      <c r="E1931" s="56" t="s">
        <v>4400</v>
      </c>
      <c r="F1931" s="56" t="s">
        <v>4399</v>
      </c>
      <c r="G1931" s="58" t="s">
        <v>3551</v>
      </c>
      <c r="H1931" s="56">
        <v>1</v>
      </c>
      <c r="I1931" s="56" t="s">
        <v>3550</v>
      </c>
      <c r="J1931" s="56">
        <v>0</v>
      </c>
      <c r="K1931" s="56">
        <v>0</v>
      </c>
      <c r="P1931" s="56">
        <v>0</v>
      </c>
      <c r="S1931" s="56">
        <v>0</v>
      </c>
      <c r="T1931" s="56" t="s">
        <v>3562</v>
      </c>
      <c r="V1931" s="56" t="s">
        <v>3561</v>
      </c>
      <c r="W1931" s="56" t="s">
        <v>3548</v>
      </c>
      <c r="X1931" s="56" t="s">
        <v>39</v>
      </c>
      <c r="Y1931" s="56" t="s">
        <v>4205</v>
      </c>
      <c r="Z1931" s="56" t="s">
        <v>4398</v>
      </c>
      <c r="AC1931" s="56" t="s">
        <v>3543</v>
      </c>
      <c r="AD1931" s="56" t="s">
        <v>24</v>
      </c>
      <c r="AE1931" s="56" t="s">
        <v>4145</v>
      </c>
      <c r="AF1931" s="56" t="s">
        <v>4397</v>
      </c>
      <c r="AH1931" s="56" t="s">
        <v>3542</v>
      </c>
      <c r="AI1931" s="56" t="s">
        <v>3723</v>
      </c>
    </row>
    <row r="1932" spans="1:35" ht="33" customHeight="1">
      <c r="A1932" s="56" t="s">
        <v>4401</v>
      </c>
      <c r="B1932" s="57">
        <v>44366.355729166666</v>
      </c>
      <c r="C1932" s="56" t="s">
        <v>3803</v>
      </c>
      <c r="D1932" s="56" t="s">
        <v>3802</v>
      </c>
      <c r="E1932" s="56" t="s">
        <v>4400</v>
      </c>
      <c r="F1932" s="56" t="s">
        <v>4399</v>
      </c>
      <c r="G1932" s="58" t="s">
        <v>1713</v>
      </c>
      <c r="H1932" s="56">
        <v>1</v>
      </c>
      <c r="I1932" s="56" t="s">
        <v>3568</v>
      </c>
      <c r="J1932" s="56">
        <v>0</v>
      </c>
      <c r="K1932" s="56">
        <v>0</v>
      </c>
      <c r="P1932" s="56">
        <v>0</v>
      </c>
      <c r="S1932" s="56">
        <v>0</v>
      </c>
      <c r="T1932" s="56" t="s">
        <v>3562</v>
      </c>
      <c r="V1932" s="56" t="s">
        <v>3561</v>
      </c>
      <c r="W1932" s="56" t="s">
        <v>3548</v>
      </c>
      <c r="X1932" s="56" t="s">
        <v>39</v>
      </c>
      <c r="Y1932" s="56" t="s">
        <v>4205</v>
      </c>
      <c r="Z1932" s="56" t="s">
        <v>4398</v>
      </c>
      <c r="AC1932" s="56" t="s">
        <v>3543</v>
      </c>
      <c r="AD1932" s="56" t="s">
        <v>24</v>
      </c>
      <c r="AE1932" s="56" t="s">
        <v>4145</v>
      </c>
      <c r="AF1932" s="56" t="s">
        <v>4397</v>
      </c>
      <c r="AH1932" s="56" t="s">
        <v>3542</v>
      </c>
      <c r="AI1932" s="56" t="s">
        <v>3723</v>
      </c>
    </row>
    <row r="1933" spans="1:35" ht="33" customHeight="1">
      <c r="A1933" s="56" t="s">
        <v>4401</v>
      </c>
      <c r="B1933" s="57">
        <v>44366.355729166666</v>
      </c>
      <c r="C1933" s="56" t="s">
        <v>3803</v>
      </c>
      <c r="D1933" s="56" t="s">
        <v>3802</v>
      </c>
      <c r="E1933" s="56" t="s">
        <v>4400</v>
      </c>
      <c r="F1933" s="56" t="s">
        <v>4399</v>
      </c>
      <c r="G1933" s="58" t="s">
        <v>1498</v>
      </c>
      <c r="H1933" s="56">
        <v>1</v>
      </c>
      <c r="I1933" s="56" t="s">
        <v>4016</v>
      </c>
      <c r="J1933" s="56">
        <v>0</v>
      </c>
      <c r="K1933" s="56">
        <v>0</v>
      </c>
      <c r="P1933" s="56">
        <v>0</v>
      </c>
      <c r="S1933" s="56">
        <v>0</v>
      </c>
      <c r="T1933" s="56" t="s">
        <v>3562</v>
      </c>
      <c r="V1933" s="56" t="s">
        <v>3561</v>
      </c>
      <c r="W1933" s="56" t="s">
        <v>3548</v>
      </c>
      <c r="X1933" s="56" t="s">
        <v>39</v>
      </c>
      <c r="Y1933" s="56" t="s">
        <v>4205</v>
      </c>
      <c r="Z1933" s="56" t="s">
        <v>4398</v>
      </c>
      <c r="AC1933" s="56" t="s">
        <v>3543</v>
      </c>
      <c r="AD1933" s="56" t="s">
        <v>24</v>
      </c>
      <c r="AE1933" s="56" t="s">
        <v>4145</v>
      </c>
      <c r="AF1933" s="56" t="s">
        <v>4397</v>
      </c>
      <c r="AH1933" s="56" t="s">
        <v>3542</v>
      </c>
      <c r="AI1933" s="56" t="s">
        <v>3723</v>
      </c>
    </row>
    <row r="1934" spans="1:35" ht="33" customHeight="1">
      <c r="A1934" s="56" t="s">
        <v>4401</v>
      </c>
      <c r="B1934" s="57">
        <v>44366.355729166666</v>
      </c>
      <c r="C1934" s="56" t="s">
        <v>3803</v>
      </c>
      <c r="D1934" s="56" t="s">
        <v>3802</v>
      </c>
      <c r="E1934" s="56" t="s">
        <v>4400</v>
      </c>
      <c r="F1934" s="56" t="s">
        <v>4399</v>
      </c>
      <c r="G1934" s="58" t="s">
        <v>3564</v>
      </c>
      <c r="H1934" s="56">
        <v>1</v>
      </c>
      <c r="I1934" s="56" t="s">
        <v>3563</v>
      </c>
      <c r="J1934" s="56">
        <v>0</v>
      </c>
      <c r="K1934" s="56">
        <v>0</v>
      </c>
      <c r="P1934" s="56">
        <v>0</v>
      </c>
      <c r="S1934" s="56">
        <v>0</v>
      </c>
      <c r="T1934" s="56" t="s">
        <v>3562</v>
      </c>
      <c r="V1934" s="56" t="s">
        <v>3561</v>
      </c>
      <c r="W1934" s="56" t="s">
        <v>3548</v>
      </c>
      <c r="X1934" s="56" t="s">
        <v>39</v>
      </c>
      <c r="Y1934" s="56" t="s">
        <v>4205</v>
      </c>
      <c r="Z1934" s="56" t="s">
        <v>4398</v>
      </c>
      <c r="AC1934" s="56" t="s">
        <v>3543</v>
      </c>
      <c r="AD1934" s="56" t="s">
        <v>24</v>
      </c>
      <c r="AE1934" s="56" t="s">
        <v>4145</v>
      </c>
      <c r="AF1934" s="56" t="s">
        <v>4397</v>
      </c>
      <c r="AH1934" s="56" t="s">
        <v>3542</v>
      </c>
      <c r="AI1934" s="56" t="s">
        <v>3723</v>
      </c>
    </row>
    <row r="1935" spans="1:35" ht="33" customHeight="1">
      <c r="A1935" s="56" t="s">
        <v>4396</v>
      </c>
      <c r="B1935" s="57">
        <v>44366.373194444444</v>
      </c>
      <c r="C1935" s="56" t="s">
        <v>3803</v>
      </c>
      <c r="D1935" s="56" t="s">
        <v>3802</v>
      </c>
      <c r="E1935" s="56" t="s">
        <v>4395</v>
      </c>
      <c r="F1935" s="56" t="s">
        <v>4394</v>
      </c>
      <c r="G1935" s="58" t="s">
        <v>3747</v>
      </c>
      <c r="H1935" s="56">
        <v>1</v>
      </c>
      <c r="I1935" s="56" t="s">
        <v>3746</v>
      </c>
      <c r="J1935" s="56">
        <v>660</v>
      </c>
      <c r="K1935" s="56">
        <v>450</v>
      </c>
      <c r="L1935" s="56">
        <v>1257</v>
      </c>
      <c r="M1935" s="56">
        <v>0</v>
      </c>
      <c r="N1935" s="56">
        <v>0</v>
      </c>
      <c r="O1935" s="56">
        <v>100</v>
      </c>
      <c r="P1935" s="56">
        <v>0</v>
      </c>
      <c r="Q1935" s="56">
        <v>1157</v>
      </c>
      <c r="R1935" s="56">
        <v>0</v>
      </c>
      <c r="S1935" s="56">
        <v>0</v>
      </c>
      <c r="T1935" s="56" t="s">
        <v>3562</v>
      </c>
      <c r="U1935" s="56">
        <v>1157</v>
      </c>
      <c r="V1935" s="56" t="s">
        <v>3561</v>
      </c>
      <c r="W1935" s="56" t="s">
        <v>3548</v>
      </c>
      <c r="X1935" s="56" t="s">
        <v>39</v>
      </c>
      <c r="Y1935" s="56" t="s">
        <v>4393</v>
      </c>
      <c r="Z1935" s="56" t="s">
        <v>4392</v>
      </c>
      <c r="AC1935" s="56" t="s">
        <v>3543</v>
      </c>
      <c r="AD1935" s="56" t="s">
        <v>24</v>
      </c>
      <c r="AE1935" s="56" t="s">
        <v>4145</v>
      </c>
      <c r="AF1935" s="56" t="s">
        <v>4391</v>
      </c>
      <c r="AH1935" s="56" t="s">
        <v>3542</v>
      </c>
      <c r="AI1935" s="56" t="s">
        <v>3723</v>
      </c>
    </row>
    <row r="1936" spans="1:35" ht="33" customHeight="1">
      <c r="A1936" s="56" t="s">
        <v>4396</v>
      </c>
      <c r="B1936" s="57">
        <v>44366.373194444444</v>
      </c>
      <c r="C1936" s="56" t="s">
        <v>3803</v>
      </c>
      <c r="D1936" s="56" t="s">
        <v>3802</v>
      </c>
      <c r="E1936" s="56" t="s">
        <v>4395</v>
      </c>
      <c r="F1936" s="56" t="s">
        <v>4394</v>
      </c>
      <c r="G1936" s="58" t="s">
        <v>1493</v>
      </c>
      <c r="H1936" s="56">
        <v>1</v>
      </c>
      <c r="I1936" s="56" t="s">
        <v>3601</v>
      </c>
      <c r="J1936" s="56">
        <v>135</v>
      </c>
      <c r="K1936" s="56">
        <v>135</v>
      </c>
      <c r="P1936" s="56">
        <v>0</v>
      </c>
      <c r="S1936" s="56">
        <v>0</v>
      </c>
      <c r="T1936" s="56" t="s">
        <v>3562</v>
      </c>
      <c r="V1936" s="56" t="s">
        <v>3561</v>
      </c>
      <c r="W1936" s="56" t="s">
        <v>3548</v>
      </c>
      <c r="X1936" s="56" t="s">
        <v>39</v>
      </c>
      <c r="Y1936" s="56" t="s">
        <v>4393</v>
      </c>
      <c r="Z1936" s="56" t="s">
        <v>4392</v>
      </c>
      <c r="AC1936" s="56" t="s">
        <v>3543</v>
      </c>
      <c r="AD1936" s="56" t="s">
        <v>24</v>
      </c>
      <c r="AE1936" s="56" t="s">
        <v>4145</v>
      </c>
      <c r="AF1936" s="56" t="s">
        <v>4391</v>
      </c>
      <c r="AH1936" s="56" t="s">
        <v>3542</v>
      </c>
      <c r="AI1936" s="56" t="s">
        <v>3723</v>
      </c>
    </row>
    <row r="1937" spans="1:35" ht="33" customHeight="1">
      <c r="A1937" s="56" t="s">
        <v>4396</v>
      </c>
      <c r="B1937" s="57">
        <v>44366.373194444444</v>
      </c>
      <c r="C1937" s="56" t="s">
        <v>3803</v>
      </c>
      <c r="D1937" s="56" t="s">
        <v>3802</v>
      </c>
      <c r="E1937" s="56" t="s">
        <v>4395</v>
      </c>
      <c r="F1937" s="56" t="s">
        <v>4394</v>
      </c>
      <c r="G1937" s="58" t="s">
        <v>3603</v>
      </c>
      <c r="H1937" s="56">
        <v>1</v>
      </c>
      <c r="I1937" s="56" t="s">
        <v>3602</v>
      </c>
      <c r="J1937" s="56">
        <v>447</v>
      </c>
      <c r="K1937" s="56">
        <v>399</v>
      </c>
      <c r="P1937" s="56">
        <v>0</v>
      </c>
      <c r="S1937" s="56">
        <v>0</v>
      </c>
      <c r="T1937" s="56" t="s">
        <v>3562</v>
      </c>
      <c r="V1937" s="56" t="s">
        <v>3561</v>
      </c>
      <c r="W1937" s="56" t="s">
        <v>3548</v>
      </c>
      <c r="X1937" s="56" t="s">
        <v>39</v>
      </c>
      <c r="Y1937" s="56" t="s">
        <v>4393</v>
      </c>
      <c r="Z1937" s="56" t="s">
        <v>4392</v>
      </c>
      <c r="AC1937" s="56" t="s">
        <v>3543</v>
      </c>
      <c r="AD1937" s="56" t="s">
        <v>24</v>
      </c>
      <c r="AE1937" s="56" t="s">
        <v>4145</v>
      </c>
      <c r="AF1937" s="56" t="s">
        <v>4391</v>
      </c>
      <c r="AH1937" s="56" t="s">
        <v>3542</v>
      </c>
      <c r="AI1937" s="56" t="s">
        <v>3723</v>
      </c>
    </row>
    <row r="1938" spans="1:35" ht="33" customHeight="1">
      <c r="A1938" s="56" t="s">
        <v>4396</v>
      </c>
      <c r="B1938" s="57">
        <v>44366.373194444444</v>
      </c>
      <c r="C1938" s="56" t="s">
        <v>3803</v>
      </c>
      <c r="D1938" s="56" t="s">
        <v>3802</v>
      </c>
      <c r="E1938" s="56" t="s">
        <v>4395</v>
      </c>
      <c r="F1938" s="56" t="s">
        <v>4394</v>
      </c>
      <c r="G1938" s="58" t="s">
        <v>2156</v>
      </c>
      <c r="H1938" s="56">
        <v>1</v>
      </c>
      <c r="I1938" s="56" t="s">
        <v>1376</v>
      </c>
      <c r="J1938" s="56">
        <v>145</v>
      </c>
      <c r="K1938" s="56">
        <v>145</v>
      </c>
      <c r="P1938" s="56">
        <v>0</v>
      </c>
      <c r="S1938" s="56">
        <v>0</v>
      </c>
      <c r="T1938" s="56" t="s">
        <v>3562</v>
      </c>
      <c r="V1938" s="56" t="s">
        <v>3561</v>
      </c>
      <c r="W1938" s="56" t="s">
        <v>3548</v>
      </c>
      <c r="X1938" s="56" t="s">
        <v>39</v>
      </c>
      <c r="Y1938" s="56" t="s">
        <v>4393</v>
      </c>
      <c r="Z1938" s="56" t="s">
        <v>4392</v>
      </c>
      <c r="AC1938" s="56" t="s">
        <v>3543</v>
      </c>
      <c r="AD1938" s="56" t="s">
        <v>24</v>
      </c>
      <c r="AE1938" s="56" t="s">
        <v>4145</v>
      </c>
      <c r="AF1938" s="56" t="s">
        <v>4391</v>
      </c>
      <c r="AH1938" s="56" t="s">
        <v>3542</v>
      </c>
      <c r="AI1938" s="56" t="s">
        <v>3723</v>
      </c>
    </row>
    <row r="1939" spans="1:35" ht="33" customHeight="1">
      <c r="A1939" s="56" t="s">
        <v>4396</v>
      </c>
      <c r="B1939" s="57">
        <v>44366.373194444444</v>
      </c>
      <c r="C1939" s="56" t="s">
        <v>3803</v>
      </c>
      <c r="D1939" s="56" t="s">
        <v>3802</v>
      </c>
      <c r="E1939" s="56" t="s">
        <v>4395</v>
      </c>
      <c r="F1939" s="56" t="s">
        <v>4394</v>
      </c>
      <c r="G1939" s="58" t="s">
        <v>2161</v>
      </c>
      <c r="H1939" s="56">
        <v>1</v>
      </c>
      <c r="I1939" s="56" t="s">
        <v>3694</v>
      </c>
      <c r="J1939" s="56">
        <v>128</v>
      </c>
      <c r="K1939" s="56">
        <v>128</v>
      </c>
      <c r="P1939" s="56">
        <v>0</v>
      </c>
      <c r="S1939" s="56">
        <v>0</v>
      </c>
      <c r="T1939" s="56" t="s">
        <v>3562</v>
      </c>
      <c r="V1939" s="56" t="s">
        <v>3561</v>
      </c>
      <c r="W1939" s="56" t="s">
        <v>3548</v>
      </c>
      <c r="X1939" s="56" t="s">
        <v>39</v>
      </c>
      <c r="Y1939" s="56" t="s">
        <v>4393</v>
      </c>
      <c r="Z1939" s="56" t="s">
        <v>4392</v>
      </c>
      <c r="AC1939" s="56" t="s">
        <v>3543</v>
      </c>
      <c r="AD1939" s="56" t="s">
        <v>24</v>
      </c>
      <c r="AE1939" s="56" t="s">
        <v>4145</v>
      </c>
      <c r="AF1939" s="56" t="s">
        <v>4391</v>
      </c>
      <c r="AH1939" s="56" t="s">
        <v>3542</v>
      </c>
      <c r="AI1939" s="56" t="s">
        <v>3723</v>
      </c>
    </row>
    <row r="1940" spans="1:35" ht="33" customHeight="1">
      <c r="A1940" s="56" t="s">
        <v>4396</v>
      </c>
      <c r="B1940" s="57">
        <v>44366.373194444444</v>
      </c>
      <c r="C1940" s="56" t="s">
        <v>3803</v>
      </c>
      <c r="D1940" s="56" t="s">
        <v>3802</v>
      </c>
      <c r="E1940" s="56" t="s">
        <v>4395</v>
      </c>
      <c r="F1940" s="56" t="s">
        <v>4394</v>
      </c>
      <c r="G1940" s="58" t="s">
        <v>3551</v>
      </c>
      <c r="H1940" s="56">
        <v>1</v>
      </c>
      <c r="I1940" s="56" t="s">
        <v>3550</v>
      </c>
      <c r="J1940" s="56">
        <v>0</v>
      </c>
      <c r="K1940" s="56">
        <v>0</v>
      </c>
      <c r="P1940" s="56">
        <v>0</v>
      </c>
      <c r="S1940" s="56">
        <v>0</v>
      </c>
      <c r="T1940" s="56" t="s">
        <v>3562</v>
      </c>
      <c r="V1940" s="56" t="s">
        <v>3561</v>
      </c>
      <c r="W1940" s="56" t="s">
        <v>3548</v>
      </c>
      <c r="X1940" s="56" t="s">
        <v>39</v>
      </c>
      <c r="Y1940" s="56" t="s">
        <v>4393</v>
      </c>
      <c r="Z1940" s="56" t="s">
        <v>4392</v>
      </c>
      <c r="AC1940" s="56" t="s">
        <v>3543</v>
      </c>
      <c r="AD1940" s="56" t="s">
        <v>24</v>
      </c>
      <c r="AE1940" s="56" t="s">
        <v>4145</v>
      </c>
      <c r="AF1940" s="56" t="s">
        <v>4391</v>
      </c>
      <c r="AH1940" s="56" t="s">
        <v>3542</v>
      </c>
      <c r="AI1940" s="56" t="s">
        <v>3723</v>
      </c>
    </row>
    <row r="1941" spans="1:35" ht="33" customHeight="1">
      <c r="A1941" s="56" t="s">
        <v>4396</v>
      </c>
      <c r="B1941" s="57">
        <v>44366.373194444444</v>
      </c>
      <c r="C1941" s="56" t="s">
        <v>3803</v>
      </c>
      <c r="D1941" s="56" t="s">
        <v>3802</v>
      </c>
      <c r="E1941" s="56" t="s">
        <v>4395</v>
      </c>
      <c r="F1941" s="56" t="s">
        <v>4394</v>
      </c>
      <c r="G1941" s="58" t="s">
        <v>1498</v>
      </c>
      <c r="H1941" s="56">
        <v>1</v>
      </c>
      <c r="I1941" s="56" t="s">
        <v>4016</v>
      </c>
      <c r="J1941" s="56">
        <v>0</v>
      </c>
      <c r="K1941" s="56">
        <v>0</v>
      </c>
      <c r="P1941" s="56">
        <v>0</v>
      </c>
      <c r="S1941" s="56">
        <v>0</v>
      </c>
      <c r="T1941" s="56" t="s">
        <v>3562</v>
      </c>
      <c r="V1941" s="56" t="s">
        <v>3561</v>
      </c>
      <c r="W1941" s="56" t="s">
        <v>3548</v>
      </c>
      <c r="X1941" s="56" t="s">
        <v>39</v>
      </c>
      <c r="Y1941" s="56" t="s">
        <v>4393</v>
      </c>
      <c r="Z1941" s="56" t="s">
        <v>4392</v>
      </c>
      <c r="AC1941" s="56" t="s">
        <v>3543</v>
      </c>
      <c r="AD1941" s="56" t="s">
        <v>24</v>
      </c>
      <c r="AE1941" s="56" t="s">
        <v>4145</v>
      </c>
      <c r="AF1941" s="56" t="s">
        <v>4391</v>
      </c>
      <c r="AH1941" s="56" t="s">
        <v>3542</v>
      </c>
      <c r="AI1941" s="56" t="s">
        <v>3723</v>
      </c>
    </row>
    <row r="1942" spans="1:35" ht="33" customHeight="1">
      <c r="A1942" s="56" t="s">
        <v>4389</v>
      </c>
      <c r="B1942" s="57">
        <v>44366.383773148147</v>
      </c>
      <c r="C1942" s="56" t="s">
        <v>3803</v>
      </c>
      <c r="D1942" s="56" t="s">
        <v>3802</v>
      </c>
      <c r="E1942" s="56" t="s">
        <v>4388</v>
      </c>
      <c r="F1942" s="56" t="s">
        <v>4387</v>
      </c>
      <c r="G1942" s="58" t="s">
        <v>3580</v>
      </c>
      <c r="H1942" s="56">
        <v>1</v>
      </c>
      <c r="I1942" s="56" t="s">
        <v>3579</v>
      </c>
      <c r="J1942" s="56">
        <v>336</v>
      </c>
      <c r="K1942" s="56">
        <v>320</v>
      </c>
      <c r="L1942" s="56">
        <v>1109</v>
      </c>
      <c r="M1942" s="56">
        <v>0</v>
      </c>
      <c r="N1942" s="56">
        <v>0</v>
      </c>
      <c r="O1942" s="56">
        <v>100</v>
      </c>
      <c r="P1942" s="56">
        <v>0</v>
      </c>
      <c r="Q1942" s="56">
        <v>1009</v>
      </c>
      <c r="R1942" s="56">
        <v>0</v>
      </c>
      <c r="S1942" s="56">
        <v>0</v>
      </c>
      <c r="T1942" s="56" t="s">
        <v>3562</v>
      </c>
      <c r="U1942" s="56">
        <v>1009</v>
      </c>
      <c r="V1942" s="56" t="s">
        <v>3561</v>
      </c>
      <c r="W1942" s="56" t="s">
        <v>3548</v>
      </c>
      <c r="X1942" s="56" t="s">
        <v>39</v>
      </c>
      <c r="Y1942" s="56" t="s">
        <v>4386</v>
      </c>
      <c r="Z1942" s="56" t="s">
        <v>4385</v>
      </c>
      <c r="AC1942" s="56" t="s">
        <v>3543</v>
      </c>
      <c r="AD1942" s="56" t="s">
        <v>24</v>
      </c>
      <c r="AE1942" s="56" t="s">
        <v>4145</v>
      </c>
      <c r="AF1942" s="56" t="s">
        <v>4384</v>
      </c>
      <c r="AH1942" s="56" t="s">
        <v>3542</v>
      </c>
      <c r="AI1942" s="56" t="s">
        <v>3723</v>
      </c>
    </row>
    <row r="1943" spans="1:35" ht="33" customHeight="1">
      <c r="A1943" s="56" t="s">
        <v>4389</v>
      </c>
      <c r="B1943" s="57">
        <v>44366.383773148147</v>
      </c>
      <c r="C1943" s="56" t="s">
        <v>3803</v>
      </c>
      <c r="D1943" s="56" t="s">
        <v>3802</v>
      </c>
      <c r="E1943" s="56" t="s">
        <v>4388</v>
      </c>
      <c r="F1943" s="56" t="s">
        <v>4387</v>
      </c>
      <c r="G1943" s="58" t="s">
        <v>4070</v>
      </c>
      <c r="H1943" s="56">
        <v>1</v>
      </c>
      <c r="I1943" s="56" t="s">
        <v>3602</v>
      </c>
      <c r="J1943" s="56">
        <v>447</v>
      </c>
      <c r="K1943" s="56">
        <v>399</v>
      </c>
      <c r="P1943" s="56">
        <v>0</v>
      </c>
      <c r="S1943" s="56">
        <v>0</v>
      </c>
      <c r="T1943" s="56" t="s">
        <v>3562</v>
      </c>
      <c r="V1943" s="56" t="s">
        <v>3561</v>
      </c>
      <c r="W1943" s="56" t="s">
        <v>3548</v>
      </c>
      <c r="X1943" s="56" t="s">
        <v>39</v>
      </c>
      <c r="Y1943" s="56" t="s">
        <v>4386</v>
      </c>
      <c r="Z1943" s="56" t="s">
        <v>4385</v>
      </c>
      <c r="AC1943" s="56" t="s">
        <v>3543</v>
      </c>
      <c r="AD1943" s="56" t="s">
        <v>24</v>
      </c>
      <c r="AE1943" s="56" t="s">
        <v>4145</v>
      </c>
      <c r="AF1943" s="56" t="s">
        <v>4384</v>
      </c>
      <c r="AH1943" s="56" t="s">
        <v>3542</v>
      </c>
      <c r="AI1943" s="56" t="s">
        <v>3723</v>
      </c>
    </row>
    <row r="1944" spans="1:35" ht="33" customHeight="1">
      <c r="A1944" s="56" t="s">
        <v>4389</v>
      </c>
      <c r="B1944" s="57">
        <v>44366.383773148147</v>
      </c>
      <c r="C1944" s="56" t="s">
        <v>3803</v>
      </c>
      <c r="D1944" s="56" t="s">
        <v>3802</v>
      </c>
      <c r="E1944" s="56" t="s">
        <v>4388</v>
      </c>
      <c r="F1944" s="56" t="s">
        <v>4387</v>
      </c>
      <c r="G1944" s="58" t="s">
        <v>4390</v>
      </c>
      <c r="H1944" s="56">
        <v>1</v>
      </c>
      <c r="I1944" s="56" t="s">
        <v>3769</v>
      </c>
      <c r="J1944" s="56">
        <v>405</v>
      </c>
      <c r="K1944" s="56">
        <v>390</v>
      </c>
      <c r="P1944" s="56">
        <v>0</v>
      </c>
      <c r="S1944" s="56">
        <v>0</v>
      </c>
      <c r="T1944" s="56" t="s">
        <v>3562</v>
      </c>
      <c r="V1944" s="56" t="s">
        <v>3561</v>
      </c>
      <c r="W1944" s="56" t="s">
        <v>3548</v>
      </c>
      <c r="X1944" s="56" t="s">
        <v>39</v>
      </c>
      <c r="Y1944" s="56" t="s">
        <v>4386</v>
      </c>
      <c r="Z1944" s="56" t="s">
        <v>4385</v>
      </c>
      <c r="AC1944" s="56" t="s">
        <v>3543</v>
      </c>
      <c r="AD1944" s="56" t="s">
        <v>24</v>
      </c>
      <c r="AE1944" s="56" t="s">
        <v>4145</v>
      </c>
      <c r="AF1944" s="56" t="s">
        <v>4384</v>
      </c>
      <c r="AH1944" s="56" t="s">
        <v>3542</v>
      </c>
      <c r="AI1944" s="56" t="s">
        <v>3723</v>
      </c>
    </row>
    <row r="1945" spans="1:35" ht="33" customHeight="1">
      <c r="A1945" s="56" t="s">
        <v>4389</v>
      </c>
      <c r="B1945" s="57">
        <v>44366.383773148147</v>
      </c>
      <c r="C1945" s="56" t="s">
        <v>3803</v>
      </c>
      <c r="D1945" s="56" t="s">
        <v>3802</v>
      </c>
      <c r="E1945" s="56" t="s">
        <v>4388</v>
      </c>
      <c r="F1945" s="56" t="s">
        <v>4387</v>
      </c>
      <c r="G1945" s="58" t="s">
        <v>3551</v>
      </c>
      <c r="H1945" s="56">
        <v>1</v>
      </c>
      <c r="I1945" s="56" t="s">
        <v>3550</v>
      </c>
      <c r="J1945" s="56">
        <v>0</v>
      </c>
      <c r="K1945" s="56">
        <v>0</v>
      </c>
      <c r="P1945" s="56">
        <v>0</v>
      </c>
      <c r="S1945" s="56">
        <v>0</v>
      </c>
      <c r="T1945" s="56" t="s">
        <v>3562</v>
      </c>
      <c r="V1945" s="56" t="s">
        <v>3561</v>
      </c>
      <c r="W1945" s="56" t="s">
        <v>3548</v>
      </c>
      <c r="X1945" s="56" t="s">
        <v>39</v>
      </c>
      <c r="Y1945" s="56" t="s">
        <v>4386</v>
      </c>
      <c r="Z1945" s="56" t="s">
        <v>4385</v>
      </c>
      <c r="AC1945" s="56" t="s">
        <v>3543</v>
      </c>
      <c r="AD1945" s="56" t="s">
        <v>24</v>
      </c>
      <c r="AE1945" s="56" t="s">
        <v>4145</v>
      </c>
      <c r="AF1945" s="56" t="s">
        <v>4384</v>
      </c>
      <c r="AH1945" s="56" t="s">
        <v>3542</v>
      </c>
      <c r="AI1945" s="56" t="s">
        <v>3723</v>
      </c>
    </row>
    <row r="1946" spans="1:35" ht="33" customHeight="1">
      <c r="A1946" s="56" t="s">
        <v>4389</v>
      </c>
      <c r="B1946" s="57">
        <v>44366.383773148147</v>
      </c>
      <c r="C1946" s="56" t="s">
        <v>3803</v>
      </c>
      <c r="D1946" s="56" t="s">
        <v>3802</v>
      </c>
      <c r="E1946" s="56" t="s">
        <v>4388</v>
      </c>
      <c r="F1946" s="56" t="s">
        <v>4387</v>
      </c>
      <c r="G1946" s="58" t="s">
        <v>1498</v>
      </c>
      <c r="H1946" s="56">
        <v>1</v>
      </c>
      <c r="I1946" s="56" t="s">
        <v>4016</v>
      </c>
      <c r="J1946" s="56">
        <v>0</v>
      </c>
      <c r="K1946" s="56">
        <v>0</v>
      </c>
      <c r="P1946" s="56">
        <v>0</v>
      </c>
      <c r="S1946" s="56">
        <v>0</v>
      </c>
      <c r="T1946" s="56" t="s">
        <v>3562</v>
      </c>
      <c r="V1946" s="56" t="s">
        <v>3561</v>
      </c>
      <c r="W1946" s="56" t="s">
        <v>3548</v>
      </c>
      <c r="X1946" s="56" t="s">
        <v>39</v>
      </c>
      <c r="Y1946" s="56" t="s">
        <v>4386</v>
      </c>
      <c r="Z1946" s="56" t="s">
        <v>4385</v>
      </c>
      <c r="AC1946" s="56" t="s">
        <v>3543</v>
      </c>
      <c r="AD1946" s="56" t="s">
        <v>24</v>
      </c>
      <c r="AE1946" s="56" t="s">
        <v>4145</v>
      </c>
      <c r="AF1946" s="56" t="s">
        <v>4384</v>
      </c>
      <c r="AH1946" s="56" t="s">
        <v>3542</v>
      </c>
      <c r="AI1946" s="56" t="s">
        <v>3723</v>
      </c>
    </row>
    <row r="1947" spans="1:35" ht="33" customHeight="1">
      <c r="A1947" s="56" t="s">
        <v>4383</v>
      </c>
      <c r="B1947" s="57">
        <v>44366.392604166664</v>
      </c>
      <c r="C1947" s="56" t="s">
        <v>3803</v>
      </c>
      <c r="D1947" s="56" t="s">
        <v>3802</v>
      </c>
      <c r="E1947" s="56" t="s">
        <v>4382</v>
      </c>
      <c r="F1947" s="56" t="s">
        <v>4381</v>
      </c>
      <c r="G1947" s="58" t="s">
        <v>3811</v>
      </c>
      <c r="H1947" s="56">
        <v>1</v>
      </c>
      <c r="I1947" s="56" t="s">
        <v>3669</v>
      </c>
      <c r="J1947" s="56">
        <v>897</v>
      </c>
      <c r="K1947" s="56">
        <v>888</v>
      </c>
      <c r="L1947" s="56">
        <v>1338</v>
      </c>
      <c r="M1947" s="56">
        <v>0</v>
      </c>
      <c r="N1947" s="56">
        <v>0</v>
      </c>
      <c r="O1947" s="56">
        <v>100</v>
      </c>
      <c r="P1947" s="56">
        <v>0</v>
      </c>
      <c r="Q1947" s="56">
        <v>1238</v>
      </c>
      <c r="R1947" s="56">
        <v>0</v>
      </c>
      <c r="S1947" s="56">
        <v>0</v>
      </c>
      <c r="T1947" s="56" t="s">
        <v>3562</v>
      </c>
      <c r="U1947" s="56">
        <v>1238</v>
      </c>
      <c r="V1947" s="56" t="s">
        <v>3561</v>
      </c>
      <c r="W1947" s="56" t="s">
        <v>3548</v>
      </c>
      <c r="X1947" s="56" t="s">
        <v>39</v>
      </c>
      <c r="Y1947" s="56" t="s">
        <v>4133</v>
      </c>
      <c r="Z1947" s="56" t="s">
        <v>4380</v>
      </c>
      <c r="AC1947" s="56" t="s">
        <v>3543</v>
      </c>
      <c r="AD1947" s="56" t="s">
        <v>24</v>
      </c>
      <c r="AE1947" s="56" t="s">
        <v>4145</v>
      </c>
      <c r="AF1947" s="56" t="s">
        <v>4379</v>
      </c>
      <c r="AH1947" s="56" t="s">
        <v>3542</v>
      </c>
      <c r="AI1947" s="56" t="s">
        <v>3723</v>
      </c>
    </row>
    <row r="1948" spans="1:35" ht="33" customHeight="1">
      <c r="A1948" s="56" t="s">
        <v>4383</v>
      </c>
      <c r="B1948" s="57">
        <v>44366.392604166664</v>
      </c>
      <c r="C1948" s="56" t="s">
        <v>3803</v>
      </c>
      <c r="D1948" s="56" t="s">
        <v>3802</v>
      </c>
      <c r="E1948" s="56" t="s">
        <v>4382</v>
      </c>
      <c r="F1948" s="56" t="s">
        <v>4381</v>
      </c>
      <c r="G1948" s="58" t="s">
        <v>3747</v>
      </c>
      <c r="H1948" s="56">
        <v>1</v>
      </c>
      <c r="I1948" s="56" t="s">
        <v>3746</v>
      </c>
      <c r="J1948" s="56">
        <v>660</v>
      </c>
      <c r="K1948" s="56">
        <v>450</v>
      </c>
      <c r="P1948" s="56">
        <v>0</v>
      </c>
      <c r="S1948" s="56">
        <v>0</v>
      </c>
      <c r="T1948" s="56" t="s">
        <v>3562</v>
      </c>
      <c r="V1948" s="56" t="s">
        <v>3561</v>
      </c>
      <c r="W1948" s="56" t="s">
        <v>3548</v>
      </c>
      <c r="X1948" s="56" t="s">
        <v>39</v>
      </c>
      <c r="Y1948" s="56" t="s">
        <v>4133</v>
      </c>
      <c r="Z1948" s="56" t="s">
        <v>4380</v>
      </c>
      <c r="AC1948" s="56" t="s">
        <v>3543</v>
      </c>
      <c r="AD1948" s="56" t="s">
        <v>24</v>
      </c>
      <c r="AE1948" s="56" t="s">
        <v>4145</v>
      </c>
      <c r="AF1948" s="56" t="s">
        <v>4379</v>
      </c>
      <c r="AH1948" s="56" t="s">
        <v>3542</v>
      </c>
      <c r="AI1948" s="56" t="s">
        <v>3723</v>
      </c>
    </row>
    <row r="1949" spans="1:35" ht="33" customHeight="1">
      <c r="A1949" s="56" t="s">
        <v>4383</v>
      </c>
      <c r="B1949" s="57">
        <v>44366.392604166664</v>
      </c>
      <c r="C1949" s="56" t="s">
        <v>3803</v>
      </c>
      <c r="D1949" s="56" t="s">
        <v>3802</v>
      </c>
      <c r="E1949" s="56" t="s">
        <v>4382</v>
      </c>
      <c r="F1949" s="56" t="s">
        <v>4381</v>
      </c>
      <c r="G1949" s="58" t="s">
        <v>3551</v>
      </c>
      <c r="H1949" s="56">
        <v>1</v>
      </c>
      <c r="I1949" s="56" t="s">
        <v>3550</v>
      </c>
      <c r="J1949" s="56">
        <v>0</v>
      </c>
      <c r="K1949" s="56">
        <v>0</v>
      </c>
      <c r="P1949" s="56">
        <v>0</v>
      </c>
      <c r="S1949" s="56">
        <v>0</v>
      </c>
      <c r="T1949" s="56" t="s">
        <v>3562</v>
      </c>
      <c r="V1949" s="56" t="s">
        <v>3561</v>
      </c>
      <c r="W1949" s="56" t="s">
        <v>3548</v>
      </c>
      <c r="X1949" s="56" t="s">
        <v>39</v>
      </c>
      <c r="Y1949" s="56" t="s">
        <v>4133</v>
      </c>
      <c r="Z1949" s="56" t="s">
        <v>4380</v>
      </c>
      <c r="AC1949" s="56" t="s">
        <v>3543</v>
      </c>
      <c r="AD1949" s="56" t="s">
        <v>24</v>
      </c>
      <c r="AE1949" s="56" t="s">
        <v>4145</v>
      </c>
      <c r="AF1949" s="56" t="s">
        <v>4379</v>
      </c>
      <c r="AH1949" s="56" t="s">
        <v>3542</v>
      </c>
      <c r="AI1949" s="56" t="s">
        <v>3723</v>
      </c>
    </row>
    <row r="1950" spans="1:35" ht="33" customHeight="1">
      <c r="A1950" s="56" t="s">
        <v>4383</v>
      </c>
      <c r="B1950" s="57">
        <v>44366.392604166664</v>
      </c>
      <c r="C1950" s="56" t="s">
        <v>3803</v>
      </c>
      <c r="D1950" s="56" t="s">
        <v>3802</v>
      </c>
      <c r="E1950" s="56" t="s">
        <v>4382</v>
      </c>
      <c r="F1950" s="56" t="s">
        <v>4381</v>
      </c>
      <c r="G1950" s="58" t="s">
        <v>1498</v>
      </c>
      <c r="H1950" s="56">
        <v>1</v>
      </c>
      <c r="I1950" s="56" t="s">
        <v>4016</v>
      </c>
      <c r="J1950" s="56">
        <v>0</v>
      </c>
      <c r="K1950" s="56">
        <v>0</v>
      </c>
      <c r="P1950" s="56">
        <v>0</v>
      </c>
      <c r="S1950" s="56">
        <v>0</v>
      </c>
      <c r="T1950" s="56" t="s">
        <v>3562</v>
      </c>
      <c r="V1950" s="56" t="s">
        <v>3561</v>
      </c>
      <c r="W1950" s="56" t="s">
        <v>3548</v>
      </c>
      <c r="X1950" s="56" t="s">
        <v>39</v>
      </c>
      <c r="Y1950" s="56" t="s">
        <v>4133</v>
      </c>
      <c r="Z1950" s="56" t="s">
        <v>4380</v>
      </c>
      <c r="AC1950" s="56" t="s">
        <v>3543</v>
      </c>
      <c r="AD1950" s="56" t="s">
        <v>24</v>
      </c>
      <c r="AE1950" s="56" t="s">
        <v>4145</v>
      </c>
      <c r="AF1950" s="56" t="s">
        <v>4379</v>
      </c>
      <c r="AH1950" s="56" t="s">
        <v>3542</v>
      </c>
      <c r="AI1950" s="56" t="s">
        <v>3723</v>
      </c>
    </row>
    <row r="1951" spans="1:35" ht="33" customHeight="1">
      <c r="A1951" s="56" t="s">
        <v>4378</v>
      </c>
      <c r="B1951" s="57">
        <v>44366.394699074073</v>
      </c>
      <c r="C1951" s="56" t="s">
        <v>3803</v>
      </c>
      <c r="D1951" s="56" t="s">
        <v>25</v>
      </c>
      <c r="E1951" s="56" t="s">
        <v>4377</v>
      </c>
      <c r="F1951" s="56" t="s">
        <v>4376</v>
      </c>
      <c r="G1951" s="58" t="s">
        <v>3811</v>
      </c>
      <c r="H1951" s="56">
        <v>1</v>
      </c>
      <c r="I1951" s="56" t="s">
        <v>3669</v>
      </c>
      <c r="J1951" s="56">
        <v>897</v>
      </c>
      <c r="K1951" s="56">
        <v>888</v>
      </c>
      <c r="L1951" s="56">
        <v>1763</v>
      </c>
      <c r="M1951" s="56">
        <v>0</v>
      </c>
      <c r="N1951" s="56">
        <v>0</v>
      </c>
      <c r="O1951" s="56">
        <v>166</v>
      </c>
      <c r="P1951" s="56">
        <v>0</v>
      </c>
      <c r="Q1951" s="56">
        <v>1597</v>
      </c>
      <c r="R1951" s="56">
        <v>0</v>
      </c>
      <c r="S1951" s="56">
        <v>0</v>
      </c>
      <c r="T1951" s="56" t="s">
        <v>27</v>
      </c>
      <c r="U1951" s="56">
        <v>1597</v>
      </c>
      <c r="V1951" s="56" t="s">
        <v>3612</v>
      </c>
      <c r="W1951" s="56" t="s">
        <v>3548</v>
      </c>
      <c r="X1951" s="56" t="s">
        <v>3611</v>
      </c>
      <c r="Z1951" s="56" t="s">
        <v>3546</v>
      </c>
      <c r="AA1951" s="56" t="s">
        <v>4375</v>
      </c>
      <c r="AB1951" s="56" t="s">
        <v>4374</v>
      </c>
      <c r="AC1951" s="56" t="s">
        <v>3543</v>
      </c>
      <c r="AH1951" s="56" t="s">
        <v>3542</v>
      </c>
      <c r="AI1951" s="56" t="s">
        <v>3541</v>
      </c>
    </row>
    <row r="1952" spans="1:35" ht="33" customHeight="1">
      <c r="A1952" s="56" t="s">
        <v>4378</v>
      </c>
      <c r="B1952" s="57">
        <v>44366.394699074073</v>
      </c>
      <c r="C1952" s="56" t="s">
        <v>3803</v>
      </c>
      <c r="D1952" s="56" t="s">
        <v>25</v>
      </c>
      <c r="E1952" s="56" t="s">
        <v>4377</v>
      </c>
      <c r="F1952" s="56" t="s">
        <v>4376</v>
      </c>
      <c r="G1952" s="58" t="s">
        <v>1491</v>
      </c>
      <c r="H1952" s="56">
        <v>1</v>
      </c>
      <c r="I1952" s="56" t="s">
        <v>3771</v>
      </c>
      <c r="J1952" s="56">
        <v>135</v>
      </c>
      <c r="K1952" s="56">
        <v>135</v>
      </c>
      <c r="P1952" s="56">
        <v>0</v>
      </c>
      <c r="S1952" s="56">
        <v>0</v>
      </c>
      <c r="T1952" s="56" t="s">
        <v>27</v>
      </c>
      <c r="V1952" s="56" t="s">
        <v>3612</v>
      </c>
      <c r="W1952" s="56" t="s">
        <v>3548</v>
      </c>
      <c r="X1952" s="56" t="s">
        <v>3611</v>
      </c>
      <c r="Z1952" s="56" t="s">
        <v>3546</v>
      </c>
      <c r="AA1952" s="56" t="s">
        <v>4375</v>
      </c>
      <c r="AB1952" s="56" t="s">
        <v>4374</v>
      </c>
      <c r="AC1952" s="56" t="s">
        <v>3543</v>
      </c>
      <c r="AH1952" s="56" t="s">
        <v>3542</v>
      </c>
      <c r="AI1952" s="56" t="s">
        <v>3541</v>
      </c>
    </row>
    <row r="1953" spans="1:35" ht="33" customHeight="1">
      <c r="A1953" s="56" t="s">
        <v>4378</v>
      </c>
      <c r="B1953" s="57">
        <v>44366.394699074073</v>
      </c>
      <c r="C1953" s="56" t="s">
        <v>3803</v>
      </c>
      <c r="D1953" s="56" t="s">
        <v>25</v>
      </c>
      <c r="E1953" s="56" t="s">
        <v>4377</v>
      </c>
      <c r="F1953" s="56" t="s">
        <v>4376</v>
      </c>
      <c r="G1953" s="58" t="s">
        <v>3984</v>
      </c>
      <c r="H1953" s="56">
        <v>1</v>
      </c>
      <c r="I1953" s="56" t="s">
        <v>3954</v>
      </c>
      <c r="J1953" s="56">
        <v>499</v>
      </c>
      <c r="K1953" s="56">
        <v>480</v>
      </c>
      <c r="P1953" s="56">
        <v>0</v>
      </c>
      <c r="S1953" s="56">
        <v>0</v>
      </c>
      <c r="T1953" s="56" t="s">
        <v>27</v>
      </c>
      <c r="V1953" s="56" t="s">
        <v>3612</v>
      </c>
      <c r="W1953" s="56" t="s">
        <v>3548</v>
      </c>
      <c r="X1953" s="56" t="s">
        <v>3611</v>
      </c>
      <c r="Z1953" s="56" t="s">
        <v>3546</v>
      </c>
      <c r="AA1953" s="56" t="s">
        <v>4375</v>
      </c>
      <c r="AB1953" s="56" t="s">
        <v>4374</v>
      </c>
      <c r="AC1953" s="56" t="s">
        <v>3543</v>
      </c>
      <c r="AH1953" s="56" t="s">
        <v>3542</v>
      </c>
      <c r="AI1953" s="56" t="s">
        <v>3541</v>
      </c>
    </row>
    <row r="1954" spans="1:35" ht="33" customHeight="1">
      <c r="A1954" s="56" t="s">
        <v>4378</v>
      </c>
      <c r="B1954" s="57">
        <v>44366.394699074073</v>
      </c>
      <c r="C1954" s="56" t="s">
        <v>3803</v>
      </c>
      <c r="D1954" s="56" t="s">
        <v>25</v>
      </c>
      <c r="E1954" s="56" t="s">
        <v>4377</v>
      </c>
      <c r="F1954" s="56" t="s">
        <v>4376</v>
      </c>
      <c r="G1954" s="58" t="s">
        <v>3299</v>
      </c>
      <c r="H1954" s="56">
        <v>1</v>
      </c>
      <c r="I1954" s="56" t="s">
        <v>3576</v>
      </c>
      <c r="J1954" s="56">
        <v>260</v>
      </c>
      <c r="K1954" s="56">
        <v>260</v>
      </c>
      <c r="P1954" s="56">
        <v>0</v>
      </c>
      <c r="S1954" s="56">
        <v>0</v>
      </c>
      <c r="T1954" s="56" t="s">
        <v>27</v>
      </c>
      <c r="V1954" s="56" t="s">
        <v>3612</v>
      </c>
      <c r="W1954" s="56" t="s">
        <v>3548</v>
      </c>
      <c r="X1954" s="56" t="s">
        <v>3611</v>
      </c>
      <c r="Z1954" s="56" t="s">
        <v>3546</v>
      </c>
      <c r="AA1954" s="56" t="s">
        <v>4375</v>
      </c>
      <c r="AB1954" s="56" t="s">
        <v>4374</v>
      </c>
      <c r="AC1954" s="56" t="s">
        <v>3543</v>
      </c>
      <c r="AH1954" s="56" t="s">
        <v>3542</v>
      </c>
      <c r="AI1954" s="56" t="s">
        <v>3541</v>
      </c>
    </row>
    <row r="1955" spans="1:35" ht="33" customHeight="1">
      <c r="A1955" s="56" t="s">
        <v>4378</v>
      </c>
      <c r="B1955" s="57">
        <v>44366.394699074073</v>
      </c>
      <c r="C1955" s="56" t="s">
        <v>3803</v>
      </c>
      <c r="D1955" s="56" t="s">
        <v>25</v>
      </c>
      <c r="E1955" s="56" t="s">
        <v>4377</v>
      </c>
      <c r="F1955" s="56" t="s">
        <v>4376</v>
      </c>
      <c r="G1955" s="58" t="s">
        <v>3551</v>
      </c>
      <c r="H1955" s="56">
        <v>1</v>
      </c>
      <c r="I1955" s="56" t="s">
        <v>3550</v>
      </c>
      <c r="J1955" s="56">
        <v>0</v>
      </c>
      <c r="K1955" s="56">
        <v>0</v>
      </c>
      <c r="P1955" s="56">
        <v>0</v>
      </c>
      <c r="S1955" s="56">
        <v>0</v>
      </c>
      <c r="T1955" s="56" t="s">
        <v>27</v>
      </c>
      <c r="V1955" s="56" t="s">
        <v>3612</v>
      </c>
      <c r="W1955" s="56" t="s">
        <v>3548</v>
      </c>
      <c r="X1955" s="56" t="s">
        <v>3611</v>
      </c>
      <c r="Z1955" s="56" t="s">
        <v>3546</v>
      </c>
      <c r="AA1955" s="56" t="s">
        <v>4375</v>
      </c>
      <c r="AB1955" s="56" t="s">
        <v>4374</v>
      </c>
      <c r="AC1955" s="56" t="s">
        <v>3543</v>
      </c>
      <c r="AH1955" s="56" t="s">
        <v>3542</v>
      </c>
      <c r="AI1955" s="56" t="s">
        <v>3541</v>
      </c>
    </row>
    <row r="1956" spans="1:35" ht="33" customHeight="1">
      <c r="A1956" s="56" t="s">
        <v>4378</v>
      </c>
      <c r="B1956" s="57">
        <v>44366.394699074073</v>
      </c>
      <c r="C1956" s="56" t="s">
        <v>3803</v>
      </c>
      <c r="D1956" s="56" t="s">
        <v>25</v>
      </c>
      <c r="E1956" s="56" t="s">
        <v>4377</v>
      </c>
      <c r="F1956" s="56" t="s">
        <v>4376</v>
      </c>
      <c r="G1956" s="58" t="s">
        <v>1713</v>
      </c>
      <c r="H1956" s="56">
        <v>1</v>
      </c>
      <c r="I1956" s="56" t="s">
        <v>3568</v>
      </c>
      <c r="J1956" s="56">
        <v>0</v>
      </c>
      <c r="K1956" s="56">
        <v>0</v>
      </c>
      <c r="P1956" s="56">
        <v>0</v>
      </c>
      <c r="S1956" s="56">
        <v>0</v>
      </c>
      <c r="T1956" s="56" t="s">
        <v>27</v>
      </c>
      <c r="V1956" s="56" t="s">
        <v>3612</v>
      </c>
      <c r="W1956" s="56" t="s">
        <v>3548</v>
      </c>
      <c r="X1956" s="56" t="s">
        <v>3611</v>
      </c>
      <c r="Z1956" s="56" t="s">
        <v>3546</v>
      </c>
      <c r="AA1956" s="56" t="s">
        <v>4375</v>
      </c>
      <c r="AB1956" s="56" t="s">
        <v>4374</v>
      </c>
      <c r="AC1956" s="56" t="s">
        <v>3543</v>
      </c>
      <c r="AH1956" s="56" t="s">
        <v>3542</v>
      </c>
      <c r="AI1956" s="56" t="s">
        <v>3541</v>
      </c>
    </row>
    <row r="1957" spans="1:35" ht="33" customHeight="1">
      <c r="A1957" s="56" t="s">
        <v>4378</v>
      </c>
      <c r="B1957" s="57">
        <v>44366.394699074073</v>
      </c>
      <c r="C1957" s="56" t="s">
        <v>3803</v>
      </c>
      <c r="D1957" s="56" t="s">
        <v>25</v>
      </c>
      <c r="E1957" s="56" t="s">
        <v>4377</v>
      </c>
      <c r="F1957" s="56" t="s">
        <v>4376</v>
      </c>
      <c r="G1957" s="58" t="s">
        <v>1498</v>
      </c>
      <c r="H1957" s="56">
        <v>1</v>
      </c>
      <c r="I1957" s="56" t="s">
        <v>4016</v>
      </c>
      <c r="J1957" s="56">
        <v>0</v>
      </c>
      <c r="K1957" s="56">
        <v>0</v>
      </c>
      <c r="P1957" s="56">
        <v>0</v>
      </c>
      <c r="S1957" s="56">
        <v>0</v>
      </c>
      <c r="T1957" s="56" t="s">
        <v>27</v>
      </c>
      <c r="V1957" s="56" t="s">
        <v>3612</v>
      </c>
      <c r="W1957" s="56" t="s">
        <v>3548</v>
      </c>
      <c r="X1957" s="56" t="s">
        <v>3611</v>
      </c>
      <c r="Z1957" s="56" t="s">
        <v>3546</v>
      </c>
      <c r="AA1957" s="56" t="s">
        <v>4375</v>
      </c>
      <c r="AB1957" s="56" t="s">
        <v>4374</v>
      </c>
      <c r="AC1957" s="56" t="s">
        <v>3543</v>
      </c>
      <c r="AH1957" s="56" t="s">
        <v>3542</v>
      </c>
      <c r="AI1957" s="56" t="s">
        <v>3541</v>
      </c>
    </row>
    <row r="1958" spans="1:35" ht="33" customHeight="1">
      <c r="A1958" s="56" t="s">
        <v>4373</v>
      </c>
      <c r="B1958" s="57">
        <v>44366.421851851854</v>
      </c>
      <c r="C1958" s="56" t="s">
        <v>3803</v>
      </c>
      <c r="D1958" s="56" t="s">
        <v>3802</v>
      </c>
      <c r="E1958" s="56" t="s">
        <v>4372</v>
      </c>
      <c r="F1958" s="56" t="s">
        <v>4371</v>
      </c>
      <c r="G1958" s="58" t="s">
        <v>3570</v>
      </c>
      <c r="H1958" s="56">
        <v>1</v>
      </c>
      <c r="I1958" s="56" t="s">
        <v>3569</v>
      </c>
      <c r="J1958" s="56">
        <v>894</v>
      </c>
      <c r="K1958" s="56">
        <v>750</v>
      </c>
      <c r="L1958" s="56">
        <v>1242</v>
      </c>
      <c r="M1958" s="56">
        <v>0</v>
      </c>
      <c r="N1958" s="56">
        <v>0</v>
      </c>
      <c r="O1958" s="56">
        <v>125</v>
      </c>
      <c r="P1958" s="56">
        <v>0</v>
      </c>
      <c r="Q1958" s="56">
        <v>1117</v>
      </c>
      <c r="R1958" s="56">
        <v>0</v>
      </c>
      <c r="S1958" s="56">
        <v>0</v>
      </c>
      <c r="T1958" s="56" t="s">
        <v>3562</v>
      </c>
      <c r="U1958" s="56">
        <v>1117</v>
      </c>
      <c r="V1958" s="56" t="s">
        <v>3561</v>
      </c>
      <c r="W1958" s="56" t="s">
        <v>3548</v>
      </c>
      <c r="X1958" s="56" t="s">
        <v>39</v>
      </c>
      <c r="Y1958" s="56" t="s">
        <v>4370</v>
      </c>
      <c r="Z1958" s="56" t="s">
        <v>4369</v>
      </c>
      <c r="AC1958" s="56" t="s">
        <v>3842</v>
      </c>
      <c r="AD1958" s="56" t="s">
        <v>24</v>
      </c>
      <c r="AE1958" s="56" t="s">
        <v>4145</v>
      </c>
      <c r="AF1958" s="56" t="s">
        <v>4368</v>
      </c>
      <c r="AH1958" s="56" t="s">
        <v>3542</v>
      </c>
      <c r="AI1958" s="56" t="s">
        <v>3723</v>
      </c>
    </row>
    <row r="1959" spans="1:35" ht="33" customHeight="1">
      <c r="A1959" s="56" t="s">
        <v>4373</v>
      </c>
      <c r="B1959" s="57">
        <v>44366.421851851854</v>
      </c>
      <c r="C1959" s="56" t="s">
        <v>3803</v>
      </c>
      <c r="D1959" s="56" t="s">
        <v>3802</v>
      </c>
      <c r="E1959" s="56" t="s">
        <v>4372</v>
      </c>
      <c r="F1959" s="56" t="s">
        <v>4371</v>
      </c>
      <c r="G1959" s="58" t="s">
        <v>1493</v>
      </c>
      <c r="H1959" s="56">
        <v>1</v>
      </c>
      <c r="I1959" s="56" t="s">
        <v>3601</v>
      </c>
      <c r="J1959" s="56">
        <v>135</v>
      </c>
      <c r="K1959" s="56">
        <v>135</v>
      </c>
      <c r="P1959" s="56">
        <v>0</v>
      </c>
      <c r="S1959" s="56">
        <v>0</v>
      </c>
      <c r="T1959" s="56" t="s">
        <v>3562</v>
      </c>
      <c r="V1959" s="56" t="s">
        <v>3561</v>
      </c>
      <c r="W1959" s="56" t="s">
        <v>3548</v>
      </c>
      <c r="X1959" s="56" t="s">
        <v>39</v>
      </c>
      <c r="Y1959" s="56" t="s">
        <v>4370</v>
      </c>
      <c r="Z1959" s="56" t="s">
        <v>4369</v>
      </c>
      <c r="AC1959" s="56" t="s">
        <v>3842</v>
      </c>
      <c r="AD1959" s="56" t="s">
        <v>24</v>
      </c>
      <c r="AE1959" s="56" t="s">
        <v>4145</v>
      </c>
      <c r="AF1959" s="56" t="s">
        <v>4368</v>
      </c>
      <c r="AH1959" s="56" t="s">
        <v>3542</v>
      </c>
      <c r="AI1959" s="56" t="s">
        <v>3723</v>
      </c>
    </row>
    <row r="1960" spans="1:35" ht="33" customHeight="1">
      <c r="A1960" s="56" t="s">
        <v>4373</v>
      </c>
      <c r="B1960" s="57">
        <v>44366.421851851854</v>
      </c>
      <c r="C1960" s="56" t="s">
        <v>3803</v>
      </c>
      <c r="D1960" s="56" t="s">
        <v>3802</v>
      </c>
      <c r="E1960" s="56" t="s">
        <v>4372</v>
      </c>
      <c r="F1960" s="56" t="s">
        <v>4371</v>
      </c>
      <c r="G1960" s="58" t="s">
        <v>1491</v>
      </c>
      <c r="H1960" s="56">
        <v>2</v>
      </c>
      <c r="I1960" s="56" t="s">
        <v>3586</v>
      </c>
      <c r="J1960" s="56">
        <v>149</v>
      </c>
      <c r="K1960" s="56">
        <v>149</v>
      </c>
      <c r="P1960" s="56">
        <v>0</v>
      </c>
      <c r="S1960" s="56">
        <v>0</v>
      </c>
      <c r="T1960" s="56" t="s">
        <v>3562</v>
      </c>
      <c r="V1960" s="56" t="s">
        <v>3561</v>
      </c>
      <c r="W1960" s="56" t="s">
        <v>3548</v>
      </c>
      <c r="X1960" s="56" t="s">
        <v>39</v>
      </c>
      <c r="Y1960" s="56" t="s">
        <v>4370</v>
      </c>
      <c r="Z1960" s="56" t="s">
        <v>4369</v>
      </c>
      <c r="AC1960" s="56" t="s">
        <v>3842</v>
      </c>
      <c r="AD1960" s="56" t="s">
        <v>24</v>
      </c>
      <c r="AE1960" s="56" t="s">
        <v>4145</v>
      </c>
      <c r="AF1960" s="56" t="s">
        <v>4368</v>
      </c>
      <c r="AH1960" s="56" t="s">
        <v>3542</v>
      </c>
      <c r="AI1960" s="56" t="s">
        <v>3723</v>
      </c>
    </row>
    <row r="1961" spans="1:35" ht="33" customHeight="1">
      <c r="A1961" s="56" t="s">
        <v>4373</v>
      </c>
      <c r="B1961" s="57">
        <v>44366.421851851854</v>
      </c>
      <c r="C1961" s="56" t="s">
        <v>3803</v>
      </c>
      <c r="D1961" s="56" t="s">
        <v>3802</v>
      </c>
      <c r="E1961" s="56" t="s">
        <v>4372</v>
      </c>
      <c r="F1961" s="56" t="s">
        <v>4371</v>
      </c>
      <c r="G1961" s="58" t="s">
        <v>1354</v>
      </c>
      <c r="H1961" s="56">
        <v>1</v>
      </c>
      <c r="I1961" s="56" t="s">
        <v>4037</v>
      </c>
      <c r="J1961" s="56">
        <v>59</v>
      </c>
      <c r="K1961" s="56">
        <v>59</v>
      </c>
      <c r="P1961" s="56">
        <v>0</v>
      </c>
      <c r="S1961" s="56">
        <v>0</v>
      </c>
      <c r="T1961" s="56" t="s">
        <v>3562</v>
      </c>
      <c r="V1961" s="56" t="s">
        <v>3561</v>
      </c>
      <c r="W1961" s="56" t="s">
        <v>3548</v>
      </c>
      <c r="X1961" s="56" t="s">
        <v>39</v>
      </c>
      <c r="Y1961" s="56" t="s">
        <v>4370</v>
      </c>
      <c r="Z1961" s="56" t="s">
        <v>4369</v>
      </c>
      <c r="AC1961" s="56" t="s">
        <v>3842</v>
      </c>
      <c r="AD1961" s="56" t="s">
        <v>24</v>
      </c>
      <c r="AE1961" s="56" t="s">
        <v>4145</v>
      </c>
      <c r="AF1961" s="56" t="s">
        <v>4368</v>
      </c>
      <c r="AH1961" s="56" t="s">
        <v>3542</v>
      </c>
      <c r="AI1961" s="56" t="s">
        <v>3723</v>
      </c>
    </row>
    <row r="1962" spans="1:35" ht="33" customHeight="1">
      <c r="A1962" s="56" t="s">
        <v>4373</v>
      </c>
      <c r="B1962" s="57">
        <v>44366.421851851854</v>
      </c>
      <c r="C1962" s="56" t="s">
        <v>3803</v>
      </c>
      <c r="D1962" s="56" t="s">
        <v>3802</v>
      </c>
      <c r="E1962" s="56" t="s">
        <v>4372</v>
      </c>
      <c r="F1962" s="56" t="s">
        <v>4371</v>
      </c>
      <c r="G1962" s="58" t="s">
        <v>3551</v>
      </c>
      <c r="H1962" s="56">
        <v>1</v>
      </c>
      <c r="I1962" s="56" t="s">
        <v>3550</v>
      </c>
      <c r="J1962" s="56">
        <v>0</v>
      </c>
      <c r="K1962" s="56">
        <v>0</v>
      </c>
      <c r="P1962" s="56">
        <v>0</v>
      </c>
      <c r="S1962" s="56">
        <v>0</v>
      </c>
      <c r="T1962" s="56" t="s">
        <v>3562</v>
      </c>
      <c r="V1962" s="56" t="s">
        <v>3561</v>
      </c>
      <c r="W1962" s="56" t="s">
        <v>3548</v>
      </c>
      <c r="X1962" s="56" t="s">
        <v>39</v>
      </c>
      <c r="Y1962" s="56" t="s">
        <v>4370</v>
      </c>
      <c r="Z1962" s="56" t="s">
        <v>4369</v>
      </c>
      <c r="AC1962" s="56" t="s">
        <v>3842</v>
      </c>
      <c r="AD1962" s="56" t="s">
        <v>24</v>
      </c>
      <c r="AE1962" s="56" t="s">
        <v>4145</v>
      </c>
      <c r="AF1962" s="56" t="s">
        <v>4368</v>
      </c>
      <c r="AH1962" s="56" t="s">
        <v>3542</v>
      </c>
      <c r="AI1962" s="56" t="s">
        <v>3723</v>
      </c>
    </row>
    <row r="1963" spans="1:35" ht="33" customHeight="1">
      <c r="A1963" s="56" t="s">
        <v>4373</v>
      </c>
      <c r="B1963" s="57">
        <v>44366.421851851854</v>
      </c>
      <c r="C1963" s="56" t="s">
        <v>3803</v>
      </c>
      <c r="D1963" s="56" t="s">
        <v>3802</v>
      </c>
      <c r="E1963" s="56" t="s">
        <v>4372</v>
      </c>
      <c r="F1963" s="56" t="s">
        <v>4371</v>
      </c>
      <c r="G1963" s="58" t="s">
        <v>1498</v>
      </c>
      <c r="H1963" s="56">
        <v>1</v>
      </c>
      <c r="I1963" s="56" t="s">
        <v>4016</v>
      </c>
      <c r="J1963" s="56">
        <v>0</v>
      </c>
      <c r="K1963" s="56">
        <v>0</v>
      </c>
      <c r="P1963" s="56">
        <v>0</v>
      </c>
      <c r="S1963" s="56">
        <v>0</v>
      </c>
      <c r="T1963" s="56" t="s">
        <v>3562</v>
      </c>
      <c r="V1963" s="56" t="s">
        <v>3561</v>
      </c>
      <c r="W1963" s="56" t="s">
        <v>3548</v>
      </c>
      <c r="X1963" s="56" t="s">
        <v>39</v>
      </c>
      <c r="Y1963" s="56" t="s">
        <v>4370</v>
      </c>
      <c r="Z1963" s="56" t="s">
        <v>4369</v>
      </c>
      <c r="AC1963" s="56" t="s">
        <v>3842</v>
      </c>
      <c r="AD1963" s="56" t="s">
        <v>24</v>
      </c>
      <c r="AE1963" s="56" t="s">
        <v>4145</v>
      </c>
      <c r="AF1963" s="56" t="s">
        <v>4368</v>
      </c>
      <c r="AH1963" s="56" t="s">
        <v>3542</v>
      </c>
      <c r="AI1963" s="56" t="s">
        <v>3723</v>
      </c>
    </row>
    <row r="1964" spans="1:35" ht="33" customHeight="1">
      <c r="A1964" s="56" t="s">
        <v>4367</v>
      </c>
      <c r="B1964" s="57">
        <v>44366.428703703707</v>
      </c>
      <c r="C1964" s="56" t="s">
        <v>3803</v>
      </c>
      <c r="D1964" s="56" t="s">
        <v>3802</v>
      </c>
      <c r="E1964" s="56" t="s">
        <v>4366</v>
      </c>
      <c r="F1964" s="56" t="s">
        <v>4365</v>
      </c>
      <c r="G1964" s="58" t="s">
        <v>3654</v>
      </c>
      <c r="H1964" s="56">
        <v>1</v>
      </c>
      <c r="I1964" s="56" t="s">
        <v>3653</v>
      </c>
      <c r="J1964" s="56">
        <v>447</v>
      </c>
      <c r="K1964" s="56">
        <v>430</v>
      </c>
      <c r="L1964" s="56">
        <v>1015</v>
      </c>
      <c r="M1964" s="56">
        <v>0</v>
      </c>
      <c r="N1964" s="56">
        <v>0</v>
      </c>
      <c r="O1964" s="56">
        <v>102</v>
      </c>
      <c r="P1964" s="56">
        <v>0</v>
      </c>
      <c r="Q1964" s="56">
        <v>913</v>
      </c>
      <c r="R1964" s="56">
        <v>0</v>
      </c>
      <c r="S1964" s="56">
        <v>0</v>
      </c>
      <c r="T1964" s="56" t="s">
        <v>3562</v>
      </c>
      <c r="U1964" s="56">
        <v>913</v>
      </c>
      <c r="V1964" s="56" t="s">
        <v>3561</v>
      </c>
      <c r="W1964" s="56" t="s">
        <v>3548</v>
      </c>
      <c r="X1964" s="56" t="s">
        <v>39</v>
      </c>
      <c r="Y1964" s="56" t="s">
        <v>4364</v>
      </c>
      <c r="Z1964" s="56" t="s">
        <v>4363</v>
      </c>
      <c r="AC1964" s="56" t="s">
        <v>3543</v>
      </c>
      <c r="AD1964" s="56" t="s">
        <v>24</v>
      </c>
      <c r="AE1964" s="56" t="s">
        <v>4145</v>
      </c>
      <c r="AF1964" s="56" t="s">
        <v>4362</v>
      </c>
      <c r="AH1964" s="56" t="s">
        <v>3542</v>
      </c>
      <c r="AI1964" s="56" t="s">
        <v>3723</v>
      </c>
    </row>
    <row r="1965" spans="1:35" ht="33" customHeight="1">
      <c r="A1965" s="56" t="s">
        <v>4367</v>
      </c>
      <c r="B1965" s="57">
        <v>44366.428703703707</v>
      </c>
      <c r="C1965" s="56" t="s">
        <v>3803</v>
      </c>
      <c r="D1965" s="56" t="s">
        <v>3802</v>
      </c>
      <c r="E1965" s="56" t="s">
        <v>4366</v>
      </c>
      <c r="F1965" s="56" t="s">
        <v>4365</v>
      </c>
      <c r="G1965" s="58" t="s">
        <v>3174</v>
      </c>
      <c r="H1965" s="56">
        <v>1</v>
      </c>
      <c r="I1965" s="56" t="s">
        <v>3791</v>
      </c>
      <c r="J1965" s="56">
        <v>299</v>
      </c>
      <c r="K1965" s="56">
        <v>299</v>
      </c>
      <c r="P1965" s="56">
        <v>0</v>
      </c>
      <c r="S1965" s="56">
        <v>0</v>
      </c>
      <c r="T1965" s="56" t="s">
        <v>3562</v>
      </c>
      <c r="V1965" s="56" t="s">
        <v>3561</v>
      </c>
      <c r="W1965" s="56" t="s">
        <v>3548</v>
      </c>
      <c r="X1965" s="56" t="s">
        <v>39</v>
      </c>
      <c r="Y1965" s="56" t="s">
        <v>4364</v>
      </c>
      <c r="Z1965" s="56" t="s">
        <v>4363</v>
      </c>
      <c r="AC1965" s="56" t="s">
        <v>3543</v>
      </c>
      <c r="AD1965" s="56" t="s">
        <v>24</v>
      </c>
      <c r="AE1965" s="56" t="s">
        <v>4145</v>
      </c>
      <c r="AF1965" s="56" t="s">
        <v>4362</v>
      </c>
      <c r="AH1965" s="56" t="s">
        <v>3542</v>
      </c>
      <c r="AI1965" s="56" t="s">
        <v>3723</v>
      </c>
    </row>
    <row r="1966" spans="1:35" ht="33" customHeight="1">
      <c r="A1966" s="56" t="s">
        <v>4367</v>
      </c>
      <c r="B1966" s="57">
        <v>44366.428703703707</v>
      </c>
      <c r="C1966" s="56" t="s">
        <v>3803</v>
      </c>
      <c r="D1966" s="56" t="s">
        <v>3802</v>
      </c>
      <c r="E1966" s="56" t="s">
        <v>4366</v>
      </c>
      <c r="F1966" s="56" t="s">
        <v>4365</v>
      </c>
      <c r="G1966" s="58" t="s">
        <v>1512</v>
      </c>
      <c r="H1966" s="56">
        <v>1</v>
      </c>
      <c r="I1966" s="56" t="s">
        <v>3740</v>
      </c>
      <c r="J1966" s="56">
        <v>220</v>
      </c>
      <c r="K1966" s="56">
        <v>168</v>
      </c>
      <c r="P1966" s="56">
        <v>0</v>
      </c>
      <c r="S1966" s="56">
        <v>0</v>
      </c>
      <c r="T1966" s="56" t="s">
        <v>3562</v>
      </c>
      <c r="V1966" s="56" t="s">
        <v>3561</v>
      </c>
      <c r="W1966" s="56" t="s">
        <v>3548</v>
      </c>
      <c r="X1966" s="56" t="s">
        <v>39</v>
      </c>
      <c r="Y1966" s="56" t="s">
        <v>4364</v>
      </c>
      <c r="Z1966" s="56" t="s">
        <v>4363</v>
      </c>
      <c r="AC1966" s="56" t="s">
        <v>3543</v>
      </c>
      <c r="AD1966" s="56" t="s">
        <v>24</v>
      </c>
      <c r="AE1966" s="56" t="s">
        <v>4145</v>
      </c>
      <c r="AF1966" s="56" t="s">
        <v>4362</v>
      </c>
      <c r="AH1966" s="56" t="s">
        <v>3542</v>
      </c>
      <c r="AI1966" s="56" t="s">
        <v>3723</v>
      </c>
    </row>
    <row r="1967" spans="1:35" ht="33" customHeight="1">
      <c r="A1967" s="56" t="s">
        <v>4367</v>
      </c>
      <c r="B1967" s="57">
        <v>44366.428703703707</v>
      </c>
      <c r="C1967" s="56" t="s">
        <v>3803</v>
      </c>
      <c r="D1967" s="56" t="s">
        <v>3802</v>
      </c>
      <c r="E1967" s="56" t="s">
        <v>4366</v>
      </c>
      <c r="F1967" s="56" t="s">
        <v>4365</v>
      </c>
      <c r="G1967" s="58" t="s">
        <v>3219</v>
      </c>
      <c r="H1967" s="56">
        <v>1</v>
      </c>
      <c r="I1967" s="56" t="s">
        <v>3595</v>
      </c>
      <c r="J1967" s="56">
        <v>59</v>
      </c>
      <c r="K1967" s="56">
        <v>59</v>
      </c>
      <c r="P1967" s="56">
        <v>0</v>
      </c>
      <c r="S1967" s="56">
        <v>0</v>
      </c>
      <c r="T1967" s="56" t="s">
        <v>3562</v>
      </c>
      <c r="V1967" s="56" t="s">
        <v>3561</v>
      </c>
      <c r="W1967" s="56" t="s">
        <v>3548</v>
      </c>
      <c r="X1967" s="56" t="s">
        <v>39</v>
      </c>
      <c r="Y1967" s="56" t="s">
        <v>4364</v>
      </c>
      <c r="Z1967" s="56" t="s">
        <v>4363</v>
      </c>
      <c r="AC1967" s="56" t="s">
        <v>3543</v>
      </c>
      <c r="AD1967" s="56" t="s">
        <v>24</v>
      </c>
      <c r="AE1967" s="56" t="s">
        <v>4145</v>
      </c>
      <c r="AF1967" s="56" t="s">
        <v>4362</v>
      </c>
      <c r="AH1967" s="56" t="s">
        <v>3542</v>
      </c>
      <c r="AI1967" s="56" t="s">
        <v>3723</v>
      </c>
    </row>
    <row r="1968" spans="1:35" ht="33" customHeight="1">
      <c r="A1968" s="56" t="s">
        <v>4367</v>
      </c>
      <c r="B1968" s="57">
        <v>44366.428703703707</v>
      </c>
      <c r="C1968" s="56" t="s">
        <v>3803</v>
      </c>
      <c r="D1968" s="56" t="s">
        <v>3802</v>
      </c>
      <c r="E1968" s="56" t="s">
        <v>4366</v>
      </c>
      <c r="F1968" s="56" t="s">
        <v>4365</v>
      </c>
      <c r="G1968" s="58" t="s">
        <v>3222</v>
      </c>
      <c r="H1968" s="56">
        <v>1</v>
      </c>
      <c r="I1968" s="56" t="s">
        <v>3712</v>
      </c>
      <c r="J1968" s="56">
        <v>59</v>
      </c>
      <c r="K1968" s="56">
        <v>59</v>
      </c>
      <c r="P1968" s="56">
        <v>0</v>
      </c>
      <c r="S1968" s="56">
        <v>0</v>
      </c>
      <c r="T1968" s="56" t="s">
        <v>3562</v>
      </c>
      <c r="V1968" s="56" t="s">
        <v>3561</v>
      </c>
      <c r="W1968" s="56" t="s">
        <v>3548</v>
      </c>
      <c r="X1968" s="56" t="s">
        <v>39</v>
      </c>
      <c r="Y1968" s="56" t="s">
        <v>4364</v>
      </c>
      <c r="Z1968" s="56" t="s">
        <v>4363</v>
      </c>
      <c r="AC1968" s="56" t="s">
        <v>3543</v>
      </c>
      <c r="AD1968" s="56" t="s">
        <v>24</v>
      </c>
      <c r="AE1968" s="56" t="s">
        <v>4145</v>
      </c>
      <c r="AF1968" s="56" t="s">
        <v>4362</v>
      </c>
      <c r="AH1968" s="56" t="s">
        <v>3542</v>
      </c>
      <c r="AI1968" s="56" t="s">
        <v>3723</v>
      </c>
    </row>
    <row r="1969" spans="1:35" ht="33" customHeight="1">
      <c r="A1969" s="56" t="s">
        <v>4367</v>
      </c>
      <c r="B1969" s="57">
        <v>44366.428703703707</v>
      </c>
      <c r="C1969" s="56" t="s">
        <v>3803</v>
      </c>
      <c r="D1969" s="56" t="s">
        <v>3802</v>
      </c>
      <c r="E1969" s="56" t="s">
        <v>4366</v>
      </c>
      <c r="F1969" s="56" t="s">
        <v>4365</v>
      </c>
      <c r="G1969" s="58" t="s">
        <v>3551</v>
      </c>
      <c r="H1969" s="56">
        <v>1</v>
      </c>
      <c r="I1969" s="56" t="s">
        <v>3550</v>
      </c>
      <c r="J1969" s="56">
        <v>0</v>
      </c>
      <c r="K1969" s="56">
        <v>0</v>
      </c>
      <c r="P1969" s="56">
        <v>0</v>
      </c>
      <c r="S1969" s="56">
        <v>0</v>
      </c>
      <c r="T1969" s="56" t="s">
        <v>3562</v>
      </c>
      <c r="V1969" s="56" t="s">
        <v>3561</v>
      </c>
      <c r="W1969" s="56" t="s">
        <v>3548</v>
      </c>
      <c r="X1969" s="56" t="s">
        <v>39</v>
      </c>
      <c r="Y1969" s="56" t="s">
        <v>4364</v>
      </c>
      <c r="Z1969" s="56" t="s">
        <v>4363</v>
      </c>
      <c r="AC1969" s="56" t="s">
        <v>3543</v>
      </c>
      <c r="AD1969" s="56" t="s">
        <v>24</v>
      </c>
      <c r="AE1969" s="56" t="s">
        <v>4145</v>
      </c>
      <c r="AF1969" s="56" t="s">
        <v>4362</v>
      </c>
      <c r="AH1969" s="56" t="s">
        <v>3542</v>
      </c>
      <c r="AI1969" s="56" t="s">
        <v>3723</v>
      </c>
    </row>
    <row r="1970" spans="1:35" ht="33" customHeight="1">
      <c r="A1970" s="56" t="s">
        <v>4367</v>
      </c>
      <c r="B1970" s="57">
        <v>44366.428703703707</v>
      </c>
      <c r="C1970" s="56" t="s">
        <v>3803</v>
      </c>
      <c r="D1970" s="56" t="s">
        <v>3802</v>
      </c>
      <c r="E1970" s="56" t="s">
        <v>4366</v>
      </c>
      <c r="F1970" s="56" t="s">
        <v>4365</v>
      </c>
      <c r="G1970" s="58" t="s">
        <v>1498</v>
      </c>
      <c r="H1970" s="56">
        <v>1</v>
      </c>
      <c r="I1970" s="56" t="s">
        <v>4016</v>
      </c>
      <c r="J1970" s="56">
        <v>0</v>
      </c>
      <c r="K1970" s="56">
        <v>0</v>
      </c>
      <c r="P1970" s="56">
        <v>0</v>
      </c>
      <c r="S1970" s="56">
        <v>0</v>
      </c>
      <c r="T1970" s="56" t="s">
        <v>3562</v>
      </c>
      <c r="V1970" s="56" t="s">
        <v>3561</v>
      </c>
      <c r="W1970" s="56" t="s">
        <v>3548</v>
      </c>
      <c r="X1970" s="56" t="s">
        <v>39</v>
      </c>
      <c r="Y1970" s="56" t="s">
        <v>4364</v>
      </c>
      <c r="Z1970" s="56" t="s">
        <v>4363</v>
      </c>
      <c r="AC1970" s="56" t="s">
        <v>3543</v>
      </c>
      <c r="AD1970" s="56" t="s">
        <v>24</v>
      </c>
      <c r="AE1970" s="56" t="s">
        <v>4145</v>
      </c>
      <c r="AF1970" s="56" t="s">
        <v>4362</v>
      </c>
      <c r="AH1970" s="56" t="s">
        <v>3542</v>
      </c>
      <c r="AI1970" s="56" t="s">
        <v>3723</v>
      </c>
    </row>
    <row r="1971" spans="1:35" ht="33" customHeight="1">
      <c r="A1971" s="56" t="s">
        <v>4361</v>
      </c>
      <c r="B1971" s="57">
        <v>44366.439641203702</v>
      </c>
      <c r="C1971" s="56" t="s">
        <v>3803</v>
      </c>
      <c r="D1971" s="56" t="s">
        <v>3802</v>
      </c>
      <c r="E1971" s="56" t="s">
        <v>4360</v>
      </c>
      <c r="F1971" s="56" t="s">
        <v>4359</v>
      </c>
      <c r="G1971" s="58" t="s">
        <v>3747</v>
      </c>
      <c r="H1971" s="56">
        <v>1</v>
      </c>
      <c r="I1971" s="56" t="s">
        <v>3746</v>
      </c>
      <c r="J1971" s="56">
        <v>660</v>
      </c>
      <c r="K1971" s="56">
        <v>450</v>
      </c>
      <c r="L1971" s="56">
        <v>1709</v>
      </c>
      <c r="M1971" s="56">
        <v>0</v>
      </c>
      <c r="N1971" s="56">
        <v>0</v>
      </c>
      <c r="O1971" s="56">
        <v>100</v>
      </c>
      <c r="P1971" s="56">
        <v>0</v>
      </c>
      <c r="Q1971" s="56">
        <v>1609</v>
      </c>
      <c r="R1971" s="56">
        <v>0</v>
      </c>
      <c r="S1971" s="56">
        <v>0</v>
      </c>
      <c r="T1971" s="56" t="s">
        <v>3562</v>
      </c>
      <c r="U1971" s="56">
        <v>1609</v>
      </c>
      <c r="V1971" s="56" t="s">
        <v>3561</v>
      </c>
      <c r="W1971" s="56" t="s">
        <v>3548</v>
      </c>
      <c r="X1971" s="56" t="s">
        <v>39</v>
      </c>
      <c r="Y1971" s="56" t="s">
        <v>3629</v>
      </c>
      <c r="Z1971" s="56" t="s">
        <v>4358</v>
      </c>
      <c r="AC1971" s="56" t="s">
        <v>3543</v>
      </c>
      <c r="AD1971" s="56" t="s">
        <v>24</v>
      </c>
      <c r="AE1971" s="56" t="s">
        <v>4145</v>
      </c>
      <c r="AF1971" s="56" t="s">
        <v>4357</v>
      </c>
      <c r="AH1971" s="56" t="s">
        <v>3542</v>
      </c>
      <c r="AI1971" s="56" t="s">
        <v>3723</v>
      </c>
    </row>
    <row r="1972" spans="1:35" ht="33" customHeight="1">
      <c r="A1972" s="56" t="s">
        <v>4361</v>
      </c>
      <c r="B1972" s="57">
        <v>44366.439641203702</v>
      </c>
      <c r="C1972" s="56" t="s">
        <v>3803</v>
      </c>
      <c r="D1972" s="56" t="s">
        <v>3802</v>
      </c>
      <c r="E1972" s="56" t="s">
        <v>4360</v>
      </c>
      <c r="F1972" s="56" t="s">
        <v>4359</v>
      </c>
      <c r="G1972" s="58" t="s">
        <v>4231</v>
      </c>
      <c r="H1972" s="56">
        <v>1</v>
      </c>
      <c r="I1972" s="56" t="s">
        <v>3753</v>
      </c>
      <c r="J1972" s="56">
        <v>997</v>
      </c>
      <c r="K1972" s="56">
        <v>960</v>
      </c>
      <c r="P1972" s="56">
        <v>0</v>
      </c>
      <c r="S1972" s="56">
        <v>0</v>
      </c>
      <c r="T1972" s="56" t="s">
        <v>3562</v>
      </c>
      <c r="V1972" s="56" t="s">
        <v>3561</v>
      </c>
      <c r="W1972" s="56" t="s">
        <v>3548</v>
      </c>
      <c r="X1972" s="56" t="s">
        <v>39</v>
      </c>
      <c r="Y1972" s="56" t="s">
        <v>3629</v>
      </c>
      <c r="Z1972" s="56" t="s">
        <v>4358</v>
      </c>
      <c r="AC1972" s="56" t="s">
        <v>3543</v>
      </c>
      <c r="AD1972" s="56" t="s">
        <v>24</v>
      </c>
      <c r="AE1972" s="56" t="s">
        <v>4145</v>
      </c>
      <c r="AF1972" s="56" t="s">
        <v>4357</v>
      </c>
      <c r="AH1972" s="56" t="s">
        <v>3542</v>
      </c>
      <c r="AI1972" s="56" t="s">
        <v>3723</v>
      </c>
    </row>
    <row r="1973" spans="1:35" ht="33" customHeight="1">
      <c r="A1973" s="56" t="s">
        <v>4361</v>
      </c>
      <c r="B1973" s="57">
        <v>44366.439641203702</v>
      </c>
      <c r="C1973" s="56" t="s">
        <v>3803</v>
      </c>
      <c r="D1973" s="56" t="s">
        <v>3802</v>
      </c>
      <c r="E1973" s="56" t="s">
        <v>4360</v>
      </c>
      <c r="F1973" s="56" t="s">
        <v>4359</v>
      </c>
      <c r="G1973" s="58" t="s">
        <v>3299</v>
      </c>
      <c r="H1973" s="56">
        <v>1</v>
      </c>
      <c r="I1973" s="56" t="s">
        <v>3576</v>
      </c>
      <c r="J1973" s="56">
        <v>299</v>
      </c>
      <c r="K1973" s="56">
        <v>299</v>
      </c>
      <c r="P1973" s="56">
        <v>0</v>
      </c>
      <c r="S1973" s="56">
        <v>0</v>
      </c>
      <c r="T1973" s="56" t="s">
        <v>3562</v>
      </c>
      <c r="V1973" s="56" t="s">
        <v>3561</v>
      </c>
      <c r="W1973" s="56" t="s">
        <v>3548</v>
      </c>
      <c r="X1973" s="56" t="s">
        <v>39</v>
      </c>
      <c r="Y1973" s="56" t="s">
        <v>3629</v>
      </c>
      <c r="Z1973" s="56" t="s">
        <v>4358</v>
      </c>
      <c r="AC1973" s="56" t="s">
        <v>3543</v>
      </c>
      <c r="AD1973" s="56" t="s">
        <v>24</v>
      </c>
      <c r="AE1973" s="56" t="s">
        <v>4145</v>
      </c>
      <c r="AF1973" s="56" t="s">
        <v>4357</v>
      </c>
      <c r="AH1973" s="56" t="s">
        <v>3542</v>
      </c>
      <c r="AI1973" s="56" t="s">
        <v>3723</v>
      </c>
    </row>
    <row r="1974" spans="1:35" ht="33" customHeight="1">
      <c r="A1974" s="56" t="s">
        <v>4361</v>
      </c>
      <c r="B1974" s="57">
        <v>44366.439641203702</v>
      </c>
      <c r="C1974" s="56" t="s">
        <v>3803</v>
      </c>
      <c r="D1974" s="56" t="s">
        <v>3802</v>
      </c>
      <c r="E1974" s="56" t="s">
        <v>4360</v>
      </c>
      <c r="F1974" s="56" t="s">
        <v>4359</v>
      </c>
      <c r="G1974" s="58" t="s">
        <v>3551</v>
      </c>
      <c r="H1974" s="56">
        <v>1</v>
      </c>
      <c r="I1974" s="56" t="s">
        <v>3550</v>
      </c>
      <c r="J1974" s="56">
        <v>0</v>
      </c>
      <c r="K1974" s="56">
        <v>0</v>
      </c>
      <c r="P1974" s="56">
        <v>0</v>
      </c>
      <c r="S1974" s="56">
        <v>0</v>
      </c>
      <c r="T1974" s="56" t="s">
        <v>3562</v>
      </c>
      <c r="V1974" s="56" t="s">
        <v>3561</v>
      </c>
      <c r="W1974" s="56" t="s">
        <v>3548</v>
      </c>
      <c r="X1974" s="56" t="s">
        <v>39</v>
      </c>
      <c r="Y1974" s="56" t="s">
        <v>3629</v>
      </c>
      <c r="Z1974" s="56" t="s">
        <v>4358</v>
      </c>
      <c r="AC1974" s="56" t="s">
        <v>3543</v>
      </c>
      <c r="AD1974" s="56" t="s">
        <v>24</v>
      </c>
      <c r="AE1974" s="56" t="s">
        <v>4145</v>
      </c>
      <c r="AF1974" s="56" t="s">
        <v>4357</v>
      </c>
      <c r="AH1974" s="56" t="s">
        <v>3542</v>
      </c>
      <c r="AI1974" s="56" t="s">
        <v>3723</v>
      </c>
    </row>
    <row r="1975" spans="1:35" ht="33" customHeight="1">
      <c r="A1975" s="56" t="s">
        <v>4361</v>
      </c>
      <c r="B1975" s="57">
        <v>44366.439641203702</v>
      </c>
      <c r="C1975" s="56" t="s">
        <v>3803</v>
      </c>
      <c r="D1975" s="56" t="s">
        <v>3802</v>
      </c>
      <c r="E1975" s="56" t="s">
        <v>4360</v>
      </c>
      <c r="F1975" s="56" t="s">
        <v>4359</v>
      </c>
      <c r="G1975" s="58" t="s">
        <v>1713</v>
      </c>
      <c r="H1975" s="56">
        <v>1</v>
      </c>
      <c r="I1975" s="56" t="s">
        <v>3568</v>
      </c>
      <c r="J1975" s="56">
        <v>0</v>
      </c>
      <c r="K1975" s="56">
        <v>0</v>
      </c>
      <c r="P1975" s="56">
        <v>0</v>
      </c>
      <c r="S1975" s="56">
        <v>0</v>
      </c>
      <c r="T1975" s="56" t="s">
        <v>3562</v>
      </c>
      <c r="V1975" s="56" t="s">
        <v>3561</v>
      </c>
      <c r="W1975" s="56" t="s">
        <v>3548</v>
      </c>
      <c r="X1975" s="56" t="s">
        <v>39</v>
      </c>
      <c r="Y1975" s="56" t="s">
        <v>3629</v>
      </c>
      <c r="Z1975" s="56" t="s">
        <v>4358</v>
      </c>
      <c r="AC1975" s="56" t="s">
        <v>3543</v>
      </c>
      <c r="AD1975" s="56" t="s">
        <v>24</v>
      </c>
      <c r="AE1975" s="56" t="s">
        <v>4145</v>
      </c>
      <c r="AF1975" s="56" t="s">
        <v>4357</v>
      </c>
      <c r="AH1975" s="56" t="s">
        <v>3542</v>
      </c>
      <c r="AI1975" s="56" t="s">
        <v>3723</v>
      </c>
    </row>
    <row r="1976" spans="1:35" ht="33" customHeight="1">
      <c r="A1976" s="56" t="s">
        <v>4361</v>
      </c>
      <c r="B1976" s="57">
        <v>44366.439641203702</v>
      </c>
      <c r="C1976" s="56" t="s">
        <v>3803</v>
      </c>
      <c r="D1976" s="56" t="s">
        <v>3802</v>
      </c>
      <c r="E1976" s="56" t="s">
        <v>4360</v>
      </c>
      <c r="F1976" s="56" t="s">
        <v>4359</v>
      </c>
      <c r="G1976" s="58" t="s">
        <v>1498</v>
      </c>
      <c r="H1976" s="56">
        <v>1</v>
      </c>
      <c r="I1976" s="56" t="s">
        <v>4016</v>
      </c>
      <c r="J1976" s="56">
        <v>0</v>
      </c>
      <c r="K1976" s="56">
        <v>0</v>
      </c>
      <c r="P1976" s="56">
        <v>0</v>
      </c>
      <c r="S1976" s="56">
        <v>0</v>
      </c>
      <c r="T1976" s="56" t="s">
        <v>3562</v>
      </c>
      <c r="V1976" s="56" t="s">
        <v>3561</v>
      </c>
      <c r="W1976" s="56" t="s">
        <v>3548</v>
      </c>
      <c r="X1976" s="56" t="s">
        <v>39</v>
      </c>
      <c r="Y1976" s="56" t="s">
        <v>3629</v>
      </c>
      <c r="Z1976" s="56" t="s">
        <v>4358</v>
      </c>
      <c r="AC1976" s="56" t="s">
        <v>3543</v>
      </c>
      <c r="AD1976" s="56" t="s">
        <v>24</v>
      </c>
      <c r="AE1976" s="56" t="s">
        <v>4145</v>
      </c>
      <c r="AF1976" s="56" t="s">
        <v>4357</v>
      </c>
      <c r="AH1976" s="56" t="s">
        <v>3542</v>
      </c>
      <c r="AI1976" s="56" t="s">
        <v>3723</v>
      </c>
    </row>
    <row r="1977" spans="1:35" ht="33" customHeight="1">
      <c r="A1977" s="56" t="s">
        <v>4356</v>
      </c>
      <c r="B1977" s="57">
        <v>44366.44740740741</v>
      </c>
      <c r="C1977" s="56" t="s">
        <v>3803</v>
      </c>
      <c r="D1977" s="56" t="s">
        <v>25</v>
      </c>
      <c r="E1977" s="56" t="s">
        <v>4355</v>
      </c>
      <c r="F1977" s="56" t="s">
        <v>4354</v>
      </c>
      <c r="G1977" s="58" t="s">
        <v>3811</v>
      </c>
      <c r="H1977" s="56">
        <v>1</v>
      </c>
      <c r="I1977" s="56" t="s">
        <v>3669</v>
      </c>
      <c r="J1977" s="56">
        <v>897</v>
      </c>
      <c r="K1977" s="56">
        <v>888</v>
      </c>
      <c r="L1977" s="56">
        <v>888</v>
      </c>
      <c r="M1977" s="56">
        <v>65</v>
      </c>
      <c r="N1977" s="56">
        <v>0</v>
      </c>
      <c r="O1977" s="56">
        <v>0</v>
      </c>
      <c r="P1977" s="56">
        <v>0</v>
      </c>
      <c r="Q1977" s="56">
        <v>953</v>
      </c>
      <c r="R1977" s="56">
        <v>0</v>
      </c>
      <c r="S1977" s="56">
        <v>0</v>
      </c>
      <c r="T1977" s="56" t="s">
        <v>27</v>
      </c>
      <c r="U1977" s="56">
        <v>953</v>
      </c>
      <c r="V1977" s="56" t="s">
        <v>3612</v>
      </c>
      <c r="W1977" s="56" t="s">
        <v>3548</v>
      </c>
      <c r="X1977" s="56" t="s">
        <v>3611</v>
      </c>
      <c r="Z1977" s="56" t="s">
        <v>3546</v>
      </c>
      <c r="AA1977" s="56" t="s">
        <v>4353</v>
      </c>
      <c r="AB1977" s="56" t="s">
        <v>4352</v>
      </c>
      <c r="AC1977" s="56" t="s">
        <v>3543</v>
      </c>
      <c r="AH1977" s="56" t="s">
        <v>3542</v>
      </c>
      <c r="AI1977" s="56" t="s">
        <v>3541</v>
      </c>
    </row>
    <row r="1978" spans="1:35" ht="33" customHeight="1">
      <c r="A1978" s="56" t="s">
        <v>4356</v>
      </c>
      <c r="B1978" s="57">
        <v>44366.44740740741</v>
      </c>
      <c r="C1978" s="56" t="s">
        <v>3803</v>
      </c>
      <c r="D1978" s="56" t="s">
        <v>25</v>
      </c>
      <c r="E1978" s="56" t="s">
        <v>4355</v>
      </c>
      <c r="F1978" s="56" t="s">
        <v>4354</v>
      </c>
      <c r="G1978" s="58" t="s">
        <v>3551</v>
      </c>
      <c r="H1978" s="56">
        <v>1</v>
      </c>
      <c r="I1978" s="56" t="s">
        <v>3550</v>
      </c>
      <c r="J1978" s="56">
        <v>0</v>
      </c>
      <c r="K1978" s="56">
        <v>0</v>
      </c>
      <c r="P1978" s="56">
        <v>0</v>
      </c>
      <c r="S1978" s="56">
        <v>0</v>
      </c>
      <c r="T1978" s="56" t="s">
        <v>27</v>
      </c>
      <c r="V1978" s="56" t="s">
        <v>3612</v>
      </c>
      <c r="W1978" s="56" t="s">
        <v>3548</v>
      </c>
      <c r="X1978" s="56" t="s">
        <v>3611</v>
      </c>
      <c r="Z1978" s="56" t="s">
        <v>3546</v>
      </c>
      <c r="AA1978" s="56" t="s">
        <v>4353</v>
      </c>
      <c r="AB1978" s="56" t="s">
        <v>4352</v>
      </c>
      <c r="AC1978" s="56" t="s">
        <v>3543</v>
      </c>
      <c r="AH1978" s="56" t="s">
        <v>3542</v>
      </c>
      <c r="AI1978" s="56" t="s">
        <v>3541</v>
      </c>
    </row>
    <row r="1979" spans="1:35" ht="33" customHeight="1">
      <c r="A1979" s="56" t="s">
        <v>4356</v>
      </c>
      <c r="B1979" s="57">
        <v>44366.44740740741</v>
      </c>
      <c r="C1979" s="56" t="s">
        <v>3803</v>
      </c>
      <c r="D1979" s="56" t="s">
        <v>25</v>
      </c>
      <c r="E1979" s="56" t="s">
        <v>4355</v>
      </c>
      <c r="F1979" s="56" t="s">
        <v>4354</v>
      </c>
      <c r="G1979" s="58" t="s">
        <v>1498</v>
      </c>
      <c r="H1979" s="56">
        <v>1</v>
      </c>
      <c r="I1979" s="56" t="s">
        <v>4016</v>
      </c>
      <c r="J1979" s="56">
        <v>0</v>
      </c>
      <c r="K1979" s="56">
        <v>0</v>
      </c>
      <c r="P1979" s="56">
        <v>0</v>
      </c>
      <c r="S1979" s="56">
        <v>0</v>
      </c>
      <c r="T1979" s="56" t="s">
        <v>27</v>
      </c>
      <c r="V1979" s="56" t="s">
        <v>3612</v>
      </c>
      <c r="W1979" s="56" t="s">
        <v>3548</v>
      </c>
      <c r="X1979" s="56" t="s">
        <v>3611</v>
      </c>
      <c r="Z1979" s="56" t="s">
        <v>3546</v>
      </c>
      <c r="AA1979" s="56" t="s">
        <v>4353</v>
      </c>
      <c r="AB1979" s="56" t="s">
        <v>4352</v>
      </c>
      <c r="AC1979" s="56" t="s">
        <v>3543</v>
      </c>
      <c r="AH1979" s="56" t="s">
        <v>3542</v>
      </c>
      <c r="AI1979" s="56" t="s">
        <v>3541</v>
      </c>
    </row>
    <row r="1980" spans="1:35" ht="33" customHeight="1">
      <c r="A1980" s="56" t="s">
        <v>4351</v>
      </c>
      <c r="B1980" s="57">
        <v>44366.44771990741</v>
      </c>
      <c r="C1980" s="56" t="s">
        <v>3803</v>
      </c>
      <c r="D1980" s="56" t="s">
        <v>25</v>
      </c>
      <c r="E1980" s="56" t="s">
        <v>4350</v>
      </c>
      <c r="F1980" s="56" t="s">
        <v>4349</v>
      </c>
      <c r="G1980" s="58" t="s">
        <v>3580</v>
      </c>
      <c r="H1980" s="56">
        <v>1</v>
      </c>
      <c r="I1980" s="56" t="s">
        <v>3579</v>
      </c>
      <c r="J1980" s="56">
        <v>336</v>
      </c>
      <c r="K1980" s="56">
        <v>320</v>
      </c>
      <c r="L1980" s="56">
        <v>784</v>
      </c>
      <c r="M1980" s="56">
        <v>65</v>
      </c>
      <c r="N1980" s="56">
        <v>0</v>
      </c>
      <c r="O1980" s="56">
        <v>0</v>
      </c>
      <c r="P1980" s="56">
        <v>0</v>
      </c>
      <c r="Q1980" s="56">
        <v>849</v>
      </c>
      <c r="R1980" s="56">
        <v>0</v>
      </c>
      <c r="S1980" s="56">
        <v>0</v>
      </c>
      <c r="T1980" s="56" t="s">
        <v>27</v>
      </c>
      <c r="U1980" s="56">
        <v>849</v>
      </c>
      <c r="V1980" s="56" t="s">
        <v>3549</v>
      </c>
      <c r="W1980" s="56" t="s">
        <v>3548</v>
      </c>
      <c r="X1980" s="56" t="s">
        <v>3547</v>
      </c>
      <c r="Z1980" s="56" t="s">
        <v>3546</v>
      </c>
      <c r="AA1980" s="56" t="s">
        <v>4348</v>
      </c>
      <c r="AB1980" s="56" t="s">
        <v>4347</v>
      </c>
      <c r="AC1980" s="56" t="s">
        <v>3543</v>
      </c>
      <c r="AH1980" s="56" t="s">
        <v>3542</v>
      </c>
      <c r="AI1980" s="56" t="s">
        <v>3541</v>
      </c>
    </row>
    <row r="1981" spans="1:35" ht="33" customHeight="1">
      <c r="A1981" s="56" t="s">
        <v>4351</v>
      </c>
      <c r="B1981" s="57">
        <v>44366.44771990741</v>
      </c>
      <c r="C1981" s="56" t="s">
        <v>3803</v>
      </c>
      <c r="D1981" s="56" t="s">
        <v>25</v>
      </c>
      <c r="E1981" s="56" t="s">
        <v>4350</v>
      </c>
      <c r="F1981" s="56" t="s">
        <v>4349</v>
      </c>
      <c r="G1981" s="58" t="s">
        <v>1508</v>
      </c>
      <c r="H1981" s="56">
        <v>1</v>
      </c>
      <c r="I1981" s="56" t="s">
        <v>3696</v>
      </c>
      <c r="J1981" s="56">
        <v>299</v>
      </c>
      <c r="K1981" s="56">
        <v>299</v>
      </c>
      <c r="P1981" s="56">
        <v>0</v>
      </c>
      <c r="S1981" s="56">
        <v>0</v>
      </c>
      <c r="T1981" s="56" t="s">
        <v>27</v>
      </c>
      <c r="V1981" s="56" t="s">
        <v>3549</v>
      </c>
      <c r="W1981" s="56" t="s">
        <v>3548</v>
      </c>
      <c r="X1981" s="56" t="s">
        <v>3547</v>
      </c>
      <c r="Z1981" s="56" t="s">
        <v>3546</v>
      </c>
      <c r="AA1981" s="56" t="s">
        <v>4348</v>
      </c>
      <c r="AB1981" s="56" t="s">
        <v>4347</v>
      </c>
      <c r="AC1981" s="56" t="s">
        <v>3543</v>
      </c>
      <c r="AH1981" s="56" t="s">
        <v>3542</v>
      </c>
      <c r="AI1981" s="56" t="s">
        <v>3541</v>
      </c>
    </row>
    <row r="1982" spans="1:35" ht="33" customHeight="1">
      <c r="A1982" s="56" t="s">
        <v>4351</v>
      </c>
      <c r="B1982" s="57">
        <v>44366.44771990741</v>
      </c>
      <c r="C1982" s="56" t="s">
        <v>3803</v>
      </c>
      <c r="D1982" s="56" t="s">
        <v>25</v>
      </c>
      <c r="E1982" s="56" t="s">
        <v>4350</v>
      </c>
      <c r="F1982" s="56" t="s">
        <v>4349</v>
      </c>
      <c r="G1982" s="58" t="s">
        <v>1514</v>
      </c>
      <c r="H1982" s="56">
        <v>1</v>
      </c>
      <c r="I1982" s="56" t="s">
        <v>3797</v>
      </c>
      <c r="J1982" s="56">
        <v>165</v>
      </c>
      <c r="K1982" s="56">
        <v>165</v>
      </c>
      <c r="P1982" s="56">
        <v>0</v>
      </c>
      <c r="S1982" s="56">
        <v>0</v>
      </c>
      <c r="T1982" s="56" t="s">
        <v>27</v>
      </c>
      <c r="V1982" s="56" t="s">
        <v>3549</v>
      </c>
      <c r="W1982" s="56" t="s">
        <v>3548</v>
      </c>
      <c r="X1982" s="56" t="s">
        <v>3547</v>
      </c>
      <c r="Z1982" s="56" t="s">
        <v>3546</v>
      </c>
      <c r="AA1982" s="56" t="s">
        <v>4348</v>
      </c>
      <c r="AB1982" s="56" t="s">
        <v>4347</v>
      </c>
      <c r="AC1982" s="56" t="s">
        <v>3543</v>
      </c>
      <c r="AH1982" s="56" t="s">
        <v>3542</v>
      </c>
      <c r="AI1982" s="56" t="s">
        <v>3541</v>
      </c>
    </row>
    <row r="1983" spans="1:35" ht="33" customHeight="1">
      <c r="A1983" s="56" t="s">
        <v>4351</v>
      </c>
      <c r="B1983" s="57">
        <v>44366.44771990741</v>
      </c>
      <c r="C1983" s="56" t="s">
        <v>3803</v>
      </c>
      <c r="D1983" s="56" t="s">
        <v>25</v>
      </c>
      <c r="E1983" s="56" t="s">
        <v>4350</v>
      </c>
      <c r="F1983" s="56" t="s">
        <v>4349</v>
      </c>
      <c r="G1983" s="58" t="s">
        <v>3551</v>
      </c>
      <c r="H1983" s="56">
        <v>1</v>
      </c>
      <c r="I1983" s="56" t="s">
        <v>3550</v>
      </c>
      <c r="J1983" s="56">
        <v>0</v>
      </c>
      <c r="K1983" s="56">
        <v>0</v>
      </c>
      <c r="P1983" s="56">
        <v>0</v>
      </c>
      <c r="S1983" s="56">
        <v>0</v>
      </c>
      <c r="T1983" s="56" t="s">
        <v>27</v>
      </c>
      <c r="V1983" s="56" t="s">
        <v>3549</v>
      </c>
      <c r="W1983" s="56" t="s">
        <v>3548</v>
      </c>
      <c r="X1983" s="56" t="s">
        <v>3547</v>
      </c>
      <c r="Z1983" s="56" t="s">
        <v>3546</v>
      </c>
      <c r="AA1983" s="56" t="s">
        <v>4348</v>
      </c>
      <c r="AB1983" s="56" t="s">
        <v>4347</v>
      </c>
      <c r="AC1983" s="56" t="s">
        <v>3543</v>
      </c>
      <c r="AH1983" s="56" t="s">
        <v>3542</v>
      </c>
      <c r="AI1983" s="56" t="s">
        <v>3541</v>
      </c>
    </row>
    <row r="1984" spans="1:35" ht="33" customHeight="1">
      <c r="A1984" s="56" t="s">
        <v>4345</v>
      </c>
      <c r="B1984" s="57">
        <v>44366.475092592591</v>
      </c>
      <c r="C1984" s="56" t="s">
        <v>3803</v>
      </c>
      <c r="D1984" s="56" t="s">
        <v>25</v>
      </c>
      <c r="E1984" s="56" t="s">
        <v>4344</v>
      </c>
      <c r="F1984" s="56" t="s">
        <v>4343</v>
      </c>
      <c r="G1984" s="58" t="s">
        <v>4346</v>
      </c>
      <c r="H1984" s="56">
        <v>1</v>
      </c>
      <c r="I1984" s="56" t="s">
        <v>3954</v>
      </c>
      <c r="J1984" s="56">
        <v>499</v>
      </c>
      <c r="K1984" s="56">
        <v>480</v>
      </c>
      <c r="L1984" s="56">
        <v>1073</v>
      </c>
      <c r="M1984" s="56">
        <v>0</v>
      </c>
      <c r="N1984" s="56">
        <v>0</v>
      </c>
      <c r="O1984" s="56">
        <v>100</v>
      </c>
      <c r="P1984" s="56">
        <v>0</v>
      </c>
      <c r="Q1984" s="56">
        <v>973</v>
      </c>
      <c r="R1984" s="56">
        <v>0</v>
      </c>
      <c r="S1984" s="56">
        <v>0</v>
      </c>
      <c r="T1984" s="56" t="s">
        <v>27</v>
      </c>
      <c r="U1984" s="56">
        <v>973</v>
      </c>
      <c r="V1984" s="56" t="s">
        <v>3549</v>
      </c>
      <c r="W1984" s="56" t="s">
        <v>3548</v>
      </c>
      <c r="X1984" s="56" t="s">
        <v>3547</v>
      </c>
      <c r="Z1984" s="56" t="s">
        <v>3546</v>
      </c>
      <c r="AA1984" s="56" t="s">
        <v>4342</v>
      </c>
      <c r="AB1984" s="56" t="s">
        <v>4341</v>
      </c>
      <c r="AC1984" s="56" t="s">
        <v>3543</v>
      </c>
      <c r="AH1984" s="56" t="s">
        <v>3542</v>
      </c>
      <c r="AI1984" s="56" t="s">
        <v>3541</v>
      </c>
    </row>
    <row r="1985" spans="1:35" ht="33" customHeight="1">
      <c r="A1985" s="56" t="s">
        <v>4345</v>
      </c>
      <c r="B1985" s="57">
        <v>44366.475092592591</v>
      </c>
      <c r="C1985" s="56" t="s">
        <v>3803</v>
      </c>
      <c r="D1985" s="56" t="s">
        <v>25</v>
      </c>
      <c r="E1985" s="56" t="s">
        <v>4344</v>
      </c>
      <c r="F1985" s="56" t="s">
        <v>4343</v>
      </c>
      <c r="G1985" s="58" t="s">
        <v>2156</v>
      </c>
      <c r="H1985" s="56">
        <v>1</v>
      </c>
      <c r="I1985" s="56" t="s">
        <v>1376</v>
      </c>
      <c r="J1985" s="56">
        <v>145</v>
      </c>
      <c r="K1985" s="56">
        <v>145</v>
      </c>
      <c r="P1985" s="56">
        <v>0</v>
      </c>
      <c r="S1985" s="56">
        <v>0</v>
      </c>
      <c r="T1985" s="56" t="s">
        <v>27</v>
      </c>
      <c r="V1985" s="56" t="s">
        <v>3549</v>
      </c>
      <c r="W1985" s="56" t="s">
        <v>3548</v>
      </c>
      <c r="X1985" s="56" t="s">
        <v>3547</v>
      </c>
      <c r="Z1985" s="56" t="s">
        <v>3546</v>
      </c>
      <c r="AA1985" s="56" t="s">
        <v>4342</v>
      </c>
      <c r="AB1985" s="56" t="s">
        <v>4341</v>
      </c>
      <c r="AC1985" s="56" t="s">
        <v>3543</v>
      </c>
      <c r="AH1985" s="56" t="s">
        <v>3542</v>
      </c>
      <c r="AI1985" s="56" t="s">
        <v>3541</v>
      </c>
    </row>
    <row r="1986" spans="1:35" ht="33" customHeight="1">
      <c r="A1986" s="56" t="s">
        <v>4345</v>
      </c>
      <c r="B1986" s="57">
        <v>44366.475092592591</v>
      </c>
      <c r="C1986" s="56" t="s">
        <v>3803</v>
      </c>
      <c r="D1986" s="56" t="s">
        <v>25</v>
      </c>
      <c r="E1986" s="56" t="s">
        <v>4344</v>
      </c>
      <c r="F1986" s="56" t="s">
        <v>4343</v>
      </c>
      <c r="G1986" s="58" t="s">
        <v>1531</v>
      </c>
      <c r="H1986" s="56">
        <v>1</v>
      </c>
      <c r="I1986" s="56" t="s">
        <v>3696</v>
      </c>
      <c r="J1986" s="56">
        <v>299</v>
      </c>
      <c r="K1986" s="56">
        <v>299</v>
      </c>
      <c r="P1986" s="56">
        <v>0</v>
      </c>
      <c r="S1986" s="56">
        <v>0</v>
      </c>
      <c r="T1986" s="56" t="s">
        <v>27</v>
      </c>
      <c r="V1986" s="56" t="s">
        <v>3549</v>
      </c>
      <c r="W1986" s="56" t="s">
        <v>3548</v>
      </c>
      <c r="X1986" s="56" t="s">
        <v>3547</v>
      </c>
      <c r="Z1986" s="56" t="s">
        <v>3546</v>
      </c>
      <c r="AA1986" s="56" t="s">
        <v>4342</v>
      </c>
      <c r="AB1986" s="56" t="s">
        <v>4341</v>
      </c>
      <c r="AC1986" s="56" t="s">
        <v>3543</v>
      </c>
      <c r="AH1986" s="56" t="s">
        <v>3542</v>
      </c>
      <c r="AI1986" s="56" t="s">
        <v>3541</v>
      </c>
    </row>
    <row r="1987" spans="1:35" ht="33" customHeight="1">
      <c r="A1987" s="56" t="s">
        <v>4345</v>
      </c>
      <c r="B1987" s="57">
        <v>44366.475092592591</v>
      </c>
      <c r="C1987" s="56" t="s">
        <v>3803</v>
      </c>
      <c r="D1987" s="56" t="s">
        <v>25</v>
      </c>
      <c r="E1987" s="56" t="s">
        <v>4344</v>
      </c>
      <c r="F1987" s="56" t="s">
        <v>4343</v>
      </c>
      <c r="G1987" s="58" t="s">
        <v>1491</v>
      </c>
      <c r="H1987" s="56">
        <v>1</v>
      </c>
      <c r="I1987" s="56" t="s">
        <v>3586</v>
      </c>
      <c r="J1987" s="56">
        <v>149</v>
      </c>
      <c r="K1987" s="56">
        <v>149</v>
      </c>
      <c r="P1987" s="56">
        <v>0</v>
      </c>
      <c r="S1987" s="56">
        <v>0</v>
      </c>
      <c r="T1987" s="56" t="s">
        <v>27</v>
      </c>
      <c r="V1987" s="56" t="s">
        <v>3549</v>
      </c>
      <c r="W1987" s="56" t="s">
        <v>3548</v>
      </c>
      <c r="X1987" s="56" t="s">
        <v>3547</v>
      </c>
      <c r="Z1987" s="56" t="s">
        <v>3546</v>
      </c>
      <c r="AA1987" s="56" t="s">
        <v>4342</v>
      </c>
      <c r="AB1987" s="56" t="s">
        <v>4341</v>
      </c>
      <c r="AC1987" s="56" t="s">
        <v>3543</v>
      </c>
      <c r="AH1987" s="56" t="s">
        <v>3542</v>
      </c>
      <c r="AI1987" s="56" t="s">
        <v>3541</v>
      </c>
    </row>
    <row r="1988" spans="1:35" ht="33" customHeight="1">
      <c r="A1988" s="56" t="s">
        <v>4345</v>
      </c>
      <c r="B1988" s="57">
        <v>44366.475092592591</v>
      </c>
      <c r="C1988" s="56" t="s">
        <v>3803</v>
      </c>
      <c r="D1988" s="56" t="s">
        <v>25</v>
      </c>
      <c r="E1988" s="56" t="s">
        <v>4344</v>
      </c>
      <c r="F1988" s="56" t="s">
        <v>4343</v>
      </c>
      <c r="G1988" s="58" t="s">
        <v>3551</v>
      </c>
      <c r="H1988" s="56">
        <v>1</v>
      </c>
      <c r="I1988" s="56" t="s">
        <v>3550</v>
      </c>
      <c r="J1988" s="56">
        <v>0</v>
      </c>
      <c r="K1988" s="56">
        <v>0</v>
      </c>
      <c r="P1988" s="56">
        <v>0</v>
      </c>
      <c r="S1988" s="56">
        <v>0</v>
      </c>
      <c r="T1988" s="56" t="s">
        <v>27</v>
      </c>
      <c r="V1988" s="56" t="s">
        <v>3549</v>
      </c>
      <c r="W1988" s="56" t="s">
        <v>3548</v>
      </c>
      <c r="X1988" s="56" t="s">
        <v>3547</v>
      </c>
      <c r="Z1988" s="56" t="s">
        <v>3546</v>
      </c>
      <c r="AA1988" s="56" t="s">
        <v>4342</v>
      </c>
      <c r="AB1988" s="56" t="s">
        <v>4341</v>
      </c>
      <c r="AC1988" s="56" t="s">
        <v>3543</v>
      </c>
      <c r="AH1988" s="56" t="s">
        <v>3542</v>
      </c>
      <c r="AI1988" s="56" t="s">
        <v>3541</v>
      </c>
    </row>
    <row r="1989" spans="1:35" ht="33" customHeight="1">
      <c r="A1989" s="56" t="s">
        <v>4345</v>
      </c>
      <c r="B1989" s="57">
        <v>44366.475092592591</v>
      </c>
      <c r="C1989" s="56" t="s">
        <v>3803</v>
      </c>
      <c r="D1989" s="56" t="s">
        <v>25</v>
      </c>
      <c r="E1989" s="56" t="s">
        <v>4344</v>
      </c>
      <c r="F1989" s="56" t="s">
        <v>4343</v>
      </c>
      <c r="G1989" s="58" t="s">
        <v>1498</v>
      </c>
      <c r="H1989" s="56">
        <v>1</v>
      </c>
      <c r="I1989" s="56" t="s">
        <v>4016</v>
      </c>
      <c r="J1989" s="56">
        <v>0</v>
      </c>
      <c r="K1989" s="56">
        <v>0</v>
      </c>
      <c r="P1989" s="56">
        <v>0</v>
      </c>
      <c r="S1989" s="56">
        <v>0</v>
      </c>
      <c r="T1989" s="56" t="s">
        <v>27</v>
      </c>
      <c r="V1989" s="56" t="s">
        <v>3549</v>
      </c>
      <c r="W1989" s="56" t="s">
        <v>3548</v>
      </c>
      <c r="X1989" s="56" t="s">
        <v>3547</v>
      </c>
      <c r="Z1989" s="56" t="s">
        <v>3546</v>
      </c>
      <c r="AA1989" s="56" t="s">
        <v>4342</v>
      </c>
      <c r="AB1989" s="56" t="s">
        <v>4341</v>
      </c>
      <c r="AC1989" s="56" t="s">
        <v>3543</v>
      </c>
      <c r="AH1989" s="56" t="s">
        <v>3542</v>
      </c>
      <c r="AI1989" s="56" t="s">
        <v>3541</v>
      </c>
    </row>
    <row r="1990" spans="1:35" ht="33" customHeight="1">
      <c r="A1990" s="56" t="s">
        <v>4340</v>
      </c>
      <c r="B1990" s="57">
        <v>44366.479247685187</v>
      </c>
      <c r="C1990" s="56" t="s">
        <v>3803</v>
      </c>
      <c r="D1990" s="56" t="s">
        <v>25</v>
      </c>
      <c r="E1990" s="56" t="s">
        <v>4339</v>
      </c>
      <c r="F1990" s="56" t="s">
        <v>4338</v>
      </c>
      <c r="G1990" s="58" t="s">
        <v>3942</v>
      </c>
      <c r="H1990" s="56">
        <v>1</v>
      </c>
      <c r="I1990" s="56" t="s">
        <v>3941</v>
      </c>
      <c r="J1990" s="56">
        <v>840</v>
      </c>
      <c r="K1990" s="56">
        <v>750</v>
      </c>
      <c r="L1990" s="56">
        <v>1107</v>
      </c>
      <c r="M1990" s="56">
        <v>0</v>
      </c>
      <c r="N1990" s="56">
        <v>0</v>
      </c>
      <c r="O1990" s="56">
        <v>100</v>
      </c>
      <c r="P1990" s="56">
        <v>0</v>
      </c>
      <c r="Q1990" s="56">
        <v>1007</v>
      </c>
      <c r="R1990" s="56">
        <v>0</v>
      </c>
      <c r="S1990" s="56">
        <v>0</v>
      </c>
      <c r="T1990" s="56" t="s">
        <v>27</v>
      </c>
      <c r="U1990" s="56">
        <v>1007</v>
      </c>
      <c r="V1990" s="56" t="s">
        <v>3612</v>
      </c>
      <c r="W1990" s="56" t="s">
        <v>3548</v>
      </c>
      <c r="X1990" s="56" t="s">
        <v>3611</v>
      </c>
      <c r="Z1990" s="56" t="s">
        <v>3546</v>
      </c>
      <c r="AA1990" s="56" t="s">
        <v>4337</v>
      </c>
      <c r="AB1990" s="56" t="s">
        <v>4336</v>
      </c>
      <c r="AC1990" s="56" t="s">
        <v>3543</v>
      </c>
      <c r="AH1990" s="56" t="s">
        <v>3542</v>
      </c>
      <c r="AI1990" s="56" t="s">
        <v>3541</v>
      </c>
    </row>
    <row r="1991" spans="1:35" ht="33" customHeight="1">
      <c r="A1991" s="56" t="s">
        <v>4340</v>
      </c>
      <c r="B1991" s="57">
        <v>44366.479247685187</v>
      </c>
      <c r="C1991" s="56" t="s">
        <v>3803</v>
      </c>
      <c r="D1991" s="56" t="s">
        <v>25</v>
      </c>
      <c r="E1991" s="56" t="s">
        <v>4339</v>
      </c>
      <c r="F1991" s="56" t="s">
        <v>4338</v>
      </c>
      <c r="G1991" s="58" t="s">
        <v>1713</v>
      </c>
      <c r="H1991" s="56">
        <v>2</v>
      </c>
      <c r="I1991" s="56" t="s">
        <v>3587</v>
      </c>
      <c r="J1991" s="56">
        <v>149</v>
      </c>
      <c r="K1991" s="56">
        <v>149</v>
      </c>
      <c r="P1991" s="56">
        <v>0</v>
      </c>
      <c r="S1991" s="56">
        <v>0</v>
      </c>
      <c r="T1991" s="56" t="s">
        <v>27</v>
      </c>
      <c r="V1991" s="56" t="s">
        <v>3612</v>
      </c>
      <c r="W1991" s="56" t="s">
        <v>3548</v>
      </c>
      <c r="X1991" s="56" t="s">
        <v>3611</v>
      </c>
      <c r="Z1991" s="56" t="s">
        <v>3546</v>
      </c>
      <c r="AA1991" s="56" t="s">
        <v>4337</v>
      </c>
      <c r="AB1991" s="56" t="s">
        <v>4336</v>
      </c>
      <c r="AC1991" s="56" t="s">
        <v>3543</v>
      </c>
      <c r="AH1991" s="56" t="s">
        <v>3542</v>
      </c>
      <c r="AI1991" s="56" t="s">
        <v>3541</v>
      </c>
    </row>
    <row r="1992" spans="1:35" ht="33" customHeight="1">
      <c r="A1992" s="56" t="s">
        <v>4340</v>
      </c>
      <c r="B1992" s="57">
        <v>44366.479247685187</v>
      </c>
      <c r="C1992" s="56" t="s">
        <v>3803</v>
      </c>
      <c r="D1992" s="56" t="s">
        <v>25</v>
      </c>
      <c r="E1992" s="56" t="s">
        <v>4339</v>
      </c>
      <c r="F1992" s="56" t="s">
        <v>4338</v>
      </c>
      <c r="G1992" s="58" t="s">
        <v>3217</v>
      </c>
      <c r="H1992" s="56">
        <v>1</v>
      </c>
      <c r="I1992" s="56" t="s">
        <v>3720</v>
      </c>
      <c r="J1992" s="56">
        <v>59</v>
      </c>
      <c r="K1992" s="56">
        <v>59</v>
      </c>
      <c r="P1992" s="56">
        <v>0</v>
      </c>
      <c r="S1992" s="56">
        <v>0</v>
      </c>
      <c r="T1992" s="56" t="s">
        <v>27</v>
      </c>
      <c r="V1992" s="56" t="s">
        <v>3612</v>
      </c>
      <c r="W1992" s="56" t="s">
        <v>3548</v>
      </c>
      <c r="X1992" s="56" t="s">
        <v>3611</v>
      </c>
      <c r="Z1992" s="56" t="s">
        <v>3546</v>
      </c>
      <c r="AA1992" s="56" t="s">
        <v>4337</v>
      </c>
      <c r="AB1992" s="56" t="s">
        <v>4336</v>
      </c>
      <c r="AC1992" s="56" t="s">
        <v>3543</v>
      </c>
      <c r="AH1992" s="56" t="s">
        <v>3542</v>
      </c>
      <c r="AI1992" s="56" t="s">
        <v>3541</v>
      </c>
    </row>
    <row r="1993" spans="1:35" ht="33" customHeight="1">
      <c r="A1993" s="56" t="s">
        <v>4340</v>
      </c>
      <c r="B1993" s="57">
        <v>44366.479247685187</v>
      </c>
      <c r="C1993" s="56" t="s">
        <v>3803</v>
      </c>
      <c r="D1993" s="56" t="s">
        <v>25</v>
      </c>
      <c r="E1993" s="56" t="s">
        <v>4339</v>
      </c>
      <c r="F1993" s="56" t="s">
        <v>4338</v>
      </c>
      <c r="G1993" s="58" t="s">
        <v>3551</v>
      </c>
      <c r="H1993" s="56">
        <v>1</v>
      </c>
      <c r="I1993" s="56" t="s">
        <v>3550</v>
      </c>
      <c r="J1993" s="56">
        <v>0</v>
      </c>
      <c r="K1993" s="56">
        <v>0</v>
      </c>
      <c r="P1993" s="56">
        <v>0</v>
      </c>
      <c r="S1993" s="56">
        <v>0</v>
      </c>
      <c r="T1993" s="56" t="s">
        <v>27</v>
      </c>
      <c r="V1993" s="56" t="s">
        <v>3612</v>
      </c>
      <c r="W1993" s="56" t="s">
        <v>3548</v>
      </c>
      <c r="X1993" s="56" t="s">
        <v>3611</v>
      </c>
      <c r="Z1993" s="56" t="s">
        <v>3546</v>
      </c>
      <c r="AA1993" s="56" t="s">
        <v>4337</v>
      </c>
      <c r="AB1993" s="56" t="s">
        <v>4336</v>
      </c>
      <c r="AC1993" s="56" t="s">
        <v>3543</v>
      </c>
      <c r="AH1993" s="56" t="s">
        <v>3542</v>
      </c>
      <c r="AI1993" s="56" t="s">
        <v>3541</v>
      </c>
    </row>
    <row r="1994" spans="1:35" ht="33" customHeight="1">
      <c r="A1994" s="56" t="s">
        <v>4340</v>
      </c>
      <c r="B1994" s="57">
        <v>44366.479247685187</v>
      </c>
      <c r="C1994" s="56" t="s">
        <v>3803</v>
      </c>
      <c r="D1994" s="56" t="s">
        <v>25</v>
      </c>
      <c r="E1994" s="56" t="s">
        <v>4339</v>
      </c>
      <c r="F1994" s="56" t="s">
        <v>4338</v>
      </c>
      <c r="G1994" s="58" t="s">
        <v>1498</v>
      </c>
      <c r="H1994" s="56">
        <v>1</v>
      </c>
      <c r="I1994" s="56" t="s">
        <v>4016</v>
      </c>
      <c r="J1994" s="56">
        <v>0</v>
      </c>
      <c r="K1994" s="56">
        <v>0</v>
      </c>
      <c r="P1994" s="56">
        <v>0</v>
      </c>
      <c r="S1994" s="56">
        <v>0</v>
      </c>
      <c r="T1994" s="56" t="s">
        <v>27</v>
      </c>
      <c r="V1994" s="56" t="s">
        <v>3612</v>
      </c>
      <c r="W1994" s="56" t="s">
        <v>3548</v>
      </c>
      <c r="X1994" s="56" t="s">
        <v>3611</v>
      </c>
      <c r="Z1994" s="56" t="s">
        <v>3546</v>
      </c>
      <c r="AA1994" s="56" t="s">
        <v>4337</v>
      </c>
      <c r="AB1994" s="56" t="s">
        <v>4336</v>
      </c>
      <c r="AC1994" s="56" t="s">
        <v>3543</v>
      </c>
      <c r="AH1994" s="56" t="s">
        <v>3542</v>
      </c>
      <c r="AI1994" s="56" t="s">
        <v>3541</v>
      </c>
    </row>
    <row r="1995" spans="1:35" ht="33" customHeight="1">
      <c r="A1995" s="56" t="s">
        <v>4335</v>
      </c>
      <c r="B1995" s="57">
        <v>44366.483935185184</v>
      </c>
      <c r="C1995" s="56" t="s">
        <v>3803</v>
      </c>
      <c r="D1995" s="56" t="s">
        <v>25</v>
      </c>
      <c r="E1995" s="56" t="s">
        <v>4334</v>
      </c>
      <c r="F1995" s="56" t="s">
        <v>4333</v>
      </c>
      <c r="G1995" s="58" t="s">
        <v>3580</v>
      </c>
      <c r="H1995" s="56">
        <v>1</v>
      </c>
      <c r="I1995" s="56" t="s">
        <v>3579</v>
      </c>
      <c r="J1995" s="56">
        <v>336</v>
      </c>
      <c r="K1995" s="56">
        <v>320</v>
      </c>
      <c r="L1995" s="56">
        <v>896</v>
      </c>
      <c r="M1995" s="56">
        <v>65</v>
      </c>
      <c r="N1995" s="56">
        <v>0</v>
      </c>
      <c r="O1995" s="56">
        <v>0</v>
      </c>
      <c r="P1995" s="56">
        <v>0</v>
      </c>
      <c r="Q1995" s="56">
        <v>961</v>
      </c>
      <c r="R1995" s="56">
        <v>0</v>
      </c>
      <c r="S1995" s="56">
        <v>0</v>
      </c>
      <c r="T1995" s="56" t="s">
        <v>27</v>
      </c>
      <c r="U1995" s="56">
        <v>961</v>
      </c>
      <c r="V1995" s="56" t="s">
        <v>3612</v>
      </c>
      <c r="W1995" s="56" t="s">
        <v>3548</v>
      </c>
      <c r="X1995" s="56" t="s">
        <v>3611</v>
      </c>
      <c r="Z1995" s="56" t="s">
        <v>3546</v>
      </c>
      <c r="AA1995" s="56" t="s">
        <v>4332</v>
      </c>
      <c r="AB1995" s="56" t="s">
        <v>4331</v>
      </c>
      <c r="AC1995" s="56" t="s">
        <v>3543</v>
      </c>
      <c r="AH1995" s="56" t="s">
        <v>3542</v>
      </c>
      <c r="AI1995" s="56" t="s">
        <v>3541</v>
      </c>
    </row>
    <row r="1996" spans="1:35" ht="33" customHeight="1">
      <c r="A1996" s="56" t="s">
        <v>4335</v>
      </c>
      <c r="B1996" s="57">
        <v>44366.483935185184</v>
      </c>
      <c r="C1996" s="56" t="s">
        <v>3803</v>
      </c>
      <c r="D1996" s="56" t="s">
        <v>25</v>
      </c>
      <c r="E1996" s="56" t="s">
        <v>4334</v>
      </c>
      <c r="F1996" s="56" t="s">
        <v>4333</v>
      </c>
      <c r="G1996" s="58" t="s">
        <v>3603</v>
      </c>
      <c r="H1996" s="56">
        <v>1</v>
      </c>
      <c r="I1996" s="56" t="s">
        <v>3602</v>
      </c>
      <c r="J1996" s="56">
        <v>447</v>
      </c>
      <c r="K1996" s="56">
        <v>399</v>
      </c>
      <c r="P1996" s="56">
        <v>0</v>
      </c>
      <c r="S1996" s="56">
        <v>0</v>
      </c>
      <c r="T1996" s="56" t="s">
        <v>27</v>
      </c>
      <c r="V1996" s="56" t="s">
        <v>3612</v>
      </c>
      <c r="W1996" s="56" t="s">
        <v>3548</v>
      </c>
      <c r="X1996" s="56" t="s">
        <v>3611</v>
      </c>
      <c r="Z1996" s="56" t="s">
        <v>3546</v>
      </c>
      <c r="AA1996" s="56" t="s">
        <v>4332</v>
      </c>
      <c r="AB1996" s="56" t="s">
        <v>4331</v>
      </c>
      <c r="AC1996" s="56" t="s">
        <v>3543</v>
      </c>
      <c r="AH1996" s="56" t="s">
        <v>3542</v>
      </c>
      <c r="AI1996" s="56" t="s">
        <v>3541</v>
      </c>
    </row>
    <row r="1997" spans="1:35" ht="33" customHeight="1">
      <c r="A1997" s="56" t="s">
        <v>4335</v>
      </c>
      <c r="B1997" s="57">
        <v>44366.483935185184</v>
      </c>
      <c r="C1997" s="56" t="s">
        <v>3803</v>
      </c>
      <c r="D1997" s="56" t="s">
        <v>25</v>
      </c>
      <c r="E1997" s="56" t="s">
        <v>4334</v>
      </c>
      <c r="F1997" s="56" t="s">
        <v>4333</v>
      </c>
      <c r="G1997" s="58" t="s">
        <v>1353</v>
      </c>
      <c r="H1997" s="56">
        <v>1</v>
      </c>
      <c r="I1997" s="56" t="s">
        <v>4037</v>
      </c>
      <c r="J1997" s="56">
        <v>59</v>
      </c>
      <c r="K1997" s="56">
        <v>59</v>
      </c>
      <c r="P1997" s="56">
        <v>0</v>
      </c>
      <c r="S1997" s="56">
        <v>0</v>
      </c>
      <c r="T1997" s="56" t="s">
        <v>27</v>
      </c>
      <c r="V1997" s="56" t="s">
        <v>3612</v>
      </c>
      <c r="W1997" s="56" t="s">
        <v>3548</v>
      </c>
      <c r="X1997" s="56" t="s">
        <v>3611</v>
      </c>
      <c r="Z1997" s="56" t="s">
        <v>3546</v>
      </c>
      <c r="AA1997" s="56" t="s">
        <v>4332</v>
      </c>
      <c r="AB1997" s="56" t="s">
        <v>4331</v>
      </c>
      <c r="AC1997" s="56" t="s">
        <v>3543</v>
      </c>
      <c r="AH1997" s="56" t="s">
        <v>3542</v>
      </c>
      <c r="AI1997" s="56" t="s">
        <v>3541</v>
      </c>
    </row>
    <row r="1998" spans="1:35" ht="33" customHeight="1">
      <c r="A1998" s="56" t="s">
        <v>4335</v>
      </c>
      <c r="B1998" s="57">
        <v>44366.483935185184</v>
      </c>
      <c r="C1998" s="56" t="s">
        <v>3803</v>
      </c>
      <c r="D1998" s="56" t="s">
        <v>25</v>
      </c>
      <c r="E1998" s="56" t="s">
        <v>4334</v>
      </c>
      <c r="F1998" s="56" t="s">
        <v>4333</v>
      </c>
      <c r="G1998" s="58" t="s">
        <v>3217</v>
      </c>
      <c r="H1998" s="56">
        <v>1</v>
      </c>
      <c r="I1998" s="56" t="s">
        <v>3720</v>
      </c>
      <c r="J1998" s="56">
        <v>59</v>
      </c>
      <c r="K1998" s="56">
        <v>59</v>
      </c>
      <c r="P1998" s="56">
        <v>0</v>
      </c>
      <c r="S1998" s="56">
        <v>0</v>
      </c>
      <c r="T1998" s="56" t="s">
        <v>27</v>
      </c>
      <c r="V1998" s="56" t="s">
        <v>3612</v>
      </c>
      <c r="W1998" s="56" t="s">
        <v>3548</v>
      </c>
      <c r="X1998" s="56" t="s">
        <v>3611</v>
      </c>
      <c r="Z1998" s="56" t="s">
        <v>3546</v>
      </c>
      <c r="AA1998" s="56" t="s">
        <v>4332</v>
      </c>
      <c r="AB1998" s="56" t="s">
        <v>4331</v>
      </c>
      <c r="AC1998" s="56" t="s">
        <v>3543</v>
      </c>
      <c r="AH1998" s="56" t="s">
        <v>3542</v>
      </c>
      <c r="AI1998" s="56" t="s">
        <v>3541</v>
      </c>
    </row>
    <row r="1999" spans="1:35" ht="33" customHeight="1">
      <c r="A1999" s="56" t="s">
        <v>4335</v>
      </c>
      <c r="B1999" s="57">
        <v>44366.483935185184</v>
      </c>
      <c r="C1999" s="56" t="s">
        <v>3803</v>
      </c>
      <c r="D1999" s="56" t="s">
        <v>25</v>
      </c>
      <c r="E1999" s="56" t="s">
        <v>4334</v>
      </c>
      <c r="F1999" s="56" t="s">
        <v>4333</v>
      </c>
      <c r="G1999" s="58" t="s">
        <v>3222</v>
      </c>
      <c r="H1999" s="56">
        <v>1</v>
      </c>
      <c r="I1999" s="56" t="s">
        <v>3712</v>
      </c>
      <c r="J1999" s="56">
        <v>59</v>
      </c>
      <c r="K1999" s="56">
        <v>59</v>
      </c>
      <c r="P1999" s="56">
        <v>0</v>
      </c>
      <c r="S1999" s="56">
        <v>0</v>
      </c>
      <c r="T1999" s="56" t="s">
        <v>27</v>
      </c>
      <c r="V1999" s="56" t="s">
        <v>3612</v>
      </c>
      <c r="W1999" s="56" t="s">
        <v>3548</v>
      </c>
      <c r="X1999" s="56" t="s">
        <v>3611</v>
      </c>
      <c r="Z1999" s="56" t="s">
        <v>3546</v>
      </c>
      <c r="AA1999" s="56" t="s">
        <v>4332</v>
      </c>
      <c r="AB1999" s="56" t="s">
        <v>4331</v>
      </c>
      <c r="AC1999" s="56" t="s">
        <v>3543</v>
      </c>
      <c r="AH1999" s="56" t="s">
        <v>3542</v>
      </c>
      <c r="AI1999" s="56" t="s">
        <v>3541</v>
      </c>
    </row>
    <row r="2000" spans="1:35" ht="33" customHeight="1">
      <c r="A2000" s="56" t="s">
        <v>4335</v>
      </c>
      <c r="B2000" s="57">
        <v>44366.483935185184</v>
      </c>
      <c r="C2000" s="56" t="s">
        <v>3803</v>
      </c>
      <c r="D2000" s="56" t="s">
        <v>25</v>
      </c>
      <c r="E2000" s="56" t="s">
        <v>4334</v>
      </c>
      <c r="F2000" s="56" t="s">
        <v>4333</v>
      </c>
      <c r="G2000" s="58" t="s">
        <v>3551</v>
      </c>
      <c r="H2000" s="56">
        <v>1</v>
      </c>
      <c r="I2000" s="56" t="s">
        <v>3550</v>
      </c>
      <c r="J2000" s="56">
        <v>0</v>
      </c>
      <c r="K2000" s="56">
        <v>0</v>
      </c>
      <c r="P2000" s="56">
        <v>0</v>
      </c>
      <c r="S2000" s="56">
        <v>0</v>
      </c>
      <c r="T2000" s="56" t="s">
        <v>27</v>
      </c>
      <c r="V2000" s="56" t="s">
        <v>3612</v>
      </c>
      <c r="W2000" s="56" t="s">
        <v>3548</v>
      </c>
      <c r="X2000" s="56" t="s">
        <v>3611</v>
      </c>
      <c r="Z2000" s="56" t="s">
        <v>3546</v>
      </c>
      <c r="AA2000" s="56" t="s">
        <v>4332</v>
      </c>
      <c r="AB2000" s="56" t="s">
        <v>4331</v>
      </c>
      <c r="AC2000" s="56" t="s">
        <v>3543</v>
      </c>
      <c r="AH2000" s="56" t="s">
        <v>3542</v>
      </c>
      <c r="AI2000" s="56" t="s">
        <v>3541</v>
      </c>
    </row>
    <row r="2001" spans="1:35" ht="33" customHeight="1">
      <c r="A2001" s="56" t="s">
        <v>4335</v>
      </c>
      <c r="B2001" s="57">
        <v>44366.483935185184</v>
      </c>
      <c r="C2001" s="56" t="s">
        <v>3803</v>
      </c>
      <c r="D2001" s="56" t="s">
        <v>25</v>
      </c>
      <c r="E2001" s="56" t="s">
        <v>4334</v>
      </c>
      <c r="F2001" s="56" t="s">
        <v>4333</v>
      </c>
      <c r="G2001" s="58" t="s">
        <v>1498</v>
      </c>
      <c r="H2001" s="56">
        <v>1</v>
      </c>
      <c r="I2001" s="56" t="s">
        <v>4016</v>
      </c>
      <c r="J2001" s="56">
        <v>0</v>
      </c>
      <c r="K2001" s="56">
        <v>0</v>
      </c>
      <c r="P2001" s="56">
        <v>0</v>
      </c>
      <c r="S2001" s="56">
        <v>0</v>
      </c>
      <c r="T2001" s="56" t="s">
        <v>27</v>
      </c>
      <c r="V2001" s="56" t="s">
        <v>3612</v>
      </c>
      <c r="W2001" s="56" t="s">
        <v>3548</v>
      </c>
      <c r="X2001" s="56" t="s">
        <v>3611</v>
      </c>
      <c r="Z2001" s="56" t="s">
        <v>3546</v>
      </c>
      <c r="AA2001" s="56" t="s">
        <v>4332</v>
      </c>
      <c r="AB2001" s="56" t="s">
        <v>4331</v>
      </c>
      <c r="AC2001" s="56" t="s">
        <v>3543</v>
      </c>
      <c r="AH2001" s="56" t="s">
        <v>3542</v>
      </c>
      <c r="AI2001" s="56" t="s">
        <v>3541</v>
      </c>
    </row>
    <row r="2002" spans="1:35" ht="33" customHeight="1">
      <c r="A2002" s="56" t="s">
        <v>4330</v>
      </c>
      <c r="B2002" s="57">
        <v>44366.494375000002</v>
      </c>
      <c r="C2002" s="56" t="s">
        <v>3803</v>
      </c>
      <c r="D2002" s="56" t="s">
        <v>25</v>
      </c>
      <c r="E2002" s="56" t="s">
        <v>4329</v>
      </c>
      <c r="F2002" s="56" t="s">
        <v>4328</v>
      </c>
      <c r="G2002" s="58" t="s">
        <v>3656</v>
      </c>
      <c r="H2002" s="56">
        <v>1</v>
      </c>
      <c r="I2002" s="56" t="s">
        <v>3655</v>
      </c>
      <c r="J2002" s="56">
        <v>1107</v>
      </c>
      <c r="K2002" s="56">
        <v>799</v>
      </c>
      <c r="L2002" s="56">
        <v>1692</v>
      </c>
      <c r="M2002" s="56">
        <v>0</v>
      </c>
      <c r="N2002" s="56">
        <v>0</v>
      </c>
      <c r="O2002" s="56">
        <v>100</v>
      </c>
      <c r="P2002" s="56">
        <v>0</v>
      </c>
      <c r="Q2002" s="56">
        <v>1592</v>
      </c>
      <c r="R2002" s="56">
        <v>0</v>
      </c>
      <c r="S2002" s="56">
        <v>0</v>
      </c>
      <c r="T2002" s="56" t="s">
        <v>27</v>
      </c>
      <c r="U2002" s="56">
        <v>1592</v>
      </c>
      <c r="V2002" s="56" t="s">
        <v>3549</v>
      </c>
      <c r="W2002" s="56" t="s">
        <v>3548</v>
      </c>
      <c r="X2002" s="56" t="s">
        <v>3547</v>
      </c>
      <c r="Z2002" s="56" t="s">
        <v>3546</v>
      </c>
      <c r="AA2002" s="56" t="s">
        <v>4327</v>
      </c>
      <c r="AB2002" s="56" t="s">
        <v>4326</v>
      </c>
      <c r="AC2002" s="56" t="s">
        <v>3842</v>
      </c>
      <c r="AH2002" s="56" t="s">
        <v>3542</v>
      </c>
      <c r="AI2002" s="56" t="s">
        <v>3541</v>
      </c>
    </row>
    <row r="2003" spans="1:35" ht="33" customHeight="1">
      <c r="A2003" s="56" t="s">
        <v>4330</v>
      </c>
      <c r="B2003" s="57">
        <v>44366.494375000002</v>
      </c>
      <c r="C2003" s="56" t="s">
        <v>3803</v>
      </c>
      <c r="D2003" s="56" t="s">
        <v>25</v>
      </c>
      <c r="E2003" s="56" t="s">
        <v>4329</v>
      </c>
      <c r="F2003" s="56" t="s">
        <v>4328</v>
      </c>
      <c r="G2003" s="58" t="s">
        <v>1510</v>
      </c>
      <c r="H2003" s="56">
        <v>1</v>
      </c>
      <c r="I2003" s="56" t="s">
        <v>359</v>
      </c>
      <c r="J2003" s="56">
        <v>295</v>
      </c>
      <c r="K2003" s="56">
        <v>295</v>
      </c>
      <c r="P2003" s="56">
        <v>0</v>
      </c>
      <c r="S2003" s="56">
        <v>0</v>
      </c>
      <c r="T2003" s="56" t="s">
        <v>27</v>
      </c>
      <c r="V2003" s="56" t="s">
        <v>3549</v>
      </c>
      <c r="W2003" s="56" t="s">
        <v>3548</v>
      </c>
      <c r="X2003" s="56" t="s">
        <v>3547</v>
      </c>
      <c r="Z2003" s="56" t="s">
        <v>3546</v>
      </c>
      <c r="AA2003" s="56" t="s">
        <v>4327</v>
      </c>
      <c r="AB2003" s="56" t="s">
        <v>4326</v>
      </c>
      <c r="AC2003" s="56" t="s">
        <v>3842</v>
      </c>
      <c r="AH2003" s="56" t="s">
        <v>3542</v>
      </c>
      <c r="AI2003" s="56" t="s">
        <v>3541</v>
      </c>
    </row>
    <row r="2004" spans="1:35" ht="33" customHeight="1">
      <c r="A2004" s="56" t="s">
        <v>4330</v>
      </c>
      <c r="B2004" s="57">
        <v>44366.494375000002</v>
      </c>
      <c r="C2004" s="56" t="s">
        <v>3803</v>
      </c>
      <c r="D2004" s="56" t="s">
        <v>25</v>
      </c>
      <c r="E2004" s="56" t="s">
        <v>4329</v>
      </c>
      <c r="F2004" s="56" t="s">
        <v>4328</v>
      </c>
      <c r="G2004" s="58" t="s">
        <v>1531</v>
      </c>
      <c r="H2004" s="56">
        <v>1</v>
      </c>
      <c r="I2004" s="56" t="s">
        <v>3696</v>
      </c>
      <c r="J2004" s="56">
        <v>299</v>
      </c>
      <c r="K2004" s="56">
        <v>299</v>
      </c>
      <c r="P2004" s="56">
        <v>0</v>
      </c>
      <c r="S2004" s="56">
        <v>0</v>
      </c>
      <c r="T2004" s="56" t="s">
        <v>27</v>
      </c>
      <c r="V2004" s="56" t="s">
        <v>3549</v>
      </c>
      <c r="W2004" s="56" t="s">
        <v>3548</v>
      </c>
      <c r="X2004" s="56" t="s">
        <v>3547</v>
      </c>
      <c r="Z2004" s="56" t="s">
        <v>3546</v>
      </c>
      <c r="AA2004" s="56" t="s">
        <v>4327</v>
      </c>
      <c r="AB2004" s="56" t="s">
        <v>4326</v>
      </c>
      <c r="AC2004" s="56" t="s">
        <v>3842</v>
      </c>
      <c r="AH2004" s="56" t="s">
        <v>3542</v>
      </c>
      <c r="AI2004" s="56" t="s">
        <v>3541</v>
      </c>
    </row>
    <row r="2005" spans="1:35" ht="33" customHeight="1">
      <c r="A2005" s="56" t="s">
        <v>4330</v>
      </c>
      <c r="B2005" s="57">
        <v>44366.494375000002</v>
      </c>
      <c r="C2005" s="56" t="s">
        <v>3803</v>
      </c>
      <c r="D2005" s="56" t="s">
        <v>25</v>
      </c>
      <c r="E2005" s="56" t="s">
        <v>4329</v>
      </c>
      <c r="F2005" s="56" t="s">
        <v>4328</v>
      </c>
      <c r="G2005" s="58" t="s">
        <v>1508</v>
      </c>
      <c r="H2005" s="56">
        <v>1</v>
      </c>
      <c r="I2005" s="56" t="s">
        <v>3696</v>
      </c>
      <c r="J2005" s="56">
        <v>299</v>
      </c>
      <c r="K2005" s="56">
        <v>299</v>
      </c>
      <c r="P2005" s="56">
        <v>0</v>
      </c>
      <c r="S2005" s="56">
        <v>0</v>
      </c>
      <c r="T2005" s="56" t="s">
        <v>27</v>
      </c>
      <c r="V2005" s="56" t="s">
        <v>3549</v>
      </c>
      <c r="W2005" s="56" t="s">
        <v>3548</v>
      </c>
      <c r="X2005" s="56" t="s">
        <v>3547</v>
      </c>
      <c r="Z2005" s="56" t="s">
        <v>3546</v>
      </c>
      <c r="AA2005" s="56" t="s">
        <v>4327</v>
      </c>
      <c r="AB2005" s="56" t="s">
        <v>4326</v>
      </c>
      <c r="AC2005" s="56" t="s">
        <v>3842</v>
      </c>
      <c r="AH2005" s="56" t="s">
        <v>3542</v>
      </c>
      <c r="AI2005" s="56" t="s">
        <v>3541</v>
      </c>
    </row>
    <row r="2006" spans="1:35" ht="33" customHeight="1">
      <c r="A2006" s="56" t="s">
        <v>4330</v>
      </c>
      <c r="B2006" s="57">
        <v>44366.494375000002</v>
      </c>
      <c r="C2006" s="56" t="s">
        <v>3803</v>
      </c>
      <c r="D2006" s="56" t="s">
        <v>25</v>
      </c>
      <c r="E2006" s="56" t="s">
        <v>4329</v>
      </c>
      <c r="F2006" s="56" t="s">
        <v>4328</v>
      </c>
      <c r="G2006" s="58" t="s">
        <v>3551</v>
      </c>
      <c r="H2006" s="56">
        <v>1</v>
      </c>
      <c r="I2006" s="56" t="s">
        <v>3550</v>
      </c>
      <c r="J2006" s="56">
        <v>0</v>
      </c>
      <c r="K2006" s="56">
        <v>0</v>
      </c>
      <c r="P2006" s="56">
        <v>0</v>
      </c>
      <c r="S2006" s="56">
        <v>0</v>
      </c>
      <c r="T2006" s="56" t="s">
        <v>27</v>
      </c>
      <c r="V2006" s="56" t="s">
        <v>3549</v>
      </c>
      <c r="W2006" s="56" t="s">
        <v>3548</v>
      </c>
      <c r="X2006" s="56" t="s">
        <v>3547</v>
      </c>
      <c r="Z2006" s="56" t="s">
        <v>3546</v>
      </c>
      <c r="AA2006" s="56" t="s">
        <v>4327</v>
      </c>
      <c r="AB2006" s="56" t="s">
        <v>4326</v>
      </c>
      <c r="AC2006" s="56" t="s">
        <v>3842</v>
      </c>
      <c r="AH2006" s="56" t="s">
        <v>3542</v>
      </c>
      <c r="AI2006" s="56" t="s">
        <v>3541</v>
      </c>
    </row>
    <row r="2007" spans="1:35" ht="33" customHeight="1">
      <c r="A2007" s="56" t="s">
        <v>4330</v>
      </c>
      <c r="B2007" s="57">
        <v>44366.494375000002</v>
      </c>
      <c r="C2007" s="56" t="s">
        <v>3803</v>
      </c>
      <c r="D2007" s="56" t="s">
        <v>25</v>
      </c>
      <c r="E2007" s="56" t="s">
        <v>4329</v>
      </c>
      <c r="F2007" s="56" t="s">
        <v>4328</v>
      </c>
      <c r="G2007" s="58" t="s">
        <v>1713</v>
      </c>
      <c r="H2007" s="56">
        <v>1</v>
      </c>
      <c r="I2007" s="56" t="s">
        <v>3568</v>
      </c>
      <c r="J2007" s="56">
        <v>0</v>
      </c>
      <c r="K2007" s="56">
        <v>0</v>
      </c>
      <c r="P2007" s="56">
        <v>0</v>
      </c>
      <c r="S2007" s="56">
        <v>0</v>
      </c>
      <c r="T2007" s="56" t="s">
        <v>27</v>
      </c>
      <c r="V2007" s="56" t="s">
        <v>3549</v>
      </c>
      <c r="W2007" s="56" t="s">
        <v>3548</v>
      </c>
      <c r="X2007" s="56" t="s">
        <v>3547</v>
      </c>
      <c r="Z2007" s="56" t="s">
        <v>3546</v>
      </c>
      <c r="AA2007" s="56" t="s">
        <v>4327</v>
      </c>
      <c r="AB2007" s="56" t="s">
        <v>4326</v>
      </c>
      <c r="AC2007" s="56" t="s">
        <v>3842</v>
      </c>
      <c r="AH2007" s="56" t="s">
        <v>3542</v>
      </c>
      <c r="AI2007" s="56" t="s">
        <v>3541</v>
      </c>
    </row>
    <row r="2008" spans="1:35" ht="33" customHeight="1">
      <c r="A2008" s="56" t="s">
        <v>4330</v>
      </c>
      <c r="B2008" s="57">
        <v>44366.494375000002</v>
      </c>
      <c r="C2008" s="56" t="s">
        <v>3803</v>
      </c>
      <c r="D2008" s="56" t="s">
        <v>25</v>
      </c>
      <c r="E2008" s="56" t="s">
        <v>4329</v>
      </c>
      <c r="F2008" s="56" t="s">
        <v>4328</v>
      </c>
      <c r="G2008" s="58" t="s">
        <v>1498</v>
      </c>
      <c r="H2008" s="56">
        <v>1</v>
      </c>
      <c r="I2008" s="56" t="s">
        <v>4016</v>
      </c>
      <c r="J2008" s="56">
        <v>0</v>
      </c>
      <c r="K2008" s="56">
        <v>0</v>
      </c>
      <c r="P2008" s="56">
        <v>0</v>
      </c>
      <c r="S2008" s="56">
        <v>0</v>
      </c>
      <c r="T2008" s="56" t="s">
        <v>27</v>
      </c>
      <c r="V2008" s="56" t="s">
        <v>3549</v>
      </c>
      <c r="W2008" s="56" t="s">
        <v>3548</v>
      </c>
      <c r="X2008" s="56" t="s">
        <v>3547</v>
      </c>
      <c r="Z2008" s="56" t="s">
        <v>3546</v>
      </c>
      <c r="AA2008" s="56" t="s">
        <v>4327</v>
      </c>
      <c r="AB2008" s="56" t="s">
        <v>4326</v>
      </c>
      <c r="AC2008" s="56" t="s">
        <v>3842</v>
      </c>
      <c r="AH2008" s="56" t="s">
        <v>3542</v>
      </c>
      <c r="AI2008" s="56" t="s">
        <v>3541</v>
      </c>
    </row>
    <row r="2009" spans="1:35" ht="33" customHeight="1">
      <c r="A2009" s="56" t="s">
        <v>4325</v>
      </c>
      <c r="B2009" s="57">
        <v>44366.523634259262</v>
      </c>
      <c r="C2009" s="56" t="s">
        <v>3803</v>
      </c>
      <c r="D2009" s="56" t="s">
        <v>25</v>
      </c>
      <c r="E2009" s="56" t="s">
        <v>4324</v>
      </c>
      <c r="F2009" s="56" t="s">
        <v>4323</v>
      </c>
      <c r="G2009" s="58" t="s">
        <v>1354</v>
      </c>
      <c r="H2009" s="56">
        <v>1</v>
      </c>
      <c r="I2009" s="56" t="s">
        <v>4037</v>
      </c>
      <c r="J2009" s="56">
        <v>59</v>
      </c>
      <c r="K2009" s="56">
        <v>59</v>
      </c>
      <c r="L2009" s="56">
        <v>1088</v>
      </c>
      <c r="M2009" s="56">
        <v>0</v>
      </c>
      <c r="N2009" s="56">
        <v>0</v>
      </c>
      <c r="O2009" s="56">
        <v>109</v>
      </c>
      <c r="P2009" s="56">
        <v>0</v>
      </c>
      <c r="Q2009" s="56">
        <v>979</v>
      </c>
      <c r="R2009" s="56">
        <v>0</v>
      </c>
      <c r="S2009" s="56">
        <v>0</v>
      </c>
      <c r="T2009" s="56" t="s">
        <v>27</v>
      </c>
      <c r="U2009" s="56">
        <v>979</v>
      </c>
      <c r="V2009" s="56" t="s">
        <v>3549</v>
      </c>
      <c r="W2009" s="56" t="s">
        <v>3548</v>
      </c>
      <c r="X2009" s="56" t="s">
        <v>3547</v>
      </c>
      <c r="Z2009" s="56" t="s">
        <v>3546</v>
      </c>
      <c r="AA2009" s="56" t="s">
        <v>4322</v>
      </c>
      <c r="AB2009" s="56" t="s">
        <v>4321</v>
      </c>
      <c r="AC2009" s="56" t="s">
        <v>3543</v>
      </c>
      <c r="AH2009" s="56" t="s">
        <v>3542</v>
      </c>
      <c r="AI2009" s="56" t="s">
        <v>3541</v>
      </c>
    </row>
    <row r="2010" spans="1:35" ht="33" customHeight="1">
      <c r="A2010" s="56" t="s">
        <v>4325</v>
      </c>
      <c r="B2010" s="57">
        <v>44366.523634259262</v>
      </c>
      <c r="C2010" s="56" t="s">
        <v>3803</v>
      </c>
      <c r="D2010" s="56" t="s">
        <v>25</v>
      </c>
      <c r="E2010" s="56" t="s">
        <v>4324</v>
      </c>
      <c r="F2010" s="56" t="s">
        <v>4323</v>
      </c>
      <c r="G2010" s="58" t="s">
        <v>3593</v>
      </c>
      <c r="H2010" s="56">
        <v>1</v>
      </c>
      <c r="I2010" s="56" t="s">
        <v>3577</v>
      </c>
      <c r="J2010" s="56">
        <v>700</v>
      </c>
      <c r="K2010" s="56">
        <v>599</v>
      </c>
      <c r="P2010" s="56">
        <v>0</v>
      </c>
      <c r="S2010" s="56">
        <v>0</v>
      </c>
      <c r="T2010" s="56" t="s">
        <v>27</v>
      </c>
      <c r="V2010" s="56" t="s">
        <v>3549</v>
      </c>
      <c r="W2010" s="56" t="s">
        <v>3548</v>
      </c>
      <c r="X2010" s="56" t="s">
        <v>3547</v>
      </c>
      <c r="Z2010" s="56" t="s">
        <v>3546</v>
      </c>
      <c r="AA2010" s="56" t="s">
        <v>4322</v>
      </c>
      <c r="AB2010" s="56" t="s">
        <v>4321</v>
      </c>
      <c r="AC2010" s="56" t="s">
        <v>3543</v>
      </c>
      <c r="AH2010" s="56" t="s">
        <v>3542</v>
      </c>
      <c r="AI2010" s="56" t="s">
        <v>3541</v>
      </c>
    </row>
    <row r="2011" spans="1:35" ht="33" customHeight="1">
      <c r="A2011" s="56" t="s">
        <v>4325</v>
      </c>
      <c r="B2011" s="57">
        <v>44366.523634259262</v>
      </c>
      <c r="C2011" s="56" t="s">
        <v>3803</v>
      </c>
      <c r="D2011" s="56" t="s">
        <v>25</v>
      </c>
      <c r="E2011" s="56" t="s">
        <v>4324</v>
      </c>
      <c r="F2011" s="56" t="s">
        <v>4323</v>
      </c>
      <c r="G2011" s="58" t="s">
        <v>3654</v>
      </c>
      <c r="H2011" s="56">
        <v>1</v>
      </c>
      <c r="I2011" s="56" t="s">
        <v>3653</v>
      </c>
      <c r="J2011" s="56">
        <v>447</v>
      </c>
      <c r="K2011" s="56">
        <v>430</v>
      </c>
      <c r="P2011" s="56">
        <v>0</v>
      </c>
      <c r="S2011" s="56">
        <v>0</v>
      </c>
      <c r="T2011" s="56" t="s">
        <v>27</v>
      </c>
      <c r="V2011" s="56" t="s">
        <v>3549</v>
      </c>
      <c r="W2011" s="56" t="s">
        <v>3548</v>
      </c>
      <c r="X2011" s="56" t="s">
        <v>3547</v>
      </c>
      <c r="Z2011" s="56" t="s">
        <v>3546</v>
      </c>
      <c r="AA2011" s="56" t="s">
        <v>4322</v>
      </c>
      <c r="AB2011" s="56" t="s">
        <v>4321</v>
      </c>
      <c r="AC2011" s="56" t="s">
        <v>3543</v>
      </c>
      <c r="AH2011" s="56" t="s">
        <v>3542</v>
      </c>
      <c r="AI2011" s="56" t="s">
        <v>3541</v>
      </c>
    </row>
    <row r="2012" spans="1:35" ht="33" customHeight="1">
      <c r="A2012" s="56" t="s">
        <v>4325</v>
      </c>
      <c r="B2012" s="57">
        <v>44366.523634259262</v>
      </c>
      <c r="C2012" s="56" t="s">
        <v>3803</v>
      </c>
      <c r="D2012" s="56" t="s">
        <v>25</v>
      </c>
      <c r="E2012" s="56" t="s">
        <v>4324</v>
      </c>
      <c r="F2012" s="56" t="s">
        <v>4323</v>
      </c>
      <c r="G2012" s="58" t="s">
        <v>3551</v>
      </c>
      <c r="H2012" s="56">
        <v>1</v>
      </c>
      <c r="I2012" s="56" t="s">
        <v>3550</v>
      </c>
      <c r="J2012" s="56">
        <v>0</v>
      </c>
      <c r="K2012" s="56">
        <v>0</v>
      </c>
      <c r="P2012" s="56">
        <v>0</v>
      </c>
      <c r="S2012" s="56">
        <v>0</v>
      </c>
      <c r="T2012" s="56" t="s">
        <v>27</v>
      </c>
      <c r="V2012" s="56" t="s">
        <v>3549</v>
      </c>
      <c r="W2012" s="56" t="s">
        <v>3548</v>
      </c>
      <c r="X2012" s="56" t="s">
        <v>3547</v>
      </c>
      <c r="Z2012" s="56" t="s">
        <v>3546</v>
      </c>
      <c r="AA2012" s="56" t="s">
        <v>4322</v>
      </c>
      <c r="AB2012" s="56" t="s">
        <v>4321</v>
      </c>
      <c r="AC2012" s="56" t="s">
        <v>3543</v>
      </c>
      <c r="AH2012" s="56" t="s">
        <v>3542</v>
      </c>
      <c r="AI2012" s="56" t="s">
        <v>3541</v>
      </c>
    </row>
    <row r="2013" spans="1:35" ht="33" customHeight="1">
      <c r="A2013" s="56" t="s">
        <v>4325</v>
      </c>
      <c r="B2013" s="57">
        <v>44366.523634259262</v>
      </c>
      <c r="C2013" s="56" t="s">
        <v>3803</v>
      </c>
      <c r="D2013" s="56" t="s">
        <v>25</v>
      </c>
      <c r="E2013" s="56" t="s">
        <v>4324</v>
      </c>
      <c r="F2013" s="56" t="s">
        <v>4323</v>
      </c>
      <c r="G2013" s="58" t="s">
        <v>1498</v>
      </c>
      <c r="H2013" s="56">
        <v>1</v>
      </c>
      <c r="I2013" s="56" t="s">
        <v>4016</v>
      </c>
      <c r="J2013" s="56">
        <v>0</v>
      </c>
      <c r="K2013" s="56">
        <v>0</v>
      </c>
      <c r="P2013" s="56">
        <v>0</v>
      </c>
      <c r="S2013" s="56">
        <v>0</v>
      </c>
      <c r="T2013" s="56" t="s">
        <v>27</v>
      </c>
      <c r="V2013" s="56" t="s">
        <v>3549</v>
      </c>
      <c r="W2013" s="56" t="s">
        <v>3548</v>
      </c>
      <c r="X2013" s="56" t="s">
        <v>3547</v>
      </c>
      <c r="Z2013" s="56" t="s">
        <v>3546</v>
      </c>
      <c r="AA2013" s="56" t="s">
        <v>4322</v>
      </c>
      <c r="AB2013" s="56" t="s">
        <v>4321</v>
      </c>
      <c r="AC2013" s="56" t="s">
        <v>3543</v>
      </c>
      <c r="AH2013" s="56" t="s">
        <v>3542</v>
      </c>
      <c r="AI2013" s="56" t="s">
        <v>3541</v>
      </c>
    </row>
    <row r="2014" spans="1:35" ht="33" customHeight="1">
      <c r="A2014" s="56" t="s">
        <v>4320</v>
      </c>
      <c r="B2014" s="57">
        <v>44366.536562499998</v>
      </c>
      <c r="C2014" s="56" t="s">
        <v>3803</v>
      </c>
      <c r="D2014" s="56" t="s">
        <v>25</v>
      </c>
      <c r="E2014" s="56" t="s">
        <v>4319</v>
      </c>
      <c r="F2014" s="56" t="s">
        <v>4318</v>
      </c>
      <c r="G2014" s="58" t="s">
        <v>3192</v>
      </c>
      <c r="H2014" s="56">
        <v>1</v>
      </c>
      <c r="I2014" s="56" t="s">
        <v>3722</v>
      </c>
      <c r="J2014" s="56">
        <v>168</v>
      </c>
      <c r="K2014" s="56">
        <v>168</v>
      </c>
      <c r="L2014" s="56">
        <v>718</v>
      </c>
      <c r="M2014" s="56">
        <v>65</v>
      </c>
      <c r="N2014" s="56">
        <v>0</v>
      </c>
      <c r="O2014" s="56">
        <v>0</v>
      </c>
      <c r="P2014" s="56">
        <v>0</v>
      </c>
      <c r="Q2014" s="56">
        <v>783</v>
      </c>
      <c r="R2014" s="56">
        <v>0</v>
      </c>
      <c r="S2014" s="56">
        <v>0</v>
      </c>
      <c r="T2014" s="56" t="s">
        <v>27</v>
      </c>
      <c r="U2014" s="56">
        <v>783</v>
      </c>
      <c r="V2014" s="56" t="s">
        <v>3549</v>
      </c>
      <c r="W2014" s="56" t="s">
        <v>3548</v>
      </c>
      <c r="X2014" s="56" t="s">
        <v>3547</v>
      </c>
      <c r="Z2014" s="56" t="s">
        <v>3546</v>
      </c>
      <c r="AA2014" s="56" t="s">
        <v>4317</v>
      </c>
      <c r="AB2014" s="56" t="s">
        <v>4316</v>
      </c>
      <c r="AC2014" s="56" t="s">
        <v>3543</v>
      </c>
      <c r="AH2014" s="56" t="s">
        <v>3542</v>
      </c>
      <c r="AI2014" s="56" t="s">
        <v>3541</v>
      </c>
    </row>
    <row r="2015" spans="1:35" ht="33" customHeight="1">
      <c r="A2015" s="56" t="s">
        <v>4320</v>
      </c>
      <c r="B2015" s="57">
        <v>44366.536562499998</v>
      </c>
      <c r="C2015" s="56" t="s">
        <v>3803</v>
      </c>
      <c r="D2015" s="56" t="s">
        <v>25</v>
      </c>
      <c r="E2015" s="56" t="s">
        <v>4319</v>
      </c>
      <c r="F2015" s="56" t="s">
        <v>4318</v>
      </c>
      <c r="G2015" s="58" t="s">
        <v>3732</v>
      </c>
      <c r="H2015" s="56">
        <v>1</v>
      </c>
      <c r="I2015" s="56" t="s">
        <v>3731</v>
      </c>
      <c r="J2015" s="56">
        <v>867</v>
      </c>
      <c r="K2015" s="56">
        <v>550</v>
      </c>
      <c r="P2015" s="56">
        <v>0</v>
      </c>
      <c r="S2015" s="56">
        <v>0</v>
      </c>
      <c r="T2015" s="56" t="s">
        <v>27</v>
      </c>
      <c r="V2015" s="56" t="s">
        <v>3549</v>
      </c>
      <c r="W2015" s="56" t="s">
        <v>3548</v>
      </c>
      <c r="X2015" s="56" t="s">
        <v>3547</v>
      </c>
      <c r="Z2015" s="56" t="s">
        <v>3546</v>
      </c>
      <c r="AA2015" s="56" t="s">
        <v>4317</v>
      </c>
      <c r="AB2015" s="56" t="s">
        <v>4316</v>
      </c>
      <c r="AC2015" s="56" t="s">
        <v>3543</v>
      </c>
      <c r="AH2015" s="56" t="s">
        <v>3542</v>
      </c>
      <c r="AI2015" s="56" t="s">
        <v>3541</v>
      </c>
    </row>
    <row r="2016" spans="1:35" ht="33" customHeight="1">
      <c r="A2016" s="56" t="s">
        <v>4320</v>
      </c>
      <c r="B2016" s="57">
        <v>44366.536562499998</v>
      </c>
      <c r="C2016" s="56" t="s">
        <v>3803</v>
      </c>
      <c r="D2016" s="56" t="s">
        <v>25</v>
      </c>
      <c r="E2016" s="56" t="s">
        <v>4319</v>
      </c>
      <c r="F2016" s="56" t="s">
        <v>4318</v>
      </c>
      <c r="G2016" s="58" t="s">
        <v>3551</v>
      </c>
      <c r="H2016" s="56">
        <v>1</v>
      </c>
      <c r="I2016" s="56" t="s">
        <v>3550</v>
      </c>
      <c r="J2016" s="56">
        <v>0</v>
      </c>
      <c r="K2016" s="56">
        <v>0</v>
      </c>
      <c r="P2016" s="56">
        <v>0</v>
      </c>
      <c r="S2016" s="56">
        <v>0</v>
      </c>
      <c r="T2016" s="56" t="s">
        <v>27</v>
      </c>
      <c r="V2016" s="56" t="s">
        <v>3549</v>
      </c>
      <c r="W2016" s="56" t="s">
        <v>3548</v>
      </c>
      <c r="X2016" s="56" t="s">
        <v>3547</v>
      </c>
      <c r="Z2016" s="56" t="s">
        <v>3546</v>
      </c>
      <c r="AA2016" s="56" t="s">
        <v>4317</v>
      </c>
      <c r="AB2016" s="56" t="s">
        <v>4316</v>
      </c>
      <c r="AC2016" s="56" t="s">
        <v>3543</v>
      </c>
      <c r="AH2016" s="56" t="s">
        <v>3542</v>
      </c>
      <c r="AI2016" s="56" t="s">
        <v>3541</v>
      </c>
    </row>
    <row r="2017" spans="1:35" ht="33" customHeight="1">
      <c r="A2017" s="56" t="s">
        <v>4315</v>
      </c>
      <c r="B2017" s="57">
        <v>44366.566874999997</v>
      </c>
      <c r="C2017" s="56" t="s">
        <v>3803</v>
      </c>
      <c r="D2017" s="56" t="s">
        <v>25</v>
      </c>
      <c r="E2017" s="56" t="s">
        <v>4314</v>
      </c>
      <c r="F2017" s="56" t="s">
        <v>4313</v>
      </c>
      <c r="G2017" s="58" t="s">
        <v>3580</v>
      </c>
      <c r="H2017" s="56">
        <v>1</v>
      </c>
      <c r="I2017" s="56" t="s">
        <v>3579</v>
      </c>
      <c r="J2017" s="56">
        <v>336</v>
      </c>
      <c r="K2017" s="56">
        <v>320</v>
      </c>
      <c r="L2017" s="56">
        <v>320</v>
      </c>
      <c r="M2017" s="56">
        <v>65</v>
      </c>
      <c r="N2017" s="56">
        <v>0</v>
      </c>
      <c r="O2017" s="56">
        <v>0</v>
      </c>
      <c r="P2017" s="56">
        <v>0</v>
      </c>
      <c r="Q2017" s="56">
        <v>385</v>
      </c>
      <c r="R2017" s="56">
        <v>0</v>
      </c>
      <c r="S2017" s="56">
        <v>0</v>
      </c>
      <c r="T2017" s="56" t="s">
        <v>27</v>
      </c>
      <c r="U2017" s="56">
        <v>385</v>
      </c>
      <c r="V2017" s="56" t="s">
        <v>3612</v>
      </c>
      <c r="W2017" s="56" t="s">
        <v>3548</v>
      </c>
      <c r="X2017" s="56" t="s">
        <v>3611</v>
      </c>
      <c r="Z2017" s="56" t="s">
        <v>3546</v>
      </c>
      <c r="AA2017" s="56" t="s">
        <v>4312</v>
      </c>
      <c r="AB2017" s="56" t="s">
        <v>4311</v>
      </c>
      <c r="AC2017" s="56" t="s">
        <v>3543</v>
      </c>
      <c r="AH2017" s="56" t="s">
        <v>3542</v>
      </c>
      <c r="AI2017" s="56" t="s">
        <v>3541</v>
      </c>
    </row>
    <row r="2018" spans="1:35" ht="33" customHeight="1">
      <c r="A2018" s="56" t="s">
        <v>4315</v>
      </c>
      <c r="B2018" s="57">
        <v>44366.566874999997</v>
      </c>
      <c r="C2018" s="56" t="s">
        <v>3803</v>
      </c>
      <c r="D2018" s="56" t="s">
        <v>25</v>
      </c>
      <c r="E2018" s="56" t="s">
        <v>4314</v>
      </c>
      <c r="F2018" s="56" t="s">
        <v>4313</v>
      </c>
      <c r="G2018" s="58" t="s">
        <v>3551</v>
      </c>
      <c r="H2018" s="56">
        <v>1</v>
      </c>
      <c r="I2018" s="56" t="s">
        <v>3550</v>
      </c>
      <c r="J2018" s="56">
        <v>0</v>
      </c>
      <c r="K2018" s="56">
        <v>0</v>
      </c>
      <c r="P2018" s="56">
        <v>0</v>
      </c>
      <c r="S2018" s="56">
        <v>0</v>
      </c>
      <c r="T2018" s="56" t="s">
        <v>27</v>
      </c>
      <c r="V2018" s="56" t="s">
        <v>3612</v>
      </c>
      <c r="W2018" s="56" t="s">
        <v>3548</v>
      </c>
      <c r="X2018" s="56" t="s">
        <v>3611</v>
      </c>
      <c r="Z2018" s="56" t="s">
        <v>3546</v>
      </c>
      <c r="AA2018" s="56" t="s">
        <v>4312</v>
      </c>
      <c r="AB2018" s="56" t="s">
        <v>4311</v>
      </c>
      <c r="AC2018" s="56" t="s">
        <v>3543</v>
      </c>
      <c r="AH2018" s="56" t="s">
        <v>3542</v>
      </c>
      <c r="AI2018" s="56" t="s">
        <v>3541</v>
      </c>
    </row>
    <row r="2019" spans="1:35" ht="33" customHeight="1">
      <c r="A2019" s="56" t="s">
        <v>4310</v>
      </c>
      <c r="B2019" s="57">
        <v>44366.583541666667</v>
      </c>
      <c r="C2019" s="56" t="s">
        <v>3803</v>
      </c>
      <c r="D2019" s="56" t="s">
        <v>3802</v>
      </c>
      <c r="E2019" s="56" t="s">
        <v>4309</v>
      </c>
      <c r="F2019" s="56" t="s">
        <v>4308</v>
      </c>
      <c r="G2019" s="58" t="s">
        <v>3593</v>
      </c>
      <c r="H2019" s="56">
        <v>2</v>
      </c>
      <c r="I2019" s="56" t="s">
        <v>3577</v>
      </c>
      <c r="J2019" s="56">
        <v>700</v>
      </c>
      <c r="K2019" s="56">
        <v>599</v>
      </c>
      <c r="L2019" s="56">
        <v>1198</v>
      </c>
      <c r="M2019" s="56">
        <v>0</v>
      </c>
      <c r="N2019" s="56">
        <v>0</v>
      </c>
      <c r="O2019" s="56">
        <v>100</v>
      </c>
      <c r="P2019" s="56">
        <v>0</v>
      </c>
      <c r="Q2019" s="56">
        <v>1098</v>
      </c>
      <c r="R2019" s="56">
        <v>0</v>
      </c>
      <c r="S2019" s="56">
        <v>0</v>
      </c>
      <c r="T2019" s="56" t="s">
        <v>3562</v>
      </c>
      <c r="U2019" s="56">
        <v>1098</v>
      </c>
      <c r="V2019" s="56" t="s">
        <v>59</v>
      </c>
      <c r="W2019" s="56" t="s">
        <v>3548</v>
      </c>
      <c r="X2019" s="56" t="s">
        <v>39</v>
      </c>
      <c r="Y2019" s="56" t="s">
        <v>4307</v>
      </c>
      <c r="Z2019" s="56" t="s">
        <v>4306</v>
      </c>
      <c r="AC2019" s="56" t="s">
        <v>3543</v>
      </c>
      <c r="AD2019" s="56" t="s">
        <v>24</v>
      </c>
      <c r="AE2019" s="56" t="s">
        <v>4145</v>
      </c>
      <c r="AF2019" s="56" t="s">
        <v>4305</v>
      </c>
      <c r="AH2019" s="56" t="s">
        <v>3542</v>
      </c>
      <c r="AI2019" s="56" t="s">
        <v>3723</v>
      </c>
    </row>
    <row r="2020" spans="1:35" ht="33" customHeight="1">
      <c r="A2020" s="56" t="s">
        <v>4310</v>
      </c>
      <c r="B2020" s="57">
        <v>44366.583541666667</v>
      </c>
      <c r="C2020" s="56" t="s">
        <v>3803</v>
      </c>
      <c r="D2020" s="56" t="s">
        <v>3802</v>
      </c>
      <c r="E2020" s="56" t="s">
        <v>4309</v>
      </c>
      <c r="F2020" s="56" t="s">
        <v>4308</v>
      </c>
      <c r="G2020" s="58" t="s">
        <v>3551</v>
      </c>
      <c r="H2020" s="56">
        <v>1</v>
      </c>
      <c r="I2020" s="56" t="s">
        <v>3550</v>
      </c>
      <c r="J2020" s="56">
        <v>0</v>
      </c>
      <c r="K2020" s="56">
        <v>0</v>
      </c>
      <c r="P2020" s="56">
        <v>0</v>
      </c>
      <c r="S2020" s="56">
        <v>0</v>
      </c>
      <c r="T2020" s="56" t="s">
        <v>3562</v>
      </c>
      <c r="V2020" s="56" t="s">
        <v>59</v>
      </c>
      <c r="W2020" s="56" t="s">
        <v>3548</v>
      </c>
      <c r="X2020" s="56" t="s">
        <v>39</v>
      </c>
      <c r="Y2020" s="56" t="s">
        <v>4307</v>
      </c>
      <c r="Z2020" s="56" t="s">
        <v>4306</v>
      </c>
      <c r="AC2020" s="56" t="s">
        <v>3543</v>
      </c>
      <c r="AD2020" s="56" t="s">
        <v>24</v>
      </c>
      <c r="AE2020" s="56" t="s">
        <v>4145</v>
      </c>
      <c r="AF2020" s="56" t="s">
        <v>4305</v>
      </c>
      <c r="AH2020" s="56" t="s">
        <v>3542</v>
      </c>
      <c r="AI2020" s="56" t="s">
        <v>3723</v>
      </c>
    </row>
    <row r="2021" spans="1:35" ht="33" customHeight="1">
      <c r="A2021" s="56" t="s">
        <v>4310</v>
      </c>
      <c r="B2021" s="57">
        <v>44366.583541666667</v>
      </c>
      <c r="C2021" s="56" t="s">
        <v>3803</v>
      </c>
      <c r="D2021" s="56" t="s">
        <v>3802</v>
      </c>
      <c r="E2021" s="56" t="s">
        <v>4309</v>
      </c>
      <c r="F2021" s="56" t="s">
        <v>4308</v>
      </c>
      <c r="G2021" s="58" t="s">
        <v>1498</v>
      </c>
      <c r="H2021" s="56">
        <v>1</v>
      </c>
      <c r="I2021" s="56" t="s">
        <v>4016</v>
      </c>
      <c r="J2021" s="56">
        <v>0</v>
      </c>
      <c r="K2021" s="56">
        <v>0</v>
      </c>
      <c r="P2021" s="56">
        <v>0</v>
      </c>
      <c r="S2021" s="56">
        <v>0</v>
      </c>
      <c r="T2021" s="56" t="s">
        <v>3562</v>
      </c>
      <c r="V2021" s="56" t="s">
        <v>59</v>
      </c>
      <c r="W2021" s="56" t="s">
        <v>3548</v>
      </c>
      <c r="X2021" s="56" t="s">
        <v>39</v>
      </c>
      <c r="Y2021" s="56" t="s">
        <v>4307</v>
      </c>
      <c r="Z2021" s="56" t="s">
        <v>4306</v>
      </c>
      <c r="AC2021" s="56" t="s">
        <v>3543</v>
      </c>
      <c r="AD2021" s="56" t="s">
        <v>24</v>
      </c>
      <c r="AE2021" s="56" t="s">
        <v>4145</v>
      </c>
      <c r="AF2021" s="56" t="s">
        <v>4305</v>
      </c>
      <c r="AH2021" s="56" t="s">
        <v>3542</v>
      </c>
      <c r="AI2021" s="56" t="s">
        <v>3723</v>
      </c>
    </row>
    <row r="2022" spans="1:35" ht="33" customHeight="1">
      <c r="A2022" s="56" t="s">
        <v>4304</v>
      </c>
      <c r="B2022" s="57">
        <v>44366.589884259258</v>
      </c>
      <c r="C2022" s="56" t="s">
        <v>3803</v>
      </c>
      <c r="D2022" s="56" t="s">
        <v>25</v>
      </c>
      <c r="E2022" s="56" t="s">
        <v>4303</v>
      </c>
      <c r="F2022" s="56" t="s">
        <v>4302</v>
      </c>
      <c r="G2022" s="58" t="s">
        <v>3942</v>
      </c>
      <c r="H2022" s="56">
        <v>2</v>
      </c>
      <c r="I2022" s="56" t="s">
        <v>3941</v>
      </c>
      <c r="J2022" s="56">
        <v>840</v>
      </c>
      <c r="K2022" s="56">
        <v>750</v>
      </c>
      <c r="L2022" s="56">
        <v>1736</v>
      </c>
      <c r="M2022" s="56">
        <v>0</v>
      </c>
      <c r="N2022" s="56">
        <v>0</v>
      </c>
      <c r="O2022" s="56">
        <v>174</v>
      </c>
      <c r="P2022" s="56">
        <v>0</v>
      </c>
      <c r="Q2022" s="56">
        <v>1562</v>
      </c>
      <c r="R2022" s="56">
        <v>0</v>
      </c>
      <c r="S2022" s="56">
        <v>0</v>
      </c>
      <c r="T2022" s="56" t="s">
        <v>3562</v>
      </c>
      <c r="U2022" s="56">
        <v>1562</v>
      </c>
      <c r="V2022" s="56" t="s">
        <v>3561</v>
      </c>
      <c r="W2022" s="56" t="s">
        <v>3548</v>
      </c>
      <c r="X2022" s="56" t="s">
        <v>3716</v>
      </c>
      <c r="Z2022" s="56" t="s">
        <v>3546</v>
      </c>
      <c r="AA2022" s="56" t="s">
        <v>4301</v>
      </c>
      <c r="AB2022" s="56" t="s">
        <v>4300</v>
      </c>
      <c r="AC2022" s="56" t="s">
        <v>3543</v>
      </c>
      <c r="AD2022" s="56" t="s">
        <v>24</v>
      </c>
      <c r="AE2022" s="56" t="s">
        <v>4145</v>
      </c>
      <c r="AF2022" s="56" t="s">
        <v>4299</v>
      </c>
      <c r="AH2022" s="56" t="s">
        <v>3542</v>
      </c>
      <c r="AI2022" s="56" t="s">
        <v>3723</v>
      </c>
    </row>
    <row r="2023" spans="1:35" ht="33" customHeight="1">
      <c r="A2023" s="56" t="s">
        <v>4304</v>
      </c>
      <c r="B2023" s="57">
        <v>44366.589884259258</v>
      </c>
      <c r="C2023" s="56" t="s">
        <v>3803</v>
      </c>
      <c r="D2023" s="56" t="s">
        <v>25</v>
      </c>
      <c r="E2023" s="56" t="s">
        <v>4303</v>
      </c>
      <c r="F2023" s="56" t="s">
        <v>4302</v>
      </c>
      <c r="G2023" s="58" t="s">
        <v>3222</v>
      </c>
      <c r="H2023" s="56">
        <v>2</v>
      </c>
      <c r="I2023" s="56" t="s">
        <v>3712</v>
      </c>
      <c r="J2023" s="56">
        <v>59</v>
      </c>
      <c r="K2023" s="56">
        <v>59</v>
      </c>
      <c r="P2023" s="56">
        <v>0</v>
      </c>
      <c r="S2023" s="56">
        <v>0</v>
      </c>
      <c r="T2023" s="56" t="s">
        <v>3562</v>
      </c>
      <c r="V2023" s="56" t="s">
        <v>3561</v>
      </c>
      <c r="W2023" s="56" t="s">
        <v>3548</v>
      </c>
      <c r="X2023" s="56" t="s">
        <v>3716</v>
      </c>
      <c r="Z2023" s="56" t="s">
        <v>3546</v>
      </c>
      <c r="AA2023" s="56" t="s">
        <v>4301</v>
      </c>
      <c r="AB2023" s="56" t="s">
        <v>4300</v>
      </c>
      <c r="AC2023" s="56" t="s">
        <v>3543</v>
      </c>
      <c r="AD2023" s="56" t="s">
        <v>24</v>
      </c>
      <c r="AE2023" s="56" t="s">
        <v>4145</v>
      </c>
      <c r="AF2023" s="56" t="s">
        <v>4299</v>
      </c>
      <c r="AH2023" s="56" t="s">
        <v>3542</v>
      </c>
      <c r="AI2023" s="56" t="s">
        <v>3723</v>
      </c>
    </row>
    <row r="2024" spans="1:35" ht="33" customHeight="1">
      <c r="A2024" s="56" t="s">
        <v>4304</v>
      </c>
      <c r="B2024" s="57">
        <v>44366.589884259258</v>
      </c>
      <c r="C2024" s="56" t="s">
        <v>3803</v>
      </c>
      <c r="D2024" s="56" t="s">
        <v>25</v>
      </c>
      <c r="E2024" s="56" t="s">
        <v>4303</v>
      </c>
      <c r="F2024" s="56" t="s">
        <v>4302</v>
      </c>
      <c r="G2024" s="58" t="s">
        <v>3217</v>
      </c>
      <c r="H2024" s="56">
        <v>2</v>
      </c>
      <c r="I2024" s="56" t="s">
        <v>3720</v>
      </c>
      <c r="J2024" s="56">
        <v>59</v>
      </c>
      <c r="K2024" s="56">
        <v>59</v>
      </c>
      <c r="P2024" s="56">
        <v>0</v>
      </c>
      <c r="S2024" s="56">
        <v>0</v>
      </c>
      <c r="T2024" s="56" t="s">
        <v>3562</v>
      </c>
      <c r="V2024" s="56" t="s">
        <v>3561</v>
      </c>
      <c r="W2024" s="56" t="s">
        <v>3548</v>
      </c>
      <c r="X2024" s="56" t="s">
        <v>3716</v>
      </c>
      <c r="Z2024" s="56" t="s">
        <v>3546</v>
      </c>
      <c r="AA2024" s="56" t="s">
        <v>4301</v>
      </c>
      <c r="AB2024" s="56" t="s">
        <v>4300</v>
      </c>
      <c r="AC2024" s="56" t="s">
        <v>3543</v>
      </c>
      <c r="AD2024" s="56" t="s">
        <v>24</v>
      </c>
      <c r="AE2024" s="56" t="s">
        <v>4145</v>
      </c>
      <c r="AF2024" s="56" t="s">
        <v>4299</v>
      </c>
      <c r="AH2024" s="56" t="s">
        <v>3542</v>
      </c>
      <c r="AI2024" s="56" t="s">
        <v>3723</v>
      </c>
    </row>
    <row r="2025" spans="1:35" ht="33" customHeight="1">
      <c r="A2025" s="56" t="s">
        <v>4304</v>
      </c>
      <c r="B2025" s="57">
        <v>44366.589884259258</v>
      </c>
      <c r="C2025" s="56" t="s">
        <v>3803</v>
      </c>
      <c r="D2025" s="56" t="s">
        <v>25</v>
      </c>
      <c r="E2025" s="56" t="s">
        <v>4303</v>
      </c>
      <c r="F2025" s="56" t="s">
        <v>4302</v>
      </c>
      <c r="G2025" s="58" t="s">
        <v>3551</v>
      </c>
      <c r="H2025" s="56">
        <v>1</v>
      </c>
      <c r="I2025" s="56" t="s">
        <v>3550</v>
      </c>
      <c r="J2025" s="56">
        <v>0</v>
      </c>
      <c r="K2025" s="56">
        <v>0</v>
      </c>
      <c r="P2025" s="56">
        <v>0</v>
      </c>
      <c r="S2025" s="56">
        <v>0</v>
      </c>
      <c r="T2025" s="56" t="s">
        <v>3562</v>
      </c>
      <c r="V2025" s="56" t="s">
        <v>3561</v>
      </c>
      <c r="W2025" s="56" t="s">
        <v>3548</v>
      </c>
      <c r="X2025" s="56" t="s">
        <v>3716</v>
      </c>
      <c r="Z2025" s="56" t="s">
        <v>3546</v>
      </c>
      <c r="AA2025" s="56" t="s">
        <v>4301</v>
      </c>
      <c r="AB2025" s="56" t="s">
        <v>4300</v>
      </c>
      <c r="AC2025" s="56" t="s">
        <v>3543</v>
      </c>
      <c r="AD2025" s="56" t="s">
        <v>24</v>
      </c>
      <c r="AE2025" s="56" t="s">
        <v>4145</v>
      </c>
      <c r="AF2025" s="56" t="s">
        <v>4299</v>
      </c>
      <c r="AH2025" s="56" t="s">
        <v>3542</v>
      </c>
      <c r="AI2025" s="56" t="s">
        <v>3723</v>
      </c>
    </row>
    <row r="2026" spans="1:35" ht="33" customHeight="1">
      <c r="A2026" s="56" t="s">
        <v>4304</v>
      </c>
      <c r="B2026" s="57">
        <v>44366.589884259258</v>
      </c>
      <c r="C2026" s="56" t="s">
        <v>3803</v>
      </c>
      <c r="D2026" s="56" t="s">
        <v>25</v>
      </c>
      <c r="E2026" s="56" t="s">
        <v>4303</v>
      </c>
      <c r="F2026" s="56" t="s">
        <v>4302</v>
      </c>
      <c r="G2026" s="58" t="s">
        <v>1713</v>
      </c>
      <c r="H2026" s="56">
        <v>1</v>
      </c>
      <c r="I2026" s="56" t="s">
        <v>3568</v>
      </c>
      <c r="J2026" s="56">
        <v>0</v>
      </c>
      <c r="K2026" s="56">
        <v>0</v>
      </c>
      <c r="P2026" s="56">
        <v>0</v>
      </c>
      <c r="S2026" s="56">
        <v>0</v>
      </c>
      <c r="T2026" s="56" t="s">
        <v>3562</v>
      </c>
      <c r="V2026" s="56" t="s">
        <v>3561</v>
      </c>
      <c r="W2026" s="56" t="s">
        <v>3548</v>
      </c>
      <c r="X2026" s="56" t="s">
        <v>3716</v>
      </c>
      <c r="Z2026" s="56" t="s">
        <v>3546</v>
      </c>
      <c r="AA2026" s="56" t="s">
        <v>4301</v>
      </c>
      <c r="AB2026" s="56" t="s">
        <v>4300</v>
      </c>
      <c r="AC2026" s="56" t="s">
        <v>3543</v>
      </c>
      <c r="AD2026" s="56" t="s">
        <v>24</v>
      </c>
      <c r="AE2026" s="56" t="s">
        <v>4145</v>
      </c>
      <c r="AF2026" s="56" t="s">
        <v>4299</v>
      </c>
      <c r="AH2026" s="56" t="s">
        <v>3542</v>
      </c>
      <c r="AI2026" s="56" t="s">
        <v>3723</v>
      </c>
    </row>
    <row r="2027" spans="1:35" ht="33" customHeight="1">
      <c r="A2027" s="56" t="s">
        <v>4304</v>
      </c>
      <c r="B2027" s="57">
        <v>44366.589884259258</v>
      </c>
      <c r="C2027" s="56" t="s">
        <v>3803</v>
      </c>
      <c r="D2027" s="56" t="s">
        <v>25</v>
      </c>
      <c r="E2027" s="56" t="s">
        <v>4303</v>
      </c>
      <c r="F2027" s="56" t="s">
        <v>4302</v>
      </c>
      <c r="G2027" s="58" t="s">
        <v>1498</v>
      </c>
      <c r="H2027" s="56">
        <v>1</v>
      </c>
      <c r="I2027" s="56" t="s">
        <v>4016</v>
      </c>
      <c r="J2027" s="56">
        <v>0</v>
      </c>
      <c r="K2027" s="56">
        <v>0</v>
      </c>
      <c r="P2027" s="56">
        <v>0</v>
      </c>
      <c r="S2027" s="56">
        <v>0</v>
      </c>
      <c r="T2027" s="56" t="s">
        <v>3562</v>
      </c>
      <c r="V2027" s="56" t="s">
        <v>3561</v>
      </c>
      <c r="W2027" s="56" t="s">
        <v>3548</v>
      </c>
      <c r="X2027" s="56" t="s">
        <v>3716</v>
      </c>
      <c r="Z2027" s="56" t="s">
        <v>3546</v>
      </c>
      <c r="AA2027" s="56" t="s">
        <v>4301</v>
      </c>
      <c r="AB2027" s="56" t="s">
        <v>4300</v>
      </c>
      <c r="AC2027" s="56" t="s">
        <v>3543</v>
      </c>
      <c r="AD2027" s="56" t="s">
        <v>24</v>
      </c>
      <c r="AE2027" s="56" t="s">
        <v>4145</v>
      </c>
      <c r="AF2027" s="56" t="s">
        <v>4299</v>
      </c>
      <c r="AH2027" s="56" t="s">
        <v>3542</v>
      </c>
      <c r="AI2027" s="56" t="s">
        <v>3723</v>
      </c>
    </row>
    <row r="2028" spans="1:35" ht="33" customHeight="1">
      <c r="A2028" s="56" t="s">
        <v>4298</v>
      </c>
      <c r="B2028" s="57">
        <v>44366.624861111108</v>
      </c>
      <c r="C2028" s="56" t="s">
        <v>3803</v>
      </c>
      <c r="D2028" s="56" t="s">
        <v>25</v>
      </c>
      <c r="E2028" s="56" t="s">
        <v>4297</v>
      </c>
      <c r="F2028" s="56" t="s">
        <v>4296</v>
      </c>
      <c r="G2028" s="58" t="s">
        <v>3580</v>
      </c>
      <c r="H2028" s="56">
        <v>1</v>
      </c>
      <c r="I2028" s="56" t="s">
        <v>3579</v>
      </c>
      <c r="J2028" s="56">
        <v>336</v>
      </c>
      <c r="K2028" s="56">
        <v>320</v>
      </c>
      <c r="L2028" s="56">
        <v>1947</v>
      </c>
      <c r="M2028" s="56">
        <v>0</v>
      </c>
      <c r="N2028" s="56">
        <v>0</v>
      </c>
      <c r="O2028" s="56">
        <v>100</v>
      </c>
      <c r="P2028" s="56">
        <v>0</v>
      </c>
      <c r="Q2028" s="56">
        <v>1847</v>
      </c>
      <c r="R2028" s="56">
        <v>0</v>
      </c>
      <c r="S2028" s="56">
        <v>0</v>
      </c>
      <c r="T2028" s="56" t="s">
        <v>27</v>
      </c>
      <c r="U2028" s="56">
        <v>1847</v>
      </c>
      <c r="V2028" s="56" t="s">
        <v>3549</v>
      </c>
      <c r="W2028" s="56" t="s">
        <v>3548</v>
      </c>
      <c r="X2028" s="56" t="s">
        <v>3547</v>
      </c>
      <c r="Z2028" s="56" t="s">
        <v>3546</v>
      </c>
      <c r="AA2028" s="56" t="s">
        <v>4295</v>
      </c>
      <c r="AB2028" s="56" t="s">
        <v>4294</v>
      </c>
      <c r="AC2028" s="56" t="s">
        <v>3543</v>
      </c>
      <c r="AH2028" s="56" t="s">
        <v>3542</v>
      </c>
      <c r="AI2028" s="56" t="s">
        <v>3541</v>
      </c>
    </row>
    <row r="2029" spans="1:35" ht="33" customHeight="1">
      <c r="A2029" s="56" t="s">
        <v>4298</v>
      </c>
      <c r="B2029" s="57">
        <v>44366.624861111108</v>
      </c>
      <c r="C2029" s="56" t="s">
        <v>3803</v>
      </c>
      <c r="D2029" s="56" t="s">
        <v>25</v>
      </c>
      <c r="E2029" s="56" t="s">
        <v>4297</v>
      </c>
      <c r="F2029" s="56" t="s">
        <v>4296</v>
      </c>
      <c r="G2029" s="58" t="s">
        <v>1713</v>
      </c>
      <c r="H2029" s="56">
        <v>1</v>
      </c>
      <c r="I2029" s="56" t="s">
        <v>3587</v>
      </c>
      <c r="J2029" s="56">
        <v>149</v>
      </c>
      <c r="K2029" s="56">
        <v>149</v>
      </c>
      <c r="P2029" s="56">
        <v>0</v>
      </c>
      <c r="S2029" s="56">
        <v>0</v>
      </c>
      <c r="T2029" s="56" t="s">
        <v>27</v>
      </c>
      <c r="V2029" s="56" t="s">
        <v>3549</v>
      </c>
      <c r="W2029" s="56" t="s">
        <v>3548</v>
      </c>
      <c r="X2029" s="56" t="s">
        <v>3547</v>
      </c>
      <c r="Z2029" s="56" t="s">
        <v>3546</v>
      </c>
      <c r="AA2029" s="56" t="s">
        <v>4295</v>
      </c>
      <c r="AB2029" s="56" t="s">
        <v>4294</v>
      </c>
      <c r="AC2029" s="56" t="s">
        <v>3543</v>
      </c>
      <c r="AH2029" s="56" t="s">
        <v>3542</v>
      </c>
      <c r="AI2029" s="56" t="s">
        <v>3541</v>
      </c>
    </row>
    <row r="2030" spans="1:35" ht="33" customHeight="1">
      <c r="A2030" s="56" t="s">
        <v>4298</v>
      </c>
      <c r="B2030" s="57">
        <v>44366.624861111108</v>
      </c>
      <c r="C2030" s="56" t="s">
        <v>3803</v>
      </c>
      <c r="D2030" s="56" t="s">
        <v>25</v>
      </c>
      <c r="E2030" s="56" t="s">
        <v>4297</v>
      </c>
      <c r="F2030" s="56" t="s">
        <v>4296</v>
      </c>
      <c r="G2030" s="58" t="s">
        <v>3593</v>
      </c>
      <c r="H2030" s="56">
        <v>2</v>
      </c>
      <c r="I2030" s="56" t="s">
        <v>3577</v>
      </c>
      <c r="J2030" s="56">
        <v>700</v>
      </c>
      <c r="K2030" s="56">
        <v>599</v>
      </c>
      <c r="P2030" s="56">
        <v>0</v>
      </c>
      <c r="S2030" s="56">
        <v>0</v>
      </c>
      <c r="T2030" s="56" t="s">
        <v>27</v>
      </c>
      <c r="V2030" s="56" t="s">
        <v>3549</v>
      </c>
      <c r="W2030" s="56" t="s">
        <v>3548</v>
      </c>
      <c r="X2030" s="56" t="s">
        <v>3547</v>
      </c>
      <c r="Z2030" s="56" t="s">
        <v>3546</v>
      </c>
      <c r="AA2030" s="56" t="s">
        <v>4295</v>
      </c>
      <c r="AB2030" s="56" t="s">
        <v>4294</v>
      </c>
      <c r="AC2030" s="56" t="s">
        <v>3543</v>
      </c>
      <c r="AH2030" s="56" t="s">
        <v>3542</v>
      </c>
      <c r="AI2030" s="56" t="s">
        <v>3541</v>
      </c>
    </row>
    <row r="2031" spans="1:35" ht="33" customHeight="1">
      <c r="A2031" s="56" t="s">
        <v>4298</v>
      </c>
      <c r="B2031" s="57">
        <v>44366.624861111108</v>
      </c>
      <c r="C2031" s="56" t="s">
        <v>3803</v>
      </c>
      <c r="D2031" s="56" t="s">
        <v>25</v>
      </c>
      <c r="E2031" s="56" t="s">
        <v>4297</v>
      </c>
      <c r="F2031" s="56" t="s">
        <v>4296</v>
      </c>
      <c r="G2031" s="58" t="s">
        <v>1493</v>
      </c>
      <c r="H2031" s="56">
        <v>1</v>
      </c>
      <c r="I2031" s="56" t="s">
        <v>3601</v>
      </c>
      <c r="J2031" s="56">
        <v>135</v>
      </c>
      <c r="K2031" s="56">
        <v>135</v>
      </c>
      <c r="P2031" s="56">
        <v>0</v>
      </c>
      <c r="S2031" s="56">
        <v>0</v>
      </c>
      <c r="T2031" s="56" t="s">
        <v>27</v>
      </c>
      <c r="V2031" s="56" t="s">
        <v>3549</v>
      </c>
      <c r="W2031" s="56" t="s">
        <v>3548</v>
      </c>
      <c r="X2031" s="56" t="s">
        <v>3547</v>
      </c>
      <c r="Z2031" s="56" t="s">
        <v>3546</v>
      </c>
      <c r="AA2031" s="56" t="s">
        <v>4295</v>
      </c>
      <c r="AB2031" s="56" t="s">
        <v>4294</v>
      </c>
      <c r="AC2031" s="56" t="s">
        <v>3543</v>
      </c>
      <c r="AH2031" s="56" t="s">
        <v>3542</v>
      </c>
      <c r="AI2031" s="56" t="s">
        <v>3541</v>
      </c>
    </row>
    <row r="2032" spans="1:35" ht="33" customHeight="1">
      <c r="A2032" s="56" t="s">
        <v>4298</v>
      </c>
      <c r="B2032" s="57">
        <v>44366.624861111108</v>
      </c>
      <c r="C2032" s="56" t="s">
        <v>3803</v>
      </c>
      <c r="D2032" s="56" t="s">
        <v>25</v>
      </c>
      <c r="E2032" s="56" t="s">
        <v>4297</v>
      </c>
      <c r="F2032" s="56" t="s">
        <v>4296</v>
      </c>
      <c r="G2032" s="58" t="s">
        <v>2156</v>
      </c>
      <c r="H2032" s="56">
        <v>1</v>
      </c>
      <c r="I2032" s="56" t="s">
        <v>1376</v>
      </c>
      <c r="J2032" s="56">
        <v>145</v>
      </c>
      <c r="K2032" s="56">
        <v>145</v>
      </c>
      <c r="P2032" s="56">
        <v>0</v>
      </c>
      <c r="S2032" s="56">
        <v>0</v>
      </c>
      <c r="T2032" s="56" t="s">
        <v>27</v>
      </c>
      <c r="V2032" s="56" t="s">
        <v>3549</v>
      </c>
      <c r="W2032" s="56" t="s">
        <v>3548</v>
      </c>
      <c r="X2032" s="56" t="s">
        <v>3547</v>
      </c>
      <c r="Z2032" s="56" t="s">
        <v>3546</v>
      </c>
      <c r="AA2032" s="56" t="s">
        <v>4295</v>
      </c>
      <c r="AB2032" s="56" t="s">
        <v>4294</v>
      </c>
      <c r="AC2032" s="56" t="s">
        <v>3543</v>
      </c>
      <c r="AH2032" s="56" t="s">
        <v>3542</v>
      </c>
      <c r="AI2032" s="56" t="s">
        <v>3541</v>
      </c>
    </row>
    <row r="2033" spans="1:35" ht="33" customHeight="1">
      <c r="A2033" s="56" t="s">
        <v>4298</v>
      </c>
      <c r="B2033" s="57">
        <v>44366.624861111108</v>
      </c>
      <c r="C2033" s="56" t="s">
        <v>3803</v>
      </c>
      <c r="D2033" s="56" t="s">
        <v>25</v>
      </c>
      <c r="E2033" s="56" t="s">
        <v>4297</v>
      </c>
      <c r="F2033" s="56" t="s">
        <v>4296</v>
      </c>
      <c r="G2033" s="58" t="s">
        <v>3551</v>
      </c>
      <c r="H2033" s="56">
        <v>1</v>
      </c>
      <c r="I2033" s="56" t="s">
        <v>3550</v>
      </c>
      <c r="J2033" s="56">
        <v>0</v>
      </c>
      <c r="K2033" s="56">
        <v>0</v>
      </c>
      <c r="P2033" s="56">
        <v>0</v>
      </c>
      <c r="S2033" s="56">
        <v>0</v>
      </c>
      <c r="T2033" s="56" t="s">
        <v>27</v>
      </c>
      <c r="V2033" s="56" t="s">
        <v>3549</v>
      </c>
      <c r="W2033" s="56" t="s">
        <v>3548</v>
      </c>
      <c r="X2033" s="56" t="s">
        <v>3547</v>
      </c>
      <c r="Z2033" s="56" t="s">
        <v>3546</v>
      </c>
      <c r="AA2033" s="56" t="s">
        <v>4295</v>
      </c>
      <c r="AB2033" s="56" t="s">
        <v>4294</v>
      </c>
      <c r="AC2033" s="56" t="s">
        <v>3543</v>
      </c>
      <c r="AH2033" s="56" t="s">
        <v>3542</v>
      </c>
      <c r="AI2033" s="56" t="s">
        <v>3541</v>
      </c>
    </row>
    <row r="2034" spans="1:35" ht="33" customHeight="1">
      <c r="A2034" s="56" t="s">
        <v>4298</v>
      </c>
      <c r="B2034" s="57">
        <v>44366.624861111108</v>
      </c>
      <c r="C2034" s="56" t="s">
        <v>3803</v>
      </c>
      <c r="D2034" s="56" t="s">
        <v>25</v>
      </c>
      <c r="E2034" s="56" t="s">
        <v>4297</v>
      </c>
      <c r="F2034" s="56" t="s">
        <v>4296</v>
      </c>
      <c r="G2034" s="58" t="s">
        <v>1713</v>
      </c>
      <c r="H2034" s="56">
        <v>1</v>
      </c>
      <c r="I2034" s="56" t="s">
        <v>3568</v>
      </c>
      <c r="J2034" s="56">
        <v>0</v>
      </c>
      <c r="K2034" s="56">
        <v>0</v>
      </c>
      <c r="P2034" s="56">
        <v>0</v>
      </c>
      <c r="S2034" s="56">
        <v>0</v>
      </c>
      <c r="T2034" s="56" t="s">
        <v>27</v>
      </c>
      <c r="V2034" s="56" t="s">
        <v>3549</v>
      </c>
      <c r="W2034" s="56" t="s">
        <v>3548</v>
      </c>
      <c r="X2034" s="56" t="s">
        <v>3547</v>
      </c>
      <c r="Z2034" s="56" t="s">
        <v>3546</v>
      </c>
      <c r="AA2034" s="56" t="s">
        <v>4295</v>
      </c>
      <c r="AB2034" s="56" t="s">
        <v>4294</v>
      </c>
      <c r="AC2034" s="56" t="s">
        <v>3543</v>
      </c>
      <c r="AH2034" s="56" t="s">
        <v>3542</v>
      </c>
      <c r="AI2034" s="56" t="s">
        <v>3541</v>
      </c>
    </row>
    <row r="2035" spans="1:35" ht="33" customHeight="1">
      <c r="A2035" s="56" t="s">
        <v>4298</v>
      </c>
      <c r="B2035" s="57">
        <v>44366.624861111108</v>
      </c>
      <c r="C2035" s="56" t="s">
        <v>3803</v>
      </c>
      <c r="D2035" s="56" t="s">
        <v>25</v>
      </c>
      <c r="E2035" s="56" t="s">
        <v>4297</v>
      </c>
      <c r="F2035" s="56" t="s">
        <v>4296</v>
      </c>
      <c r="G2035" s="58" t="s">
        <v>1498</v>
      </c>
      <c r="H2035" s="56">
        <v>1</v>
      </c>
      <c r="I2035" s="56" t="s">
        <v>4016</v>
      </c>
      <c r="J2035" s="56">
        <v>0</v>
      </c>
      <c r="K2035" s="56">
        <v>0</v>
      </c>
      <c r="P2035" s="56">
        <v>0</v>
      </c>
      <c r="S2035" s="56">
        <v>0</v>
      </c>
      <c r="T2035" s="56" t="s">
        <v>27</v>
      </c>
      <c r="V2035" s="56" t="s">
        <v>3549</v>
      </c>
      <c r="W2035" s="56" t="s">
        <v>3548</v>
      </c>
      <c r="X2035" s="56" t="s">
        <v>3547</v>
      </c>
      <c r="Z2035" s="56" t="s">
        <v>3546</v>
      </c>
      <c r="AA2035" s="56" t="s">
        <v>4295</v>
      </c>
      <c r="AB2035" s="56" t="s">
        <v>4294</v>
      </c>
      <c r="AC2035" s="56" t="s">
        <v>3543</v>
      </c>
      <c r="AH2035" s="56" t="s">
        <v>3542</v>
      </c>
      <c r="AI2035" s="56" t="s">
        <v>3541</v>
      </c>
    </row>
    <row r="2036" spans="1:35" ht="33" customHeight="1">
      <c r="A2036" s="56" t="s">
        <v>4293</v>
      </c>
      <c r="B2036" s="57">
        <v>44366.63490740741</v>
      </c>
      <c r="C2036" s="56" t="s">
        <v>3803</v>
      </c>
      <c r="D2036" s="56" t="s">
        <v>25</v>
      </c>
      <c r="E2036" s="56" t="s">
        <v>4292</v>
      </c>
      <c r="F2036" s="56" t="s">
        <v>4291</v>
      </c>
      <c r="G2036" s="58" t="s">
        <v>3747</v>
      </c>
      <c r="H2036" s="56">
        <v>1</v>
      </c>
      <c r="I2036" s="56" t="s">
        <v>3746</v>
      </c>
      <c r="J2036" s="56">
        <v>660</v>
      </c>
      <c r="K2036" s="56">
        <v>450</v>
      </c>
      <c r="L2036" s="56">
        <v>450</v>
      </c>
      <c r="M2036" s="56">
        <v>65</v>
      </c>
      <c r="N2036" s="56">
        <v>0</v>
      </c>
      <c r="O2036" s="56">
        <v>0</v>
      </c>
      <c r="P2036" s="56">
        <v>0</v>
      </c>
      <c r="Q2036" s="56">
        <v>515</v>
      </c>
      <c r="R2036" s="56">
        <v>0</v>
      </c>
      <c r="S2036" s="56">
        <v>0</v>
      </c>
      <c r="T2036" s="56" t="s">
        <v>27</v>
      </c>
      <c r="U2036" s="56">
        <v>515</v>
      </c>
      <c r="V2036" s="56" t="s">
        <v>3549</v>
      </c>
      <c r="W2036" s="56" t="s">
        <v>3548</v>
      </c>
      <c r="X2036" s="56" t="s">
        <v>3547</v>
      </c>
      <c r="Z2036" s="56" t="s">
        <v>3546</v>
      </c>
      <c r="AA2036" s="56" t="s">
        <v>4290</v>
      </c>
      <c r="AB2036" s="56" t="s">
        <v>4289</v>
      </c>
      <c r="AC2036" s="56" t="s">
        <v>3543</v>
      </c>
      <c r="AH2036" s="56" t="s">
        <v>3542</v>
      </c>
      <c r="AI2036" s="56" t="s">
        <v>3541</v>
      </c>
    </row>
    <row r="2037" spans="1:35" ht="33" customHeight="1">
      <c r="A2037" s="56" t="s">
        <v>4293</v>
      </c>
      <c r="B2037" s="57">
        <v>44366.63490740741</v>
      </c>
      <c r="C2037" s="56" t="s">
        <v>3803</v>
      </c>
      <c r="D2037" s="56" t="s">
        <v>25</v>
      </c>
      <c r="E2037" s="56" t="s">
        <v>4292</v>
      </c>
      <c r="F2037" s="56" t="s">
        <v>4291</v>
      </c>
      <c r="G2037" s="58" t="s">
        <v>3551</v>
      </c>
      <c r="H2037" s="56">
        <v>1</v>
      </c>
      <c r="I2037" s="56" t="s">
        <v>3550</v>
      </c>
      <c r="J2037" s="56">
        <v>0</v>
      </c>
      <c r="K2037" s="56">
        <v>0</v>
      </c>
      <c r="P2037" s="56">
        <v>0</v>
      </c>
      <c r="S2037" s="56">
        <v>0</v>
      </c>
      <c r="T2037" s="56" t="s">
        <v>27</v>
      </c>
      <c r="V2037" s="56" t="s">
        <v>3549</v>
      </c>
      <c r="W2037" s="56" t="s">
        <v>3548</v>
      </c>
      <c r="X2037" s="56" t="s">
        <v>3547</v>
      </c>
      <c r="Z2037" s="56" t="s">
        <v>3546</v>
      </c>
      <c r="AA2037" s="56" t="s">
        <v>4290</v>
      </c>
      <c r="AB2037" s="56" t="s">
        <v>4289</v>
      </c>
      <c r="AC2037" s="56" t="s">
        <v>3543</v>
      </c>
      <c r="AH2037" s="56" t="s">
        <v>3542</v>
      </c>
      <c r="AI2037" s="56" t="s">
        <v>3541</v>
      </c>
    </row>
    <row r="2038" spans="1:35" ht="33" customHeight="1">
      <c r="A2038" s="56" t="s">
        <v>4288</v>
      </c>
      <c r="B2038" s="57">
        <v>44366.650775462964</v>
      </c>
      <c r="C2038" s="56" t="s">
        <v>3803</v>
      </c>
      <c r="D2038" s="56" t="s">
        <v>25</v>
      </c>
      <c r="E2038" s="56" t="s">
        <v>4287</v>
      </c>
      <c r="F2038" s="56" t="s">
        <v>4286</v>
      </c>
      <c r="G2038" s="58" t="s">
        <v>3656</v>
      </c>
      <c r="H2038" s="56">
        <v>1</v>
      </c>
      <c r="I2038" s="56" t="s">
        <v>3655</v>
      </c>
      <c r="J2038" s="56">
        <v>1107</v>
      </c>
      <c r="K2038" s="56">
        <v>799</v>
      </c>
      <c r="L2038" s="56">
        <v>1641</v>
      </c>
      <c r="M2038" s="56">
        <v>0</v>
      </c>
      <c r="N2038" s="56">
        <v>0</v>
      </c>
      <c r="O2038" s="56">
        <v>100</v>
      </c>
      <c r="P2038" s="56">
        <v>0</v>
      </c>
      <c r="Q2038" s="56">
        <v>1541</v>
      </c>
      <c r="R2038" s="56">
        <v>0</v>
      </c>
      <c r="S2038" s="56">
        <v>0</v>
      </c>
      <c r="T2038" s="56" t="s">
        <v>27</v>
      </c>
      <c r="U2038" s="56">
        <v>1541</v>
      </c>
      <c r="V2038" s="56" t="s">
        <v>3549</v>
      </c>
      <c r="W2038" s="56" t="s">
        <v>3548</v>
      </c>
      <c r="X2038" s="56" t="s">
        <v>3547</v>
      </c>
      <c r="Z2038" s="56" t="s">
        <v>3546</v>
      </c>
      <c r="AA2038" s="56" t="s">
        <v>4285</v>
      </c>
      <c r="AB2038" s="56" t="s">
        <v>4284</v>
      </c>
      <c r="AC2038" s="56" t="s">
        <v>3543</v>
      </c>
      <c r="AH2038" s="56" t="s">
        <v>3542</v>
      </c>
      <c r="AI2038" s="56" t="s">
        <v>3541</v>
      </c>
    </row>
    <row r="2039" spans="1:35" ht="33" customHeight="1">
      <c r="A2039" s="56" t="s">
        <v>4288</v>
      </c>
      <c r="B2039" s="57">
        <v>44366.650775462964</v>
      </c>
      <c r="C2039" s="56" t="s">
        <v>3803</v>
      </c>
      <c r="D2039" s="56" t="s">
        <v>25</v>
      </c>
      <c r="E2039" s="56" t="s">
        <v>4287</v>
      </c>
      <c r="F2039" s="56" t="s">
        <v>4286</v>
      </c>
      <c r="G2039" s="58" t="s">
        <v>1493</v>
      </c>
      <c r="H2039" s="56">
        <v>1</v>
      </c>
      <c r="I2039" s="56" t="s">
        <v>3601</v>
      </c>
      <c r="J2039" s="56">
        <v>135</v>
      </c>
      <c r="K2039" s="56">
        <v>135</v>
      </c>
      <c r="P2039" s="56">
        <v>0</v>
      </c>
      <c r="S2039" s="56">
        <v>0</v>
      </c>
      <c r="T2039" s="56" t="s">
        <v>27</v>
      </c>
      <c r="V2039" s="56" t="s">
        <v>3549</v>
      </c>
      <c r="W2039" s="56" t="s">
        <v>3548</v>
      </c>
      <c r="X2039" s="56" t="s">
        <v>3547</v>
      </c>
      <c r="Z2039" s="56" t="s">
        <v>3546</v>
      </c>
      <c r="AA2039" s="56" t="s">
        <v>4285</v>
      </c>
      <c r="AB2039" s="56" t="s">
        <v>4284</v>
      </c>
      <c r="AC2039" s="56" t="s">
        <v>3543</v>
      </c>
      <c r="AH2039" s="56" t="s">
        <v>3542</v>
      </c>
      <c r="AI2039" s="56" t="s">
        <v>3541</v>
      </c>
    </row>
    <row r="2040" spans="1:35" ht="33" customHeight="1">
      <c r="A2040" s="56" t="s">
        <v>4288</v>
      </c>
      <c r="B2040" s="57">
        <v>44366.650775462964</v>
      </c>
      <c r="C2040" s="56" t="s">
        <v>3803</v>
      </c>
      <c r="D2040" s="56" t="s">
        <v>25</v>
      </c>
      <c r="E2040" s="56" t="s">
        <v>4287</v>
      </c>
      <c r="F2040" s="56" t="s">
        <v>4286</v>
      </c>
      <c r="G2040" s="58" t="s">
        <v>1508</v>
      </c>
      <c r="H2040" s="56">
        <v>1</v>
      </c>
      <c r="I2040" s="56" t="s">
        <v>3696</v>
      </c>
      <c r="J2040" s="56">
        <v>299</v>
      </c>
      <c r="K2040" s="56">
        <v>299</v>
      </c>
      <c r="P2040" s="56">
        <v>0</v>
      </c>
      <c r="S2040" s="56">
        <v>0</v>
      </c>
      <c r="T2040" s="56" t="s">
        <v>27</v>
      </c>
      <c r="V2040" s="56" t="s">
        <v>3549</v>
      </c>
      <c r="W2040" s="56" t="s">
        <v>3548</v>
      </c>
      <c r="X2040" s="56" t="s">
        <v>3547</v>
      </c>
      <c r="Z2040" s="56" t="s">
        <v>3546</v>
      </c>
      <c r="AA2040" s="56" t="s">
        <v>4285</v>
      </c>
      <c r="AB2040" s="56" t="s">
        <v>4284</v>
      </c>
      <c r="AC2040" s="56" t="s">
        <v>3543</v>
      </c>
      <c r="AH2040" s="56" t="s">
        <v>3542</v>
      </c>
      <c r="AI2040" s="56" t="s">
        <v>3541</v>
      </c>
    </row>
    <row r="2041" spans="1:35" ht="33" customHeight="1">
      <c r="A2041" s="56" t="s">
        <v>4288</v>
      </c>
      <c r="B2041" s="57">
        <v>44366.650775462964</v>
      </c>
      <c r="C2041" s="56" t="s">
        <v>3803</v>
      </c>
      <c r="D2041" s="56" t="s">
        <v>25</v>
      </c>
      <c r="E2041" s="56" t="s">
        <v>4287</v>
      </c>
      <c r="F2041" s="56" t="s">
        <v>4286</v>
      </c>
      <c r="G2041" s="58" t="s">
        <v>2165</v>
      </c>
      <c r="H2041" s="56">
        <v>1</v>
      </c>
      <c r="I2041" s="56" t="s">
        <v>3721</v>
      </c>
      <c r="J2041" s="56">
        <v>109</v>
      </c>
      <c r="K2041" s="56">
        <v>109</v>
      </c>
      <c r="P2041" s="56">
        <v>0</v>
      </c>
      <c r="S2041" s="56">
        <v>0</v>
      </c>
      <c r="T2041" s="56" t="s">
        <v>27</v>
      </c>
      <c r="V2041" s="56" t="s">
        <v>3549</v>
      </c>
      <c r="W2041" s="56" t="s">
        <v>3548</v>
      </c>
      <c r="X2041" s="56" t="s">
        <v>3547</v>
      </c>
      <c r="Z2041" s="56" t="s">
        <v>3546</v>
      </c>
      <c r="AA2041" s="56" t="s">
        <v>4285</v>
      </c>
      <c r="AB2041" s="56" t="s">
        <v>4284</v>
      </c>
      <c r="AC2041" s="56" t="s">
        <v>3543</v>
      </c>
      <c r="AH2041" s="56" t="s">
        <v>3542</v>
      </c>
      <c r="AI2041" s="56" t="s">
        <v>3541</v>
      </c>
    </row>
    <row r="2042" spans="1:35" ht="33" customHeight="1">
      <c r="A2042" s="56" t="s">
        <v>4288</v>
      </c>
      <c r="B2042" s="57">
        <v>44366.650775462964</v>
      </c>
      <c r="C2042" s="56" t="s">
        <v>3803</v>
      </c>
      <c r="D2042" s="56" t="s">
        <v>25</v>
      </c>
      <c r="E2042" s="56" t="s">
        <v>4287</v>
      </c>
      <c r="F2042" s="56" t="s">
        <v>4286</v>
      </c>
      <c r="G2042" s="58" t="s">
        <v>1506</v>
      </c>
      <c r="H2042" s="56">
        <v>1</v>
      </c>
      <c r="I2042" s="56" t="s">
        <v>3696</v>
      </c>
      <c r="J2042" s="56">
        <v>299</v>
      </c>
      <c r="K2042" s="56">
        <v>299</v>
      </c>
      <c r="P2042" s="56">
        <v>0</v>
      </c>
      <c r="S2042" s="56">
        <v>0</v>
      </c>
      <c r="T2042" s="56" t="s">
        <v>27</v>
      </c>
      <c r="V2042" s="56" t="s">
        <v>3549</v>
      </c>
      <c r="W2042" s="56" t="s">
        <v>3548</v>
      </c>
      <c r="X2042" s="56" t="s">
        <v>3547</v>
      </c>
      <c r="Z2042" s="56" t="s">
        <v>3546</v>
      </c>
      <c r="AA2042" s="56" t="s">
        <v>4285</v>
      </c>
      <c r="AB2042" s="56" t="s">
        <v>4284</v>
      </c>
      <c r="AC2042" s="56" t="s">
        <v>3543</v>
      </c>
      <c r="AH2042" s="56" t="s">
        <v>3542</v>
      </c>
      <c r="AI2042" s="56" t="s">
        <v>3541</v>
      </c>
    </row>
    <row r="2043" spans="1:35" ht="33" customHeight="1">
      <c r="A2043" s="56" t="s">
        <v>4288</v>
      </c>
      <c r="B2043" s="57">
        <v>44366.650775462964</v>
      </c>
      <c r="C2043" s="56" t="s">
        <v>3803</v>
      </c>
      <c r="D2043" s="56" t="s">
        <v>25</v>
      </c>
      <c r="E2043" s="56" t="s">
        <v>4287</v>
      </c>
      <c r="F2043" s="56" t="s">
        <v>4286</v>
      </c>
      <c r="G2043" s="58" t="s">
        <v>3551</v>
      </c>
      <c r="H2043" s="56">
        <v>1</v>
      </c>
      <c r="I2043" s="56" t="s">
        <v>3550</v>
      </c>
      <c r="J2043" s="56">
        <v>0</v>
      </c>
      <c r="K2043" s="56">
        <v>0</v>
      </c>
      <c r="P2043" s="56">
        <v>0</v>
      </c>
      <c r="S2043" s="56">
        <v>0</v>
      </c>
      <c r="T2043" s="56" t="s">
        <v>27</v>
      </c>
      <c r="V2043" s="56" t="s">
        <v>3549</v>
      </c>
      <c r="W2043" s="56" t="s">
        <v>3548</v>
      </c>
      <c r="X2043" s="56" t="s">
        <v>3547</v>
      </c>
      <c r="Z2043" s="56" t="s">
        <v>3546</v>
      </c>
      <c r="AA2043" s="56" t="s">
        <v>4285</v>
      </c>
      <c r="AB2043" s="56" t="s">
        <v>4284</v>
      </c>
      <c r="AC2043" s="56" t="s">
        <v>3543</v>
      </c>
      <c r="AH2043" s="56" t="s">
        <v>3542</v>
      </c>
      <c r="AI2043" s="56" t="s">
        <v>3541</v>
      </c>
    </row>
    <row r="2044" spans="1:35" ht="33" customHeight="1">
      <c r="A2044" s="56" t="s">
        <v>4288</v>
      </c>
      <c r="B2044" s="57">
        <v>44366.650775462964</v>
      </c>
      <c r="C2044" s="56" t="s">
        <v>3803</v>
      </c>
      <c r="D2044" s="56" t="s">
        <v>25</v>
      </c>
      <c r="E2044" s="56" t="s">
        <v>4287</v>
      </c>
      <c r="F2044" s="56" t="s">
        <v>4286</v>
      </c>
      <c r="G2044" s="58" t="s">
        <v>1713</v>
      </c>
      <c r="H2044" s="56">
        <v>1</v>
      </c>
      <c r="I2044" s="56" t="s">
        <v>3568</v>
      </c>
      <c r="J2044" s="56">
        <v>0</v>
      </c>
      <c r="K2044" s="56">
        <v>0</v>
      </c>
      <c r="P2044" s="56">
        <v>0</v>
      </c>
      <c r="S2044" s="56">
        <v>0</v>
      </c>
      <c r="T2044" s="56" t="s">
        <v>27</v>
      </c>
      <c r="V2044" s="56" t="s">
        <v>3549</v>
      </c>
      <c r="W2044" s="56" t="s">
        <v>3548</v>
      </c>
      <c r="X2044" s="56" t="s">
        <v>3547</v>
      </c>
      <c r="Z2044" s="56" t="s">
        <v>3546</v>
      </c>
      <c r="AA2044" s="56" t="s">
        <v>4285</v>
      </c>
      <c r="AB2044" s="56" t="s">
        <v>4284</v>
      </c>
      <c r="AC2044" s="56" t="s">
        <v>3543</v>
      </c>
      <c r="AH2044" s="56" t="s">
        <v>3542</v>
      </c>
      <c r="AI2044" s="56" t="s">
        <v>3541</v>
      </c>
    </row>
    <row r="2045" spans="1:35" ht="33" customHeight="1">
      <c r="A2045" s="56" t="s">
        <v>4288</v>
      </c>
      <c r="B2045" s="57">
        <v>44366.650775462964</v>
      </c>
      <c r="C2045" s="56" t="s">
        <v>3803</v>
      </c>
      <c r="D2045" s="56" t="s">
        <v>25</v>
      </c>
      <c r="E2045" s="56" t="s">
        <v>4287</v>
      </c>
      <c r="F2045" s="56" t="s">
        <v>4286</v>
      </c>
      <c r="G2045" s="58" t="s">
        <v>1498</v>
      </c>
      <c r="H2045" s="56">
        <v>1</v>
      </c>
      <c r="I2045" s="56" t="s">
        <v>4016</v>
      </c>
      <c r="J2045" s="56">
        <v>0</v>
      </c>
      <c r="K2045" s="56">
        <v>0</v>
      </c>
      <c r="P2045" s="56">
        <v>0</v>
      </c>
      <c r="S2045" s="56">
        <v>0</v>
      </c>
      <c r="T2045" s="56" t="s">
        <v>27</v>
      </c>
      <c r="V2045" s="56" t="s">
        <v>3549</v>
      </c>
      <c r="W2045" s="56" t="s">
        <v>3548</v>
      </c>
      <c r="X2045" s="56" t="s">
        <v>3547</v>
      </c>
      <c r="Z2045" s="56" t="s">
        <v>3546</v>
      </c>
      <c r="AA2045" s="56" t="s">
        <v>4285</v>
      </c>
      <c r="AB2045" s="56" t="s">
        <v>4284</v>
      </c>
      <c r="AC2045" s="56" t="s">
        <v>3543</v>
      </c>
      <c r="AH2045" s="56" t="s">
        <v>3542</v>
      </c>
      <c r="AI2045" s="56" t="s">
        <v>3541</v>
      </c>
    </row>
    <row r="2046" spans="1:35" ht="33" customHeight="1">
      <c r="A2046" s="56" t="s">
        <v>4282</v>
      </c>
      <c r="B2046" s="57">
        <v>44366.670416666668</v>
      </c>
      <c r="C2046" s="56" t="s">
        <v>3803</v>
      </c>
      <c r="D2046" s="56" t="s">
        <v>3802</v>
      </c>
      <c r="E2046" s="56" t="s">
        <v>4281</v>
      </c>
      <c r="F2046" s="56" t="s">
        <v>4280</v>
      </c>
      <c r="G2046" s="58" t="s">
        <v>4283</v>
      </c>
      <c r="H2046" s="56">
        <v>1</v>
      </c>
      <c r="I2046" s="56" t="s">
        <v>3669</v>
      </c>
      <c r="J2046" s="56">
        <v>897</v>
      </c>
      <c r="K2046" s="56">
        <v>888</v>
      </c>
      <c r="L2046" s="56">
        <v>1023</v>
      </c>
      <c r="M2046" s="56">
        <v>0</v>
      </c>
      <c r="N2046" s="56">
        <v>0</v>
      </c>
      <c r="O2046" s="56">
        <v>103</v>
      </c>
      <c r="P2046" s="56">
        <v>0</v>
      </c>
      <c r="Q2046" s="56">
        <v>920</v>
      </c>
      <c r="R2046" s="56">
        <v>0</v>
      </c>
      <c r="S2046" s="56">
        <v>0</v>
      </c>
      <c r="T2046" s="56" t="s">
        <v>3562</v>
      </c>
      <c r="U2046" s="56">
        <v>920</v>
      </c>
      <c r="V2046" s="56" t="s">
        <v>3561</v>
      </c>
      <c r="W2046" s="56" t="s">
        <v>3548</v>
      </c>
      <c r="X2046" s="56" t="s">
        <v>39</v>
      </c>
      <c r="Y2046" s="56" t="s">
        <v>4279</v>
      </c>
      <c r="Z2046" s="56" t="s">
        <v>4278</v>
      </c>
      <c r="AC2046" s="56" t="s">
        <v>3543</v>
      </c>
      <c r="AD2046" s="56" t="s">
        <v>24</v>
      </c>
      <c r="AE2046" s="56" t="s">
        <v>4145</v>
      </c>
      <c r="AF2046" s="56" t="s">
        <v>4277</v>
      </c>
      <c r="AH2046" s="56" t="s">
        <v>3542</v>
      </c>
      <c r="AI2046" s="56" t="s">
        <v>3723</v>
      </c>
    </row>
    <row r="2047" spans="1:35" ht="33" customHeight="1">
      <c r="A2047" s="56" t="s">
        <v>4282</v>
      </c>
      <c r="B2047" s="57">
        <v>44366.670416666668</v>
      </c>
      <c r="C2047" s="56" t="s">
        <v>3803</v>
      </c>
      <c r="D2047" s="56" t="s">
        <v>3802</v>
      </c>
      <c r="E2047" s="56" t="s">
        <v>4281</v>
      </c>
      <c r="F2047" s="56" t="s">
        <v>4280</v>
      </c>
      <c r="G2047" s="58" t="s">
        <v>1491</v>
      </c>
      <c r="H2047" s="56">
        <v>1</v>
      </c>
      <c r="I2047" s="56" t="s">
        <v>3771</v>
      </c>
      <c r="J2047" s="56">
        <v>135</v>
      </c>
      <c r="K2047" s="56">
        <v>135</v>
      </c>
      <c r="P2047" s="56">
        <v>0</v>
      </c>
      <c r="S2047" s="56">
        <v>0</v>
      </c>
      <c r="T2047" s="56" t="s">
        <v>3562</v>
      </c>
      <c r="V2047" s="56" t="s">
        <v>3561</v>
      </c>
      <c r="W2047" s="56" t="s">
        <v>3548</v>
      </c>
      <c r="X2047" s="56" t="s">
        <v>39</v>
      </c>
      <c r="Y2047" s="56" t="s">
        <v>4279</v>
      </c>
      <c r="Z2047" s="56" t="s">
        <v>4278</v>
      </c>
      <c r="AC2047" s="56" t="s">
        <v>3543</v>
      </c>
      <c r="AD2047" s="56" t="s">
        <v>24</v>
      </c>
      <c r="AE2047" s="56" t="s">
        <v>4145</v>
      </c>
      <c r="AF2047" s="56" t="s">
        <v>4277</v>
      </c>
      <c r="AH2047" s="56" t="s">
        <v>3542</v>
      </c>
      <c r="AI2047" s="56" t="s">
        <v>3723</v>
      </c>
    </row>
    <row r="2048" spans="1:35" ht="33" customHeight="1">
      <c r="A2048" s="56" t="s">
        <v>4282</v>
      </c>
      <c r="B2048" s="57">
        <v>44366.670416666668</v>
      </c>
      <c r="C2048" s="56" t="s">
        <v>3803</v>
      </c>
      <c r="D2048" s="56" t="s">
        <v>3802</v>
      </c>
      <c r="E2048" s="56" t="s">
        <v>4281</v>
      </c>
      <c r="F2048" s="56" t="s">
        <v>4280</v>
      </c>
      <c r="G2048" s="58" t="s">
        <v>3551</v>
      </c>
      <c r="H2048" s="56">
        <v>1</v>
      </c>
      <c r="I2048" s="56" t="s">
        <v>3550</v>
      </c>
      <c r="J2048" s="56">
        <v>0</v>
      </c>
      <c r="K2048" s="56">
        <v>0</v>
      </c>
      <c r="P2048" s="56">
        <v>0</v>
      </c>
      <c r="S2048" s="56">
        <v>0</v>
      </c>
      <c r="T2048" s="56" t="s">
        <v>3562</v>
      </c>
      <c r="V2048" s="56" t="s">
        <v>3561</v>
      </c>
      <c r="W2048" s="56" t="s">
        <v>3548</v>
      </c>
      <c r="X2048" s="56" t="s">
        <v>39</v>
      </c>
      <c r="Y2048" s="56" t="s">
        <v>4279</v>
      </c>
      <c r="Z2048" s="56" t="s">
        <v>4278</v>
      </c>
      <c r="AC2048" s="56" t="s">
        <v>3543</v>
      </c>
      <c r="AD2048" s="56" t="s">
        <v>24</v>
      </c>
      <c r="AE2048" s="56" t="s">
        <v>4145</v>
      </c>
      <c r="AF2048" s="56" t="s">
        <v>4277</v>
      </c>
      <c r="AH2048" s="56" t="s">
        <v>3542</v>
      </c>
      <c r="AI2048" s="56" t="s">
        <v>3723</v>
      </c>
    </row>
    <row r="2049" spans="1:35" ht="33" customHeight="1">
      <c r="A2049" s="56" t="s">
        <v>4282</v>
      </c>
      <c r="B2049" s="57">
        <v>44366.670416666668</v>
      </c>
      <c r="C2049" s="56" t="s">
        <v>3803</v>
      </c>
      <c r="D2049" s="56" t="s">
        <v>3802</v>
      </c>
      <c r="E2049" s="56" t="s">
        <v>4281</v>
      </c>
      <c r="F2049" s="56" t="s">
        <v>4280</v>
      </c>
      <c r="G2049" s="58" t="s">
        <v>1498</v>
      </c>
      <c r="H2049" s="56">
        <v>1</v>
      </c>
      <c r="I2049" s="56" t="s">
        <v>4016</v>
      </c>
      <c r="J2049" s="56">
        <v>0</v>
      </c>
      <c r="K2049" s="56">
        <v>0</v>
      </c>
      <c r="P2049" s="56">
        <v>0</v>
      </c>
      <c r="S2049" s="56">
        <v>0</v>
      </c>
      <c r="T2049" s="56" t="s">
        <v>3562</v>
      </c>
      <c r="V2049" s="56" t="s">
        <v>3561</v>
      </c>
      <c r="W2049" s="56" t="s">
        <v>3548</v>
      </c>
      <c r="X2049" s="56" t="s">
        <v>39</v>
      </c>
      <c r="Y2049" s="56" t="s">
        <v>4279</v>
      </c>
      <c r="Z2049" s="56" t="s">
        <v>4278</v>
      </c>
      <c r="AC2049" s="56" t="s">
        <v>3543</v>
      </c>
      <c r="AD2049" s="56" t="s">
        <v>24</v>
      </c>
      <c r="AE2049" s="56" t="s">
        <v>4145</v>
      </c>
      <c r="AF2049" s="56" t="s">
        <v>4277</v>
      </c>
      <c r="AH2049" s="56" t="s">
        <v>3542</v>
      </c>
      <c r="AI2049" s="56" t="s">
        <v>3723</v>
      </c>
    </row>
    <row r="2050" spans="1:35" ht="33" customHeight="1">
      <c r="A2050" s="56" t="s">
        <v>4276</v>
      </c>
      <c r="B2050" s="57">
        <v>44366.671724537038</v>
      </c>
      <c r="C2050" s="56" t="s">
        <v>3803</v>
      </c>
      <c r="D2050" s="56" t="s">
        <v>25</v>
      </c>
      <c r="E2050" s="56" t="s">
        <v>4275</v>
      </c>
      <c r="F2050" s="56" t="s">
        <v>4274</v>
      </c>
      <c r="G2050" s="58" t="s">
        <v>3580</v>
      </c>
      <c r="H2050" s="56">
        <v>1</v>
      </c>
      <c r="I2050" s="56" t="s">
        <v>3579</v>
      </c>
      <c r="J2050" s="56">
        <v>336</v>
      </c>
      <c r="K2050" s="56">
        <v>320</v>
      </c>
      <c r="L2050" s="56">
        <v>1054</v>
      </c>
      <c r="M2050" s="56">
        <v>0</v>
      </c>
      <c r="N2050" s="56">
        <v>0</v>
      </c>
      <c r="O2050" s="56">
        <v>100</v>
      </c>
      <c r="P2050" s="56">
        <v>0</v>
      </c>
      <c r="Q2050" s="56">
        <v>954</v>
      </c>
      <c r="R2050" s="56">
        <v>0</v>
      </c>
      <c r="S2050" s="56">
        <v>0</v>
      </c>
      <c r="T2050" s="56" t="s">
        <v>27</v>
      </c>
      <c r="U2050" s="56">
        <v>954</v>
      </c>
      <c r="V2050" s="56" t="s">
        <v>3549</v>
      </c>
      <c r="W2050" s="56" t="s">
        <v>3548</v>
      </c>
      <c r="X2050" s="56" t="s">
        <v>3547</v>
      </c>
      <c r="Z2050" s="56" t="s">
        <v>3546</v>
      </c>
      <c r="AA2050" s="56" t="s">
        <v>4273</v>
      </c>
      <c r="AB2050" s="56" t="s">
        <v>4272</v>
      </c>
      <c r="AC2050" s="56" t="s">
        <v>3543</v>
      </c>
      <c r="AH2050" s="56" t="s">
        <v>3542</v>
      </c>
      <c r="AI2050" s="56" t="s">
        <v>3541</v>
      </c>
    </row>
    <row r="2051" spans="1:35" ht="33" customHeight="1">
      <c r="A2051" s="56" t="s">
        <v>4276</v>
      </c>
      <c r="B2051" s="57">
        <v>44366.671724537038</v>
      </c>
      <c r="C2051" s="56" t="s">
        <v>3803</v>
      </c>
      <c r="D2051" s="56" t="s">
        <v>25</v>
      </c>
      <c r="E2051" s="56" t="s">
        <v>4275</v>
      </c>
      <c r="F2051" s="56" t="s">
        <v>4274</v>
      </c>
      <c r="G2051" s="58" t="s">
        <v>4137</v>
      </c>
      <c r="H2051" s="56">
        <v>1</v>
      </c>
      <c r="I2051" s="56" t="s">
        <v>3577</v>
      </c>
      <c r="J2051" s="56">
        <v>700</v>
      </c>
      <c r="K2051" s="56">
        <v>599</v>
      </c>
      <c r="P2051" s="56">
        <v>0</v>
      </c>
      <c r="S2051" s="56">
        <v>0</v>
      </c>
      <c r="T2051" s="56" t="s">
        <v>27</v>
      </c>
      <c r="V2051" s="56" t="s">
        <v>3549</v>
      </c>
      <c r="W2051" s="56" t="s">
        <v>3548</v>
      </c>
      <c r="X2051" s="56" t="s">
        <v>3547</v>
      </c>
      <c r="Z2051" s="56" t="s">
        <v>3546</v>
      </c>
      <c r="AA2051" s="56" t="s">
        <v>4273</v>
      </c>
      <c r="AB2051" s="56" t="s">
        <v>4272</v>
      </c>
      <c r="AC2051" s="56" t="s">
        <v>3543</v>
      </c>
      <c r="AH2051" s="56" t="s">
        <v>3542</v>
      </c>
      <c r="AI2051" s="56" t="s">
        <v>3541</v>
      </c>
    </row>
    <row r="2052" spans="1:35" ht="33" customHeight="1">
      <c r="A2052" s="56" t="s">
        <v>4276</v>
      </c>
      <c r="B2052" s="57">
        <v>44366.671724537038</v>
      </c>
      <c r="C2052" s="56" t="s">
        <v>3803</v>
      </c>
      <c r="D2052" s="56" t="s">
        <v>25</v>
      </c>
      <c r="E2052" s="56" t="s">
        <v>4275</v>
      </c>
      <c r="F2052" s="56" t="s">
        <v>4274</v>
      </c>
      <c r="G2052" s="58" t="s">
        <v>1493</v>
      </c>
      <c r="H2052" s="56">
        <v>1</v>
      </c>
      <c r="I2052" s="56" t="s">
        <v>3601</v>
      </c>
      <c r="J2052" s="56">
        <v>135</v>
      </c>
      <c r="K2052" s="56">
        <v>135</v>
      </c>
      <c r="P2052" s="56">
        <v>0</v>
      </c>
      <c r="S2052" s="56">
        <v>0</v>
      </c>
      <c r="T2052" s="56" t="s">
        <v>27</v>
      </c>
      <c r="V2052" s="56" t="s">
        <v>3549</v>
      </c>
      <c r="W2052" s="56" t="s">
        <v>3548</v>
      </c>
      <c r="X2052" s="56" t="s">
        <v>3547</v>
      </c>
      <c r="Z2052" s="56" t="s">
        <v>3546</v>
      </c>
      <c r="AA2052" s="56" t="s">
        <v>4273</v>
      </c>
      <c r="AB2052" s="56" t="s">
        <v>4272</v>
      </c>
      <c r="AC2052" s="56" t="s">
        <v>3543</v>
      </c>
      <c r="AH2052" s="56" t="s">
        <v>3542</v>
      </c>
      <c r="AI2052" s="56" t="s">
        <v>3541</v>
      </c>
    </row>
    <row r="2053" spans="1:35" ht="33" customHeight="1">
      <c r="A2053" s="56" t="s">
        <v>4276</v>
      </c>
      <c r="B2053" s="57">
        <v>44366.671724537038</v>
      </c>
      <c r="C2053" s="56" t="s">
        <v>3803</v>
      </c>
      <c r="D2053" s="56" t="s">
        <v>25</v>
      </c>
      <c r="E2053" s="56" t="s">
        <v>4275</v>
      </c>
      <c r="F2053" s="56" t="s">
        <v>4274</v>
      </c>
      <c r="G2053" s="58" t="s">
        <v>3551</v>
      </c>
      <c r="H2053" s="56">
        <v>1</v>
      </c>
      <c r="I2053" s="56" t="s">
        <v>3550</v>
      </c>
      <c r="J2053" s="56">
        <v>0</v>
      </c>
      <c r="K2053" s="56">
        <v>0</v>
      </c>
      <c r="P2053" s="56">
        <v>0</v>
      </c>
      <c r="S2053" s="56">
        <v>0</v>
      </c>
      <c r="T2053" s="56" t="s">
        <v>27</v>
      </c>
      <c r="V2053" s="56" t="s">
        <v>3549</v>
      </c>
      <c r="W2053" s="56" t="s">
        <v>3548</v>
      </c>
      <c r="X2053" s="56" t="s">
        <v>3547</v>
      </c>
      <c r="Z2053" s="56" t="s">
        <v>3546</v>
      </c>
      <c r="AA2053" s="56" t="s">
        <v>4273</v>
      </c>
      <c r="AB2053" s="56" t="s">
        <v>4272</v>
      </c>
      <c r="AC2053" s="56" t="s">
        <v>3543</v>
      </c>
      <c r="AH2053" s="56" t="s">
        <v>3542</v>
      </c>
      <c r="AI2053" s="56" t="s">
        <v>3541</v>
      </c>
    </row>
    <row r="2054" spans="1:35" ht="33" customHeight="1">
      <c r="A2054" s="56" t="s">
        <v>4276</v>
      </c>
      <c r="B2054" s="57">
        <v>44366.671724537038</v>
      </c>
      <c r="C2054" s="56" t="s">
        <v>3803</v>
      </c>
      <c r="D2054" s="56" t="s">
        <v>25</v>
      </c>
      <c r="E2054" s="56" t="s">
        <v>4275</v>
      </c>
      <c r="F2054" s="56" t="s">
        <v>4274</v>
      </c>
      <c r="G2054" s="58" t="s">
        <v>1498</v>
      </c>
      <c r="H2054" s="56">
        <v>1</v>
      </c>
      <c r="I2054" s="56" t="s">
        <v>4016</v>
      </c>
      <c r="J2054" s="56">
        <v>0</v>
      </c>
      <c r="K2054" s="56">
        <v>0</v>
      </c>
      <c r="P2054" s="56">
        <v>0</v>
      </c>
      <c r="S2054" s="56">
        <v>0</v>
      </c>
      <c r="T2054" s="56" t="s">
        <v>27</v>
      </c>
      <c r="V2054" s="56" t="s">
        <v>3549</v>
      </c>
      <c r="W2054" s="56" t="s">
        <v>3548</v>
      </c>
      <c r="X2054" s="56" t="s">
        <v>3547</v>
      </c>
      <c r="Z2054" s="56" t="s">
        <v>3546</v>
      </c>
      <c r="AA2054" s="56" t="s">
        <v>4273</v>
      </c>
      <c r="AB2054" s="56" t="s">
        <v>4272</v>
      </c>
      <c r="AC2054" s="56" t="s">
        <v>3543</v>
      </c>
      <c r="AH2054" s="56" t="s">
        <v>3542</v>
      </c>
      <c r="AI2054" s="56" t="s">
        <v>3541</v>
      </c>
    </row>
    <row r="2055" spans="1:35" ht="33" customHeight="1">
      <c r="A2055" s="56" t="s">
        <v>4271</v>
      </c>
      <c r="B2055" s="57">
        <v>44366.718229166669</v>
      </c>
      <c r="C2055" s="56" t="s">
        <v>3803</v>
      </c>
      <c r="D2055" s="56" t="s">
        <v>3802</v>
      </c>
      <c r="E2055" s="56" t="s">
        <v>4270</v>
      </c>
      <c r="F2055" s="56" t="s">
        <v>4269</v>
      </c>
      <c r="G2055" s="58" t="s">
        <v>3654</v>
      </c>
      <c r="H2055" s="56">
        <v>2</v>
      </c>
      <c r="I2055" s="56" t="s">
        <v>3653</v>
      </c>
      <c r="J2055" s="56">
        <v>447</v>
      </c>
      <c r="K2055" s="56">
        <v>430</v>
      </c>
      <c r="L2055" s="56">
        <v>1120</v>
      </c>
      <c r="M2055" s="56">
        <v>0</v>
      </c>
      <c r="N2055" s="56">
        <v>0</v>
      </c>
      <c r="O2055" s="56">
        <v>100</v>
      </c>
      <c r="P2055" s="56">
        <v>0</v>
      </c>
      <c r="Q2055" s="56">
        <v>1020</v>
      </c>
      <c r="R2055" s="56">
        <v>0</v>
      </c>
      <c r="S2055" s="56">
        <v>0</v>
      </c>
      <c r="T2055" s="56" t="s">
        <v>3562</v>
      </c>
      <c r="U2055" s="56">
        <v>1020</v>
      </c>
      <c r="V2055" s="56" t="s">
        <v>3561</v>
      </c>
      <c r="W2055" s="56" t="s">
        <v>3548</v>
      </c>
      <c r="X2055" s="56" t="s">
        <v>39</v>
      </c>
      <c r="Y2055" s="56" t="s">
        <v>4268</v>
      </c>
      <c r="Z2055" s="56" t="s">
        <v>4267</v>
      </c>
      <c r="AC2055" s="56" t="s">
        <v>3543</v>
      </c>
      <c r="AD2055" s="56" t="s">
        <v>24</v>
      </c>
      <c r="AE2055" s="56" t="s">
        <v>4145</v>
      </c>
      <c r="AF2055" s="56" t="s">
        <v>4266</v>
      </c>
      <c r="AH2055" s="56" t="s">
        <v>3542</v>
      </c>
      <c r="AI2055" s="56" t="s">
        <v>3723</v>
      </c>
    </row>
    <row r="2056" spans="1:35" ht="33" customHeight="1">
      <c r="A2056" s="56" t="s">
        <v>4271</v>
      </c>
      <c r="B2056" s="57">
        <v>44366.718229166669</v>
      </c>
      <c r="C2056" s="56" t="s">
        <v>3803</v>
      </c>
      <c r="D2056" s="56" t="s">
        <v>3802</v>
      </c>
      <c r="E2056" s="56" t="s">
        <v>4270</v>
      </c>
      <c r="F2056" s="56" t="s">
        <v>4269</v>
      </c>
      <c r="G2056" s="58" t="s">
        <v>3299</v>
      </c>
      <c r="H2056" s="56">
        <v>1</v>
      </c>
      <c r="I2056" s="56" t="s">
        <v>3576</v>
      </c>
      <c r="J2056" s="56">
        <v>260</v>
      </c>
      <c r="K2056" s="56">
        <v>260</v>
      </c>
      <c r="P2056" s="56">
        <v>0</v>
      </c>
      <c r="S2056" s="56">
        <v>0</v>
      </c>
      <c r="T2056" s="56" t="s">
        <v>3562</v>
      </c>
      <c r="V2056" s="56" t="s">
        <v>3561</v>
      </c>
      <c r="W2056" s="56" t="s">
        <v>3548</v>
      </c>
      <c r="X2056" s="56" t="s">
        <v>39</v>
      </c>
      <c r="Y2056" s="56" t="s">
        <v>4268</v>
      </c>
      <c r="Z2056" s="56" t="s">
        <v>4267</v>
      </c>
      <c r="AC2056" s="56" t="s">
        <v>3543</v>
      </c>
      <c r="AD2056" s="56" t="s">
        <v>24</v>
      </c>
      <c r="AE2056" s="56" t="s">
        <v>4145</v>
      </c>
      <c r="AF2056" s="56" t="s">
        <v>4266</v>
      </c>
      <c r="AH2056" s="56" t="s">
        <v>3542</v>
      </c>
      <c r="AI2056" s="56" t="s">
        <v>3723</v>
      </c>
    </row>
    <row r="2057" spans="1:35" ht="33" customHeight="1">
      <c r="A2057" s="56" t="s">
        <v>4271</v>
      </c>
      <c r="B2057" s="57">
        <v>44366.718229166669</v>
      </c>
      <c r="C2057" s="56" t="s">
        <v>3803</v>
      </c>
      <c r="D2057" s="56" t="s">
        <v>3802</v>
      </c>
      <c r="E2057" s="56" t="s">
        <v>4270</v>
      </c>
      <c r="F2057" s="56" t="s">
        <v>4269</v>
      </c>
      <c r="G2057" s="58" t="s">
        <v>3551</v>
      </c>
      <c r="H2057" s="56">
        <v>1</v>
      </c>
      <c r="I2057" s="56" t="s">
        <v>3550</v>
      </c>
      <c r="J2057" s="56">
        <v>0</v>
      </c>
      <c r="K2057" s="56">
        <v>0</v>
      </c>
      <c r="P2057" s="56">
        <v>0</v>
      </c>
      <c r="S2057" s="56">
        <v>0</v>
      </c>
      <c r="T2057" s="56" t="s">
        <v>3562</v>
      </c>
      <c r="V2057" s="56" t="s">
        <v>3561</v>
      </c>
      <c r="W2057" s="56" t="s">
        <v>3548</v>
      </c>
      <c r="X2057" s="56" t="s">
        <v>39</v>
      </c>
      <c r="Y2057" s="56" t="s">
        <v>4268</v>
      </c>
      <c r="Z2057" s="56" t="s">
        <v>4267</v>
      </c>
      <c r="AC2057" s="56" t="s">
        <v>3543</v>
      </c>
      <c r="AD2057" s="56" t="s">
        <v>24</v>
      </c>
      <c r="AE2057" s="56" t="s">
        <v>4145</v>
      </c>
      <c r="AF2057" s="56" t="s">
        <v>4266</v>
      </c>
      <c r="AH2057" s="56" t="s">
        <v>3542</v>
      </c>
      <c r="AI2057" s="56" t="s">
        <v>3723</v>
      </c>
    </row>
    <row r="2058" spans="1:35" ht="33" customHeight="1">
      <c r="A2058" s="56" t="s">
        <v>4271</v>
      </c>
      <c r="B2058" s="57">
        <v>44366.718229166669</v>
      </c>
      <c r="C2058" s="56" t="s">
        <v>3803</v>
      </c>
      <c r="D2058" s="56" t="s">
        <v>3802</v>
      </c>
      <c r="E2058" s="56" t="s">
        <v>4270</v>
      </c>
      <c r="F2058" s="56" t="s">
        <v>4269</v>
      </c>
      <c r="G2058" s="58" t="s">
        <v>1498</v>
      </c>
      <c r="H2058" s="56">
        <v>1</v>
      </c>
      <c r="I2058" s="56" t="s">
        <v>4016</v>
      </c>
      <c r="J2058" s="56">
        <v>0</v>
      </c>
      <c r="K2058" s="56">
        <v>0</v>
      </c>
      <c r="P2058" s="56">
        <v>0</v>
      </c>
      <c r="S2058" s="56">
        <v>0</v>
      </c>
      <c r="T2058" s="56" t="s">
        <v>3562</v>
      </c>
      <c r="V2058" s="56" t="s">
        <v>3561</v>
      </c>
      <c r="W2058" s="56" t="s">
        <v>3548</v>
      </c>
      <c r="X2058" s="56" t="s">
        <v>39</v>
      </c>
      <c r="Y2058" s="56" t="s">
        <v>4268</v>
      </c>
      <c r="Z2058" s="56" t="s">
        <v>4267</v>
      </c>
      <c r="AC2058" s="56" t="s">
        <v>3543</v>
      </c>
      <c r="AD2058" s="56" t="s">
        <v>24</v>
      </c>
      <c r="AE2058" s="56" t="s">
        <v>4145</v>
      </c>
      <c r="AF2058" s="56" t="s">
        <v>4266</v>
      </c>
      <c r="AH2058" s="56" t="s">
        <v>3542</v>
      </c>
      <c r="AI2058" s="56" t="s">
        <v>3723</v>
      </c>
    </row>
    <row r="2059" spans="1:35" ht="33" customHeight="1">
      <c r="A2059" s="56" t="s">
        <v>4264</v>
      </c>
      <c r="B2059" s="57">
        <v>44366.735648148147</v>
      </c>
      <c r="C2059" s="56" t="s">
        <v>3803</v>
      </c>
      <c r="D2059" s="56" t="s">
        <v>3802</v>
      </c>
      <c r="E2059" s="56" t="s">
        <v>4263</v>
      </c>
      <c r="F2059" s="56" t="s">
        <v>4262</v>
      </c>
      <c r="G2059" s="58" t="s">
        <v>1506</v>
      </c>
      <c r="H2059" s="56">
        <v>1</v>
      </c>
      <c r="I2059" s="56" t="s">
        <v>3696</v>
      </c>
      <c r="J2059" s="56">
        <v>299</v>
      </c>
      <c r="K2059" s="56">
        <v>299</v>
      </c>
      <c r="L2059" s="56">
        <v>1357</v>
      </c>
      <c r="M2059" s="56">
        <v>0</v>
      </c>
      <c r="N2059" s="56">
        <v>0</v>
      </c>
      <c r="O2059" s="56">
        <v>100</v>
      </c>
      <c r="P2059" s="56">
        <v>0</v>
      </c>
      <c r="Q2059" s="56">
        <v>1257</v>
      </c>
      <c r="R2059" s="56">
        <v>0</v>
      </c>
      <c r="S2059" s="56">
        <v>0</v>
      </c>
      <c r="T2059" s="56" t="s">
        <v>3562</v>
      </c>
      <c r="U2059" s="56">
        <v>1257</v>
      </c>
      <c r="V2059" s="56" t="s">
        <v>59</v>
      </c>
      <c r="W2059" s="56" t="s">
        <v>3548</v>
      </c>
      <c r="X2059" s="56" t="s">
        <v>39</v>
      </c>
      <c r="Y2059" s="56" t="s">
        <v>3807</v>
      </c>
      <c r="Z2059" s="56" t="s">
        <v>4261</v>
      </c>
      <c r="AC2059" s="56" t="s">
        <v>3543</v>
      </c>
      <c r="AD2059" s="56" t="s">
        <v>24</v>
      </c>
      <c r="AE2059" s="56" t="s">
        <v>4145</v>
      </c>
      <c r="AF2059" s="56" t="s">
        <v>4260</v>
      </c>
      <c r="AH2059" s="56" t="s">
        <v>3542</v>
      </c>
      <c r="AI2059" s="56" t="s">
        <v>3723</v>
      </c>
    </row>
    <row r="2060" spans="1:35" ht="33" customHeight="1">
      <c r="A2060" s="56" t="s">
        <v>4264</v>
      </c>
      <c r="B2060" s="57">
        <v>44366.735648148147</v>
      </c>
      <c r="C2060" s="56" t="s">
        <v>3803</v>
      </c>
      <c r="D2060" s="56" t="s">
        <v>3802</v>
      </c>
      <c r="E2060" s="56" t="s">
        <v>4263</v>
      </c>
      <c r="F2060" s="56" t="s">
        <v>4262</v>
      </c>
      <c r="G2060" s="58" t="s">
        <v>4265</v>
      </c>
      <c r="H2060" s="56">
        <v>1</v>
      </c>
      <c r="I2060" s="56" t="s">
        <v>4123</v>
      </c>
      <c r="J2060" s="56">
        <v>478</v>
      </c>
      <c r="K2060" s="56">
        <v>460</v>
      </c>
      <c r="P2060" s="56">
        <v>0</v>
      </c>
      <c r="S2060" s="56">
        <v>0</v>
      </c>
      <c r="T2060" s="56" t="s">
        <v>3562</v>
      </c>
      <c r="V2060" s="56" t="s">
        <v>59</v>
      </c>
      <c r="W2060" s="56" t="s">
        <v>3548</v>
      </c>
      <c r="X2060" s="56" t="s">
        <v>39</v>
      </c>
      <c r="Y2060" s="56" t="s">
        <v>3807</v>
      </c>
      <c r="Z2060" s="56" t="s">
        <v>4261</v>
      </c>
      <c r="AC2060" s="56" t="s">
        <v>3543</v>
      </c>
      <c r="AD2060" s="56" t="s">
        <v>24</v>
      </c>
      <c r="AE2060" s="56" t="s">
        <v>4145</v>
      </c>
      <c r="AF2060" s="56" t="s">
        <v>4260</v>
      </c>
      <c r="AH2060" s="56" t="s">
        <v>3542</v>
      </c>
      <c r="AI2060" s="56" t="s">
        <v>3723</v>
      </c>
    </row>
    <row r="2061" spans="1:35" ht="33" customHeight="1">
      <c r="A2061" s="56" t="s">
        <v>4264</v>
      </c>
      <c r="B2061" s="57">
        <v>44366.735648148147</v>
      </c>
      <c r="C2061" s="56" t="s">
        <v>3803</v>
      </c>
      <c r="D2061" s="56" t="s">
        <v>3802</v>
      </c>
      <c r="E2061" s="56" t="s">
        <v>4263</v>
      </c>
      <c r="F2061" s="56" t="s">
        <v>4262</v>
      </c>
      <c r="G2061" s="58" t="s">
        <v>1508</v>
      </c>
      <c r="H2061" s="56">
        <v>1</v>
      </c>
      <c r="I2061" s="56" t="s">
        <v>3696</v>
      </c>
      <c r="J2061" s="56">
        <v>299</v>
      </c>
      <c r="K2061" s="56">
        <v>299</v>
      </c>
      <c r="P2061" s="56">
        <v>0</v>
      </c>
      <c r="S2061" s="56">
        <v>0</v>
      </c>
      <c r="T2061" s="56" t="s">
        <v>3562</v>
      </c>
      <c r="V2061" s="56" t="s">
        <v>59</v>
      </c>
      <c r="W2061" s="56" t="s">
        <v>3548</v>
      </c>
      <c r="X2061" s="56" t="s">
        <v>39</v>
      </c>
      <c r="Y2061" s="56" t="s">
        <v>3807</v>
      </c>
      <c r="Z2061" s="56" t="s">
        <v>4261</v>
      </c>
      <c r="AC2061" s="56" t="s">
        <v>3543</v>
      </c>
      <c r="AD2061" s="56" t="s">
        <v>24</v>
      </c>
      <c r="AE2061" s="56" t="s">
        <v>4145</v>
      </c>
      <c r="AF2061" s="56" t="s">
        <v>4260</v>
      </c>
      <c r="AH2061" s="56" t="s">
        <v>3542</v>
      </c>
      <c r="AI2061" s="56" t="s">
        <v>3723</v>
      </c>
    </row>
    <row r="2062" spans="1:35" ht="33" customHeight="1">
      <c r="A2062" s="56" t="s">
        <v>4264</v>
      </c>
      <c r="B2062" s="57">
        <v>44366.735648148147</v>
      </c>
      <c r="C2062" s="56" t="s">
        <v>3803</v>
      </c>
      <c r="D2062" s="56" t="s">
        <v>3802</v>
      </c>
      <c r="E2062" s="56" t="s">
        <v>4263</v>
      </c>
      <c r="F2062" s="56" t="s">
        <v>4262</v>
      </c>
      <c r="G2062" s="58" t="s">
        <v>1531</v>
      </c>
      <c r="H2062" s="56">
        <v>1</v>
      </c>
      <c r="I2062" s="56" t="s">
        <v>3696</v>
      </c>
      <c r="J2062" s="56">
        <v>299</v>
      </c>
      <c r="K2062" s="56">
        <v>299</v>
      </c>
      <c r="P2062" s="56">
        <v>0</v>
      </c>
      <c r="S2062" s="56">
        <v>0</v>
      </c>
      <c r="T2062" s="56" t="s">
        <v>3562</v>
      </c>
      <c r="V2062" s="56" t="s">
        <v>59</v>
      </c>
      <c r="W2062" s="56" t="s">
        <v>3548</v>
      </c>
      <c r="X2062" s="56" t="s">
        <v>39</v>
      </c>
      <c r="Y2062" s="56" t="s">
        <v>3807</v>
      </c>
      <c r="Z2062" s="56" t="s">
        <v>4261</v>
      </c>
      <c r="AC2062" s="56" t="s">
        <v>3543</v>
      </c>
      <c r="AD2062" s="56" t="s">
        <v>24</v>
      </c>
      <c r="AE2062" s="56" t="s">
        <v>4145</v>
      </c>
      <c r="AF2062" s="56" t="s">
        <v>4260</v>
      </c>
      <c r="AH2062" s="56" t="s">
        <v>3542</v>
      </c>
      <c r="AI2062" s="56" t="s">
        <v>3723</v>
      </c>
    </row>
    <row r="2063" spans="1:35" ht="33" customHeight="1">
      <c r="A2063" s="56" t="s">
        <v>4264</v>
      </c>
      <c r="B2063" s="57">
        <v>44366.735648148147</v>
      </c>
      <c r="C2063" s="56" t="s">
        <v>3803</v>
      </c>
      <c r="D2063" s="56" t="s">
        <v>3802</v>
      </c>
      <c r="E2063" s="56" t="s">
        <v>4263</v>
      </c>
      <c r="F2063" s="56" t="s">
        <v>4262</v>
      </c>
      <c r="G2063" s="58" t="s">
        <v>3551</v>
      </c>
      <c r="H2063" s="56">
        <v>1</v>
      </c>
      <c r="I2063" s="56" t="s">
        <v>3550</v>
      </c>
      <c r="J2063" s="56">
        <v>0</v>
      </c>
      <c r="K2063" s="56">
        <v>0</v>
      </c>
      <c r="P2063" s="56">
        <v>0</v>
      </c>
      <c r="S2063" s="56">
        <v>0</v>
      </c>
      <c r="T2063" s="56" t="s">
        <v>3562</v>
      </c>
      <c r="V2063" s="56" t="s">
        <v>59</v>
      </c>
      <c r="W2063" s="56" t="s">
        <v>3548</v>
      </c>
      <c r="X2063" s="56" t="s">
        <v>39</v>
      </c>
      <c r="Y2063" s="56" t="s">
        <v>3807</v>
      </c>
      <c r="Z2063" s="56" t="s">
        <v>4261</v>
      </c>
      <c r="AC2063" s="56" t="s">
        <v>3543</v>
      </c>
      <c r="AD2063" s="56" t="s">
        <v>24</v>
      </c>
      <c r="AE2063" s="56" t="s">
        <v>4145</v>
      </c>
      <c r="AF2063" s="56" t="s">
        <v>4260</v>
      </c>
      <c r="AH2063" s="56" t="s">
        <v>3542</v>
      </c>
      <c r="AI2063" s="56" t="s">
        <v>3723</v>
      </c>
    </row>
    <row r="2064" spans="1:35" ht="33" customHeight="1">
      <c r="A2064" s="56" t="s">
        <v>4264</v>
      </c>
      <c r="B2064" s="57">
        <v>44366.735648148147</v>
      </c>
      <c r="C2064" s="56" t="s">
        <v>3803</v>
      </c>
      <c r="D2064" s="56" t="s">
        <v>3802</v>
      </c>
      <c r="E2064" s="56" t="s">
        <v>4263</v>
      </c>
      <c r="F2064" s="56" t="s">
        <v>4262</v>
      </c>
      <c r="G2064" s="58" t="s">
        <v>1498</v>
      </c>
      <c r="H2064" s="56">
        <v>1</v>
      </c>
      <c r="I2064" s="56" t="s">
        <v>4016</v>
      </c>
      <c r="J2064" s="56">
        <v>0</v>
      </c>
      <c r="K2064" s="56">
        <v>0</v>
      </c>
      <c r="P2064" s="56">
        <v>0</v>
      </c>
      <c r="S2064" s="56">
        <v>0</v>
      </c>
      <c r="T2064" s="56" t="s">
        <v>3562</v>
      </c>
      <c r="V2064" s="56" t="s">
        <v>59</v>
      </c>
      <c r="W2064" s="56" t="s">
        <v>3548</v>
      </c>
      <c r="X2064" s="56" t="s">
        <v>39</v>
      </c>
      <c r="Y2064" s="56" t="s">
        <v>3807</v>
      </c>
      <c r="Z2064" s="56" t="s">
        <v>4261</v>
      </c>
      <c r="AC2064" s="56" t="s">
        <v>3543</v>
      </c>
      <c r="AD2064" s="56" t="s">
        <v>24</v>
      </c>
      <c r="AE2064" s="56" t="s">
        <v>4145</v>
      </c>
      <c r="AF2064" s="56" t="s">
        <v>4260</v>
      </c>
      <c r="AH2064" s="56" t="s">
        <v>3542</v>
      </c>
      <c r="AI2064" s="56" t="s">
        <v>3723</v>
      </c>
    </row>
    <row r="2065" spans="1:35" ht="33" customHeight="1">
      <c r="A2065" s="56" t="s">
        <v>4259</v>
      </c>
      <c r="B2065" s="57">
        <v>44366.736296296294</v>
      </c>
      <c r="C2065" s="56" t="s">
        <v>3803</v>
      </c>
      <c r="D2065" s="56" t="s">
        <v>3802</v>
      </c>
      <c r="E2065" s="56" t="s">
        <v>4258</v>
      </c>
      <c r="F2065" s="56" t="s">
        <v>4257</v>
      </c>
      <c r="G2065" s="58" t="s">
        <v>3196</v>
      </c>
      <c r="H2065" s="56">
        <v>1</v>
      </c>
      <c r="I2065" s="56" t="s">
        <v>2550</v>
      </c>
      <c r="J2065" s="56">
        <v>120</v>
      </c>
      <c r="K2065" s="56">
        <v>120</v>
      </c>
      <c r="L2065" s="56">
        <v>529</v>
      </c>
      <c r="M2065" s="56">
        <v>60</v>
      </c>
      <c r="N2065" s="56">
        <v>0</v>
      </c>
      <c r="O2065" s="56">
        <v>0</v>
      </c>
      <c r="P2065" s="56">
        <v>0</v>
      </c>
      <c r="Q2065" s="56">
        <v>589</v>
      </c>
      <c r="R2065" s="56">
        <v>0</v>
      </c>
      <c r="S2065" s="56">
        <v>0</v>
      </c>
      <c r="T2065" s="56" t="s">
        <v>3562</v>
      </c>
      <c r="U2065" s="56">
        <v>589</v>
      </c>
      <c r="V2065" s="56" t="s">
        <v>3561</v>
      </c>
      <c r="W2065" s="56" t="s">
        <v>3548</v>
      </c>
      <c r="X2065" s="56" t="s">
        <v>39</v>
      </c>
      <c r="Y2065" s="56" t="s">
        <v>4256</v>
      </c>
      <c r="Z2065" s="56" t="s">
        <v>4255</v>
      </c>
      <c r="AC2065" s="56" t="s">
        <v>3842</v>
      </c>
      <c r="AD2065" s="56" t="s">
        <v>24</v>
      </c>
      <c r="AE2065" s="56" t="s">
        <v>4145</v>
      </c>
      <c r="AF2065" s="56" t="s">
        <v>4254</v>
      </c>
      <c r="AH2065" s="56" t="s">
        <v>3542</v>
      </c>
      <c r="AI2065" s="56" t="s">
        <v>3723</v>
      </c>
    </row>
    <row r="2066" spans="1:35" ht="33" customHeight="1">
      <c r="A2066" s="56" t="s">
        <v>4259</v>
      </c>
      <c r="B2066" s="57">
        <v>44366.736296296294</v>
      </c>
      <c r="C2066" s="56" t="s">
        <v>3803</v>
      </c>
      <c r="D2066" s="56" t="s">
        <v>3802</v>
      </c>
      <c r="E2066" s="56" t="s">
        <v>4258</v>
      </c>
      <c r="F2066" s="56" t="s">
        <v>4257</v>
      </c>
      <c r="G2066" s="58" t="s">
        <v>2156</v>
      </c>
      <c r="H2066" s="56">
        <v>1</v>
      </c>
      <c r="I2066" s="56" t="s">
        <v>1376</v>
      </c>
      <c r="J2066" s="56">
        <v>149</v>
      </c>
      <c r="K2066" s="56">
        <v>149</v>
      </c>
      <c r="P2066" s="56">
        <v>0</v>
      </c>
      <c r="S2066" s="56">
        <v>0</v>
      </c>
      <c r="T2066" s="56" t="s">
        <v>3562</v>
      </c>
      <c r="V2066" s="56" t="s">
        <v>3561</v>
      </c>
      <c r="W2066" s="56" t="s">
        <v>3548</v>
      </c>
      <c r="X2066" s="56" t="s">
        <v>39</v>
      </c>
      <c r="Y2066" s="56" t="s">
        <v>4256</v>
      </c>
      <c r="Z2066" s="56" t="s">
        <v>4255</v>
      </c>
      <c r="AC2066" s="56" t="s">
        <v>3842</v>
      </c>
      <c r="AD2066" s="56" t="s">
        <v>24</v>
      </c>
      <c r="AE2066" s="56" t="s">
        <v>4145</v>
      </c>
      <c r="AF2066" s="56" t="s">
        <v>4254</v>
      </c>
      <c r="AH2066" s="56" t="s">
        <v>3542</v>
      </c>
      <c r="AI2066" s="56" t="s">
        <v>3723</v>
      </c>
    </row>
    <row r="2067" spans="1:35" ht="33" customHeight="1">
      <c r="A2067" s="56" t="s">
        <v>4259</v>
      </c>
      <c r="B2067" s="57">
        <v>44366.736296296294</v>
      </c>
      <c r="C2067" s="56" t="s">
        <v>3803</v>
      </c>
      <c r="D2067" s="56" t="s">
        <v>3802</v>
      </c>
      <c r="E2067" s="56" t="s">
        <v>4258</v>
      </c>
      <c r="F2067" s="56" t="s">
        <v>4257</v>
      </c>
      <c r="G2067" s="58" t="s">
        <v>3299</v>
      </c>
      <c r="H2067" s="56">
        <v>1</v>
      </c>
      <c r="I2067" s="56" t="s">
        <v>3576</v>
      </c>
      <c r="J2067" s="56">
        <v>260</v>
      </c>
      <c r="K2067" s="56">
        <v>260</v>
      </c>
      <c r="P2067" s="56">
        <v>0</v>
      </c>
      <c r="S2067" s="56">
        <v>0</v>
      </c>
      <c r="T2067" s="56" t="s">
        <v>3562</v>
      </c>
      <c r="V2067" s="56" t="s">
        <v>3561</v>
      </c>
      <c r="W2067" s="56" t="s">
        <v>3548</v>
      </c>
      <c r="X2067" s="56" t="s">
        <v>39</v>
      </c>
      <c r="Y2067" s="56" t="s">
        <v>4256</v>
      </c>
      <c r="Z2067" s="56" t="s">
        <v>4255</v>
      </c>
      <c r="AC2067" s="56" t="s">
        <v>3842</v>
      </c>
      <c r="AD2067" s="56" t="s">
        <v>24</v>
      </c>
      <c r="AE2067" s="56" t="s">
        <v>4145</v>
      </c>
      <c r="AF2067" s="56" t="s">
        <v>4254</v>
      </c>
      <c r="AH2067" s="56" t="s">
        <v>3542</v>
      </c>
      <c r="AI2067" s="56" t="s">
        <v>3723</v>
      </c>
    </row>
    <row r="2068" spans="1:35" ht="33" customHeight="1">
      <c r="A2068" s="56" t="s">
        <v>4259</v>
      </c>
      <c r="B2068" s="57">
        <v>44366.736296296294</v>
      </c>
      <c r="C2068" s="56" t="s">
        <v>3803</v>
      </c>
      <c r="D2068" s="56" t="s">
        <v>3802</v>
      </c>
      <c r="E2068" s="56" t="s">
        <v>4258</v>
      </c>
      <c r="F2068" s="56" t="s">
        <v>4257</v>
      </c>
      <c r="G2068" s="58" t="s">
        <v>3551</v>
      </c>
      <c r="H2068" s="56">
        <v>1</v>
      </c>
      <c r="I2068" s="56" t="s">
        <v>3550</v>
      </c>
      <c r="J2068" s="56">
        <v>0</v>
      </c>
      <c r="K2068" s="56">
        <v>0</v>
      </c>
      <c r="P2068" s="56">
        <v>0</v>
      </c>
      <c r="S2068" s="56">
        <v>0</v>
      </c>
      <c r="T2068" s="56" t="s">
        <v>3562</v>
      </c>
      <c r="V2068" s="56" t="s">
        <v>3561</v>
      </c>
      <c r="W2068" s="56" t="s">
        <v>3548</v>
      </c>
      <c r="X2068" s="56" t="s">
        <v>39</v>
      </c>
      <c r="Y2068" s="56" t="s">
        <v>4256</v>
      </c>
      <c r="Z2068" s="56" t="s">
        <v>4255</v>
      </c>
      <c r="AC2068" s="56" t="s">
        <v>3842</v>
      </c>
      <c r="AD2068" s="56" t="s">
        <v>24</v>
      </c>
      <c r="AE2068" s="56" t="s">
        <v>4145</v>
      </c>
      <c r="AF2068" s="56" t="s">
        <v>4254</v>
      </c>
      <c r="AH2068" s="56" t="s">
        <v>3542</v>
      </c>
      <c r="AI2068" s="56" t="s">
        <v>3723</v>
      </c>
    </row>
    <row r="2069" spans="1:35" ht="33" customHeight="1">
      <c r="A2069" s="56" t="s">
        <v>4253</v>
      </c>
      <c r="B2069" s="57">
        <v>44366.740868055553</v>
      </c>
      <c r="C2069" s="56" t="s">
        <v>3803</v>
      </c>
      <c r="D2069" s="56" t="s">
        <v>25</v>
      </c>
      <c r="E2069" s="56" t="s">
        <v>4252</v>
      </c>
      <c r="F2069" s="56" t="s">
        <v>4251</v>
      </c>
      <c r="G2069" s="58" t="s">
        <v>3811</v>
      </c>
      <c r="H2069" s="56">
        <v>1</v>
      </c>
      <c r="I2069" s="56" t="s">
        <v>3669</v>
      </c>
      <c r="J2069" s="56">
        <v>897</v>
      </c>
      <c r="K2069" s="56">
        <v>888</v>
      </c>
      <c r="L2069" s="56">
        <v>1655</v>
      </c>
      <c r="M2069" s="56">
        <v>0</v>
      </c>
      <c r="N2069" s="56">
        <v>0</v>
      </c>
      <c r="O2069" s="56">
        <v>166</v>
      </c>
      <c r="P2069" s="56">
        <v>0</v>
      </c>
      <c r="Q2069" s="56">
        <v>1489</v>
      </c>
      <c r="R2069" s="56">
        <v>0</v>
      </c>
      <c r="S2069" s="56">
        <v>0</v>
      </c>
      <c r="T2069" s="56" t="s">
        <v>27</v>
      </c>
      <c r="U2069" s="56">
        <v>1489</v>
      </c>
      <c r="V2069" s="56" t="s">
        <v>3549</v>
      </c>
      <c r="W2069" s="56" t="s">
        <v>3548</v>
      </c>
      <c r="X2069" s="56" t="s">
        <v>3547</v>
      </c>
      <c r="Z2069" s="56" t="s">
        <v>3546</v>
      </c>
      <c r="AA2069" s="56" t="s">
        <v>4250</v>
      </c>
      <c r="AB2069" s="56" t="s">
        <v>4249</v>
      </c>
      <c r="AC2069" s="56" t="s">
        <v>3543</v>
      </c>
      <c r="AH2069" s="56" t="s">
        <v>3542</v>
      </c>
      <c r="AI2069" s="56" t="s">
        <v>3541</v>
      </c>
    </row>
    <row r="2070" spans="1:35" ht="33" customHeight="1">
      <c r="A2070" s="56" t="s">
        <v>4253</v>
      </c>
      <c r="B2070" s="57">
        <v>44366.740868055553</v>
      </c>
      <c r="C2070" s="56" t="s">
        <v>3803</v>
      </c>
      <c r="D2070" s="56" t="s">
        <v>25</v>
      </c>
      <c r="E2070" s="56" t="s">
        <v>4252</v>
      </c>
      <c r="F2070" s="56" t="s">
        <v>4251</v>
      </c>
      <c r="G2070" s="58" t="s">
        <v>3593</v>
      </c>
      <c r="H2070" s="56">
        <v>1</v>
      </c>
      <c r="I2070" s="56" t="s">
        <v>3577</v>
      </c>
      <c r="J2070" s="56">
        <v>700</v>
      </c>
      <c r="K2070" s="56">
        <v>599</v>
      </c>
      <c r="P2070" s="56">
        <v>0</v>
      </c>
      <c r="S2070" s="56">
        <v>0</v>
      </c>
      <c r="T2070" s="56" t="s">
        <v>27</v>
      </c>
      <c r="V2070" s="56" t="s">
        <v>3549</v>
      </c>
      <c r="W2070" s="56" t="s">
        <v>3548</v>
      </c>
      <c r="X2070" s="56" t="s">
        <v>3547</v>
      </c>
      <c r="Z2070" s="56" t="s">
        <v>3546</v>
      </c>
      <c r="AA2070" s="56" t="s">
        <v>4250</v>
      </c>
      <c r="AB2070" s="56" t="s">
        <v>4249</v>
      </c>
      <c r="AC2070" s="56" t="s">
        <v>3543</v>
      </c>
      <c r="AH2070" s="56" t="s">
        <v>3542</v>
      </c>
      <c r="AI2070" s="56" t="s">
        <v>3541</v>
      </c>
    </row>
    <row r="2071" spans="1:35" ht="33" customHeight="1">
      <c r="A2071" s="56" t="s">
        <v>4253</v>
      </c>
      <c r="B2071" s="57">
        <v>44366.740868055553</v>
      </c>
      <c r="C2071" s="56" t="s">
        <v>3803</v>
      </c>
      <c r="D2071" s="56" t="s">
        <v>25</v>
      </c>
      <c r="E2071" s="56" t="s">
        <v>4252</v>
      </c>
      <c r="F2071" s="56" t="s">
        <v>4251</v>
      </c>
      <c r="G2071" s="58" t="s">
        <v>3192</v>
      </c>
      <c r="H2071" s="56">
        <v>1</v>
      </c>
      <c r="I2071" s="56" t="s">
        <v>3722</v>
      </c>
      <c r="J2071" s="56">
        <v>168</v>
      </c>
      <c r="K2071" s="56">
        <v>168</v>
      </c>
      <c r="P2071" s="56">
        <v>0</v>
      </c>
      <c r="S2071" s="56">
        <v>0</v>
      </c>
      <c r="T2071" s="56" t="s">
        <v>27</v>
      </c>
      <c r="V2071" s="56" t="s">
        <v>3549</v>
      </c>
      <c r="W2071" s="56" t="s">
        <v>3548</v>
      </c>
      <c r="X2071" s="56" t="s">
        <v>3547</v>
      </c>
      <c r="Z2071" s="56" t="s">
        <v>3546</v>
      </c>
      <c r="AA2071" s="56" t="s">
        <v>4250</v>
      </c>
      <c r="AB2071" s="56" t="s">
        <v>4249</v>
      </c>
      <c r="AC2071" s="56" t="s">
        <v>3543</v>
      </c>
      <c r="AH2071" s="56" t="s">
        <v>3542</v>
      </c>
      <c r="AI2071" s="56" t="s">
        <v>3541</v>
      </c>
    </row>
    <row r="2072" spans="1:35" ht="33" customHeight="1">
      <c r="A2072" s="56" t="s">
        <v>4253</v>
      </c>
      <c r="B2072" s="57">
        <v>44366.740868055553</v>
      </c>
      <c r="C2072" s="56" t="s">
        <v>3803</v>
      </c>
      <c r="D2072" s="56" t="s">
        <v>25</v>
      </c>
      <c r="E2072" s="56" t="s">
        <v>4252</v>
      </c>
      <c r="F2072" s="56" t="s">
        <v>4251</v>
      </c>
      <c r="G2072" s="58" t="s">
        <v>3551</v>
      </c>
      <c r="H2072" s="56">
        <v>1</v>
      </c>
      <c r="I2072" s="56" t="s">
        <v>3550</v>
      </c>
      <c r="J2072" s="56">
        <v>0</v>
      </c>
      <c r="K2072" s="56">
        <v>0</v>
      </c>
      <c r="P2072" s="56">
        <v>0</v>
      </c>
      <c r="S2072" s="56">
        <v>0</v>
      </c>
      <c r="T2072" s="56" t="s">
        <v>27</v>
      </c>
      <c r="V2072" s="56" t="s">
        <v>3549</v>
      </c>
      <c r="W2072" s="56" t="s">
        <v>3548</v>
      </c>
      <c r="X2072" s="56" t="s">
        <v>3547</v>
      </c>
      <c r="Z2072" s="56" t="s">
        <v>3546</v>
      </c>
      <c r="AA2072" s="56" t="s">
        <v>4250</v>
      </c>
      <c r="AB2072" s="56" t="s">
        <v>4249</v>
      </c>
      <c r="AC2072" s="56" t="s">
        <v>3543</v>
      </c>
      <c r="AH2072" s="56" t="s">
        <v>3542</v>
      </c>
      <c r="AI2072" s="56" t="s">
        <v>3541</v>
      </c>
    </row>
    <row r="2073" spans="1:35" ht="33" customHeight="1">
      <c r="A2073" s="56" t="s">
        <v>4253</v>
      </c>
      <c r="B2073" s="57">
        <v>44366.740868055553</v>
      </c>
      <c r="C2073" s="56" t="s">
        <v>3803</v>
      </c>
      <c r="D2073" s="56" t="s">
        <v>25</v>
      </c>
      <c r="E2073" s="56" t="s">
        <v>4252</v>
      </c>
      <c r="F2073" s="56" t="s">
        <v>4251</v>
      </c>
      <c r="G2073" s="58" t="s">
        <v>1713</v>
      </c>
      <c r="H2073" s="56">
        <v>1</v>
      </c>
      <c r="I2073" s="56" t="s">
        <v>3568</v>
      </c>
      <c r="J2073" s="56">
        <v>0</v>
      </c>
      <c r="K2073" s="56">
        <v>0</v>
      </c>
      <c r="P2073" s="56">
        <v>0</v>
      </c>
      <c r="S2073" s="56">
        <v>0</v>
      </c>
      <c r="T2073" s="56" t="s">
        <v>27</v>
      </c>
      <c r="V2073" s="56" t="s">
        <v>3549</v>
      </c>
      <c r="W2073" s="56" t="s">
        <v>3548</v>
      </c>
      <c r="X2073" s="56" t="s">
        <v>3547</v>
      </c>
      <c r="Z2073" s="56" t="s">
        <v>3546</v>
      </c>
      <c r="AA2073" s="56" t="s">
        <v>4250</v>
      </c>
      <c r="AB2073" s="56" t="s">
        <v>4249</v>
      </c>
      <c r="AC2073" s="56" t="s">
        <v>3543</v>
      </c>
      <c r="AH2073" s="56" t="s">
        <v>3542</v>
      </c>
      <c r="AI2073" s="56" t="s">
        <v>3541</v>
      </c>
    </row>
    <row r="2074" spans="1:35" ht="33" customHeight="1">
      <c r="A2074" s="56" t="s">
        <v>4253</v>
      </c>
      <c r="B2074" s="57">
        <v>44366.740868055553</v>
      </c>
      <c r="C2074" s="56" t="s">
        <v>3803</v>
      </c>
      <c r="D2074" s="56" t="s">
        <v>25</v>
      </c>
      <c r="E2074" s="56" t="s">
        <v>4252</v>
      </c>
      <c r="F2074" s="56" t="s">
        <v>4251</v>
      </c>
      <c r="G2074" s="58" t="s">
        <v>1498</v>
      </c>
      <c r="H2074" s="56">
        <v>1</v>
      </c>
      <c r="I2074" s="56" t="s">
        <v>4016</v>
      </c>
      <c r="J2074" s="56">
        <v>0</v>
      </c>
      <c r="K2074" s="56">
        <v>0</v>
      </c>
      <c r="P2074" s="56">
        <v>0</v>
      </c>
      <c r="S2074" s="56">
        <v>0</v>
      </c>
      <c r="T2074" s="56" t="s">
        <v>27</v>
      </c>
      <c r="V2074" s="56" t="s">
        <v>3549</v>
      </c>
      <c r="W2074" s="56" t="s">
        <v>3548</v>
      </c>
      <c r="X2074" s="56" t="s">
        <v>3547</v>
      </c>
      <c r="Z2074" s="56" t="s">
        <v>3546</v>
      </c>
      <c r="AA2074" s="56" t="s">
        <v>4250</v>
      </c>
      <c r="AB2074" s="56" t="s">
        <v>4249</v>
      </c>
      <c r="AC2074" s="56" t="s">
        <v>3543</v>
      </c>
      <c r="AH2074" s="56" t="s">
        <v>3542</v>
      </c>
      <c r="AI2074" s="56" t="s">
        <v>3541</v>
      </c>
    </row>
    <row r="2075" spans="1:35" ht="33" customHeight="1">
      <c r="A2075" s="56" t="s">
        <v>4248</v>
      </c>
      <c r="B2075" s="57">
        <v>44366.746400462966</v>
      </c>
      <c r="C2075" s="56" t="s">
        <v>3803</v>
      </c>
      <c r="D2075" s="56" t="s">
        <v>25</v>
      </c>
      <c r="E2075" s="56" t="s">
        <v>4247</v>
      </c>
      <c r="F2075" s="56" t="s">
        <v>4246</v>
      </c>
      <c r="G2075" s="58" t="s">
        <v>3580</v>
      </c>
      <c r="H2075" s="56">
        <v>1</v>
      </c>
      <c r="I2075" s="56" t="s">
        <v>3579</v>
      </c>
      <c r="J2075" s="56">
        <v>336</v>
      </c>
      <c r="K2075" s="56">
        <v>320</v>
      </c>
      <c r="L2075" s="56">
        <v>1247</v>
      </c>
      <c r="M2075" s="56">
        <v>0</v>
      </c>
      <c r="N2075" s="56">
        <v>0</v>
      </c>
      <c r="O2075" s="56">
        <v>100</v>
      </c>
      <c r="P2075" s="56">
        <v>0</v>
      </c>
      <c r="Q2075" s="56">
        <v>1147</v>
      </c>
      <c r="R2075" s="56">
        <v>0</v>
      </c>
      <c r="S2075" s="56">
        <v>0</v>
      </c>
      <c r="T2075" s="56" t="s">
        <v>27</v>
      </c>
      <c r="U2075" s="56">
        <v>1147</v>
      </c>
      <c r="V2075" s="56" t="s">
        <v>3549</v>
      </c>
      <c r="W2075" s="56" t="s">
        <v>3548</v>
      </c>
      <c r="X2075" s="56" t="s">
        <v>3547</v>
      </c>
      <c r="Z2075" s="56" t="s">
        <v>3546</v>
      </c>
      <c r="AA2075" s="56" t="s">
        <v>4245</v>
      </c>
      <c r="AB2075" s="56" t="s">
        <v>4244</v>
      </c>
      <c r="AC2075" s="56" t="s">
        <v>3543</v>
      </c>
      <c r="AH2075" s="56" t="s">
        <v>3542</v>
      </c>
      <c r="AI2075" s="56" t="s">
        <v>3541</v>
      </c>
    </row>
    <row r="2076" spans="1:35" ht="33" customHeight="1">
      <c r="A2076" s="56" t="s">
        <v>4248</v>
      </c>
      <c r="B2076" s="57">
        <v>44366.746400462966</v>
      </c>
      <c r="C2076" s="56" t="s">
        <v>3803</v>
      </c>
      <c r="D2076" s="56" t="s">
        <v>25</v>
      </c>
      <c r="E2076" s="56" t="s">
        <v>4247</v>
      </c>
      <c r="F2076" s="56" t="s">
        <v>4246</v>
      </c>
      <c r="G2076" s="58" t="s">
        <v>3656</v>
      </c>
      <c r="H2076" s="56">
        <v>1</v>
      </c>
      <c r="I2076" s="56" t="s">
        <v>3655</v>
      </c>
      <c r="J2076" s="56">
        <v>1107</v>
      </c>
      <c r="K2076" s="56">
        <v>799</v>
      </c>
      <c r="P2076" s="56">
        <v>0</v>
      </c>
      <c r="S2076" s="56">
        <v>0</v>
      </c>
      <c r="T2076" s="56" t="s">
        <v>27</v>
      </c>
      <c r="V2076" s="56" t="s">
        <v>3549</v>
      </c>
      <c r="W2076" s="56" t="s">
        <v>3548</v>
      </c>
      <c r="X2076" s="56" t="s">
        <v>3547</v>
      </c>
      <c r="Z2076" s="56" t="s">
        <v>3546</v>
      </c>
      <c r="AA2076" s="56" t="s">
        <v>4245</v>
      </c>
      <c r="AB2076" s="56" t="s">
        <v>4244</v>
      </c>
      <c r="AC2076" s="56" t="s">
        <v>3543</v>
      </c>
      <c r="AH2076" s="56" t="s">
        <v>3542</v>
      </c>
      <c r="AI2076" s="56" t="s">
        <v>3541</v>
      </c>
    </row>
    <row r="2077" spans="1:35" ht="33" customHeight="1">
      <c r="A2077" s="56" t="s">
        <v>4248</v>
      </c>
      <c r="B2077" s="57">
        <v>44366.746400462966</v>
      </c>
      <c r="C2077" s="56" t="s">
        <v>3803</v>
      </c>
      <c r="D2077" s="56" t="s">
        <v>25</v>
      </c>
      <c r="E2077" s="56" t="s">
        <v>4247</v>
      </c>
      <c r="F2077" s="56" t="s">
        <v>4246</v>
      </c>
      <c r="G2077" s="58" t="s">
        <v>2161</v>
      </c>
      <c r="H2077" s="56">
        <v>1</v>
      </c>
      <c r="I2077" s="56" t="s">
        <v>3694</v>
      </c>
      <c r="J2077" s="56">
        <v>128</v>
      </c>
      <c r="K2077" s="56">
        <v>128</v>
      </c>
      <c r="P2077" s="56">
        <v>0</v>
      </c>
      <c r="S2077" s="56">
        <v>0</v>
      </c>
      <c r="T2077" s="56" t="s">
        <v>27</v>
      </c>
      <c r="V2077" s="56" t="s">
        <v>3549</v>
      </c>
      <c r="W2077" s="56" t="s">
        <v>3548</v>
      </c>
      <c r="X2077" s="56" t="s">
        <v>3547</v>
      </c>
      <c r="Z2077" s="56" t="s">
        <v>3546</v>
      </c>
      <c r="AA2077" s="56" t="s">
        <v>4245</v>
      </c>
      <c r="AB2077" s="56" t="s">
        <v>4244</v>
      </c>
      <c r="AC2077" s="56" t="s">
        <v>3543</v>
      </c>
      <c r="AH2077" s="56" t="s">
        <v>3542</v>
      </c>
      <c r="AI2077" s="56" t="s">
        <v>3541</v>
      </c>
    </row>
    <row r="2078" spans="1:35" ht="33" customHeight="1">
      <c r="A2078" s="56" t="s">
        <v>4248</v>
      </c>
      <c r="B2078" s="57">
        <v>44366.746400462966</v>
      </c>
      <c r="C2078" s="56" t="s">
        <v>3803</v>
      </c>
      <c r="D2078" s="56" t="s">
        <v>25</v>
      </c>
      <c r="E2078" s="56" t="s">
        <v>4247</v>
      </c>
      <c r="F2078" s="56" t="s">
        <v>4246</v>
      </c>
      <c r="G2078" s="58" t="s">
        <v>3551</v>
      </c>
      <c r="H2078" s="56">
        <v>1</v>
      </c>
      <c r="I2078" s="56" t="s">
        <v>3550</v>
      </c>
      <c r="J2078" s="56">
        <v>0</v>
      </c>
      <c r="K2078" s="56">
        <v>0</v>
      </c>
      <c r="P2078" s="56">
        <v>0</v>
      </c>
      <c r="S2078" s="56">
        <v>0</v>
      </c>
      <c r="T2078" s="56" t="s">
        <v>27</v>
      </c>
      <c r="V2078" s="56" t="s">
        <v>3549</v>
      </c>
      <c r="W2078" s="56" t="s">
        <v>3548</v>
      </c>
      <c r="X2078" s="56" t="s">
        <v>3547</v>
      </c>
      <c r="Z2078" s="56" t="s">
        <v>3546</v>
      </c>
      <c r="AA2078" s="56" t="s">
        <v>4245</v>
      </c>
      <c r="AB2078" s="56" t="s">
        <v>4244</v>
      </c>
      <c r="AC2078" s="56" t="s">
        <v>3543</v>
      </c>
      <c r="AH2078" s="56" t="s">
        <v>3542</v>
      </c>
      <c r="AI2078" s="56" t="s">
        <v>3541</v>
      </c>
    </row>
    <row r="2079" spans="1:35" ht="33" customHeight="1">
      <c r="A2079" s="56" t="s">
        <v>4248</v>
      </c>
      <c r="B2079" s="57">
        <v>44366.746400462966</v>
      </c>
      <c r="C2079" s="56" t="s">
        <v>3803</v>
      </c>
      <c r="D2079" s="56" t="s">
        <v>25</v>
      </c>
      <c r="E2079" s="56" t="s">
        <v>4247</v>
      </c>
      <c r="F2079" s="56" t="s">
        <v>4246</v>
      </c>
      <c r="G2079" s="58" t="s">
        <v>1498</v>
      </c>
      <c r="H2079" s="56">
        <v>1</v>
      </c>
      <c r="I2079" s="56" t="s">
        <v>4016</v>
      </c>
      <c r="J2079" s="56">
        <v>0</v>
      </c>
      <c r="K2079" s="56">
        <v>0</v>
      </c>
      <c r="P2079" s="56">
        <v>0</v>
      </c>
      <c r="S2079" s="56">
        <v>0</v>
      </c>
      <c r="T2079" s="56" t="s">
        <v>27</v>
      </c>
      <c r="V2079" s="56" t="s">
        <v>3549</v>
      </c>
      <c r="W2079" s="56" t="s">
        <v>3548</v>
      </c>
      <c r="X2079" s="56" t="s">
        <v>3547</v>
      </c>
      <c r="Z2079" s="56" t="s">
        <v>3546</v>
      </c>
      <c r="AA2079" s="56" t="s">
        <v>4245</v>
      </c>
      <c r="AB2079" s="56" t="s">
        <v>4244</v>
      </c>
      <c r="AC2079" s="56" t="s">
        <v>3543</v>
      </c>
      <c r="AH2079" s="56" t="s">
        <v>3542</v>
      </c>
      <c r="AI2079" s="56" t="s">
        <v>3541</v>
      </c>
    </row>
    <row r="2080" spans="1:35" ht="33" customHeight="1">
      <c r="A2080" s="56" t="s">
        <v>4243</v>
      </c>
      <c r="B2080" s="57">
        <v>44366.789629629631</v>
      </c>
      <c r="C2080" s="56" t="s">
        <v>3803</v>
      </c>
      <c r="D2080" s="56" t="s">
        <v>25</v>
      </c>
      <c r="E2080" s="56" t="s">
        <v>4242</v>
      </c>
      <c r="F2080" s="56" t="s">
        <v>4241</v>
      </c>
      <c r="G2080" s="58" t="s">
        <v>3811</v>
      </c>
      <c r="H2080" s="56">
        <v>1</v>
      </c>
      <c r="I2080" s="56" t="s">
        <v>3669</v>
      </c>
      <c r="J2080" s="56">
        <v>897</v>
      </c>
      <c r="K2080" s="56">
        <v>888</v>
      </c>
      <c r="L2080" s="56">
        <v>1322</v>
      </c>
      <c r="M2080" s="56">
        <v>0</v>
      </c>
      <c r="N2080" s="56">
        <v>0</v>
      </c>
      <c r="O2080" s="56">
        <v>133</v>
      </c>
      <c r="P2080" s="56">
        <v>0</v>
      </c>
      <c r="Q2080" s="56">
        <v>1189</v>
      </c>
      <c r="R2080" s="56">
        <v>0</v>
      </c>
      <c r="S2080" s="56">
        <v>0</v>
      </c>
      <c r="T2080" s="56" t="s">
        <v>27</v>
      </c>
      <c r="U2080" s="56">
        <v>1189</v>
      </c>
      <c r="V2080" s="56" t="s">
        <v>3549</v>
      </c>
      <c r="W2080" s="56" t="s">
        <v>3548</v>
      </c>
      <c r="X2080" s="56" t="s">
        <v>3547</v>
      </c>
      <c r="Z2080" s="56" t="s">
        <v>3546</v>
      </c>
      <c r="AA2080" s="56" t="s">
        <v>4240</v>
      </c>
      <c r="AB2080" s="56" t="s">
        <v>4239</v>
      </c>
      <c r="AC2080" s="56" t="s">
        <v>3543</v>
      </c>
      <c r="AH2080" s="56" t="s">
        <v>3542</v>
      </c>
      <c r="AI2080" s="56" t="s">
        <v>3541</v>
      </c>
    </row>
    <row r="2081" spans="1:35" ht="33" customHeight="1">
      <c r="A2081" s="56" t="s">
        <v>4243</v>
      </c>
      <c r="B2081" s="57">
        <v>44366.789629629631</v>
      </c>
      <c r="C2081" s="56" t="s">
        <v>3803</v>
      </c>
      <c r="D2081" s="56" t="s">
        <v>25</v>
      </c>
      <c r="E2081" s="56" t="s">
        <v>4242</v>
      </c>
      <c r="F2081" s="56" t="s">
        <v>4241</v>
      </c>
      <c r="G2081" s="58" t="s">
        <v>1491</v>
      </c>
      <c r="H2081" s="56">
        <v>1</v>
      </c>
      <c r="I2081" s="56" t="s">
        <v>3771</v>
      </c>
      <c r="J2081" s="56">
        <v>135</v>
      </c>
      <c r="K2081" s="56">
        <v>135</v>
      </c>
      <c r="P2081" s="56">
        <v>0</v>
      </c>
      <c r="S2081" s="56">
        <v>0</v>
      </c>
      <c r="T2081" s="56" t="s">
        <v>27</v>
      </c>
      <c r="V2081" s="56" t="s">
        <v>3549</v>
      </c>
      <c r="W2081" s="56" t="s">
        <v>3548</v>
      </c>
      <c r="X2081" s="56" t="s">
        <v>3547</v>
      </c>
      <c r="Z2081" s="56" t="s">
        <v>3546</v>
      </c>
      <c r="AA2081" s="56" t="s">
        <v>4240</v>
      </c>
      <c r="AB2081" s="56" t="s">
        <v>4239</v>
      </c>
      <c r="AC2081" s="56" t="s">
        <v>3543</v>
      </c>
      <c r="AH2081" s="56" t="s">
        <v>3542</v>
      </c>
      <c r="AI2081" s="56" t="s">
        <v>3541</v>
      </c>
    </row>
    <row r="2082" spans="1:35" ht="33" customHeight="1">
      <c r="A2082" s="56" t="s">
        <v>4243</v>
      </c>
      <c r="B2082" s="57">
        <v>44366.789629629631</v>
      </c>
      <c r="C2082" s="56" t="s">
        <v>3803</v>
      </c>
      <c r="D2082" s="56" t="s">
        <v>25</v>
      </c>
      <c r="E2082" s="56" t="s">
        <v>4242</v>
      </c>
      <c r="F2082" s="56" t="s">
        <v>4241</v>
      </c>
      <c r="G2082" s="58" t="s">
        <v>1531</v>
      </c>
      <c r="H2082" s="56">
        <v>1</v>
      </c>
      <c r="I2082" s="56" t="s">
        <v>3696</v>
      </c>
      <c r="J2082" s="56">
        <v>299</v>
      </c>
      <c r="K2082" s="56">
        <v>299</v>
      </c>
      <c r="P2082" s="56">
        <v>0</v>
      </c>
      <c r="S2082" s="56">
        <v>0</v>
      </c>
      <c r="T2082" s="56" t="s">
        <v>27</v>
      </c>
      <c r="V2082" s="56" t="s">
        <v>3549</v>
      </c>
      <c r="W2082" s="56" t="s">
        <v>3548</v>
      </c>
      <c r="X2082" s="56" t="s">
        <v>3547</v>
      </c>
      <c r="Z2082" s="56" t="s">
        <v>3546</v>
      </c>
      <c r="AA2082" s="56" t="s">
        <v>4240</v>
      </c>
      <c r="AB2082" s="56" t="s">
        <v>4239</v>
      </c>
      <c r="AC2082" s="56" t="s">
        <v>3543</v>
      </c>
      <c r="AH2082" s="56" t="s">
        <v>3542</v>
      </c>
      <c r="AI2082" s="56" t="s">
        <v>3541</v>
      </c>
    </row>
    <row r="2083" spans="1:35" ht="33" customHeight="1">
      <c r="A2083" s="56" t="s">
        <v>4243</v>
      </c>
      <c r="B2083" s="57">
        <v>44366.789629629631</v>
      </c>
      <c r="C2083" s="56" t="s">
        <v>3803</v>
      </c>
      <c r="D2083" s="56" t="s">
        <v>25</v>
      </c>
      <c r="E2083" s="56" t="s">
        <v>4242</v>
      </c>
      <c r="F2083" s="56" t="s">
        <v>4241</v>
      </c>
      <c r="G2083" s="58" t="s">
        <v>3551</v>
      </c>
      <c r="H2083" s="56">
        <v>1</v>
      </c>
      <c r="I2083" s="56" t="s">
        <v>3550</v>
      </c>
      <c r="J2083" s="56">
        <v>0</v>
      </c>
      <c r="K2083" s="56">
        <v>0</v>
      </c>
      <c r="P2083" s="56">
        <v>0</v>
      </c>
      <c r="S2083" s="56">
        <v>0</v>
      </c>
      <c r="T2083" s="56" t="s">
        <v>27</v>
      </c>
      <c r="V2083" s="56" t="s">
        <v>3549</v>
      </c>
      <c r="W2083" s="56" t="s">
        <v>3548</v>
      </c>
      <c r="X2083" s="56" t="s">
        <v>3547</v>
      </c>
      <c r="Z2083" s="56" t="s">
        <v>3546</v>
      </c>
      <c r="AA2083" s="56" t="s">
        <v>4240</v>
      </c>
      <c r="AB2083" s="56" t="s">
        <v>4239</v>
      </c>
      <c r="AC2083" s="56" t="s">
        <v>3543</v>
      </c>
      <c r="AH2083" s="56" t="s">
        <v>3542</v>
      </c>
      <c r="AI2083" s="56" t="s">
        <v>3541</v>
      </c>
    </row>
    <row r="2084" spans="1:35" ht="33" customHeight="1">
      <c r="A2084" s="56" t="s">
        <v>4243</v>
      </c>
      <c r="B2084" s="57">
        <v>44366.789629629631</v>
      </c>
      <c r="C2084" s="56" t="s">
        <v>3803</v>
      </c>
      <c r="D2084" s="56" t="s">
        <v>25</v>
      </c>
      <c r="E2084" s="56" t="s">
        <v>4242</v>
      </c>
      <c r="F2084" s="56" t="s">
        <v>4241</v>
      </c>
      <c r="G2084" s="58" t="s">
        <v>1498</v>
      </c>
      <c r="H2084" s="56">
        <v>1</v>
      </c>
      <c r="I2084" s="56" t="s">
        <v>4016</v>
      </c>
      <c r="J2084" s="56">
        <v>0</v>
      </c>
      <c r="K2084" s="56">
        <v>0</v>
      </c>
      <c r="P2084" s="56">
        <v>0</v>
      </c>
      <c r="S2084" s="56">
        <v>0</v>
      </c>
      <c r="T2084" s="56" t="s">
        <v>27</v>
      </c>
      <c r="V2084" s="56" t="s">
        <v>3549</v>
      </c>
      <c r="W2084" s="56" t="s">
        <v>3548</v>
      </c>
      <c r="X2084" s="56" t="s">
        <v>3547</v>
      </c>
      <c r="Z2084" s="56" t="s">
        <v>3546</v>
      </c>
      <c r="AA2084" s="56" t="s">
        <v>4240</v>
      </c>
      <c r="AB2084" s="56" t="s">
        <v>4239</v>
      </c>
      <c r="AC2084" s="56" t="s">
        <v>3543</v>
      </c>
      <c r="AH2084" s="56" t="s">
        <v>3542</v>
      </c>
      <c r="AI2084" s="56" t="s">
        <v>3541</v>
      </c>
    </row>
    <row r="2085" spans="1:35" ht="33" customHeight="1">
      <c r="A2085" s="56" t="s">
        <v>4237</v>
      </c>
      <c r="B2085" s="57">
        <v>44366.791967592595</v>
      </c>
      <c r="C2085" s="56" t="s">
        <v>3803</v>
      </c>
      <c r="D2085" s="56" t="s">
        <v>3802</v>
      </c>
      <c r="E2085" s="56" t="s">
        <v>4236</v>
      </c>
      <c r="F2085" s="56" t="s">
        <v>4235</v>
      </c>
      <c r="G2085" s="58" t="s">
        <v>3580</v>
      </c>
      <c r="H2085" s="56">
        <v>1</v>
      </c>
      <c r="I2085" s="56" t="s">
        <v>3579</v>
      </c>
      <c r="J2085" s="56">
        <v>336</v>
      </c>
      <c r="K2085" s="56">
        <v>320</v>
      </c>
      <c r="L2085" s="56">
        <v>1408</v>
      </c>
      <c r="M2085" s="56">
        <v>0</v>
      </c>
      <c r="N2085" s="56">
        <v>0</v>
      </c>
      <c r="O2085" s="56">
        <v>100</v>
      </c>
      <c r="P2085" s="56">
        <v>0</v>
      </c>
      <c r="Q2085" s="56">
        <v>1308</v>
      </c>
      <c r="R2085" s="56">
        <v>0</v>
      </c>
      <c r="S2085" s="56">
        <v>0</v>
      </c>
      <c r="T2085" s="56" t="s">
        <v>3562</v>
      </c>
      <c r="U2085" s="56">
        <v>1308</v>
      </c>
      <c r="V2085" s="56" t="s">
        <v>3561</v>
      </c>
      <c r="W2085" s="56" t="s">
        <v>3548</v>
      </c>
      <c r="X2085" s="56" t="s">
        <v>39</v>
      </c>
      <c r="Y2085" s="56" t="s">
        <v>3998</v>
      </c>
      <c r="Z2085" s="56" t="s">
        <v>4234</v>
      </c>
      <c r="AC2085" s="56" t="s">
        <v>3543</v>
      </c>
      <c r="AD2085" s="56" t="s">
        <v>24</v>
      </c>
      <c r="AE2085" s="56" t="s">
        <v>4145</v>
      </c>
      <c r="AF2085" s="56" t="s">
        <v>4233</v>
      </c>
      <c r="AH2085" s="56" t="s">
        <v>3542</v>
      </c>
      <c r="AI2085" s="56" t="s">
        <v>3723</v>
      </c>
    </row>
    <row r="2086" spans="1:35" ht="33" customHeight="1">
      <c r="A2086" s="56" t="s">
        <v>4237</v>
      </c>
      <c r="B2086" s="57">
        <v>44366.791967592595</v>
      </c>
      <c r="C2086" s="56" t="s">
        <v>3803</v>
      </c>
      <c r="D2086" s="56" t="s">
        <v>3802</v>
      </c>
      <c r="E2086" s="56" t="s">
        <v>4236</v>
      </c>
      <c r="F2086" s="56" t="s">
        <v>4235</v>
      </c>
      <c r="G2086" s="58" t="s">
        <v>4238</v>
      </c>
      <c r="H2086" s="56">
        <v>1</v>
      </c>
      <c r="I2086" s="56" t="s">
        <v>3753</v>
      </c>
      <c r="J2086" s="56">
        <v>997</v>
      </c>
      <c r="K2086" s="56">
        <v>960</v>
      </c>
      <c r="P2086" s="56">
        <v>0</v>
      </c>
      <c r="S2086" s="56">
        <v>0</v>
      </c>
      <c r="T2086" s="56" t="s">
        <v>3562</v>
      </c>
      <c r="V2086" s="56" t="s">
        <v>3561</v>
      </c>
      <c r="W2086" s="56" t="s">
        <v>3548</v>
      </c>
      <c r="X2086" s="56" t="s">
        <v>39</v>
      </c>
      <c r="Y2086" s="56" t="s">
        <v>3998</v>
      </c>
      <c r="Z2086" s="56" t="s">
        <v>4234</v>
      </c>
      <c r="AC2086" s="56" t="s">
        <v>3543</v>
      </c>
      <c r="AD2086" s="56" t="s">
        <v>24</v>
      </c>
      <c r="AE2086" s="56" t="s">
        <v>4145</v>
      </c>
      <c r="AF2086" s="56" t="s">
        <v>4233</v>
      </c>
      <c r="AH2086" s="56" t="s">
        <v>3542</v>
      </c>
      <c r="AI2086" s="56" t="s">
        <v>3723</v>
      </c>
    </row>
    <row r="2087" spans="1:35" ht="33" customHeight="1">
      <c r="A2087" s="56" t="s">
        <v>4237</v>
      </c>
      <c r="B2087" s="57">
        <v>44366.791967592595</v>
      </c>
      <c r="C2087" s="56" t="s">
        <v>3803</v>
      </c>
      <c r="D2087" s="56" t="s">
        <v>3802</v>
      </c>
      <c r="E2087" s="56" t="s">
        <v>4236</v>
      </c>
      <c r="F2087" s="56" t="s">
        <v>4235</v>
      </c>
      <c r="G2087" s="58" t="s">
        <v>2161</v>
      </c>
      <c r="H2087" s="56">
        <v>1</v>
      </c>
      <c r="I2087" s="56" t="s">
        <v>3694</v>
      </c>
      <c r="J2087" s="56">
        <v>128</v>
      </c>
      <c r="K2087" s="56">
        <v>128</v>
      </c>
      <c r="P2087" s="56">
        <v>0</v>
      </c>
      <c r="S2087" s="56">
        <v>0</v>
      </c>
      <c r="T2087" s="56" t="s">
        <v>3562</v>
      </c>
      <c r="V2087" s="56" t="s">
        <v>3561</v>
      </c>
      <c r="W2087" s="56" t="s">
        <v>3548</v>
      </c>
      <c r="X2087" s="56" t="s">
        <v>39</v>
      </c>
      <c r="Y2087" s="56" t="s">
        <v>3998</v>
      </c>
      <c r="Z2087" s="56" t="s">
        <v>4234</v>
      </c>
      <c r="AC2087" s="56" t="s">
        <v>3543</v>
      </c>
      <c r="AD2087" s="56" t="s">
        <v>24</v>
      </c>
      <c r="AE2087" s="56" t="s">
        <v>4145</v>
      </c>
      <c r="AF2087" s="56" t="s">
        <v>4233</v>
      </c>
      <c r="AH2087" s="56" t="s">
        <v>3542</v>
      </c>
      <c r="AI2087" s="56" t="s">
        <v>3723</v>
      </c>
    </row>
    <row r="2088" spans="1:35" ht="33" customHeight="1">
      <c r="A2088" s="56" t="s">
        <v>4237</v>
      </c>
      <c r="B2088" s="57">
        <v>44366.791967592595</v>
      </c>
      <c r="C2088" s="56" t="s">
        <v>3803</v>
      </c>
      <c r="D2088" s="56" t="s">
        <v>3802</v>
      </c>
      <c r="E2088" s="56" t="s">
        <v>4236</v>
      </c>
      <c r="F2088" s="56" t="s">
        <v>4235</v>
      </c>
      <c r="G2088" s="58" t="s">
        <v>3551</v>
      </c>
      <c r="H2088" s="56">
        <v>1</v>
      </c>
      <c r="I2088" s="56" t="s">
        <v>3550</v>
      </c>
      <c r="J2088" s="56">
        <v>0</v>
      </c>
      <c r="K2088" s="56">
        <v>0</v>
      </c>
      <c r="P2088" s="56">
        <v>0</v>
      </c>
      <c r="S2088" s="56">
        <v>0</v>
      </c>
      <c r="T2088" s="56" t="s">
        <v>3562</v>
      </c>
      <c r="V2088" s="56" t="s">
        <v>3561</v>
      </c>
      <c r="W2088" s="56" t="s">
        <v>3548</v>
      </c>
      <c r="X2088" s="56" t="s">
        <v>39</v>
      </c>
      <c r="Y2088" s="56" t="s">
        <v>3998</v>
      </c>
      <c r="Z2088" s="56" t="s">
        <v>4234</v>
      </c>
      <c r="AC2088" s="56" t="s">
        <v>3543</v>
      </c>
      <c r="AD2088" s="56" t="s">
        <v>24</v>
      </c>
      <c r="AE2088" s="56" t="s">
        <v>4145</v>
      </c>
      <c r="AF2088" s="56" t="s">
        <v>4233</v>
      </c>
      <c r="AH2088" s="56" t="s">
        <v>3542</v>
      </c>
      <c r="AI2088" s="56" t="s">
        <v>3723</v>
      </c>
    </row>
    <row r="2089" spans="1:35" ht="33" customHeight="1">
      <c r="A2089" s="56" t="s">
        <v>4237</v>
      </c>
      <c r="B2089" s="57">
        <v>44366.791967592595</v>
      </c>
      <c r="C2089" s="56" t="s">
        <v>3803</v>
      </c>
      <c r="D2089" s="56" t="s">
        <v>3802</v>
      </c>
      <c r="E2089" s="56" t="s">
        <v>4236</v>
      </c>
      <c r="F2089" s="56" t="s">
        <v>4235</v>
      </c>
      <c r="G2089" s="58" t="s">
        <v>1498</v>
      </c>
      <c r="H2089" s="56">
        <v>1</v>
      </c>
      <c r="I2089" s="56" t="s">
        <v>4016</v>
      </c>
      <c r="J2089" s="56">
        <v>0</v>
      </c>
      <c r="K2089" s="56">
        <v>0</v>
      </c>
      <c r="P2089" s="56">
        <v>0</v>
      </c>
      <c r="S2089" s="56">
        <v>0</v>
      </c>
      <c r="T2089" s="56" t="s">
        <v>3562</v>
      </c>
      <c r="V2089" s="56" t="s">
        <v>3561</v>
      </c>
      <c r="W2089" s="56" t="s">
        <v>3548</v>
      </c>
      <c r="X2089" s="56" t="s">
        <v>39</v>
      </c>
      <c r="Y2089" s="56" t="s">
        <v>3998</v>
      </c>
      <c r="Z2089" s="56" t="s">
        <v>4234</v>
      </c>
      <c r="AC2089" s="56" t="s">
        <v>3543</v>
      </c>
      <c r="AD2089" s="56" t="s">
        <v>24</v>
      </c>
      <c r="AE2089" s="56" t="s">
        <v>4145</v>
      </c>
      <c r="AF2089" s="56" t="s">
        <v>4233</v>
      </c>
      <c r="AH2089" s="56" t="s">
        <v>3542</v>
      </c>
      <c r="AI2089" s="56" t="s">
        <v>3723</v>
      </c>
    </row>
    <row r="2090" spans="1:35" ht="33" customHeight="1">
      <c r="A2090" s="56" t="s">
        <v>4230</v>
      </c>
      <c r="B2090" s="57">
        <v>44366.820914351854</v>
      </c>
      <c r="C2090" s="56" t="s">
        <v>3803</v>
      </c>
      <c r="D2090" s="56" t="s">
        <v>3802</v>
      </c>
      <c r="E2090" s="56" t="s">
        <v>4229</v>
      </c>
      <c r="F2090" s="56" t="s">
        <v>4228</v>
      </c>
      <c r="G2090" s="58" t="s">
        <v>4232</v>
      </c>
      <c r="H2090" s="56">
        <v>1</v>
      </c>
      <c r="I2090" s="56" t="s">
        <v>3848</v>
      </c>
      <c r="J2090" s="56">
        <v>1396</v>
      </c>
      <c r="K2090" s="56">
        <v>1320</v>
      </c>
      <c r="L2090" s="56">
        <v>2280</v>
      </c>
      <c r="M2090" s="56">
        <v>0</v>
      </c>
      <c r="N2090" s="56">
        <v>46</v>
      </c>
      <c r="O2090" s="56">
        <v>224</v>
      </c>
      <c r="P2090" s="56">
        <v>0</v>
      </c>
      <c r="Q2090" s="56">
        <v>2010</v>
      </c>
      <c r="R2090" s="56">
        <v>0</v>
      </c>
      <c r="S2090" s="56">
        <v>0</v>
      </c>
      <c r="T2090" s="56" t="s">
        <v>3562</v>
      </c>
      <c r="U2090" s="56">
        <v>2010</v>
      </c>
      <c r="V2090" s="56" t="s">
        <v>59</v>
      </c>
      <c r="W2090" s="56" t="s">
        <v>3548</v>
      </c>
      <c r="X2090" s="56" t="s">
        <v>39</v>
      </c>
      <c r="Y2090" s="56" t="s">
        <v>4227</v>
      </c>
      <c r="Z2090" s="56" t="s">
        <v>4226</v>
      </c>
      <c r="AC2090" s="56" t="s">
        <v>3543</v>
      </c>
      <c r="AD2090" s="56" t="s">
        <v>24</v>
      </c>
      <c r="AE2090" s="56" t="s">
        <v>4145</v>
      </c>
      <c r="AF2090" s="56" t="s">
        <v>4225</v>
      </c>
      <c r="AH2090" s="56" t="s">
        <v>3542</v>
      </c>
      <c r="AI2090" s="56" t="s">
        <v>3723</v>
      </c>
    </row>
    <row r="2091" spans="1:35" ht="33" customHeight="1">
      <c r="A2091" s="56" t="s">
        <v>4230</v>
      </c>
      <c r="B2091" s="57">
        <v>44366.820914351854</v>
      </c>
      <c r="C2091" s="56" t="s">
        <v>3803</v>
      </c>
      <c r="D2091" s="56" t="s">
        <v>3802</v>
      </c>
      <c r="E2091" s="56" t="s">
        <v>4229</v>
      </c>
      <c r="F2091" s="56" t="s">
        <v>4228</v>
      </c>
      <c r="G2091" s="58" t="s">
        <v>4231</v>
      </c>
      <c r="H2091" s="56">
        <v>1</v>
      </c>
      <c r="I2091" s="56" t="s">
        <v>3753</v>
      </c>
      <c r="J2091" s="56">
        <v>997</v>
      </c>
      <c r="K2091" s="56">
        <v>960</v>
      </c>
      <c r="P2091" s="56">
        <v>0</v>
      </c>
      <c r="S2091" s="56">
        <v>0</v>
      </c>
      <c r="T2091" s="56" t="s">
        <v>3562</v>
      </c>
      <c r="V2091" s="56" t="s">
        <v>59</v>
      </c>
      <c r="W2091" s="56" t="s">
        <v>3548</v>
      </c>
      <c r="X2091" s="56" t="s">
        <v>39</v>
      </c>
      <c r="Y2091" s="56" t="s">
        <v>4227</v>
      </c>
      <c r="Z2091" s="56" t="s">
        <v>4226</v>
      </c>
      <c r="AC2091" s="56" t="s">
        <v>3543</v>
      </c>
      <c r="AD2091" s="56" t="s">
        <v>24</v>
      </c>
      <c r="AE2091" s="56" t="s">
        <v>4145</v>
      </c>
      <c r="AF2091" s="56" t="s">
        <v>4225</v>
      </c>
      <c r="AH2091" s="56" t="s">
        <v>3542</v>
      </c>
      <c r="AI2091" s="56" t="s">
        <v>3723</v>
      </c>
    </row>
    <row r="2092" spans="1:35" ht="33" customHeight="1">
      <c r="A2092" s="56" t="s">
        <v>4230</v>
      </c>
      <c r="B2092" s="57">
        <v>44366.820914351854</v>
      </c>
      <c r="C2092" s="56" t="s">
        <v>3803</v>
      </c>
      <c r="D2092" s="56" t="s">
        <v>3802</v>
      </c>
      <c r="E2092" s="56" t="s">
        <v>4229</v>
      </c>
      <c r="F2092" s="56" t="s">
        <v>4228</v>
      </c>
      <c r="G2092" s="58" t="s">
        <v>3551</v>
      </c>
      <c r="H2092" s="56">
        <v>1</v>
      </c>
      <c r="I2092" s="56" t="s">
        <v>3550</v>
      </c>
      <c r="J2092" s="56">
        <v>0</v>
      </c>
      <c r="K2092" s="56">
        <v>0</v>
      </c>
      <c r="P2092" s="56">
        <v>0</v>
      </c>
      <c r="S2092" s="56">
        <v>0</v>
      </c>
      <c r="T2092" s="56" t="s">
        <v>3562</v>
      </c>
      <c r="V2092" s="56" t="s">
        <v>59</v>
      </c>
      <c r="W2092" s="56" t="s">
        <v>3548</v>
      </c>
      <c r="X2092" s="56" t="s">
        <v>39</v>
      </c>
      <c r="Y2092" s="56" t="s">
        <v>4227</v>
      </c>
      <c r="Z2092" s="56" t="s">
        <v>4226</v>
      </c>
      <c r="AC2092" s="56" t="s">
        <v>3543</v>
      </c>
      <c r="AD2092" s="56" t="s">
        <v>24</v>
      </c>
      <c r="AE2092" s="56" t="s">
        <v>4145</v>
      </c>
      <c r="AF2092" s="56" t="s">
        <v>4225</v>
      </c>
      <c r="AH2092" s="56" t="s">
        <v>3542</v>
      </c>
      <c r="AI2092" s="56" t="s">
        <v>3723</v>
      </c>
    </row>
    <row r="2093" spans="1:35" ht="33" customHeight="1">
      <c r="A2093" s="56" t="s">
        <v>4230</v>
      </c>
      <c r="B2093" s="57">
        <v>44366.820914351854</v>
      </c>
      <c r="C2093" s="56" t="s">
        <v>3803</v>
      </c>
      <c r="D2093" s="56" t="s">
        <v>3802</v>
      </c>
      <c r="E2093" s="56" t="s">
        <v>4229</v>
      </c>
      <c r="F2093" s="56" t="s">
        <v>4228</v>
      </c>
      <c r="G2093" s="58" t="s">
        <v>1713</v>
      </c>
      <c r="H2093" s="56">
        <v>1</v>
      </c>
      <c r="I2093" s="56" t="s">
        <v>3568</v>
      </c>
      <c r="J2093" s="56">
        <v>0</v>
      </c>
      <c r="K2093" s="56">
        <v>0</v>
      </c>
      <c r="P2093" s="56">
        <v>0</v>
      </c>
      <c r="S2093" s="56">
        <v>0</v>
      </c>
      <c r="T2093" s="56" t="s">
        <v>3562</v>
      </c>
      <c r="V2093" s="56" t="s">
        <v>59</v>
      </c>
      <c r="W2093" s="56" t="s">
        <v>3548</v>
      </c>
      <c r="X2093" s="56" t="s">
        <v>39</v>
      </c>
      <c r="Y2093" s="56" t="s">
        <v>4227</v>
      </c>
      <c r="Z2093" s="56" t="s">
        <v>4226</v>
      </c>
      <c r="AC2093" s="56" t="s">
        <v>3543</v>
      </c>
      <c r="AD2093" s="56" t="s">
        <v>24</v>
      </c>
      <c r="AE2093" s="56" t="s">
        <v>4145</v>
      </c>
      <c r="AF2093" s="56" t="s">
        <v>4225</v>
      </c>
      <c r="AH2093" s="56" t="s">
        <v>3542</v>
      </c>
      <c r="AI2093" s="56" t="s">
        <v>3723</v>
      </c>
    </row>
    <row r="2094" spans="1:35" ht="33" customHeight="1">
      <c r="A2094" s="56" t="s">
        <v>4230</v>
      </c>
      <c r="B2094" s="57">
        <v>44366.820914351854</v>
      </c>
      <c r="C2094" s="56" t="s">
        <v>3803</v>
      </c>
      <c r="D2094" s="56" t="s">
        <v>3802</v>
      </c>
      <c r="E2094" s="56" t="s">
        <v>4229</v>
      </c>
      <c r="F2094" s="56" t="s">
        <v>4228</v>
      </c>
      <c r="G2094" s="58" t="s">
        <v>1498</v>
      </c>
      <c r="H2094" s="56">
        <v>1</v>
      </c>
      <c r="I2094" s="56" t="s">
        <v>4016</v>
      </c>
      <c r="J2094" s="56">
        <v>0</v>
      </c>
      <c r="K2094" s="56">
        <v>0</v>
      </c>
      <c r="P2094" s="56">
        <v>0</v>
      </c>
      <c r="S2094" s="56">
        <v>0</v>
      </c>
      <c r="T2094" s="56" t="s">
        <v>3562</v>
      </c>
      <c r="V2094" s="56" t="s">
        <v>59</v>
      </c>
      <c r="W2094" s="56" t="s">
        <v>3548</v>
      </c>
      <c r="X2094" s="56" t="s">
        <v>39</v>
      </c>
      <c r="Y2094" s="56" t="s">
        <v>4227</v>
      </c>
      <c r="Z2094" s="56" t="s">
        <v>4226</v>
      </c>
      <c r="AC2094" s="56" t="s">
        <v>3543</v>
      </c>
      <c r="AD2094" s="56" t="s">
        <v>24</v>
      </c>
      <c r="AE2094" s="56" t="s">
        <v>4145</v>
      </c>
      <c r="AF2094" s="56" t="s">
        <v>4225</v>
      </c>
      <c r="AH2094" s="56" t="s">
        <v>3542</v>
      </c>
      <c r="AI2094" s="56" t="s">
        <v>3723</v>
      </c>
    </row>
    <row r="2095" spans="1:35" ht="33" customHeight="1">
      <c r="A2095" s="56" t="s">
        <v>4230</v>
      </c>
      <c r="B2095" s="57">
        <v>44366.820914351854</v>
      </c>
      <c r="C2095" s="56" t="s">
        <v>3803</v>
      </c>
      <c r="D2095" s="56" t="s">
        <v>3802</v>
      </c>
      <c r="E2095" s="56" t="s">
        <v>4229</v>
      </c>
      <c r="F2095" s="56" t="s">
        <v>4228</v>
      </c>
      <c r="G2095" s="58" t="s">
        <v>3564</v>
      </c>
      <c r="H2095" s="56">
        <v>1</v>
      </c>
      <c r="I2095" s="56" t="s">
        <v>3563</v>
      </c>
      <c r="J2095" s="56">
        <v>0</v>
      </c>
      <c r="K2095" s="56">
        <v>0</v>
      </c>
      <c r="P2095" s="56">
        <v>0</v>
      </c>
      <c r="S2095" s="56">
        <v>0</v>
      </c>
      <c r="T2095" s="56" t="s">
        <v>3562</v>
      </c>
      <c r="V2095" s="56" t="s">
        <v>59</v>
      </c>
      <c r="W2095" s="56" t="s">
        <v>3548</v>
      </c>
      <c r="X2095" s="56" t="s">
        <v>39</v>
      </c>
      <c r="Y2095" s="56" t="s">
        <v>4227</v>
      </c>
      <c r="Z2095" s="56" t="s">
        <v>4226</v>
      </c>
      <c r="AC2095" s="56" t="s">
        <v>3543</v>
      </c>
      <c r="AD2095" s="56" t="s">
        <v>24</v>
      </c>
      <c r="AE2095" s="56" t="s">
        <v>4145</v>
      </c>
      <c r="AF2095" s="56" t="s">
        <v>4225</v>
      </c>
      <c r="AH2095" s="56" t="s">
        <v>3542</v>
      </c>
      <c r="AI2095" s="56" t="s">
        <v>3723</v>
      </c>
    </row>
    <row r="2096" spans="1:35" ht="33" customHeight="1">
      <c r="A2096" s="56" t="s">
        <v>4224</v>
      </c>
      <c r="B2096" s="57">
        <v>44366.864444444444</v>
      </c>
      <c r="C2096" s="56" t="s">
        <v>3803</v>
      </c>
      <c r="D2096" s="56" t="s">
        <v>25</v>
      </c>
      <c r="E2096" s="56" t="s">
        <v>4223</v>
      </c>
      <c r="F2096" s="56" t="s">
        <v>4222</v>
      </c>
      <c r="G2096" s="58" t="s">
        <v>3580</v>
      </c>
      <c r="H2096" s="56">
        <v>1</v>
      </c>
      <c r="I2096" s="56" t="s">
        <v>3579</v>
      </c>
      <c r="J2096" s="56">
        <v>336</v>
      </c>
      <c r="K2096" s="56">
        <v>320</v>
      </c>
      <c r="L2096" s="56">
        <v>1019</v>
      </c>
      <c r="M2096" s="56">
        <v>0</v>
      </c>
      <c r="N2096" s="56">
        <v>0</v>
      </c>
      <c r="O2096" s="56">
        <v>100</v>
      </c>
      <c r="P2096" s="56">
        <v>0</v>
      </c>
      <c r="Q2096" s="56">
        <v>919</v>
      </c>
      <c r="R2096" s="56">
        <v>0</v>
      </c>
      <c r="S2096" s="56">
        <v>0</v>
      </c>
      <c r="T2096" s="56" t="s">
        <v>27</v>
      </c>
      <c r="U2096" s="56">
        <v>919</v>
      </c>
      <c r="V2096" s="56" t="s">
        <v>3549</v>
      </c>
      <c r="W2096" s="56" t="s">
        <v>3548</v>
      </c>
      <c r="X2096" s="56" t="s">
        <v>3547</v>
      </c>
      <c r="Z2096" s="56" t="s">
        <v>3546</v>
      </c>
      <c r="AA2096" s="56" t="s">
        <v>4221</v>
      </c>
      <c r="AB2096" s="56" t="s">
        <v>4220</v>
      </c>
      <c r="AC2096" s="56" t="s">
        <v>3543</v>
      </c>
      <c r="AH2096" s="56" t="s">
        <v>3542</v>
      </c>
      <c r="AI2096" s="56" t="s">
        <v>3541</v>
      </c>
    </row>
    <row r="2097" spans="1:35" ht="33" customHeight="1">
      <c r="A2097" s="56" t="s">
        <v>4224</v>
      </c>
      <c r="B2097" s="57">
        <v>44366.864444444444</v>
      </c>
      <c r="C2097" s="56" t="s">
        <v>3803</v>
      </c>
      <c r="D2097" s="56" t="s">
        <v>25</v>
      </c>
      <c r="E2097" s="56" t="s">
        <v>4223</v>
      </c>
      <c r="F2097" s="56" t="s">
        <v>4222</v>
      </c>
      <c r="G2097" s="58" t="s">
        <v>1713</v>
      </c>
      <c r="H2097" s="56">
        <v>1</v>
      </c>
      <c r="I2097" s="56" t="s">
        <v>3587</v>
      </c>
      <c r="J2097" s="56">
        <v>149</v>
      </c>
      <c r="K2097" s="56">
        <v>149</v>
      </c>
      <c r="P2097" s="56">
        <v>0</v>
      </c>
      <c r="S2097" s="56">
        <v>0</v>
      </c>
      <c r="T2097" s="56" t="s">
        <v>27</v>
      </c>
      <c r="V2097" s="56" t="s">
        <v>3549</v>
      </c>
      <c r="W2097" s="56" t="s">
        <v>3548</v>
      </c>
      <c r="X2097" s="56" t="s">
        <v>3547</v>
      </c>
      <c r="Z2097" s="56" t="s">
        <v>3546</v>
      </c>
      <c r="AA2097" s="56" t="s">
        <v>4221</v>
      </c>
      <c r="AB2097" s="56" t="s">
        <v>4220</v>
      </c>
      <c r="AC2097" s="56" t="s">
        <v>3543</v>
      </c>
      <c r="AH2097" s="56" t="s">
        <v>3542</v>
      </c>
      <c r="AI2097" s="56" t="s">
        <v>3541</v>
      </c>
    </row>
    <row r="2098" spans="1:35" ht="33" customHeight="1">
      <c r="A2098" s="56" t="s">
        <v>4224</v>
      </c>
      <c r="B2098" s="57">
        <v>44366.864444444444</v>
      </c>
      <c r="C2098" s="56" t="s">
        <v>3803</v>
      </c>
      <c r="D2098" s="56" t="s">
        <v>25</v>
      </c>
      <c r="E2098" s="56" t="s">
        <v>4223</v>
      </c>
      <c r="F2098" s="56" t="s">
        <v>4222</v>
      </c>
      <c r="G2098" s="58" t="s">
        <v>3732</v>
      </c>
      <c r="H2098" s="56">
        <v>1</v>
      </c>
      <c r="I2098" s="56" t="s">
        <v>3731</v>
      </c>
      <c r="J2098" s="56">
        <v>867</v>
      </c>
      <c r="K2098" s="56">
        <v>550</v>
      </c>
      <c r="P2098" s="56">
        <v>0</v>
      </c>
      <c r="S2098" s="56">
        <v>0</v>
      </c>
      <c r="T2098" s="56" t="s">
        <v>27</v>
      </c>
      <c r="V2098" s="56" t="s">
        <v>3549</v>
      </c>
      <c r="W2098" s="56" t="s">
        <v>3548</v>
      </c>
      <c r="X2098" s="56" t="s">
        <v>3547</v>
      </c>
      <c r="Z2098" s="56" t="s">
        <v>3546</v>
      </c>
      <c r="AA2098" s="56" t="s">
        <v>4221</v>
      </c>
      <c r="AB2098" s="56" t="s">
        <v>4220</v>
      </c>
      <c r="AC2098" s="56" t="s">
        <v>3543</v>
      </c>
      <c r="AH2098" s="56" t="s">
        <v>3542</v>
      </c>
      <c r="AI2098" s="56" t="s">
        <v>3541</v>
      </c>
    </row>
    <row r="2099" spans="1:35" ht="33" customHeight="1">
      <c r="A2099" s="56" t="s">
        <v>4224</v>
      </c>
      <c r="B2099" s="57">
        <v>44366.864444444444</v>
      </c>
      <c r="C2099" s="56" t="s">
        <v>3803</v>
      </c>
      <c r="D2099" s="56" t="s">
        <v>25</v>
      </c>
      <c r="E2099" s="56" t="s">
        <v>4223</v>
      </c>
      <c r="F2099" s="56" t="s">
        <v>4222</v>
      </c>
      <c r="G2099" s="58" t="s">
        <v>3551</v>
      </c>
      <c r="H2099" s="56">
        <v>1</v>
      </c>
      <c r="I2099" s="56" t="s">
        <v>3550</v>
      </c>
      <c r="J2099" s="56">
        <v>0</v>
      </c>
      <c r="K2099" s="56">
        <v>0</v>
      </c>
      <c r="P2099" s="56">
        <v>0</v>
      </c>
      <c r="S2099" s="56">
        <v>0</v>
      </c>
      <c r="T2099" s="56" t="s">
        <v>27</v>
      </c>
      <c r="V2099" s="56" t="s">
        <v>3549</v>
      </c>
      <c r="W2099" s="56" t="s">
        <v>3548</v>
      </c>
      <c r="X2099" s="56" t="s">
        <v>3547</v>
      </c>
      <c r="Z2099" s="56" t="s">
        <v>3546</v>
      </c>
      <c r="AA2099" s="56" t="s">
        <v>4221</v>
      </c>
      <c r="AB2099" s="56" t="s">
        <v>4220</v>
      </c>
      <c r="AC2099" s="56" t="s">
        <v>3543</v>
      </c>
      <c r="AH2099" s="56" t="s">
        <v>3542</v>
      </c>
      <c r="AI2099" s="56" t="s">
        <v>3541</v>
      </c>
    </row>
    <row r="2100" spans="1:35" ht="33" customHeight="1">
      <c r="A2100" s="56" t="s">
        <v>4224</v>
      </c>
      <c r="B2100" s="57">
        <v>44366.864444444444</v>
      </c>
      <c r="C2100" s="56" t="s">
        <v>3803</v>
      </c>
      <c r="D2100" s="56" t="s">
        <v>25</v>
      </c>
      <c r="E2100" s="56" t="s">
        <v>4223</v>
      </c>
      <c r="F2100" s="56" t="s">
        <v>4222</v>
      </c>
      <c r="G2100" s="58" t="s">
        <v>1498</v>
      </c>
      <c r="H2100" s="56">
        <v>1</v>
      </c>
      <c r="I2100" s="56" t="s">
        <v>4016</v>
      </c>
      <c r="J2100" s="56">
        <v>0</v>
      </c>
      <c r="K2100" s="56">
        <v>0</v>
      </c>
      <c r="P2100" s="56">
        <v>0</v>
      </c>
      <c r="S2100" s="56">
        <v>0</v>
      </c>
      <c r="T2100" s="56" t="s">
        <v>27</v>
      </c>
      <c r="V2100" s="56" t="s">
        <v>3549</v>
      </c>
      <c r="W2100" s="56" t="s">
        <v>3548</v>
      </c>
      <c r="X2100" s="56" t="s">
        <v>3547</v>
      </c>
      <c r="Z2100" s="56" t="s">
        <v>3546</v>
      </c>
      <c r="AA2100" s="56" t="s">
        <v>4221</v>
      </c>
      <c r="AB2100" s="56" t="s">
        <v>4220</v>
      </c>
      <c r="AC2100" s="56" t="s">
        <v>3543</v>
      </c>
      <c r="AH2100" s="56" t="s">
        <v>3542</v>
      </c>
      <c r="AI2100" s="56" t="s">
        <v>3541</v>
      </c>
    </row>
    <row r="2101" spans="1:35" ht="33" customHeight="1">
      <c r="A2101" s="56" t="s">
        <v>4219</v>
      </c>
      <c r="B2101" s="57">
        <v>44366.868483796294</v>
      </c>
      <c r="C2101" s="56" t="s">
        <v>3803</v>
      </c>
      <c r="D2101" s="56" t="s">
        <v>25</v>
      </c>
      <c r="E2101" s="56" t="s">
        <v>4218</v>
      </c>
      <c r="F2101" s="56" t="s">
        <v>4217</v>
      </c>
      <c r="G2101" s="58" t="s">
        <v>1493</v>
      </c>
      <c r="H2101" s="56">
        <v>1</v>
      </c>
      <c r="I2101" s="56" t="s">
        <v>3586</v>
      </c>
      <c r="J2101" s="56">
        <v>149</v>
      </c>
      <c r="K2101" s="56">
        <v>149</v>
      </c>
      <c r="L2101" s="56">
        <v>1357</v>
      </c>
      <c r="M2101" s="56">
        <v>0</v>
      </c>
      <c r="N2101" s="56">
        <v>0</v>
      </c>
      <c r="O2101" s="56">
        <v>136</v>
      </c>
      <c r="P2101" s="56">
        <v>0</v>
      </c>
      <c r="Q2101" s="56">
        <v>1221</v>
      </c>
      <c r="R2101" s="56">
        <v>0</v>
      </c>
      <c r="S2101" s="56">
        <v>0</v>
      </c>
      <c r="T2101" s="56" t="s">
        <v>27</v>
      </c>
      <c r="U2101" s="56">
        <v>1221</v>
      </c>
      <c r="V2101" s="56" t="s">
        <v>3549</v>
      </c>
      <c r="W2101" s="56" t="s">
        <v>3548</v>
      </c>
      <c r="X2101" s="56" t="s">
        <v>3547</v>
      </c>
      <c r="Z2101" s="56" t="s">
        <v>3546</v>
      </c>
      <c r="AA2101" s="56" t="s">
        <v>4216</v>
      </c>
      <c r="AB2101" s="56" t="s">
        <v>4215</v>
      </c>
      <c r="AC2101" s="56" t="s">
        <v>3543</v>
      </c>
      <c r="AH2101" s="56" t="s">
        <v>3542</v>
      </c>
      <c r="AI2101" s="56" t="s">
        <v>3541</v>
      </c>
    </row>
    <row r="2102" spans="1:35" ht="33" customHeight="1">
      <c r="A2102" s="56" t="s">
        <v>4219</v>
      </c>
      <c r="B2102" s="57">
        <v>44366.868483796294</v>
      </c>
      <c r="C2102" s="56" t="s">
        <v>3803</v>
      </c>
      <c r="D2102" s="56" t="s">
        <v>25</v>
      </c>
      <c r="E2102" s="56" t="s">
        <v>4218</v>
      </c>
      <c r="F2102" s="56" t="s">
        <v>4217</v>
      </c>
      <c r="G2102" s="58" t="s">
        <v>3580</v>
      </c>
      <c r="H2102" s="56">
        <v>1</v>
      </c>
      <c r="I2102" s="56" t="s">
        <v>3579</v>
      </c>
      <c r="J2102" s="56">
        <v>336</v>
      </c>
      <c r="K2102" s="56">
        <v>320</v>
      </c>
      <c r="P2102" s="56">
        <v>0</v>
      </c>
      <c r="S2102" s="56">
        <v>0</v>
      </c>
      <c r="T2102" s="56" t="s">
        <v>27</v>
      </c>
      <c r="V2102" s="56" t="s">
        <v>3549</v>
      </c>
      <c r="W2102" s="56" t="s">
        <v>3548</v>
      </c>
      <c r="X2102" s="56" t="s">
        <v>3547</v>
      </c>
      <c r="Z2102" s="56" t="s">
        <v>3546</v>
      </c>
      <c r="AA2102" s="56" t="s">
        <v>4216</v>
      </c>
      <c r="AB2102" s="56" t="s">
        <v>4215</v>
      </c>
      <c r="AC2102" s="56" t="s">
        <v>3543</v>
      </c>
      <c r="AH2102" s="56" t="s">
        <v>3542</v>
      </c>
      <c r="AI2102" s="56" t="s">
        <v>3541</v>
      </c>
    </row>
    <row r="2103" spans="1:35" ht="33" customHeight="1">
      <c r="A2103" s="56" t="s">
        <v>4219</v>
      </c>
      <c r="B2103" s="57">
        <v>44366.868483796294</v>
      </c>
      <c r="C2103" s="56" t="s">
        <v>3803</v>
      </c>
      <c r="D2103" s="56" t="s">
        <v>25</v>
      </c>
      <c r="E2103" s="56" t="s">
        <v>4218</v>
      </c>
      <c r="F2103" s="56" t="s">
        <v>4217</v>
      </c>
      <c r="G2103" s="58" t="s">
        <v>3670</v>
      </c>
      <c r="H2103" s="56">
        <v>1</v>
      </c>
      <c r="I2103" s="56" t="s">
        <v>3669</v>
      </c>
      <c r="J2103" s="56">
        <v>897</v>
      </c>
      <c r="K2103" s="56">
        <v>888</v>
      </c>
      <c r="P2103" s="56">
        <v>0</v>
      </c>
      <c r="S2103" s="56">
        <v>0</v>
      </c>
      <c r="T2103" s="56" t="s">
        <v>27</v>
      </c>
      <c r="V2103" s="56" t="s">
        <v>3549</v>
      </c>
      <c r="W2103" s="56" t="s">
        <v>3548</v>
      </c>
      <c r="X2103" s="56" t="s">
        <v>3547</v>
      </c>
      <c r="Z2103" s="56" t="s">
        <v>3546</v>
      </c>
      <c r="AA2103" s="56" t="s">
        <v>4216</v>
      </c>
      <c r="AB2103" s="56" t="s">
        <v>4215</v>
      </c>
      <c r="AC2103" s="56" t="s">
        <v>3543</v>
      </c>
      <c r="AH2103" s="56" t="s">
        <v>3542</v>
      </c>
      <c r="AI2103" s="56" t="s">
        <v>3541</v>
      </c>
    </row>
    <row r="2104" spans="1:35" ht="33" customHeight="1">
      <c r="A2104" s="56" t="s">
        <v>4219</v>
      </c>
      <c r="B2104" s="57">
        <v>44366.868483796294</v>
      </c>
      <c r="C2104" s="56" t="s">
        <v>3803</v>
      </c>
      <c r="D2104" s="56" t="s">
        <v>25</v>
      </c>
      <c r="E2104" s="56" t="s">
        <v>4218</v>
      </c>
      <c r="F2104" s="56" t="s">
        <v>4217</v>
      </c>
      <c r="G2104" s="58" t="s">
        <v>3551</v>
      </c>
      <c r="H2104" s="56">
        <v>1</v>
      </c>
      <c r="I2104" s="56" t="s">
        <v>3550</v>
      </c>
      <c r="J2104" s="56">
        <v>0</v>
      </c>
      <c r="K2104" s="56">
        <v>0</v>
      </c>
      <c r="P2104" s="56">
        <v>0</v>
      </c>
      <c r="S2104" s="56">
        <v>0</v>
      </c>
      <c r="T2104" s="56" t="s">
        <v>27</v>
      </c>
      <c r="V2104" s="56" t="s">
        <v>3549</v>
      </c>
      <c r="W2104" s="56" t="s">
        <v>3548</v>
      </c>
      <c r="X2104" s="56" t="s">
        <v>3547</v>
      </c>
      <c r="Z2104" s="56" t="s">
        <v>3546</v>
      </c>
      <c r="AA2104" s="56" t="s">
        <v>4216</v>
      </c>
      <c r="AB2104" s="56" t="s">
        <v>4215</v>
      </c>
      <c r="AC2104" s="56" t="s">
        <v>3543</v>
      </c>
      <c r="AH2104" s="56" t="s">
        <v>3542</v>
      </c>
      <c r="AI2104" s="56" t="s">
        <v>3541</v>
      </c>
    </row>
    <row r="2105" spans="1:35" ht="33" customHeight="1">
      <c r="A2105" s="56" t="s">
        <v>4219</v>
      </c>
      <c r="B2105" s="57">
        <v>44366.868483796294</v>
      </c>
      <c r="C2105" s="56" t="s">
        <v>3803</v>
      </c>
      <c r="D2105" s="56" t="s">
        <v>25</v>
      </c>
      <c r="E2105" s="56" t="s">
        <v>4218</v>
      </c>
      <c r="F2105" s="56" t="s">
        <v>4217</v>
      </c>
      <c r="G2105" s="58" t="s">
        <v>1498</v>
      </c>
      <c r="H2105" s="56">
        <v>1</v>
      </c>
      <c r="I2105" s="56" t="s">
        <v>4016</v>
      </c>
      <c r="J2105" s="56">
        <v>0</v>
      </c>
      <c r="K2105" s="56">
        <v>0</v>
      </c>
      <c r="P2105" s="56">
        <v>0</v>
      </c>
      <c r="S2105" s="56">
        <v>0</v>
      </c>
      <c r="T2105" s="56" t="s">
        <v>27</v>
      </c>
      <c r="V2105" s="56" t="s">
        <v>3549</v>
      </c>
      <c r="W2105" s="56" t="s">
        <v>3548</v>
      </c>
      <c r="X2105" s="56" t="s">
        <v>3547</v>
      </c>
      <c r="Z2105" s="56" t="s">
        <v>3546</v>
      </c>
      <c r="AA2105" s="56" t="s">
        <v>4216</v>
      </c>
      <c r="AB2105" s="56" t="s">
        <v>4215</v>
      </c>
      <c r="AC2105" s="56" t="s">
        <v>3543</v>
      </c>
      <c r="AH2105" s="56" t="s">
        <v>3542</v>
      </c>
      <c r="AI2105" s="56" t="s">
        <v>3541</v>
      </c>
    </row>
    <row r="2106" spans="1:35" ht="33" customHeight="1">
      <c r="A2106" s="56" t="s">
        <v>4214</v>
      </c>
      <c r="B2106" s="57">
        <v>44366.879988425928</v>
      </c>
      <c r="C2106" s="56" t="s">
        <v>3803</v>
      </c>
      <c r="D2106" s="56" t="s">
        <v>3802</v>
      </c>
      <c r="E2106" s="56" t="s">
        <v>4213</v>
      </c>
      <c r="F2106" s="56" t="s">
        <v>4212</v>
      </c>
      <c r="G2106" s="58" t="s">
        <v>3968</v>
      </c>
      <c r="H2106" s="56">
        <v>2</v>
      </c>
      <c r="I2106" s="56" t="s">
        <v>3669</v>
      </c>
      <c r="J2106" s="56">
        <v>897</v>
      </c>
      <c r="K2106" s="56">
        <v>888</v>
      </c>
      <c r="L2106" s="56">
        <v>1776</v>
      </c>
      <c r="M2106" s="56">
        <v>0</v>
      </c>
      <c r="N2106" s="56">
        <v>0</v>
      </c>
      <c r="O2106" s="56">
        <v>154</v>
      </c>
      <c r="P2106" s="56">
        <v>0</v>
      </c>
      <c r="Q2106" s="56">
        <v>1622</v>
      </c>
      <c r="R2106" s="56">
        <v>0</v>
      </c>
      <c r="S2106" s="56">
        <v>0</v>
      </c>
      <c r="T2106" s="56" t="s">
        <v>3562</v>
      </c>
      <c r="U2106" s="56">
        <v>1622</v>
      </c>
      <c r="V2106" s="56" t="s">
        <v>3561</v>
      </c>
      <c r="W2106" s="56" t="s">
        <v>3548</v>
      </c>
      <c r="X2106" s="56" t="s">
        <v>39</v>
      </c>
      <c r="Y2106" s="56" t="s">
        <v>3742</v>
      </c>
      <c r="Z2106" s="56" t="s">
        <v>4211</v>
      </c>
      <c r="AC2106" s="56" t="s">
        <v>3543</v>
      </c>
      <c r="AD2106" s="56" t="s">
        <v>24</v>
      </c>
      <c r="AE2106" s="56" t="s">
        <v>4145</v>
      </c>
      <c r="AF2106" s="56" t="s">
        <v>4210</v>
      </c>
      <c r="AH2106" s="56" t="s">
        <v>3542</v>
      </c>
      <c r="AI2106" s="56" t="s">
        <v>3723</v>
      </c>
    </row>
    <row r="2107" spans="1:35" ht="33" customHeight="1">
      <c r="A2107" s="56" t="s">
        <v>4214</v>
      </c>
      <c r="B2107" s="57">
        <v>44366.879988425928</v>
      </c>
      <c r="C2107" s="56" t="s">
        <v>3803</v>
      </c>
      <c r="D2107" s="56" t="s">
        <v>3802</v>
      </c>
      <c r="E2107" s="56" t="s">
        <v>4213</v>
      </c>
      <c r="F2107" s="56" t="s">
        <v>4212</v>
      </c>
      <c r="G2107" s="58" t="s">
        <v>3551</v>
      </c>
      <c r="H2107" s="56">
        <v>1</v>
      </c>
      <c r="I2107" s="56" t="s">
        <v>3550</v>
      </c>
      <c r="J2107" s="56">
        <v>0</v>
      </c>
      <c r="K2107" s="56">
        <v>0</v>
      </c>
      <c r="P2107" s="56">
        <v>0</v>
      </c>
      <c r="S2107" s="56">
        <v>0</v>
      </c>
      <c r="T2107" s="56" t="s">
        <v>3562</v>
      </c>
      <c r="V2107" s="56" t="s">
        <v>3561</v>
      </c>
      <c r="W2107" s="56" t="s">
        <v>3548</v>
      </c>
      <c r="X2107" s="56" t="s">
        <v>39</v>
      </c>
      <c r="Y2107" s="56" t="s">
        <v>3742</v>
      </c>
      <c r="Z2107" s="56" t="s">
        <v>4211</v>
      </c>
      <c r="AC2107" s="56" t="s">
        <v>3543</v>
      </c>
      <c r="AD2107" s="56" t="s">
        <v>24</v>
      </c>
      <c r="AE2107" s="56" t="s">
        <v>4145</v>
      </c>
      <c r="AF2107" s="56" t="s">
        <v>4210</v>
      </c>
      <c r="AH2107" s="56" t="s">
        <v>3542</v>
      </c>
      <c r="AI2107" s="56" t="s">
        <v>3723</v>
      </c>
    </row>
    <row r="2108" spans="1:35" ht="33" customHeight="1">
      <c r="A2108" s="56" t="s">
        <v>4214</v>
      </c>
      <c r="B2108" s="57">
        <v>44366.879988425928</v>
      </c>
      <c r="C2108" s="56" t="s">
        <v>3803</v>
      </c>
      <c r="D2108" s="56" t="s">
        <v>3802</v>
      </c>
      <c r="E2108" s="56" t="s">
        <v>4213</v>
      </c>
      <c r="F2108" s="56" t="s">
        <v>4212</v>
      </c>
      <c r="G2108" s="58" t="s">
        <v>1713</v>
      </c>
      <c r="H2108" s="56">
        <v>1</v>
      </c>
      <c r="I2108" s="56" t="s">
        <v>3568</v>
      </c>
      <c r="J2108" s="56">
        <v>0</v>
      </c>
      <c r="K2108" s="56">
        <v>0</v>
      </c>
      <c r="P2108" s="56">
        <v>0</v>
      </c>
      <c r="S2108" s="56">
        <v>0</v>
      </c>
      <c r="T2108" s="56" t="s">
        <v>3562</v>
      </c>
      <c r="V2108" s="56" t="s">
        <v>3561</v>
      </c>
      <c r="W2108" s="56" t="s">
        <v>3548</v>
      </c>
      <c r="X2108" s="56" t="s">
        <v>39</v>
      </c>
      <c r="Y2108" s="56" t="s">
        <v>3742</v>
      </c>
      <c r="Z2108" s="56" t="s">
        <v>4211</v>
      </c>
      <c r="AC2108" s="56" t="s">
        <v>3543</v>
      </c>
      <c r="AD2108" s="56" t="s">
        <v>24</v>
      </c>
      <c r="AE2108" s="56" t="s">
        <v>4145</v>
      </c>
      <c r="AF2108" s="56" t="s">
        <v>4210</v>
      </c>
      <c r="AH2108" s="56" t="s">
        <v>3542</v>
      </c>
      <c r="AI2108" s="56" t="s">
        <v>3723</v>
      </c>
    </row>
    <row r="2109" spans="1:35" ht="33" customHeight="1">
      <c r="A2109" s="56" t="s">
        <v>4214</v>
      </c>
      <c r="B2109" s="57">
        <v>44366.879988425928</v>
      </c>
      <c r="C2109" s="56" t="s">
        <v>3803</v>
      </c>
      <c r="D2109" s="56" t="s">
        <v>3802</v>
      </c>
      <c r="E2109" s="56" t="s">
        <v>4213</v>
      </c>
      <c r="F2109" s="56" t="s">
        <v>4212</v>
      </c>
      <c r="G2109" s="58" t="s">
        <v>1498</v>
      </c>
      <c r="H2109" s="56">
        <v>1</v>
      </c>
      <c r="I2109" s="56" t="s">
        <v>4016</v>
      </c>
      <c r="J2109" s="56">
        <v>0</v>
      </c>
      <c r="K2109" s="56">
        <v>0</v>
      </c>
      <c r="P2109" s="56">
        <v>0</v>
      </c>
      <c r="S2109" s="56">
        <v>0</v>
      </c>
      <c r="T2109" s="56" t="s">
        <v>3562</v>
      </c>
      <c r="V2109" s="56" t="s">
        <v>3561</v>
      </c>
      <c r="W2109" s="56" t="s">
        <v>3548</v>
      </c>
      <c r="X2109" s="56" t="s">
        <v>39</v>
      </c>
      <c r="Y2109" s="56" t="s">
        <v>3742</v>
      </c>
      <c r="Z2109" s="56" t="s">
        <v>4211</v>
      </c>
      <c r="AC2109" s="56" t="s">
        <v>3543</v>
      </c>
      <c r="AD2109" s="56" t="s">
        <v>24</v>
      </c>
      <c r="AE2109" s="56" t="s">
        <v>4145</v>
      </c>
      <c r="AF2109" s="56" t="s">
        <v>4210</v>
      </c>
      <c r="AH2109" s="56" t="s">
        <v>3542</v>
      </c>
      <c r="AI2109" s="56" t="s">
        <v>3723</v>
      </c>
    </row>
    <row r="2110" spans="1:35" ht="33" customHeight="1">
      <c r="A2110" s="56" t="s">
        <v>4208</v>
      </c>
      <c r="B2110" s="57">
        <v>44366.913518518515</v>
      </c>
      <c r="C2110" s="56" t="s">
        <v>3803</v>
      </c>
      <c r="D2110" s="56" t="s">
        <v>3802</v>
      </c>
      <c r="E2110" s="56" t="s">
        <v>4207</v>
      </c>
      <c r="F2110" s="56" t="s">
        <v>4206</v>
      </c>
      <c r="G2110" s="58" t="s">
        <v>3942</v>
      </c>
      <c r="H2110" s="56">
        <v>1</v>
      </c>
      <c r="I2110" s="56" t="s">
        <v>3941</v>
      </c>
      <c r="J2110" s="56">
        <v>840</v>
      </c>
      <c r="K2110" s="56">
        <v>750</v>
      </c>
      <c r="L2110" s="56">
        <v>1890</v>
      </c>
      <c r="M2110" s="56">
        <v>0</v>
      </c>
      <c r="N2110" s="56">
        <v>0</v>
      </c>
      <c r="O2110" s="56">
        <v>100</v>
      </c>
      <c r="P2110" s="56">
        <v>0</v>
      </c>
      <c r="Q2110" s="56">
        <v>1790</v>
      </c>
      <c r="R2110" s="56">
        <v>0</v>
      </c>
      <c r="S2110" s="56">
        <v>0</v>
      </c>
      <c r="T2110" s="56" t="s">
        <v>3562</v>
      </c>
      <c r="U2110" s="56">
        <v>1790</v>
      </c>
      <c r="V2110" s="56" t="s">
        <v>59</v>
      </c>
      <c r="W2110" s="56" t="s">
        <v>3548</v>
      </c>
      <c r="X2110" s="56" t="s">
        <v>39</v>
      </c>
      <c r="Y2110" s="56" t="s">
        <v>4205</v>
      </c>
      <c r="Z2110" s="56" t="s">
        <v>4204</v>
      </c>
      <c r="AC2110" s="56" t="s">
        <v>3543</v>
      </c>
      <c r="AD2110" s="56" t="s">
        <v>24</v>
      </c>
      <c r="AE2110" s="56" t="s">
        <v>4145</v>
      </c>
      <c r="AF2110" s="56" t="s">
        <v>4203</v>
      </c>
      <c r="AH2110" s="56" t="s">
        <v>3542</v>
      </c>
      <c r="AI2110" s="56" t="s">
        <v>3723</v>
      </c>
    </row>
    <row r="2111" spans="1:35" ht="33" customHeight="1">
      <c r="A2111" s="56" t="s">
        <v>4208</v>
      </c>
      <c r="B2111" s="57">
        <v>44366.913518518515</v>
      </c>
      <c r="C2111" s="56" t="s">
        <v>3803</v>
      </c>
      <c r="D2111" s="56" t="s">
        <v>3802</v>
      </c>
      <c r="E2111" s="56" t="s">
        <v>4207</v>
      </c>
      <c r="F2111" s="56" t="s">
        <v>4206</v>
      </c>
      <c r="G2111" s="58" t="s">
        <v>4209</v>
      </c>
      <c r="H2111" s="56">
        <v>1</v>
      </c>
      <c r="I2111" s="56" t="s">
        <v>3769</v>
      </c>
      <c r="J2111" s="56">
        <v>405</v>
      </c>
      <c r="K2111" s="56">
        <v>390</v>
      </c>
      <c r="P2111" s="56">
        <v>0</v>
      </c>
      <c r="S2111" s="56">
        <v>0</v>
      </c>
      <c r="T2111" s="56" t="s">
        <v>3562</v>
      </c>
      <c r="V2111" s="56" t="s">
        <v>59</v>
      </c>
      <c r="W2111" s="56" t="s">
        <v>3548</v>
      </c>
      <c r="X2111" s="56" t="s">
        <v>39</v>
      </c>
      <c r="Y2111" s="56" t="s">
        <v>4205</v>
      </c>
      <c r="Z2111" s="56" t="s">
        <v>4204</v>
      </c>
      <c r="AC2111" s="56" t="s">
        <v>3543</v>
      </c>
      <c r="AD2111" s="56" t="s">
        <v>24</v>
      </c>
      <c r="AE2111" s="56" t="s">
        <v>4145</v>
      </c>
      <c r="AF2111" s="56" t="s">
        <v>4203</v>
      </c>
      <c r="AH2111" s="56" t="s">
        <v>3542</v>
      </c>
      <c r="AI2111" s="56" t="s">
        <v>3723</v>
      </c>
    </row>
    <row r="2112" spans="1:35" ht="33" customHeight="1">
      <c r="A2112" s="56" t="s">
        <v>4208</v>
      </c>
      <c r="B2112" s="57">
        <v>44366.913518518515</v>
      </c>
      <c r="C2112" s="56" t="s">
        <v>3803</v>
      </c>
      <c r="D2112" s="56" t="s">
        <v>3802</v>
      </c>
      <c r="E2112" s="56" t="s">
        <v>4207</v>
      </c>
      <c r="F2112" s="56" t="s">
        <v>4206</v>
      </c>
      <c r="G2112" s="58" t="s">
        <v>3681</v>
      </c>
      <c r="H2112" s="56">
        <v>1</v>
      </c>
      <c r="I2112" s="56" t="s">
        <v>3569</v>
      </c>
      <c r="J2112" s="56">
        <v>894</v>
      </c>
      <c r="K2112" s="56">
        <v>750</v>
      </c>
      <c r="P2112" s="56">
        <v>0</v>
      </c>
      <c r="S2112" s="56">
        <v>0</v>
      </c>
      <c r="T2112" s="56" t="s">
        <v>3562</v>
      </c>
      <c r="V2112" s="56" t="s">
        <v>59</v>
      </c>
      <c r="W2112" s="56" t="s">
        <v>3548</v>
      </c>
      <c r="X2112" s="56" t="s">
        <v>39</v>
      </c>
      <c r="Y2112" s="56" t="s">
        <v>4205</v>
      </c>
      <c r="Z2112" s="56" t="s">
        <v>4204</v>
      </c>
      <c r="AC2112" s="56" t="s">
        <v>3543</v>
      </c>
      <c r="AD2112" s="56" t="s">
        <v>24</v>
      </c>
      <c r="AE2112" s="56" t="s">
        <v>4145</v>
      </c>
      <c r="AF2112" s="56" t="s">
        <v>4203</v>
      </c>
      <c r="AH2112" s="56" t="s">
        <v>3542</v>
      </c>
      <c r="AI2112" s="56" t="s">
        <v>3723</v>
      </c>
    </row>
    <row r="2113" spans="1:35" ht="33" customHeight="1">
      <c r="A2113" s="56" t="s">
        <v>4208</v>
      </c>
      <c r="B2113" s="57">
        <v>44366.913518518515</v>
      </c>
      <c r="C2113" s="56" t="s">
        <v>3803</v>
      </c>
      <c r="D2113" s="56" t="s">
        <v>3802</v>
      </c>
      <c r="E2113" s="56" t="s">
        <v>4207</v>
      </c>
      <c r="F2113" s="56" t="s">
        <v>4206</v>
      </c>
      <c r="G2113" s="58" t="s">
        <v>3551</v>
      </c>
      <c r="H2113" s="56">
        <v>1</v>
      </c>
      <c r="I2113" s="56" t="s">
        <v>3550</v>
      </c>
      <c r="J2113" s="56">
        <v>0</v>
      </c>
      <c r="K2113" s="56">
        <v>0</v>
      </c>
      <c r="P2113" s="56">
        <v>0</v>
      </c>
      <c r="S2113" s="56">
        <v>0</v>
      </c>
      <c r="T2113" s="56" t="s">
        <v>3562</v>
      </c>
      <c r="V2113" s="56" t="s">
        <v>59</v>
      </c>
      <c r="W2113" s="56" t="s">
        <v>3548</v>
      </c>
      <c r="X2113" s="56" t="s">
        <v>39</v>
      </c>
      <c r="Y2113" s="56" t="s">
        <v>4205</v>
      </c>
      <c r="Z2113" s="56" t="s">
        <v>4204</v>
      </c>
      <c r="AC2113" s="56" t="s">
        <v>3543</v>
      </c>
      <c r="AD2113" s="56" t="s">
        <v>24</v>
      </c>
      <c r="AE2113" s="56" t="s">
        <v>4145</v>
      </c>
      <c r="AF2113" s="56" t="s">
        <v>4203</v>
      </c>
      <c r="AH2113" s="56" t="s">
        <v>3542</v>
      </c>
      <c r="AI2113" s="56" t="s">
        <v>3723</v>
      </c>
    </row>
    <row r="2114" spans="1:35" ht="33" customHeight="1">
      <c r="A2114" s="56" t="s">
        <v>4208</v>
      </c>
      <c r="B2114" s="57">
        <v>44366.913518518515</v>
      </c>
      <c r="C2114" s="56" t="s">
        <v>3803</v>
      </c>
      <c r="D2114" s="56" t="s">
        <v>3802</v>
      </c>
      <c r="E2114" s="56" t="s">
        <v>4207</v>
      </c>
      <c r="F2114" s="56" t="s">
        <v>4206</v>
      </c>
      <c r="G2114" s="58" t="s">
        <v>1713</v>
      </c>
      <c r="H2114" s="56">
        <v>1</v>
      </c>
      <c r="I2114" s="56" t="s">
        <v>3568</v>
      </c>
      <c r="J2114" s="56">
        <v>0</v>
      </c>
      <c r="K2114" s="56">
        <v>0</v>
      </c>
      <c r="P2114" s="56">
        <v>0</v>
      </c>
      <c r="S2114" s="56">
        <v>0</v>
      </c>
      <c r="T2114" s="56" t="s">
        <v>3562</v>
      </c>
      <c r="V2114" s="56" t="s">
        <v>59</v>
      </c>
      <c r="W2114" s="56" t="s">
        <v>3548</v>
      </c>
      <c r="X2114" s="56" t="s">
        <v>39</v>
      </c>
      <c r="Y2114" s="56" t="s">
        <v>4205</v>
      </c>
      <c r="Z2114" s="56" t="s">
        <v>4204</v>
      </c>
      <c r="AC2114" s="56" t="s">
        <v>3543</v>
      </c>
      <c r="AD2114" s="56" t="s">
        <v>24</v>
      </c>
      <c r="AE2114" s="56" t="s">
        <v>4145</v>
      </c>
      <c r="AF2114" s="56" t="s">
        <v>4203</v>
      </c>
      <c r="AH2114" s="56" t="s">
        <v>3542</v>
      </c>
      <c r="AI2114" s="56" t="s">
        <v>3723</v>
      </c>
    </row>
    <row r="2115" spans="1:35" ht="33" customHeight="1">
      <c r="A2115" s="56" t="s">
        <v>4208</v>
      </c>
      <c r="B2115" s="57">
        <v>44366.913518518515</v>
      </c>
      <c r="C2115" s="56" t="s">
        <v>3803</v>
      </c>
      <c r="D2115" s="56" t="s">
        <v>3802</v>
      </c>
      <c r="E2115" s="56" t="s">
        <v>4207</v>
      </c>
      <c r="F2115" s="56" t="s">
        <v>4206</v>
      </c>
      <c r="G2115" s="58" t="s">
        <v>1498</v>
      </c>
      <c r="H2115" s="56">
        <v>1</v>
      </c>
      <c r="I2115" s="56" t="s">
        <v>4016</v>
      </c>
      <c r="J2115" s="56">
        <v>0</v>
      </c>
      <c r="K2115" s="56">
        <v>0</v>
      </c>
      <c r="P2115" s="56">
        <v>0</v>
      </c>
      <c r="S2115" s="56">
        <v>0</v>
      </c>
      <c r="T2115" s="56" t="s">
        <v>3562</v>
      </c>
      <c r="V2115" s="56" t="s">
        <v>59</v>
      </c>
      <c r="W2115" s="56" t="s">
        <v>3548</v>
      </c>
      <c r="X2115" s="56" t="s">
        <v>39</v>
      </c>
      <c r="Y2115" s="56" t="s">
        <v>4205</v>
      </c>
      <c r="Z2115" s="56" t="s">
        <v>4204</v>
      </c>
      <c r="AC2115" s="56" t="s">
        <v>3543</v>
      </c>
      <c r="AD2115" s="56" t="s">
        <v>24</v>
      </c>
      <c r="AE2115" s="56" t="s">
        <v>4145</v>
      </c>
      <c r="AF2115" s="56" t="s">
        <v>4203</v>
      </c>
      <c r="AH2115" s="56" t="s">
        <v>3542</v>
      </c>
      <c r="AI2115" s="56" t="s">
        <v>3723</v>
      </c>
    </row>
    <row r="2116" spans="1:35" ht="33" customHeight="1">
      <c r="A2116" s="56" t="s">
        <v>4202</v>
      </c>
      <c r="B2116" s="57">
        <v>44366.916631944441</v>
      </c>
      <c r="C2116" s="56" t="s">
        <v>3803</v>
      </c>
      <c r="D2116" s="56" t="s">
        <v>25</v>
      </c>
      <c r="E2116" s="56" t="s">
        <v>4201</v>
      </c>
      <c r="F2116" s="56" t="s">
        <v>4200</v>
      </c>
      <c r="G2116" s="58" t="s">
        <v>3811</v>
      </c>
      <c r="H2116" s="56">
        <v>1</v>
      </c>
      <c r="I2116" s="56" t="s">
        <v>3669</v>
      </c>
      <c r="J2116" s="56">
        <v>897</v>
      </c>
      <c r="K2116" s="56">
        <v>888</v>
      </c>
      <c r="L2116" s="56">
        <v>1016</v>
      </c>
      <c r="M2116" s="56">
        <v>0</v>
      </c>
      <c r="N2116" s="56">
        <v>0</v>
      </c>
      <c r="O2116" s="56">
        <v>102</v>
      </c>
      <c r="P2116" s="56">
        <v>0</v>
      </c>
      <c r="Q2116" s="56">
        <v>914</v>
      </c>
      <c r="R2116" s="56">
        <v>0</v>
      </c>
      <c r="S2116" s="56">
        <v>0</v>
      </c>
      <c r="T2116" s="56" t="s">
        <v>3562</v>
      </c>
      <c r="U2116" s="56">
        <v>914</v>
      </c>
      <c r="V2116" s="56" t="s">
        <v>3561</v>
      </c>
      <c r="W2116" s="56" t="s">
        <v>3548</v>
      </c>
      <c r="X2116" s="56" t="s">
        <v>3765</v>
      </c>
      <c r="Z2116" s="56" t="s">
        <v>3546</v>
      </c>
      <c r="AA2116" s="56" t="s">
        <v>4199</v>
      </c>
      <c r="AB2116" s="56" t="s">
        <v>4198</v>
      </c>
      <c r="AC2116" s="56" t="s">
        <v>3543</v>
      </c>
      <c r="AD2116" s="56" t="s">
        <v>24</v>
      </c>
      <c r="AE2116" s="56" t="s">
        <v>4145</v>
      </c>
      <c r="AF2116" s="56" t="s">
        <v>4197</v>
      </c>
      <c r="AH2116" s="56" t="s">
        <v>3542</v>
      </c>
      <c r="AI2116" s="56" t="s">
        <v>3723</v>
      </c>
    </row>
    <row r="2117" spans="1:35" ht="33" customHeight="1">
      <c r="A2117" s="56" t="s">
        <v>4202</v>
      </c>
      <c r="B2117" s="57">
        <v>44366.916631944441</v>
      </c>
      <c r="C2117" s="56" t="s">
        <v>3803</v>
      </c>
      <c r="D2117" s="56" t="s">
        <v>25</v>
      </c>
      <c r="E2117" s="56" t="s">
        <v>4201</v>
      </c>
      <c r="F2117" s="56" t="s">
        <v>4200</v>
      </c>
      <c r="G2117" s="58" t="s">
        <v>2163</v>
      </c>
      <c r="H2117" s="56">
        <v>1</v>
      </c>
      <c r="I2117" s="56" t="s">
        <v>3694</v>
      </c>
      <c r="J2117" s="56">
        <v>128</v>
      </c>
      <c r="K2117" s="56">
        <v>128</v>
      </c>
      <c r="P2117" s="56">
        <v>0</v>
      </c>
      <c r="S2117" s="56">
        <v>0</v>
      </c>
      <c r="T2117" s="56" t="s">
        <v>3562</v>
      </c>
      <c r="V2117" s="56" t="s">
        <v>3561</v>
      </c>
      <c r="W2117" s="56" t="s">
        <v>3548</v>
      </c>
      <c r="X2117" s="56" t="s">
        <v>3765</v>
      </c>
      <c r="Z2117" s="56" t="s">
        <v>3546</v>
      </c>
      <c r="AA2117" s="56" t="s">
        <v>4199</v>
      </c>
      <c r="AB2117" s="56" t="s">
        <v>4198</v>
      </c>
      <c r="AC2117" s="56" t="s">
        <v>3543</v>
      </c>
      <c r="AD2117" s="56" t="s">
        <v>24</v>
      </c>
      <c r="AE2117" s="56" t="s">
        <v>4145</v>
      </c>
      <c r="AF2117" s="56" t="s">
        <v>4197</v>
      </c>
      <c r="AH2117" s="56" t="s">
        <v>3542</v>
      </c>
      <c r="AI2117" s="56" t="s">
        <v>3723</v>
      </c>
    </row>
    <row r="2118" spans="1:35" ht="33" customHeight="1">
      <c r="A2118" s="56" t="s">
        <v>4202</v>
      </c>
      <c r="B2118" s="57">
        <v>44366.916631944441</v>
      </c>
      <c r="C2118" s="56" t="s">
        <v>3803</v>
      </c>
      <c r="D2118" s="56" t="s">
        <v>25</v>
      </c>
      <c r="E2118" s="56" t="s">
        <v>4201</v>
      </c>
      <c r="F2118" s="56" t="s">
        <v>4200</v>
      </c>
      <c r="G2118" s="58" t="s">
        <v>3551</v>
      </c>
      <c r="H2118" s="56">
        <v>1</v>
      </c>
      <c r="I2118" s="56" t="s">
        <v>3550</v>
      </c>
      <c r="J2118" s="56">
        <v>0</v>
      </c>
      <c r="K2118" s="56">
        <v>0</v>
      </c>
      <c r="P2118" s="56">
        <v>0</v>
      </c>
      <c r="S2118" s="56">
        <v>0</v>
      </c>
      <c r="T2118" s="56" t="s">
        <v>3562</v>
      </c>
      <c r="V2118" s="56" t="s">
        <v>3561</v>
      </c>
      <c r="W2118" s="56" t="s">
        <v>3548</v>
      </c>
      <c r="X2118" s="56" t="s">
        <v>3765</v>
      </c>
      <c r="Z2118" s="56" t="s">
        <v>3546</v>
      </c>
      <c r="AA2118" s="56" t="s">
        <v>4199</v>
      </c>
      <c r="AB2118" s="56" t="s">
        <v>4198</v>
      </c>
      <c r="AC2118" s="56" t="s">
        <v>3543</v>
      </c>
      <c r="AD2118" s="56" t="s">
        <v>24</v>
      </c>
      <c r="AE2118" s="56" t="s">
        <v>4145</v>
      </c>
      <c r="AF2118" s="56" t="s">
        <v>4197</v>
      </c>
      <c r="AH2118" s="56" t="s">
        <v>3542</v>
      </c>
      <c r="AI2118" s="56" t="s">
        <v>3723</v>
      </c>
    </row>
    <row r="2119" spans="1:35" ht="33" customHeight="1">
      <c r="A2119" s="56" t="s">
        <v>4202</v>
      </c>
      <c r="B2119" s="57">
        <v>44366.916631944441</v>
      </c>
      <c r="C2119" s="56" t="s">
        <v>3803</v>
      </c>
      <c r="D2119" s="56" t="s">
        <v>25</v>
      </c>
      <c r="E2119" s="56" t="s">
        <v>4201</v>
      </c>
      <c r="F2119" s="56" t="s">
        <v>4200</v>
      </c>
      <c r="G2119" s="58" t="s">
        <v>1498</v>
      </c>
      <c r="H2119" s="56">
        <v>1</v>
      </c>
      <c r="I2119" s="56" t="s">
        <v>4016</v>
      </c>
      <c r="J2119" s="56">
        <v>0</v>
      </c>
      <c r="K2119" s="56">
        <v>0</v>
      </c>
      <c r="P2119" s="56">
        <v>0</v>
      </c>
      <c r="S2119" s="56">
        <v>0</v>
      </c>
      <c r="T2119" s="56" t="s">
        <v>3562</v>
      </c>
      <c r="V2119" s="56" t="s">
        <v>3561</v>
      </c>
      <c r="W2119" s="56" t="s">
        <v>3548</v>
      </c>
      <c r="X2119" s="56" t="s">
        <v>3765</v>
      </c>
      <c r="Z2119" s="56" t="s">
        <v>3546</v>
      </c>
      <c r="AA2119" s="56" t="s">
        <v>4199</v>
      </c>
      <c r="AB2119" s="56" t="s">
        <v>4198</v>
      </c>
      <c r="AC2119" s="56" t="s">
        <v>3543</v>
      </c>
      <c r="AD2119" s="56" t="s">
        <v>24</v>
      </c>
      <c r="AE2119" s="56" t="s">
        <v>4145</v>
      </c>
      <c r="AF2119" s="56" t="s">
        <v>4197</v>
      </c>
      <c r="AH2119" s="56" t="s">
        <v>3542</v>
      </c>
      <c r="AI2119" s="56" t="s">
        <v>3723</v>
      </c>
    </row>
    <row r="2120" spans="1:35" ht="33" customHeight="1">
      <c r="A2120" s="56" t="s">
        <v>4196</v>
      </c>
      <c r="B2120" s="57">
        <v>44366.932222222225</v>
      </c>
      <c r="C2120" s="56" t="s">
        <v>3803</v>
      </c>
      <c r="D2120" s="56" t="s">
        <v>3802</v>
      </c>
      <c r="E2120" s="56" t="s">
        <v>4195</v>
      </c>
      <c r="F2120" s="56" t="s">
        <v>4194</v>
      </c>
      <c r="G2120" s="58" t="s">
        <v>3580</v>
      </c>
      <c r="H2120" s="56">
        <v>1</v>
      </c>
      <c r="I2120" s="56" t="s">
        <v>3579</v>
      </c>
      <c r="J2120" s="56">
        <v>336</v>
      </c>
      <c r="K2120" s="56">
        <v>320</v>
      </c>
      <c r="L2120" s="56">
        <v>1068</v>
      </c>
      <c r="M2120" s="56">
        <v>0</v>
      </c>
      <c r="N2120" s="56">
        <v>0</v>
      </c>
      <c r="O2120" s="56">
        <v>107</v>
      </c>
      <c r="P2120" s="56">
        <v>0</v>
      </c>
      <c r="Q2120" s="56">
        <v>961</v>
      </c>
      <c r="R2120" s="56">
        <v>0</v>
      </c>
      <c r="S2120" s="56">
        <v>0</v>
      </c>
      <c r="T2120" s="56" t="s">
        <v>3562</v>
      </c>
      <c r="U2120" s="56">
        <v>961</v>
      </c>
      <c r="V2120" s="56" t="s">
        <v>59</v>
      </c>
      <c r="W2120" s="56" t="s">
        <v>3548</v>
      </c>
      <c r="X2120" s="56" t="s">
        <v>39</v>
      </c>
      <c r="Y2120" s="56" t="s">
        <v>4193</v>
      </c>
      <c r="Z2120" s="56" t="s">
        <v>4192</v>
      </c>
      <c r="AC2120" s="56" t="s">
        <v>3543</v>
      </c>
      <c r="AD2120" s="56" t="s">
        <v>24</v>
      </c>
      <c r="AE2120" s="56" t="s">
        <v>4145</v>
      </c>
      <c r="AF2120" s="56" t="s">
        <v>4191</v>
      </c>
      <c r="AH2120" s="56" t="s">
        <v>3542</v>
      </c>
      <c r="AI2120" s="56" t="s">
        <v>3723</v>
      </c>
    </row>
    <row r="2121" spans="1:35" ht="33" customHeight="1">
      <c r="A2121" s="56" t="s">
        <v>4196</v>
      </c>
      <c r="B2121" s="57">
        <v>44366.932222222225</v>
      </c>
      <c r="C2121" s="56" t="s">
        <v>3803</v>
      </c>
      <c r="D2121" s="56" t="s">
        <v>3802</v>
      </c>
      <c r="E2121" s="56" t="s">
        <v>4195</v>
      </c>
      <c r="F2121" s="56" t="s">
        <v>4194</v>
      </c>
      <c r="G2121" s="58" t="s">
        <v>3593</v>
      </c>
      <c r="H2121" s="56">
        <v>1</v>
      </c>
      <c r="I2121" s="56" t="s">
        <v>3577</v>
      </c>
      <c r="J2121" s="56">
        <v>700</v>
      </c>
      <c r="K2121" s="56">
        <v>599</v>
      </c>
      <c r="P2121" s="56">
        <v>0</v>
      </c>
      <c r="S2121" s="56">
        <v>0</v>
      </c>
      <c r="T2121" s="56" t="s">
        <v>3562</v>
      </c>
      <c r="V2121" s="56" t="s">
        <v>59</v>
      </c>
      <c r="W2121" s="56" t="s">
        <v>3548</v>
      </c>
      <c r="X2121" s="56" t="s">
        <v>39</v>
      </c>
      <c r="Y2121" s="56" t="s">
        <v>4193</v>
      </c>
      <c r="Z2121" s="56" t="s">
        <v>4192</v>
      </c>
      <c r="AC2121" s="56" t="s">
        <v>3543</v>
      </c>
      <c r="AD2121" s="56" t="s">
        <v>24</v>
      </c>
      <c r="AE2121" s="56" t="s">
        <v>4145</v>
      </c>
      <c r="AF2121" s="56" t="s">
        <v>4191</v>
      </c>
      <c r="AH2121" s="56" t="s">
        <v>3542</v>
      </c>
      <c r="AI2121" s="56" t="s">
        <v>3723</v>
      </c>
    </row>
    <row r="2122" spans="1:35" ht="33" customHeight="1">
      <c r="A2122" s="56" t="s">
        <v>4196</v>
      </c>
      <c r="B2122" s="57">
        <v>44366.932222222225</v>
      </c>
      <c r="C2122" s="56" t="s">
        <v>3803</v>
      </c>
      <c r="D2122" s="56" t="s">
        <v>3802</v>
      </c>
      <c r="E2122" s="56" t="s">
        <v>4195</v>
      </c>
      <c r="F2122" s="56" t="s">
        <v>4194</v>
      </c>
      <c r="G2122" s="58" t="s">
        <v>3187</v>
      </c>
      <c r="H2122" s="56">
        <v>1</v>
      </c>
      <c r="I2122" s="56" t="s">
        <v>3761</v>
      </c>
      <c r="J2122" s="56">
        <v>149</v>
      </c>
      <c r="K2122" s="56">
        <v>149</v>
      </c>
      <c r="P2122" s="56">
        <v>0</v>
      </c>
      <c r="S2122" s="56">
        <v>0</v>
      </c>
      <c r="T2122" s="56" t="s">
        <v>3562</v>
      </c>
      <c r="V2122" s="56" t="s">
        <v>59</v>
      </c>
      <c r="W2122" s="56" t="s">
        <v>3548</v>
      </c>
      <c r="X2122" s="56" t="s">
        <v>39</v>
      </c>
      <c r="Y2122" s="56" t="s">
        <v>4193</v>
      </c>
      <c r="Z2122" s="56" t="s">
        <v>4192</v>
      </c>
      <c r="AC2122" s="56" t="s">
        <v>3543</v>
      </c>
      <c r="AD2122" s="56" t="s">
        <v>24</v>
      </c>
      <c r="AE2122" s="56" t="s">
        <v>4145</v>
      </c>
      <c r="AF2122" s="56" t="s">
        <v>4191</v>
      </c>
      <c r="AH2122" s="56" t="s">
        <v>3542</v>
      </c>
      <c r="AI2122" s="56" t="s">
        <v>3723</v>
      </c>
    </row>
    <row r="2123" spans="1:35" ht="33" customHeight="1">
      <c r="A2123" s="56" t="s">
        <v>4196</v>
      </c>
      <c r="B2123" s="57">
        <v>44366.932222222225</v>
      </c>
      <c r="C2123" s="56" t="s">
        <v>3803</v>
      </c>
      <c r="D2123" s="56" t="s">
        <v>3802</v>
      </c>
      <c r="E2123" s="56" t="s">
        <v>4195</v>
      </c>
      <c r="F2123" s="56" t="s">
        <v>4194</v>
      </c>
      <c r="G2123" s="58" t="s">
        <v>3551</v>
      </c>
      <c r="H2123" s="56">
        <v>1</v>
      </c>
      <c r="I2123" s="56" t="s">
        <v>3550</v>
      </c>
      <c r="J2123" s="56">
        <v>0</v>
      </c>
      <c r="K2123" s="56">
        <v>0</v>
      </c>
      <c r="P2123" s="56">
        <v>0</v>
      </c>
      <c r="S2123" s="56">
        <v>0</v>
      </c>
      <c r="T2123" s="56" t="s">
        <v>3562</v>
      </c>
      <c r="V2123" s="56" t="s">
        <v>59</v>
      </c>
      <c r="W2123" s="56" t="s">
        <v>3548</v>
      </c>
      <c r="X2123" s="56" t="s">
        <v>39</v>
      </c>
      <c r="Y2123" s="56" t="s">
        <v>4193</v>
      </c>
      <c r="Z2123" s="56" t="s">
        <v>4192</v>
      </c>
      <c r="AC2123" s="56" t="s">
        <v>3543</v>
      </c>
      <c r="AD2123" s="56" t="s">
        <v>24</v>
      </c>
      <c r="AE2123" s="56" t="s">
        <v>4145</v>
      </c>
      <c r="AF2123" s="56" t="s">
        <v>4191</v>
      </c>
      <c r="AH2123" s="56" t="s">
        <v>3542</v>
      </c>
      <c r="AI2123" s="56" t="s">
        <v>3723</v>
      </c>
    </row>
    <row r="2124" spans="1:35" ht="33" customHeight="1">
      <c r="A2124" s="56" t="s">
        <v>4190</v>
      </c>
      <c r="B2124" s="57">
        <v>44366.932395833333</v>
      </c>
      <c r="C2124" s="56" t="s">
        <v>3803</v>
      </c>
      <c r="D2124" s="56" t="s">
        <v>3802</v>
      </c>
      <c r="E2124" s="56" t="s">
        <v>4189</v>
      </c>
      <c r="F2124" s="56" t="s">
        <v>4188</v>
      </c>
      <c r="G2124" s="58" t="s">
        <v>3580</v>
      </c>
      <c r="H2124" s="56">
        <v>1</v>
      </c>
      <c r="I2124" s="56" t="s">
        <v>3579</v>
      </c>
      <c r="J2124" s="56">
        <v>336</v>
      </c>
      <c r="K2124" s="56">
        <v>320</v>
      </c>
      <c r="L2124" s="56">
        <v>1070</v>
      </c>
      <c r="M2124" s="56">
        <v>0</v>
      </c>
      <c r="N2124" s="56">
        <v>0</v>
      </c>
      <c r="O2124" s="56">
        <v>100</v>
      </c>
      <c r="P2124" s="56">
        <v>0</v>
      </c>
      <c r="Q2124" s="56">
        <v>970</v>
      </c>
      <c r="R2124" s="56">
        <v>0</v>
      </c>
      <c r="S2124" s="56">
        <v>0</v>
      </c>
      <c r="T2124" s="56" t="s">
        <v>3562</v>
      </c>
      <c r="U2124" s="56">
        <v>970</v>
      </c>
      <c r="V2124" s="56" t="s">
        <v>3561</v>
      </c>
      <c r="W2124" s="56" t="s">
        <v>3548</v>
      </c>
      <c r="X2124" s="56" t="s">
        <v>39</v>
      </c>
      <c r="Y2124" s="56" t="s">
        <v>4187</v>
      </c>
      <c r="Z2124" s="56" t="s">
        <v>4186</v>
      </c>
      <c r="AC2124" s="56" t="s">
        <v>3543</v>
      </c>
      <c r="AD2124" s="56" t="s">
        <v>24</v>
      </c>
      <c r="AE2124" s="56" t="s">
        <v>4145</v>
      </c>
      <c r="AF2124" s="56" t="s">
        <v>4185</v>
      </c>
      <c r="AH2124" s="56" t="s">
        <v>3542</v>
      </c>
      <c r="AI2124" s="56" t="s">
        <v>3723</v>
      </c>
    </row>
    <row r="2125" spans="1:35" ht="33" customHeight="1">
      <c r="A2125" s="56" t="s">
        <v>4190</v>
      </c>
      <c r="B2125" s="57">
        <v>44366.932395833333</v>
      </c>
      <c r="C2125" s="56" t="s">
        <v>3803</v>
      </c>
      <c r="D2125" s="56" t="s">
        <v>3802</v>
      </c>
      <c r="E2125" s="56" t="s">
        <v>4189</v>
      </c>
      <c r="F2125" s="56" t="s">
        <v>4188</v>
      </c>
      <c r="G2125" s="58" t="s">
        <v>3681</v>
      </c>
      <c r="H2125" s="56">
        <v>1</v>
      </c>
      <c r="I2125" s="56" t="s">
        <v>3569</v>
      </c>
      <c r="J2125" s="56">
        <v>894</v>
      </c>
      <c r="K2125" s="56">
        <v>750</v>
      </c>
      <c r="P2125" s="56">
        <v>0</v>
      </c>
      <c r="S2125" s="56">
        <v>0</v>
      </c>
      <c r="T2125" s="56" t="s">
        <v>3562</v>
      </c>
      <c r="V2125" s="56" t="s">
        <v>3561</v>
      </c>
      <c r="W2125" s="56" t="s">
        <v>3548</v>
      </c>
      <c r="X2125" s="56" t="s">
        <v>39</v>
      </c>
      <c r="Y2125" s="56" t="s">
        <v>4187</v>
      </c>
      <c r="Z2125" s="56" t="s">
        <v>4186</v>
      </c>
      <c r="AC2125" s="56" t="s">
        <v>3543</v>
      </c>
      <c r="AD2125" s="56" t="s">
        <v>24</v>
      </c>
      <c r="AE2125" s="56" t="s">
        <v>4145</v>
      </c>
      <c r="AF2125" s="56" t="s">
        <v>4185</v>
      </c>
      <c r="AH2125" s="56" t="s">
        <v>3542</v>
      </c>
      <c r="AI2125" s="56" t="s">
        <v>3723</v>
      </c>
    </row>
    <row r="2126" spans="1:35" ht="33" customHeight="1">
      <c r="A2126" s="56" t="s">
        <v>4190</v>
      </c>
      <c r="B2126" s="57">
        <v>44366.932395833333</v>
      </c>
      <c r="C2126" s="56" t="s">
        <v>3803</v>
      </c>
      <c r="D2126" s="56" t="s">
        <v>3802</v>
      </c>
      <c r="E2126" s="56" t="s">
        <v>4189</v>
      </c>
      <c r="F2126" s="56" t="s">
        <v>4188</v>
      </c>
      <c r="G2126" s="58" t="s">
        <v>3551</v>
      </c>
      <c r="H2126" s="56">
        <v>1</v>
      </c>
      <c r="I2126" s="56" t="s">
        <v>3550</v>
      </c>
      <c r="J2126" s="56">
        <v>0</v>
      </c>
      <c r="K2126" s="56">
        <v>0</v>
      </c>
      <c r="P2126" s="56">
        <v>0</v>
      </c>
      <c r="S2126" s="56">
        <v>0</v>
      </c>
      <c r="T2126" s="56" t="s">
        <v>3562</v>
      </c>
      <c r="V2126" s="56" t="s">
        <v>3561</v>
      </c>
      <c r="W2126" s="56" t="s">
        <v>3548</v>
      </c>
      <c r="X2126" s="56" t="s">
        <v>39</v>
      </c>
      <c r="Y2126" s="56" t="s">
        <v>4187</v>
      </c>
      <c r="Z2126" s="56" t="s">
        <v>4186</v>
      </c>
      <c r="AC2126" s="56" t="s">
        <v>3543</v>
      </c>
      <c r="AD2126" s="56" t="s">
        <v>24</v>
      </c>
      <c r="AE2126" s="56" t="s">
        <v>4145</v>
      </c>
      <c r="AF2126" s="56" t="s">
        <v>4185</v>
      </c>
      <c r="AH2126" s="56" t="s">
        <v>3542</v>
      </c>
      <c r="AI2126" s="56" t="s">
        <v>3723</v>
      </c>
    </row>
    <row r="2127" spans="1:35" ht="33" customHeight="1">
      <c r="A2127" s="56" t="s">
        <v>4184</v>
      </c>
      <c r="B2127" s="57">
        <v>44366.932986111111</v>
      </c>
      <c r="C2127" s="56" t="s">
        <v>3803</v>
      </c>
      <c r="D2127" s="56" t="s">
        <v>25</v>
      </c>
      <c r="E2127" s="56" t="s">
        <v>4183</v>
      </c>
      <c r="F2127" s="56" t="s">
        <v>4182</v>
      </c>
      <c r="G2127" s="58" t="s">
        <v>1531</v>
      </c>
      <c r="H2127" s="56">
        <v>1</v>
      </c>
      <c r="I2127" s="56" t="s">
        <v>3696</v>
      </c>
      <c r="J2127" s="56">
        <v>299</v>
      </c>
      <c r="K2127" s="56">
        <v>299</v>
      </c>
      <c r="L2127" s="56">
        <v>1053</v>
      </c>
      <c r="M2127" s="56">
        <v>0</v>
      </c>
      <c r="N2127" s="56">
        <v>0</v>
      </c>
      <c r="O2127" s="56">
        <v>100</v>
      </c>
      <c r="P2127" s="56">
        <v>0</v>
      </c>
      <c r="Q2127" s="56">
        <v>953</v>
      </c>
      <c r="R2127" s="56">
        <v>0</v>
      </c>
      <c r="S2127" s="56">
        <v>0</v>
      </c>
      <c r="T2127" s="56" t="s">
        <v>27</v>
      </c>
      <c r="U2127" s="56">
        <v>953</v>
      </c>
      <c r="V2127" s="56" t="s">
        <v>3549</v>
      </c>
      <c r="W2127" s="56" t="s">
        <v>3548</v>
      </c>
      <c r="X2127" s="56" t="s">
        <v>3547</v>
      </c>
      <c r="Z2127" s="56" t="s">
        <v>3546</v>
      </c>
      <c r="AA2127" s="56" t="s">
        <v>4181</v>
      </c>
      <c r="AB2127" s="56" t="s">
        <v>4180</v>
      </c>
      <c r="AC2127" s="56" t="s">
        <v>3543</v>
      </c>
      <c r="AH2127" s="56" t="s">
        <v>3542</v>
      </c>
      <c r="AI2127" s="56" t="s">
        <v>3541</v>
      </c>
    </row>
    <row r="2128" spans="1:35" ht="33" customHeight="1">
      <c r="A2128" s="56" t="s">
        <v>4184</v>
      </c>
      <c r="B2128" s="57">
        <v>44366.932986111111</v>
      </c>
      <c r="C2128" s="56" t="s">
        <v>3803</v>
      </c>
      <c r="D2128" s="56" t="s">
        <v>25</v>
      </c>
      <c r="E2128" s="56" t="s">
        <v>4183</v>
      </c>
      <c r="F2128" s="56" t="s">
        <v>4182</v>
      </c>
      <c r="G2128" s="58" t="s">
        <v>4124</v>
      </c>
      <c r="H2128" s="56">
        <v>1</v>
      </c>
      <c r="I2128" s="56" t="s">
        <v>4123</v>
      </c>
      <c r="J2128" s="56">
        <v>478</v>
      </c>
      <c r="K2128" s="56">
        <v>460</v>
      </c>
      <c r="P2128" s="56">
        <v>0</v>
      </c>
      <c r="S2128" s="56">
        <v>0</v>
      </c>
      <c r="T2128" s="56" t="s">
        <v>27</v>
      </c>
      <c r="V2128" s="56" t="s">
        <v>3549</v>
      </c>
      <c r="W2128" s="56" t="s">
        <v>3548</v>
      </c>
      <c r="X2128" s="56" t="s">
        <v>3547</v>
      </c>
      <c r="Z2128" s="56" t="s">
        <v>3546</v>
      </c>
      <c r="AA2128" s="56" t="s">
        <v>4181</v>
      </c>
      <c r="AB2128" s="56" t="s">
        <v>4180</v>
      </c>
      <c r="AC2128" s="56" t="s">
        <v>3543</v>
      </c>
      <c r="AH2128" s="56" t="s">
        <v>3542</v>
      </c>
      <c r="AI2128" s="56" t="s">
        <v>3541</v>
      </c>
    </row>
    <row r="2129" spans="1:35" ht="33" customHeight="1">
      <c r="A2129" s="56" t="s">
        <v>4184</v>
      </c>
      <c r="B2129" s="57">
        <v>44366.932986111111</v>
      </c>
      <c r="C2129" s="56" t="s">
        <v>3803</v>
      </c>
      <c r="D2129" s="56" t="s">
        <v>25</v>
      </c>
      <c r="E2129" s="56" t="s">
        <v>4183</v>
      </c>
      <c r="F2129" s="56" t="s">
        <v>4182</v>
      </c>
      <c r="G2129" s="58" t="s">
        <v>2156</v>
      </c>
      <c r="H2129" s="56">
        <v>1</v>
      </c>
      <c r="I2129" s="56" t="s">
        <v>1376</v>
      </c>
      <c r="J2129" s="56">
        <v>145</v>
      </c>
      <c r="K2129" s="56">
        <v>145</v>
      </c>
      <c r="P2129" s="56">
        <v>0</v>
      </c>
      <c r="S2129" s="56">
        <v>0</v>
      </c>
      <c r="T2129" s="56" t="s">
        <v>27</v>
      </c>
      <c r="V2129" s="56" t="s">
        <v>3549</v>
      </c>
      <c r="W2129" s="56" t="s">
        <v>3548</v>
      </c>
      <c r="X2129" s="56" t="s">
        <v>3547</v>
      </c>
      <c r="Z2129" s="56" t="s">
        <v>3546</v>
      </c>
      <c r="AA2129" s="56" t="s">
        <v>4181</v>
      </c>
      <c r="AB2129" s="56" t="s">
        <v>4180</v>
      </c>
      <c r="AC2129" s="56" t="s">
        <v>3543</v>
      </c>
      <c r="AH2129" s="56" t="s">
        <v>3542</v>
      </c>
      <c r="AI2129" s="56" t="s">
        <v>3541</v>
      </c>
    </row>
    <row r="2130" spans="1:35" ht="33" customHeight="1">
      <c r="A2130" s="56" t="s">
        <v>4184</v>
      </c>
      <c r="B2130" s="57">
        <v>44366.932986111111</v>
      </c>
      <c r="C2130" s="56" t="s">
        <v>3803</v>
      </c>
      <c r="D2130" s="56" t="s">
        <v>25</v>
      </c>
      <c r="E2130" s="56" t="s">
        <v>4183</v>
      </c>
      <c r="F2130" s="56" t="s">
        <v>4182</v>
      </c>
      <c r="G2130" s="58" t="s">
        <v>3187</v>
      </c>
      <c r="H2130" s="56">
        <v>1</v>
      </c>
      <c r="I2130" s="56" t="s">
        <v>3761</v>
      </c>
      <c r="J2130" s="56">
        <v>149</v>
      </c>
      <c r="K2130" s="56">
        <v>149</v>
      </c>
      <c r="P2130" s="56">
        <v>0</v>
      </c>
      <c r="S2130" s="56">
        <v>0</v>
      </c>
      <c r="T2130" s="56" t="s">
        <v>27</v>
      </c>
      <c r="V2130" s="56" t="s">
        <v>3549</v>
      </c>
      <c r="W2130" s="56" t="s">
        <v>3548</v>
      </c>
      <c r="X2130" s="56" t="s">
        <v>3547</v>
      </c>
      <c r="Z2130" s="56" t="s">
        <v>3546</v>
      </c>
      <c r="AA2130" s="56" t="s">
        <v>4181</v>
      </c>
      <c r="AB2130" s="56" t="s">
        <v>4180</v>
      </c>
      <c r="AC2130" s="56" t="s">
        <v>3543</v>
      </c>
      <c r="AH2130" s="56" t="s">
        <v>3542</v>
      </c>
      <c r="AI2130" s="56" t="s">
        <v>3541</v>
      </c>
    </row>
    <row r="2131" spans="1:35" ht="33" customHeight="1">
      <c r="A2131" s="56" t="s">
        <v>4184</v>
      </c>
      <c r="B2131" s="57">
        <v>44366.932986111111</v>
      </c>
      <c r="C2131" s="56" t="s">
        <v>3803</v>
      </c>
      <c r="D2131" s="56" t="s">
        <v>25</v>
      </c>
      <c r="E2131" s="56" t="s">
        <v>4183</v>
      </c>
      <c r="F2131" s="56" t="s">
        <v>4182</v>
      </c>
      <c r="G2131" s="58" t="s">
        <v>3551</v>
      </c>
      <c r="H2131" s="56">
        <v>1</v>
      </c>
      <c r="I2131" s="56" t="s">
        <v>3550</v>
      </c>
      <c r="J2131" s="56">
        <v>0</v>
      </c>
      <c r="K2131" s="56">
        <v>0</v>
      </c>
      <c r="P2131" s="56">
        <v>0</v>
      </c>
      <c r="S2131" s="56">
        <v>0</v>
      </c>
      <c r="T2131" s="56" t="s">
        <v>27</v>
      </c>
      <c r="V2131" s="56" t="s">
        <v>3549</v>
      </c>
      <c r="W2131" s="56" t="s">
        <v>3548</v>
      </c>
      <c r="X2131" s="56" t="s">
        <v>3547</v>
      </c>
      <c r="Z2131" s="56" t="s">
        <v>3546</v>
      </c>
      <c r="AA2131" s="56" t="s">
        <v>4181</v>
      </c>
      <c r="AB2131" s="56" t="s">
        <v>4180</v>
      </c>
      <c r="AC2131" s="56" t="s">
        <v>3543</v>
      </c>
      <c r="AH2131" s="56" t="s">
        <v>3542</v>
      </c>
      <c r="AI2131" s="56" t="s">
        <v>3541</v>
      </c>
    </row>
    <row r="2132" spans="1:35" ht="33" customHeight="1">
      <c r="A2132" s="56" t="s">
        <v>4179</v>
      </c>
      <c r="B2132" s="57">
        <v>44366.94431712963</v>
      </c>
      <c r="C2132" s="56" t="s">
        <v>3803</v>
      </c>
      <c r="D2132" s="56" t="s">
        <v>25</v>
      </c>
      <c r="E2132" s="56" t="s">
        <v>4178</v>
      </c>
      <c r="F2132" s="56" t="s">
        <v>4177</v>
      </c>
      <c r="G2132" s="58" t="s">
        <v>3681</v>
      </c>
      <c r="H2132" s="56">
        <v>1</v>
      </c>
      <c r="I2132" s="56" t="s">
        <v>3569</v>
      </c>
      <c r="J2132" s="56">
        <v>894</v>
      </c>
      <c r="K2132" s="56">
        <v>750</v>
      </c>
      <c r="L2132" s="56">
        <v>1300</v>
      </c>
      <c r="M2132" s="56">
        <v>0</v>
      </c>
      <c r="N2132" s="56">
        <v>0</v>
      </c>
      <c r="O2132" s="56">
        <v>100</v>
      </c>
      <c r="P2132" s="56">
        <v>0</v>
      </c>
      <c r="Q2132" s="56">
        <v>1200</v>
      </c>
      <c r="R2132" s="56">
        <v>0</v>
      </c>
      <c r="S2132" s="56">
        <v>0</v>
      </c>
      <c r="T2132" s="56" t="s">
        <v>27</v>
      </c>
      <c r="U2132" s="56">
        <v>1200</v>
      </c>
      <c r="V2132" s="56" t="s">
        <v>3549</v>
      </c>
      <c r="W2132" s="56" t="s">
        <v>3548</v>
      </c>
      <c r="X2132" s="56" t="s">
        <v>3547</v>
      </c>
      <c r="Z2132" s="56" t="s">
        <v>3546</v>
      </c>
      <c r="AA2132" s="56" t="s">
        <v>4176</v>
      </c>
      <c r="AB2132" s="56" t="s">
        <v>4175</v>
      </c>
      <c r="AC2132" s="56" t="s">
        <v>3543</v>
      </c>
      <c r="AH2132" s="56" t="s">
        <v>3542</v>
      </c>
      <c r="AI2132" s="56" t="s">
        <v>3541</v>
      </c>
    </row>
    <row r="2133" spans="1:35" ht="33" customHeight="1">
      <c r="A2133" s="56" t="s">
        <v>4179</v>
      </c>
      <c r="B2133" s="57">
        <v>44366.94431712963</v>
      </c>
      <c r="C2133" s="56" t="s">
        <v>3803</v>
      </c>
      <c r="D2133" s="56" t="s">
        <v>25</v>
      </c>
      <c r="E2133" s="56" t="s">
        <v>4178</v>
      </c>
      <c r="F2133" s="56" t="s">
        <v>4177</v>
      </c>
      <c r="G2133" s="58" t="s">
        <v>3732</v>
      </c>
      <c r="H2133" s="56">
        <v>1</v>
      </c>
      <c r="I2133" s="56" t="s">
        <v>3731</v>
      </c>
      <c r="J2133" s="56">
        <v>867</v>
      </c>
      <c r="K2133" s="56">
        <v>550</v>
      </c>
      <c r="P2133" s="56">
        <v>0</v>
      </c>
      <c r="S2133" s="56">
        <v>0</v>
      </c>
      <c r="T2133" s="56" t="s">
        <v>27</v>
      </c>
      <c r="V2133" s="56" t="s">
        <v>3549</v>
      </c>
      <c r="W2133" s="56" t="s">
        <v>3548</v>
      </c>
      <c r="X2133" s="56" t="s">
        <v>3547</v>
      </c>
      <c r="Z2133" s="56" t="s">
        <v>3546</v>
      </c>
      <c r="AA2133" s="56" t="s">
        <v>4176</v>
      </c>
      <c r="AB2133" s="56" t="s">
        <v>4175</v>
      </c>
      <c r="AC2133" s="56" t="s">
        <v>3543</v>
      </c>
      <c r="AH2133" s="56" t="s">
        <v>3542</v>
      </c>
      <c r="AI2133" s="56" t="s">
        <v>3541</v>
      </c>
    </row>
    <row r="2134" spans="1:35" ht="33" customHeight="1">
      <c r="A2134" s="56" t="s">
        <v>4179</v>
      </c>
      <c r="B2134" s="57">
        <v>44366.94431712963</v>
      </c>
      <c r="C2134" s="56" t="s">
        <v>3803</v>
      </c>
      <c r="D2134" s="56" t="s">
        <v>25</v>
      </c>
      <c r="E2134" s="56" t="s">
        <v>4178</v>
      </c>
      <c r="F2134" s="56" t="s">
        <v>4177</v>
      </c>
      <c r="G2134" s="58" t="s">
        <v>3551</v>
      </c>
      <c r="H2134" s="56">
        <v>1</v>
      </c>
      <c r="I2134" s="56" t="s">
        <v>3550</v>
      </c>
      <c r="J2134" s="56">
        <v>0</v>
      </c>
      <c r="K2134" s="56">
        <v>0</v>
      </c>
      <c r="P2134" s="56">
        <v>0</v>
      </c>
      <c r="S2134" s="56">
        <v>0</v>
      </c>
      <c r="T2134" s="56" t="s">
        <v>27</v>
      </c>
      <c r="V2134" s="56" t="s">
        <v>3549</v>
      </c>
      <c r="W2134" s="56" t="s">
        <v>3548</v>
      </c>
      <c r="X2134" s="56" t="s">
        <v>3547</v>
      </c>
      <c r="Z2134" s="56" t="s">
        <v>3546</v>
      </c>
      <c r="AA2134" s="56" t="s">
        <v>4176</v>
      </c>
      <c r="AB2134" s="56" t="s">
        <v>4175</v>
      </c>
      <c r="AC2134" s="56" t="s">
        <v>3543</v>
      </c>
      <c r="AH2134" s="56" t="s">
        <v>3542</v>
      </c>
      <c r="AI2134" s="56" t="s">
        <v>3541</v>
      </c>
    </row>
    <row r="2135" spans="1:35" ht="33" customHeight="1">
      <c r="A2135" s="56" t="s">
        <v>4179</v>
      </c>
      <c r="B2135" s="57">
        <v>44366.94431712963</v>
      </c>
      <c r="C2135" s="56" t="s">
        <v>3803</v>
      </c>
      <c r="D2135" s="56" t="s">
        <v>25</v>
      </c>
      <c r="E2135" s="56" t="s">
        <v>4178</v>
      </c>
      <c r="F2135" s="56" t="s">
        <v>4177</v>
      </c>
      <c r="G2135" s="58" t="s">
        <v>1498</v>
      </c>
      <c r="H2135" s="56">
        <v>1</v>
      </c>
      <c r="I2135" s="56" t="s">
        <v>4016</v>
      </c>
      <c r="J2135" s="56">
        <v>0</v>
      </c>
      <c r="K2135" s="56">
        <v>0</v>
      </c>
      <c r="P2135" s="56">
        <v>0</v>
      </c>
      <c r="S2135" s="56">
        <v>0</v>
      </c>
      <c r="T2135" s="56" t="s">
        <v>27</v>
      </c>
      <c r="V2135" s="56" t="s">
        <v>3549</v>
      </c>
      <c r="W2135" s="56" t="s">
        <v>3548</v>
      </c>
      <c r="X2135" s="56" t="s">
        <v>3547</v>
      </c>
      <c r="Z2135" s="56" t="s">
        <v>3546</v>
      </c>
      <c r="AA2135" s="56" t="s">
        <v>4176</v>
      </c>
      <c r="AB2135" s="56" t="s">
        <v>4175</v>
      </c>
      <c r="AC2135" s="56" t="s">
        <v>3543</v>
      </c>
      <c r="AH2135" s="56" t="s">
        <v>3542</v>
      </c>
      <c r="AI2135" s="56" t="s">
        <v>3541</v>
      </c>
    </row>
    <row r="2136" spans="1:35" ht="33" customHeight="1">
      <c r="A2136" s="56" t="s">
        <v>4173</v>
      </c>
      <c r="B2136" s="57">
        <v>44366.949606481481</v>
      </c>
      <c r="C2136" s="56" t="s">
        <v>3803</v>
      </c>
      <c r="D2136" s="56" t="s">
        <v>25</v>
      </c>
      <c r="E2136" s="56" t="s">
        <v>4172</v>
      </c>
      <c r="F2136" s="56" t="s">
        <v>4171</v>
      </c>
      <c r="G2136" s="58" t="s">
        <v>3942</v>
      </c>
      <c r="H2136" s="56">
        <v>1</v>
      </c>
      <c r="I2136" s="56" t="s">
        <v>3941</v>
      </c>
      <c r="J2136" s="56">
        <v>840</v>
      </c>
      <c r="K2136" s="56">
        <v>750</v>
      </c>
      <c r="L2136" s="56">
        <v>1100</v>
      </c>
      <c r="M2136" s="56">
        <v>0</v>
      </c>
      <c r="N2136" s="56">
        <v>0</v>
      </c>
      <c r="O2136" s="56">
        <v>100</v>
      </c>
      <c r="P2136" s="56">
        <v>0</v>
      </c>
      <c r="Q2136" s="56">
        <v>1000</v>
      </c>
      <c r="R2136" s="56">
        <v>0</v>
      </c>
      <c r="S2136" s="56">
        <v>0</v>
      </c>
      <c r="T2136" s="56" t="s">
        <v>27</v>
      </c>
      <c r="U2136" s="56">
        <v>1000</v>
      </c>
      <c r="V2136" s="56" t="s">
        <v>3612</v>
      </c>
      <c r="W2136" s="56" t="s">
        <v>3548</v>
      </c>
      <c r="X2136" s="56" t="s">
        <v>3611</v>
      </c>
      <c r="Z2136" s="56" t="s">
        <v>3546</v>
      </c>
      <c r="AA2136" s="56" t="s">
        <v>4170</v>
      </c>
      <c r="AB2136" s="56" t="s">
        <v>4169</v>
      </c>
      <c r="AC2136" s="56" t="s">
        <v>3543</v>
      </c>
      <c r="AH2136" s="56" t="s">
        <v>3542</v>
      </c>
      <c r="AI2136" s="56" t="s">
        <v>3541</v>
      </c>
    </row>
    <row r="2137" spans="1:35" ht="33" customHeight="1">
      <c r="A2137" s="56" t="s">
        <v>4173</v>
      </c>
      <c r="B2137" s="57">
        <v>44366.949606481481</v>
      </c>
      <c r="C2137" s="56" t="s">
        <v>3803</v>
      </c>
      <c r="D2137" s="56" t="s">
        <v>25</v>
      </c>
      <c r="E2137" s="56" t="s">
        <v>4172</v>
      </c>
      <c r="F2137" s="56" t="s">
        <v>4171</v>
      </c>
      <c r="G2137" s="58" t="s">
        <v>1486</v>
      </c>
      <c r="H2137" s="56">
        <v>1</v>
      </c>
      <c r="I2137" s="56" t="s">
        <v>4174</v>
      </c>
      <c r="J2137" s="56">
        <v>350</v>
      </c>
      <c r="K2137" s="56">
        <v>350</v>
      </c>
      <c r="P2137" s="56">
        <v>0</v>
      </c>
      <c r="S2137" s="56">
        <v>0</v>
      </c>
      <c r="T2137" s="56" t="s">
        <v>27</v>
      </c>
      <c r="V2137" s="56" t="s">
        <v>3612</v>
      </c>
      <c r="W2137" s="56" t="s">
        <v>3548</v>
      </c>
      <c r="X2137" s="56" t="s">
        <v>3611</v>
      </c>
      <c r="Z2137" s="56" t="s">
        <v>3546</v>
      </c>
      <c r="AA2137" s="56" t="s">
        <v>4170</v>
      </c>
      <c r="AB2137" s="56" t="s">
        <v>4169</v>
      </c>
      <c r="AC2137" s="56" t="s">
        <v>3543</v>
      </c>
      <c r="AH2137" s="56" t="s">
        <v>3542</v>
      </c>
      <c r="AI2137" s="56" t="s">
        <v>3541</v>
      </c>
    </row>
    <row r="2138" spans="1:35" ht="33" customHeight="1">
      <c r="A2138" s="56" t="s">
        <v>4173</v>
      </c>
      <c r="B2138" s="57">
        <v>44366.949606481481</v>
      </c>
      <c r="C2138" s="56" t="s">
        <v>3803</v>
      </c>
      <c r="D2138" s="56" t="s">
        <v>25</v>
      </c>
      <c r="E2138" s="56" t="s">
        <v>4172</v>
      </c>
      <c r="F2138" s="56" t="s">
        <v>4171</v>
      </c>
      <c r="G2138" s="58" t="s">
        <v>3551</v>
      </c>
      <c r="H2138" s="56">
        <v>1</v>
      </c>
      <c r="I2138" s="56" t="s">
        <v>3550</v>
      </c>
      <c r="J2138" s="56">
        <v>0</v>
      </c>
      <c r="K2138" s="56">
        <v>0</v>
      </c>
      <c r="P2138" s="56">
        <v>0</v>
      </c>
      <c r="S2138" s="56">
        <v>0</v>
      </c>
      <c r="T2138" s="56" t="s">
        <v>27</v>
      </c>
      <c r="V2138" s="56" t="s">
        <v>3612</v>
      </c>
      <c r="W2138" s="56" t="s">
        <v>3548</v>
      </c>
      <c r="X2138" s="56" t="s">
        <v>3611</v>
      </c>
      <c r="Z2138" s="56" t="s">
        <v>3546</v>
      </c>
      <c r="AA2138" s="56" t="s">
        <v>4170</v>
      </c>
      <c r="AB2138" s="56" t="s">
        <v>4169</v>
      </c>
      <c r="AC2138" s="56" t="s">
        <v>3543</v>
      </c>
      <c r="AH2138" s="56" t="s">
        <v>3542</v>
      </c>
      <c r="AI2138" s="56" t="s">
        <v>3541</v>
      </c>
    </row>
    <row r="2139" spans="1:35" ht="33" customHeight="1">
      <c r="A2139" s="56" t="s">
        <v>4173</v>
      </c>
      <c r="B2139" s="57">
        <v>44366.949606481481</v>
      </c>
      <c r="C2139" s="56" t="s">
        <v>3803</v>
      </c>
      <c r="D2139" s="56" t="s">
        <v>25</v>
      </c>
      <c r="E2139" s="56" t="s">
        <v>4172</v>
      </c>
      <c r="F2139" s="56" t="s">
        <v>4171</v>
      </c>
      <c r="G2139" s="58" t="s">
        <v>1498</v>
      </c>
      <c r="H2139" s="56">
        <v>1</v>
      </c>
      <c r="I2139" s="56" t="s">
        <v>4016</v>
      </c>
      <c r="J2139" s="56">
        <v>0</v>
      </c>
      <c r="K2139" s="56">
        <v>0</v>
      </c>
      <c r="P2139" s="56">
        <v>0</v>
      </c>
      <c r="S2139" s="56">
        <v>0</v>
      </c>
      <c r="T2139" s="56" t="s">
        <v>27</v>
      </c>
      <c r="V2139" s="56" t="s">
        <v>3612</v>
      </c>
      <c r="W2139" s="56" t="s">
        <v>3548</v>
      </c>
      <c r="X2139" s="56" t="s">
        <v>3611</v>
      </c>
      <c r="Z2139" s="56" t="s">
        <v>3546</v>
      </c>
      <c r="AA2139" s="56" t="s">
        <v>4170</v>
      </c>
      <c r="AB2139" s="56" t="s">
        <v>4169</v>
      </c>
      <c r="AC2139" s="56" t="s">
        <v>3543</v>
      </c>
      <c r="AH2139" s="56" t="s">
        <v>3542</v>
      </c>
      <c r="AI2139" s="56" t="s">
        <v>3541</v>
      </c>
    </row>
    <row r="2140" spans="1:35" ht="33" customHeight="1">
      <c r="A2140" s="56" t="s">
        <v>4168</v>
      </c>
      <c r="B2140" s="57">
        <v>44366.964247685188</v>
      </c>
      <c r="C2140" s="56" t="s">
        <v>3803</v>
      </c>
      <c r="D2140" s="56" t="s">
        <v>3802</v>
      </c>
      <c r="E2140" s="56" t="s">
        <v>4167</v>
      </c>
      <c r="F2140" s="56" t="s">
        <v>4166</v>
      </c>
      <c r="G2140" s="58" t="s">
        <v>3747</v>
      </c>
      <c r="H2140" s="56">
        <v>2</v>
      </c>
      <c r="I2140" s="56" t="s">
        <v>3746</v>
      </c>
      <c r="J2140" s="56">
        <v>660</v>
      </c>
      <c r="K2140" s="56">
        <v>450</v>
      </c>
      <c r="L2140" s="56">
        <v>1788</v>
      </c>
      <c r="M2140" s="56">
        <v>0</v>
      </c>
      <c r="N2140" s="56">
        <v>0</v>
      </c>
      <c r="O2140" s="56">
        <v>0</v>
      </c>
      <c r="P2140" s="56">
        <v>0</v>
      </c>
      <c r="Q2140" s="56">
        <v>1788</v>
      </c>
      <c r="R2140" s="56">
        <v>0</v>
      </c>
      <c r="S2140" s="56">
        <v>0</v>
      </c>
      <c r="T2140" s="56" t="s">
        <v>3562</v>
      </c>
      <c r="U2140" s="56">
        <v>1788</v>
      </c>
      <c r="V2140" s="56" t="s">
        <v>3561</v>
      </c>
      <c r="W2140" s="56" t="s">
        <v>3548</v>
      </c>
      <c r="X2140" s="56" t="s">
        <v>39</v>
      </c>
      <c r="Y2140" s="56" t="s">
        <v>4165</v>
      </c>
      <c r="Z2140" s="56" t="s">
        <v>4164</v>
      </c>
      <c r="AC2140" s="56" t="s">
        <v>3543</v>
      </c>
      <c r="AD2140" s="56" t="s">
        <v>24</v>
      </c>
      <c r="AE2140" s="56" t="s">
        <v>4145</v>
      </c>
      <c r="AF2140" s="56" t="s">
        <v>4163</v>
      </c>
      <c r="AH2140" s="56" t="s">
        <v>3542</v>
      </c>
      <c r="AI2140" s="56" t="s">
        <v>3723</v>
      </c>
    </row>
    <row r="2141" spans="1:35" ht="33" customHeight="1">
      <c r="A2141" s="56" t="s">
        <v>4168</v>
      </c>
      <c r="B2141" s="57">
        <v>44366.964247685188</v>
      </c>
      <c r="C2141" s="56" t="s">
        <v>3803</v>
      </c>
      <c r="D2141" s="56" t="s">
        <v>3802</v>
      </c>
      <c r="E2141" s="56" t="s">
        <v>4167</v>
      </c>
      <c r="F2141" s="56" t="s">
        <v>4166</v>
      </c>
      <c r="G2141" s="58" t="s">
        <v>3811</v>
      </c>
      <c r="H2141" s="56">
        <v>1</v>
      </c>
      <c r="I2141" s="56" t="s">
        <v>3669</v>
      </c>
      <c r="J2141" s="56">
        <v>897</v>
      </c>
      <c r="K2141" s="56">
        <v>888</v>
      </c>
      <c r="P2141" s="56">
        <v>0</v>
      </c>
      <c r="S2141" s="56">
        <v>0</v>
      </c>
      <c r="T2141" s="56" t="s">
        <v>3562</v>
      </c>
      <c r="V2141" s="56" t="s">
        <v>3561</v>
      </c>
      <c r="W2141" s="56" t="s">
        <v>3548</v>
      </c>
      <c r="X2141" s="56" t="s">
        <v>39</v>
      </c>
      <c r="Y2141" s="56" t="s">
        <v>4165</v>
      </c>
      <c r="Z2141" s="56" t="s">
        <v>4164</v>
      </c>
      <c r="AC2141" s="56" t="s">
        <v>3543</v>
      </c>
      <c r="AD2141" s="56" t="s">
        <v>24</v>
      </c>
      <c r="AE2141" s="56" t="s">
        <v>4145</v>
      </c>
      <c r="AF2141" s="56" t="s">
        <v>4163</v>
      </c>
      <c r="AH2141" s="56" t="s">
        <v>3542</v>
      </c>
      <c r="AI2141" s="56" t="s">
        <v>3723</v>
      </c>
    </row>
    <row r="2142" spans="1:35" ht="33" customHeight="1">
      <c r="A2142" s="56" t="s">
        <v>4168</v>
      </c>
      <c r="B2142" s="57">
        <v>44366.964247685188</v>
      </c>
      <c r="C2142" s="56" t="s">
        <v>3803</v>
      </c>
      <c r="D2142" s="56" t="s">
        <v>3802</v>
      </c>
      <c r="E2142" s="56" t="s">
        <v>4167</v>
      </c>
      <c r="F2142" s="56" t="s">
        <v>4166</v>
      </c>
      <c r="G2142" s="58" t="s">
        <v>3551</v>
      </c>
      <c r="H2142" s="56">
        <v>1</v>
      </c>
      <c r="I2142" s="56" t="s">
        <v>3550</v>
      </c>
      <c r="J2142" s="56">
        <v>0</v>
      </c>
      <c r="K2142" s="56">
        <v>0</v>
      </c>
      <c r="P2142" s="56">
        <v>0</v>
      </c>
      <c r="S2142" s="56">
        <v>0</v>
      </c>
      <c r="T2142" s="56" t="s">
        <v>3562</v>
      </c>
      <c r="V2142" s="56" t="s">
        <v>3561</v>
      </c>
      <c r="W2142" s="56" t="s">
        <v>3548</v>
      </c>
      <c r="X2142" s="56" t="s">
        <v>39</v>
      </c>
      <c r="Y2142" s="56" t="s">
        <v>4165</v>
      </c>
      <c r="Z2142" s="56" t="s">
        <v>4164</v>
      </c>
      <c r="AC2142" s="56" t="s">
        <v>3543</v>
      </c>
      <c r="AD2142" s="56" t="s">
        <v>24</v>
      </c>
      <c r="AE2142" s="56" t="s">
        <v>4145</v>
      </c>
      <c r="AF2142" s="56" t="s">
        <v>4163</v>
      </c>
      <c r="AH2142" s="56" t="s">
        <v>3542</v>
      </c>
      <c r="AI2142" s="56" t="s">
        <v>3723</v>
      </c>
    </row>
    <row r="2143" spans="1:35" ht="33" customHeight="1">
      <c r="A2143" s="56" t="s">
        <v>4168</v>
      </c>
      <c r="B2143" s="57">
        <v>44366.964247685188</v>
      </c>
      <c r="C2143" s="56" t="s">
        <v>3803</v>
      </c>
      <c r="D2143" s="56" t="s">
        <v>3802</v>
      </c>
      <c r="E2143" s="56" t="s">
        <v>4167</v>
      </c>
      <c r="F2143" s="56" t="s">
        <v>4166</v>
      </c>
      <c r="G2143" s="58" t="s">
        <v>1713</v>
      </c>
      <c r="H2143" s="56">
        <v>1</v>
      </c>
      <c r="I2143" s="56" t="s">
        <v>3568</v>
      </c>
      <c r="J2143" s="56">
        <v>0</v>
      </c>
      <c r="K2143" s="56">
        <v>0</v>
      </c>
      <c r="P2143" s="56">
        <v>0</v>
      </c>
      <c r="S2143" s="56">
        <v>0</v>
      </c>
      <c r="T2143" s="56" t="s">
        <v>3562</v>
      </c>
      <c r="V2143" s="56" t="s">
        <v>3561</v>
      </c>
      <c r="W2143" s="56" t="s">
        <v>3548</v>
      </c>
      <c r="X2143" s="56" t="s">
        <v>39</v>
      </c>
      <c r="Y2143" s="56" t="s">
        <v>4165</v>
      </c>
      <c r="Z2143" s="56" t="s">
        <v>4164</v>
      </c>
      <c r="AC2143" s="56" t="s">
        <v>3543</v>
      </c>
      <c r="AD2143" s="56" t="s">
        <v>24</v>
      </c>
      <c r="AE2143" s="56" t="s">
        <v>4145</v>
      </c>
      <c r="AF2143" s="56" t="s">
        <v>4163</v>
      </c>
      <c r="AH2143" s="56" t="s">
        <v>3542</v>
      </c>
      <c r="AI2143" s="56" t="s">
        <v>3723</v>
      </c>
    </row>
    <row r="2144" spans="1:35" ht="33" customHeight="1">
      <c r="A2144" s="56" t="s">
        <v>4168</v>
      </c>
      <c r="B2144" s="57">
        <v>44366.964247685188</v>
      </c>
      <c r="C2144" s="56" t="s">
        <v>3803</v>
      </c>
      <c r="D2144" s="56" t="s">
        <v>3802</v>
      </c>
      <c r="E2144" s="56" t="s">
        <v>4167</v>
      </c>
      <c r="F2144" s="56" t="s">
        <v>4166</v>
      </c>
      <c r="G2144" s="58" t="s">
        <v>1498</v>
      </c>
      <c r="H2144" s="56">
        <v>1</v>
      </c>
      <c r="I2144" s="56" t="s">
        <v>4016</v>
      </c>
      <c r="J2144" s="56">
        <v>0</v>
      </c>
      <c r="K2144" s="56">
        <v>0</v>
      </c>
      <c r="P2144" s="56">
        <v>0</v>
      </c>
      <c r="S2144" s="56">
        <v>0</v>
      </c>
      <c r="T2144" s="56" t="s">
        <v>3562</v>
      </c>
      <c r="V2144" s="56" t="s">
        <v>3561</v>
      </c>
      <c r="W2144" s="56" t="s">
        <v>3548</v>
      </c>
      <c r="X2144" s="56" t="s">
        <v>39</v>
      </c>
      <c r="Y2144" s="56" t="s">
        <v>4165</v>
      </c>
      <c r="Z2144" s="56" t="s">
        <v>4164</v>
      </c>
      <c r="AC2144" s="56" t="s">
        <v>3543</v>
      </c>
      <c r="AD2144" s="56" t="s">
        <v>24</v>
      </c>
      <c r="AE2144" s="56" t="s">
        <v>4145</v>
      </c>
      <c r="AF2144" s="56" t="s">
        <v>4163</v>
      </c>
      <c r="AH2144" s="56" t="s">
        <v>3542</v>
      </c>
      <c r="AI2144" s="56" t="s">
        <v>3723</v>
      </c>
    </row>
    <row r="2145" spans="1:35" ht="33" customHeight="1">
      <c r="A2145" s="56" t="s">
        <v>4161</v>
      </c>
      <c r="B2145" s="57">
        <v>44366.965648148151</v>
      </c>
      <c r="C2145" s="56" t="s">
        <v>3803</v>
      </c>
      <c r="D2145" s="56" t="s">
        <v>25</v>
      </c>
      <c r="E2145" s="56" t="s">
        <v>4160</v>
      </c>
      <c r="F2145" s="56" t="s">
        <v>4159</v>
      </c>
      <c r="G2145" s="58" t="s">
        <v>4162</v>
      </c>
      <c r="H2145" s="56">
        <v>1</v>
      </c>
      <c r="I2145" s="56" t="s">
        <v>3669</v>
      </c>
      <c r="J2145" s="56">
        <v>897</v>
      </c>
      <c r="K2145" s="56">
        <v>888</v>
      </c>
      <c r="L2145" s="56">
        <v>888</v>
      </c>
      <c r="M2145" s="56">
        <v>65</v>
      </c>
      <c r="N2145" s="56">
        <v>0</v>
      </c>
      <c r="O2145" s="56">
        <v>0</v>
      </c>
      <c r="P2145" s="56">
        <v>0</v>
      </c>
      <c r="Q2145" s="56">
        <v>953</v>
      </c>
      <c r="R2145" s="56">
        <v>0</v>
      </c>
      <c r="S2145" s="56">
        <v>0</v>
      </c>
      <c r="T2145" s="56" t="s">
        <v>27</v>
      </c>
      <c r="U2145" s="56">
        <v>953</v>
      </c>
      <c r="V2145" s="56" t="s">
        <v>3549</v>
      </c>
      <c r="W2145" s="56" t="s">
        <v>3548</v>
      </c>
      <c r="X2145" s="56" t="s">
        <v>3547</v>
      </c>
      <c r="Z2145" s="56" t="s">
        <v>3546</v>
      </c>
      <c r="AA2145" s="56" t="s">
        <v>4158</v>
      </c>
      <c r="AB2145" s="56" t="s">
        <v>4157</v>
      </c>
      <c r="AC2145" s="56" t="s">
        <v>3543</v>
      </c>
      <c r="AH2145" s="56" t="s">
        <v>3542</v>
      </c>
      <c r="AI2145" s="56" t="s">
        <v>3541</v>
      </c>
    </row>
    <row r="2146" spans="1:35" ht="33" customHeight="1">
      <c r="A2146" s="56" t="s">
        <v>4161</v>
      </c>
      <c r="B2146" s="57">
        <v>44366.965648148151</v>
      </c>
      <c r="C2146" s="56" t="s">
        <v>3803</v>
      </c>
      <c r="D2146" s="56" t="s">
        <v>25</v>
      </c>
      <c r="E2146" s="56" t="s">
        <v>4160</v>
      </c>
      <c r="F2146" s="56" t="s">
        <v>4159</v>
      </c>
      <c r="G2146" s="58" t="s">
        <v>3551</v>
      </c>
      <c r="H2146" s="56">
        <v>1</v>
      </c>
      <c r="I2146" s="56" t="s">
        <v>3550</v>
      </c>
      <c r="J2146" s="56">
        <v>0</v>
      </c>
      <c r="K2146" s="56">
        <v>0</v>
      </c>
      <c r="P2146" s="56">
        <v>0</v>
      </c>
      <c r="S2146" s="56">
        <v>0</v>
      </c>
      <c r="T2146" s="56" t="s">
        <v>27</v>
      </c>
      <c r="V2146" s="56" t="s">
        <v>3549</v>
      </c>
      <c r="W2146" s="56" t="s">
        <v>3548</v>
      </c>
      <c r="X2146" s="56" t="s">
        <v>3547</v>
      </c>
      <c r="Z2146" s="56" t="s">
        <v>3546</v>
      </c>
      <c r="AA2146" s="56" t="s">
        <v>4158</v>
      </c>
      <c r="AB2146" s="56" t="s">
        <v>4157</v>
      </c>
      <c r="AC2146" s="56" t="s">
        <v>3543</v>
      </c>
      <c r="AH2146" s="56" t="s">
        <v>3542</v>
      </c>
      <c r="AI2146" s="56" t="s">
        <v>3541</v>
      </c>
    </row>
    <row r="2147" spans="1:35" ht="33" customHeight="1">
      <c r="A2147" s="56" t="s">
        <v>4156</v>
      </c>
      <c r="B2147" s="57">
        <v>44366.966597222221</v>
      </c>
      <c r="C2147" s="56" t="s">
        <v>3803</v>
      </c>
      <c r="D2147" s="56" t="s">
        <v>3802</v>
      </c>
      <c r="E2147" s="56" t="s">
        <v>4155</v>
      </c>
      <c r="F2147" s="56" t="s">
        <v>4154</v>
      </c>
      <c r="G2147" s="58" t="s">
        <v>3603</v>
      </c>
      <c r="H2147" s="56">
        <v>1</v>
      </c>
      <c r="I2147" s="56" t="s">
        <v>3602</v>
      </c>
      <c r="J2147" s="56">
        <v>447</v>
      </c>
      <c r="K2147" s="56">
        <v>399</v>
      </c>
      <c r="L2147" s="56">
        <v>3311</v>
      </c>
      <c r="M2147" s="56">
        <v>0</v>
      </c>
      <c r="N2147" s="56">
        <v>0</v>
      </c>
      <c r="O2147" s="56">
        <v>100</v>
      </c>
      <c r="P2147" s="56">
        <v>0</v>
      </c>
      <c r="Q2147" s="56">
        <v>3211</v>
      </c>
      <c r="R2147" s="56">
        <v>0</v>
      </c>
      <c r="S2147" s="56">
        <v>0</v>
      </c>
      <c r="T2147" s="56" t="s">
        <v>3562</v>
      </c>
      <c r="U2147" s="56">
        <v>3211</v>
      </c>
      <c r="V2147" s="56" t="s">
        <v>3561</v>
      </c>
      <c r="W2147" s="56" t="s">
        <v>3548</v>
      </c>
      <c r="X2147" s="56" t="s">
        <v>39</v>
      </c>
      <c r="Y2147" s="56" t="s">
        <v>4153</v>
      </c>
      <c r="Z2147" s="56" t="s">
        <v>4152</v>
      </c>
      <c r="AC2147" s="56" t="s">
        <v>3543</v>
      </c>
      <c r="AD2147" s="56" t="s">
        <v>24</v>
      </c>
      <c r="AE2147" s="56" t="s">
        <v>4145</v>
      </c>
      <c r="AF2147" s="56" t="s">
        <v>4151</v>
      </c>
      <c r="AH2147" s="56" t="s">
        <v>3542</v>
      </c>
      <c r="AI2147" s="56" t="s">
        <v>3723</v>
      </c>
    </row>
    <row r="2148" spans="1:35" ht="33" customHeight="1">
      <c r="A2148" s="56" t="s">
        <v>4156</v>
      </c>
      <c r="B2148" s="57">
        <v>44366.966597222221</v>
      </c>
      <c r="C2148" s="56" t="s">
        <v>3803</v>
      </c>
      <c r="D2148" s="56" t="s">
        <v>3802</v>
      </c>
      <c r="E2148" s="56" t="s">
        <v>4155</v>
      </c>
      <c r="F2148" s="56" t="s">
        <v>4154</v>
      </c>
      <c r="G2148" s="58" t="s">
        <v>3955</v>
      </c>
      <c r="H2148" s="56">
        <v>2</v>
      </c>
      <c r="I2148" s="56" t="s">
        <v>3954</v>
      </c>
      <c r="J2148" s="56">
        <v>499</v>
      </c>
      <c r="K2148" s="56">
        <v>480</v>
      </c>
      <c r="P2148" s="56">
        <v>0</v>
      </c>
      <c r="S2148" s="56">
        <v>0</v>
      </c>
      <c r="T2148" s="56" t="s">
        <v>3562</v>
      </c>
      <c r="V2148" s="56" t="s">
        <v>3561</v>
      </c>
      <c r="W2148" s="56" t="s">
        <v>3548</v>
      </c>
      <c r="X2148" s="56" t="s">
        <v>39</v>
      </c>
      <c r="Y2148" s="56" t="s">
        <v>4153</v>
      </c>
      <c r="Z2148" s="56" t="s">
        <v>4152</v>
      </c>
      <c r="AC2148" s="56" t="s">
        <v>3543</v>
      </c>
      <c r="AD2148" s="56" t="s">
        <v>24</v>
      </c>
      <c r="AE2148" s="56" t="s">
        <v>4145</v>
      </c>
      <c r="AF2148" s="56" t="s">
        <v>4151</v>
      </c>
      <c r="AH2148" s="56" t="s">
        <v>3542</v>
      </c>
      <c r="AI2148" s="56" t="s">
        <v>3723</v>
      </c>
    </row>
    <row r="2149" spans="1:35" ht="33" customHeight="1">
      <c r="A2149" s="56" t="s">
        <v>4156</v>
      </c>
      <c r="B2149" s="57">
        <v>44366.966597222221</v>
      </c>
      <c r="C2149" s="56" t="s">
        <v>3803</v>
      </c>
      <c r="D2149" s="56" t="s">
        <v>3802</v>
      </c>
      <c r="E2149" s="56" t="s">
        <v>4155</v>
      </c>
      <c r="F2149" s="56" t="s">
        <v>4154</v>
      </c>
      <c r="G2149" s="58" t="s">
        <v>2156</v>
      </c>
      <c r="H2149" s="56">
        <v>1</v>
      </c>
      <c r="I2149" s="56" t="s">
        <v>1376</v>
      </c>
      <c r="J2149" s="56">
        <v>145</v>
      </c>
      <c r="K2149" s="56">
        <v>145</v>
      </c>
      <c r="P2149" s="56">
        <v>0</v>
      </c>
      <c r="S2149" s="56">
        <v>0</v>
      </c>
      <c r="T2149" s="56" t="s">
        <v>3562</v>
      </c>
      <c r="V2149" s="56" t="s">
        <v>3561</v>
      </c>
      <c r="W2149" s="56" t="s">
        <v>3548</v>
      </c>
      <c r="X2149" s="56" t="s">
        <v>39</v>
      </c>
      <c r="Y2149" s="56" t="s">
        <v>4153</v>
      </c>
      <c r="Z2149" s="56" t="s">
        <v>4152</v>
      </c>
      <c r="AC2149" s="56" t="s">
        <v>3543</v>
      </c>
      <c r="AD2149" s="56" t="s">
        <v>24</v>
      </c>
      <c r="AE2149" s="56" t="s">
        <v>4145</v>
      </c>
      <c r="AF2149" s="56" t="s">
        <v>4151</v>
      </c>
      <c r="AH2149" s="56" t="s">
        <v>3542</v>
      </c>
      <c r="AI2149" s="56" t="s">
        <v>3723</v>
      </c>
    </row>
    <row r="2150" spans="1:35" ht="33" customHeight="1">
      <c r="A2150" s="56" t="s">
        <v>4156</v>
      </c>
      <c r="B2150" s="57">
        <v>44366.966597222221</v>
      </c>
      <c r="C2150" s="56" t="s">
        <v>3803</v>
      </c>
      <c r="D2150" s="56" t="s">
        <v>3802</v>
      </c>
      <c r="E2150" s="56" t="s">
        <v>4155</v>
      </c>
      <c r="F2150" s="56" t="s">
        <v>4154</v>
      </c>
      <c r="G2150" s="58" t="s">
        <v>4137</v>
      </c>
      <c r="H2150" s="56">
        <v>1</v>
      </c>
      <c r="I2150" s="56" t="s">
        <v>3577</v>
      </c>
      <c r="J2150" s="56">
        <v>700</v>
      </c>
      <c r="K2150" s="56">
        <v>599</v>
      </c>
      <c r="P2150" s="56">
        <v>0</v>
      </c>
      <c r="S2150" s="56">
        <v>0</v>
      </c>
      <c r="T2150" s="56" t="s">
        <v>3562</v>
      </c>
      <c r="V2150" s="56" t="s">
        <v>3561</v>
      </c>
      <c r="W2150" s="56" t="s">
        <v>3548</v>
      </c>
      <c r="X2150" s="56" t="s">
        <v>39</v>
      </c>
      <c r="Y2150" s="56" t="s">
        <v>4153</v>
      </c>
      <c r="Z2150" s="56" t="s">
        <v>4152</v>
      </c>
      <c r="AC2150" s="56" t="s">
        <v>3543</v>
      </c>
      <c r="AD2150" s="56" t="s">
        <v>24</v>
      </c>
      <c r="AE2150" s="56" t="s">
        <v>4145</v>
      </c>
      <c r="AF2150" s="56" t="s">
        <v>4151</v>
      </c>
      <c r="AH2150" s="56" t="s">
        <v>3542</v>
      </c>
      <c r="AI2150" s="56" t="s">
        <v>3723</v>
      </c>
    </row>
    <row r="2151" spans="1:35" ht="33" customHeight="1">
      <c r="A2151" s="56" t="s">
        <v>4156</v>
      </c>
      <c r="B2151" s="57">
        <v>44366.966597222221</v>
      </c>
      <c r="C2151" s="56" t="s">
        <v>3803</v>
      </c>
      <c r="D2151" s="56" t="s">
        <v>3802</v>
      </c>
      <c r="E2151" s="56" t="s">
        <v>4155</v>
      </c>
      <c r="F2151" s="56" t="s">
        <v>4154</v>
      </c>
      <c r="G2151" s="58" t="s">
        <v>3811</v>
      </c>
      <c r="H2151" s="56">
        <v>1</v>
      </c>
      <c r="I2151" s="56" t="s">
        <v>3669</v>
      </c>
      <c r="J2151" s="56">
        <v>897</v>
      </c>
      <c r="K2151" s="56">
        <v>888</v>
      </c>
      <c r="P2151" s="56">
        <v>0</v>
      </c>
      <c r="S2151" s="56">
        <v>0</v>
      </c>
      <c r="T2151" s="56" t="s">
        <v>3562</v>
      </c>
      <c r="V2151" s="56" t="s">
        <v>3561</v>
      </c>
      <c r="W2151" s="56" t="s">
        <v>3548</v>
      </c>
      <c r="X2151" s="56" t="s">
        <v>39</v>
      </c>
      <c r="Y2151" s="56" t="s">
        <v>4153</v>
      </c>
      <c r="Z2151" s="56" t="s">
        <v>4152</v>
      </c>
      <c r="AC2151" s="56" t="s">
        <v>3543</v>
      </c>
      <c r="AD2151" s="56" t="s">
        <v>24</v>
      </c>
      <c r="AE2151" s="56" t="s">
        <v>4145</v>
      </c>
      <c r="AF2151" s="56" t="s">
        <v>4151</v>
      </c>
      <c r="AH2151" s="56" t="s">
        <v>3542</v>
      </c>
      <c r="AI2151" s="56" t="s">
        <v>3723</v>
      </c>
    </row>
    <row r="2152" spans="1:35" ht="33" customHeight="1">
      <c r="A2152" s="56" t="s">
        <v>4156</v>
      </c>
      <c r="B2152" s="57">
        <v>44366.966597222221</v>
      </c>
      <c r="C2152" s="56" t="s">
        <v>3803</v>
      </c>
      <c r="D2152" s="56" t="s">
        <v>3802</v>
      </c>
      <c r="E2152" s="56" t="s">
        <v>4155</v>
      </c>
      <c r="F2152" s="56" t="s">
        <v>4154</v>
      </c>
      <c r="G2152" s="58" t="s">
        <v>3580</v>
      </c>
      <c r="H2152" s="56">
        <v>1</v>
      </c>
      <c r="I2152" s="56" t="s">
        <v>3579</v>
      </c>
      <c r="J2152" s="56">
        <v>336</v>
      </c>
      <c r="K2152" s="56">
        <v>320</v>
      </c>
      <c r="P2152" s="56">
        <v>0</v>
      </c>
      <c r="S2152" s="56">
        <v>0</v>
      </c>
      <c r="T2152" s="56" t="s">
        <v>3562</v>
      </c>
      <c r="V2152" s="56" t="s">
        <v>3561</v>
      </c>
      <c r="W2152" s="56" t="s">
        <v>3548</v>
      </c>
      <c r="X2152" s="56" t="s">
        <v>39</v>
      </c>
      <c r="Y2152" s="56" t="s">
        <v>4153</v>
      </c>
      <c r="Z2152" s="56" t="s">
        <v>4152</v>
      </c>
      <c r="AC2152" s="56" t="s">
        <v>3543</v>
      </c>
      <c r="AD2152" s="56" t="s">
        <v>24</v>
      </c>
      <c r="AE2152" s="56" t="s">
        <v>4145</v>
      </c>
      <c r="AF2152" s="56" t="s">
        <v>4151</v>
      </c>
      <c r="AH2152" s="56" t="s">
        <v>3542</v>
      </c>
      <c r="AI2152" s="56" t="s">
        <v>3723</v>
      </c>
    </row>
    <row r="2153" spans="1:35" ht="33" customHeight="1">
      <c r="A2153" s="56" t="s">
        <v>4156</v>
      </c>
      <c r="B2153" s="57">
        <v>44366.966597222221</v>
      </c>
      <c r="C2153" s="56" t="s">
        <v>3803</v>
      </c>
      <c r="D2153" s="56" t="s">
        <v>3802</v>
      </c>
      <c r="E2153" s="56" t="s">
        <v>4155</v>
      </c>
      <c r="F2153" s="56" t="s">
        <v>4154</v>
      </c>
      <c r="G2153" s="58" t="s">
        <v>3551</v>
      </c>
      <c r="H2153" s="56">
        <v>1</v>
      </c>
      <c r="I2153" s="56" t="s">
        <v>3550</v>
      </c>
      <c r="J2153" s="56">
        <v>0</v>
      </c>
      <c r="K2153" s="56">
        <v>0</v>
      </c>
      <c r="P2153" s="56">
        <v>0</v>
      </c>
      <c r="S2153" s="56">
        <v>0</v>
      </c>
      <c r="T2153" s="56" t="s">
        <v>3562</v>
      </c>
      <c r="V2153" s="56" t="s">
        <v>3561</v>
      </c>
      <c r="W2153" s="56" t="s">
        <v>3548</v>
      </c>
      <c r="X2153" s="56" t="s">
        <v>39</v>
      </c>
      <c r="Y2153" s="56" t="s">
        <v>4153</v>
      </c>
      <c r="Z2153" s="56" t="s">
        <v>4152</v>
      </c>
      <c r="AC2153" s="56" t="s">
        <v>3543</v>
      </c>
      <c r="AD2153" s="56" t="s">
        <v>24</v>
      </c>
      <c r="AE2153" s="56" t="s">
        <v>4145</v>
      </c>
      <c r="AF2153" s="56" t="s">
        <v>4151</v>
      </c>
      <c r="AH2153" s="56" t="s">
        <v>3542</v>
      </c>
      <c r="AI2153" s="56" t="s">
        <v>3723</v>
      </c>
    </row>
    <row r="2154" spans="1:35" ht="33" customHeight="1">
      <c r="A2154" s="56" t="s">
        <v>4156</v>
      </c>
      <c r="B2154" s="57">
        <v>44366.966597222221</v>
      </c>
      <c r="C2154" s="56" t="s">
        <v>3803</v>
      </c>
      <c r="D2154" s="56" t="s">
        <v>3802</v>
      </c>
      <c r="E2154" s="56" t="s">
        <v>4155</v>
      </c>
      <c r="F2154" s="56" t="s">
        <v>4154</v>
      </c>
      <c r="G2154" s="58" t="s">
        <v>1713</v>
      </c>
      <c r="H2154" s="56">
        <v>1</v>
      </c>
      <c r="I2154" s="56" t="s">
        <v>3568</v>
      </c>
      <c r="J2154" s="56">
        <v>0</v>
      </c>
      <c r="K2154" s="56">
        <v>0</v>
      </c>
      <c r="P2154" s="56">
        <v>0</v>
      </c>
      <c r="S2154" s="56">
        <v>0</v>
      </c>
      <c r="T2154" s="56" t="s">
        <v>3562</v>
      </c>
      <c r="V2154" s="56" t="s">
        <v>3561</v>
      </c>
      <c r="W2154" s="56" t="s">
        <v>3548</v>
      </c>
      <c r="X2154" s="56" t="s">
        <v>39</v>
      </c>
      <c r="Y2154" s="56" t="s">
        <v>4153</v>
      </c>
      <c r="Z2154" s="56" t="s">
        <v>4152</v>
      </c>
      <c r="AC2154" s="56" t="s">
        <v>3543</v>
      </c>
      <c r="AD2154" s="56" t="s">
        <v>24</v>
      </c>
      <c r="AE2154" s="56" t="s">
        <v>4145</v>
      </c>
      <c r="AF2154" s="56" t="s">
        <v>4151</v>
      </c>
      <c r="AH2154" s="56" t="s">
        <v>3542</v>
      </c>
      <c r="AI2154" s="56" t="s">
        <v>3723</v>
      </c>
    </row>
    <row r="2155" spans="1:35" ht="33" customHeight="1">
      <c r="A2155" s="56" t="s">
        <v>4156</v>
      </c>
      <c r="B2155" s="57">
        <v>44366.966597222221</v>
      </c>
      <c r="C2155" s="56" t="s">
        <v>3803</v>
      </c>
      <c r="D2155" s="56" t="s">
        <v>3802</v>
      </c>
      <c r="E2155" s="56" t="s">
        <v>4155</v>
      </c>
      <c r="F2155" s="56" t="s">
        <v>4154</v>
      </c>
      <c r="G2155" s="58" t="s">
        <v>3564</v>
      </c>
      <c r="H2155" s="56">
        <v>1</v>
      </c>
      <c r="I2155" s="56" t="s">
        <v>3563</v>
      </c>
      <c r="J2155" s="56">
        <v>0</v>
      </c>
      <c r="K2155" s="56">
        <v>0</v>
      </c>
      <c r="P2155" s="56">
        <v>0</v>
      </c>
      <c r="S2155" s="56">
        <v>0</v>
      </c>
      <c r="T2155" s="56" t="s">
        <v>3562</v>
      </c>
      <c r="V2155" s="56" t="s">
        <v>3561</v>
      </c>
      <c r="W2155" s="56" t="s">
        <v>3548</v>
      </c>
      <c r="X2155" s="56" t="s">
        <v>39</v>
      </c>
      <c r="Y2155" s="56" t="s">
        <v>4153</v>
      </c>
      <c r="Z2155" s="56" t="s">
        <v>4152</v>
      </c>
      <c r="AC2155" s="56" t="s">
        <v>3543</v>
      </c>
      <c r="AD2155" s="56" t="s">
        <v>24</v>
      </c>
      <c r="AE2155" s="56" t="s">
        <v>4145</v>
      </c>
      <c r="AF2155" s="56" t="s">
        <v>4151</v>
      </c>
      <c r="AH2155" s="56" t="s">
        <v>3542</v>
      </c>
      <c r="AI2155" s="56" t="s">
        <v>3723</v>
      </c>
    </row>
    <row r="2156" spans="1:35" ht="33" customHeight="1">
      <c r="A2156" s="56" t="s">
        <v>4150</v>
      </c>
      <c r="B2156" s="57">
        <v>44366.985034722224</v>
      </c>
      <c r="C2156" s="56" t="s">
        <v>3803</v>
      </c>
      <c r="D2156" s="56" t="s">
        <v>3802</v>
      </c>
      <c r="E2156" s="56" t="s">
        <v>4149</v>
      </c>
      <c r="F2156" s="56" t="s">
        <v>4148</v>
      </c>
      <c r="G2156" s="58" t="s">
        <v>2165</v>
      </c>
      <c r="H2156" s="56">
        <v>1</v>
      </c>
      <c r="I2156" s="56" t="s">
        <v>3694</v>
      </c>
      <c r="J2156" s="56">
        <v>128</v>
      </c>
      <c r="K2156" s="56">
        <v>128</v>
      </c>
      <c r="L2156" s="56">
        <v>1108</v>
      </c>
      <c r="M2156" s="56">
        <v>0</v>
      </c>
      <c r="N2156" s="56">
        <v>0</v>
      </c>
      <c r="O2156" s="56">
        <v>100</v>
      </c>
      <c r="P2156" s="56">
        <v>0</v>
      </c>
      <c r="Q2156" s="56">
        <v>1008</v>
      </c>
      <c r="R2156" s="56">
        <v>0</v>
      </c>
      <c r="S2156" s="56">
        <v>0</v>
      </c>
      <c r="T2156" s="56" t="s">
        <v>3562</v>
      </c>
      <c r="U2156" s="56">
        <v>1008</v>
      </c>
      <c r="V2156" s="56" t="s">
        <v>3561</v>
      </c>
      <c r="W2156" s="56" t="s">
        <v>3548</v>
      </c>
      <c r="X2156" s="56" t="s">
        <v>39</v>
      </c>
      <c r="Y2156" s="56" t="s">
        <v>4147</v>
      </c>
      <c r="Z2156" s="56" t="s">
        <v>4146</v>
      </c>
      <c r="AC2156" s="56" t="s">
        <v>3543</v>
      </c>
      <c r="AD2156" s="56" t="s">
        <v>24</v>
      </c>
      <c r="AE2156" s="56" t="s">
        <v>4145</v>
      </c>
      <c r="AF2156" s="56" t="s">
        <v>4144</v>
      </c>
      <c r="AH2156" s="56" t="s">
        <v>3542</v>
      </c>
      <c r="AI2156" s="56" t="s">
        <v>3723</v>
      </c>
    </row>
    <row r="2157" spans="1:35" ht="33" customHeight="1">
      <c r="A2157" s="56" t="s">
        <v>4150</v>
      </c>
      <c r="B2157" s="57">
        <v>44366.985034722224</v>
      </c>
      <c r="C2157" s="56" t="s">
        <v>3803</v>
      </c>
      <c r="D2157" s="56" t="s">
        <v>3802</v>
      </c>
      <c r="E2157" s="56" t="s">
        <v>4149</v>
      </c>
      <c r="F2157" s="56" t="s">
        <v>4148</v>
      </c>
      <c r="G2157" s="58" t="s">
        <v>3299</v>
      </c>
      <c r="H2157" s="56">
        <v>1</v>
      </c>
      <c r="I2157" s="56" t="s">
        <v>3576</v>
      </c>
      <c r="J2157" s="56">
        <v>260</v>
      </c>
      <c r="K2157" s="56">
        <v>260</v>
      </c>
      <c r="P2157" s="56">
        <v>0</v>
      </c>
      <c r="S2157" s="56">
        <v>0</v>
      </c>
      <c r="T2157" s="56" t="s">
        <v>3562</v>
      </c>
      <c r="V2157" s="56" t="s">
        <v>3561</v>
      </c>
      <c r="W2157" s="56" t="s">
        <v>3548</v>
      </c>
      <c r="X2157" s="56" t="s">
        <v>39</v>
      </c>
      <c r="Y2157" s="56" t="s">
        <v>4147</v>
      </c>
      <c r="Z2157" s="56" t="s">
        <v>4146</v>
      </c>
      <c r="AC2157" s="56" t="s">
        <v>3543</v>
      </c>
      <c r="AD2157" s="56" t="s">
        <v>24</v>
      </c>
      <c r="AE2157" s="56" t="s">
        <v>4145</v>
      </c>
      <c r="AF2157" s="56" t="s">
        <v>4144</v>
      </c>
      <c r="AH2157" s="56" t="s">
        <v>3542</v>
      </c>
      <c r="AI2157" s="56" t="s">
        <v>3723</v>
      </c>
    </row>
    <row r="2158" spans="1:35" ht="33" customHeight="1">
      <c r="A2158" s="56" t="s">
        <v>4150</v>
      </c>
      <c r="B2158" s="57">
        <v>44366.985034722224</v>
      </c>
      <c r="C2158" s="56" t="s">
        <v>3803</v>
      </c>
      <c r="D2158" s="56" t="s">
        <v>3802</v>
      </c>
      <c r="E2158" s="56" t="s">
        <v>4149</v>
      </c>
      <c r="F2158" s="56" t="s">
        <v>4148</v>
      </c>
      <c r="G2158" s="58" t="s">
        <v>2163</v>
      </c>
      <c r="H2158" s="56">
        <v>1</v>
      </c>
      <c r="I2158" s="56" t="s">
        <v>3694</v>
      </c>
      <c r="J2158" s="56">
        <v>128</v>
      </c>
      <c r="K2158" s="56">
        <v>128</v>
      </c>
      <c r="P2158" s="56">
        <v>0</v>
      </c>
      <c r="S2158" s="56">
        <v>0</v>
      </c>
      <c r="T2158" s="56" t="s">
        <v>3562</v>
      </c>
      <c r="V2158" s="56" t="s">
        <v>3561</v>
      </c>
      <c r="W2158" s="56" t="s">
        <v>3548</v>
      </c>
      <c r="X2158" s="56" t="s">
        <v>39</v>
      </c>
      <c r="Y2158" s="56" t="s">
        <v>4147</v>
      </c>
      <c r="Z2158" s="56" t="s">
        <v>4146</v>
      </c>
      <c r="AC2158" s="56" t="s">
        <v>3543</v>
      </c>
      <c r="AD2158" s="56" t="s">
        <v>24</v>
      </c>
      <c r="AE2158" s="56" t="s">
        <v>4145</v>
      </c>
      <c r="AF2158" s="56" t="s">
        <v>4144</v>
      </c>
      <c r="AH2158" s="56" t="s">
        <v>3542</v>
      </c>
      <c r="AI2158" s="56" t="s">
        <v>3723</v>
      </c>
    </row>
    <row r="2159" spans="1:35" ht="33" customHeight="1">
      <c r="A2159" s="56" t="s">
        <v>4150</v>
      </c>
      <c r="B2159" s="57">
        <v>44366.985034722224</v>
      </c>
      <c r="C2159" s="56" t="s">
        <v>3803</v>
      </c>
      <c r="D2159" s="56" t="s">
        <v>3802</v>
      </c>
      <c r="E2159" s="56" t="s">
        <v>4149</v>
      </c>
      <c r="F2159" s="56" t="s">
        <v>4148</v>
      </c>
      <c r="G2159" s="58" t="s">
        <v>3299</v>
      </c>
      <c r="H2159" s="56">
        <v>1</v>
      </c>
      <c r="I2159" s="56" t="s">
        <v>3576</v>
      </c>
      <c r="J2159" s="56">
        <v>260</v>
      </c>
      <c r="K2159" s="56">
        <v>260</v>
      </c>
      <c r="P2159" s="56">
        <v>0</v>
      </c>
      <c r="S2159" s="56">
        <v>0</v>
      </c>
      <c r="T2159" s="56" t="s">
        <v>3562</v>
      </c>
      <c r="V2159" s="56" t="s">
        <v>3561</v>
      </c>
      <c r="W2159" s="56" t="s">
        <v>3548</v>
      </c>
      <c r="X2159" s="56" t="s">
        <v>39</v>
      </c>
      <c r="Y2159" s="56" t="s">
        <v>4147</v>
      </c>
      <c r="Z2159" s="56" t="s">
        <v>4146</v>
      </c>
      <c r="AC2159" s="56" t="s">
        <v>3543</v>
      </c>
      <c r="AD2159" s="56" t="s">
        <v>24</v>
      </c>
      <c r="AE2159" s="56" t="s">
        <v>4145</v>
      </c>
      <c r="AF2159" s="56" t="s">
        <v>4144</v>
      </c>
      <c r="AH2159" s="56" t="s">
        <v>3542</v>
      </c>
      <c r="AI2159" s="56" t="s">
        <v>3723</v>
      </c>
    </row>
    <row r="2160" spans="1:35" ht="33" customHeight="1">
      <c r="A2160" s="56" t="s">
        <v>4150</v>
      </c>
      <c r="B2160" s="57">
        <v>44366.985034722224</v>
      </c>
      <c r="C2160" s="56" t="s">
        <v>3803</v>
      </c>
      <c r="D2160" s="56" t="s">
        <v>3802</v>
      </c>
      <c r="E2160" s="56" t="s">
        <v>4149</v>
      </c>
      <c r="F2160" s="56" t="s">
        <v>4148</v>
      </c>
      <c r="G2160" s="58" t="s">
        <v>2161</v>
      </c>
      <c r="H2160" s="56">
        <v>1</v>
      </c>
      <c r="I2160" s="56" t="s">
        <v>3694</v>
      </c>
      <c r="J2160" s="56">
        <v>128</v>
      </c>
      <c r="K2160" s="56">
        <v>128</v>
      </c>
      <c r="P2160" s="56">
        <v>0</v>
      </c>
      <c r="S2160" s="56">
        <v>0</v>
      </c>
      <c r="T2160" s="56" t="s">
        <v>3562</v>
      </c>
      <c r="V2160" s="56" t="s">
        <v>3561</v>
      </c>
      <c r="W2160" s="56" t="s">
        <v>3548</v>
      </c>
      <c r="X2160" s="56" t="s">
        <v>39</v>
      </c>
      <c r="Y2160" s="56" t="s">
        <v>4147</v>
      </c>
      <c r="Z2160" s="56" t="s">
        <v>4146</v>
      </c>
      <c r="AC2160" s="56" t="s">
        <v>3543</v>
      </c>
      <c r="AD2160" s="56" t="s">
        <v>24</v>
      </c>
      <c r="AE2160" s="56" t="s">
        <v>4145</v>
      </c>
      <c r="AF2160" s="56" t="s">
        <v>4144</v>
      </c>
      <c r="AH2160" s="56" t="s">
        <v>3542</v>
      </c>
      <c r="AI2160" s="56" t="s">
        <v>3723</v>
      </c>
    </row>
    <row r="2161" spans="1:35" ht="33" customHeight="1">
      <c r="A2161" s="56" t="s">
        <v>4150</v>
      </c>
      <c r="B2161" s="57">
        <v>44366.985034722224</v>
      </c>
      <c r="C2161" s="56" t="s">
        <v>3803</v>
      </c>
      <c r="D2161" s="56" t="s">
        <v>3802</v>
      </c>
      <c r="E2161" s="56" t="s">
        <v>4149</v>
      </c>
      <c r="F2161" s="56" t="s">
        <v>4148</v>
      </c>
      <c r="G2161" s="58" t="s">
        <v>2156</v>
      </c>
      <c r="H2161" s="56">
        <v>1</v>
      </c>
      <c r="I2161" s="56" t="s">
        <v>1376</v>
      </c>
      <c r="J2161" s="56">
        <v>145</v>
      </c>
      <c r="K2161" s="56">
        <v>145</v>
      </c>
      <c r="P2161" s="56">
        <v>0</v>
      </c>
      <c r="S2161" s="56">
        <v>0</v>
      </c>
      <c r="T2161" s="56" t="s">
        <v>3562</v>
      </c>
      <c r="V2161" s="56" t="s">
        <v>3561</v>
      </c>
      <c r="W2161" s="56" t="s">
        <v>3548</v>
      </c>
      <c r="X2161" s="56" t="s">
        <v>39</v>
      </c>
      <c r="Y2161" s="56" t="s">
        <v>4147</v>
      </c>
      <c r="Z2161" s="56" t="s">
        <v>4146</v>
      </c>
      <c r="AC2161" s="56" t="s">
        <v>3543</v>
      </c>
      <c r="AD2161" s="56" t="s">
        <v>24</v>
      </c>
      <c r="AE2161" s="56" t="s">
        <v>4145</v>
      </c>
      <c r="AF2161" s="56" t="s">
        <v>4144</v>
      </c>
      <c r="AH2161" s="56" t="s">
        <v>3542</v>
      </c>
      <c r="AI2161" s="56" t="s">
        <v>3723</v>
      </c>
    </row>
    <row r="2162" spans="1:35" ht="33" customHeight="1">
      <c r="A2162" s="56" t="s">
        <v>4150</v>
      </c>
      <c r="B2162" s="57">
        <v>44366.985034722224</v>
      </c>
      <c r="C2162" s="56" t="s">
        <v>3803</v>
      </c>
      <c r="D2162" s="56" t="s">
        <v>3802</v>
      </c>
      <c r="E2162" s="56" t="s">
        <v>4149</v>
      </c>
      <c r="F2162" s="56" t="s">
        <v>4148</v>
      </c>
      <c r="G2162" s="58" t="s">
        <v>3217</v>
      </c>
      <c r="H2162" s="56">
        <v>1</v>
      </c>
      <c r="I2162" s="56" t="s">
        <v>3720</v>
      </c>
      <c r="J2162" s="56">
        <v>59</v>
      </c>
      <c r="K2162" s="56">
        <v>59</v>
      </c>
      <c r="P2162" s="56">
        <v>0</v>
      </c>
      <c r="S2162" s="56">
        <v>0</v>
      </c>
      <c r="T2162" s="56" t="s">
        <v>3562</v>
      </c>
      <c r="V2162" s="56" t="s">
        <v>3561</v>
      </c>
      <c r="W2162" s="56" t="s">
        <v>3548</v>
      </c>
      <c r="X2162" s="56" t="s">
        <v>39</v>
      </c>
      <c r="Y2162" s="56" t="s">
        <v>4147</v>
      </c>
      <c r="Z2162" s="56" t="s">
        <v>4146</v>
      </c>
      <c r="AC2162" s="56" t="s">
        <v>3543</v>
      </c>
      <c r="AD2162" s="56" t="s">
        <v>24</v>
      </c>
      <c r="AE2162" s="56" t="s">
        <v>4145</v>
      </c>
      <c r="AF2162" s="56" t="s">
        <v>4144</v>
      </c>
      <c r="AH2162" s="56" t="s">
        <v>3542</v>
      </c>
      <c r="AI2162" s="56" t="s">
        <v>3723</v>
      </c>
    </row>
    <row r="2163" spans="1:35" ht="33" customHeight="1">
      <c r="A2163" s="56" t="s">
        <v>4150</v>
      </c>
      <c r="B2163" s="57">
        <v>44366.985034722224</v>
      </c>
      <c r="C2163" s="56" t="s">
        <v>3803</v>
      </c>
      <c r="D2163" s="56" t="s">
        <v>3802</v>
      </c>
      <c r="E2163" s="56" t="s">
        <v>4149</v>
      </c>
      <c r="F2163" s="56" t="s">
        <v>4148</v>
      </c>
      <c r="G2163" s="58" t="s">
        <v>3551</v>
      </c>
      <c r="H2163" s="56">
        <v>1</v>
      </c>
      <c r="I2163" s="56" t="s">
        <v>3550</v>
      </c>
      <c r="J2163" s="56">
        <v>0</v>
      </c>
      <c r="K2163" s="56">
        <v>0</v>
      </c>
      <c r="P2163" s="56">
        <v>0</v>
      </c>
      <c r="S2163" s="56">
        <v>0</v>
      </c>
      <c r="T2163" s="56" t="s">
        <v>3562</v>
      </c>
      <c r="V2163" s="56" t="s">
        <v>3561</v>
      </c>
      <c r="W2163" s="56" t="s">
        <v>3548</v>
      </c>
      <c r="X2163" s="56" t="s">
        <v>39</v>
      </c>
      <c r="Y2163" s="56" t="s">
        <v>4147</v>
      </c>
      <c r="Z2163" s="56" t="s">
        <v>4146</v>
      </c>
      <c r="AC2163" s="56" t="s">
        <v>3543</v>
      </c>
      <c r="AD2163" s="56" t="s">
        <v>24</v>
      </c>
      <c r="AE2163" s="56" t="s">
        <v>4145</v>
      </c>
      <c r="AF2163" s="56" t="s">
        <v>4144</v>
      </c>
      <c r="AH2163" s="56" t="s">
        <v>3542</v>
      </c>
      <c r="AI2163" s="56" t="s">
        <v>3723</v>
      </c>
    </row>
    <row r="2164" spans="1:35" ht="33" customHeight="1">
      <c r="A2164" s="56" t="s">
        <v>4150</v>
      </c>
      <c r="B2164" s="57">
        <v>44366.985034722224</v>
      </c>
      <c r="C2164" s="56" t="s">
        <v>3803</v>
      </c>
      <c r="D2164" s="56" t="s">
        <v>3802</v>
      </c>
      <c r="E2164" s="56" t="s">
        <v>4149</v>
      </c>
      <c r="F2164" s="56" t="s">
        <v>4148</v>
      </c>
      <c r="G2164" s="58" t="s">
        <v>1498</v>
      </c>
      <c r="H2164" s="56">
        <v>1</v>
      </c>
      <c r="I2164" s="56" t="s">
        <v>4016</v>
      </c>
      <c r="J2164" s="56">
        <v>0</v>
      </c>
      <c r="K2164" s="56">
        <v>0</v>
      </c>
      <c r="P2164" s="56">
        <v>0</v>
      </c>
      <c r="S2164" s="56">
        <v>0</v>
      </c>
      <c r="T2164" s="56" t="s">
        <v>3562</v>
      </c>
      <c r="V2164" s="56" t="s">
        <v>3561</v>
      </c>
      <c r="W2164" s="56" t="s">
        <v>3548</v>
      </c>
      <c r="X2164" s="56" t="s">
        <v>39</v>
      </c>
      <c r="Y2164" s="56" t="s">
        <v>4147</v>
      </c>
      <c r="Z2164" s="56" t="s">
        <v>4146</v>
      </c>
      <c r="AC2164" s="56" t="s">
        <v>3543</v>
      </c>
      <c r="AD2164" s="56" t="s">
        <v>24</v>
      </c>
      <c r="AE2164" s="56" t="s">
        <v>4145</v>
      </c>
      <c r="AF2164" s="56" t="s">
        <v>4144</v>
      </c>
      <c r="AH2164" s="56" t="s">
        <v>3542</v>
      </c>
      <c r="AI2164" s="56" t="s">
        <v>3723</v>
      </c>
    </row>
    <row r="2165" spans="1:35" ht="33" customHeight="1">
      <c r="A2165" s="56" t="s">
        <v>4143</v>
      </c>
      <c r="B2165" s="57">
        <v>44367.020555555559</v>
      </c>
      <c r="C2165" s="56" t="s">
        <v>3803</v>
      </c>
      <c r="D2165" s="56" t="s">
        <v>3802</v>
      </c>
      <c r="E2165" s="56" t="s">
        <v>4142</v>
      </c>
      <c r="F2165" s="56" t="s">
        <v>4141</v>
      </c>
      <c r="G2165" s="58" t="s">
        <v>3654</v>
      </c>
      <c r="H2165" s="56">
        <v>1</v>
      </c>
      <c r="I2165" s="56" t="s">
        <v>3653</v>
      </c>
      <c r="J2165" s="56">
        <v>447</v>
      </c>
      <c r="K2165" s="56">
        <v>430</v>
      </c>
      <c r="L2165" s="56">
        <v>1133</v>
      </c>
      <c r="M2165" s="56">
        <v>0</v>
      </c>
      <c r="N2165" s="56">
        <v>0</v>
      </c>
      <c r="O2165" s="56">
        <v>114</v>
      </c>
      <c r="P2165" s="56">
        <v>0</v>
      </c>
      <c r="Q2165" s="56">
        <v>1019</v>
      </c>
      <c r="R2165" s="56">
        <v>0</v>
      </c>
      <c r="S2165" s="56">
        <v>0</v>
      </c>
      <c r="T2165" s="56" t="s">
        <v>3562</v>
      </c>
      <c r="U2165" s="56">
        <v>1019</v>
      </c>
      <c r="V2165" s="56" t="s">
        <v>59</v>
      </c>
      <c r="W2165" s="56" t="s">
        <v>3548</v>
      </c>
      <c r="X2165" s="56" t="s">
        <v>39</v>
      </c>
      <c r="Y2165" s="56" t="s">
        <v>4140</v>
      </c>
      <c r="Z2165" s="56" t="s">
        <v>4139</v>
      </c>
      <c r="AC2165" s="56" t="s">
        <v>3543</v>
      </c>
      <c r="AD2165" s="56" t="s">
        <v>24</v>
      </c>
      <c r="AE2165" s="56" t="s">
        <v>3862</v>
      </c>
      <c r="AF2165" s="56" t="s">
        <v>4138</v>
      </c>
      <c r="AH2165" s="56" t="s">
        <v>3542</v>
      </c>
      <c r="AI2165" s="56" t="s">
        <v>3723</v>
      </c>
    </row>
    <row r="2166" spans="1:35" ht="33" customHeight="1">
      <c r="A2166" s="56" t="s">
        <v>4143</v>
      </c>
      <c r="B2166" s="57">
        <v>44367.020555555559</v>
      </c>
      <c r="C2166" s="56" t="s">
        <v>3803</v>
      </c>
      <c r="D2166" s="56" t="s">
        <v>3802</v>
      </c>
      <c r="E2166" s="56" t="s">
        <v>4142</v>
      </c>
      <c r="F2166" s="56" t="s">
        <v>4141</v>
      </c>
      <c r="G2166" s="58" t="s">
        <v>1510</v>
      </c>
      <c r="H2166" s="56">
        <v>1</v>
      </c>
      <c r="I2166" s="56" t="s">
        <v>359</v>
      </c>
      <c r="J2166" s="56">
        <v>295</v>
      </c>
      <c r="K2166" s="56">
        <v>295</v>
      </c>
      <c r="P2166" s="56">
        <v>0</v>
      </c>
      <c r="S2166" s="56">
        <v>0</v>
      </c>
      <c r="T2166" s="56" t="s">
        <v>3562</v>
      </c>
      <c r="V2166" s="56" t="s">
        <v>59</v>
      </c>
      <c r="W2166" s="56" t="s">
        <v>3548</v>
      </c>
      <c r="X2166" s="56" t="s">
        <v>39</v>
      </c>
      <c r="Y2166" s="56" t="s">
        <v>4140</v>
      </c>
      <c r="Z2166" s="56" t="s">
        <v>4139</v>
      </c>
      <c r="AC2166" s="56" t="s">
        <v>3543</v>
      </c>
      <c r="AD2166" s="56" t="s">
        <v>24</v>
      </c>
      <c r="AE2166" s="56" t="s">
        <v>3862</v>
      </c>
      <c r="AF2166" s="56" t="s">
        <v>4138</v>
      </c>
      <c r="AH2166" s="56" t="s">
        <v>3542</v>
      </c>
      <c r="AI2166" s="56" t="s">
        <v>3723</v>
      </c>
    </row>
    <row r="2167" spans="1:35" ht="33" customHeight="1">
      <c r="A2167" s="56" t="s">
        <v>4143</v>
      </c>
      <c r="B2167" s="57">
        <v>44367.020555555559</v>
      </c>
      <c r="C2167" s="56" t="s">
        <v>3803</v>
      </c>
      <c r="D2167" s="56" t="s">
        <v>3802</v>
      </c>
      <c r="E2167" s="56" t="s">
        <v>4142</v>
      </c>
      <c r="F2167" s="56" t="s">
        <v>4141</v>
      </c>
      <c r="G2167" s="58" t="s">
        <v>1506</v>
      </c>
      <c r="H2167" s="56">
        <v>1</v>
      </c>
      <c r="I2167" s="56" t="s">
        <v>3696</v>
      </c>
      <c r="J2167" s="56">
        <v>299</v>
      </c>
      <c r="K2167" s="56">
        <v>299</v>
      </c>
      <c r="P2167" s="56">
        <v>0</v>
      </c>
      <c r="S2167" s="56">
        <v>0</v>
      </c>
      <c r="T2167" s="56" t="s">
        <v>3562</v>
      </c>
      <c r="V2167" s="56" t="s">
        <v>59</v>
      </c>
      <c r="W2167" s="56" t="s">
        <v>3548</v>
      </c>
      <c r="X2167" s="56" t="s">
        <v>39</v>
      </c>
      <c r="Y2167" s="56" t="s">
        <v>4140</v>
      </c>
      <c r="Z2167" s="56" t="s">
        <v>4139</v>
      </c>
      <c r="AC2167" s="56" t="s">
        <v>3543</v>
      </c>
      <c r="AD2167" s="56" t="s">
        <v>24</v>
      </c>
      <c r="AE2167" s="56" t="s">
        <v>3862</v>
      </c>
      <c r="AF2167" s="56" t="s">
        <v>4138</v>
      </c>
      <c r="AH2167" s="56" t="s">
        <v>3542</v>
      </c>
      <c r="AI2167" s="56" t="s">
        <v>3723</v>
      </c>
    </row>
    <row r="2168" spans="1:35" ht="33" customHeight="1">
      <c r="A2168" s="56" t="s">
        <v>4143</v>
      </c>
      <c r="B2168" s="57">
        <v>44367.020555555559</v>
      </c>
      <c r="C2168" s="56" t="s">
        <v>3803</v>
      </c>
      <c r="D2168" s="56" t="s">
        <v>3802</v>
      </c>
      <c r="E2168" s="56" t="s">
        <v>4142</v>
      </c>
      <c r="F2168" s="56" t="s">
        <v>4141</v>
      </c>
      <c r="G2168" s="58" t="s">
        <v>2165</v>
      </c>
      <c r="H2168" s="56">
        <v>1</v>
      </c>
      <c r="I2168" s="56" t="s">
        <v>3721</v>
      </c>
      <c r="J2168" s="56">
        <v>109</v>
      </c>
      <c r="K2168" s="56">
        <v>109</v>
      </c>
      <c r="P2168" s="56">
        <v>0</v>
      </c>
      <c r="S2168" s="56">
        <v>0</v>
      </c>
      <c r="T2168" s="56" t="s">
        <v>3562</v>
      </c>
      <c r="V2168" s="56" t="s">
        <v>59</v>
      </c>
      <c r="W2168" s="56" t="s">
        <v>3548</v>
      </c>
      <c r="X2168" s="56" t="s">
        <v>39</v>
      </c>
      <c r="Y2168" s="56" t="s">
        <v>4140</v>
      </c>
      <c r="Z2168" s="56" t="s">
        <v>4139</v>
      </c>
      <c r="AC2168" s="56" t="s">
        <v>3543</v>
      </c>
      <c r="AD2168" s="56" t="s">
        <v>24</v>
      </c>
      <c r="AE2168" s="56" t="s">
        <v>3862</v>
      </c>
      <c r="AF2168" s="56" t="s">
        <v>4138</v>
      </c>
      <c r="AH2168" s="56" t="s">
        <v>3542</v>
      </c>
      <c r="AI2168" s="56" t="s">
        <v>3723</v>
      </c>
    </row>
    <row r="2169" spans="1:35" ht="33" customHeight="1">
      <c r="A2169" s="56" t="s">
        <v>4143</v>
      </c>
      <c r="B2169" s="57">
        <v>44367.020555555559</v>
      </c>
      <c r="C2169" s="56" t="s">
        <v>3803</v>
      </c>
      <c r="D2169" s="56" t="s">
        <v>3802</v>
      </c>
      <c r="E2169" s="56" t="s">
        <v>4142</v>
      </c>
      <c r="F2169" s="56" t="s">
        <v>4141</v>
      </c>
      <c r="G2169" s="58" t="s">
        <v>3551</v>
      </c>
      <c r="H2169" s="56">
        <v>1</v>
      </c>
      <c r="I2169" s="56" t="s">
        <v>3550</v>
      </c>
      <c r="J2169" s="56">
        <v>0</v>
      </c>
      <c r="K2169" s="56">
        <v>0</v>
      </c>
      <c r="P2169" s="56">
        <v>0</v>
      </c>
      <c r="S2169" s="56">
        <v>0</v>
      </c>
      <c r="T2169" s="56" t="s">
        <v>3562</v>
      </c>
      <c r="V2169" s="56" t="s">
        <v>59</v>
      </c>
      <c r="W2169" s="56" t="s">
        <v>3548</v>
      </c>
      <c r="X2169" s="56" t="s">
        <v>39</v>
      </c>
      <c r="Y2169" s="56" t="s">
        <v>4140</v>
      </c>
      <c r="Z2169" s="56" t="s">
        <v>4139</v>
      </c>
      <c r="AC2169" s="56" t="s">
        <v>3543</v>
      </c>
      <c r="AD2169" s="56" t="s">
        <v>24</v>
      </c>
      <c r="AE2169" s="56" t="s">
        <v>3862</v>
      </c>
      <c r="AF2169" s="56" t="s">
        <v>4138</v>
      </c>
      <c r="AH2169" s="56" t="s">
        <v>3542</v>
      </c>
      <c r="AI2169" s="56" t="s">
        <v>3723</v>
      </c>
    </row>
    <row r="2170" spans="1:35" ht="33" customHeight="1">
      <c r="A2170" s="56" t="s">
        <v>4136</v>
      </c>
      <c r="B2170" s="57">
        <v>44367.021736111114</v>
      </c>
      <c r="C2170" s="56" t="s">
        <v>3803</v>
      </c>
      <c r="D2170" s="56" t="s">
        <v>3802</v>
      </c>
      <c r="E2170" s="56" t="s">
        <v>4135</v>
      </c>
      <c r="F2170" s="56" t="s">
        <v>4134</v>
      </c>
      <c r="G2170" s="58" t="s">
        <v>4137</v>
      </c>
      <c r="H2170" s="56">
        <v>1</v>
      </c>
      <c r="I2170" s="56" t="s">
        <v>3577</v>
      </c>
      <c r="J2170" s="56">
        <v>700</v>
      </c>
      <c r="K2170" s="56">
        <v>599</v>
      </c>
      <c r="L2170" s="56">
        <v>1049</v>
      </c>
      <c r="M2170" s="56">
        <v>0</v>
      </c>
      <c r="N2170" s="56">
        <v>0</v>
      </c>
      <c r="O2170" s="56">
        <v>105</v>
      </c>
      <c r="P2170" s="56">
        <v>0</v>
      </c>
      <c r="Q2170" s="56">
        <v>944</v>
      </c>
      <c r="R2170" s="56">
        <v>0</v>
      </c>
      <c r="S2170" s="56">
        <v>0</v>
      </c>
      <c r="T2170" s="56" t="s">
        <v>3562</v>
      </c>
      <c r="U2170" s="56">
        <v>944</v>
      </c>
      <c r="V2170" s="56" t="s">
        <v>3561</v>
      </c>
      <c r="W2170" s="56" t="s">
        <v>3548</v>
      </c>
      <c r="X2170" s="56" t="s">
        <v>39</v>
      </c>
      <c r="Y2170" s="56" t="s">
        <v>4133</v>
      </c>
      <c r="Z2170" s="56" t="s">
        <v>4132</v>
      </c>
      <c r="AC2170" s="56" t="s">
        <v>3543</v>
      </c>
      <c r="AD2170" s="56" t="s">
        <v>24</v>
      </c>
      <c r="AE2170" s="56" t="s">
        <v>3862</v>
      </c>
      <c r="AF2170" s="56" t="s">
        <v>4131</v>
      </c>
      <c r="AH2170" s="56" t="s">
        <v>3542</v>
      </c>
      <c r="AI2170" s="56" t="s">
        <v>3723</v>
      </c>
    </row>
    <row r="2171" spans="1:35" ht="33" customHeight="1">
      <c r="A2171" s="56" t="s">
        <v>4136</v>
      </c>
      <c r="B2171" s="57">
        <v>44367.021736111114</v>
      </c>
      <c r="C2171" s="56" t="s">
        <v>3803</v>
      </c>
      <c r="D2171" s="56" t="s">
        <v>3802</v>
      </c>
      <c r="E2171" s="56" t="s">
        <v>4135</v>
      </c>
      <c r="F2171" s="56" t="s">
        <v>4134</v>
      </c>
      <c r="G2171" s="58" t="s">
        <v>3747</v>
      </c>
      <c r="H2171" s="56">
        <v>1</v>
      </c>
      <c r="I2171" s="56" t="s">
        <v>3746</v>
      </c>
      <c r="J2171" s="56">
        <v>660</v>
      </c>
      <c r="K2171" s="56">
        <v>450</v>
      </c>
      <c r="P2171" s="56">
        <v>0</v>
      </c>
      <c r="S2171" s="56">
        <v>0</v>
      </c>
      <c r="T2171" s="56" t="s">
        <v>3562</v>
      </c>
      <c r="V2171" s="56" t="s">
        <v>3561</v>
      </c>
      <c r="W2171" s="56" t="s">
        <v>3548</v>
      </c>
      <c r="X2171" s="56" t="s">
        <v>39</v>
      </c>
      <c r="Y2171" s="56" t="s">
        <v>4133</v>
      </c>
      <c r="Z2171" s="56" t="s">
        <v>4132</v>
      </c>
      <c r="AC2171" s="56" t="s">
        <v>3543</v>
      </c>
      <c r="AD2171" s="56" t="s">
        <v>24</v>
      </c>
      <c r="AE2171" s="56" t="s">
        <v>3862</v>
      </c>
      <c r="AF2171" s="56" t="s">
        <v>4131</v>
      </c>
      <c r="AH2171" s="56" t="s">
        <v>3542</v>
      </c>
      <c r="AI2171" s="56" t="s">
        <v>3723</v>
      </c>
    </row>
    <row r="2172" spans="1:35" ht="33" customHeight="1">
      <c r="A2172" s="56" t="s">
        <v>4136</v>
      </c>
      <c r="B2172" s="57">
        <v>44367.021736111114</v>
      </c>
      <c r="C2172" s="56" t="s">
        <v>3803</v>
      </c>
      <c r="D2172" s="56" t="s">
        <v>3802</v>
      </c>
      <c r="E2172" s="56" t="s">
        <v>4135</v>
      </c>
      <c r="F2172" s="56" t="s">
        <v>4134</v>
      </c>
      <c r="G2172" s="58" t="s">
        <v>3551</v>
      </c>
      <c r="H2172" s="56">
        <v>1</v>
      </c>
      <c r="I2172" s="56" t="s">
        <v>3550</v>
      </c>
      <c r="J2172" s="56">
        <v>0</v>
      </c>
      <c r="K2172" s="56">
        <v>0</v>
      </c>
      <c r="P2172" s="56">
        <v>0</v>
      </c>
      <c r="S2172" s="56">
        <v>0</v>
      </c>
      <c r="T2172" s="56" t="s">
        <v>3562</v>
      </c>
      <c r="V2172" s="56" t="s">
        <v>3561</v>
      </c>
      <c r="W2172" s="56" t="s">
        <v>3548</v>
      </c>
      <c r="X2172" s="56" t="s">
        <v>39</v>
      </c>
      <c r="Y2172" s="56" t="s">
        <v>4133</v>
      </c>
      <c r="Z2172" s="56" t="s">
        <v>4132</v>
      </c>
      <c r="AC2172" s="56" t="s">
        <v>3543</v>
      </c>
      <c r="AD2172" s="56" t="s">
        <v>24</v>
      </c>
      <c r="AE2172" s="56" t="s">
        <v>3862</v>
      </c>
      <c r="AF2172" s="56" t="s">
        <v>4131</v>
      </c>
      <c r="AH2172" s="56" t="s">
        <v>3542</v>
      </c>
      <c r="AI2172" s="56" t="s">
        <v>3723</v>
      </c>
    </row>
    <row r="2173" spans="1:35" ht="33" customHeight="1">
      <c r="A2173" s="56" t="s">
        <v>4129</v>
      </c>
      <c r="B2173" s="57">
        <v>44367.049305555556</v>
      </c>
      <c r="C2173" s="56" t="s">
        <v>3803</v>
      </c>
      <c r="D2173" s="56" t="s">
        <v>25</v>
      </c>
      <c r="E2173" s="56" t="s">
        <v>4128</v>
      </c>
      <c r="F2173" s="56" t="s">
        <v>4127</v>
      </c>
      <c r="G2173" s="58" t="s">
        <v>4130</v>
      </c>
      <c r="H2173" s="56">
        <v>1</v>
      </c>
      <c r="I2173" s="56" t="s">
        <v>3731</v>
      </c>
      <c r="J2173" s="56">
        <v>867</v>
      </c>
      <c r="K2173" s="56">
        <v>550</v>
      </c>
      <c r="L2173" s="56">
        <v>1137</v>
      </c>
      <c r="M2173" s="56">
        <v>0</v>
      </c>
      <c r="N2173" s="56">
        <v>17</v>
      </c>
      <c r="O2173" s="56">
        <v>112</v>
      </c>
      <c r="P2173" s="56">
        <v>0</v>
      </c>
      <c r="Q2173" s="56">
        <v>1008</v>
      </c>
      <c r="R2173" s="56">
        <v>0</v>
      </c>
      <c r="S2173" s="56">
        <v>0</v>
      </c>
      <c r="T2173" s="56" t="s">
        <v>27</v>
      </c>
      <c r="U2173" s="56">
        <v>1008</v>
      </c>
      <c r="V2173" s="56" t="s">
        <v>3612</v>
      </c>
      <c r="W2173" s="56" t="s">
        <v>3548</v>
      </c>
      <c r="X2173" s="56" t="s">
        <v>3611</v>
      </c>
      <c r="Z2173" s="56" t="s">
        <v>3546</v>
      </c>
      <c r="AA2173" s="56" t="s">
        <v>4126</v>
      </c>
      <c r="AB2173" s="56" t="s">
        <v>4125</v>
      </c>
      <c r="AC2173" s="56" t="s">
        <v>3543</v>
      </c>
      <c r="AH2173" s="56" t="s">
        <v>3542</v>
      </c>
      <c r="AI2173" s="56" t="s">
        <v>3541</v>
      </c>
    </row>
    <row r="2174" spans="1:35" ht="33" customHeight="1">
      <c r="A2174" s="56" t="s">
        <v>4129</v>
      </c>
      <c r="B2174" s="57">
        <v>44367.049305555556</v>
      </c>
      <c r="C2174" s="56" t="s">
        <v>3803</v>
      </c>
      <c r="D2174" s="56" t="s">
        <v>25</v>
      </c>
      <c r="E2174" s="56" t="s">
        <v>4128</v>
      </c>
      <c r="F2174" s="56" t="s">
        <v>4127</v>
      </c>
      <c r="G2174" s="58" t="s">
        <v>3217</v>
      </c>
      <c r="H2174" s="56">
        <v>1</v>
      </c>
      <c r="I2174" s="56" t="s">
        <v>3720</v>
      </c>
      <c r="J2174" s="56">
        <v>59</v>
      </c>
      <c r="K2174" s="56">
        <v>59</v>
      </c>
      <c r="P2174" s="56">
        <v>0</v>
      </c>
      <c r="S2174" s="56">
        <v>0</v>
      </c>
      <c r="T2174" s="56" t="s">
        <v>27</v>
      </c>
      <c r="V2174" s="56" t="s">
        <v>3612</v>
      </c>
      <c r="W2174" s="56" t="s">
        <v>3548</v>
      </c>
      <c r="X2174" s="56" t="s">
        <v>3611</v>
      </c>
      <c r="Z2174" s="56" t="s">
        <v>3546</v>
      </c>
      <c r="AA2174" s="56" t="s">
        <v>4126</v>
      </c>
      <c r="AB2174" s="56" t="s">
        <v>4125</v>
      </c>
      <c r="AC2174" s="56" t="s">
        <v>3543</v>
      </c>
      <c r="AH2174" s="56" t="s">
        <v>3542</v>
      </c>
      <c r="AI2174" s="56" t="s">
        <v>3541</v>
      </c>
    </row>
    <row r="2175" spans="1:35" ht="33" customHeight="1">
      <c r="A2175" s="56" t="s">
        <v>4129</v>
      </c>
      <c r="B2175" s="57">
        <v>44367.049305555556</v>
      </c>
      <c r="C2175" s="56" t="s">
        <v>3803</v>
      </c>
      <c r="D2175" s="56" t="s">
        <v>25</v>
      </c>
      <c r="E2175" s="56" t="s">
        <v>4128</v>
      </c>
      <c r="F2175" s="56" t="s">
        <v>4127</v>
      </c>
      <c r="G2175" s="58" t="s">
        <v>3580</v>
      </c>
      <c r="H2175" s="56">
        <v>1</v>
      </c>
      <c r="I2175" s="56" t="s">
        <v>3579</v>
      </c>
      <c r="J2175" s="56">
        <v>336</v>
      </c>
      <c r="K2175" s="56">
        <v>320</v>
      </c>
      <c r="P2175" s="56">
        <v>0</v>
      </c>
      <c r="S2175" s="56">
        <v>0</v>
      </c>
      <c r="T2175" s="56" t="s">
        <v>27</v>
      </c>
      <c r="V2175" s="56" t="s">
        <v>3612</v>
      </c>
      <c r="W2175" s="56" t="s">
        <v>3548</v>
      </c>
      <c r="X2175" s="56" t="s">
        <v>3611</v>
      </c>
      <c r="Z2175" s="56" t="s">
        <v>3546</v>
      </c>
      <c r="AA2175" s="56" t="s">
        <v>4126</v>
      </c>
      <c r="AB2175" s="56" t="s">
        <v>4125</v>
      </c>
      <c r="AC2175" s="56" t="s">
        <v>3543</v>
      </c>
      <c r="AH2175" s="56" t="s">
        <v>3542</v>
      </c>
      <c r="AI2175" s="56" t="s">
        <v>3541</v>
      </c>
    </row>
    <row r="2176" spans="1:35" ht="33" customHeight="1">
      <c r="A2176" s="56" t="s">
        <v>4129</v>
      </c>
      <c r="B2176" s="57">
        <v>44367.049305555556</v>
      </c>
      <c r="C2176" s="56" t="s">
        <v>3803</v>
      </c>
      <c r="D2176" s="56" t="s">
        <v>25</v>
      </c>
      <c r="E2176" s="56" t="s">
        <v>4128</v>
      </c>
      <c r="F2176" s="56" t="s">
        <v>4127</v>
      </c>
      <c r="G2176" s="58" t="s">
        <v>1713</v>
      </c>
      <c r="H2176" s="56">
        <v>1</v>
      </c>
      <c r="I2176" s="56" t="s">
        <v>3587</v>
      </c>
      <c r="J2176" s="56">
        <v>149</v>
      </c>
      <c r="K2176" s="56">
        <v>149</v>
      </c>
      <c r="P2176" s="56">
        <v>0</v>
      </c>
      <c r="S2176" s="56">
        <v>0</v>
      </c>
      <c r="T2176" s="56" t="s">
        <v>27</v>
      </c>
      <c r="V2176" s="56" t="s">
        <v>3612</v>
      </c>
      <c r="W2176" s="56" t="s">
        <v>3548</v>
      </c>
      <c r="X2176" s="56" t="s">
        <v>3611</v>
      </c>
      <c r="Z2176" s="56" t="s">
        <v>3546</v>
      </c>
      <c r="AA2176" s="56" t="s">
        <v>4126</v>
      </c>
      <c r="AB2176" s="56" t="s">
        <v>4125</v>
      </c>
      <c r="AC2176" s="56" t="s">
        <v>3543</v>
      </c>
      <c r="AH2176" s="56" t="s">
        <v>3542</v>
      </c>
      <c r="AI2176" s="56" t="s">
        <v>3541</v>
      </c>
    </row>
    <row r="2177" spans="1:35" ht="33" customHeight="1">
      <c r="A2177" s="56" t="s">
        <v>4129</v>
      </c>
      <c r="B2177" s="57">
        <v>44367.049305555556</v>
      </c>
      <c r="C2177" s="56" t="s">
        <v>3803</v>
      </c>
      <c r="D2177" s="56" t="s">
        <v>25</v>
      </c>
      <c r="E2177" s="56" t="s">
        <v>4128</v>
      </c>
      <c r="F2177" s="56" t="s">
        <v>4127</v>
      </c>
      <c r="G2177" s="58" t="s">
        <v>3222</v>
      </c>
      <c r="H2177" s="56">
        <v>1</v>
      </c>
      <c r="I2177" s="56" t="s">
        <v>3712</v>
      </c>
      <c r="J2177" s="56">
        <v>59</v>
      </c>
      <c r="K2177" s="56">
        <v>59</v>
      </c>
      <c r="P2177" s="56">
        <v>0</v>
      </c>
      <c r="S2177" s="56">
        <v>0</v>
      </c>
      <c r="T2177" s="56" t="s">
        <v>27</v>
      </c>
      <c r="V2177" s="56" t="s">
        <v>3612</v>
      </c>
      <c r="W2177" s="56" t="s">
        <v>3548</v>
      </c>
      <c r="X2177" s="56" t="s">
        <v>3611</v>
      </c>
      <c r="Z2177" s="56" t="s">
        <v>3546</v>
      </c>
      <c r="AA2177" s="56" t="s">
        <v>4126</v>
      </c>
      <c r="AB2177" s="56" t="s">
        <v>4125</v>
      </c>
      <c r="AC2177" s="56" t="s">
        <v>3543</v>
      </c>
      <c r="AH2177" s="56" t="s">
        <v>3542</v>
      </c>
      <c r="AI2177" s="56" t="s">
        <v>3541</v>
      </c>
    </row>
    <row r="2178" spans="1:35" ht="33" customHeight="1">
      <c r="A2178" s="56" t="s">
        <v>4129</v>
      </c>
      <c r="B2178" s="57">
        <v>44367.049305555556</v>
      </c>
      <c r="C2178" s="56" t="s">
        <v>3803</v>
      </c>
      <c r="D2178" s="56" t="s">
        <v>25</v>
      </c>
      <c r="E2178" s="56" t="s">
        <v>4128</v>
      </c>
      <c r="F2178" s="56" t="s">
        <v>4127</v>
      </c>
      <c r="G2178" s="58" t="s">
        <v>3551</v>
      </c>
      <c r="H2178" s="56">
        <v>1</v>
      </c>
      <c r="I2178" s="56" t="s">
        <v>3550</v>
      </c>
      <c r="J2178" s="56">
        <v>0</v>
      </c>
      <c r="K2178" s="56">
        <v>0</v>
      </c>
      <c r="P2178" s="56">
        <v>0</v>
      </c>
      <c r="S2178" s="56">
        <v>0</v>
      </c>
      <c r="T2178" s="56" t="s">
        <v>27</v>
      </c>
      <c r="V2178" s="56" t="s">
        <v>3612</v>
      </c>
      <c r="W2178" s="56" t="s">
        <v>3548</v>
      </c>
      <c r="X2178" s="56" t="s">
        <v>3611</v>
      </c>
      <c r="Z2178" s="56" t="s">
        <v>3546</v>
      </c>
      <c r="AA2178" s="56" t="s">
        <v>4126</v>
      </c>
      <c r="AB2178" s="56" t="s">
        <v>4125</v>
      </c>
      <c r="AC2178" s="56" t="s">
        <v>3543</v>
      </c>
      <c r="AH2178" s="56" t="s">
        <v>3542</v>
      </c>
      <c r="AI2178" s="56" t="s">
        <v>3541</v>
      </c>
    </row>
    <row r="2179" spans="1:35" ht="33" customHeight="1">
      <c r="A2179" s="56" t="s">
        <v>4129</v>
      </c>
      <c r="B2179" s="57">
        <v>44367.049305555556</v>
      </c>
      <c r="C2179" s="56" t="s">
        <v>3803</v>
      </c>
      <c r="D2179" s="56" t="s">
        <v>25</v>
      </c>
      <c r="E2179" s="56" t="s">
        <v>4128</v>
      </c>
      <c r="F2179" s="56" t="s">
        <v>4127</v>
      </c>
      <c r="G2179" s="58" t="s">
        <v>1498</v>
      </c>
      <c r="H2179" s="56">
        <v>1</v>
      </c>
      <c r="I2179" s="56" t="s">
        <v>4016</v>
      </c>
      <c r="J2179" s="56">
        <v>0</v>
      </c>
      <c r="K2179" s="56">
        <v>0</v>
      </c>
      <c r="P2179" s="56">
        <v>0</v>
      </c>
      <c r="S2179" s="56">
        <v>0</v>
      </c>
      <c r="T2179" s="56" t="s">
        <v>27</v>
      </c>
      <c r="V2179" s="56" t="s">
        <v>3612</v>
      </c>
      <c r="W2179" s="56" t="s">
        <v>3548</v>
      </c>
      <c r="X2179" s="56" t="s">
        <v>3611</v>
      </c>
      <c r="Z2179" s="56" t="s">
        <v>3546</v>
      </c>
      <c r="AA2179" s="56" t="s">
        <v>4126</v>
      </c>
      <c r="AB2179" s="56" t="s">
        <v>4125</v>
      </c>
      <c r="AC2179" s="56" t="s">
        <v>3543</v>
      </c>
      <c r="AH2179" s="56" t="s">
        <v>3542</v>
      </c>
      <c r="AI2179" s="56" t="s">
        <v>3541</v>
      </c>
    </row>
    <row r="2180" spans="1:35" ht="33" customHeight="1">
      <c r="A2180" s="56" t="s">
        <v>4122</v>
      </c>
      <c r="B2180" s="57">
        <v>44367.065266203703</v>
      </c>
      <c r="C2180" s="56" t="s">
        <v>3803</v>
      </c>
      <c r="D2180" s="56" t="s">
        <v>25</v>
      </c>
      <c r="E2180" s="56" t="s">
        <v>4121</v>
      </c>
      <c r="F2180" s="56" t="s">
        <v>4120</v>
      </c>
      <c r="G2180" s="58" t="s">
        <v>3580</v>
      </c>
      <c r="H2180" s="56">
        <v>1</v>
      </c>
      <c r="I2180" s="56" t="s">
        <v>3579</v>
      </c>
      <c r="J2180" s="56">
        <v>336</v>
      </c>
      <c r="K2180" s="56">
        <v>320</v>
      </c>
      <c r="L2180" s="56">
        <v>1188</v>
      </c>
      <c r="M2180" s="56">
        <v>0</v>
      </c>
      <c r="N2180" s="56">
        <v>0</v>
      </c>
      <c r="O2180" s="56">
        <v>100</v>
      </c>
      <c r="P2180" s="56">
        <v>0</v>
      </c>
      <c r="Q2180" s="56">
        <v>1088</v>
      </c>
      <c r="R2180" s="56">
        <v>0</v>
      </c>
      <c r="S2180" s="56">
        <v>0</v>
      </c>
      <c r="T2180" s="56" t="s">
        <v>27</v>
      </c>
      <c r="U2180" s="56">
        <v>1088</v>
      </c>
      <c r="V2180" s="56" t="s">
        <v>3549</v>
      </c>
      <c r="W2180" s="56" t="s">
        <v>3548</v>
      </c>
      <c r="X2180" s="56" t="s">
        <v>3547</v>
      </c>
      <c r="Z2180" s="56" t="s">
        <v>3546</v>
      </c>
      <c r="AA2180" s="56" t="s">
        <v>4119</v>
      </c>
      <c r="AB2180" s="56" t="s">
        <v>4118</v>
      </c>
      <c r="AC2180" s="56" t="s">
        <v>3543</v>
      </c>
      <c r="AH2180" s="56" t="s">
        <v>3542</v>
      </c>
      <c r="AI2180" s="56" t="s">
        <v>3541</v>
      </c>
    </row>
    <row r="2181" spans="1:35" ht="33" customHeight="1">
      <c r="A2181" s="56" t="s">
        <v>4122</v>
      </c>
      <c r="B2181" s="57">
        <v>44367.065266203703</v>
      </c>
      <c r="C2181" s="56" t="s">
        <v>3803</v>
      </c>
      <c r="D2181" s="56" t="s">
        <v>25</v>
      </c>
      <c r="E2181" s="56" t="s">
        <v>4121</v>
      </c>
      <c r="F2181" s="56" t="s">
        <v>4120</v>
      </c>
      <c r="G2181" s="58" t="s">
        <v>4124</v>
      </c>
      <c r="H2181" s="56">
        <v>1</v>
      </c>
      <c r="I2181" s="56" t="s">
        <v>4123</v>
      </c>
      <c r="J2181" s="56">
        <v>478</v>
      </c>
      <c r="K2181" s="56">
        <v>460</v>
      </c>
      <c r="P2181" s="56">
        <v>0</v>
      </c>
      <c r="S2181" s="56">
        <v>0</v>
      </c>
      <c r="T2181" s="56" t="s">
        <v>27</v>
      </c>
      <c r="V2181" s="56" t="s">
        <v>3549</v>
      </c>
      <c r="W2181" s="56" t="s">
        <v>3548</v>
      </c>
      <c r="X2181" s="56" t="s">
        <v>3547</v>
      </c>
      <c r="Z2181" s="56" t="s">
        <v>3546</v>
      </c>
      <c r="AA2181" s="56" t="s">
        <v>4119</v>
      </c>
      <c r="AB2181" s="56" t="s">
        <v>4118</v>
      </c>
      <c r="AC2181" s="56" t="s">
        <v>3543</v>
      </c>
      <c r="AH2181" s="56" t="s">
        <v>3542</v>
      </c>
      <c r="AI2181" s="56" t="s">
        <v>3541</v>
      </c>
    </row>
    <row r="2182" spans="1:35" ht="33" customHeight="1">
      <c r="A2182" s="56" t="s">
        <v>4122</v>
      </c>
      <c r="B2182" s="57">
        <v>44367.065266203703</v>
      </c>
      <c r="C2182" s="56" t="s">
        <v>3803</v>
      </c>
      <c r="D2182" s="56" t="s">
        <v>25</v>
      </c>
      <c r="E2182" s="56" t="s">
        <v>4121</v>
      </c>
      <c r="F2182" s="56" t="s">
        <v>4120</v>
      </c>
      <c r="G2182" s="58" t="s">
        <v>1508</v>
      </c>
      <c r="H2182" s="56">
        <v>1</v>
      </c>
      <c r="I2182" s="56" t="s">
        <v>3696</v>
      </c>
      <c r="J2182" s="56">
        <v>299</v>
      </c>
      <c r="K2182" s="56">
        <v>299</v>
      </c>
      <c r="P2182" s="56">
        <v>0</v>
      </c>
      <c r="S2182" s="56">
        <v>0</v>
      </c>
      <c r="T2182" s="56" t="s">
        <v>27</v>
      </c>
      <c r="V2182" s="56" t="s">
        <v>3549</v>
      </c>
      <c r="W2182" s="56" t="s">
        <v>3548</v>
      </c>
      <c r="X2182" s="56" t="s">
        <v>3547</v>
      </c>
      <c r="Z2182" s="56" t="s">
        <v>3546</v>
      </c>
      <c r="AA2182" s="56" t="s">
        <v>4119</v>
      </c>
      <c r="AB2182" s="56" t="s">
        <v>4118</v>
      </c>
      <c r="AC2182" s="56" t="s">
        <v>3543</v>
      </c>
      <c r="AH2182" s="56" t="s">
        <v>3542</v>
      </c>
      <c r="AI2182" s="56" t="s">
        <v>3541</v>
      </c>
    </row>
    <row r="2183" spans="1:35" ht="33" customHeight="1">
      <c r="A2183" s="56" t="s">
        <v>4122</v>
      </c>
      <c r="B2183" s="57">
        <v>44367.065266203703</v>
      </c>
      <c r="C2183" s="56" t="s">
        <v>3803</v>
      </c>
      <c r="D2183" s="56" t="s">
        <v>25</v>
      </c>
      <c r="E2183" s="56" t="s">
        <v>4121</v>
      </c>
      <c r="F2183" s="56" t="s">
        <v>4120</v>
      </c>
      <c r="G2183" s="58" t="s">
        <v>2165</v>
      </c>
      <c r="H2183" s="56">
        <v>1</v>
      </c>
      <c r="I2183" s="56" t="s">
        <v>3721</v>
      </c>
      <c r="J2183" s="56">
        <v>109</v>
      </c>
      <c r="K2183" s="56">
        <v>109</v>
      </c>
      <c r="P2183" s="56">
        <v>0</v>
      </c>
      <c r="S2183" s="56">
        <v>0</v>
      </c>
      <c r="T2183" s="56" t="s">
        <v>27</v>
      </c>
      <c r="V2183" s="56" t="s">
        <v>3549</v>
      </c>
      <c r="W2183" s="56" t="s">
        <v>3548</v>
      </c>
      <c r="X2183" s="56" t="s">
        <v>3547</v>
      </c>
      <c r="Z2183" s="56" t="s">
        <v>3546</v>
      </c>
      <c r="AA2183" s="56" t="s">
        <v>4119</v>
      </c>
      <c r="AB2183" s="56" t="s">
        <v>4118</v>
      </c>
      <c r="AC2183" s="56" t="s">
        <v>3543</v>
      </c>
      <c r="AH2183" s="56" t="s">
        <v>3542</v>
      </c>
      <c r="AI2183" s="56" t="s">
        <v>3541</v>
      </c>
    </row>
    <row r="2184" spans="1:35" ht="33" customHeight="1">
      <c r="A2184" s="56" t="s">
        <v>4122</v>
      </c>
      <c r="B2184" s="57">
        <v>44367.065266203703</v>
      </c>
      <c r="C2184" s="56" t="s">
        <v>3803</v>
      </c>
      <c r="D2184" s="56" t="s">
        <v>25</v>
      </c>
      <c r="E2184" s="56" t="s">
        <v>4121</v>
      </c>
      <c r="F2184" s="56" t="s">
        <v>4120</v>
      </c>
      <c r="G2184" s="58" t="s">
        <v>3551</v>
      </c>
      <c r="H2184" s="56">
        <v>1</v>
      </c>
      <c r="I2184" s="56" t="s">
        <v>3550</v>
      </c>
      <c r="J2184" s="56">
        <v>0</v>
      </c>
      <c r="K2184" s="56">
        <v>0</v>
      </c>
      <c r="P2184" s="56">
        <v>0</v>
      </c>
      <c r="S2184" s="56">
        <v>0</v>
      </c>
      <c r="T2184" s="56" t="s">
        <v>27</v>
      </c>
      <c r="V2184" s="56" t="s">
        <v>3549</v>
      </c>
      <c r="W2184" s="56" t="s">
        <v>3548</v>
      </c>
      <c r="X2184" s="56" t="s">
        <v>3547</v>
      </c>
      <c r="Z2184" s="56" t="s">
        <v>3546</v>
      </c>
      <c r="AA2184" s="56" t="s">
        <v>4119</v>
      </c>
      <c r="AB2184" s="56" t="s">
        <v>4118</v>
      </c>
      <c r="AC2184" s="56" t="s">
        <v>3543</v>
      </c>
      <c r="AH2184" s="56" t="s">
        <v>3542</v>
      </c>
      <c r="AI2184" s="56" t="s">
        <v>3541</v>
      </c>
    </row>
    <row r="2185" spans="1:35" ht="33" customHeight="1">
      <c r="A2185" s="56" t="s">
        <v>4117</v>
      </c>
      <c r="B2185" s="57">
        <v>44367.0700462963</v>
      </c>
      <c r="C2185" s="56" t="s">
        <v>3803</v>
      </c>
      <c r="D2185" s="56" t="s">
        <v>25</v>
      </c>
      <c r="E2185" s="56" t="s">
        <v>4116</v>
      </c>
      <c r="F2185" s="56" t="s">
        <v>4115</v>
      </c>
      <c r="G2185" s="58" t="s">
        <v>3942</v>
      </c>
      <c r="H2185" s="56">
        <v>1</v>
      </c>
      <c r="I2185" s="56" t="s">
        <v>3941</v>
      </c>
      <c r="J2185" s="56">
        <v>840</v>
      </c>
      <c r="K2185" s="56">
        <v>750</v>
      </c>
      <c r="L2185" s="56">
        <v>750</v>
      </c>
      <c r="M2185" s="56">
        <v>65</v>
      </c>
      <c r="N2185" s="56">
        <v>0</v>
      </c>
      <c r="O2185" s="56">
        <v>0</v>
      </c>
      <c r="P2185" s="56">
        <v>0</v>
      </c>
      <c r="Q2185" s="56">
        <v>815</v>
      </c>
      <c r="R2185" s="56">
        <v>0</v>
      </c>
      <c r="S2185" s="56">
        <v>0</v>
      </c>
      <c r="T2185" s="56" t="s">
        <v>27</v>
      </c>
      <c r="U2185" s="56">
        <v>815</v>
      </c>
      <c r="V2185" s="56" t="s">
        <v>3612</v>
      </c>
      <c r="W2185" s="56" t="s">
        <v>3548</v>
      </c>
      <c r="X2185" s="56" t="s">
        <v>3611</v>
      </c>
      <c r="Z2185" s="56" t="s">
        <v>3546</v>
      </c>
      <c r="AA2185" s="56" t="s">
        <v>4114</v>
      </c>
      <c r="AB2185" s="56" t="s">
        <v>4113</v>
      </c>
      <c r="AC2185" s="56" t="s">
        <v>3543</v>
      </c>
      <c r="AH2185" s="56" t="s">
        <v>3542</v>
      </c>
      <c r="AI2185" s="56" t="s">
        <v>3541</v>
      </c>
    </row>
    <row r="2186" spans="1:35" ht="33" customHeight="1">
      <c r="A2186" s="56" t="s">
        <v>4117</v>
      </c>
      <c r="B2186" s="57">
        <v>44367.0700462963</v>
      </c>
      <c r="C2186" s="56" t="s">
        <v>3803</v>
      </c>
      <c r="D2186" s="56" t="s">
        <v>25</v>
      </c>
      <c r="E2186" s="56" t="s">
        <v>4116</v>
      </c>
      <c r="F2186" s="56" t="s">
        <v>4115</v>
      </c>
      <c r="G2186" s="58" t="s">
        <v>3551</v>
      </c>
      <c r="H2186" s="56">
        <v>1</v>
      </c>
      <c r="I2186" s="56" t="s">
        <v>3550</v>
      </c>
      <c r="J2186" s="56">
        <v>0</v>
      </c>
      <c r="K2186" s="56">
        <v>0</v>
      </c>
      <c r="P2186" s="56">
        <v>0</v>
      </c>
      <c r="S2186" s="56">
        <v>0</v>
      </c>
      <c r="T2186" s="56" t="s">
        <v>27</v>
      </c>
      <c r="V2186" s="56" t="s">
        <v>3612</v>
      </c>
      <c r="W2186" s="56" t="s">
        <v>3548</v>
      </c>
      <c r="X2186" s="56" t="s">
        <v>3611</v>
      </c>
      <c r="Z2186" s="56" t="s">
        <v>3546</v>
      </c>
      <c r="AA2186" s="56" t="s">
        <v>4114</v>
      </c>
      <c r="AB2186" s="56" t="s">
        <v>4113</v>
      </c>
      <c r="AC2186" s="56" t="s">
        <v>3543</v>
      </c>
      <c r="AH2186" s="56" t="s">
        <v>3542</v>
      </c>
      <c r="AI2186" s="56" t="s">
        <v>3541</v>
      </c>
    </row>
    <row r="2187" spans="1:35" ht="33" customHeight="1">
      <c r="A2187" s="56" t="s">
        <v>4112</v>
      </c>
      <c r="B2187" s="57">
        <v>44367.081122685187</v>
      </c>
      <c r="C2187" s="56" t="s">
        <v>3803</v>
      </c>
      <c r="D2187" s="56" t="s">
        <v>25</v>
      </c>
      <c r="E2187" s="56" t="s">
        <v>4111</v>
      </c>
      <c r="F2187" s="56" t="s">
        <v>4110</v>
      </c>
      <c r="G2187" s="58" t="s">
        <v>3811</v>
      </c>
      <c r="H2187" s="56">
        <v>1</v>
      </c>
      <c r="I2187" s="56" t="s">
        <v>3669</v>
      </c>
      <c r="J2187" s="56">
        <v>897</v>
      </c>
      <c r="K2187" s="56">
        <v>888</v>
      </c>
      <c r="L2187" s="56">
        <v>1187</v>
      </c>
      <c r="M2187" s="56">
        <v>0</v>
      </c>
      <c r="N2187" s="56">
        <v>0</v>
      </c>
      <c r="O2187" s="56">
        <v>100</v>
      </c>
      <c r="P2187" s="56">
        <v>0</v>
      </c>
      <c r="Q2187" s="56">
        <v>1087</v>
      </c>
      <c r="R2187" s="56">
        <v>0</v>
      </c>
      <c r="S2187" s="56">
        <v>0</v>
      </c>
      <c r="T2187" s="56" t="s">
        <v>27</v>
      </c>
      <c r="U2187" s="56">
        <v>1087</v>
      </c>
      <c r="V2187" s="56" t="s">
        <v>3549</v>
      </c>
      <c r="W2187" s="56" t="s">
        <v>3548</v>
      </c>
      <c r="X2187" s="56" t="s">
        <v>3547</v>
      </c>
      <c r="Z2187" s="56" t="s">
        <v>3546</v>
      </c>
      <c r="AA2187" s="56" t="s">
        <v>4109</v>
      </c>
      <c r="AB2187" s="56" t="s">
        <v>4108</v>
      </c>
      <c r="AC2187" s="56" t="s">
        <v>3543</v>
      </c>
      <c r="AH2187" s="56" t="s">
        <v>3542</v>
      </c>
      <c r="AI2187" s="56" t="s">
        <v>3541</v>
      </c>
    </row>
    <row r="2188" spans="1:35" ht="33" customHeight="1">
      <c r="A2188" s="56" t="s">
        <v>4112</v>
      </c>
      <c r="B2188" s="57">
        <v>44367.081122685187</v>
      </c>
      <c r="C2188" s="56" t="s">
        <v>3803</v>
      </c>
      <c r="D2188" s="56" t="s">
        <v>25</v>
      </c>
      <c r="E2188" s="56" t="s">
        <v>4111</v>
      </c>
      <c r="F2188" s="56" t="s">
        <v>4110</v>
      </c>
      <c r="G2188" s="58" t="s">
        <v>1508</v>
      </c>
      <c r="H2188" s="56">
        <v>1</v>
      </c>
      <c r="I2188" s="56" t="s">
        <v>3696</v>
      </c>
      <c r="J2188" s="56">
        <v>299</v>
      </c>
      <c r="K2188" s="56">
        <v>299</v>
      </c>
      <c r="P2188" s="56">
        <v>0</v>
      </c>
      <c r="S2188" s="56">
        <v>0</v>
      </c>
      <c r="T2188" s="56" t="s">
        <v>27</v>
      </c>
      <c r="V2188" s="56" t="s">
        <v>3549</v>
      </c>
      <c r="W2188" s="56" t="s">
        <v>3548</v>
      </c>
      <c r="X2188" s="56" t="s">
        <v>3547</v>
      </c>
      <c r="Z2188" s="56" t="s">
        <v>3546</v>
      </c>
      <c r="AA2188" s="56" t="s">
        <v>4109</v>
      </c>
      <c r="AB2188" s="56" t="s">
        <v>4108</v>
      </c>
      <c r="AC2188" s="56" t="s">
        <v>3543</v>
      </c>
      <c r="AH2188" s="56" t="s">
        <v>3542</v>
      </c>
      <c r="AI2188" s="56" t="s">
        <v>3541</v>
      </c>
    </row>
    <row r="2189" spans="1:35" ht="33" customHeight="1">
      <c r="A2189" s="56" t="s">
        <v>4112</v>
      </c>
      <c r="B2189" s="57">
        <v>44367.081122685187</v>
      </c>
      <c r="C2189" s="56" t="s">
        <v>3803</v>
      </c>
      <c r="D2189" s="56" t="s">
        <v>25</v>
      </c>
      <c r="E2189" s="56" t="s">
        <v>4111</v>
      </c>
      <c r="F2189" s="56" t="s">
        <v>4110</v>
      </c>
      <c r="G2189" s="58" t="s">
        <v>3551</v>
      </c>
      <c r="H2189" s="56">
        <v>1</v>
      </c>
      <c r="I2189" s="56" t="s">
        <v>3550</v>
      </c>
      <c r="J2189" s="56">
        <v>0</v>
      </c>
      <c r="K2189" s="56">
        <v>0</v>
      </c>
      <c r="P2189" s="56">
        <v>0</v>
      </c>
      <c r="S2189" s="56">
        <v>0</v>
      </c>
      <c r="T2189" s="56" t="s">
        <v>27</v>
      </c>
      <c r="V2189" s="56" t="s">
        <v>3549</v>
      </c>
      <c r="W2189" s="56" t="s">
        <v>3548</v>
      </c>
      <c r="X2189" s="56" t="s">
        <v>3547</v>
      </c>
      <c r="Z2189" s="56" t="s">
        <v>3546</v>
      </c>
      <c r="AA2189" s="56" t="s">
        <v>4109</v>
      </c>
      <c r="AB2189" s="56" t="s">
        <v>4108</v>
      </c>
      <c r="AC2189" s="56" t="s">
        <v>3543</v>
      </c>
      <c r="AH2189" s="56" t="s">
        <v>3542</v>
      </c>
      <c r="AI2189" s="56" t="s">
        <v>3541</v>
      </c>
    </row>
    <row r="2190" spans="1:35" ht="33" customHeight="1">
      <c r="A2190" s="56" t="s">
        <v>4107</v>
      </c>
      <c r="B2190" s="57">
        <v>44367.107233796298</v>
      </c>
      <c r="C2190" s="56" t="s">
        <v>3803</v>
      </c>
      <c r="D2190" s="56" t="s">
        <v>25</v>
      </c>
      <c r="E2190" s="56" t="s">
        <v>4106</v>
      </c>
      <c r="F2190" s="56" t="s">
        <v>4105</v>
      </c>
      <c r="G2190" s="58" t="s">
        <v>3811</v>
      </c>
      <c r="H2190" s="56">
        <v>1</v>
      </c>
      <c r="I2190" s="56" t="s">
        <v>3669</v>
      </c>
      <c r="J2190" s="56">
        <v>897</v>
      </c>
      <c r="K2190" s="56">
        <v>888</v>
      </c>
      <c r="L2190" s="56">
        <v>1296</v>
      </c>
      <c r="M2190" s="56">
        <v>0</v>
      </c>
      <c r="N2190" s="56">
        <v>0</v>
      </c>
      <c r="O2190" s="56">
        <v>130</v>
      </c>
      <c r="P2190" s="56">
        <v>0</v>
      </c>
      <c r="Q2190" s="56">
        <v>1166</v>
      </c>
      <c r="R2190" s="56">
        <v>0</v>
      </c>
      <c r="S2190" s="56">
        <v>0</v>
      </c>
      <c r="T2190" s="56" t="s">
        <v>27</v>
      </c>
      <c r="U2190" s="56">
        <v>1166</v>
      </c>
      <c r="V2190" s="56" t="s">
        <v>3612</v>
      </c>
      <c r="W2190" s="56" t="s">
        <v>3548</v>
      </c>
      <c r="X2190" s="56" t="s">
        <v>3611</v>
      </c>
      <c r="Z2190" s="56" t="s">
        <v>3546</v>
      </c>
      <c r="AA2190" s="56" t="s">
        <v>4104</v>
      </c>
      <c r="AB2190" s="56" t="s">
        <v>4103</v>
      </c>
      <c r="AC2190" s="56" t="s">
        <v>3543</v>
      </c>
      <c r="AH2190" s="56" t="s">
        <v>3542</v>
      </c>
      <c r="AI2190" s="56" t="s">
        <v>3541</v>
      </c>
    </row>
    <row r="2191" spans="1:35" ht="33" customHeight="1">
      <c r="A2191" s="56" t="s">
        <v>4107</v>
      </c>
      <c r="B2191" s="57">
        <v>44367.107233796298</v>
      </c>
      <c r="C2191" s="56" t="s">
        <v>3803</v>
      </c>
      <c r="D2191" s="56" t="s">
        <v>25</v>
      </c>
      <c r="E2191" s="56" t="s">
        <v>4106</v>
      </c>
      <c r="F2191" s="56" t="s">
        <v>4105</v>
      </c>
      <c r="G2191" s="58" t="s">
        <v>1510</v>
      </c>
      <c r="H2191" s="56">
        <v>1</v>
      </c>
      <c r="I2191" s="56" t="s">
        <v>3696</v>
      </c>
      <c r="J2191" s="56">
        <v>299</v>
      </c>
      <c r="K2191" s="56">
        <v>299</v>
      </c>
      <c r="P2191" s="56">
        <v>0</v>
      </c>
      <c r="S2191" s="56">
        <v>0</v>
      </c>
      <c r="T2191" s="56" t="s">
        <v>27</v>
      </c>
      <c r="V2191" s="56" t="s">
        <v>3612</v>
      </c>
      <c r="W2191" s="56" t="s">
        <v>3548</v>
      </c>
      <c r="X2191" s="56" t="s">
        <v>3611</v>
      </c>
      <c r="Z2191" s="56" t="s">
        <v>3546</v>
      </c>
      <c r="AA2191" s="56" t="s">
        <v>4104</v>
      </c>
      <c r="AB2191" s="56" t="s">
        <v>4103</v>
      </c>
      <c r="AC2191" s="56" t="s">
        <v>3543</v>
      </c>
      <c r="AH2191" s="56" t="s">
        <v>3542</v>
      </c>
      <c r="AI2191" s="56" t="s">
        <v>3541</v>
      </c>
    </row>
    <row r="2192" spans="1:35" ht="33" customHeight="1">
      <c r="A2192" s="56" t="s">
        <v>4107</v>
      </c>
      <c r="B2192" s="57">
        <v>44367.107233796298</v>
      </c>
      <c r="C2192" s="56" t="s">
        <v>3803</v>
      </c>
      <c r="D2192" s="56" t="s">
        <v>25</v>
      </c>
      <c r="E2192" s="56" t="s">
        <v>4106</v>
      </c>
      <c r="F2192" s="56" t="s">
        <v>4105</v>
      </c>
      <c r="G2192" s="58" t="s">
        <v>2165</v>
      </c>
      <c r="H2192" s="56">
        <v>1</v>
      </c>
      <c r="I2192" s="56" t="s">
        <v>3721</v>
      </c>
      <c r="J2192" s="56">
        <v>109</v>
      </c>
      <c r="K2192" s="56">
        <v>109</v>
      </c>
      <c r="P2192" s="56">
        <v>0</v>
      </c>
      <c r="S2192" s="56">
        <v>0</v>
      </c>
      <c r="T2192" s="56" t="s">
        <v>27</v>
      </c>
      <c r="V2192" s="56" t="s">
        <v>3612</v>
      </c>
      <c r="W2192" s="56" t="s">
        <v>3548</v>
      </c>
      <c r="X2192" s="56" t="s">
        <v>3611</v>
      </c>
      <c r="Z2192" s="56" t="s">
        <v>3546</v>
      </c>
      <c r="AA2192" s="56" t="s">
        <v>4104</v>
      </c>
      <c r="AB2192" s="56" t="s">
        <v>4103</v>
      </c>
      <c r="AC2192" s="56" t="s">
        <v>3543</v>
      </c>
      <c r="AH2192" s="56" t="s">
        <v>3542</v>
      </c>
      <c r="AI2192" s="56" t="s">
        <v>3541</v>
      </c>
    </row>
    <row r="2193" spans="1:35" ht="33" customHeight="1">
      <c r="A2193" s="56" t="s">
        <v>4107</v>
      </c>
      <c r="B2193" s="57">
        <v>44367.107233796298</v>
      </c>
      <c r="C2193" s="56" t="s">
        <v>3803</v>
      </c>
      <c r="D2193" s="56" t="s">
        <v>25</v>
      </c>
      <c r="E2193" s="56" t="s">
        <v>4106</v>
      </c>
      <c r="F2193" s="56" t="s">
        <v>4105</v>
      </c>
      <c r="G2193" s="58" t="s">
        <v>3551</v>
      </c>
      <c r="H2193" s="56">
        <v>1</v>
      </c>
      <c r="I2193" s="56" t="s">
        <v>3550</v>
      </c>
      <c r="J2193" s="56">
        <v>0</v>
      </c>
      <c r="K2193" s="56">
        <v>0</v>
      </c>
      <c r="P2193" s="56">
        <v>0</v>
      </c>
      <c r="S2193" s="56">
        <v>0</v>
      </c>
      <c r="T2193" s="56" t="s">
        <v>27</v>
      </c>
      <c r="V2193" s="56" t="s">
        <v>3612</v>
      </c>
      <c r="W2193" s="56" t="s">
        <v>3548</v>
      </c>
      <c r="X2193" s="56" t="s">
        <v>3611</v>
      </c>
      <c r="Z2193" s="56" t="s">
        <v>3546</v>
      </c>
      <c r="AA2193" s="56" t="s">
        <v>4104</v>
      </c>
      <c r="AB2193" s="56" t="s">
        <v>4103</v>
      </c>
      <c r="AC2193" s="56" t="s">
        <v>3543</v>
      </c>
      <c r="AH2193" s="56" t="s">
        <v>3542</v>
      </c>
      <c r="AI2193" s="56" t="s">
        <v>3541</v>
      </c>
    </row>
    <row r="2194" spans="1:35" ht="33" customHeight="1">
      <c r="A2194" s="56" t="s">
        <v>4102</v>
      </c>
      <c r="B2194" s="57">
        <v>44367.128287037034</v>
      </c>
      <c r="C2194" s="56" t="s">
        <v>3803</v>
      </c>
      <c r="D2194" s="56" t="s">
        <v>25</v>
      </c>
      <c r="E2194" s="56" t="s">
        <v>4101</v>
      </c>
      <c r="F2194" s="56" t="s">
        <v>4100</v>
      </c>
      <c r="G2194" s="58" t="s">
        <v>3174</v>
      </c>
      <c r="H2194" s="56">
        <v>4</v>
      </c>
      <c r="I2194" s="56" t="s">
        <v>3791</v>
      </c>
      <c r="J2194" s="56">
        <v>299</v>
      </c>
      <c r="K2194" s="56">
        <v>299</v>
      </c>
      <c r="L2194" s="56">
        <v>1196</v>
      </c>
      <c r="M2194" s="56">
        <v>0</v>
      </c>
      <c r="N2194" s="56">
        <v>0</v>
      </c>
      <c r="O2194" s="56">
        <v>100</v>
      </c>
      <c r="P2194" s="56">
        <v>0</v>
      </c>
      <c r="Q2194" s="56">
        <v>1096</v>
      </c>
      <c r="R2194" s="56">
        <v>0</v>
      </c>
      <c r="S2194" s="56">
        <v>0</v>
      </c>
      <c r="T2194" s="56" t="s">
        <v>27</v>
      </c>
      <c r="U2194" s="56">
        <v>1096</v>
      </c>
      <c r="V2194" s="56" t="s">
        <v>3612</v>
      </c>
      <c r="W2194" s="56" t="s">
        <v>3548</v>
      </c>
      <c r="X2194" s="56" t="s">
        <v>3611</v>
      </c>
      <c r="Z2194" s="56" t="s">
        <v>3546</v>
      </c>
      <c r="AA2194" s="56" t="s">
        <v>4099</v>
      </c>
      <c r="AB2194" s="56" t="s">
        <v>4098</v>
      </c>
      <c r="AC2194" s="56" t="s">
        <v>3842</v>
      </c>
      <c r="AH2194" s="56" t="s">
        <v>3542</v>
      </c>
      <c r="AI2194" s="56" t="s">
        <v>3541</v>
      </c>
    </row>
    <row r="2195" spans="1:35" ht="33" customHeight="1">
      <c r="A2195" s="56" t="s">
        <v>4102</v>
      </c>
      <c r="B2195" s="57">
        <v>44367.128287037034</v>
      </c>
      <c r="C2195" s="56" t="s">
        <v>3803</v>
      </c>
      <c r="D2195" s="56" t="s">
        <v>25</v>
      </c>
      <c r="E2195" s="56" t="s">
        <v>4101</v>
      </c>
      <c r="F2195" s="56" t="s">
        <v>4100</v>
      </c>
      <c r="G2195" s="58" t="s">
        <v>3551</v>
      </c>
      <c r="H2195" s="56">
        <v>1</v>
      </c>
      <c r="I2195" s="56" t="s">
        <v>3550</v>
      </c>
      <c r="J2195" s="56">
        <v>0</v>
      </c>
      <c r="K2195" s="56">
        <v>0</v>
      </c>
      <c r="P2195" s="56">
        <v>0</v>
      </c>
      <c r="S2195" s="56">
        <v>0</v>
      </c>
      <c r="T2195" s="56" t="s">
        <v>27</v>
      </c>
      <c r="V2195" s="56" t="s">
        <v>3612</v>
      </c>
      <c r="W2195" s="56" t="s">
        <v>3548</v>
      </c>
      <c r="X2195" s="56" t="s">
        <v>3611</v>
      </c>
      <c r="Z2195" s="56" t="s">
        <v>3546</v>
      </c>
      <c r="AA2195" s="56" t="s">
        <v>4099</v>
      </c>
      <c r="AB2195" s="56" t="s">
        <v>4098</v>
      </c>
      <c r="AC2195" s="56" t="s">
        <v>3842</v>
      </c>
      <c r="AH2195" s="56" t="s">
        <v>3542</v>
      </c>
      <c r="AI2195" s="56" t="s">
        <v>3541</v>
      </c>
    </row>
    <row r="2196" spans="1:35" ht="33" customHeight="1">
      <c r="A2196" s="56" t="s">
        <v>4097</v>
      </c>
      <c r="B2196" s="57">
        <v>44367.164467592593</v>
      </c>
      <c r="C2196" s="56" t="s">
        <v>3803</v>
      </c>
      <c r="D2196" s="56" t="s">
        <v>25</v>
      </c>
      <c r="E2196" s="56" t="s">
        <v>4096</v>
      </c>
      <c r="F2196" s="56" t="s">
        <v>4095</v>
      </c>
      <c r="G2196" s="58" t="s">
        <v>3196</v>
      </c>
      <c r="H2196" s="56">
        <v>3</v>
      </c>
      <c r="I2196" s="56" t="s">
        <v>2550</v>
      </c>
      <c r="J2196" s="56">
        <v>120</v>
      </c>
      <c r="K2196" s="56">
        <v>120</v>
      </c>
      <c r="L2196" s="56">
        <v>620</v>
      </c>
      <c r="M2196" s="56">
        <v>65</v>
      </c>
      <c r="N2196" s="56">
        <v>0</v>
      </c>
      <c r="O2196" s="56">
        <v>0</v>
      </c>
      <c r="P2196" s="56">
        <v>0</v>
      </c>
      <c r="Q2196" s="56">
        <v>685</v>
      </c>
      <c r="R2196" s="56">
        <v>0</v>
      </c>
      <c r="S2196" s="56">
        <v>0</v>
      </c>
      <c r="T2196" s="56" t="s">
        <v>3562</v>
      </c>
      <c r="U2196" s="56">
        <v>685</v>
      </c>
      <c r="V2196" s="56" t="s">
        <v>3561</v>
      </c>
      <c r="W2196" s="56" t="s">
        <v>3548</v>
      </c>
      <c r="X2196" s="56" t="s">
        <v>3765</v>
      </c>
      <c r="Z2196" s="56" t="s">
        <v>3546</v>
      </c>
      <c r="AA2196" s="56" t="s">
        <v>4094</v>
      </c>
      <c r="AB2196" s="56" t="s">
        <v>4093</v>
      </c>
      <c r="AC2196" s="56" t="s">
        <v>3543</v>
      </c>
      <c r="AD2196" s="56" t="s">
        <v>24</v>
      </c>
      <c r="AE2196" s="56" t="s">
        <v>3862</v>
      </c>
      <c r="AF2196" s="56" t="s">
        <v>4092</v>
      </c>
      <c r="AH2196" s="56" t="s">
        <v>3542</v>
      </c>
      <c r="AI2196" s="56" t="s">
        <v>3723</v>
      </c>
    </row>
    <row r="2197" spans="1:35" ht="33" customHeight="1">
      <c r="A2197" s="56" t="s">
        <v>4097</v>
      </c>
      <c r="B2197" s="57">
        <v>44367.164467592593</v>
      </c>
      <c r="C2197" s="56" t="s">
        <v>3803</v>
      </c>
      <c r="D2197" s="56" t="s">
        <v>25</v>
      </c>
      <c r="E2197" s="56" t="s">
        <v>4096</v>
      </c>
      <c r="F2197" s="56" t="s">
        <v>4095</v>
      </c>
      <c r="G2197" s="58" t="s">
        <v>3299</v>
      </c>
      <c r="H2197" s="56">
        <v>1</v>
      </c>
      <c r="I2197" s="56" t="s">
        <v>3576</v>
      </c>
      <c r="J2197" s="56">
        <v>260</v>
      </c>
      <c r="K2197" s="56">
        <v>260</v>
      </c>
      <c r="P2197" s="56">
        <v>0</v>
      </c>
      <c r="S2197" s="56">
        <v>0</v>
      </c>
      <c r="T2197" s="56" t="s">
        <v>3562</v>
      </c>
      <c r="V2197" s="56" t="s">
        <v>3561</v>
      </c>
      <c r="W2197" s="56" t="s">
        <v>3548</v>
      </c>
      <c r="X2197" s="56" t="s">
        <v>3765</v>
      </c>
      <c r="Z2197" s="56" t="s">
        <v>3546</v>
      </c>
      <c r="AA2197" s="56" t="s">
        <v>4094</v>
      </c>
      <c r="AB2197" s="56" t="s">
        <v>4093</v>
      </c>
      <c r="AC2197" s="56" t="s">
        <v>3543</v>
      </c>
      <c r="AD2197" s="56" t="s">
        <v>24</v>
      </c>
      <c r="AE2197" s="56" t="s">
        <v>3862</v>
      </c>
      <c r="AF2197" s="56" t="s">
        <v>4092</v>
      </c>
      <c r="AH2197" s="56" t="s">
        <v>3542</v>
      </c>
      <c r="AI2197" s="56" t="s">
        <v>3723</v>
      </c>
    </row>
    <row r="2198" spans="1:35" ht="33" customHeight="1">
      <c r="A2198" s="56" t="s">
        <v>4097</v>
      </c>
      <c r="B2198" s="57">
        <v>44367.164467592593</v>
      </c>
      <c r="C2198" s="56" t="s">
        <v>3803</v>
      </c>
      <c r="D2198" s="56" t="s">
        <v>25</v>
      </c>
      <c r="E2198" s="56" t="s">
        <v>4096</v>
      </c>
      <c r="F2198" s="56" t="s">
        <v>4095</v>
      </c>
      <c r="G2198" s="58" t="s">
        <v>3551</v>
      </c>
      <c r="H2198" s="56">
        <v>1</v>
      </c>
      <c r="I2198" s="56" t="s">
        <v>3550</v>
      </c>
      <c r="J2198" s="56">
        <v>0</v>
      </c>
      <c r="K2198" s="56">
        <v>0</v>
      </c>
      <c r="P2198" s="56">
        <v>0</v>
      </c>
      <c r="S2198" s="56">
        <v>0</v>
      </c>
      <c r="T2198" s="56" t="s">
        <v>3562</v>
      </c>
      <c r="V2198" s="56" t="s">
        <v>3561</v>
      </c>
      <c r="W2198" s="56" t="s">
        <v>3548</v>
      </c>
      <c r="X2198" s="56" t="s">
        <v>3765</v>
      </c>
      <c r="Z2198" s="56" t="s">
        <v>3546</v>
      </c>
      <c r="AA2198" s="56" t="s">
        <v>4094</v>
      </c>
      <c r="AB2198" s="56" t="s">
        <v>4093</v>
      </c>
      <c r="AC2198" s="56" t="s">
        <v>3543</v>
      </c>
      <c r="AD2198" s="56" t="s">
        <v>24</v>
      </c>
      <c r="AE2198" s="56" t="s">
        <v>3862</v>
      </c>
      <c r="AF2198" s="56" t="s">
        <v>4092</v>
      </c>
      <c r="AH2198" s="56" t="s">
        <v>3542</v>
      </c>
      <c r="AI2198" s="56" t="s">
        <v>3723</v>
      </c>
    </row>
    <row r="2199" spans="1:35" ht="33" customHeight="1">
      <c r="A2199" s="56" t="s">
        <v>4091</v>
      </c>
      <c r="B2199" s="57">
        <v>44367.233611111114</v>
      </c>
      <c r="C2199" s="56" t="s">
        <v>3803</v>
      </c>
      <c r="D2199" s="56" t="s">
        <v>3802</v>
      </c>
      <c r="E2199" s="56" t="s">
        <v>4090</v>
      </c>
      <c r="F2199" s="56" t="s">
        <v>4089</v>
      </c>
      <c r="G2199" s="58" t="s">
        <v>3171</v>
      </c>
      <c r="H2199" s="56">
        <v>2</v>
      </c>
      <c r="I2199" s="56" t="s">
        <v>3695</v>
      </c>
      <c r="J2199" s="56">
        <v>399</v>
      </c>
      <c r="K2199" s="56">
        <v>399</v>
      </c>
      <c r="L2199" s="56">
        <v>798</v>
      </c>
      <c r="M2199" s="56">
        <v>60</v>
      </c>
      <c r="N2199" s="56">
        <v>0</v>
      </c>
      <c r="O2199" s="56">
        <v>0</v>
      </c>
      <c r="P2199" s="56">
        <v>0</v>
      </c>
      <c r="Q2199" s="56">
        <v>858</v>
      </c>
      <c r="R2199" s="56">
        <v>0</v>
      </c>
      <c r="S2199" s="56">
        <v>0</v>
      </c>
      <c r="T2199" s="56" t="s">
        <v>3562</v>
      </c>
      <c r="U2199" s="56">
        <v>858</v>
      </c>
      <c r="V2199" s="56" t="s">
        <v>59</v>
      </c>
      <c r="W2199" s="56" t="s">
        <v>3548</v>
      </c>
      <c r="X2199" s="56" t="s">
        <v>39</v>
      </c>
      <c r="Y2199" s="56" t="s">
        <v>4088</v>
      </c>
      <c r="Z2199" s="56" t="s">
        <v>4087</v>
      </c>
      <c r="AC2199" s="56" t="s">
        <v>3543</v>
      </c>
      <c r="AD2199" s="56" t="s">
        <v>24</v>
      </c>
      <c r="AE2199" s="56" t="s">
        <v>3862</v>
      </c>
      <c r="AF2199" s="56" t="s">
        <v>4086</v>
      </c>
      <c r="AH2199" s="56" t="s">
        <v>3542</v>
      </c>
      <c r="AI2199" s="56" t="s">
        <v>3723</v>
      </c>
    </row>
    <row r="2200" spans="1:35" ht="33" customHeight="1">
      <c r="A2200" s="56" t="s">
        <v>4091</v>
      </c>
      <c r="B2200" s="57">
        <v>44367.233611111114</v>
      </c>
      <c r="C2200" s="56" t="s">
        <v>3803</v>
      </c>
      <c r="D2200" s="56" t="s">
        <v>3802</v>
      </c>
      <c r="E2200" s="56" t="s">
        <v>4090</v>
      </c>
      <c r="F2200" s="56" t="s">
        <v>4089</v>
      </c>
      <c r="G2200" s="58" t="s">
        <v>3551</v>
      </c>
      <c r="H2200" s="56">
        <v>1</v>
      </c>
      <c r="I2200" s="56" t="s">
        <v>3550</v>
      </c>
      <c r="J2200" s="56">
        <v>0</v>
      </c>
      <c r="K2200" s="56">
        <v>0</v>
      </c>
      <c r="P2200" s="56">
        <v>0</v>
      </c>
      <c r="S2200" s="56">
        <v>0</v>
      </c>
      <c r="T2200" s="56" t="s">
        <v>3562</v>
      </c>
      <c r="V2200" s="56" t="s">
        <v>59</v>
      </c>
      <c r="W2200" s="56" t="s">
        <v>3548</v>
      </c>
      <c r="X2200" s="56" t="s">
        <v>39</v>
      </c>
      <c r="Y2200" s="56" t="s">
        <v>4088</v>
      </c>
      <c r="Z2200" s="56" t="s">
        <v>4087</v>
      </c>
      <c r="AC2200" s="56" t="s">
        <v>3543</v>
      </c>
      <c r="AD2200" s="56" t="s">
        <v>24</v>
      </c>
      <c r="AE2200" s="56" t="s">
        <v>3862</v>
      </c>
      <c r="AF2200" s="56" t="s">
        <v>4086</v>
      </c>
      <c r="AH2200" s="56" t="s">
        <v>3542</v>
      </c>
      <c r="AI2200" s="56" t="s">
        <v>3723</v>
      </c>
    </row>
    <row r="2201" spans="1:35" ht="33" customHeight="1">
      <c r="A2201" s="56" t="s">
        <v>4085</v>
      </c>
      <c r="B2201" s="57">
        <v>44367.246678240743</v>
      </c>
      <c r="C2201" s="56" t="s">
        <v>3803</v>
      </c>
      <c r="D2201" s="56" t="s">
        <v>3802</v>
      </c>
      <c r="E2201" s="56" t="s">
        <v>4084</v>
      </c>
      <c r="F2201" s="56" t="s">
        <v>4083</v>
      </c>
      <c r="G2201" s="58" t="s">
        <v>3811</v>
      </c>
      <c r="H2201" s="56">
        <v>1</v>
      </c>
      <c r="I2201" s="56" t="s">
        <v>3669</v>
      </c>
      <c r="J2201" s="56">
        <v>897</v>
      </c>
      <c r="K2201" s="56">
        <v>888</v>
      </c>
      <c r="L2201" s="56">
        <v>1511</v>
      </c>
      <c r="M2201" s="56">
        <v>0</v>
      </c>
      <c r="N2201" s="56">
        <v>0</v>
      </c>
      <c r="O2201" s="56">
        <v>100</v>
      </c>
      <c r="P2201" s="56">
        <v>0</v>
      </c>
      <c r="Q2201" s="56">
        <v>1411</v>
      </c>
      <c r="R2201" s="56">
        <v>0</v>
      </c>
      <c r="S2201" s="56">
        <v>0</v>
      </c>
      <c r="T2201" s="56" t="s">
        <v>3562</v>
      </c>
      <c r="U2201" s="56">
        <v>1411</v>
      </c>
      <c r="V2201" s="56" t="s">
        <v>59</v>
      </c>
      <c r="W2201" s="56" t="s">
        <v>3548</v>
      </c>
      <c r="X2201" s="56" t="s">
        <v>39</v>
      </c>
      <c r="Y2201" s="56" t="s">
        <v>4082</v>
      </c>
      <c r="Z2201" s="56" t="s">
        <v>4081</v>
      </c>
      <c r="AC2201" s="56" t="s">
        <v>3543</v>
      </c>
      <c r="AD2201" s="56" t="s">
        <v>24</v>
      </c>
      <c r="AE2201" s="56" t="s">
        <v>3862</v>
      </c>
      <c r="AF2201" s="56" t="s">
        <v>4080</v>
      </c>
      <c r="AH2201" s="56" t="s">
        <v>3542</v>
      </c>
      <c r="AI2201" s="56" t="s">
        <v>3723</v>
      </c>
    </row>
    <row r="2202" spans="1:35" ht="33" customHeight="1">
      <c r="A2202" s="56" t="s">
        <v>4085</v>
      </c>
      <c r="B2202" s="57">
        <v>44367.246678240743</v>
      </c>
      <c r="C2202" s="56" t="s">
        <v>3803</v>
      </c>
      <c r="D2202" s="56" t="s">
        <v>3802</v>
      </c>
      <c r="E2202" s="56" t="s">
        <v>4084</v>
      </c>
      <c r="F2202" s="56" t="s">
        <v>4083</v>
      </c>
      <c r="G2202" s="58" t="s">
        <v>2163</v>
      </c>
      <c r="H2202" s="56">
        <v>1</v>
      </c>
      <c r="I2202" s="56" t="s">
        <v>3694</v>
      </c>
      <c r="J2202" s="56">
        <v>128</v>
      </c>
      <c r="K2202" s="56">
        <v>128</v>
      </c>
      <c r="P2202" s="56">
        <v>0</v>
      </c>
      <c r="S2202" s="56">
        <v>0</v>
      </c>
      <c r="T2202" s="56" t="s">
        <v>3562</v>
      </c>
      <c r="V2202" s="56" t="s">
        <v>59</v>
      </c>
      <c r="W2202" s="56" t="s">
        <v>3548</v>
      </c>
      <c r="X2202" s="56" t="s">
        <v>39</v>
      </c>
      <c r="Y2202" s="56" t="s">
        <v>4082</v>
      </c>
      <c r="Z2202" s="56" t="s">
        <v>4081</v>
      </c>
      <c r="AC2202" s="56" t="s">
        <v>3543</v>
      </c>
      <c r="AD2202" s="56" t="s">
        <v>24</v>
      </c>
      <c r="AE2202" s="56" t="s">
        <v>3862</v>
      </c>
      <c r="AF2202" s="56" t="s">
        <v>4080</v>
      </c>
      <c r="AH2202" s="56" t="s">
        <v>3542</v>
      </c>
      <c r="AI2202" s="56" t="s">
        <v>3723</v>
      </c>
    </row>
    <row r="2203" spans="1:35" ht="33" customHeight="1">
      <c r="A2203" s="56" t="s">
        <v>4085</v>
      </c>
      <c r="B2203" s="57">
        <v>44367.246678240743</v>
      </c>
      <c r="C2203" s="56" t="s">
        <v>3803</v>
      </c>
      <c r="D2203" s="56" t="s">
        <v>3802</v>
      </c>
      <c r="E2203" s="56" t="s">
        <v>4084</v>
      </c>
      <c r="F2203" s="56" t="s">
        <v>4083</v>
      </c>
      <c r="G2203" s="58" t="s">
        <v>2156</v>
      </c>
      <c r="H2203" s="56">
        <v>1</v>
      </c>
      <c r="I2203" s="56" t="s">
        <v>1376</v>
      </c>
      <c r="J2203" s="56">
        <v>145</v>
      </c>
      <c r="K2203" s="56">
        <v>145</v>
      </c>
      <c r="P2203" s="56">
        <v>0</v>
      </c>
      <c r="S2203" s="56">
        <v>0</v>
      </c>
      <c r="T2203" s="56" t="s">
        <v>3562</v>
      </c>
      <c r="V2203" s="56" t="s">
        <v>59</v>
      </c>
      <c r="W2203" s="56" t="s">
        <v>3548</v>
      </c>
      <c r="X2203" s="56" t="s">
        <v>39</v>
      </c>
      <c r="Y2203" s="56" t="s">
        <v>4082</v>
      </c>
      <c r="Z2203" s="56" t="s">
        <v>4081</v>
      </c>
      <c r="AC2203" s="56" t="s">
        <v>3543</v>
      </c>
      <c r="AD2203" s="56" t="s">
        <v>24</v>
      </c>
      <c r="AE2203" s="56" t="s">
        <v>3862</v>
      </c>
      <c r="AF2203" s="56" t="s">
        <v>4080</v>
      </c>
      <c r="AH2203" s="56" t="s">
        <v>3542</v>
      </c>
      <c r="AI2203" s="56" t="s">
        <v>3723</v>
      </c>
    </row>
    <row r="2204" spans="1:35" ht="33" customHeight="1">
      <c r="A2204" s="56" t="s">
        <v>4085</v>
      </c>
      <c r="B2204" s="57">
        <v>44367.246678240743</v>
      </c>
      <c r="C2204" s="56" t="s">
        <v>3803</v>
      </c>
      <c r="D2204" s="56" t="s">
        <v>3802</v>
      </c>
      <c r="E2204" s="56" t="s">
        <v>4084</v>
      </c>
      <c r="F2204" s="56" t="s">
        <v>4083</v>
      </c>
      <c r="G2204" s="58" t="s">
        <v>2171</v>
      </c>
      <c r="H2204" s="56">
        <v>1</v>
      </c>
      <c r="I2204" s="56" t="s">
        <v>3762</v>
      </c>
      <c r="J2204" s="56">
        <v>350</v>
      </c>
      <c r="K2204" s="56">
        <v>350</v>
      </c>
      <c r="P2204" s="56">
        <v>0</v>
      </c>
      <c r="S2204" s="56">
        <v>0</v>
      </c>
      <c r="T2204" s="56" t="s">
        <v>3562</v>
      </c>
      <c r="V2204" s="56" t="s">
        <v>59</v>
      </c>
      <c r="W2204" s="56" t="s">
        <v>3548</v>
      </c>
      <c r="X2204" s="56" t="s">
        <v>39</v>
      </c>
      <c r="Y2204" s="56" t="s">
        <v>4082</v>
      </c>
      <c r="Z2204" s="56" t="s">
        <v>4081</v>
      </c>
      <c r="AC2204" s="56" t="s">
        <v>3543</v>
      </c>
      <c r="AD2204" s="56" t="s">
        <v>24</v>
      </c>
      <c r="AE2204" s="56" t="s">
        <v>3862</v>
      </c>
      <c r="AF2204" s="56" t="s">
        <v>4080</v>
      </c>
      <c r="AH2204" s="56" t="s">
        <v>3542</v>
      </c>
      <c r="AI2204" s="56" t="s">
        <v>3723</v>
      </c>
    </row>
    <row r="2205" spans="1:35" ht="33" customHeight="1">
      <c r="A2205" s="56" t="s">
        <v>4085</v>
      </c>
      <c r="B2205" s="57">
        <v>44367.246678240743</v>
      </c>
      <c r="C2205" s="56" t="s">
        <v>3803</v>
      </c>
      <c r="D2205" s="56" t="s">
        <v>3802</v>
      </c>
      <c r="E2205" s="56" t="s">
        <v>4084</v>
      </c>
      <c r="F2205" s="56" t="s">
        <v>4083</v>
      </c>
      <c r="G2205" s="58" t="s">
        <v>3551</v>
      </c>
      <c r="H2205" s="56">
        <v>1</v>
      </c>
      <c r="I2205" s="56" t="s">
        <v>3550</v>
      </c>
      <c r="J2205" s="56">
        <v>0</v>
      </c>
      <c r="K2205" s="56">
        <v>0</v>
      </c>
      <c r="P2205" s="56">
        <v>0</v>
      </c>
      <c r="S2205" s="56">
        <v>0</v>
      </c>
      <c r="T2205" s="56" t="s">
        <v>3562</v>
      </c>
      <c r="V2205" s="56" t="s">
        <v>59</v>
      </c>
      <c r="W2205" s="56" t="s">
        <v>3548</v>
      </c>
      <c r="X2205" s="56" t="s">
        <v>39</v>
      </c>
      <c r="Y2205" s="56" t="s">
        <v>4082</v>
      </c>
      <c r="Z2205" s="56" t="s">
        <v>4081</v>
      </c>
      <c r="AC2205" s="56" t="s">
        <v>3543</v>
      </c>
      <c r="AD2205" s="56" t="s">
        <v>24</v>
      </c>
      <c r="AE2205" s="56" t="s">
        <v>3862</v>
      </c>
      <c r="AF2205" s="56" t="s">
        <v>4080</v>
      </c>
      <c r="AH2205" s="56" t="s">
        <v>3542</v>
      </c>
      <c r="AI2205" s="56" t="s">
        <v>3723</v>
      </c>
    </row>
    <row r="2206" spans="1:35" ht="33" customHeight="1">
      <c r="A2206" s="56" t="s">
        <v>4085</v>
      </c>
      <c r="B2206" s="57">
        <v>44367.246678240743</v>
      </c>
      <c r="C2206" s="56" t="s">
        <v>3803</v>
      </c>
      <c r="D2206" s="56" t="s">
        <v>3802</v>
      </c>
      <c r="E2206" s="56" t="s">
        <v>4084</v>
      </c>
      <c r="F2206" s="56" t="s">
        <v>4083</v>
      </c>
      <c r="G2206" s="58" t="s">
        <v>1713</v>
      </c>
      <c r="H2206" s="56">
        <v>1</v>
      </c>
      <c r="I2206" s="56" t="s">
        <v>3568</v>
      </c>
      <c r="J2206" s="56">
        <v>0</v>
      </c>
      <c r="K2206" s="56">
        <v>0</v>
      </c>
      <c r="P2206" s="56">
        <v>0</v>
      </c>
      <c r="S2206" s="56">
        <v>0</v>
      </c>
      <c r="T2206" s="56" t="s">
        <v>3562</v>
      </c>
      <c r="V2206" s="56" t="s">
        <v>59</v>
      </c>
      <c r="W2206" s="56" t="s">
        <v>3548</v>
      </c>
      <c r="X2206" s="56" t="s">
        <v>39</v>
      </c>
      <c r="Y2206" s="56" t="s">
        <v>4082</v>
      </c>
      <c r="Z2206" s="56" t="s">
        <v>4081</v>
      </c>
      <c r="AC2206" s="56" t="s">
        <v>3543</v>
      </c>
      <c r="AD2206" s="56" t="s">
        <v>24</v>
      </c>
      <c r="AE2206" s="56" t="s">
        <v>3862</v>
      </c>
      <c r="AF2206" s="56" t="s">
        <v>4080</v>
      </c>
      <c r="AH2206" s="56" t="s">
        <v>3542</v>
      </c>
      <c r="AI2206" s="56" t="s">
        <v>3723</v>
      </c>
    </row>
    <row r="2207" spans="1:35" ht="33" customHeight="1">
      <c r="A2207" s="56" t="s">
        <v>4079</v>
      </c>
      <c r="B2207" s="57">
        <v>44367.258969907409</v>
      </c>
      <c r="C2207" s="56" t="s">
        <v>3803</v>
      </c>
      <c r="D2207" s="56" t="s">
        <v>25</v>
      </c>
      <c r="E2207" s="56" t="s">
        <v>4078</v>
      </c>
      <c r="F2207" s="56" t="s">
        <v>4077</v>
      </c>
      <c r="G2207" s="58" t="s">
        <v>2163</v>
      </c>
      <c r="H2207" s="56">
        <v>1</v>
      </c>
      <c r="I2207" s="56" t="s">
        <v>3694</v>
      </c>
      <c r="J2207" s="56">
        <v>128</v>
      </c>
      <c r="K2207" s="56">
        <v>128</v>
      </c>
      <c r="L2207" s="56">
        <v>619</v>
      </c>
      <c r="M2207" s="56">
        <v>65</v>
      </c>
      <c r="N2207" s="56">
        <v>0</v>
      </c>
      <c r="O2207" s="56">
        <v>0</v>
      </c>
      <c r="P2207" s="56">
        <v>0</v>
      </c>
      <c r="Q2207" s="56">
        <v>684</v>
      </c>
      <c r="R2207" s="56">
        <v>0</v>
      </c>
      <c r="S2207" s="56">
        <v>0</v>
      </c>
      <c r="T2207" s="56" t="s">
        <v>27</v>
      </c>
      <c r="U2207" s="56">
        <v>684</v>
      </c>
      <c r="V2207" s="56" t="s">
        <v>3549</v>
      </c>
      <c r="W2207" s="56" t="s">
        <v>3548</v>
      </c>
      <c r="X2207" s="56" t="s">
        <v>3547</v>
      </c>
      <c r="Z2207" s="56" t="s">
        <v>3546</v>
      </c>
      <c r="AA2207" s="56" t="s">
        <v>4076</v>
      </c>
      <c r="AB2207" s="56" t="s">
        <v>4075</v>
      </c>
      <c r="AC2207" s="56" t="s">
        <v>3842</v>
      </c>
      <c r="AH2207" s="56" t="s">
        <v>3542</v>
      </c>
      <c r="AI2207" s="56" t="s">
        <v>3541</v>
      </c>
    </row>
    <row r="2208" spans="1:35" ht="33" customHeight="1">
      <c r="A2208" s="56" t="s">
        <v>4079</v>
      </c>
      <c r="B2208" s="57">
        <v>44367.258969907409</v>
      </c>
      <c r="C2208" s="56" t="s">
        <v>3803</v>
      </c>
      <c r="D2208" s="56" t="s">
        <v>25</v>
      </c>
      <c r="E2208" s="56" t="s">
        <v>4078</v>
      </c>
      <c r="F2208" s="56" t="s">
        <v>4077</v>
      </c>
      <c r="G2208" s="58" t="s">
        <v>2161</v>
      </c>
      <c r="H2208" s="56">
        <v>1</v>
      </c>
      <c r="I2208" s="56" t="s">
        <v>3694</v>
      </c>
      <c r="J2208" s="56">
        <v>128</v>
      </c>
      <c r="K2208" s="56">
        <v>128</v>
      </c>
      <c r="P2208" s="56">
        <v>0</v>
      </c>
      <c r="S2208" s="56">
        <v>0</v>
      </c>
      <c r="T2208" s="56" t="s">
        <v>27</v>
      </c>
      <c r="V2208" s="56" t="s">
        <v>3549</v>
      </c>
      <c r="W2208" s="56" t="s">
        <v>3548</v>
      </c>
      <c r="X2208" s="56" t="s">
        <v>3547</v>
      </c>
      <c r="Z2208" s="56" t="s">
        <v>3546</v>
      </c>
      <c r="AA2208" s="56" t="s">
        <v>4076</v>
      </c>
      <c r="AB2208" s="56" t="s">
        <v>4075</v>
      </c>
      <c r="AC2208" s="56" t="s">
        <v>3842</v>
      </c>
      <c r="AH2208" s="56" t="s">
        <v>3542</v>
      </c>
      <c r="AI2208" s="56" t="s">
        <v>3541</v>
      </c>
    </row>
    <row r="2209" spans="1:35" ht="33" customHeight="1">
      <c r="A2209" s="56" t="s">
        <v>4079</v>
      </c>
      <c r="B2209" s="57">
        <v>44367.258969907409</v>
      </c>
      <c r="C2209" s="56" t="s">
        <v>3803</v>
      </c>
      <c r="D2209" s="56" t="s">
        <v>25</v>
      </c>
      <c r="E2209" s="56" t="s">
        <v>4078</v>
      </c>
      <c r="F2209" s="56" t="s">
        <v>4077</v>
      </c>
      <c r="G2209" s="58" t="s">
        <v>2156</v>
      </c>
      <c r="H2209" s="56">
        <v>1</v>
      </c>
      <c r="I2209" s="56" t="s">
        <v>1376</v>
      </c>
      <c r="J2209" s="56">
        <v>145</v>
      </c>
      <c r="K2209" s="56">
        <v>145</v>
      </c>
      <c r="P2209" s="56">
        <v>0</v>
      </c>
      <c r="S2209" s="56">
        <v>0</v>
      </c>
      <c r="T2209" s="56" t="s">
        <v>27</v>
      </c>
      <c r="V2209" s="56" t="s">
        <v>3549</v>
      </c>
      <c r="W2209" s="56" t="s">
        <v>3548</v>
      </c>
      <c r="X2209" s="56" t="s">
        <v>3547</v>
      </c>
      <c r="Z2209" s="56" t="s">
        <v>3546</v>
      </c>
      <c r="AA2209" s="56" t="s">
        <v>4076</v>
      </c>
      <c r="AB2209" s="56" t="s">
        <v>4075</v>
      </c>
      <c r="AC2209" s="56" t="s">
        <v>3842</v>
      </c>
      <c r="AH2209" s="56" t="s">
        <v>3542</v>
      </c>
      <c r="AI2209" s="56" t="s">
        <v>3541</v>
      </c>
    </row>
    <row r="2210" spans="1:35" ht="33" customHeight="1">
      <c r="A2210" s="56" t="s">
        <v>4079</v>
      </c>
      <c r="B2210" s="57">
        <v>44367.258969907409</v>
      </c>
      <c r="C2210" s="56" t="s">
        <v>3803</v>
      </c>
      <c r="D2210" s="56" t="s">
        <v>25</v>
      </c>
      <c r="E2210" s="56" t="s">
        <v>4078</v>
      </c>
      <c r="F2210" s="56" t="s">
        <v>4077</v>
      </c>
      <c r="G2210" s="58" t="s">
        <v>2165</v>
      </c>
      <c r="H2210" s="56">
        <v>2</v>
      </c>
      <c r="I2210" s="56" t="s">
        <v>3721</v>
      </c>
      <c r="J2210" s="56">
        <v>109</v>
      </c>
      <c r="K2210" s="56">
        <v>109</v>
      </c>
      <c r="P2210" s="56">
        <v>0</v>
      </c>
      <c r="S2210" s="56">
        <v>0</v>
      </c>
      <c r="T2210" s="56" t="s">
        <v>27</v>
      </c>
      <c r="V2210" s="56" t="s">
        <v>3549</v>
      </c>
      <c r="W2210" s="56" t="s">
        <v>3548</v>
      </c>
      <c r="X2210" s="56" t="s">
        <v>3547</v>
      </c>
      <c r="Z2210" s="56" t="s">
        <v>3546</v>
      </c>
      <c r="AA2210" s="56" t="s">
        <v>4076</v>
      </c>
      <c r="AB2210" s="56" t="s">
        <v>4075</v>
      </c>
      <c r="AC2210" s="56" t="s">
        <v>3842</v>
      </c>
      <c r="AH2210" s="56" t="s">
        <v>3542</v>
      </c>
      <c r="AI2210" s="56" t="s">
        <v>3541</v>
      </c>
    </row>
    <row r="2211" spans="1:35" ht="33" customHeight="1">
      <c r="A2211" s="56" t="s">
        <v>4079</v>
      </c>
      <c r="B2211" s="57">
        <v>44367.258969907409</v>
      </c>
      <c r="C2211" s="56" t="s">
        <v>3803</v>
      </c>
      <c r="D2211" s="56" t="s">
        <v>25</v>
      </c>
      <c r="E2211" s="56" t="s">
        <v>4078</v>
      </c>
      <c r="F2211" s="56" t="s">
        <v>4077</v>
      </c>
      <c r="G2211" s="58" t="s">
        <v>3551</v>
      </c>
      <c r="H2211" s="56">
        <v>1</v>
      </c>
      <c r="I2211" s="56" t="s">
        <v>3550</v>
      </c>
      <c r="J2211" s="56">
        <v>0</v>
      </c>
      <c r="K2211" s="56">
        <v>0</v>
      </c>
      <c r="P2211" s="56">
        <v>0</v>
      </c>
      <c r="S2211" s="56">
        <v>0</v>
      </c>
      <c r="T2211" s="56" t="s">
        <v>27</v>
      </c>
      <c r="V2211" s="56" t="s">
        <v>3549</v>
      </c>
      <c r="W2211" s="56" t="s">
        <v>3548</v>
      </c>
      <c r="X2211" s="56" t="s">
        <v>3547</v>
      </c>
      <c r="Z2211" s="56" t="s">
        <v>3546</v>
      </c>
      <c r="AA2211" s="56" t="s">
        <v>4076</v>
      </c>
      <c r="AB2211" s="56" t="s">
        <v>4075</v>
      </c>
      <c r="AC2211" s="56" t="s">
        <v>3842</v>
      </c>
      <c r="AH2211" s="56" t="s">
        <v>3542</v>
      </c>
      <c r="AI2211" s="56" t="s">
        <v>3541</v>
      </c>
    </row>
    <row r="2212" spans="1:35" ht="33" customHeight="1">
      <c r="A2212" s="56" t="s">
        <v>4074</v>
      </c>
      <c r="B2212" s="57">
        <v>44367.2809375</v>
      </c>
      <c r="C2212" s="56" t="s">
        <v>3803</v>
      </c>
      <c r="D2212" s="56" t="s">
        <v>25</v>
      </c>
      <c r="E2212" s="56" t="s">
        <v>4073</v>
      </c>
      <c r="F2212" s="56" t="s">
        <v>4072</v>
      </c>
      <c r="G2212" s="58" t="s">
        <v>3656</v>
      </c>
      <c r="H2212" s="56">
        <v>1</v>
      </c>
      <c r="I2212" s="56" t="s">
        <v>3655</v>
      </c>
      <c r="J2212" s="56">
        <v>1107</v>
      </c>
      <c r="K2212" s="56">
        <v>799</v>
      </c>
      <c r="L2212" s="56">
        <v>934</v>
      </c>
      <c r="M2212" s="56">
        <v>0</v>
      </c>
      <c r="N2212" s="56">
        <v>0</v>
      </c>
      <c r="O2212" s="56">
        <v>0</v>
      </c>
      <c r="P2212" s="56">
        <v>0</v>
      </c>
      <c r="Q2212" s="56">
        <v>934</v>
      </c>
      <c r="R2212" s="56">
        <v>0</v>
      </c>
      <c r="S2212" s="56">
        <v>0</v>
      </c>
      <c r="T2212" s="56" t="s">
        <v>27</v>
      </c>
      <c r="U2212" s="56">
        <v>934</v>
      </c>
      <c r="V2212" s="56" t="s">
        <v>3549</v>
      </c>
      <c r="W2212" s="56" t="s">
        <v>3548</v>
      </c>
      <c r="X2212" s="56" t="s">
        <v>3547</v>
      </c>
      <c r="Z2212" s="56" t="s">
        <v>3546</v>
      </c>
      <c r="AA2212" s="56" t="s">
        <v>999</v>
      </c>
      <c r="AB2212" s="56" t="s">
        <v>4071</v>
      </c>
      <c r="AC2212" s="56" t="s">
        <v>3842</v>
      </c>
      <c r="AH2212" s="56" t="s">
        <v>3542</v>
      </c>
      <c r="AI2212" s="56" t="s">
        <v>3541</v>
      </c>
    </row>
    <row r="2213" spans="1:35" ht="33" customHeight="1">
      <c r="A2213" s="56" t="s">
        <v>4074</v>
      </c>
      <c r="B2213" s="57">
        <v>44367.2809375</v>
      </c>
      <c r="C2213" s="56" t="s">
        <v>3803</v>
      </c>
      <c r="D2213" s="56" t="s">
        <v>25</v>
      </c>
      <c r="E2213" s="56" t="s">
        <v>4073</v>
      </c>
      <c r="F2213" s="56" t="s">
        <v>4072</v>
      </c>
      <c r="G2213" s="58" t="s">
        <v>1493</v>
      </c>
      <c r="H2213" s="56">
        <v>1</v>
      </c>
      <c r="I2213" s="56" t="s">
        <v>3601</v>
      </c>
      <c r="J2213" s="56">
        <v>135</v>
      </c>
      <c r="K2213" s="56">
        <v>135</v>
      </c>
      <c r="P2213" s="56">
        <v>0</v>
      </c>
      <c r="S2213" s="56">
        <v>0</v>
      </c>
      <c r="T2213" s="56" t="s">
        <v>27</v>
      </c>
      <c r="V2213" s="56" t="s">
        <v>3549</v>
      </c>
      <c r="W2213" s="56" t="s">
        <v>3548</v>
      </c>
      <c r="X2213" s="56" t="s">
        <v>3547</v>
      </c>
      <c r="Z2213" s="56" t="s">
        <v>3546</v>
      </c>
      <c r="AA2213" s="56" t="s">
        <v>999</v>
      </c>
      <c r="AB2213" s="56" t="s">
        <v>4071</v>
      </c>
      <c r="AC2213" s="56" t="s">
        <v>3842</v>
      </c>
      <c r="AH2213" s="56" t="s">
        <v>3542</v>
      </c>
      <c r="AI2213" s="56" t="s">
        <v>3541</v>
      </c>
    </row>
    <row r="2214" spans="1:35" ht="33" customHeight="1">
      <c r="A2214" s="56" t="s">
        <v>4074</v>
      </c>
      <c r="B2214" s="57">
        <v>44367.2809375</v>
      </c>
      <c r="C2214" s="56" t="s">
        <v>3803</v>
      </c>
      <c r="D2214" s="56" t="s">
        <v>25</v>
      </c>
      <c r="E2214" s="56" t="s">
        <v>4073</v>
      </c>
      <c r="F2214" s="56" t="s">
        <v>4072</v>
      </c>
      <c r="G2214" s="58" t="s">
        <v>3551</v>
      </c>
      <c r="H2214" s="56">
        <v>1</v>
      </c>
      <c r="I2214" s="56" t="s">
        <v>3550</v>
      </c>
      <c r="J2214" s="56">
        <v>0</v>
      </c>
      <c r="K2214" s="56">
        <v>0</v>
      </c>
      <c r="P2214" s="56">
        <v>0</v>
      </c>
      <c r="S2214" s="56">
        <v>0</v>
      </c>
      <c r="T2214" s="56" t="s">
        <v>27</v>
      </c>
      <c r="V2214" s="56" t="s">
        <v>3549</v>
      </c>
      <c r="W2214" s="56" t="s">
        <v>3548</v>
      </c>
      <c r="X2214" s="56" t="s">
        <v>3547</v>
      </c>
      <c r="Z2214" s="56" t="s">
        <v>3546</v>
      </c>
      <c r="AA2214" s="56" t="s">
        <v>999</v>
      </c>
      <c r="AB2214" s="56" t="s">
        <v>4071</v>
      </c>
      <c r="AC2214" s="56" t="s">
        <v>3842</v>
      </c>
      <c r="AH2214" s="56" t="s">
        <v>3542</v>
      </c>
      <c r="AI2214" s="56" t="s">
        <v>3541</v>
      </c>
    </row>
    <row r="2215" spans="1:35" ht="33" customHeight="1">
      <c r="A2215" s="56" t="s">
        <v>4069</v>
      </c>
      <c r="B2215" s="57">
        <v>44367.4455787037</v>
      </c>
      <c r="C2215" s="56" t="s">
        <v>3803</v>
      </c>
      <c r="D2215" s="56" t="s">
        <v>3802</v>
      </c>
      <c r="E2215" s="56" t="s">
        <v>4068</v>
      </c>
      <c r="F2215" s="56" t="s">
        <v>4067</v>
      </c>
      <c r="G2215" s="58" t="s">
        <v>4070</v>
      </c>
      <c r="H2215" s="56">
        <v>1</v>
      </c>
      <c r="I2215" s="56" t="s">
        <v>3602</v>
      </c>
      <c r="J2215" s="56">
        <v>447</v>
      </c>
      <c r="K2215" s="56">
        <v>399</v>
      </c>
      <c r="L2215" s="56">
        <v>399</v>
      </c>
      <c r="M2215" s="56">
        <v>60</v>
      </c>
      <c r="N2215" s="56">
        <v>0</v>
      </c>
      <c r="O2215" s="56">
        <v>0</v>
      </c>
      <c r="P2215" s="56">
        <v>0</v>
      </c>
      <c r="Q2215" s="56">
        <v>459</v>
      </c>
      <c r="R2215" s="56">
        <v>0</v>
      </c>
      <c r="S2215" s="56">
        <v>0</v>
      </c>
      <c r="T2215" s="56" t="s">
        <v>3562</v>
      </c>
      <c r="U2215" s="56">
        <v>459</v>
      </c>
      <c r="V2215" s="56" t="s">
        <v>3561</v>
      </c>
      <c r="W2215" s="56" t="s">
        <v>3548</v>
      </c>
      <c r="X2215" s="56" t="s">
        <v>39</v>
      </c>
      <c r="Y2215" s="56" t="s">
        <v>4066</v>
      </c>
      <c r="Z2215" s="56" t="s">
        <v>4065</v>
      </c>
      <c r="AC2215" s="56" t="s">
        <v>3543</v>
      </c>
      <c r="AD2215" s="56" t="s">
        <v>24</v>
      </c>
      <c r="AE2215" s="56" t="s">
        <v>3862</v>
      </c>
      <c r="AF2215" s="56" t="s">
        <v>4064</v>
      </c>
      <c r="AH2215" s="56" t="s">
        <v>3542</v>
      </c>
      <c r="AI2215" s="56" t="s">
        <v>3723</v>
      </c>
    </row>
    <row r="2216" spans="1:35" ht="33" customHeight="1">
      <c r="A2216" s="56" t="s">
        <v>4069</v>
      </c>
      <c r="B2216" s="57">
        <v>44367.4455787037</v>
      </c>
      <c r="C2216" s="56" t="s">
        <v>3803</v>
      </c>
      <c r="D2216" s="56" t="s">
        <v>3802</v>
      </c>
      <c r="E2216" s="56" t="s">
        <v>4068</v>
      </c>
      <c r="F2216" s="56" t="s">
        <v>4067</v>
      </c>
      <c r="G2216" s="58" t="s">
        <v>3551</v>
      </c>
      <c r="H2216" s="56">
        <v>1</v>
      </c>
      <c r="I2216" s="56" t="s">
        <v>3550</v>
      </c>
      <c r="J2216" s="56">
        <v>0</v>
      </c>
      <c r="K2216" s="56">
        <v>0</v>
      </c>
      <c r="P2216" s="56">
        <v>0</v>
      </c>
      <c r="S2216" s="56">
        <v>0</v>
      </c>
      <c r="T2216" s="56" t="s">
        <v>3562</v>
      </c>
      <c r="V2216" s="56" t="s">
        <v>3561</v>
      </c>
      <c r="W2216" s="56" t="s">
        <v>3548</v>
      </c>
      <c r="X2216" s="56" t="s">
        <v>39</v>
      </c>
      <c r="Y2216" s="56" t="s">
        <v>4066</v>
      </c>
      <c r="Z2216" s="56" t="s">
        <v>4065</v>
      </c>
      <c r="AC2216" s="56" t="s">
        <v>3543</v>
      </c>
      <c r="AD2216" s="56" t="s">
        <v>24</v>
      </c>
      <c r="AE2216" s="56" t="s">
        <v>3862</v>
      </c>
      <c r="AF2216" s="56" t="s">
        <v>4064</v>
      </c>
      <c r="AH2216" s="56" t="s">
        <v>3542</v>
      </c>
      <c r="AI2216" s="56" t="s">
        <v>3723</v>
      </c>
    </row>
    <row r="2217" spans="1:35" ht="33" customHeight="1">
      <c r="A2217" s="56" t="s">
        <v>4063</v>
      </c>
      <c r="B2217" s="57">
        <v>44367.466574074075</v>
      </c>
      <c r="C2217" s="56" t="s">
        <v>3803</v>
      </c>
      <c r="D2217" s="56" t="s">
        <v>3802</v>
      </c>
      <c r="E2217" s="56" t="s">
        <v>4062</v>
      </c>
      <c r="F2217" s="56" t="s">
        <v>4061</v>
      </c>
      <c r="G2217" s="58" t="s">
        <v>2169</v>
      </c>
      <c r="H2217" s="56">
        <v>1</v>
      </c>
      <c r="I2217" s="56" t="s">
        <v>3762</v>
      </c>
      <c r="J2217" s="56">
        <v>350</v>
      </c>
      <c r="K2217" s="56">
        <v>350</v>
      </c>
      <c r="L2217" s="56">
        <v>1165</v>
      </c>
      <c r="M2217" s="56">
        <v>0</v>
      </c>
      <c r="N2217" s="56">
        <v>0</v>
      </c>
      <c r="O2217" s="56">
        <v>100</v>
      </c>
      <c r="P2217" s="56">
        <v>0</v>
      </c>
      <c r="Q2217" s="56">
        <v>1065</v>
      </c>
      <c r="R2217" s="56">
        <v>0</v>
      </c>
      <c r="S2217" s="56">
        <v>0</v>
      </c>
      <c r="T2217" s="56" t="s">
        <v>3562</v>
      </c>
      <c r="U2217" s="56">
        <v>1065</v>
      </c>
      <c r="V2217" s="56" t="s">
        <v>3561</v>
      </c>
      <c r="W2217" s="56" t="s">
        <v>3548</v>
      </c>
      <c r="X2217" s="56" t="s">
        <v>39</v>
      </c>
      <c r="Y2217" s="56" t="s">
        <v>3617</v>
      </c>
      <c r="Z2217" s="56" t="s">
        <v>4060</v>
      </c>
      <c r="AC2217" s="56" t="s">
        <v>3543</v>
      </c>
      <c r="AD2217" s="56" t="s">
        <v>24</v>
      </c>
      <c r="AE2217" s="56" t="s">
        <v>3862</v>
      </c>
      <c r="AF2217" s="56" t="s">
        <v>4059</v>
      </c>
      <c r="AH2217" s="56" t="s">
        <v>3542</v>
      </c>
      <c r="AI2217" s="56" t="s">
        <v>3723</v>
      </c>
    </row>
    <row r="2218" spans="1:35" ht="33" customHeight="1">
      <c r="A2218" s="56" t="s">
        <v>4063</v>
      </c>
      <c r="B2218" s="57">
        <v>44367.466574074075</v>
      </c>
      <c r="C2218" s="56" t="s">
        <v>3803</v>
      </c>
      <c r="D2218" s="56" t="s">
        <v>3802</v>
      </c>
      <c r="E2218" s="56" t="s">
        <v>4062</v>
      </c>
      <c r="F2218" s="56" t="s">
        <v>4061</v>
      </c>
      <c r="G2218" s="58" t="s">
        <v>2163</v>
      </c>
      <c r="H2218" s="56">
        <v>1</v>
      </c>
      <c r="I2218" s="56" t="s">
        <v>3694</v>
      </c>
      <c r="J2218" s="56">
        <v>128</v>
      </c>
      <c r="K2218" s="56">
        <v>128</v>
      </c>
      <c r="P2218" s="56">
        <v>0</v>
      </c>
      <c r="S2218" s="56">
        <v>0</v>
      </c>
      <c r="T2218" s="56" t="s">
        <v>3562</v>
      </c>
      <c r="V2218" s="56" t="s">
        <v>3561</v>
      </c>
      <c r="W2218" s="56" t="s">
        <v>3548</v>
      </c>
      <c r="X2218" s="56" t="s">
        <v>39</v>
      </c>
      <c r="Y2218" s="56" t="s">
        <v>3617</v>
      </c>
      <c r="Z2218" s="56" t="s">
        <v>4060</v>
      </c>
      <c r="AC2218" s="56" t="s">
        <v>3543</v>
      </c>
      <c r="AD2218" s="56" t="s">
        <v>24</v>
      </c>
      <c r="AE2218" s="56" t="s">
        <v>3862</v>
      </c>
      <c r="AF2218" s="56" t="s">
        <v>4059</v>
      </c>
      <c r="AH2218" s="56" t="s">
        <v>3542</v>
      </c>
      <c r="AI2218" s="56" t="s">
        <v>3723</v>
      </c>
    </row>
    <row r="2219" spans="1:35" ht="33" customHeight="1">
      <c r="A2219" s="56" t="s">
        <v>4063</v>
      </c>
      <c r="B2219" s="57">
        <v>44367.466574074075</v>
      </c>
      <c r="C2219" s="56" t="s">
        <v>3803</v>
      </c>
      <c r="D2219" s="56" t="s">
        <v>3802</v>
      </c>
      <c r="E2219" s="56" t="s">
        <v>4062</v>
      </c>
      <c r="F2219" s="56" t="s">
        <v>4061</v>
      </c>
      <c r="G2219" s="58" t="s">
        <v>2161</v>
      </c>
      <c r="H2219" s="56">
        <v>1</v>
      </c>
      <c r="I2219" s="56" t="s">
        <v>3694</v>
      </c>
      <c r="J2219" s="56">
        <v>128</v>
      </c>
      <c r="K2219" s="56">
        <v>128</v>
      </c>
      <c r="P2219" s="56">
        <v>0</v>
      </c>
      <c r="S2219" s="56">
        <v>0</v>
      </c>
      <c r="T2219" s="56" t="s">
        <v>3562</v>
      </c>
      <c r="V2219" s="56" t="s">
        <v>3561</v>
      </c>
      <c r="W2219" s="56" t="s">
        <v>3548</v>
      </c>
      <c r="X2219" s="56" t="s">
        <v>39</v>
      </c>
      <c r="Y2219" s="56" t="s">
        <v>3617</v>
      </c>
      <c r="Z2219" s="56" t="s">
        <v>4060</v>
      </c>
      <c r="AC2219" s="56" t="s">
        <v>3543</v>
      </c>
      <c r="AD2219" s="56" t="s">
        <v>24</v>
      </c>
      <c r="AE2219" s="56" t="s">
        <v>3862</v>
      </c>
      <c r="AF2219" s="56" t="s">
        <v>4059</v>
      </c>
      <c r="AH2219" s="56" t="s">
        <v>3542</v>
      </c>
      <c r="AI2219" s="56" t="s">
        <v>3723</v>
      </c>
    </row>
    <row r="2220" spans="1:35" ht="33" customHeight="1">
      <c r="A2220" s="56" t="s">
        <v>4063</v>
      </c>
      <c r="B2220" s="57">
        <v>44367.466574074075</v>
      </c>
      <c r="C2220" s="56" t="s">
        <v>3803</v>
      </c>
      <c r="D2220" s="56" t="s">
        <v>3802</v>
      </c>
      <c r="E2220" s="56" t="s">
        <v>4062</v>
      </c>
      <c r="F2220" s="56" t="s">
        <v>4061</v>
      </c>
      <c r="G2220" s="58" t="s">
        <v>3299</v>
      </c>
      <c r="H2220" s="56">
        <v>1</v>
      </c>
      <c r="I2220" s="56" t="s">
        <v>3576</v>
      </c>
      <c r="J2220" s="56">
        <v>260</v>
      </c>
      <c r="K2220" s="56">
        <v>260</v>
      </c>
      <c r="P2220" s="56">
        <v>0</v>
      </c>
      <c r="S2220" s="56">
        <v>0</v>
      </c>
      <c r="T2220" s="56" t="s">
        <v>3562</v>
      </c>
      <c r="V2220" s="56" t="s">
        <v>3561</v>
      </c>
      <c r="W2220" s="56" t="s">
        <v>3548</v>
      </c>
      <c r="X2220" s="56" t="s">
        <v>39</v>
      </c>
      <c r="Y2220" s="56" t="s">
        <v>3617</v>
      </c>
      <c r="Z2220" s="56" t="s">
        <v>4060</v>
      </c>
      <c r="AC2220" s="56" t="s">
        <v>3543</v>
      </c>
      <c r="AD2220" s="56" t="s">
        <v>24</v>
      </c>
      <c r="AE2220" s="56" t="s">
        <v>3862</v>
      </c>
      <c r="AF2220" s="56" t="s">
        <v>4059</v>
      </c>
      <c r="AH2220" s="56" t="s">
        <v>3542</v>
      </c>
      <c r="AI2220" s="56" t="s">
        <v>3723</v>
      </c>
    </row>
    <row r="2221" spans="1:35" ht="33" customHeight="1">
      <c r="A2221" s="56" t="s">
        <v>4063</v>
      </c>
      <c r="B2221" s="57">
        <v>44367.466574074075</v>
      </c>
      <c r="C2221" s="56" t="s">
        <v>3803</v>
      </c>
      <c r="D2221" s="56" t="s">
        <v>3802</v>
      </c>
      <c r="E2221" s="56" t="s">
        <v>4062</v>
      </c>
      <c r="F2221" s="56" t="s">
        <v>4061</v>
      </c>
      <c r="G2221" s="58" t="s">
        <v>1506</v>
      </c>
      <c r="H2221" s="56">
        <v>1</v>
      </c>
      <c r="I2221" s="56" t="s">
        <v>3696</v>
      </c>
      <c r="J2221" s="56">
        <v>299</v>
      </c>
      <c r="K2221" s="56">
        <v>299</v>
      </c>
      <c r="P2221" s="56">
        <v>0</v>
      </c>
      <c r="S2221" s="56">
        <v>0</v>
      </c>
      <c r="T2221" s="56" t="s">
        <v>3562</v>
      </c>
      <c r="V2221" s="56" t="s">
        <v>3561</v>
      </c>
      <c r="W2221" s="56" t="s">
        <v>3548</v>
      </c>
      <c r="X2221" s="56" t="s">
        <v>39</v>
      </c>
      <c r="Y2221" s="56" t="s">
        <v>3617</v>
      </c>
      <c r="Z2221" s="56" t="s">
        <v>4060</v>
      </c>
      <c r="AC2221" s="56" t="s">
        <v>3543</v>
      </c>
      <c r="AD2221" s="56" t="s">
        <v>24</v>
      </c>
      <c r="AE2221" s="56" t="s">
        <v>3862</v>
      </c>
      <c r="AF2221" s="56" t="s">
        <v>4059</v>
      </c>
      <c r="AH2221" s="56" t="s">
        <v>3542</v>
      </c>
      <c r="AI2221" s="56" t="s">
        <v>3723</v>
      </c>
    </row>
    <row r="2222" spans="1:35" ht="33" customHeight="1">
      <c r="A2222" s="56" t="s">
        <v>4063</v>
      </c>
      <c r="B2222" s="57">
        <v>44367.466574074075</v>
      </c>
      <c r="C2222" s="56" t="s">
        <v>3803</v>
      </c>
      <c r="D2222" s="56" t="s">
        <v>3802</v>
      </c>
      <c r="E2222" s="56" t="s">
        <v>4062</v>
      </c>
      <c r="F2222" s="56" t="s">
        <v>4061</v>
      </c>
      <c r="G2222" s="58" t="s">
        <v>3551</v>
      </c>
      <c r="H2222" s="56">
        <v>1</v>
      </c>
      <c r="I2222" s="56" t="s">
        <v>3550</v>
      </c>
      <c r="J2222" s="56">
        <v>0</v>
      </c>
      <c r="K2222" s="56">
        <v>0</v>
      </c>
      <c r="P2222" s="56">
        <v>0</v>
      </c>
      <c r="S2222" s="56">
        <v>0</v>
      </c>
      <c r="T2222" s="56" t="s">
        <v>3562</v>
      </c>
      <c r="V2222" s="56" t="s">
        <v>3561</v>
      </c>
      <c r="W2222" s="56" t="s">
        <v>3548</v>
      </c>
      <c r="X2222" s="56" t="s">
        <v>39</v>
      </c>
      <c r="Y2222" s="56" t="s">
        <v>3617</v>
      </c>
      <c r="Z2222" s="56" t="s">
        <v>4060</v>
      </c>
      <c r="AC2222" s="56" t="s">
        <v>3543</v>
      </c>
      <c r="AD2222" s="56" t="s">
        <v>24</v>
      </c>
      <c r="AE2222" s="56" t="s">
        <v>3862</v>
      </c>
      <c r="AF2222" s="56" t="s">
        <v>4059</v>
      </c>
      <c r="AH2222" s="56" t="s">
        <v>3542</v>
      </c>
      <c r="AI2222" s="56" t="s">
        <v>3723</v>
      </c>
    </row>
    <row r="2223" spans="1:35" ht="33" customHeight="1">
      <c r="A2223" s="56" t="s">
        <v>4058</v>
      </c>
      <c r="B2223" s="57">
        <v>44367.478055555555</v>
      </c>
      <c r="C2223" s="56" t="s">
        <v>3803</v>
      </c>
      <c r="D2223" s="56" t="s">
        <v>25</v>
      </c>
      <c r="E2223" s="56" t="s">
        <v>4057</v>
      </c>
      <c r="F2223" s="56" t="s">
        <v>4056</v>
      </c>
      <c r="G2223" s="58" t="s">
        <v>3656</v>
      </c>
      <c r="H2223" s="56">
        <v>1</v>
      </c>
      <c r="I2223" s="56" t="s">
        <v>3655</v>
      </c>
      <c r="J2223" s="56">
        <v>1107</v>
      </c>
      <c r="K2223" s="56">
        <v>799</v>
      </c>
      <c r="L2223" s="56">
        <v>1153</v>
      </c>
      <c r="M2223" s="56">
        <v>0</v>
      </c>
      <c r="N2223" s="56">
        <v>0</v>
      </c>
      <c r="O2223" s="56">
        <v>100</v>
      </c>
      <c r="P2223" s="56">
        <v>0</v>
      </c>
      <c r="Q2223" s="56">
        <v>1053</v>
      </c>
      <c r="R2223" s="56">
        <v>0</v>
      </c>
      <c r="S2223" s="56">
        <v>0</v>
      </c>
      <c r="T2223" s="56" t="s">
        <v>27</v>
      </c>
      <c r="U2223" s="56">
        <v>1053</v>
      </c>
      <c r="V2223" s="56" t="s">
        <v>3549</v>
      </c>
      <c r="W2223" s="56" t="s">
        <v>3548</v>
      </c>
      <c r="X2223" s="56" t="s">
        <v>3547</v>
      </c>
      <c r="Z2223" s="56" t="s">
        <v>3546</v>
      </c>
      <c r="AA2223" s="56" t="s">
        <v>4055</v>
      </c>
      <c r="AB2223" s="56" t="s">
        <v>4054</v>
      </c>
      <c r="AC2223" s="56" t="s">
        <v>3543</v>
      </c>
      <c r="AH2223" s="56" t="s">
        <v>3542</v>
      </c>
      <c r="AI2223" s="56" t="s">
        <v>3541</v>
      </c>
    </row>
    <row r="2224" spans="1:35" ht="33" customHeight="1">
      <c r="A2224" s="56" t="s">
        <v>4058</v>
      </c>
      <c r="B2224" s="57">
        <v>44367.478055555555</v>
      </c>
      <c r="C2224" s="56" t="s">
        <v>3803</v>
      </c>
      <c r="D2224" s="56" t="s">
        <v>25</v>
      </c>
      <c r="E2224" s="56" t="s">
        <v>4057</v>
      </c>
      <c r="F2224" s="56" t="s">
        <v>4056</v>
      </c>
      <c r="G2224" s="58" t="s">
        <v>1510</v>
      </c>
      <c r="H2224" s="56">
        <v>1</v>
      </c>
      <c r="I2224" s="56" t="s">
        <v>359</v>
      </c>
      <c r="J2224" s="56">
        <v>295</v>
      </c>
      <c r="K2224" s="56">
        <v>295</v>
      </c>
      <c r="P2224" s="56">
        <v>0</v>
      </c>
      <c r="S2224" s="56">
        <v>0</v>
      </c>
      <c r="T2224" s="56" t="s">
        <v>27</v>
      </c>
      <c r="V2224" s="56" t="s">
        <v>3549</v>
      </c>
      <c r="W2224" s="56" t="s">
        <v>3548</v>
      </c>
      <c r="X2224" s="56" t="s">
        <v>3547</v>
      </c>
      <c r="Z2224" s="56" t="s">
        <v>3546</v>
      </c>
      <c r="AA2224" s="56" t="s">
        <v>4055</v>
      </c>
      <c r="AB2224" s="56" t="s">
        <v>4054</v>
      </c>
      <c r="AC2224" s="56" t="s">
        <v>3543</v>
      </c>
      <c r="AH2224" s="56" t="s">
        <v>3542</v>
      </c>
      <c r="AI2224" s="56" t="s">
        <v>3541</v>
      </c>
    </row>
    <row r="2225" spans="1:35" ht="33" customHeight="1">
      <c r="A2225" s="56" t="s">
        <v>4058</v>
      </c>
      <c r="B2225" s="57">
        <v>44367.478055555555</v>
      </c>
      <c r="C2225" s="56" t="s">
        <v>3803</v>
      </c>
      <c r="D2225" s="56" t="s">
        <v>25</v>
      </c>
      <c r="E2225" s="56" t="s">
        <v>4057</v>
      </c>
      <c r="F2225" s="56" t="s">
        <v>4056</v>
      </c>
      <c r="G2225" s="58" t="s">
        <v>3217</v>
      </c>
      <c r="H2225" s="56">
        <v>1</v>
      </c>
      <c r="I2225" s="56" t="s">
        <v>3720</v>
      </c>
      <c r="J2225" s="56">
        <v>59</v>
      </c>
      <c r="K2225" s="56">
        <v>59</v>
      </c>
      <c r="P2225" s="56">
        <v>0</v>
      </c>
      <c r="S2225" s="56">
        <v>0</v>
      </c>
      <c r="T2225" s="56" t="s">
        <v>27</v>
      </c>
      <c r="V2225" s="56" t="s">
        <v>3549</v>
      </c>
      <c r="W2225" s="56" t="s">
        <v>3548</v>
      </c>
      <c r="X2225" s="56" t="s">
        <v>3547</v>
      </c>
      <c r="Z2225" s="56" t="s">
        <v>3546</v>
      </c>
      <c r="AA2225" s="56" t="s">
        <v>4055</v>
      </c>
      <c r="AB2225" s="56" t="s">
        <v>4054</v>
      </c>
      <c r="AC2225" s="56" t="s">
        <v>3543</v>
      </c>
      <c r="AH2225" s="56" t="s">
        <v>3542</v>
      </c>
      <c r="AI2225" s="56" t="s">
        <v>3541</v>
      </c>
    </row>
    <row r="2226" spans="1:35" ht="33" customHeight="1">
      <c r="A2226" s="56" t="s">
        <v>4058</v>
      </c>
      <c r="B2226" s="57">
        <v>44367.478055555555</v>
      </c>
      <c r="C2226" s="56" t="s">
        <v>3803</v>
      </c>
      <c r="D2226" s="56" t="s">
        <v>25</v>
      </c>
      <c r="E2226" s="56" t="s">
        <v>4057</v>
      </c>
      <c r="F2226" s="56" t="s">
        <v>4056</v>
      </c>
      <c r="G2226" s="58" t="s">
        <v>3551</v>
      </c>
      <c r="H2226" s="56">
        <v>1</v>
      </c>
      <c r="I2226" s="56" t="s">
        <v>3550</v>
      </c>
      <c r="J2226" s="56">
        <v>0</v>
      </c>
      <c r="K2226" s="56">
        <v>0</v>
      </c>
      <c r="P2226" s="56">
        <v>0</v>
      </c>
      <c r="S2226" s="56">
        <v>0</v>
      </c>
      <c r="T2226" s="56" t="s">
        <v>27</v>
      </c>
      <c r="V2226" s="56" t="s">
        <v>3549</v>
      </c>
      <c r="W2226" s="56" t="s">
        <v>3548</v>
      </c>
      <c r="X2226" s="56" t="s">
        <v>3547</v>
      </c>
      <c r="Z2226" s="56" t="s">
        <v>3546</v>
      </c>
      <c r="AA2226" s="56" t="s">
        <v>4055</v>
      </c>
      <c r="AB2226" s="56" t="s">
        <v>4054</v>
      </c>
      <c r="AC2226" s="56" t="s">
        <v>3543</v>
      </c>
      <c r="AH2226" s="56" t="s">
        <v>3542</v>
      </c>
      <c r="AI2226" s="56" t="s">
        <v>3541</v>
      </c>
    </row>
    <row r="2227" spans="1:35" ht="33" customHeight="1">
      <c r="A2227" s="56" t="s">
        <v>4053</v>
      </c>
      <c r="B2227" s="57">
        <v>44367.47996527778</v>
      </c>
      <c r="C2227" s="56" t="s">
        <v>3803</v>
      </c>
      <c r="D2227" s="56" t="s">
        <v>25</v>
      </c>
      <c r="E2227" s="56" t="s">
        <v>4052</v>
      </c>
      <c r="F2227" s="56" t="s">
        <v>4051</v>
      </c>
      <c r="G2227" s="58" t="s">
        <v>3570</v>
      </c>
      <c r="H2227" s="56">
        <v>1</v>
      </c>
      <c r="I2227" s="56" t="s">
        <v>3569</v>
      </c>
      <c r="J2227" s="56">
        <v>894</v>
      </c>
      <c r="K2227" s="56">
        <v>750</v>
      </c>
      <c r="L2227" s="56">
        <v>949</v>
      </c>
      <c r="M2227" s="56">
        <v>0</v>
      </c>
      <c r="N2227" s="56">
        <v>0</v>
      </c>
      <c r="O2227" s="56">
        <v>0</v>
      </c>
      <c r="P2227" s="56">
        <v>0</v>
      </c>
      <c r="Q2227" s="56">
        <v>949</v>
      </c>
      <c r="R2227" s="56">
        <v>0</v>
      </c>
      <c r="S2227" s="56">
        <v>0</v>
      </c>
      <c r="T2227" s="56" t="s">
        <v>27</v>
      </c>
      <c r="U2227" s="56">
        <v>949</v>
      </c>
      <c r="V2227" s="56" t="s">
        <v>3549</v>
      </c>
      <c r="W2227" s="56" t="s">
        <v>3548</v>
      </c>
      <c r="X2227" s="56" t="s">
        <v>3547</v>
      </c>
      <c r="Z2227" s="56" t="s">
        <v>3546</v>
      </c>
      <c r="AA2227" s="56" t="s">
        <v>4050</v>
      </c>
      <c r="AB2227" s="56" t="s">
        <v>4049</v>
      </c>
      <c r="AC2227" s="56" t="s">
        <v>3543</v>
      </c>
      <c r="AH2227" s="56" t="s">
        <v>3542</v>
      </c>
      <c r="AI2227" s="56" t="s">
        <v>3541</v>
      </c>
    </row>
    <row r="2228" spans="1:35" ht="33" customHeight="1">
      <c r="A2228" s="56" t="s">
        <v>4053</v>
      </c>
      <c r="B2228" s="57">
        <v>44367.47996527778</v>
      </c>
      <c r="C2228" s="56" t="s">
        <v>3803</v>
      </c>
      <c r="D2228" s="56" t="s">
        <v>25</v>
      </c>
      <c r="E2228" s="56" t="s">
        <v>4052</v>
      </c>
      <c r="F2228" s="56" t="s">
        <v>4051</v>
      </c>
      <c r="G2228" s="58" t="s">
        <v>3693</v>
      </c>
      <c r="H2228" s="56">
        <v>1</v>
      </c>
      <c r="I2228" s="56" t="s">
        <v>3692</v>
      </c>
      <c r="J2228" s="56">
        <v>207</v>
      </c>
      <c r="K2228" s="56">
        <v>199</v>
      </c>
      <c r="P2228" s="56">
        <v>0</v>
      </c>
      <c r="S2228" s="56">
        <v>0</v>
      </c>
      <c r="T2228" s="56" t="s">
        <v>27</v>
      </c>
      <c r="V2228" s="56" t="s">
        <v>3549</v>
      </c>
      <c r="W2228" s="56" t="s">
        <v>3548</v>
      </c>
      <c r="X2228" s="56" t="s">
        <v>3547</v>
      </c>
      <c r="Z2228" s="56" t="s">
        <v>3546</v>
      </c>
      <c r="AA2228" s="56" t="s">
        <v>4050</v>
      </c>
      <c r="AB2228" s="56" t="s">
        <v>4049</v>
      </c>
      <c r="AC2228" s="56" t="s">
        <v>3543</v>
      </c>
      <c r="AH2228" s="56" t="s">
        <v>3542</v>
      </c>
      <c r="AI2228" s="56" t="s">
        <v>3541</v>
      </c>
    </row>
    <row r="2229" spans="1:35" ht="33" customHeight="1">
      <c r="A2229" s="56" t="s">
        <v>4053</v>
      </c>
      <c r="B2229" s="57">
        <v>44367.47996527778</v>
      </c>
      <c r="C2229" s="56" t="s">
        <v>3803</v>
      </c>
      <c r="D2229" s="56" t="s">
        <v>25</v>
      </c>
      <c r="E2229" s="56" t="s">
        <v>4052</v>
      </c>
      <c r="F2229" s="56" t="s">
        <v>4051</v>
      </c>
      <c r="G2229" s="58" t="s">
        <v>3551</v>
      </c>
      <c r="H2229" s="56">
        <v>1</v>
      </c>
      <c r="I2229" s="56" t="s">
        <v>3550</v>
      </c>
      <c r="J2229" s="56">
        <v>0</v>
      </c>
      <c r="K2229" s="56">
        <v>0</v>
      </c>
      <c r="P2229" s="56">
        <v>0</v>
      </c>
      <c r="S2229" s="56">
        <v>0</v>
      </c>
      <c r="T2229" s="56" t="s">
        <v>27</v>
      </c>
      <c r="V2229" s="56" t="s">
        <v>3549</v>
      </c>
      <c r="W2229" s="56" t="s">
        <v>3548</v>
      </c>
      <c r="X2229" s="56" t="s">
        <v>3547</v>
      </c>
      <c r="Z2229" s="56" t="s">
        <v>3546</v>
      </c>
      <c r="AA2229" s="56" t="s">
        <v>4050</v>
      </c>
      <c r="AB2229" s="56" t="s">
        <v>4049</v>
      </c>
      <c r="AC2229" s="56" t="s">
        <v>3543</v>
      </c>
      <c r="AH2229" s="56" t="s">
        <v>3542</v>
      </c>
      <c r="AI2229" s="56" t="s">
        <v>3541</v>
      </c>
    </row>
    <row r="2230" spans="1:35" ht="33" customHeight="1">
      <c r="A2230" s="56" t="s">
        <v>4047</v>
      </c>
      <c r="B2230" s="57">
        <v>44367.498842592591</v>
      </c>
      <c r="C2230" s="56" t="s">
        <v>3803</v>
      </c>
      <c r="D2230" s="56" t="s">
        <v>25</v>
      </c>
      <c r="E2230" s="56" t="s">
        <v>4046</v>
      </c>
      <c r="F2230" s="56" t="s">
        <v>4045</v>
      </c>
      <c r="G2230" s="58" t="s">
        <v>3192</v>
      </c>
      <c r="H2230" s="56">
        <v>1</v>
      </c>
      <c r="I2230" s="56" t="s">
        <v>3722</v>
      </c>
      <c r="J2230" s="56">
        <v>168</v>
      </c>
      <c r="K2230" s="56">
        <v>168</v>
      </c>
      <c r="L2230" s="56">
        <v>1224</v>
      </c>
      <c r="M2230" s="56">
        <v>0</v>
      </c>
      <c r="N2230" s="56">
        <v>0</v>
      </c>
      <c r="O2230" s="56">
        <v>113</v>
      </c>
      <c r="P2230" s="56">
        <v>0</v>
      </c>
      <c r="Q2230" s="56">
        <v>1111</v>
      </c>
      <c r="R2230" s="56">
        <v>0</v>
      </c>
      <c r="S2230" s="56">
        <v>0</v>
      </c>
      <c r="T2230" s="56" t="s">
        <v>27</v>
      </c>
      <c r="U2230" s="56">
        <v>1111</v>
      </c>
      <c r="V2230" s="56" t="s">
        <v>3549</v>
      </c>
      <c r="W2230" s="56" t="s">
        <v>3548</v>
      </c>
      <c r="X2230" s="56" t="s">
        <v>3547</v>
      </c>
      <c r="Z2230" s="56" t="s">
        <v>3546</v>
      </c>
      <c r="AA2230" s="56" t="s">
        <v>4044</v>
      </c>
      <c r="AB2230" s="56" t="s">
        <v>4043</v>
      </c>
      <c r="AC2230" s="56" t="s">
        <v>3543</v>
      </c>
      <c r="AH2230" s="56" t="s">
        <v>3542</v>
      </c>
      <c r="AI2230" s="56" t="s">
        <v>3541</v>
      </c>
    </row>
    <row r="2231" spans="1:35" ht="33" customHeight="1">
      <c r="A2231" s="56" t="s">
        <v>4047</v>
      </c>
      <c r="B2231" s="57">
        <v>44367.498842592591</v>
      </c>
      <c r="C2231" s="56" t="s">
        <v>3803</v>
      </c>
      <c r="D2231" s="56" t="s">
        <v>25</v>
      </c>
      <c r="E2231" s="56" t="s">
        <v>4046</v>
      </c>
      <c r="F2231" s="56" t="s">
        <v>4045</v>
      </c>
      <c r="G2231" s="58" t="s">
        <v>4048</v>
      </c>
      <c r="H2231" s="56">
        <v>1</v>
      </c>
      <c r="I2231" s="56" t="s">
        <v>3669</v>
      </c>
      <c r="J2231" s="56">
        <v>897</v>
      </c>
      <c r="K2231" s="56">
        <v>888</v>
      </c>
      <c r="P2231" s="56">
        <v>0</v>
      </c>
      <c r="S2231" s="56">
        <v>0</v>
      </c>
      <c r="T2231" s="56" t="s">
        <v>27</v>
      </c>
      <c r="V2231" s="56" t="s">
        <v>3549</v>
      </c>
      <c r="W2231" s="56" t="s">
        <v>3548</v>
      </c>
      <c r="X2231" s="56" t="s">
        <v>3547</v>
      </c>
      <c r="Z2231" s="56" t="s">
        <v>3546</v>
      </c>
      <c r="AA2231" s="56" t="s">
        <v>4044</v>
      </c>
      <c r="AB2231" s="56" t="s">
        <v>4043</v>
      </c>
      <c r="AC2231" s="56" t="s">
        <v>3543</v>
      </c>
      <c r="AH2231" s="56" t="s">
        <v>3542</v>
      </c>
      <c r="AI2231" s="56" t="s">
        <v>3541</v>
      </c>
    </row>
    <row r="2232" spans="1:35" ht="33" customHeight="1">
      <c r="A2232" s="56" t="s">
        <v>4047</v>
      </c>
      <c r="B2232" s="57">
        <v>44367.498842592591</v>
      </c>
      <c r="C2232" s="56" t="s">
        <v>3803</v>
      </c>
      <c r="D2232" s="56" t="s">
        <v>25</v>
      </c>
      <c r="E2232" s="56" t="s">
        <v>4046</v>
      </c>
      <c r="F2232" s="56" t="s">
        <v>4045</v>
      </c>
      <c r="G2232" s="58" t="s">
        <v>1517</v>
      </c>
      <c r="H2232" s="56">
        <v>1</v>
      </c>
      <c r="I2232" s="56" t="s">
        <v>3740</v>
      </c>
      <c r="J2232" s="56">
        <v>220</v>
      </c>
      <c r="K2232" s="56">
        <v>168</v>
      </c>
      <c r="P2232" s="56">
        <v>0</v>
      </c>
      <c r="S2232" s="56">
        <v>0</v>
      </c>
      <c r="T2232" s="56" t="s">
        <v>27</v>
      </c>
      <c r="V2232" s="56" t="s">
        <v>3549</v>
      </c>
      <c r="W2232" s="56" t="s">
        <v>3548</v>
      </c>
      <c r="X2232" s="56" t="s">
        <v>3547</v>
      </c>
      <c r="Z2232" s="56" t="s">
        <v>3546</v>
      </c>
      <c r="AA2232" s="56" t="s">
        <v>4044</v>
      </c>
      <c r="AB2232" s="56" t="s">
        <v>4043</v>
      </c>
      <c r="AC2232" s="56" t="s">
        <v>3543</v>
      </c>
      <c r="AH2232" s="56" t="s">
        <v>3542</v>
      </c>
      <c r="AI2232" s="56" t="s">
        <v>3541</v>
      </c>
    </row>
    <row r="2233" spans="1:35" ht="33" customHeight="1">
      <c r="A2233" s="56" t="s">
        <v>4047</v>
      </c>
      <c r="B2233" s="57">
        <v>44367.498842592591</v>
      </c>
      <c r="C2233" s="56" t="s">
        <v>3803</v>
      </c>
      <c r="D2233" s="56" t="s">
        <v>25</v>
      </c>
      <c r="E2233" s="56" t="s">
        <v>4046</v>
      </c>
      <c r="F2233" s="56" t="s">
        <v>4045</v>
      </c>
      <c r="G2233" s="58" t="s">
        <v>3551</v>
      </c>
      <c r="H2233" s="56">
        <v>1</v>
      </c>
      <c r="I2233" s="56" t="s">
        <v>3550</v>
      </c>
      <c r="J2233" s="56">
        <v>0</v>
      </c>
      <c r="K2233" s="56">
        <v>0</v>
      </c>
      <c r="P2233" s="56">
        <v>0</v>
      </c>
      <c r="S2233" s="56">
        <v>0</v>
      </c>
      <c r="T2233" s="56" t="s">
        <v>27</v>
      </c>
      <c r="V2233" s="56" t="s">
        <v>3549</v>
      </c>
      <c r="W2233" s="56" t="s">
        <v>3548</v>
      </c>
      <c r="X2233" s="56" t="s">
        <v>3547</v>
      </c>
      <c r="Z2233" s="56" t="s">
        <v>3546</v>
      </c>
      <c r="AA2233" s="56" t="s">
        <v>4044</v>
      </c>
      <c r="AB2233" s="56" t="s">
        <v>4043</v>
      </c>
      <c r="AC2233" s="56" t="s">
        <v>3543</v>
      </c>
      <c r="AH2233" s="56" t="s">
        <v>3542</v>
      </c>
      <c r="AI2233" s="56" t="s">
        <v>3541</v>
      </c>
    </row>
    <row r="2234" spans="1:35" ht="33" customHeight="1">
      <c r="A2234" s="56" t="s">
        <v>4042</v>
      </c>
      <c r="B2234" s="57">
        <v>44367.49895833333</v>
      </c>
      <c r="C2234" s="56" t="s">
        <v>3554</v>
      </c>
      <c r="D2234" s="56" t="s">
        <v>25</v>
      </c>
      <c r="E2234" s="56" t="s">
        <v>4041</v>
      </c>
      <c r="F2234" s="56" t="s">
        <v>4040</v>
      </c>
      <c r="G2234" s="58" t="s">
        <v>3580</v>
      </c>
      <c r="H2234" s="56">
        <v>1</v>
      </c>
      <c r="I2234" s="56" t="s">
        <v>3579</v>
      </c>
      <c r="J2234" s="56">
        <v>336</v>
      </c>
      <c r="K2234" s="56">
        <v>320</v>
      </c>
      <c r="L2234" s="56">
        <v>320</v>
      </c>
      <c r="M2234" s="56">
        <v>60</v>
      </c>
      <c r="N2234" s="56">
        <v>0</v>
      </c>
      <c r="O2234" s="56">
        <v>0</v>
      </c>
      <c r="P2234" s="56">
        <v>0</v>
      </c>
      <c r="Q2234" s="56">
        <v>380</v>
      </c>
      <c r="R2234" s="56">
        <v>0</v>
      </c>
      <c r="S2234" s="56">
        <v>0</v>
      </c>
      <c r="T2234" s="56" t="s">
        <v>27</v>
      </c>
      <c r="U2234" s="56">
        <v>380</v>
      </c>
      <c r="V2234" s="56" t="s">
        <v>3865</v>
      </c>
      <c r="W2234" s="56" t="s">
        <v>3548</v>
      </c>
      <c r="X2234" s="56" t="s">
        <v>39</v>
      </c>
      <c r="Y2234" s="56" t="s">
        <v>4039</v>
      </c>
      <c r="Z2234" s="56" t="s">
        <v>4038</v>
      </c>
      <c r="AC2234" s="56" t="s">
        <v>3543</v>
      </c>
      <c r="AH2234" s="56" t="s">
        <v>3542</v>
      </c>
      <c r="AI2234" s="56" t="s">
        <v>3541</v>
      </c>
    </row>
    <row r="2235" spans="1:35" ht="33" customHeight="1">
      <c r="A2235" s="56" t="s">
        <v>4042</v>
      </c>
      <c r="B2235" s="57">
        <v>44367.49895833333</v>
      </c>
      <c r="C2235" s="56" t="s">
        <v>3554</v>
      </c>
      <c r="D2235" s="56" t="s">
        <v>25</v>
      </c>
      <c r="E2235" s="56" t="s">
        <v>4041</v>
      </c>
      <c r="F2235" s="56" t="s">
        <v>4040</v>
      </c>
      <c r="G2235" s="58" t="s">
        <v>3551</v>
      </c>
      <c r="H2235" s="56">
        <v>1</v>
      </c>
      <c r="I2235" s="56" t="s">
        <v>3550</v>
      </c>
      <c r="J2235" s="56">
        <v>0</v>
      </c>
      <c r="K2235" s="56">
        <v>0</v>
      </c>
      <c r="P2235" s="56">
        <v>0</v>
      </c>
      <c r="S2235" s="56">
        <v>0</v>
      </c>
      <c r="T2235" s="56" t="s">
        <v>27</v>
      </c>
      <c r="V2235" s="56" t="s">
        <v>3865</v>
      </c>
      <c r="W2235" s="56" t="s">
        <v>3548</v>
      </c>
      <c r="X2235" s="56" t="s">
        <v>39</v>
      </c>
      <c r="Y2235" s="56" t="s">
        <v>4039</v>
      </c>
      <c r="Z2235" s="56" t="s">
        <v>4038</v>
      </c>
      <c r="AC2235" s="56" t="s">
        <v>3543</v>
      </c>
      <c r="AH2235" s="56" t="s">
        <v>3542</v>
      </c>
      <c r="AI2235" s="56" t="s">
        <v>3541</v>
      </c>
    </row>
    <row r="2236" spans="1:35" ht="33" customHeight="1">
      <c r="A2236" s="56" t="s">
        <v>4036</v>
      </c>
      <c r="B2236" s="57">
        <v>44367.522592592592</v>
      </c>
      <c r="C2236" s="56" t="s">
        <v>3803</v>
      </c>
      <c r="D2236" s="56" t="s">
        <v>3802</v>
      </c>
      <c r="E2236" s="56" t="s">
        <v>4035</v>
      </c>
      <c r="F2236" s="56" t="s">
        <v>4034</v>
      </c>
      <c r="G2236" s="58" t="s">
        <v>3811</v>
      </c>
      <c r="H2236" s="56">
        <v>1</v>
      </c>
      <c r="I2236" s="56" t="s">
        <v>3669</v>
      </c>
      <c r="J2236" s="56">
        <v>897</v>
      </c>
      <c r="K2236" s="56">
        <v>888</v>
      </c>
      <c r="L2236" s="56">
        <v>1006</v>
      </c>
      <c r="M2236" s="56">
        <v>0</v>
      </c>
      <c r="N2236" s="56">
        <v>0</v>
      </c>
      <c r="O2236" s="56">
        <v>100</v>
      </c>
      <c r="P2236" s="56">
        <v>0</v>
      </c>
      <c r="Q2236" s="56">
        <v>906</v>
      </c>
      <c r="R2236" s="56">
        <v>0</v>
      </c>
      <c r="S2236" s="56">
        <v>0</v>
      </c>
      <c r="T2236" s="56" t="s">
        <v>3562</v>
      </c>
      <c r="U2236" s="56">
        <v>906</v>
      </c>
      <c r="V2236" s="56" t="s">
        <v>3561</v>
      </c>
      <c r="W2236" s="56" t="s">
        <v>3548</v>
      </c>
      <c r="X2236" s="56" t="s">
        <v>39</v>
      </c>
      <c r="Y2236" s="56" t="s">
        <v>4033</v>
      </c>
      <c r="Z2236" s="56" t="s">
        <v>4032</v>
      </c>
      <c r="AC2236" s="56" t="s">
        <v>3543</v>
      </c>
      <c r="AD2236" s="56" t="s">
        <v>24</v>
      </c>
      <c r="AE2236" s="56" t="s">
        <v>3862</v>
      </c>
      <c r="AF2236" s="56" t="s">
        <v>4031</v>
      </c>
      <c r="AH2236" s="56" t="s">
        <v>3542</v>
      </c>
      <c r="AI2236" s="56" t="s">
        <v>3723</v>
      </c>
    </row>
    <row r="2237" spans="1:35" ht="33" customHeight="1">
      <c r="A2237" s="56" t="s">
        <v>4036</v>
      </c>
      <c r="B2237" s="57">
        <v>44367.522592592592</v>
      </c>
      <c r="C2237" s="56" t="s">
        <v>3803</v>
      </c>
      <c r="D2237" s="56" t="s">
        <v>3802</v>
      </c>
      <c r="E2237" s="56" t="s">
        <v>4035</v>
      </c>
      <c r="F2237" s="56" t="s">
        <v>4034</v>
      </c>
      <c r="G2237" s="58" t="s">
        <v>1354</v>
      </c>
      <c r="H2237" s="56">
        <v>1</v>
      </c>
      <c r="I2237" s="56" t="s">
        <v>4037</v>
      </c>
      <c r="J2237" s="56">
        <v>59</v>
      </c>
      <c r="K2237" s="56">
        <v>59</v>
      </c>
      <c r="P2237" s="56">
        <v>0</v>
      </c>
      <c r="S2237" s="56">
        <v>0</v>
      </c>
      <c r="T2237" s="56" t="s">
        <v>3562</v>
      </c>
      <c r="V2237" s="56" t="s">
        <v>3561</v>
      </c>
      <c r="W2237" s="56" t="s">
        <v>3548</v>
      </c>
      <c r="X2237" s="56" t="s">
        <v>39</v>
      </c>
      <c r="Y2237" s="56" t="s">
        <v>4033</v>
      </c>
      <c r="Z2237" s="56" t="s">
        <v>4032</v>
      </c>
      <c r="AC2237" s="56" t="s">
        <v>3543</v>
      </c>
      <c r="AD2237" s="56" t="s">
        <v>24</v>
      </c>
      <c r="AE2237" s="56" t="s">
        <v>3862</v>
      </c>
      <c r="AF2237" s="56" t="s">
        <v>4031</v>
      </c>
      <c r="AH2237" s="56" t="s">
        <v>3542</v>
      </c>
      <c r="AI2237" s="56" t="s">
        <v>3723</v>
      </c>
    </row>
    <row r="2238" spans="1:35" ht="33" customHeight="1">
      <c r="A2238" s="56" t="s">
        <v>4036</v>
      </c>
      <c r="B2238" s="57">
        <v>44367.522592592592</v>
      </c>
      <c r="C2238" s="56" t="s">
        <v>3803</v>
      </c>
      <c r="D2238" s="56" t="s">
        <v>3802</v>
      </c>
      <c r="E2238" s="56" t="s">
        <v>4035</v>
      </c>
      <c r="F2238" s="56" t="s">
        <v>4034</v>
      </c>
      <c r="G2238" s="58" t="s">
        <v>3217</v>
      </c>
      <c r="H2238" s="56">
        <v>1</v>
      </c>
      <c r="I2238" s="56" t="s">
        <v>3720</v>
      </c>
      <c r="J2238" s="56">
        <v>59</v>
      </c>
      <c r="K2238" s="56">
        <v>59</v>
      </c>
      <c r="P2238" s="56">
        <v>0</v>
      </c>
      <c r="S2238" s="56">
        <v>0</v>
      </c>
      <c r="T2238" s="56" t="s">
        <v>3562</v>
      </c>
      <c r="V2238" s="56" t="s">
        <v>3561</v>
      </c>
      <c r="W2238" s="56" t="s">
        <v>3548</v>
      </c>
      <c r="X2238" s="56" t="s">
        <v>39</v>
      </c>
      <c r="Y2238" s="56" t="s">
        <v>4033</v>
      </c>
      <c r="Z2238" s="56" t="s">
        <v>4032</v>
      </c>
      <c r="AC2238" s="56" t="s">
        <v>3543</v>
      </c>
      <c r="AD2238" s="56" t="s">
        <v>24</v>
      </c>
      <c r="AE2238" s="56" t="s">
        <v>3862</v>
      </c>
      <c r="AF2238" s="56" t="s">
        <v>4031</v>
      </c>
      <c r="AH2238" s="56" t="s">
        <v>3542</v>
      </c>
      <c r="AI2238" s="56" t="s">
        <v>3723</v>
      </c>
    </row>
    <row r="2239" spans="1:35" ht="33" customHeight="1">
      <c r="A2239" s="56" t="s">
        <v>4036</v>
      </c>
      <c r="B2239" s="57">
        <v>44367.522592592592</v>
      </c>
      <c r="C2239" s="56" t="s">
        <v>3803</v>
      </c>
      <c r="D2239" s="56" t="s">
        <v>3802</v>
      </c>
      <c r="E2239" s="56" t="s">
        <v>4035</v>
      </c>
      <c r="F2239" s="56" t="s">
        <v>4034</v>
      </c>
      <c r="G2239" s="58" t="s">
        <v>3551</v>
      </c>
      <c r="H2239" s="56">
        <v>1</v>
      </c>
      <c r="I2239" s="56" t="s">
        <v>3550</v>
      </c>
      <c r="J2239" s="56">
        <v>0</v>
      </c>
      <c r="K2239" s="56">
        <v>0</v>
      </c>
      <c r="P2239" s="56">
        <v>0</v>
      </c>
      <c r="S2239" s="56">
        <v>0</v>
      </c>
      <c r="T2239" s="56" t="s">
        <v>3562</v>
      </c>
      <c r="V2239" s="56" t="s">
        <v>3561</v>
      </c>
      <c r="W2239" s="56" t="s">
        <v>3548</v>
      </c>
      <c r="X2239" s="56" t="s">
        <v>39</v>
      </c>
      <c r="Y2239" s="56" t="s">
        <v>4033</v>
      </c>
      <c r="Z2239" s="56" t="s">
        <v>4032</v>
      </c>
      <c r="AC2239" s="56" t="s">
        <v>3543</v>
      </c>
      <c r="AD2239" s="56" t="s">
        <v>24</v>
      </c>
      <c r="AE2239" s="56" t="s">
        <v>3862</v>
      </c>
      <c r="AF2239" s="56" t="s">
        <v>4031</v>
      </c>
      <c r="AH2239" s="56" t="s">
        <v>3542</v>
      </c>
      <c r="AI2239" s="56" t="s">
        <v>3723</v>
      </c>
    </row>
    <row r="2240" spans="1:35" ht="33" customHeight="1">
      <c r="A2240" s="56" t="s">
        <v>4030</v>
      </c>
      <c r="B2240" s="57">
        <v>44367.522766203707</v>
      </c>
      <c r="C2240" s="56" t="s">
        <v>3803</v>
      </c>
      <c r="D2240" s="56" t="s">
        <v>25</v>
      </c>
      <c r="E2240" s="56" t="s">
        <v>4029</v>
      </c>
      <c r="F2240" s="56" t="s">
        <v>4028</v>
      </c>
      <c r="G2240" s="58" t="s">
        <v>3580</v>
      </c>
      <c r="H2240" s="56">
        <v>1</v>
      </c>
      <c r="I2240" s="56" t="s">
        <v>3579</v>
      </c>
      <c r="J2240" s="56">
        <v>336</v>
      </c>
      <c r="K2240" s="56">
        <v>320</v>
      </c>
      <c r="L2240" s="56">
        <v>1567</v>
      </c>
      <c r="M2240" s="56">
        <v>0</v>
      </c>
      <c r="N2240" s="56">
        <v>0</v>
      </c>
      <c r="O2240" s="56">
        <v>100</v>
      </c>
      <c r="P2240" s="56">
        <v>0</v>
      </c>
      <c r="Q2240" s="56">
        <v>1467</v>
      </c>
      <c r="R2240" s="56">
        <v>0</v>
      </c>
      <c r="S2240" s="56">
        <v>0</v>
      </c>
      <c r="T2240" s="56" t="s">
        <v>27</v>
      </c>
      <c r="U2240" s="56">
        <v>1467</v>
      </c>
      <c r="V2240" s="56" t="s">
        <v>3549</v>
      </c>
      <c r="W2240" s="56" t="s">
        <v>3548</v>
      </c>
      <c r="X2240" s="56" t="s">
        <v>3547</v>
      </c>
      <c r="Z2240" s="56" t="s">
        <v>3546</v>
      </c>
      <c r="AA2240" s="56" t="s">
        <v>4027</v>
      </c>
      <c r="AB2240" s="56" t="s">
        <v>4026</v>
      </c>
      <c r="AC2240" s="56" t="s">
        <v>3543</v>
      </c>
      <c r="AH2240" s="56" t="s">
        <v>3542</v>
      </c>
      <c r="AI2240" s="56" t="s">
        <v>3541</v>
      </c>
    </row>
    <row r="2241" spans="1:35" ht="33" customHeight="1">
      <c r="A2241" s="56" t="s">
        <v>4030</v>
      </c>
      <c r="B2241" s="57">
        <v>44367.522766203707</v>
      </c>
      <c r="C2241" s="56" t="s">
        <v>3803</v>
      </c>
      <c r="D2241" s="56" t="s">
        <v>25</v>
      </c>
      <c r="E2241" s="56" t="s">
        <v>4029</v>
      </c>
      <c r="F2241" s="56" t="s">
        <v>4028</v>
      </c>
      <c r="G2241" s="58" t="s">
        <v>2156</v>
      </c>
      <c r="H2241" s="56">
        <v>1</v>
      </c>
      <c r="I2241" s="56" t="s">
        <v>1376</v>
      </c>
      <c r="J2241" s="56">
        <v>149</v>
      </c>
      <c r="K2241" s="56">
        <v>149</v>
      </c>
      <c r="P2241" s="56">
        <v>0</v>
      </c>
      <c r="S2241" s="56">
        <v>0</v>
      </c>
      <c r="T2241" s="56" t="s">
        <v>27</v>
      </c>
      <c r="V2241" s="56" t="s">
        <v>3549</v>
      </c>
      <c r="W2241" s="56" t="s">
        <v>3548</v>
      </c>
      <c r="X2241" s="56" t="s">
        <v>3547</v>
      </c>
      <c r="Z2241" s="56" t="s">
        <v>3546</v>
      </c>
      <c r="AA2241" s="56" t="s">
        <v>4027</v>
      </c>
      <c r="AB2241" s="56" t="s">
        <v>4026</v>
      </c>
      <c r="AC2241" s="56" t="s">
        <v>3543</v>
      </c>
      <c r="AH2241" s="56" t="s">
        <v>3542</v>
      </c>
      <c r="AI2241" s="56" t="s">
        <v>3541</v>
      </c>
    </row>
    <row r="2242" spans="1:35" ht="33" customHeight="1">
      <c r="A2242" s="56" t="s">
        <v>4030</v>
      </c>
      <c r="B2242" s="57">
        <v>44367.522766203707</v>
      </c>
      <c r="C2242" s="56" t="s">
        <v>3803</v>
      </c>
      <c r="D2242" s="56" t="s">
        <v>25</v>
      </c>
      <c r="E2242" s="56" t="s">
        <v>4029</v>
      </c>
      <c r="F2242" s="56" t="s">
        <v>4028</v>
      </c>
      <c r="G2242" s="58" t="s">
        <v>3299</v>
      </c>
      <c r="H2242" s="56">
        <v>1</v>
      </c>
      <c r="I2242" s="56" t="s">
        <v>3576</v>
      </c>
      <c r="J2242" s="56">
        <v>299</v>
      </c>
      <c r="K2242" s="56">
        <v>299</v>
      </c>
      <c r="P2242" s="56">
        <v>0</v>
      </c>
      <c r="S2242" s="56">
        <v>0</v>
      </c>
      <c r="T2242" s="56" t="s">
        <v>27</v>
      </c>
      <c r="V2242" s="56" t="s">
        <v>3549</v>
      </c>
      <c r="W2242" s="56" t="s">
        <v>3548</v>
      </c>
      <c r="X2242" s="56" t="s">
        <v>3547</v>
      </c>
      <c r="Z2242" s="56" t="s">
        <v>3546</v>
      </c>
      <c r="AA2242" s="56" t="s">
        <v>4027</v>
      </c>
      <c r="AB2242" s="56" t="s">
        <v>4026</v>
      </c>
      <c r="AC2242" s="56" t="s">
        <v>3543</v>
      </c>
      <c r="AH2242" s="56" t="s">
        <v>3542</v>
      </c>
      <c r="AI2242" s="56" t="s">
        <v>3541</v>
      </c>
    </row>
    <row r="2243" spans="1:35" ht="33" customHeight="1">
      <c r="A2243" s="56" t="s">
        <v>4030</v>
      </c>
      <c r="B2243" s="57">
        <v>44367.522766203707</v>
      </c>
      <c r="C2243" s="56" t="s">
        <v>3803</v>
      </c>
      <c r="D2243" s="56" t="s">
        <v>25</v>
      </c>
      <c r="E2243" s="56" t="s">
        <v>4029</v>
      </c>
      <c r="F2243" s="56" t="s">
        <v>4028</v>
      </c>
      <c r="G2243" s="58" t="s">
        <v>3656</v>
      </c>
      <c r="H2243" s="56">
        <v>1</v>
      </c>
      <c r="I2243" s="56" t="s">
        <v>3655</v>
      </c>
      <c r="J2243" s="56">
        <v>1107</v>
      </c>
      <c r="K2243" s="56">
        <v>799</v>
      </c>
      <c r="P2243" s="56">
        <v>0</v>
      </c>
      <c r="S2243" s="56">
        <v>0</v>
      </c>
      <c r="T2243" s="56" t="s">
        <v>27</v>
      </c>
      <c r="V2243" s="56" t="s">
        <v>3549</v>
      </c>
      <c r="W2243" s="56" t="s">
        <v>3548</v>
      </c>
      <c r="X2243" s="56" t="s">
        <v>3547</v>
      </c>
      <c r="Z2243" s="56" t="s">
        <v>3546</v>
      </c>
      <c r="AA2243" s="56" t="s">
        <v>4027</v>
      </c>
      <c r="AB2243" s="56" t="s">
        <v>4026</v>
      </c>
      <c r="AC2243" s="56" t="s">
        <v>3543</v>
      </c>
      <c r="AH2243" s="56" t="s">
        <v>3542</v>
      </c>
      <c r="AI2243" s="56" t="s">
        <v>3541</v>
      </c>
    </row>
    <row r="2244" spans="1:35" ht="33" customHeight="1">
      <c r="A2244" s="56" t="s">
        <v>4030</v>
      </c>
      <c r="B2244" s="57">
        <v>44367.522766203707</v>
      </c>
      <c r="C2244" s="56" t="s">
        <v>3803</v>
      </c>
      <c r="D2244" s="56" t="s">
        <v>25</v>
      </c>
      <c r="E2244" s="56" t="s">
        <v>4029</v>
      </c>
      <c r="F2244" s="56" t="s">
        <v>4028</v>
      </c>
      <c r="G2244" s="58" t="s">
        <v>3551</v>
      </c>
      <c r="H2244" s="56">
        <v>1</v>
      </c>
      <c r="I2244" s="56" t="s">
        <v>3550</v>
      </c>
      <c r="J2244" s="56">
        <v>0</v>
      </c>
      <c r="K2244" s="56">
        <v>0</v>
      </c>
      <c r="P2244" s="56">
        <v>0</v>
      </c>
      <c r="S2244" s="56">
        <v>0</v>
      </c>
      <c r="T2244" s="56" t="s">
        <v>27</v>
      </c>
      <c r="V2244" s="56" t="s">
        <v>3549</v>
      </c>
      <c r="W2244" s="56" t="s">
        <v>3548</v>
      </c>
      <c r="X2244" s="56" t="s">
        <v>3547</v>
      </c>
      <c r="Z2244" s="56" t="s">
        <v>3546</v>
      </c>
      <c r="AA2244" s="56" t="s">
        <v>4027</v>
      </c>
      <c r="AB2244" s="56" t="s">
        <v>4026</v>
      </c>
      <c r="AC2244" s="56" t="s">
        <v>3543</v>
      </c>
      <c r="AH2244" s="56" t="s">
        <v>3542</v>
      </c>
      <c r="AI2244" s="56" t="s">
        <v>3541</v>
      </c>
    </row>
    <row r="2245" spans="1:35" ht="33" customHeight="1">
      <c r="A2245" s="56" t="s">
        <v>4030</v>
      </c>
      <c r="B2245" s="57">
        <v>44367.522766203707</v>
      </c>
      <c r="C2245" s="56" t="s">
        <v>3803</v>
      </c>
      <c r="D2245" s="56" t="s">
        <v>25</v>
      </c>
      <c r="E2245" s="56" t="s">
        <v>4029</v>
      </c>
      <c r="F2245" s="56" t="s">
        <v>4028</v>
      </c>
      <c r="G2245" s="58" t="s">
        <v>1713</v>
      </c>
      <c r="H2245" s="56">
        <v>1</v>
      </c>
      <c r="I2245" s="56" t="s">
        <v>3568</v>
      </c>
      <c r="J2245" s="56">
        <v>0</v>
      </c>
      <c r="K2245" s="56">
        <v>0</v>
      </c>
      <c r="P2245" s="56">
        <v>0</v>
      </c>
      <c r="S2245" s="56">
        <v>0</v>
      </c>
      <c r="T2245" s="56" t="s">
        <v>27</v>
      </c>
      <c r="V2245" s="56" t="s">
        <v>3549</v>
      </c>
      <c r="W2245" s="56" t="s">
        <v>3548</v>
      </c>
      <c r="X2245" s="56" t="s">
        <v>3547</v>
      </c>
      <c r="Z2245" s="56" t="s">
        <v>3546</v>
      </c>
      <c r="AA2245" s="56" t="s">
        <v>4027</v>
      </c>
      <c r="AB2245" s="56" t="s">
        <v>4026</v>
      </c>
      <c r="AC2245" s="56" t="s">
        <v>3543</v>
      </c>
      <c r="AH2245" s="56" t="s">
        <v>3542</v>
      </c>
      <c r="AI2245" s="56" t="s">
        <v>3541</v>
      </c>
    </row>
    <row r="2246" spans="1:35" ht="33" customHeight="1">
      <c r="A2246" s="56" t="s">
        <v>4024</v>
      </c>
      <c r="B2246" s="57">
        <v>44367.534861111111</v>
      </c>
      <c r="C2246" s="56" t="s">
        <v>3803</v>
      </c>
      <c r="D2246" s="56" t="s">
        <v>25</v>
      </c>
      <c r="E2246" s="56" t="s">
        <v>4023</v>
      </c>
      <c r="F2246" s="56" t="s">
        <v>4022</v>
      </c>
      <c r="G2246" s="58" t="s">
        <v>3934</v>
      </c>
      <c r="H2246" s="56">
        <v>1</v>
      </c>
      <c r="I2246" s="56" t="s">
        <v>3602</v>
      </c>
      <c r="J2246" s="56">
        <v>447</v>
      </c>
      <c r="K2246" s="56">
        <v>399</v>
      </c>
      <c r="L2246" s="56">
        <v>1545</v>
      </c>
      <c r="M2246" s="56">
        <v>0</v>
      </c>
      <c r="N2246" s="56">
        <v>0</v>
      </c>
      <c r="O2246" s="56">
        <v>100</v>
      </c>
      <c r="P2246" s="56">
        <v>0</v>
      </c>
      <c r="Q2246" s="56">
        <v>1445</v>
      </c>
      <c r="R2246" s="56">
        <v>0</v>
      </c>
      <c r="S2246" s="56">
        <v>0</v>
      </c>
      <c r="T2246" s="56" t="s">
        <v>27</v>
      </c>
      <c r="U2246" s="56">
        <v>1445</v>
      </c>
      <c r="V2246" s="56" t="s">
        <v>3549</v>
      </c>
      <c r="W2246" s="56" t="s">
        <v>3548</v>
      </c>
      <c r="X2246" s="56" t="s">
        <v>3547</v>
      </c>
      <c r="Z2246" s="56" t="s">
        <v>3546</v>
      </c>
      <c r="AA2246" s="56" t="s">
        <v>4021</v>
      </c>
      <c r="AB2246" s="56" t="s">
        <v>4020</v>
      </c>
      <c r="AC2246" s="56" t="s">
        <v>3543</v>
      </c>
      <c r="AH2246" s="56" t="s">
        <v>3542</v>
      </c>
      <c r="AI2246" s="56" t="s">
        <v>3541</v>
      </c>
    </row>
    <row r="2247" spans="1:35" ht="33" customHeight="1">
      <c r="A2247" s="56" t="s">
        <v>4024</v>
      </c>
      <c r="B2247" s="57">
        <v>44367.534861111111</v>
      </c>
      <c r="C2247" s="56" t="s">
        <v>3803</v>
      </c>
      <c r="D2247" s="56" t="s">
        <v>25</v>
      </c>
      <c r="E2247" s="56" t="s">
        <v>4023</v>
      </c>
      <c r="F2247" s="56" t="s">
        <v>4022</v>
      </c>
      <c r="G2247" s="58" t="s">
        <v>4025</v>
      </c>
      <c r="H2247" s="56">
        <v>1</v>
      </c>
      <c r="I2247" s="56" t="s">
        <v>3602</v>
      </c>
      <c r="J2247" s="56">
        <v>447</v>
      </c>
      <c r="K2247" s="56">
        <v>399</v>
      </c>
      <c r="P2247" s="56">
        <v>0</v>
      </c>
      <c r="S2247" s="56">
        <v>0</v>
      </c>
      <c r="T2247" s="56" t="s">
        <v>27</v>
      </c>
      <c r="V2247" s="56" t="s">
        <v>3549</v>
      </c>
      <c r="W2247" s="56" t="s">
        <v>3548</v>
      </c>
      <c r="X2247" s="56" t="s">
        <v>3547</v>
      </c>
      <c r="Z2247" s="56" t="s">
        <v>3546</v>
      </c>
      <c r="AA2247" s="56" t="s">
        <v>4021</v>
      </c>
      <c r="AB2247" s="56" t="s">
        <v>4020</v>
      </c>
      <c r="AC2247" s="56" t="s">
        <v>3543</v>
      </c>
      <c r="AH2247" s="56" t="s">
        <v>3542</v>
      </c>
      <c r="AI2247" s="56" t="s">
        <v>3541</v>
      </c>
    </row>
    <row r="2248" spans="1:35" ht="33" customHeight="1">
      <c r="A2248" s="56" t="s">
        <v>4024</v>
      </c>
      <c r="B2248" s="57">
        <v>44367.534861111111</v>
      </c>
      <c r="C2248" s="56" t="s">
        <v>3803</v>
      </c>
      <c r="D2248" s="56" t="s">
        <v>25</v>
      </c>
      <c r="E2248" s="56" t="s">
        <v>4023</v>
      </c>
      <c r="F2248" s="56" t="s">
        <v>4022</v>
      </c>
      <c r="G2248" s="58" t="s">
        <v>1506</v>
      </c>
      <c r="H2248" s="56">
        <v>1</v>
      </c>
      <c r="I2248" s="56" t="s">
        <v>3696</v>
      </c>
      <c r="J2248" s="56">
        <v>299</v>
      </c>
      <c r="K2248" s="56">
        <v>299</v>
      </c>
      <c r="P2248" s="56">
        <v>0</v>
      </c>
      <c r="S2248" s="56">
        <v>0</v>
      </c>
      <c r="T2248" s="56" t="s">
        <v>27</v>
      </c>
      <c r="V2248" s="56" t="s">
        <v>3549</v>
      </c>
      <c r="W2248" s="56" t="s">
        <v>3548</v>
      </c>
      <c r="X2248" s="56" t="s">
        <v>3547</v>
      </c>
      <c r="Z2248" s="56" t="s">
        <v>3546</v>
      </c>
      <c r="AA2248" s="56" t="s">
        <v>4021</v>
      </c>
      <c r="AB2248" s="56" t="s">
        <v>4020</v>
      </c>
      <c r="AC2248" s="56" t="s">
        <v>3543</v>
      </c>
      <c r="AH2248" s="56" t="s">
        <v>3542</v>
      </c>
      <c r="AI2248" s="56" t="s">
        <v>3541</v>
      </c>
    </row>
    <row r="2249" spans="1:35" ht="33" customHeight="1">
      <c r="A2249" s="56" t="s">
        <v>4024</v>
      </c>
      <c r="B2249" s="57">
        <v>44367.534861111111</v>
      </c>
      <c r="C2249" s="56" t="s">
        <v>3803</v>
      </c>
      <c r="D2249" s="56" t="s">
        <v>25</v>
      </c>
      <c r="E2249" s="56" t="s">
        <v>4023</v>
      </c>
      <c r="F2249" s="56" t="s">
        <v>4022</v>
      </c>
      <c r="G2249" s="58" t="s">
        <v>1531</v>
      </c>
      <c r="H2249" s="56">
        <v>1</v>
      </c>
      <c r="I2249" s="56" t="s">
        <v>3696</v>
      </c>
      <c r="J2249" s="56">
        <v>299</v>
      </c>
      <c r="K2249" s="56">
        <v>299</v>
      </c>
      <c r="P2249" s="56">
        <v>0</v>
      </c>
      <c r="S2249" s="56">
        <v>0</v>
      </c>
      <c r="T2249" s="56" t="s">
        <v>27</v>
      </c>
      <c r="V2249" s="56" t="s">
        <v>3549</v>
      </c>
      <c r="W2249" s="56" t="s">
        <v>3548</v>
      </c>
      <c r="X2249" s="56" t="s">
        <v>3547</v>
      </c>
      <c r="Z2249" s="56" t="s">
        <v>3546</v>
      </c>
      <c r="AA2249" s="56" t="s">
        <v>4021</v>
      </c>
      <c r="AB2249" s="56" t="s">
        <v>4020</v>
      </c>
      <c r="AC2249" s="56" t="s">
        <v>3543</v>
      </c>
      <c r="AH2249" s="56" t="s">
        <v>3542</v>
      </c>
      <c r="AI2249" s="56" t="s">
        <v>3541</v>
      </c>
    </row>
    <row r="2250" spans="1:35" ht="33" customHeight="1">
      <c r="A2250" s="56" t="s">
        <v>4024</v>
      </c>
      <c r="B2250" s="57">
        <v>44367.534861111111</v>
      </c>
      <c r="C2250" s="56" t="s">
        <v>3803</v>
      </c>
      <c r="D2250" s="56" t="s">
        <v>25</v>
      </c>
      <c r="E2250" s="56" t="s">
        <v>4023</v>
      </c>
      <c r="F2250" s="56" t="s">
        <v>4022</v>
      </c>
      <c r="G2250" s="58" t="s">
        <v>1713</v>
      </c>
      <c r="H2250" s="56">
        <v>1</v>
      </c>
      <c r="I2250" s="56" t="s">
        <v>3587</v>
      </c>
      <c r="J2250" s="56">
        <v>149</v>
      </c>
      <c r="K2250" s="56">
        <v>149</v>
      </c>
      <c r="P2250" s="56">
        <v>0</v>
      </c>
      <c r="S2250" s="56">
        <v>0</v>
      </c>
      <c r="T2250" s="56" t="s">
        <v>27</v>
      </c>
      <c r="V2250" s="56" t="s">
        <v>3549</v>
      </c>
      <c r="W2250" s="56" t="s">
        <v>3548</v>
      </c>
      <c r="X2250" s="56" t="s">
        <v>3547</v>
      </c>
      <c r="Z2250" s="56" t="s">
        <v>3546</v>
      </c>
      <c r="AA2250" s="56" t="s">
        <v>4021</v>
      </c>
      <c r="AB2250" s="56" t="s">
        <v>4020</v>
      </c>
      <c r="AC2250" s="56" t="s">
        <v>3543</v>
      </c>
      <c r="AH2250" s="56" t="s">
        <v>3542</v>
      </c>
      <c r="AI2250" s="56" t="s">
        <v>3541</v>
      </c>
    </row>
    <row r="2251" spans="1:35" ht="33" customHeight="1">
      <c r="A2251" s="56" t="s">
        <v>4024</v>
      </c>
      <c r="B2251" s="57">
        <v>44367.534861111111</v>
      </c>
      <c r="C2251" s="56" t="s">
        <v>3803</v>
      </c>
      <c r="D2251" s="56" t="s">
        <v>25</v>
      </c>
      <c r="E2251" s="56" t="s">
        <v>4023</v>
      </c>
      <c r="F2251" s="56" t="s">
        <v>4022</v>
      </c>
      <c r="G2251" s="58" t="s">
        <v>3551</v>
      </c>
      <c r="H2251" s="56">
        <v>1</v>
      </c>
      <c r="I2251" s="56" t="s">
        <v>3550</v>
      </c>
      <c r="J2251" s="56">
        <v>0</v>
      </c>
      <c r="K2251" s="56">
        <v>0</v>
      </c>
      <c r="P2251" s="56">
        <v>0</v>
      </c>
      <c r="S2251" s="56">
        <v>0</v>
      </c>
      <c r="T2251" s="56" t="s">
        <v>27</v>
      </c>
      <c r="V2251" s="56" t="s">
        <v>3549</v>
      </c>
      <c r="W2251" s="56" t="s">
        <v>3548</v>
      </c>
      <c r="X2251" s="56" t="s">
        <v>3547</v>
      </c>
      <c r="Z2251" s="56" t="s">
        <v>3546</v>
      </c>
      <c r="AA2251" s="56" t="s">
        <v>4021</v>
      </c>
      <c r="AB2251" s="56" t="s">
        <v>4020</v>
      </c>
      <c r="AC2251" s="56" t="s">
        <v>3543</v>
      </c>
      <c r="AH2251" s="56" t="s">
        <v>3542</v>
      </c>
      <c r="AI2251" s="56" t="s">
        <v>3541</v>
      </c>
    </row>
    <row r="2252" spans="1:35" ht="33" customHeight="1">
      <c r="A2252" s="56" t="s">
        <v>4024</v>
      </c>
      <c r="B2252" s="57">
        <v>44367.534861111111</v>
      </c>
      <c r="C2252" s="56" t="s">
        <v>3803</v>
      </c>
      <c r="D2252" s="56" t="s">
        <v>25</v>
      </c>
      <c r="E2252" s="56" t="s">
        <v>4023</v>
      </c>
      <c r="F2252" s="56" t="s">
        <v>4022</v>
      </c>
      <c r="G2252" s="58" t="s">
        <v>1713</v>
      </c>
      <c r="H2252" s="56">
        <v>1</v>
      </c>
      <c r="I2252" s="56" t="s">
        <v>3568</v>
      </c>
      <c r="J2252" s="56">
        <v>0</v>
      </c>
      <c r="K2252" s="56">
        <v>0</v>
      </c>
      <c r="P2252" s="56">
        <v>0</v>
      </c>
      <c r="S2252" s="56">
        <v>0</v>
      </c>
      <c r="T2252" s="56" t="s">
        <v>27</v>
      </c>
      <c r="V2252" s="56" t="s">
        <v>3549</v>
      </c>
      <c r="W2252" s="56" t="s">
        <v>3548</v>
      </c>
      <c r="X2252" s="56" t="s">
        <v>3547</v>
      </c>
      <c r="Z2252" s="56" t="s">
        <v>3546</v>
      </c>
      <c r="AA2252" s="56" t="s">
        <v>4021</v>
      </c>
      <c r="AB2252" s="56" t="s">
        <v>4020</v>
      </c>
      <c r="AC2252" s="56" t="s">
        <v>3543</v>
      </c>
      <c r="AH2252" s="56" t="s">
        <v>3542</v>
      </c>
      <c r="AI2252" s="56" t="s">
        <v>3541</v>
      </c>
    </row>
    <row r="2253" spans="1:35" ht="33" customHeight="1">
      <c r="A2253" s="56" t="s">
        <v>4019</v>
      </c>
      <c r="B2253" s="57">
        <v>44367.544120370374</v>
      </c>
      <c r="C2253" s="56" t="s">
        <v>3803</v>
      </c>
      <c r="D2253" s="56" t="s">
        <v>25</v>
      </c>
      <c r="E2253" s="56" t="s">
        <v>4018</v>
      </c>
      <c r="F2253" s="56" t="s">
        <v>4017</v>
      </c>
      <c r="G2253" s="58" t="s">
        <v>3656</v>
      </c>
      <c r="H2253" s="56">
        <v>1</v>
      </c>
      <c r="I2253" s="56" t="s">
        <v>3655</v>
      </c>
      <c r="J2253" s="56">
        <v>1107</v>
      </c>
      <c r="K2253" s="56">
        <v>799</v>
      </c>
      <c r="L2253" s="56">
        <v>1198</v>
      </c>
      <c r="M2253" s="56">
        <v>0</v>
      </c>
      <c r="N2253" s="56">
        <v>0</v>
      </c>
      <c r="O2253" s="56">
        <v>100</v>
      </c>
      <c r="P2253" s="56">
        <v>0</v>
      </c>
      <c r="Q2253" s="56">
        <v>1098</v>
      </c>
      <c r="R2253" s="56">
        <v>0</v>
      </c>
      <c r="S2253" s="56">
        <v>0</v>
      </c>
      <c r="T2253" s="56" t="s">
        <v>27</v>
      </c>
      <c r="U2253" s="56">
        <v>1098</v>
      </c>
      <c r="V2253" s="56" t="s">
        <v>3612</v>
      </c>
      <c r="W2253" s="56" t="s">
        <v>3548</v>
      </c>
      <c r="X2253" s="56" t="s">
        <v>3611</v>
      </c>
      <c r="Z2253" s="56" t="s">
        <v>3546</v>
      </c>
      <c r="AA2253" s="56" t="s">
        <v>4015</v>
      </c>
      <c r="AB2253" s="56" t="s">
        <v>4014</v>
      </c>
      <c r="AC2253" s="56" t="s">
        <v>3543</v>
      </c>
      <c r="AH2253" s="56" t="s">
        <v>3542</v>
      </c>
      <c r="AI2253" s="56" t="s">
        <v>3541</v>
      </c>
    </row>
    <row r="2254" spans="1:35" ht="33" customHeight="1">
      <c r="A2254" s="56" t="s">
        <v>4019</v>
      </c>
      <c r="B2254" s="57">
        <v>44367.544120370374</v>
      </c>
      <c r="C2254" s="56" t="s">
        <v>3803</v>
      </c>
      <c r="D2254" s="56" t="s">
        <v>25</v>
      </c>
      <c r="E2254" s="56" t="s">
        <v>4018</v>
      </c>
      <c r="F2254" s="56" t="s">
        <v>4017</v>
      </c>
      <c r="G2254" s="58" t="s">
        <v>3603</v>
      </c>
      <c r="H2254" s="56">
        <v>1</v>
      </c>
      <c r="I2254" s="56" t="s">
        <v>3602</v>
      </c>
      <c r="J2254" s="56">
        <v>447</v>
      </c>
      <c r="K2254" s="56">
        <v>399</v>
      </c>
      <c r="P2254" s="56">
        <v>0</v>
      </c>
      <c r="S2254" s="56">
        <v>0</v>
      </c>
      <c r="T2254" s="56" t="s">
        <v>27</v>
      </c>
      <c r="V2254" s="56" t="s">
        <v>3612</v>
      </c>
      <c r="W2254" s="56" t="s">
        <v>3548</v>
      </c>
      <c r="X2254" s="56" t="s">
        <v>3611</v>
      </c>
      <c r="Z2254" s="56" t="s">
        <v>3546</v>
      </c>
      <c r="AA2254" s="56" t="s">
        <v>4015</v>
      </c>
      <c r="AB2254" s="56" t="s">
        <v>4014</v>
      </c>
      <c r="AC2254" s="56" t="s">
        <v>3543</v>
      </c>
      <c r="AH2254" s="56" t="s">
        <v>3542</v>
      </c>
      <c r="AI2254" s="56" t="s">
        <v>3541</v>
      </c>
    </row>
    <row r="2255" spans="1:35" ht="33" customHeight="1">
      <c r="A2255" s="56" t="s">
        <v>4019</v>
      </c>
      <c r="B2255" s="57">
        <v>44367.544120370374</v>
      </c>
      <c r="C2255" s="56" t="s">
        <v>3803</v>
      </c>
      <c r="D2255" s="56" t="s">
        <v>25</v>
      </c>
      <c r="E2255" s="56" t="s">
        <v>4018</v>
      </c>
      <c r="F2255" s="56" t="s">
        <v>4017</v>
      </c>
      <c r="G2255" s="58" t="s">
        <v>3551</v>
      </c>
      <c r="H2255" s="56">
        <v>1</v>
      </c>
      <c r="I2255" s="56" t="s">
        <v>3550</v>
      </c>
      <c r="J2255" s="56">
        <v>0</v>
      </c>
      <c r="K2255" s="56">
        <v>0</v>
      </c>
      <c r="P2255" s="56">
        <v>0</v>
      </c>
      <c r="S2255" s="56">
        <v>0</v>
      </c>
      <c r="T2255" s="56" t="s">
        <v>27</v>
      </c>
      <c r="V2255" s="56" t="s">
        <v>3612</v>
      </c>
      <c r="W2255" s="56" t="s">
        <v>3548</v>
      </c>
      <c r="X2255" s="56" t="s">
        <v>3611</v>
      </c>
      <c r="Z2255" s="56" t="s">
        <v>3546</v>
      </c>
      <c r="AA2255" s="56" t="s">
        <v>4015</v>
      </c>
      <c r="AB2255" s="56" t="s">
        <v>4014</v>
      </c>
      <c r="AC2255" s="56" t="s">
        <v>3543</v>
      </c>
      <c r="AH2255" s="56" t="s">
        <v>3542</v>
      </c>
      <c r="AI2255" s="56" t="s">
        <v>3541</v>
      </c>
    </row>
    <row r="2256" spans="1:35" ht="33" customHeight="1">
      <c r="A2256" s="56" t="s">
        <v>4019</v>
      </c>
      <c r="B2256" s="57">
        <v>44367.544120370374</v>
      </c>
      <c r="C2256" s="56" t="s">
        <v>3803</v>
      </c>
      <c r="D2256" s="56" t="s">
        <v>25</v>
      </c>
      <c r="E2256" s="56" t="s">
        <v>4018</v>
      </c>
      <c r="F2256" s="56" t="s">
        <v>4017</v>
      </c>
      <c r="G2256" s="58" t="s">
        <v>1498</v>
      </c>
      <c r="H2256" s="56">
        <v>1</v>
      </c>
      <c r="I2256" s="56" t="s">
        <v>4016</v>
      </c>
      <c r="J2256" s="56">
        <v>0</v>
      </c>
      <c r="K2256" s="56">
        <v>0</v>
      </c>
      <c r="P2256" s="56">
        <v>0</v>
      </c>
      <c r="S2256" s="56">
        <v>0</v>
      </c>
      <c r="T2256" s="56" t="s">
        <v>27</v>
      </c>
      <c r="V2256" s="56" t="s">
        <v>3612</v>
      </c>
      <c r="W2256" s="56" t="s">
        <v>3548</v>
      </c>
      <c r="X2256" s="56" t="s">
        <v>3611</v>
      </c>
      <c r="Z2256" s="56" t="s">
        <v>3546</v>
      </c>
      <c r="AA2256" s="56" t="s">
        <v>4015</v>
      </c>
      <c r="AB2256" s="56" t="s">
        <v>4014</v>
      </c>
      <c r="AC2256" s="56" t="s">
        <v>3543</v>
      </c>
      <c r="AH2256" s="56" t="s">
        <v>3542</v>
      </c>
      <c r="AI2256" s="56" t="s">
        <v>3541</v>
      </c>
    </row>
    <row r="2257" spans="1:35" ht="33" customHeight="1">
      <c r="A2257" s="56" t="s">
        <v>4013</v>
      </c>
      <c r="B2257" s="57">
        <v>44367.546759259261</v>
      </c>
      <c r="C2257" s="56" t="s">
        <v>3803</v>
      </c>
      <c r="D2257" s="56" t="s">
        <v>25</v>
      </c>
      <c r="E2257" s="56" t="s">
        <v>4012</v>
      </c>
      <c r="F2257" s="56" t="s">
        <v>4011</v>
      </c>
      <c r="G2257" s="58" t="s">
        <v>3681</v>
      </c>
      <c r="H2257" s="56">
        <v>2</v>
      </c>
      <c r="I2257" s="56" t="s">
        <v>3569</v>
      </c>
      <c r="J2257" s="56">
        <v>894</v>
      </c>
      <c r="K2257" s="56">
        <v>750</v>
      </c>
      <c r="L2257" s="56">
        <v>1852</v>
      </c>
      <c r="M2257" s="56">
        <v>0</v>
      </c>
      <c r="N2257" s="56">
        <v>0</v>
      </c>
      <c r="O2257" s="56">
        <v>186</v>
      </c>
      <c r="P2257" s="56">
        <v>0</v>
      </c>
      <c r="Q2257" s="56">
        <v>1666</v>
      </c>
      <c r="R2257" s="56">
        <v>0</v>
      </c>
      <c r="S2257" s="56">
        <v>0</v>
      </c>
      <c r="T2257" s="56" t="s">
        <v>3562</v>
      </c>
      <c r="U2257" s="56">
        <v>1666</v>
      </c>
      <c r="V2257" s="56" t="s">
        <v>59</v>
      </c>
      <c r="W2257" s="56" t="s">
        <v>3548</v>
      </c>
      <c r="X2257" s="56" t="s">
        <v>3765</v>
      </c>
      <c r="Z2257" s="56" t="s">
        <v>3546</v>
      </c>
      <c r="AA2257" s="56" t="s">
        <v>4010</v>
      </c>
      <c r="AB2257" s="56" t="s">
        <v>4009</v>
      </c>
      <c r="AC2257" s="56" t="s">
        <v>3543</v>
      </c>
      <c r="AD2257" s="56" t="s">
        <v>24</v>
      </c>
      <c r="AE2257" s="56" t="s">
        <v>3862</v>
      </c>
      <c r="AF2257" s="56" t="s">
        <v>4008</v>
      </c>
      <c r="AH2257" s="56" t="s">
        <v>3542</v>
      </c>
      <c r="AI2257" s="56" t="s">
        <v>3723</v>
      </c>
    </row>
    <row r="2258" spans="1:35" ht="33" customHeight="1">
      <c r="A2258" s="56" t="s">
        <v>4013</v>
      </c>
      <c r="B2258" s="57">
        <v>44367.546759259261</v>
      </c>
      <c r="C2258" s="56" t="s">
        <v>3803</v>
      </c>
      <c r="D2258" s="56" t="s">
        <v>25</v>
      </c>
      <c r="E2258" s="56" t="s">
        <v>4012</v>
      </c>
      <c r="F2258" s="56" t="s">
        <v>4011</v>
      </c>
      <c r="G2258" s="58" t="s">
        <v>3219</v>
      </c>
      <c r="H2258" s="56">
        <v>1</v>
      </c>
      <c r="I2258" s="56" t="s">
        <v>3595</v>
      </c>
      <c r="J2258" s="56">
        <v>59</v>
      </c>
      <c r="K2258" s="56">
        <v>59</v>
      </c>
      <c r="P2258" s="56">
        <v>0</v>
      </c>
      <c r="S2258" s="56">
        <v>0</v>
      </c>
      <c r="T2258" s="56" t="s">
        <v>3562</v>
      </c>
      <c r="V2258" s="56" t="s">
        <v>59</v>
      </c>
      <c r="W2258" s="56" t="s">
        <v>3548</v>
      </c>
      <c r="X2258" s="56" t="s">
        <v>3765</v>
      </c>
      <c r="Z2258" s="56" t="s">
        <v>3546</v>
      </c>
      <c r="AA2258" s="56" t="s">
        <v>4010</v>
      </c>
      <c r="AB2258" s="56" t="s">
        <v>4009</v>
      </c>
      <c r="AC2258" s="56" t="s">
        <v>3543</v>
      </c>
      <c r="AD2258" s="56" t="s">
        <v>24</v>
      </c>
      <c r="AE2258" s="56" t="s">
        <v>3862</v>
      </c>
      <c r="AF2258" s="56" t="s">
        <v>4008</v>
      </c>
      <c r="AH2258" s="56" t="s">
        <v>3542</v>
      </c>
      <c r="AI2258" s="56" t="s">
        <v>3723</v>
      </c>
    </row>
    <row r="2259" spans="1:35" ht="33" customHeight="1">
      <c r="A2259" s="56" t="s">
        <v>4013</v>
      </c>
      <c r="B2259" s="57">
        <v>44367.546759259261</v>
      </c>
      <c r="C2259" s="56" t="s">
        <v>3803</v>
      </c>
      <c r="D2259" s="56" t="s">
        <v>25</v>
      </c>
      <c r="E2259" s="56" t="s">
        <v>4012</v>
      </c>
      <c r="F2259" s="56" t="s">
        <v>4011</v>
      </c>
      <c r="G2259" s="58" t="s">
        <v>2161</v>
      </c>
      <c r="H2259" s="56">
        <v>1</v>
      </c>
      <c r="I2259" s="56" t="s">
        <v>3694</v>
      </c>
      <c r="J2259" s="56">
        <v>128</v>
      </c>
      <c r="K2259" s="56">
        <v>128</v>
      </c>
      <c r="P2259" s="56">
        <v>0</v>
      </c>
      <c r="S2259" s="56">
        <v>0</v>
      </c>
      <c r="T2259" s="56" t="s">
        <v>3562</v>
      </c>
      <c r="V2259" s="56" t="s">
        <v>59</v>
      </c>
      <c r="W2259" s="56" t="s">
        <v>3548</v>
      </c>
      <c r="X2259" s="56" t="s">
        <v>3765</v>
      </c>
      <c r="Z2259" s="56" t="s">
        <v>3546</v>
      </c>
      <c r="AA2259" s="56" t="s">
        <v>4010</v>
      </c>
      <c r="AB2259" s="56" t="s">
        <v>4009</v>
      </c>
      <c r="AC2259" s="56" t="s">
        <v>3543</v>
      </c>
      <c r="AD2259" s="56" t="s">
        <v>24</v>
      </c>
      <c r="AE2259" s="56" t="s">
        <v>3862</v>
      </c>
      <c r="AF2259" s="56" t="s">
        <v>4008</v>
      </c>
      <c r="AH2259" s="56" t="s">
        <v>3542</v>
      </c>
      <c r="AI2259" s="56" t="s">
        <v>3723</v>
      </c>
    </row>
    <row r="2260" spans="1:35" ht="33" customHeight="1">
      <c r="A2260" s="56" t="s">
        <v>4013</v>
      </c>
      <c r="B2260" s="57">
        <v>44367.546759259261</v>
      </c>
      <c r="C2260" s="56" t="s">
        <v>3803</v>
      </c>
      <c r="D2260" s="56" t="s">
        <v>25</v>
      </c>
      <c r="E2260" s="56" t="s">
        <v>4012</v>
      </c>
      <c r="F2260" s="56" t="s">
        <v>4011</v>
      </c>
      <c r="G2260" s="58" t="s">
        <v>1514</v>
      </c>
      <c r="H2260" s="56">
        <v>1</v>
      </c>
      <c r="I2260" s="56" t="s">
        <v>3797</v>
      </c>
      <c r="J2260" s="56">
        <v>165</v>
      </c>
      <c r="K2260" s="56">
        <v>165</v>
      </c>
      <c r="P2260" s="56">
        <v>0</v>
      </c>
      <c r="S2260" s="56">
        <v>0</v>
      </c>
      <c r="T2260" s="56" t="s">
        <v>3562</v>
      </c>
      <c r="V2260" s="56" t="s">
        <v>59</v>
      </c>
      <c r="W2260" s="56" t="s">
        <v>3548</v>
      </c>
      <c r="X2260" s="56" t="s">
        <v>3765</v>
      </c>
      <c r="Z2260" s="56" t="s">
        <v>3546</v>
      </c>
      <c r="AA2260" s="56" t="s">
        <v>4010</v>
      </c>
      <c r="AB2260" s="56" t="s">
        <v>4009</v>
      </c>
      <c r="AC2260" s="56" t="s">
        <v>3543</v>
      </c>
      <c r="AD2260" s="56" t="s">
        <v>24</v>
      </c>
      <c r="AE2260" s="56" t="s">
        <v>3862</v>
      </c>
      <c r="AF2260" s="56" t="s">
        <v>4008</v>
      </c>
      <c r="AH2260" s="56" t="s">
        <v>3542</v>
      </c>
      <c r="AI2260" s="56" t="s">
        <v>3723</v>
      </c>
    </row>
    <row r="2261" spans="1:35" ht="33" customHeight="1">
      <c r="A2261" s="56" t="s">
        <v>4013</v>
      </c>
      <c r="B2261" s="57">
        <v>44367.546759259261</v>
      </c>
      <c r="C2261" s="56" t="s">
        <v>3803</v>
      </c>
      <c r="D2261" s="56" t="s">
        <v>25</v>
      </c>
      <c r="E2261" s="56" t="s">
        <v>4012</v>
      </c>
      <c r="F2261" s="56" t="s">
        <v>4011</v>
      </c>
      <c r="G2261" s="58" t="s">
        <v>3551</v>
      </c>
      <c r="H2261" s="56">
        <v>1</v>
      </c>
      <c r="I2261" s="56" t="s">
        <v>3550</v>
      </c>
      <c r="J2261" s="56">
        <v>0</v>
      </c>
      <c r="K2261" s="56">
        <v>0</v>
      </c>
      <c r="P2261" s="56">
        <v>0</v>
      </c>
      <c r="S2261" s="56">
        <v>0</v>
      </c>
      <c r="T2261" s="56" t="s">
        <v>3562</v>
      </c>
      <c r="V2261" s="56" t="s">
        <v>59</v>
      </c>
      <c r="W2261" s="56" t="s">
        <v>3548</v>
      </c>
      <c r="X2261" s="56" t="s">
        <v>3765</v>
      </c>
      <c r="Z2261" s="56" t="s">
        <v>3546</v>
      </c>
      <c r="AA2261" s="56" t="s">
        <v>4010</v>
      </c>
      <c r="AB2261" s="56" t="s">
        <v>4009</v>
      </c>
      <c r="AC2261" s="56" t="s">
        <v>3543</v>
      </c>
      <c r="AD2261" s="56" t="s">
        <v>24</v>
      </c>
      <c r="AE2261" s="56" t="s">
        <v>3862</v>
      </c>
      <c r="AF2261" s="56" t="s">
        <v>4008</v>
      </c>
      <c r="AH2261" s="56" t="s">
        <v>3542</v>
      </c>
      <c r="AI2261" s="56" t="s">
        <v>3723</v>
      </c>
    </row>
    <row r="2262" spans="1:35" ht="33" customHeight="1">
      <c r="A2262" s="56" t="s">
        <v>4013</v>
      </c>
      <c r="B2262" s="57">
        <v>44367.546759259261</v>
      </c>
      <c r="C2262" s="56" t="s">
        <v>3803</v>
      </c>
      <c r="D2262" s="56" t="s">
        <v>25</v>
      </c>
      <c r="E2262" s="56" t="s">
        <v>4012</v>
      </c>
      <c r="F2262" s="56" t="s">
        <v>4011</v>
      </c>
      <c r="G2262" s="58" t="s">
        <v>1713</v>
      </c>
      <c r="H2262" s="56">
        <v>1</v>
      </c>
      <c r="I2262" s="56" t="s">
        <v>3568</v>
      </c>
      <c r="J2262" s="56">
        <v>0</v>
      </c>
      <c r="K2262" s="56">
        <v>0</v>
      </c>
      <c r="P2262" s="56">
        <v>0</v>
      </c>
      <c r="S2262" s="56">
        <v>0</v>
      </c>
      <c r="T2262" s="56" t="s">
        <v>3562</v>
      </c>
      <c r="V2262" s="56" t="s">
        <v>59</v>
      </c>
      <c r="W2262" s="56" t="s">
        <v>3548</v>
      </c>
      <c r="X2262" s="56" t="s">
        <v>3765</v>
      </c>
      <c r="Z2262" s="56" t="s">
        <v>3546</v>
      </c>
      <c r="AA2262" s="56" t="s">
        <v>4010</v>
      </c>
      <c r="AB2262" s="56" t="s">
        <v>4009</v>
      </c>
      <c r="AC2262" s="56" t="s">
        <v>3543</v>
      </c>
      <c r="AD2262" s="56" t="s">
        <v>24</v>
      </c>
      <c r="AE2262" s="56" t="s">
        <v>3862</v>
      </c>
      <c r="AF2262" s="56" t="s">
        <v>4008</v>
      </c>
      <c r="AH2262" s="56" t="s">
        <v>3542</v>
      </c>
      <c r="AI2262" s="56" t="s">
        <v>3723</v>
      </c>
    </row>
    <row r="2263" spans="1:35" ht="33" customHeight="1">
      <c r="A2263" s="56" t="s">
        <v>4006</v>
      </c>
      <c r="B2263" s="57">
        <v>44367.548043981478</v>
      </c>
      <c r="C2263" s="56" t="s">
        <v>3803</v>
      </c>
      <c r="D2263" s="56" t="s">
        <v>25</v>
      </c>
      <c r="E2263" s="56" t="s">
        <v>4005</v>
      </c>
      <c r="F2263" s="56" t="s">
        <v>4004</v>
      </c>
      <c r="G2263" s="58" t="s">
        <v>4007</v>
      </c>
      <c r="H2263" s="56">
        <v>1</v>
      </c>
      <c r="I2263" s="56" t="s">
        <v>3655</v>
      </c>
      <c r="J2263" s="56">
        <v>1107</v>
      </c>
      <c r="K2263" s="56">
        <v>799</v>
      </c>
      <c r="L2263" s="56">
        <v>1083</v>
      </c>
      <c r="M2263" s="56">
        <v>0</v>
      </c>
      <c r="N2263" s="56">
        <v>0</v>
      </c>
      <c r="O2263" s="56">
        <v>100</v>
      </c>
      <c r="P2263" s="56">
        <v>0</v>
      </c>
      <c r="Q2263" s="56">
        <v>983</v>
      </c>
      <c r="R2263" s="56">
        <v>0</v>
      </c>
      <c r="S2263" s="56">
        <v>0</v>
      </c>
      <c r="T2263" s="56" t="s">
        <v>27</v>
      </c>
      <c r="U2263" s="56">
        <v>983</v>
      </c>
      <c r="V2263" s="56" t="s">
        <v>3612</v>
      </c>
      <c r="W2263" s="56" t="s">
        <v>3548</v>
      </c>
      <c r="X2263" s="56" t="s">
        <v>3611</v>
      </c>
      <c r="Z2263" s="56" t="s">
        <v>3546</v>
      </c>
      <c r="AA2263" s="56" t="s">
        <v>4003</v>
      </c>
      <c r="AB2263" s="56" t="s">
        <v>4002</v>
      </c>
      <c r="AC2263" s="56" t="s">
        <v>3543</v>
      </c>
      <c r="AH2263" s="56" t="s">
        <v>3542</v>
      </c>
      <c r="AI2263" s="56" t="s">
        <v>3541</v>
      </c>
    </row>
    <row r="2264" spans="1:35" ht="33" customHeight="1">
      <c r="A2264" s="56" t="s">
        <v>4006</v>
      </c>
      <c r="B2264" s="57">
        <v>44367.548043981478</v>
      </c>
      <c r="C2264" s="56" t="s">
        <v>3803</v>
      </c>
      <c r="D2264" s="56" t="s">
        <v>25</v>
      </c>
      <c r="E2264" s="56" t="s">
        <v>4005</v>
      </c>
      <c r="F2264" s="56" t="s">
        <v>4004</v>
      </c>
      <c r="G2264" s="58" t="s">
        <v>1713</v>
      </c>
      <c r="H2264" s="56">
        <v>1</v>
      </c>
      <c r="I2264" s="56" t="s">
        <v>3587</v>
      </c>
      <c r="J2264" s="56">
        <v>149</v>
      </c>
      <c r="K2264" s="56">
        <v>149</v>
      </c>
      <c r="P2264" s="56">
        <v>0</v>
      </c>
      <c r="S2264" s="56">
        <v>0</v>
      </c>
      <c r="T2264" s="56" t="s">
        <v>27</v>
      </c>
      <c r="V2264" s="56" t="s">
        <v>3612</v>
      </c>
      <c r="W2264" s="56" t="s">
        <v>3548</v>
      </c>
      <c r="X2264" s="56" t="s">
        <v>3611</v>
      </c>
      <c r="Z2264" s="56" t="s">
        <v>3546</v>
      </c>
      <c r="AA2264" s="56" t="s">
        <v>4003</v>
      </c>
      <c r="AB2264" s="56" t="s">
        <v>4002</v>
      </c>
      <c r="AC2264" s="56" t="s">
        <v>3543</v>
      </c>
      <c r="AH2264" s="56" t="s">
        <v>3542</v>
      </c>
      <c r="AI2264" s="56" t="s">
        <v>3541</v>
      </c>
    </row>
    <row r="2265" spans="1:35" ht="33" customHeight="1">
      <c r="A2265" s="56" t="s">
        <v>4006</v>
      </c>
      <c r="B2265" s="57">
        <v>44367.548043981478</v>
      </c>
      <c r="C2265" s="56" t="s">
        <v>3803</v>
      </c>
      <c r="D2265" s="56" t="s">
        <v>25</v>
      </c>
      <c r="E2265" s="56" t="s">
        <v>4005</v>
      </c>
      <c r="F2265" s="56" t="s">
        <v>4004</v>
      </c>
      <c r="G2265" s="58" t="s">
        <v>1493</v>
      </c>
      <c r="H2265" s="56">
        <v>1</v>
      </c>
      <c r="I2265" s="56" t="s">
        <v>3601</v>
      </c>
      <c r="J2265" s="56">
        <v>135</v>
      </c>
      <c r="K2265" s="56">
        <v>135</v>
      </c>
      <c r="P2265" s="56">
        <v>0</v>
      </c>
      <c r="S2265" s="56">
        <v>0</v>
      </c>
      <c r="T2265" s="56" t="s">
        <v>27</v>
      </c>
      <c r="V2265" s="56" t="s">
        <v>3612</v>
      </c>
      <c r="W2265" s="56" t="s">
        <v>3548</v>
      </c>
      <c r="X2265" s="56" t="s">
        <v>3611</v>
      </c>
      <c r="Z2265" s="56" t="s">
        <v>3546</v>
      </c>
      <c r="AA2265" s="56" t="s">
        <v>4003</v>
      </c>
      <c r="AB2265" s="56" t="s">
        <v>4002</v>
      </c>
      <c r="AC2265" s="56" t="s">
        <v>3543</v>
      </c>
      <c r="AH2265" s="56" t="s">
        <v>3542</v>
      </c>
      <c r="AI2265" s="56" t="s">
        <v>3541</v>
      </c>
    </row>
    <row r="2266" spans="1:35" ht="33" customHeight="1">
      <c r="A2266" s="56" t="s">
        <v>4006</v>
      </c>
      <c r="B2266" s="57">
        <v>44367.548043981478</v>
      </c>
      <c r="C2266" s="56" t="s">
        <v>3803</v>
      </c>
      <c r="D2266" s="56" t="s">
        <v>25</v>
      </c>
      <c r="E2266" s="56" t="s">
        <v>4005</v>
      </c>
      <c r="F2266" s="56" t="s">
        <v>4004</v>
      </c>
      <c r="G2266" s="58" t="s">
        <v>3551</v>
      </c>
      <c r="H2266" s="56">
        <v>1</v>
      </c>
      <c r="I2266" s="56" t="s">
        <v>3550</v>
      </c>
      <c r="J2266" s="56">
        <v>0</v>
      </c>
      <c r="K2266" s="56">
        <v>0</v>
      </c>
      <c r="P2266" s="56">
        <v>0</v>
      </c>
      <c r="S2266" s="56">
        <v>0</v>
      </c>
      <c r="T2266" s="56" t="s">
        <v>27</v>
      </c>
      <c r="V2266" s="56" t="s">
        <v>3612</v>
      </c>
      <c r="W2266" s="56" t="s">
        <v>3548</v>
      </c>
      <c r="X2266" s="56" t="s">
        <v>3611</v>
      </c>
      <c r="Z2266" s="56" t="s">
        <v>3546</v>
      </c>
      <c r="AA2266" s="56" t="s">
        <v>4003</v>
      </c>
      <c r="AB2266" s="56" t="s">
        <v>4002</v>
      </c>
      <c r="AC2266" s="56" t="s">
        <v>3543</v>
      </c>
      <c r="AH2266" s="56" t="s">
        <v>3542</v>
      </c>
      <c r="AI2266" s="56" t="s">
        <v>3541</v>
      </c>
    </row>
    <row r="2267" spans="1:35" ht="33" customHeight="1">
      <c r="A2267" s="56" t="s">
        <v>4001</v>
      </c>
      <c r="B2267" s="57">
        <v>44367.566134259258</v>
      </c>
      <c r="C2267" s="56" t="s">
        <v>3803</v>
      </c>
      <c r="D2267" s="56" t="s">
        <v>3802</v>
      </c>
      <c r="E2267" s="56" t="s">
        <v>4000</v>
      </c>
      <c r="F2267" s="56" t="s">
        <v>3999</v>
      </c>
      <c r="G2267" s="58" t="s">
        <v>1508</v>
      </c>
      <c r="H2267" s="56">
        <v>1</v>
      </c>
      <c r="I2267" s="56" t="s">
        <v>3696</v>
      </c>
      <c r="J2267" s="56">
        <v>299</v>
      </c>
      <c r="K2267" s="56">
        <v>299</v>
      </c>
      <c r="L2267" s="56">
        <v>1497</v>
      </c>
      <c r="M2267" s="56">
        <v>0</v>
      </c>
      <c r="N2267" s="56">
        <v>0</v>
      </c>
      <c r="O2267" s="56">
        <v>100</v>
      </c>
      <c r="P2267" s="56">
        <v>0</v>
      </c>
      <c r="Q2267" s="56">
        <v>1397</v>
      </c>
      <c r="R2267" s="56">
        <v>0</v>
      </c>
      <c r="S2267" s="56">
        <v>0</v>
      </c>
      <c r="T2267" s="56" t="s">
        <v>3562</v>
      </c>
      <c r="U2267" s="56">
        <v>1397</v>
      </c>
      <c r="V2267" s="56" t="s">
        <v>59</v>
      </c>
      <c r="W2267" s="56" t="s">
        <v>3548</v>
      </c>
      <c r="X2267" s="56" t="s">
        <v>39</v>
      </c>
      <c r="Y2267" s="56" t="s">
        <v>3998</v>
      </c>
      <c r="Z2267" s="56" t="s">
        <v>3997</v>
      </c>
      <c r="AC2267" s="56" t="s">
        <v>3623</v>
      </c>
      <c r="AD2267" s="56" t="s">
        <v>24</v>
      </c>
      <c r="AE2267" s="56" t="s">
        <v>3862</v>
      </c>
      <c r="AF2267" s="56" t="s">
        <v>3996</v>
      </c>
      <c r="AG2267" s="56" t="s">
        <v>3995</v>
      </c>
      <c r="AH2267" s="56" t="s">
        <v>3621</v>
      </c>
      <c r="AI2267" s="56" t="s">
        <v>3723</v>
      </c>
    </row>
    <row r="2268" spans="1:35" ht="33" customHeight="1">
      <c r="A2268" s="56" t="s">
        <v>4001</v>
      </c>
      <c r="B2268" s="57">
        <v>44367.566134259258</v>
      </c>
      <c r="C2268" s="56" t="s">
        <v>3803</v>
      </c>
      <c r="D2268" s="56" t="s">
        <v>3802</v>
      </c>
      <c r="E2268" s="56" t="s">
        <v>4000</v>
      </c>
      <c r="F2268" s="56" t="s">
        <v>3999</v>
      </c>
      <c r="G2268" s="58" t="s">
        <v>3171</v>
      </c>
      <c r="H2268" s="56">
        <v>1</v>
      </c>
      <c r="I2268" s="56" t="s">
        <v>3695</v>
      </c>
      <c r="J2268" s="56">
        <v>399</v>
      </c>
      <c r="K2268" s="56">
        <v>399</v>
      </c>
      <c r="P2268" s="56">
        <v>0</v>
      </c>
      <c r="S2268" s="56">
        <v>0</v>
      </c>
      <c r="T2268" s="56" t="s">
        <v>3562</v>
      </c>
      <c r="V2268" s="56" t="s">
        <v>59</v>
      </c>
      <c r="W2268" s="56" t="s">
        <v>3548</v>
      </c>
      <c r="X2268" s="56" t="s">
        <v>39</v>
      </c>
      <c r="Y2268" s="56" t="s">
        <v>3998</v>
      </c>
      <c r="Z2268" s="56" t="s">
        <v>3997</v>
      </c>
      <c r="AC2268" s="56" t="s">
        <v>3623</v>
      </c>
      <c r="AD2268" s="56" t="s">
        <v>24</v>
      </c>
      <c r="AE2268" s="56" t="s">
        <v>3862</v>
      </c>
      <c r="AF2268" s="56" t="s">
        <v>3996</v>
      </c>
      <c r="AG2268" s="56" t="s">
        <v>3995</v>
      </c>
      <c r="AH2268" s="56" t="s">
        <v>3621</v>
      </c>
      <c r="AI2268" s="56" t="s">
        <v>3723</v>
      </c>
    </row>
    <row r="2269" spans="1:35" ht="33" customHeight="1">
      <c r="A2269" s="56" t="s">
        <v>4001</v>
      </c>
      <c r="B2269" s="57">
        <v>44367.566134259258</v>
      </c>
      <c r="C2269" s="56" t="s">
        <v>3803</v>
      </c>
      <c r="D2269" s="56" t="s">
        <v>3802</v>
      </c>
      <c r="E2269" s="56" t="s">
        <v>4000</v>
      </c>
      <c r="F2269" s="56" t="s">
        <v>3999</v>
      </c>
      <c r="G2269" s="58" t="s">
        <v>3656</v>
      </c>
      <c r="H2269" s="56">
        <v>1</v>
      </c>
      <c r="I2269" s="56" t="s">
        <v>3655</v>
      </c>
      <c r="J2269" s="56">
        <v>1107</v>
      </c>
      <c r="K2269" s="56">
        <v>799</v>
      </c>
      <c r="P2269" s="56">
        <v>0</v>
      </c>
      <c r="S2269" s="56">
        <v>0</v>
      </c>
      <c r="T2269" s="56" t="s">
        <v>3562</v>
      </c>
      <c r="V2269" s="56" t="s">
        <v>59</v>
      </c>
      <c r="W2269" s="56" t="s">
        <v>3548</v>
      </c>
      <c r="X2269" s="56" t="s">
        <v>39</v>
      </c>
      <c r="Y2269" s="56" t="s">
        <v>3998</v>
      </c>
      <c r="Z2269" s="56" t="s">
        <v>3997</v>
      </c>
      <c r="AC2269" s="56" t="s">
        <v>3623</v>
      </c>
      <c r="AD2269" s="56" t="s">
        <v>24</v>
      </c>
      <c r="AE2269" s="56" t="s">
        <v>3862</v>
      </c>
      <c r="AF2269" s="56" t="s">
        <v>3996</v>
      </c>
      <c r="AG2269" s="56" t="s">
        <v>3995</v>
      </c>
      <c r="AH2269" s="56" t="s">
        <v>3621</v>
      </c>
      <c r="AI2269" s="56" t="s">
        <v>3723</v>
      </c>
    </row>
    <row r="2270" spans="1:35" ht="33" customHeight="1">
      <c r="A2270" s="56" t="s">
        <v>4001</v>
      </c>
      <c r="B2270" s="57">
        <v>44367.566134259258</v>
      </c>
      <c r="C2270" s="56" t="s">
        <v>3803</v>
      </c>
      <c r="D2270" s="56" t="s">
        <v>3802</v>
      </c>
      <c r="E2270" s="56" t="s">
        <v>4000</v>
      </c>
      <c r="F2270" s="56" t="s">
        <v>3999</v>
      </c>
      <c r="G2270" s="58" t="s">
        <v>3551</v>
      </c>
      <c r="H2270" s="56">
        <v>1</v>
      </c>
      <c r="I2270" s="56" t="s">
        <v>3550</v>
      </c>
      <c r="J2270" s="56">
        <v>0</v>
      </c>
      <c r="K2270" s="56">
        <v>0</v>
      </c>
      <c r="P2270" s="56">
        <v>0</v>
      </c>
      <c r="S2270" s="56">
        <v>0</v>
      </c>
      <c r="T2270" s="56" t="s">
        <v>3562</v>
      </c>
      <c r="V2270" s="56" t="s">
        <v>59</v>
      </c>
      <c r="W2270" s="56" t="s">
        <v>3548</v>
      </c>
      <c r="X2270" s="56" t="s">
        <v>39</v>
      </c>
      <c r="Y2270" s="56" t="s">
        <v>3998</v>
      </c>
      <c r="Z2270" s="56" t="s">
        <v>3997</v>
      </c>
      <c r="AC2270" s="56" t="s">
        <v>3623</v>
      </c>
      <c r="AD2270" s="56" t="s">
        <v>24</v>
      </c>
      <c r="AE2270" s="56" t="s">
        <v>3862</v>
      </c>
      <c r="AF2270" s="56" t="s">
        <v>3996</v>
      </c>
      <c r="AG2270" s="56" t="s">
        <v>3995</v>
      </c>
      <c r="AH2270" s="56" t="s">
        <v>3621</v>
      </c>
      <c r="AI2270" s="56" t="s">
        <v>3723</v>
      </c>
    </row>
    <row r="2271" spans="1:35" ht="33" customHeight="1">
      <c r="A2271" s="56" t="s">
        <v>3994</v>
      </c>
      <c r="B2271" s="57">
        <v>44367.597581018519</v>
      </c>
      <c r="C2271" s="56" t="s">
        <v>3554</v>
      </c>
      <c r="D2271" s="56" t="s">
        <v>25</v>
      </c>
      <c r="E2271" s="56" t="s">
        <v>3993</v>
      </c>
      <c r="F2271" s="56" t="s">
        <v>3992</v>
      </c>
      <c r="G2271" s="58" t="s">
        <v>3603</v>
      </c>
      <c r="H2271" s="56">
        <v>1</v>
      </c>
      <c r="I2271" s="56" t="s">
        <v>3602</v>
      </c>
      <c r="J2271" s="56">
        <v>447</v>
      </c>
      <c r="K2271" s="56">
        <v>399</v>
      </c>
      <c r="L2271" s="56">
        <v>1520</v>
      </c>
      <c r="M2271" s="56">
        <v>0</v>
      </c>
      <c r="N2271" s="56">
        <v>0</v>
      </c>
      <c r="O2271" s="56">
        <v>100</v>
      </c>
      <c r="P2271" s="56">
        <v>0</v>
      </c>
      <c r="Q2271" s="56">
        <v>1420</v>
      </c>
      <c r="R2271" s="56">
        <v>0</v>
      </c>
      <c r="S2271" s="56">
        <v>0</v>
      </c>
      <c r="T2271" s="56" t="s">
        <v>27</v>
      </c>
      <c r="U2271" s="56">
        <v>1420</v>
      </c>
      <c r="V2271" s="56" t="s">
        <v>3865</v>
      </c>
      <c r="W2271" s="56" t="s">
        <v>3548</v>
      </c>
      <c r="X2271" s="56" t="s">
        <v>39</v>
      </c>
      <c r="Y2271" s="56" t="s">
        <v>3991</v>
      </c>
      <c r="Z2271" s="56" t="s">
        <v>3990</v>
      </c>
      <c r="AC2271" s="56" t="s">
        <v>3543</v>
      </c>
      <c r="AH2271" s="56" t="s">
        <v>3542</v>
      </c>
      <c r="AI2271" s="56" t="s">
        <v>3541</v>
      </c>
    </row>
    <row r="2272" spans="1:35" ht="33" customHeight="1">
      <c r="A2272" s="56" t="s">
        <v>3994</v>
      </c>
      <c r="B2272" s="57">
        <v>44367.597581018519</v>
      </c>
      <c r="C2272" s="56" t="s">
        <v>3554</v>
      </c>
      <c r="D2272" s="56" t="s">
        <v>25</v>
      </c>
      <c r="E2272" s="56" t="s">
        <v>3993</v>
      </c>
      <c r="F2272" s="56" t="s">
        <v>3992</v>
      </c>
      <c r="G2272" s="58" t="s">
        <v>3654</v>
      </c>
      <c r="H2272" s="56">
        <v>1</v>
      </c>
      <c r="I2272" s="56" t="s">
        <v>3653</v>
      </c>
      <c r="J2272" s="56">
        <v>447</v>
      </c>
      <c r="K2272" s="56">
        <v>430</v>
      </c>
      <c r="P2272" s="56">
        <v>0</v>
      </c>
      <c r="S2272" s="56">
        <v>0</v>
      </c>
      <c r="T2272" s="56" t="s">
        <v>27</v>
      </c>
      <c r="V2272" s="56" t="s">
        <v>3865</v>
      </c>
      <c r="W2272" s="56" t="s">
        <v>3548</v>
      </c>
      <c r="X2272" s="56" t="s">
        <v>39</v>
      </c>
      <c r="Y2272" s="56" t="s">
        <v>3991</v>
      </c>
      <c r="Z2272" s="56" t="s">
        <v>3990</v>
      </c>
      <c r="AC2272" s="56" t="s">
        <v>3543</v>
      </c>
      <c r="AH2272" s="56" t="s">
        <v>3542</v>
      </c>
      <c r="AI2272" s="56" t="s">
        <v>3541</v>
      </c>
    </row>
    <row r="2273" spans="1:35" ht="33" customHeight="1">
      <c r="A2273" s="56" t="s">
        <v>3994</v>
      </c>
      <c r="B2273" s="57">
        <v>44367.597581018519</v>
      </c>
      <c r="C2273" s="56" t="s">
        <v>3554</v>
      </c>
      <c r="D2273" s="56" t="s">
        <v>25</v>
      </c>
      <c r="E2273" s="56" t="s">
        <v>3993</v>
      </c>
      <c r="F2273" s="56" t="s">
        <v>3992</v>
      </c>
      <c r="G2273" s="58" t="s">
        <v>1512</v>
      </c>
      <c r="H2273" s="56">
        <v>1</v>
      </c>
      <c r="I2273" s="56" t="s">
        <v>3657</v>
      </c>
      <c r="J2273" s="56">
        <v>165</v>
      </c>
      <c r="K2273" s="56">
        <v>165</v>
      </c>
      <c r="P2273" s="56">
        <v>0</v>
      </c>
      <c r="S2273" s="56">
        <v>0</v>
      </c>
      <c r="T2273" s="56" t="s">
        <v>27</v>
      </c>
      <c r="V2273" s="56" t="s">
        <v>3865</v>
      </c>
      <c r="W2273" s="56" t="s">
        <v>3548</v>
      </c>
      <c r="X2273" s="56" t="s">
        <v>39</v>
      </c>
      <c r="Y2273" s="56" t="s">
        <v>3991</v>
      </c>
      <c r="Z2273" s="56" t="s">
        <v>3990</v>
      </c>
      <c r="AC2273" s="56" t="s">
        <v>3543</v>
      </c>
      <c r="AH2273" s="56" t="s">
        <v>3542</v>
      </c>
      <c r="AI2273" s="56" t="s">
        <v>3541</v>
      </c>
    </row>
    <row r="2274" spans="1:35" ht="33" customHeight="1">
      <c r="A2274" s="56" t="s">
        <v>3994</v>
      </c>
      <c r="B2274" s="57">
        <v>44367.597581018519</v>
      </c>
      <c r="C2274" s="56" t="s">
        <v>3554</v>
      </c>
      <c r="D2274" s="56" t="s">
        <v>25</v>
      </c>
      <c r="E2274" s="56" t="s">
        <v>3993</v>
      </c>
      <c r="F2274" s="56" t="s">
        <v>3992</v>
      </c>
      <c r="G2274" s="58" t="s">
        <v>1508</v>
      </c>
      <c r="H2274" s="56">
        <v>1</v>
      </c>
      <c r="I2274" s="56" t="s">
        <v>3696</v>
      </c>
      <c r="J2274" s="56">
        <v>299</v>
      </c>
      <c r="K2274" s="56">
        <v>299</v>
      </c>
      <c r="P2274" s="56">
        <v>0</v>
      </c>
      <c r="S2274" s="56">
        <v>0</v>
      </c>
      <c r="T2274" s="56" t="s">
        <v>27</v>
      </c>
      <c r="V2274" s="56" t="s">
        <v>3865</v>
      </c>
      <c r="W2274" s="56" t="s">
        <v>3548</v>
      </c>
      <c r="X2274" s="56" t="s">
        <v>39</v>
      </c>
      <c r="Y2274" s="56" t="s">
        <v>3991</v>
      </c>
      <c r="Z2274" s="56" t="s">
        <v>3990</v>
      </c>
      <c r="AC2274" s="56" t="s">
        <v>3543</v>
      </c>
      <c r="AH2274" s="56" t="s">
        <v>3542</v>
      </c>
      <c r="AI2274" s="56" t="s">
        <v>3541</v>
      </c>
    </row>
    <row r="2275" spans="1:35" ht="33" customHeight="1">
      <c r="A2275" s="56" t="s">
        <v>3994</v>
      </c>
      <c r="B2275" s="57">
        <v>44367.597581018519</v>
      </c>
      <c r="C2275" s="56" t="s">
        <v>3554</v>
      </c>
      <c r="D2275" s="56" t="s">
        <v>25</v>
      </c>
      <c r="E2275" s="56" t="s">
        <v>3993</v>
      </c>
      <c r="F2275" s="56" t="s">
        <v>3992</v>
      </c>
      <c r="G2275" s="58" t="s">
        <v>2165</v>
      </c>
      <c r="H2275" s="56">
        <v>1</v>
      </c>
      <c r="I2275" s="56" t="s">
        <v>3721</v>
      </c>
      <c r="J2275" s="56">
        <v>109</v>
      </c>
      <c r="K2275" s="56">
        <v>109</v>
      </c>
      <c r="P2275" s="56">
        <v>0</v>
      </c>
      <c r="S2275" s="56">
        <v>0</v>
      </c>
      <c r="T2275" s="56" t="s">
        <v>27</v>
      </c>
      <c r="V2275" s="56" t="s">
        <v>3865</v>
      </c>
      <c r="W2275" s="56" t="s">
        <v>3548</v>
      </c>
      <c r="X2275" s="56" t="s">
        <v>39</v>
      </c>
      <c r="Y2275" s="56" t="s">
        <v>3991</v>
      </c>
      <c r="Z2275" s="56" t="s">
        <v>3990</v>
      </c>
      <c r="AC2275" s="56" t="s">
        <v>3543</v>
      </c>
      <c r="AH2275" s="56" t="s">
        <v>3542</v>
      </c>
      <c r="AI2275" s="56" t="s">
        <v>3541</v>
      </c>
    </row>
    <row r="2276" spans="1:35" ht="33" customHeight="1">
      <c r="A2276" s="56" t="s">
        <v>3994</v>
      </c>
      <c r="B2276" s="57">
        <v>44367.597581018519</v>
      </c>
      <c r="C2276" s="56" t="s">
        <v>3554</v>
      </c>
      <c r="D2276" s="56" t="s">
        <v>25</v>
      </c>
      <c r="E2276" s="56" t="s">
        <v>3993</v>
      </c>
      <c r="F2276" s="56" t="s">
        <v>3992</v>
      </c>
      <c r="G2276" s="58" t="s">
        <v>3217</v>
      </c>
      <c r="H2276" s="56">
        <v>2</v>
      </c>
      <c r="I2276" s="56" t="s">
        <v>3720</v>
      </c>
      <c r="J2276" s="56">
        <v>59</v>
      </c>
      <c r="K2276" s="56">
        <v>59</v>
      </c>
      <c r="P2276" s="56">
        <v>0</v>
      </c>
      <c r="S2276" s="56">
        <v>0</v>
      </c>
      <c r="T2276" s="56" t="s">
        <v>27</v>
      </c>
      <c r="V2276" s="56" t="s">
        <v>3865</v>
      </c>
      <c r="W2276" s="56" t="s">
        <v>3548</v>
      </c>
      <c r="X2276" s="56" t="s">
        <v>39</v>
      </c>
      <c r="Y2276" s="56" t="s">
        <v>3991</v>
      </c>
      <c r="Z2276" s="56" t="s">
        <v>3990</v>
      </c>
      <c r="AC2276" s="56" t="s">
        <v>3543</v>
      </c>
      <c r="AH2276" s="56" t="s">
        <v>3542</v>
      </c>
      <c r="AI2276" s="56" t="s">
        <v>3541</v>
      </c>
    </row>
    <row r="2277" spans="1:35" ht="33" customHeight="1">
      <c r="A2277" s="56" t="s">
        <v>3994</v>
      </c>
      <c r="B2277" s="57">
        <v>44367.597581018519</v>
      </c>
      <c r="C2277" s="56" t="s">
        <v>3554</v>
      </c>
      <c r="D2277" s="56" t="s">
        <v>25</v>
      </c>
      <c r="E2277" s="56" t="s">
        <v>3993</v>
      </c>
      <c r="F2277" s="56" t="s">
        <v>3992</v>
      </c>
      <c r="G2277" s="58" t="s">
        <v>3551</v>
      </c>
      <c r="H2277" s="56">
        <v>1</v>
      </c>
      <c r="I2277" s="56" t="s">
        <v>3550</v>
      </c>
      <c r="J2277" s="56">
        <v>0</v>
      </c>
      <c r="K2277" s="56">
        <v>0</v>
      </c>
      <c r="P2277" s="56">
        <v>0</v>
      </c>
      <c r="S2277" s="56">
        <v>0</v>
      </c>
      <c r="T2277" s="56" t="s">
        <v>27</v>
      </c>
      <c r="V2277" s="56" t="s">
        <v>3865</v>
      </c>
      <c r="W2277" s="56" t="s">
        <v>3548</v>
      </c>
      <c r="X2277" s="56" t="s">
        <v>39</v>
      </c>
      <c r="Y2277" s="56" t="s">
        <v>3991</v>
      </c>
      <c r="Z2277" s="56" t="s">
        <v>3990</v>
      </c>
      <c r="AC2277" s="56" t="s">
        <v>3543</v>
      </c>
      <c r="AH2277" s="56" t="s">
        <v>3542</v>
      </c>
      <c r="AI2277" s="56" t="s">
        <v>3541</v>
      </c>
    </row>
    <row r="2278" spans="1:35" ht="33" customHeight="1">
      <c r="A2278" s="56" t="s">
        <v>3994</v>
      </c>
      <c r="B2278" s="57">
        <v>44367.597581018519</v>
      </c>
      <c r="C2278" s="56" t="s">
        <v>3554</v>
      </c>
      <c r="D2278" s="56" t="s">
        <v>25</v>
      </c>
      <c r="E2278" s="56" t="s">
        <v>3993</v>
      </c>
      <c r="F2278" s="56" t="s">
        <v>3992</v>
      </c>
      <c r="G2278" s="58" t="s">
        <v>1713</v>
      </c>
      <c r="H2278" s="56">
        <v>1</v>
      </c>
      <c r="I2278" s="56" t="s">
        <v>3568</v>
      </c>
      <c r="J2278" s="56">
        <v>0</v>
      </c>
      <c r="K2278" s="56">
        <v>0</v>
      </c>
      <c r="P2278" s="56">
        <v>0</v>
      </c>
      <c r="S2278" s="56">
        <v>0</v>
      </c>
      <c r="T2278" s="56" t="s">
        <v>27</v>
      </c>
      <c r="V2278" s="56" t="s">
        <v>3865</v>
      </c>
      <c r="W2278" s="56" t="s">
        <v>3548</v>
      </c>
      <c r="X2278" s="56" t="s">
        <v>39</v>
      </c>
      <c r="Y2278" s="56" t="s">
        <v>3991</v>
      </c>
      <c r="Z2278" s="56" t="s">
        <v>3990</v>
      </c>
      <c r="AC2278" s="56" t="s">
        <v>3543</v>
      </c>
      <c r="AH2278" s="56" t="s">
        <v>3542</v>
      </c>
      <c r="AI2278" s="56" t="s">
        <v>3541</v>
      </c>
    </row>
    <row r="2279" spans="1:35" ht="33" customHeight="1">
      <c r="A2279" s="56" t="s">
        <v>3989</v>
      </c>
      <c r="B2279" s="57">
        <v>44367.615671296298</v>
      </c>
      <c r="C2279" s="56" t="s">
        <v>3803</v>
      </c>
      <c r="D2279" s="56" t="s">
        <v>25</v>
      </c>
      <c r="E2279" s="56" t="s">
        <v>3988</v>
      </c>
      <c r="F2279" s="56" t="s">
        <v>3987</v>
      </c>
      <c r="G2279" s="58" t="s">
        <v>1517</v>
      </c>
      <c r="H2279" s="56">
        <v>1</v>
      </c>
      <c r="I2279" s="56" t="s">
        <v>3740</v>
      </c>
      <c r="J2279" s="56">
        <v>220</v>
      </c>
      <c r="K2279" s="56">
        <v>168</v>
      </c>
      <c r="L2279" s="56">
        <v>547</v>
      </c>
      <c r="M2279" s="56">
        <v>65</v>
      </c>
      <c r="N2279" s="56">
        <v>0</v>
      </c>
      <c r="O2279" s="56">
        <v>0</v>
      </c>
      <c r="P2279" s="56">
        <v>0</v>
      </c>
      <c r="Q2279" s="56">
        <v>612</v>
      </c>
      <c r="R2279" s="56">
        <v>0</v>
      </c>
      <c r="S2279" s="56">
        <v>0</v>
      </c>
      <c r="T2279" s="56" t="s">
        <v>27</v>
      </c>
      <c r="U2279" s="56">
        <v>612</v>
      </c>
      <c r="V2279" s="56" t="s">
        <v>3549</v>
      </c>
      <c r="W2279" s="56" t="s">
        <v>3548</v>
      </c>
      <c r="X2279" s="56" t="s">
        <v>3547</v>
      </c>
      <c r="Z2279" s="56" t="s">
        <v>3546</v>
      </c>
      <c r="AA2279" s="56" t="s">
        <v>3986</v>
      </c>
      <c r="AB2279" s="56" t="s">
        <v>3985</v>
      </c>
      <c r="AC2279" s="56" t="s">
        <v>3543</v>
      </c>
      <c r="AH2279" s="56" t="s">
        <v>3542</v>
      </c>
      <c r="AI2279" s="56" t="s">
        <v>3541</v>
      </c>
    </row>
    <row r="2280" spans="1:35" ht="33" customHeight="1">
      <c r="A2280" s="56" t="s">
        <v>3989</v>
      </c>
      <c r="B2280" s="57">
        <v>44367.615671296298</v>
      </c>
      <c r="C2280" s="56" t="s">
        <v>3803</v>
      </c>
      <c r="D2280" s="56" t="s">
        <v>25</v>
      </c>
      <c r="E2280" s="56" t="s">
        <v>3988</v>
      </c>
      <c r="F2280" s="56" t="s">
        <v>3987</v>
      </c>
      <c r="G2280" s="58" t="s">
        <v>3580</v>
      </c>
      <c r="H2280" s="56">
        <v>1</v>
      </c>
      <c r="I2280" s="56" t="s">
        <v>3579</v>
      </c>
      <c r="J2280" s="56">
        <v>336</v>
      </c>
      <c r="K2280" s="56">
        <v>320</v>
      </c>
      <c r="P2280" s="56">
        <v>0</v>
      </c>
      <c r="S2280" s="56">
        <v>0</v>
      </c>
      <c r="T2280" s="56" t="s">
        <v>27</v>
      </c>
      <c r="V2280" s="56" t="s">
        <v>3549</v>
      </c>
      <c r="W2280" s="56" t="s">
        <v>3548</v>
      </c>
      <c r="X2280" s="56" t="s">
        <v>3547</v>
      </c>
      <c r="Z2280" s="56" t="s">
        <v>3546</v>
      </c>
      <c r="AA2280" s="56" t="s">
        <v>3986</v>
      </c>
      <c r="AB2280" s="56" t="s">
        <v>3985</v>
      </c>
      <c r="AC2280" s="56" t="s">
        <v>3543</v>
      </c>
      <c r="AH2280" s="56" t="s">
        <v>3542</v>
      </c>
      <c r="AI2280" s="56" t="s">
        <v>3541</v>
      </c>
    </row>
    <row r="2281" spans="1:35" ht="33" customHeight="1">
      <c r="A2281" s="56" t="s">
        <v>3989</v>
      </c>
      <c r="B2281" s="57">
        <v>44367.615671296298</v>
      </c>
      <c r="C2281" s="56" t="s">
        <v>3803</v>
      </c>
      <c r="D2281" s="56" t="s">
        <v>25</v>
      </c>
      <c r="E2281" s="56" t="s">
        <v>3988</v>
      </c>
      <c r="F2281" s="56" t="s">
        <v>3987</v>
      </c>
      <c r="G2281" s="58" t="s">
        <v>3217</v>
      </c>
      <c r="H2281" s="56">
        <v>1</v>
      </c>
      <c r="I2281" s="56" t="s">
        <v>3720</v>
      </c>
      <c r="J2281" s="56">
        <v>59</v>
      </c>
      <c r="K2281" s="56">
        <v>59</v>
      </c>
      <c r="P2281" s="56">
        <v>0</v>
      </c>
      <c r="S2281" s="56">
        <v>0</v>
      </c>
      <c r="T2281" s="56" t="s">
        <v>27</v>
      </c>
      <c r="V2281" s="56" t="s">
        <v>3549</v>
      </c>
      <c r="W2281" s="56" t="s">
        <v>3548</v>
      </c>
      <c r="X2281" s="56" t="s">
        <v>3547</v>
      </c>
      <c r="Z2281" s="56" t="s">
        <v>3546</v>
      </c>
      <c r="AA2281" s="56" t="s">
        <v>3986</v>
      </c>
      <c r="AB2281" s="56" t="s">
        <v>3985</v>
      </c>
      <c r="AC2281" s="56" t="s">
        <v>3543</v>
      </c>
      <c r="AH2281" s="56" t="s">
        <v>3542</v>
      </c>
      <c r="AI2281" s="56" t="s">
        <v>3541</v>
      </c>
    </row>
    <row r="2282" spans="1:35" ht="33" customHeight="1">
      <c r="A2282" s="56" t="s">
        <v>3989</v>
      </c>
      <c r="B2282" s="57">
        <v>44367.615671296298</v>
      </c>
      <c r="C2282" s="56" t="s">
        <v>3803</v>
      </c>
      <c r="D2282" s="56" t="s">
        <v>25</v>
      </c>
      <c r="E2282" s="56" t="s">
        <v>3988</v>
      </c>
      <c r="F2282" s="56" t="s">
        <v>3987</v>
      </c>
      <c r="G2282" s="58" t="s">
        <v>3551</v>
      </c>
      <c r="H2282" s="56">
        <v>1</v>
      </c>
      <c r="I2282" s="56" t="s">
        <v>3550</v>
      </c>
      <c r="J2282" s="56">
        <v>0</v>
      </c>
      <c r="K2282" s="56">
        <v>0</v>
      </c>
      <c r="P2282" s="56">
        <v>0</v>
      </c>
      <c r="S2282" s="56">
        <v>0</v>
      </c>
      <c r="T2282" s="56" t="s">
        <v>27</v>
      </c>
      <c r="V2282" s="56" t="s">
        <v>3549</v>
      </c>
      <c r="W2282" s="56" t="s">
        <v>3548</v>
      </c>
      <c r="X2282" s="56" t="s">
        <v>3547</v>
      </c>
      <c r="Z2282" s="56" t="s">
        <v>3546</v>
      </c>
      <c r="AA2282" s="56" t="s">
        <v>3986</v>
      </c>
      <c r="AB2282" s="56" t="s">
        <v>3985</v>
      </c>
      <c r="AC2282" s="56" t="s">
        <v>3543</v>
      </c>
      <c r="AH2282" s="56" t="s">
        <v>3542</v>
      </c>
      <c r="AI2282" s="56" t="s">
        <v>3541</v>
      </c>
    </row>
    <row r="2283" spans="1:35" ht="33" customHeight="1">
      <c r="A2283" s="56" t="s">
        <v>3983</v>
      </c>
      <c r="B2283" s="57">
        <v>44367.648738425924</v>
      </c>
      <c r="C2283" s="56" t="s">
        <v>3803</v>
      </c>
      <c r="D2283" s="56" t="s">
        <v>25</v>
      </c>
      <c r="E2283" s="56" t="s">
        <v>3982</v>
      </c>
      <c r="F2283" s="56" t="s">
        <v>3981</v>
      </c>
      <c r="G2283" s="58" t="s">
        <v>3580</v>
      </c>
      <c r="H2283" s="56">
        <v>1</v>
      </c>
      <c r="I2283" s="56" t="s">
        <v>3579</v>
      </c>
      <c r="J2283" s="56">
        <v>336</v>
      </c>
      <c r="K2283" s="56">
        <v>320</v>
      </c>
      <c r="L2283" s="56">
        <v>1098</v>
      </c>
      <c r="M2283" s="56">
        <v>0</v>
      </c>
      <c r="N2283" s="56">
        <v>0</v>
      </c>
      <c r="O2283" s="56">
        <v>100</v>
      </c>
      <c r="P2283" s="56">
        <v>0</v>
      </c>
      <c r="Q2283" s="56">
        <v>998</v>
      </c>
      <c r="R2283" s="56">
        <v>0</v>
      </c>
      <c r="S2283" s="56">
        <v>0</v>
      </c>
      <c r="T2283" s="56" t="s">
        <v>27</v>
      </c>
      <c r="U2283" s="56">
        <v>998</v>
      </c>
      <c r="V2283" s="56" t="s">
        <v>3612</v>
      </c>
      <c r="W2283" s="56" t="s">
        <v>3548</v>
      </c>
      <c r="X2283" s="56" t="s">
        <v>3611</v>
      </c>
      <c r="Z2283" s="56" t="s">
        <v>3546</v>
      </c>
      <c r="AA2283" s="56" t="s">
        <v>3980</v>
      </c>
      <c r="AB2283" s="56" t="s">
        <v>3979</v>
      </c>
      <c r="AC2283" s="56" t="s">
        <v>3543</v>
      </c>
      <c r="AH2283" s="56" t="s">
        <v>3542</v>
      </c>
      <c r="AI2283" s="56" t="s">
        <v>3541</v>
      </c>
    </row>
    <row r="2284" spans="1:35" ht="33" customHeight="1">
      <c r="A2284" s="56" t="s">
        <v>3983</v>
      </c>
      <c r="B2284" s="57">
        <v>44367.648738425924</v>
      </c>
      <c r="C2284" s="56" t="s">
        <v>3803</v>
      </c>
      <c r="D2284" s="56" t="s">
        <v>25</v>
      </c>
      <c r="E2284" s="56" t="s">
        <v>3982</v>
      </c>
      <c r="F2284" s="56" t="s">
        <v>3981</v>
      </c>
      <c r="G2284" s="58" t="s">
        <v>1713</v>
      </c>
      <c r="H2284" s="56">
        <v>1</v>
      </c>
      <c r="I2284" s="56" t="s">
        <v>3587</v>
      </c>
      <c r="J2284" s="56">
        <v>149</v>
      </c>
      <c r="K2284" s="56">
        <v>149</v>
      </c>
      <c r="P2284" s="56">
        <v>0</v>
      </c>
      <c r="S2284" s="56">
        <v>0</v>
      </c>
      <c r="T2284" s="56" t="s">
        <v>27</v>
      </c>
      <c r="V2284" s="56" t="s">
        <v>3612</v>
      </c>
      <c r="W2284" s="56" t="s">
        <v>3548</v>
      </c>
      <c r="X2284" s="56" t="s">
        <v>3611</v>
      </c>
      <c r="Z2284" s="56" t="s">
        <v>3546</v>
      </c>
      <c r="AA2284" s="56" t="s">
        <v>3980</v>
      </c>
      <c r="AB2284" s="56" t="s">
        <v>3979</v>
      </c>
      <c r="AC2284" s="56" t="s">
        <v>3543</v>
      </c>
      <c r="AH2284" s="56" t="s">
        <v>3542</v>
      </c>
      <c r="AI2284" s="56" t="s">
        <v>3541</v>
      </c>
    </row>
    <row r="2285" spans="1:35" ht="33" customHeight="1">
      <c r="A2285" s="56" t="s">
        <v>3983</v>
      </c>
      <c r="B2285" s="57">
        <v>44367.648738425924</v>
      </c>
      <c r="C2285" s="56" t="s">
        <v>3803</v>
      </c>
      <c r="D2285" s="56" t="s">
        <v>25</v>
      </c>
      <c r="E2285" s="56" t="s">
        <v>3982</v>
      </c>
      <c r="F2285" s="56" t="s">
        <v>3981</v>
      </c>
      <c r="G2285" s="58" t="s">
        <v>3984</v>
      </c>
      <c r="H2285" s="56">
        <v>1</v>
      </c>
      <c r="I2285" s="56" t="s">
        <v>3954</v>
      </c>
      <c r="J2285" s="56">
        <v>499</v>
      </c>
      <c r="K2285" s="56">
        <v>480</v>
      </c>
      <c r="P2285" s="56">
        <v>0</v>
      </c>
      <c r="S2285" s="56">
        <v>0</v>
      </c>
      <c r="T2285" s="56" t="s">
        <v>27</v>
      </c>
      <c r="V2285" s="56" t="s">
        <v>3612</v>
      </c>
      <c r="W2285" s="56" t="s">
        <v>3548</v>
      </c>
      <c r="X2285" s="56" t="s">
        <v>3611</v>
      </c>
      <c r="Z2285" s="56" t="s">
        <v>3546</v>
      </c>
      <c r="AA2285" s="56" t="s">
        <v>3980</v>
      </c>
      <c r="AB2285" s="56" t="s">
        <v>3979</v>
      </c>
      <c r="AC2285" s="56" t="s">
        <v>3543</v>
      </c>
      <c r="AH2285" s="56" t="s">
        <v>3542</v>
      </c>
      <c r="AI2285" s="56" t="s">
        <v>3541</v>
      </c>
    </row>
    <row r="2286" spans="1:35" ht="33" customHeight="1">
      <c r="A2286" s="56" t="s">
        <v>3983</v>
      </c>
      <c r="B2286" s="57">
        <v>44367.648738425924</v>
      </c>
      <c r="C2286" s="56" t="s">
        <v>3803</v>
      </c>
      <c r="D2286" s="56" t="s">
        <v>25</v>
      </c>
      <c r="E2286" s="56" t="s">
        <v>3982</v>
      </c>
      <c r="F2286" s="56" t="s">
        <v>3981</v>
      </c>
      <c r="G2286" s="58" t="s">
        <v>1713</v>
      </c>
      <c r="H2286" s="56">
        <v>1</v>
      </c>
      <c r="I2286" s="56" t="s">
        <v>3587</v>
      </c>
      <c r="J2286" s="56">
        <v>149</v>
      </c>
      <c r="K2286" s="56">
        <v>149</v>
      </c>
      <c r="P2286" s="56">
        <v>0</v>
      </c>
      <c r="S2286" s="56">
        <v>0</v>
      </c>
      <c r="T2286" s="56" t="s">
        <v>27</v>
      </c>
      <c r="V2286" s="56" t="s">
        <v>3612</v>
      </c>
      <c r="W2286" s="56" t="s">
        <v>3548</v>
      </c>
      <c r="X2286" s="56" t="s">
        <v>3611</v>
      </c>
      <c r="Z2286" s="56" t="s">
        <v>3546</v>
      </c>
      <c r="AA2286" s="56" t="s">
        <v>3980</v>
      </c>
      <c r="AB2286" s="56" t="s">
        <v>3979</v>
      </c>
      <c r="AC2286" s="56" t="s">
        <v>3543</v>
      </c>
      <c r="AH2286" s="56" t="s">
        <v>3542</v>
      </c>
      <c r="AI2286" s="56" t="s">
        <v>3541</v>
      </c>
    </row>
    <row r="2287" spans="1:35" ht="33" customHeight="1">
      <c r="A2287" s="56" t="s">
        <v>3983</v>
      </c>
      <c r="B2287" s="57">
        <v>44367.648738425924</v>
      </c>
      <c r="C2287" s="56" t="s">
        <v>3803</v>
      </c>
      <c r="D2287" s="56" t="s">
        <v>25</v>
      </c>
      <c r="E2287" s="56" t="s">
        <v>3982</v>
      </c>
      <c r="F2287" s="56" t="s">
        <v>3981</v>
      </c>
      <c r="G2287" s="58" t="s">
        <v>3551</v>
      </c>
      <c r="H2287" s="56">
        <v>1</v>
      </c>
      <c r="I2287" s="56" t="s">
        <v>3550</v>
      </c>
      <c r="J2287" s="56">
        <v>0</v>
      </c>
      <c r="K2287" s="56">
        <v>0</v>
      </c>
      <c r="P2287" s="56">
        <v>0</v>
      </c>
      <c r="S2287" s="56">
        <v>0</v>
      </c>
      <c r="T2287" s="56" t="s">
        <v>27</v>
      </c>
      <c r="V2287" s="56" t="s">
        <v>3612</v>
      </c>
      <c r="W2287" s="56" t="s">
        <v>3548</v>
      </c>
      <c r="X2287" s="56" t="s">
        <v>3611</v>
      </c>
      <c r="Z2287" s="56" t="s">
        <v>3546</v>
      </c>
      <c r="AA2287" s="56" t="s">
        <v>3980</v>
      </c>
      <c r="AB2287" s="56" t="s">
        <v>3979</v>
      </c>
      <c r="AC2287" s="56" t="s">
        <v>3543</v>
      </c>
      <c r="AH2287" s="56" t="s">
        <v>3542</v>
      </c>
      <c r="AI2287" s="56" t="s">
        <v>3541</v>
      </c>
    </row>
    <row r="2288" spans="1:35" ht="33" customHeight="1">
      <c r="A2288" s="56" t="s">
        <v>3978</v>
      </c>
      <c r="B2288" s="57">
        <v>44367.669861111113</v>
      </c>
      <c r="C2288" s="56" t="s">
        <v>3803</v>
      </c>
      <c r="D2288" s="56" t="s">
        <v>3802</v>
      </c>
      <c r="E2288" s="56" t="s">
        <v>3977</v>
      </c>
      <c r="F2288" s="56" t="s">
        <v>3976</v>
      </c>
      <c r="G2288" s="58" t="s">
        <v>3196</v>
      </c>
      <c r="H2288" s="56">
        <v>4</v>
      </c>
      <c r="I2288" s="56" t="s">
        <v>2550</v>
      </c>
      <c r="J2288" s="56">
        <v>120</v>
      </c>
      <c r="K2288" s="56">
        <v>120</v>
      </c>
      <c r="L2288" s="56">
        <v>2683</v>
      </c>
      <c r="M2288" s="56">
        <v>0</v>
      </c>
      <c r="N2288" s="56">
        <v>0</v>
      </c>
      <c r="O2288" s="56">
        <v>100</v>
      </c>
      <c r="P2288" s="56">
        <v>0</v>
      </c>
      <c r="Q2288" s="56">
        <v>2583</v>
      </c>
      <c r="R2288" s="56">
        <v>0</v>
      </c>
      <c r="S2288" s="56">
        <v>0</v>
      </c>
      <c r="T2288" s="56" t="s">
        <v>3562</v>
      </c>
      <c r="U2288" s="56">
        <v>2583</v>
      </c>
      <c r="V2288" s="56" t="s">
        <v>3561</v>
      </c>
      <c r="W2288" s="56" t="s">
        <v>3548</v>
      </c>
      <c r="X2288" s="56" t="s">
        <v>39</v>
      </c>
      <c r="Y2288" s="56" t="s">
        <v>3597</v>
      </c>
      <c r="Z2288" s="56" t="s">
        <v>3975</v>
      </c>
      <c r="AC2288" s="56" t="s">
        <v>3543</v>
      </c>
      <c r="AD2288" s="56" t="s">
        <v>24</v>
      </c>
      <c r="AE2288" s="56" t="s">
        <v>3862</v>
      </c>
      <c r="AF2288" s="56" t="s">
        <v>3974</v>
      </c>
      <c r="AH2288" s="56" t="s">
        <v>3542</v>
      </c>
      <c r="AI2288" s="56" t="s">
        <v>3723</v>
      </c>
    </row>
    <row r="2289" spans="1:35" ht="33" customHeight="1">
      <c r="A2289" s="56" t="s">
        <v>3978</v>
      </c>
      <c r="B2289" s="57">
        <v>44367.669861111113</v>
      </c>
      <c r="C2289" s="56" t="s">
        <v>3803</v>
      </c>
      <c r="D2289" s="56" t="s">
        <v>3802</v>
      </c>
      <c r="E2289" s="56" t="s">
        <v>3977</v>
      </c>
      <c r="F2289" s="56" t="s">
        <v>3976</v>
      </c>
      <c r="G2289" s="58" t="s">
        <v>3580</v>
      </c>
      <c r="H2289" s="56">
        <v>1</v>
      </c>
      <c r="I2289" s="56" t="s">
        <v>3579</v>
      </c>
      <c r="J2289" s="56">
        <v>336</v>
      </c>
      <c r="K2289" s="56">
        <v>320</v>
      </c>
      <c r="P2289" s="56">
        <v>0</v>
      </c>
      <c r="S2289" s="56">
        <v>0</v>
      </c>
      <c r="T2289" s="56" t="s">
        <v>3562</v>
      </c>
      <c r="V2289" s="56" t="s">
        <v>3561</v>
      </c>
      <c r="W2289" s="56" t="s">
        <v>3548</v>
      </c>
      <c r="X2289" s="56" t="s">
        <v>39</v>
      </c>
      <c r="Y2289" s="56" t="s">
        <v>3597</v>
      </c>
      <c r="Z2289" s="56" t="s">
        <v>3975</v>
      </c>
      <c r="AC2289" s="56" t="s">
        <v>3543</v>
      </c>
      <c r="AD2289" s="56" t="s">
        <v>24</v>
      </c>
      <c r="AE2289" s="56" t="s">
        <v>3862</v>
      </c>
      <c r="AF2289" s="56" t="s">
        <v>3974</v>
      </c>
      <c r="AH2289" s="56" t="s">
        <v>3542</v>
      </c>
      <c r="AI2289" s="56" t="s">
        <v>3723</v>
      </c>
    </row>
    <row r="2290" spans="1:35" ht="33" customHeight="1">
      <c r="A2290" s="56" t="s">
        <v>3978</v>
      </c>
      <c r="B2290" s="57">
        <v>44367.669861111113</v>
      </c>
      <c r="C2290" s="56" t="s">
        <v>3803</v>
      </c>
      <c r="D2290" s="56" t="s">
        <v>3802</v>
      </c>
      <c r="E2290" s="56" t="s">
        <v>3977</v>
      </c>
      <c r="F2290" s="56" t="s">
        <v>3976</v>
      </c>
      <c r="G2290" s="58" t="s">
        <v>3656</v>
      </c>
      <c r="H2290" s="56">
        <v>1</v>
      </c>
      <c r="I2290" s="56" t="s">
        <v>3655</v>
      </c>
      <c r="J2290" s="56">
        <v>1107</v>
      </c>
      <c r="K2290" s="56">
        <v>799</v>
      </c>
      <c r="P2290" s="56">
        <v>0</v>
      </c>
      <c r="S2290" s="56">
        <v>0</v>
      </c>
      <c r="T2290" s="56" t="s">
        <v>3562</v>
      </c>
      <c r="V2290" s="56" t="s">
        <v>3561</v>
      </c>
      <c r="W2290" s="56" t="s">
        <v>3548</v>
      </c>
      <c r="X2290" s="56" t="s">
        <v>39</v>
      </c>
      <c r="Y2290" s="56" t="s">
        <v>3597</v>
      </c>
      <c r="Z2290" s="56" t="s">
        <v>3975</v>
      </c>
      <c r="AC2290" s="56" t="s">
        <v>3543</v>
      </c>
      <c r="AD2290" s="56" t="s">
        <v>24</v>
      </c>
      <c r="AE2290" s="56" t="s">
        <v>3862</v>
      </c>
      <c r="AF2290" s="56" t="s">
        <v>3974</v>
      </c>
      <c r="AH2290" s="56" t="s">
        <v>3542</v>
      </c>
      <c r="AI2290" s="56" t="s">
        <v>3723</v>
      </c>
    </row>
    <row r="2291" spans="1:35" ht="33" customHeight="1">
      <c r="A2291" s="56" t="s">
        <v>3978</v>
      </c>
      <c r="B2291" s="57">
        <v>44367.669861111113</v>
      </c>
      <c r="C2291" s="56" t="s">
        <v>3803</v>
      </c>
      <c r="D2291" s="56" t="s">
        <v>3802</v>
      </c>
      <c r="E2291" s="56" t="s">
        <v>3977</v>
      </c>
      <c r="F2291" s="56" t="s">
        <v>3976</v>
      </c>
      <c r="G2291" s="58" t="s">
        <v>2156</v>
      </c>
      <c r="H2291" s="56">
        <v>1</v>
      </c>
      <c r="I2291" s="56" t="s">
        <v>1376</v>
      </c>
      <c r="J2291" s="56">
        <v>145</v>
      </c>
      <c r="K2291" s="56">
        <v>145</v>
      </c>
      <c r="P2291" s="56">
        <v>0</v>
      </c>
      <c r="S2291" s="56">
        <v>0</v>
      </c>
      <c r="T2291" s="56" t="s">
        <v>3562</v>
      </c>
      <c r="V2291" s="56" t="s">
        <v>3561</v>
      </c>
      <c r="W2291" s="56" t="s">
        <v>3548</v>
      </c>
      <c r="X2291" s="56" t="s">
        <v>39</v>
      </c>
      <c r="Y2291" s="56" t="s">
        <v>3597</v>
      </c>
      <c r="Z2291" s="56" t="s">
        <v>3975</v>
      </c>
      <c r="AC2291" s="56" t="s">
        <v>3543</v>
      </c>
      <c r="AD2291" s="56" t="s">
        <v>24</v>
      </c>
      <c r="AE2291" s="56" t="s">
        <v>3862</v>
      </c>
      <c r="AF2291" s="56" t="s">
        <v>3974</v>
      </c>
      <c r="AH2291" s="56" t="s">
        <v>3542</v>
      </c>
      <c r="AI2291" s="56" t="s">
        <v>3723</v>
      </c>
    </row>
    <row r="2292" spans="1:35" ht="33" customHeight="1">
      <c r="A2292" s="56" t="s">
        <v>3978</v>
      </c>
      <c r="B2292" s="57">
        <v>44367.669861111113</v>
      </c>
      <c r="C2292" s="56" t="s">
        <v>3803</v>
      </c>
      <c r="D2292" s="56" t="s">
        <v>3802</v>
      </c>
      <c r="E2292" s="56" t="s">
        <v>3977</v>
      </c>
      <c r="F2292" s="56" t="s">
        <v>3976</v>
      </c>
      <c r="G2292" s="58" t="s">
        <v>3732</v>
      </c>
      <c r="H2292" s="56">
        <v>1</v>
      </c>
      <c r="I2292" s="56" t="s">
        <v>3731</v>
      </c>
      <c r="J2292" s="56">
        <v>867</v>
      </c>
      <c r="K2292" s="56">
        <v>550</v>
      </c>
      <c r="P2292" s="56">
        <v>0</v>
      </c>
      <c r="S2292" s="56">
        <v>0</v>
      </c>
      <c r="T2292" s="56" t="s">
        <v>3562</v>
      </c>
      <c r="V2292" s="56" t="s">
        <v>3561</v>
      </c>
      <c r="W2292" s="56" t="s">
        <v>3548</v>
      </c>
      <c r="X2292" s="56" t="s">
        <v>39</v>
      </c>
      <c r="Y2292" s="56" t="s">
        <v>3597</v>
      </c>
      <c r="Z2292" s="56" t="s">
        <v>3975</v>
      </c>
      <c r="AC2292" s="56" t="s">
        <v>3543</v>
      </c>
      <c r="AD2292" s="56" t="s">
        <v>24</v>
      </c>
      <c r="AE2292" s="56" t="s">
        <v>3862</v>
      </c>
      <c r="AF2292" s="56" t="s">
        <v>3974</v>
      </c>
      <c r="AH2292" s="56" t="s">
        <v>3542</v>
      </c>
      <c r="AI2292" s="56" t="s">
        <v>3723</v>
      </c>
    </row>
    <row r="2293" spans="1:35" ht="33" customHeight="1">
      <c r="A2293" s="56" t="s">
        <v>3978</v>
      </c>
      <c r="B2293" s="57">
        <v>44367.669861111113</v>
      </c>
      <c r="C2293" s="56" t="s">
        <v>3803</v>
      </c>
      <c r="D2293" s="56" t="s">
        <v>3802</v>
      </c>
      <c r="E2293" s="56" t="s">
        <v>3977</v>
      </c>
      <c r="F2293" s="56" t="s">
        <v>3976</v>
      </c>
      <c r="G2293" s="58" t="s">
        <v>2156</v>
      </c>
      <c r="H2293" s="56">
        <v>1</v>
      </c>
      <c r="I2293" s="56" t="s">
        <v>1376</v>
      </c>
      <c r="J2293" s="56">
        <v>145</v>
      </c>
      <c r="K2293" s="56">
        <v>145</v>
      </c>
      <c r="P2293" s="56">
        <v>0</v>
      </c>
      <c r="S2293" s="56">
        <v>0</v>
      </c>
      <c r="T2293" s="56" t="s">
        <v>3562</v>
      </c>
      <c r="V2293" s="56" t="s">
        <v>3561</v>
      </c>
      <c r="W2293" s="56" t="s">
        <v>3548</v>
      </c>
      <c r="X2293" s="56" t="s">
        <v>39</v>
      </c>
      <c r="Y2293" s="56" t="s">
        <v>3597</v>
      </c>
      <c r="Z2293" s="56" t="s">
        <v>3975</v>
      </c>
      <c r="AC2293" s="56" t="s">
        <v>3543</v>
      </c>
      <c r="AD2293" s="56" t="s">
        <v>24</v>
      </c>
      <c r="AE2293" s="56" t="s">
        <v>3862</v>
      </c>
      <c r="AF2293" s="56" t="s">
        <v>3974</v>
      </c>
      <c r="AH2293" s="56" t="s">
        <v>3542</v>
      </c>
      <c r="AI2293" s="56" t="s">
        <v>3723</v>
      </c>
    </row>
    <row r="2294" spans="1:35" ht="33" customHeight="1">
      <c r="A2294" s="56" t="s">
        <v>3978</v>
      </c>
      <c r="B2294" s="57">
        <v>44367.669861111113</v>
      </c>
      <c r="C2294" s="56" t="s">
        <v>3803</v>
      </c>
      <c r="D2294" s="56" t="s">
        <v>3802</v>
      </c>
      <c r="E2294" s="56" t="s">
        <v>3977</v>
      </c>
      <c r="F2294" s="56" t="s">
        <v>3976</v>
      </c>
      <c r="G2294" s="58" t="s">
        <v>1493</v>
      </c>
      <c r="H2294" s="56">
        <v>1</v>
      </c>
      <c r="I2294" s="56" t="s">
        <v>3601</v>
      </c>
      <c r="J2294" s="56">
        <v>135</v>
      </c>
      <c r="K2294" s="56">
        <v>135</v>
      </c>
      <c r="P2294" s="56">
        <v>0</v>
      </c>
      <c r="S2294" s="56">
        <v>0</v>
      </c>
      <c r="T2294" s="56" t="s">
        <v>3562</v>
      </c>
      <c r="V2294" s="56" t="s">
        <v>3561</v>
      </c>
      <c r="W2294" s="56" t="s">
        <v>3548</v>
      </c>
      <c r="X2294" s="56" t="s">
        <v>39</v>
      </c>
      <c r="Y2294" s="56" t="s">
        <v>3597</v>
      </c>
      <c r="Z2294" s="56" t="s">
        <v>3975</v>
      </c>
      <c r="AC2294" s="56" t="s">
        <v>3543</v>
      </c>
      <c r="AD2294" s="56" t="s">
        <v>24</v>
      </c>
      <c r="AE2294" s="56" t="s">
        <v>3862</v>
      </c>
      <c r="AF2294" s="56" t="s">
        <v>3974</v>
      </c>
      <c r="AH2294" s="56" t="s">
        <v>3542</v>
      </c>
      <c r="AI2294" s="56" t="s">
        <v>3723</v>
      </c>
    </row>
    <row r="2295" spans="1:35" ht="33" customHeight="1">
      <c r="A2295" s="56" t="s">
        <v>3978</v>
      </c>
      <c r="B2295" s="57">
        <v>44367.669861111113</v>
      </c>
      <c r="C2295" s="56" t="s">
        <v>3803</v>
      </c>
      <c r="D2295" s="56" t="s">
        <v>3802</v>
      </c>
      <c r="E2295" s="56" t="s">
        <v>3977</v>
      </c>
      <c r="F2295" s="56" t="s">
        <v>3976</v>
      </c>
      <c r="G2295" s="58" t="s">
        <v>2165</v>
      </c>
      <c r="H2295" s="56">
        <v>1</v>
      </c>
      <c r="I2295" s="56" t="s">
        <v>3721</v>
      </c>
      <c r="J2295" s="56">
        <v>109</v>
      </c>
      <c r="K2295" s="56">
        <v>109</v>
      </c>
      <c r="P2295" s="56">
        <v>0</v>
      </c>
      <c r="S2295" s="56">
        <v>0</v>
      </c>
      <c r="T2295" s="56" t="s">
        <v>3562</v>
      </c>
      <c r="V2295" s="56" t="s">
        <v>3561</v>
      </c>
      <c r="W2295" s="56" t="s">
        <v>3548</v>
      </c>
      <c r="X2295" s="56" t="s">
        <v>39</v>
      </c>
      <c r="Y2295" s="56" t="s">
        <v>3597</v>
      </c>
      <c r="Z2295" s="56" t="s">
        <v>3975</v>
      </c>
      <c r="AC2295" s="56" t="s">
        <v>3543</v>
      </c>
      <c r="AD2295" s="56" t="s">
        <v>24</v>
      </c>
      <c r="AE2295" s="56" t="s">
        <v>3862</v>
      </c>
      <c r="AF2295" s="56" t="s">
        <v>3974</v>
      </c>
      <c r="AH2295" s="56" t="s">
        <v>3542</v>
      </c>
      <c r="AI2295" s="56" t="s">
        <v>3723</v>
      </c>
    </row>
    <row r="2296" spans="1:35" ht="33" customHeight="1">
      <c r="A2296" s="56" t="s">
        <v>3978</v>
      </c>
      <c r="B2296" s="57">
        <v>44367.669861111113</v>
      </c>
      <c r="C2296" s="56" t="s">
        <v>3803</v>
      </c>
      <c r="D2296" s="56" t="s">
        <v>3802</v>
      </c>
      <c r="E2296" s="56" t="s">
        <v>3977</v>
      </c>
      <c r="F2296" s="56" t="s">
        <v>3976</v>
      </c>
      <c r="G2296" s="58" t="s">
        <v>3551</v>
      </c>
      <c r="H2296" s="56">
        <v>1</v>
      </c>
      <c r="I2296" s="56" t="s">
        <v>3550</v>
      </c>
      <c r="J2296" s="56">
        <v>0</v>
      </c>
      <c r="K2296" s="56">
        <v>0</v>
      </c>
      <c r="P2296" s="56">
        <v>0</v>
      </c>
      <c r="S2296" s="56">
        <v>0</v>
      </c>
      <c r="T2296" s="56" t="s">
        <v>3562</v>
      </c>
      <c r="V2296" s="56" t="s">
        <v>3561</v>
      </c>
      <c r="W2296" s="56" t="s">
        <v>3548</v>
      </c>
      <c r="X2296" s="56" t="s">
        <v>39</v>
      </c>
      <c r="Y2296" s="56" t="s">
        <v>3597</v>
      </c>
      <c r="Z2296" s="56" t="s">
        <v>3975</v>
      </c>
      <c r="AC2296" s="56" t="s">
        <v>3543</v>
      </c>
      <c r="AD2296" s="56" t="s">
        <v>24</v>
      </c>
      <c r="AE2296" s="56" t="s">
        <v>3862</v>
      </c>
      <c r="AF2296" s="56" t="s">
        <v>3974</v>
      </c>
      <c r="AH2296" s="56" t="s">
        <v>3542</v>
      </c>
      <c r="AI2296" s="56" t="s">
        <v>3723</v>
      </c>
    </row>
    <row r="2297" spans="1:35" ht="33" customHeight="1">
      <c r="A2297" s="56" t="s">
        <v>3978</v>
      </c>
      <c r="B2297" s="57">
        <v>44367.669861111113</v>
      </c>
      <c r="C2297" s="56" t="s">
        <v>3803</v>
      </c>
      <c r="D2297" s="56" t="s">
        <v>3802</v>
      </c>
      <c r="E2297" s="56" t="s">
        <v>3977</v>
      </c>
      <c r="F2297" s="56" t="s">
        <v>3976</v>
      </c>
      <c r="G2297" s="58" t="s">
        <v>1713</v>
      </c>
      <c r="H2297" s="56">
        <v>1</v>
      </c>
      <c r="I2297" s="56" t="s">
        <v>3568</v>
      </c>
      <c r="J2297" s="56">
        <v>0</v>
      </c>
      <c r="K2297" s="56">
        <v>0</v>
      </c>
      <c r="P2297" s="56">
        <v>0</v>
      </c>
      <c r="S2297" s="56">
        <v>0</v>
      </c>
      <c r="T2297" s="56" t="s">
        <v>3562</v>
      </c>
      <c r="V2297" s="56" t="s">
        <v>3561</v>
      </c>
      <c r="W2297" s="56" t="s">
        <v>3548</v>
      </c>
      <c r="X2297" s="56" t="s">
        <v>39</v>
      </c>
      <c r="Y2297" s="56" t="s">
        <v>3597</v>
      </c>
      <c r="Z2297" s="56" t="s">
        <v>3975</v>
      </c>
      <c r="AC2297" s="56" t="s">
        <v>3543</v>
      </c>
      <c r="AD2297" s="56" t="s">
        <v>24</v>
      </c>
      <c r="AE2297" s="56" t="s">
        <v>3862</v>
      </c>
      <c r="AF2297" s="56" t="s">
        <v>3974</v>
      </c>
      <c r="AH2297" s="56" t="s">
        <v>3542</v>
      </c>
      <c r="AI2297" s="56" t="s">
        <v>3723</v>
      </c>
    </row>
    <row r="2298" spans="1:35" ht="33" customHeight="1">
      <c r="A2298" s="56" t="s">
        <v>3978</v>
      </c>
      <c r="B2298" s="57">
        <v>44367.669861111113</v>
      </c>
      <c r="C2298" s="56" t="s">
        <v>3803</v>
      </c>
      <c r="D2298" s="56" t="s">
        <v>3802</v>
      </c>
      <c r="E2298" s="56" t="s">
        <v>3977</v>
      </c>
      <c r="F2298" s="56" t="s">
        <v>3976</v>
      </c>
      <c r="G2298" s="58" t="s">
        <v>3564</v>
      </c>
      <c r="H2298" s="56">
        <v>1</v>
      </c>
      <c r="I2298" s="56" t="s">
        <v>3563</v>
      </c>
      <c r="J2298" s="56">
        <v>0</v>
      </c>
      <c r="K2298" s="56">
        <v>0</v>
      </c>
      <c r="P2298" s="56">
        <v>0</v>
      </c>
      <c r="S2298" s="56">
        <v>0</v>
      </c>
      <c r="T2298" s="56" t="s">
        <v>3562</v>
      </c>
      <c r="V2298" s="56" t="s">
        <v>3561</v>
      </c>
      <c r="W2298" s="56" t="s">
        <v>3548</v>
      </c>
      <c r="X2298" s="56" t="s">
        <v>39</v>
      </c>
      <c r="Y2298" s="56" t="s">
        <v>3597</v>
      </c>
      <c r="Z2298" s="56" t="s">
        <v>3975</v>
      </c>
      <c r="AC2298" s="56" t="s">
        <v>3543</v>
      </c>
      <c r="AD2298" s="56" t="s">
        <v>24</v>
      </c>
      <c r="AE2298" s="56" t="s">
        <v>3862</v>
      </c>
      <c r="AF2298" s="56" t="s">
        <v>3974</v>
      </c>
      <c r="AH2298" s="56" t="s">
        <v>3542</v>
      </c>
      <c r="AI2298" s="56" t="s">
        <v>3723</v>
      </c>
    </row>
    <row r="2299" spans="1:35" ht="33" customHeight="1">
      <c r="A2299" s="56" t="s">
        <v>3973</v>
      </c>
      <c r="B2299" s="57">
        <v>44367.702453703707</v>
      </c>
      <c r="C2299" s="56" t="s">
        <v>3803</v>
      </c>
      <c r="D2299" s="56" t="s">
        <v>25</v>
      </c>
      <c r="E2299" s="56" t="s">
        <v>3972</v>
      </c>
      <c r="F2299" s="56" t="s">
        <v>3971</v>
      </c>
      <c r="G2299" s="58" t="s">
        <v>3811</v>
      </c>
      <c r="H2299" s="56">
        <v>1</v>
      </c>
      <c r="I2299" s="56" t="s">
        <v>3669</v>
      </c>
      <c r="J2299" s="56">
        <v>897</v>
      </c>
      <c r="K2299" s="56">
        <v>888</v>
      </c>
      <c r="L2299" s="56">
        <v>1287</v>
      </c>
      <c r="M2299" s="56">
        <v>0</v>
      </c>
      <c r="N2299" s="56">
        <v>0</v>
      </c>
      <c r="O2299" s="56">
        <v>100</v>
      </c>
      <c r="P2299" s="56">
        <v>0</v>
      </c>
      <c r="Q2299" s="56">
        <v>1187</v>
      </c>
      <c r="R2299" s="56">
        <v>0</v>
      </c>
      <c r="S2299" s="56">
        <v>0</v>
      </c>
      <c r="T2299" s="56" t="s">
        <v>27</v>
      </c>
      <c r="U2299" s="56">
        <v>1187</v>
      </c>
      <c r="V2299" s="56" t="s">
        <v>3549</v>
      </c>
      <c r="W2299" s="56" t="s">
        <v>3548</v>
      </c>
      <c r="X2299" s="56" t="s">
        <v>3547</v>
      </c>
      <c r="Z2299" s="56" t="s">
        <v>3546</v>
      </c>
      <c r="AA2299" s="56" t="s">
        <v>3970</v>
      </c>
      <c r="AB2299" s="56" t="s">
        <v>3969</v>
      </c>
      <c r="AC2299" s="56" t="s">
        <v>3543</v>
      </c>
      <c r="AH2299" s="56" t="s">
        <v>3542</v>
      </c>
      <c r="AI2299" s="56" t="s">
        <v>3541</v>
      </c>
    </row>
    <row r="2300" spans="1:35" ht="33" customHeight="1">
      <c r="A2300" s="56" t="s">
        <v>3973</v>
      </c>
      <c r="B2300" s="57">
        <v>44367.702453703707</v>
      </c>
      <c r="C2300" s="56" t="s">
        <v>3803</v>
      </c>
      <c r="D2300" s="56" t="s">
        <v>25</v>
      </c>
      <c r="E2300" s="56" t="s">
        <v>3972</v>
      </c>
      <c r="F2300" s="56" t="s">
        <v>3971</v>
      </c>
      <c r="G2300" s="58" t="s">
        <v>3171</v>
      </c>
      <c r="H2300" s="56">
        <v>1</v>
      </c>
      <c r="I2300" s="56" t="s">
        <v>3695</v>
      </c>
      <c r="J2300" s="56">
        <v>399</v>
      </c>
      <c r="K2300" s="56">
        <v>399</v>
      </c>
      <c r="P2300" s="56">
        <v>0</v>
      </c>
      <c r="S2300" s="56">
        <v>0</v>
      </c>
      <c r="T2300" s="56" t="s">
        <v>27</v>
      </c>
      <c r="V2300" s="56" t="s">
        <v>3549</v>
      </c>
      <c r="W2300" s="56" t="s">
        <v>3548</v>
      </c>
      <c r="X2300" s="56" t="s">
        <v>3547</v>
      </c>
      <c r="Z2300" s="56" t="s">
        <v>3546</v>
      </c>
      <c r="AA2300" s="56" t="s">
        <v>3970</v>
      </c>
      <c r="AB2300" s="56" t="s">
        <v>3969</v>
      </c>
      <c r="AC2300" s="56" t="s">
        <v>3543</v>
      </c>
      <c r="AH2300" s="56" t="s">
        <v>3542</v>
      </c>
      <c r="AI2300" s="56" t="s">
        <v>3541</v>
      </c>
    </row>
    <row r="2301" spans="1:35" ht="33" customHeight="1">
      <c r="A2301" s="56" t="s">
        <v>3973</v>
      </c>
      <c r="B2301" s="57">
        <v>44367.702453703707</v>
      </c>
      <c r="C2301" s="56" t="s">
        <v>3803</v>
      </c>
      <c r="D2301" s="56" t="s">
        <v>25</v>
      </c>
      <c r="E2301" s="56" t="s">
        <v>3972</v>
      </c>
      <c r="F2301" s="56" t="s">
        <v>3971</v>
      </c>
      <c r="G2301" s="58" t="s">
        <v>3551</v>
      </c>
      <c r="H2301" s="56">
        <v>1</v>
      </c>
      <c r="I2301" s="56" t="s">
        <v>3550</v>
      </c>
      <c r="J2301" s="56">
        <v>0</v>
      </c>
      <c r="K2301" s="56">
        <v>0</v>
      </c>
      <c r="P2301" s="56">
        <v>0</v>
      </c>
      <c r="S2301" s="56">
        <v>0</v>
      </c>
      <c r="T2301" s="56" t="s">
        <v>27</v>
      </c>
      <c r="V2301" s="56" t="s">
        <v>3549</v>
      </c>
      <c r="W2301" s="56" t="s">
        <v>3548</v>
      </c>
      <c r="X2301" s="56" t="s">
        <v>3547</v>
      </c>
      <c r="Z2301" s="56" t="s">
        <v>3546</v>
      </c>
      <c r="AA2301" s="56" t="s">
        <v>3970</v>
      </c>
      <c r="AB2301" s="56" t="s">
        <v>3969</v>
      </c>
      <c r="AC2301" s="56" t="s">
        <v>3543</v>
      </c>
      <c r="AH2301" s="56" t="s">
        <v>3542</v>
      </c>
      <c r="AI2301" s="56" t="s">
        <v>3541</v>
      </c>
    </row>
    <row r="2302" spans="1:35" ht="33" customHeight="1">
      <c r="A2302" s="56" t="s">
        <v>3967</v>
      </c>
      <c r="B2302" s="57">
        <v>44367.70349537037</v>
      </c>
      <c r="C2302" s="56" t="s">
        <v>3803</v>
      </c>
      <c r="D2302" s="56" t="s">
        <v>3802</v>
      </c>
      <c r="E2302" s="56" t="s">
        <v>3966</v>
      </c>
      <c r="F2302" s="56" t="s">
        <v>3965</v>
      </c>
      <c r="G2302" s="58" t="s">
        <v>3968</v>
      </c>
      <c r="H2302" s="56">
        <v>1</v>
      </c>
      <c r="I2302" s="56" t="s">
        <v>3669</v>
      </c>
      <c r="J2302" s="56">
        <v>897</v>
      </c>
      <c r="K2302" s="56">
        <v>888</v>
      </c>
      <c r="L2302" s="56">
        <v>1056</v>
      </c>
      <c r="M2302" s="56">
        <v>0</v>
      </c>
      <c r="N2302" s="56">
        <v>0</v>
      </c>
      <c r="O2302" s="56">
        <v>106</v>
      </c>
      <c r="P2302" s="56">
        <v>0</v>
      </c>
      <c r="Q2302" s="56">
        <v>950</v>
      </c>
      <c r="R2302" s="56">
        <v>0</v>
      </c>
      <c r="S2302" s="56">
        <v>0</v>
      </c>
      <c r="T2302" s="56" t="s">
        <v>3562</v>
      </c>
      <c r="U2302" s="56">
        <v>950</v>
      </c>
      <c r="V2302" s="56" t="s">
        <v>59</v>
      </c>
      <c r="W2302" s="56" t="s">
        <v>3548</v>
      </c>
      <c r="X2302" s="56" t="s">
        <v>39</v>
      </c>
      <c r="Y2302" s="56" t="s">
        <v>3964</v>
      </c>
      <c r="Z2302" s="56" t="s">
        <v>3963</v>
      </c>
      <c r="AC2302" s="56" t="s">
        <v>3543</v>
      </c>
      <c r="AD2302" s="56" t="s">
        <v>24</v>
      </c>
      <c r="AE2302" s="56" t="s">
        <v>3862</v>
      </c>
      <c r="AF2302" s="56" t="s">
        <v>3962</v>
      </c>
      <c r="AH2302" s="56" t="s">
        <v>3542</v>
      </c>
      <c r="AI2302" s="56" t="s">
        <v>3723</v>
      </c>
    </row>
    <row r="2303" spans="1:35" ht="33" customHeight="1">
      <c r="A2303" s="56" t="s">
        <v>3967</v>
      </c>
      <c r="B2303" s="57">
        <v>44367.70349537037</v>
      </c>
      <c r="C2303" s="56" t="s">
        <v>3803</v>
      </c>
      <c r="D2303" s="56" t="s">
        <v>3802</v>
      </c>
      <c r="E2303" s="56" t="s">
        <v>3966</v>
      </c>
      <c r="F2303" s="56" t="s">
        <v>3965</v>
      </c>
      <c r="G2303" s="58" t="s">
        <v>3192</v>
      </c>
      <c r="H2303" s="56">
        <v>1</v>
      </c>
      <c r="I2303" s="56" t="s">
        <v>3722</v>
      </c>
      <c r="J2303" s="56">
        <v>168</v>
      </c>
      <c r="K2303" s="56">
        <v>168</v>
      </c>
      <c r="P2303" s="56">
        <v>0</v>
      </c>
      <c r="S2303" s="56">
        <v>0</v>
      </c>
      <c r="T2303" s="56" t="s">
        <v>3562</v>
      </c>
      <c r="V2303" s="56" t="s">
        <v>59</v>
      </c>
      <c r="W2303" s="56" t="s">
        <v>3548</v>
      </c>
      <c r="X2303" s="56" t="s">
        <v>39</v>
      </c>
      <c r="Y2303" s="56" t="s">
        <v>3964</v>
      </c>
      <c r="Z2303" s="56" t="s">
        <v>3963</v>
      </c>
      <c r="AC2303" s="56" t="s">
        <v>3543</v>
      </c>
      <c r="AD2303" s="56" t="s">
        <v>24</v>
      </c>
      <c r="AE2303" s="56" t="s">
        <v>3862</v>
      </c>
      <c r="AF2303" s="56" t="s">
        <v>3962</v>
      </c>
      <c r="AH2303" s="56" t="s">
        <v>3542</v>
      </c>
      <c r="AI2303" s="56" t="s">
        <v>3723</v>
      </c>
    </row>
    <row r="2304" spans="1:35" ht="33" customHeight="1">
      <c r="A2304" s="56" t="s">
        <v>3967</v>
      </c>
      <c r="B2304" s="57">
        <v>44367.70349537037</v>
      </c>
      <c r="C2304" s="56" t="s">
        <v>3803</v>
      </c>
      <c r="D2304" s="56" t="s">
        <v>3802</v>
      </c>
      <c r="E2304" s="56" t="s">
        <v>3966</v>
      </c>
      <c r="F2304" s="56" t="s">
        <v>3965</v>
      </c>
      <c r="G2304" s="58" t="s">
        <v>3551</v>
      </c>
      <c r="H2304" s="56">
        <v>1</v>
      </c>
      <c r="I2304" s="56" t="s">
        <v>3550</v>
      </c>
      <c r="J2304" s="56">
        <v>0</v>
      </c>
      <c r="K2304" s="56">
        <v>0</v>
      </c>
      <c r="P2304" s="56">
        <v>0</v>
      </c>
      <c r="S2304" s="56">
        <v>0</v>
      </c>
      <c r="T2304" s="56" t="s">
        <v>3562</v>
      </c>
      <c r="V2304" s="56" t="s">
        <v>59</v>
      </c>
      <c r="W2304" s="56" t="s">
        <v>3548</v>
      </c>
      <c r="X2304" s="56" t="s">
        <v>39</v>
      </c>
      <c r="Y2304" s="56" t="s">
        <v>3964</v>
      </c>
      <c r="Z2304" s="56" t="s">
        <v>3963</v>
      </c>
      <c r="AC2304" s="56" t="s">
        <v>3543</v>
      </c>
      <c r="AD2304" s="56" t="s">
        <v>24</v>
      </c>
      <c r="AE2304" s="56" t="s">
        <v>3862</v>
      </c>
      <c r="AF2304" s="56" t="s">
        <v>3962</v>
      </c>
      <c r="AH2304" s="56" t="s">
        <v>3542</v>
      </c>
      <c r="AI2304" s="56" t="s">
        <v>3723</v>
      </c>
    </row>
    <row r="2305" spans="1:35" ht="33" customHeight="1">
      <c r="A2305" s="56" t="s">
        <v>3961</v>
      </c>
      <c r="B2305" s="57">
        <v>44367.707442129627</v>
      </c>
      <c r="C2305" s="56" t="s">
        <v>3803</v>
      </c>
      <c r="D2305" s="56" t="s">
        <v>3802</v>
      </c>
      <c r="E2305" s="56" t="s">
        <v>3960</v>
      </c>
      <c r="F2305" s="56" t="s">
        <v>3959</v>
      </c>
      <c r="G2305" s="58" t="s">
        <v>3811</v>
      </c>
      <c r="H2305" s="56">
        <v>1</v>
      </c>
      <c r="I2305" s="56" t="s">
        <v>3669</v>
      </c>
      <c r="J2305" s="56">
        <v>897</v>
      </c>
      <c r="K2305" s="56">
        <v>888</v>
      </c>
      <c r="L2305" s="56">
        <v>1187</v>
      </c>
      <c r="M2305" s="56">
        <v>0</v>
      </c>
      <c r="N2305" s="56">
        <v>0</v>
      </c>
      <c r="O2305" s="56">
        <v>100</v>
      </c>
      <c r="P2305" s="56">
        <v>0</v>
      </c>
      <c r="Q2305" s="56">
        <v>1087</v>
      </c>
      <c r="R2305" s="56">
        <v>0</v>
      </c>
      <c r="S2305" s="56">
        <v>0</v>
      </c>
      <c r="T2305" s="56" t="s">
        <v>3562</v>
      </c>
      <c r="U2305" s="56">
        <v>1087</v>
      </c>
      <c r="V2305" s="56" t="s">
        <v>59</v>
      </c>
      <c r="W2305" s="56" t="s">
        <v>3548</v>
      </c>
      <c r="X2305" s="56" t="s">
        <v>39</v>
      </c>
      <c r="Y2305" s="56" t="s">
        <v>3958</v>
      </c>
      <c r="Z2305" s="56" t="s">
        <v>3957</v>
      </c>
      <c r="AC2305" s="56" t="s">
        <v>3543</v>
      </c>
      <c r="AD2305" s="56" t="s">
        <v>24</v>
      </c>
      <c r="AE2305" s="56" t="s">
        <v>3862</v>
      </c>
      <c r="AF2305" s="56" t="s">
        <v>3956</v>
      </c>
      <c r="AH2305" s="56" t="s">
        <v>3542</v>
      </c>
      <c r="AI2305" s="56" t="s">
        <v>3723</v>
      </c>
    </row>
    <row r="2306" spans="1:35" ht="33" customHeight="1">
      <c r="A2306" s="56" t="s">
        <v>3961</v>
      </c>
      <c r="B2306" s="57">
        <v>44367.707442129627</v>
      </c>
      <c r="C2306" s="56" t="s">
        <v>3803</v>
      </c>
      <c r="D2306" s="56" t="s">
        <v>3802</v>
      </c>
      <c r="E2306" s="56" t="s">
        <v>3960</v>
      </c>
      <c r="F2306" s="56" t="s">
        <v>3959</v>
      </c>
      <c r="G2306" s="58" t="s">
        <v>1510</v>
      </c>
      <c r="H2306" s="56">
        <v>1</v>
      </c>
      <c r="I2306" s="56" t="s">
        <v>3696</v>
      </c>
      <c r="J2306" s="56">
        <v>299</v>
      </c>
      <c r="K2306" s="56">
        <v>299</v>
      </c>
      <c r="P2306" s="56">
        <v>0</v>
      </c>
      <c r="S2306" s="56">
        <v>0</v>
      </c>
      <c r="T2306" s="56" t="s">
        <v>3562</v>
      </c>
      <c r="V2306" s="56" t="s">
        <v>59</v>
      </c>
      <c r="W2306" s="56" t="s">
        <v>3548</v>
      </c>
      <c r="X2306" s="56" t="s">
        <v>39</v>
      </c>
      <c r="Y2306" s="56" t="s">
        <v>3958</v>
      </c>
      <c r="Z2306" s="56" t="s">
        <v>3957</v>
      </c>
      <c r="AC2306" s="56" t="s">
        <v>3543</v>
      </c>
      <c r="AD2306" s="56" t="s">
        <v>24</v>
      </c>
      <c r="AE2306" s="56" t="s">
        <v>3862</v>
      </c>
      <c r="AF2306" s="56" t="s">
        <v>3956</v>
      </c>
      <c r="AH2306" s="56" t="s">
        <v>3542</v>
      </c>
      <c r="AI2306" s="56" t="s">
        <v>3723</v>
      </c>
    </row>
    <row r="2307" spans="1:35" ht="33" customHeight="1">
      <c r="A2307" s="56" t="s">
        <v>3961</v>
      </c>
      <c r="B2307" s="57">
        <v>44367.707442129627</v>
      </c>
      <c r="C2307" s="56" t="s">
        <v>3803</v>
      </c>
      <c r="D2307" s="56" t="s">
        <v>3802</v>
      </c>
      <c r="E2307" s="56" t="s">
        <v>3960</v>
      </c>
      <c r="F2307" s="56" t="s">
        <v>3959</v>
      </c>
      <c r="G2307" s="58" t="s">
        <v>3551</v>
      </c>
      <c r="H2307" s="56">
        <v>1</v>
      </c>
      <c r="I2307" s="56" t="s">
        <v>3550</v>
      </c>
      <c r="J2307" s="56">
        <v>0</v>
      </c>
      <c r="K2307" s="56">
        <v>0</v>
      </c>
      <c r="P2307" s="56">
        <v>0</v>
      </c>
      <c r="S2307" s="56">
        <v>0</v>
      </c>
      <c r="T2307" s="56" t="s">
        <v>3562</v>
      </c>
      <c r="V2307" s="56" t="s">
        <v>59</v>
      </c>
      <c r="W2307" s="56" t="s">
        <v>3548</v>
      </c>
      <c r="X2307" s="56" t="s">
        <v>39</v>
      </c>
      <c r="Y2307" s="56" t="s">
        <v>3958</v>
      </c>
      <c r="Z2307" s="56" t="s">
        <v>3957</v>
      </c>
      <c r="AC2307" s="56" t="s">
        <v>3543</v>
      </c>
      <c r="AD2307" s="56" t="s">
        <v>24</v>
      </c>
      <c r="AE2307" s="56" t="s">
        <v>3862</v>
      </c>
      <c r="AF2307" s="56" t="s">
        <v>3956</v>
      </c>
      <c r="AH2307" s="56" t="s">
        <v>3542</v>
      </c>
      <c r="AI2307" s="56" t="s">
        <v>3723</v>
      </c>
    </row>
    <row r="2308" spans="1:35" ht="33" customHeight="1">
      <c r="A2308" s="56" t="s">
        <v>3952</v>
      </c>
      <c r="B2308" s="57">
        <v>44367.737233796295</v>
      </c>
      <c r="C2308" s="56" t="s">
        <v>3803</v>
      </c>
      <c r="D2308" s="56" t="s">
        <v>25</v>
      </c>
      <c r="E2308" s="56" t="s">
        <v>3951</v>
      </c>
      <c r="F2308" s="56" t="s">
        <v>3950</v>
      </c>
      <c r="G2308" s="58" t="s">
        <v>3955</v>
      </c>
      <c r="H2308" s="56">
        <v>1</v>
      </c>
      <c r="I2308" s="56" t="s">
        <v>3954</v>
      </c>
      <c r="J2308" s="56">
        <v>499</v>
      </c>
      <c r="K2308" s="56">
        <v>480</v>
      </c>
      <c r="L2308" s="56">
        <v>1628</v>
      </c>
      <c r="M2308" s="56">
        <v>0</v>
      </c>
      <c r="N2308" s="56">
        <v>0</v>
      </c>
      <c r="O2308" s="56">
        <v>161</v>
      </c>
      <c r="P2308" s="56">
        <v>0</v>
      </c>
      <c r="Q2308" s="56">
        <v>1467</v>
      </c>
      <c r="R2308" s="56">
        <v>0</v>
      </c>
      <c r="S2308" s="56">
        <v>0</v>
      </c>
      <c r="T2308" s="56" t="s">
        <v>27</v>
      </c>
      <c r="U2308" s="56">
        <v>1467</v>
      </c>
      <c r="V2308" s="56" t="s">
        <v>3612</v>
      </c>
      <c r="W2308" s="56" t="s">
        <v>3548</v>
      </c>
      <c r="X2308" s="56" t="s">
        <v>3611</v>
      </c>
      <c r="Z2308" s="56" t="s">
        <v>3546</v>
      </c>
      <c r="AA2308" s="56" t="s">
        <v>3949</v>
      </c>
      <c r="AB2308" s="56" t="s">
        <v>3948</v>
      </c>
      <c r="AC2308" s="56" t="s">
        <v>3543</v>
      </c>
      <c r="AH2308" s="56" t="s">
        <v>3542</v>
      </c>
      <c r="AI2308" s="56" t="s">
        <v>3541</v>
      </c>
    </row>
    <row r="2309" spans="1:35" ht="33" customHeight="1">
      <c r="A2309" s="56" t="s">
        <v>3952</v>
      </c>
      <c r="B2309" s="57">
        <v>44367.737233796295</v>
      </c>
      <c r="C2309" s="56" t="s">
        <v>3803</v>
      </c>
      <c r="D2309" s="56" t="s">
        <v>25</v>
      </c>
      <c r="E2309" s="56" t="s">
        <v>3951</v>
      </c>
      <c r="F2309" s="56" t="s">
        <v>3950</v>
      </c>
      <c r="G2309" s="58" t="s">
        <v>3299</v>
      </c>
      <c r="H2309" s="56">
        <v>1</v>
      </c>
      <c r="I2309" s="56" t="s">
        <v>3576</v>
      </c>
      <c r="J2309" s="56">
        <v>260</v>
      </c>
      <c r="K2309" s="56">
        <v>260</v>
      </c>
      <c r="P2309" s="56">
        <v>0</v>
      </c>
      <c r="S2309" s="56">
        <v>0</v>
      </c>
      <c r="T2309" s="56" t="s">
        <v>27</v>
      </c>
      <c r="V2309" s="56" t="s">
        <v>3612</v>
      </c>
      <c r="W2309" s="56" t="s">
        <v>3548</v>
      </c>
      <c r="X2309" s="56" t="s">
        <v>3611</v>
      </c>
      <c r="Z2309" s="56" t="s">
        <v>3546</v>
      </c>
      <c r="AA2309" s="56" t="s">
        <v>3949</v>
      </c>
      <c r="AB2309" s="56" t="s">
        <v>3948</v>
      </c>
      <c r="AC2309" s="56" t="s">
        <v>3543</v>
      </c>
      <c r="AH2309" s="56" t="s">
        <v>3542</v>
      </c>
      <c r="AI2309" s="56" t="s">
        <v>3541</v>
      </c>
    </row>
    <row r="2310" spans="1:35" ht="33" customHeight="1">
      <c r="A2310" s="56" t="s">
        <v>3952</v>
      </c>
      <c r="B2310" s="57">
        <v>44367.737233796295</v>
      </c>
      <c r="C2310" s="56" t="s">
        <v>3803</v>
      </c>
      <c r="D2310" s="56" t="s">
        <v>25</v>
      </c>
      <c r="E2310" s="56" t="s">
        <v>3951</v>
      </c>
      <c r="F2310" s="56" t="s">
        <v>3950</v>
      </c>
      <c r="G2310" s="58" t="s">
        <v>3953</v>
      </c>
      <c r="H2310" s="56">
        <v>1</v>
      </c>
      <c r="I2310" s="56" t="s">
        <v>3669</v>
      </c>
      <c r="J2310" s="56">
        <v>897</v>
      </c>
      <c r="K2310" s="56">
        <v>888</v>
      </c>
      <c r="P2310" s="56">
        <v>0</v>
      </c>
      <c r="S2310" s="56">
        <v>0</v>
      </c>
      <c r="T2310" s="56" t="s">
        <v>27</v>
      </c>
      <c r="V2310" s="56" t="s">
        <v>3612</v>
      </c>
      <c r="W2310" s="56" t="s">
        <v>3548</v>
      </c>
      <c r="X2310" s="56" t="s">
        <v>3611</v>
      </c>
      <c r="Z2310" s="56" t="s">
        <v>3546</v>
      </c>
      <c r="AA2310" s="56" t="s">
        <v>3949</v>
      </c>
      <c r="AB2310" s="56" t="s">
        <v>3948</v>
      </c>
      <c r="AC2310" s="56" t="s">
        <v>3543</v>
      </c>
      <c r="AH2310" s="56" t="s">
        <v>3542</v>
      </c>
      <c r="AI2310" s="56" t="s">
        <v>3541</v>
      </c>
    </row>
    <row r="2311" spans="1:35" ht="33" customHeight="1">
      <c r="A2311" s="56" t="s">
        <v>3952</v>
      </c>
      <c r="B2311" s="57">
        <v>44367.737233796295</v>
      </c>
      <c r="C2311" s="56" t="s">
        <v>3803</v>
      </c>
      <c r="D2311" s="56" t="s">
        <v>25</v>
      </c>
      <c r="E2311" s="56" t="s">
        <v>3951</v>
      </c>
      <c r="F2311" s="56" t="s">
        <v>3950</v>
      </c>
      <c r="G2311" s="58" t="s">
        <v>3551</v>
      </c>
      <c r="H2311" s="56">
        <v>1</v>
      </c>
      <c r="I2311" s="56" t="s">
        <v>3550</v>
      </c>
      <c r="J2311" s="56">
        <v>0</v>
      </c>
      <c r="K2311" s="56">
        <v>0</v>
      </c>
      <c r="P2311" s="56">
        <v>0</v>
      </c>
      <c r="S2311" s="56">
        <v>0</v>
      </c>
      <c r="T2311" s="56" t="s">
        <v>27</v>
      </c>
      <c r="V2311" s="56" t="s">
        <v>3612</v>
      </c>
      <c r="W2311" s="56" t="s">
        <v>3548</v>
      </c>
      <c r="X2311" s="56" t="s">
        <v>3611</v>
      </c>
      <c r="Z2311" s="56" t="s">
        <v>3546</v>
      </c>
      <c r="AA2311" s="56" t="s">
        <v>3949</v>
      </c>
      <c r="AB2311" s="56" t="s">
        <v>3948</v>
      </c>
      <c r="AC2311" s="56" t="s">
        <v>3543</v>
      </c>
      <c r="AH2311" s="56" t="s">
        <v>3542</v>
      </c>
      <c r="AI2311" s="56" t="s">
        <v>3541</v>
      </c>
    </row>
    <row r="2312" spans="1:35" ht="33" customHeight="1">
      <c r="A2312" s="56" t="s">
        <v>3952</v>
      </c>
      <c r="B2312" s="57">
        <v>44367.737233796295</v>
      </c>
      <c r="C2312" s="56" t="s">
        <v>3803</v>
      </c>
      <c r="D2312" s="56" t="s">
        <v>25</v>
      </c>
      <c r="E2312" s="56" t="s">
        <v>3951</v>
      </c>
      <c r="F2312" s="56" t="s">
        <v>3950</v>
      </c>
      <c r="G2312" s="58" t="s">
        <v>1713</v>
      </c>
      <c r="H2312" s="56">
        <v>1</v>
      </c>
      <c r="I2312" s="56" t="s">
        <v>3568</v>
      </c>
      <c r="J2312" s="56">
        <v>0</v>
      </c>
      <c r="K2312" s="56">
        <v>0</v>
      </c>
      <c r="P2312" s="56">
        <v>0</v>
      </c>
      <c r="S2312" s="56">
        <v>0</v>
      </c>
      <c r="T2312" s="56" t="s">
        <v>27</v>
      </c>
      <c r="V2312" s="56" t="s">
        <v>3612</v>
      </c>
      <c r="W2312" s="56" t="s">
        <v>3548</v>
      </c>
      <c r="X2312" s="56" t="s">
        <v>3611</v>
      </c>
      <c r="Z2312" s="56" t="s">
        <v>3546</v>
      </c>
      <c r="AA2312" s="56" t="s">
        <v>3949</v>
      </c>
      <c r="AB2312" s="56" t="s">
        <v>3948</v>
      </c>
      <c r="AC2312" s="56" t="s">
        <v>3543</v>
      </c>
      <c r="AH2312" s="56" t="s">
        <v>3542</v>
      </c>
      <c r="AI2312" s="56" t="s">
        <v>3541</v>
      </c>
    </row>
    <row r="2313" spans="1:35" ht="33" customHeight="1">
      <c r="A2313" s="56" t="s">
        <v>3947</v>
      </c>
      <c r="B2313" s="57">
        <v>44367.812175925923</v>
      </c>
      <c r="C2313" s="56" t="s">
        <v>3803</v>
      </c>
      <c r="D2313" s="56" t="s">
        <v>25</v>
      </c>
      <c r="E2313" s="56" t="s">
        <v>3946</v>
      </c>
      <c r="F2313" s="56" t="s">
        <v>3945</v>
      </c>
      <c r="G2313" s="58" t="s">
        <v>2161</v>
      </c>
      <c r="H2313" s="56">
        <v>1</v>
      </c>
      <c r="I2313" s="56" t="s">
        <v>3694</v>
      </c>
      <c r="J2313" s="56">
        <v>128</v>
      </c>
      <c r="K2313" s="56">
        <v>128</v>
      </c>
      <c r="L2313" s="56">
        <v>256</v>
      </c>
      <c r="M2313" s="56">
        <v>65</v>
      </c>
      <c r="N2313" s="56">
        <v>0</v>
      </c>
      <c r="O2313" s="56">
        <v>0</v>
      </c>
      <c r="P2313" s="56">
        <v>0</v>
      </c>
      <c r="Q2313" s="56">
        <v>321</v>
      </c>
      <c r="R2313" s="56">
        <v>0</v>
      </c>
      <c r="S2313" s="56">
        <v>0</v>
      </c>
      <c r="T2313" s="56" t="s">
        <v>27</v>
      </c>
      <c r="U2313" s="56">
        <v>321</v>
      </c>
      <c r="V2313" s="56" t="s">
        <v>3549</v>
      </c>
      <c r="W2313" s="56" t="s">
        <v>3548</v>
      </c>
      <c r="X2313" s="56" t="s">
        <v>3547</v>
      </c>
      <c r="Z2313" s="56" t="s">
        <v>3546</v>
      </c>
      <c r="AA2313" s="56" t="s">
        <v>3944</v>
      </c>
      <c r="AB2313" s="56" t="s">
        <v>3943</v>
      </c>
      <c r="AC2313" s="56" t="s">
        <v>3543</v>
      </c>
      <c r="AH2313" s="56" t="s">
        <v>3542</v>
      </c>
      <c r="AI2313" s="56" t="s">
        <v>3541</v>
      </c>
    </row>
    <row r="2314" spans="1:35" ht="33" customHeight="1">
      <c r="A2314" s="56" t="s">
        <v>3947</v>
      </c>
      <c r="B2314" s="57">
        <v>44367.812175925923</v>
      </c>
      <c r="C2314" s="56" t="s">
        <v>3803</v>
      </c>
      <c r="D2314" s="56" t="s">
        <v>25</v>
      </c>
      <c r="E2314" s="56" t="s">
        <v>3946</v>
      </c>
      <c r="F2314" s="56" t="s">
        <v>3945</v>
      </c>
      <c r="G2314" s="58" t="s">
        <v>2165</v>
      </c>
      <c r="H2314" s="56">
        <v>1</v>
      </c>
      <c r="I2314" s="56" t="s">
        <v>3694</v>
      </c>
      <c r="J2314" s="56">
        <v>128</v>
      </c>
      <c r="K2314" s="56">
        <v>128</v>
      </c>
      <c r="P2314" s="56">
        <v>0</v>
      </c>
      <c r="S2314" s="56">
        <v>0</v>
      </c>
      <c r="T2314" s="56" t="s">
        <v>27</v>
      </c>
      <c r="V2314" s="56" t="s">
        <v>3549</v>
      </c>
      <c r="W2314" s="56" t="s">
        <v>3548</v>
      </c>
      <c r="X2314" s="56" t="s">
        <v>3547</v>
      </c>
      <c r="Z2314" s="56" t="s">
        <v>3546</v>
      </c>
      <c r="AA2314" s="56" t="s">
        <v>3944</v>
      </c>
      <c r="AB2314" s="56" t="s">
        <v>3943</v>
      </c>
      <c r="AC2314" s="56" t="s">
        <v>3543</v>
      </c>
      <c r="AH2314" s="56" t="s">
        <v>3542</v>
      </c>
      <c r="AI2314" s="56" t="s">
        <v>3541</v>
      </c>
    </row>
    <row r="2315" spans="1:35" ht="33" customHeight="1">
      <c r="A2315" s="56" t="s">
        <v>3947</v>
      </c>
      <c r="B2315" s="57">
        <v>44367.812175925923</v>
      </c>
      <c r="C2315" s="56" t="s">
        <v>3803</v>
      </c>
      <c r="D2315" s="56" t="s">
        <v>25</v>
      </c>
      <c r="E2315" s="56" t="s">
        <v>3946</v>
      </c>
      <c r="F2315" s="56" t="s">
        <v>3945</v>
      </c>
      <c r="G2315" s="58" t="s">
        <v>3551</v>
      </c>
      <c r="H2315" s="56">
        <v>1</v>
      </c>
      <c r="I2315" s="56" t="s">
        <v>3550</v>
      </c>
      <c r="J2315" s="56">
        <v>0</v>
      </c>
      <c r="K2315" s="56">
        <v>0</v>
      </c>
      <c r="P2315" s="56">
        <v>0</v>
      </c>
      <c r="S2315" s="56">
        <v>0</v>
      </c>
      <c r="T2315" s="56" t="s">
        <v>27</v>
      </c>
      <c r="V2315" s="56" t="s">
        <v>3549</v>
      </c>
      <c r="W2315" s="56" t="s">
        <v>3548</v>
      </c>
      <c r="X2315" s="56" t="s">
        <v>3547</v>
      </c>
      <c r="Z2315" s="56" t="s">
        <v>3546</v>
      </c>
      <c r="AA2315" s="56" t="s">
        <v>3944</v>
      </c>
      <c r="AB2315" s="56" t="s">
        <v>3943</v>
      </c>
      <c r="AC2315" s="56" t="s">
        <v>3543</v>
      </c>
      <c r="AH2315" s="56" t="s">
        <v>3542</v>
      </c>
      <c r="AI2315" s="56" t="s">
        <v>3541</v>
      </c>
    </row>
    <row r="2316" spans="1:35" ht="33" customHeight="1">
      <c r="A2316" s="56" t="s">
        <v>3940</v>
      </c>
      <c r="B2316" s="57">
        <v>44367.81322916667</v>
      </c>
      <c r="C2316" s="56" t="s">
        <v>3803</v>
      </c>
      <c r="D2316" s="56" t="s">
        <v>3802</v>
      </c>
      <c r="E2316" s="56" t="s">
        <v>3939</v>
      </c>
      <c r="F2316" s="56" t="s">
        <v>3938</v>
      </c>
      <c r="G2316" s="58" t="s">
        <v>3942</v>
      </c>
      <c r="H2316" s="56">
        <v>1</v>
      </c>
      <c r="I2316" s="56" t="s">
        <v>3941</v>
      </c>
      <c r="J2316" s="56">
        <v>840</v>
      </c>
      <c r="K2316" s="56">
        <v>750</v>
      </c>
      <c r="L2316" s="56">
        <v>1785</v>
      </c>
      <c r="M2316" s="56">
        <v>0</v>
      </c>
      <c r="N2316" s="56">
        <v>0</v>
      </c>
      <c r="O2316" s="56">
        <v>100</v>
      </c>
      <c r="P2316" s="56">
        <v>0</v>
      </c>
      <c r="Q2316" s="56">
        <v>1685</v>
      </c>
      <c r="R2316" s="56">
        <v>0</v>
      </c>
      <c r="S2316" s="56">
        <v>0</v>
      </c>
      <c r="T2316" s="56" t="s">
        <v>3562</v>
      </c>
      <c r="U2316" s="56">
        <v>1685</v>
      </c>
      <c r="V2316" s="56" t="s">
        <v>3561</v>
      </c>
      <c r="W2316" s="56" t="s">
        <v>3548</v>
      </c>
      <c r="X2316" s="56" t="s">
        <v>39</v>
      </c>
      <c r="Y2316" s="56" t="s">
        <v>3937</v>
      </c>
      <c r="Z2316" s="56" t="s">
        <v>3936</v>
      </c>
      <c r="AC2316" s="56" t="s">
        <v>3543</v>
      </c>
      <c r="AD2316" s="56" t="s">
        <v>24</v>
      </c>
      <c r="AE2316" s="56" t="s">
        <v>3862</v>
      </c>
      <c r="AF2316" s="56" t="s">
        <v>3935</v>
      </c>
      <c r="AH2316" s="56" t="s">
        <v>3542</v>
      </c>
      <c r="AI2316" s="56" t="s">
        <v>3723</v>
      </c>
    </row>
    <row r="2317" spans="1:35" ht="33" customHeight="1">
      <c r="A2317" s="56" t="s">
        <v>3940</v>
      </c>
      <c r="B2317" s="57">
        <v>44367.81322916667</v>
      </c>
      <c r="C2317" s="56" t="s">
        <v>3803</v>
      </c>
      <c r="D2317" s="56" t="s">
        <v>3802</v>
      </c>
      <c r="E2317" s="56" t="s">
        <v>3939</v>
      </c>
      <c r="F2317" s="56" t="s">
        <v>3938</v>
      </c>
      <c r="G2317" s="58" t="s">
        <v>3656</v>
      </c>
      <c r="H2317" s="56">
        <v>1</v>
      </c>
      <c r="I2317" s="56" t="s">
        <v>3655</v>
      </c>
      <c r="J2317" s="56">
        <v>1107</v>
      </c>
      <c r="K2317" s="56">
        <v>799</v>
      </c>
      <c r="P2317" s="56">
        <v>0</v>
      </c>
      <c r="S2317" s="56">
        <v>0</v>
      </c>
      <c r="T2317" s="56" t="s">
        <v>3562</v>
      </c>
      <c r="V2317" s="56" t="s">
        <v>3561</v>
      </c>
      <c r="W2317" s="56" t="s">
        <v>3548</v>
      </c>
      <c r="X2317" s="56" t="s">
        <v>39</v>
      </c>
      <c r="Y2317" s="56" t="s">
        <v>3937</v>
      </c>
      <c r="Z2317" s="56" t="s">
        <v>3936</v>
      </c>
      <c r="AC2317" s="56" t="s">
        <v>3543</v>
      </c>
      <c r="AD2317" s="56" t="s">
        <v>24</v>
      </c>
      <c r="AE2317" s="56" t="s">
        <v>3862</v>
      </c>
      <c r="AF2317" s="56" t="s">
        <v>3935</v>
      </c>
      <c r="AH2317" s="56" t="s">
        <v>3542</v>
      </c>
      <c r="AI2317" s="56" t="s">
        <v>3723</v>
      </c>
    </row>
    <row r="2318" spans="1:35" ht="33" customHeight="1">
      <c r="A2318" s="56" t="s">
        <v>3940</v>
      </c>
      <c r="B2318" s="57">
        <v>44367.81322916667</v>
      </c>
      <c r="C2318" s="56" t="s">
        <v>3803</v>
      </c>
      <c r="D2318" s="56" t="s">
        <v>3802</v>
      </c>
      <c r="E2318" s="56" t="s">
        <v>3939</v>
      </c>
      <c r="F2318" s="56" t="s">
        <v>3938</v>
      </c>
      <c r="G2318" s="58" t="s">
        <v>3217</v>
      </c>
      <c r="H2318" s="56">
        <v>2</v>
      </c>
      <c r="I2318" s="56" t="s">
        <v>3720</v>
      </c>
      <c r="J2318" s="56">
        <v>59</v>
      </c>
      <c r="K2318" s="56">
        <v>59</v>
      </c>
      <c r="P2318" s="56">
        <v>0</v>
      </c>
      <c r="S2318" s="56">
        <v>0</v>
      </c>
      <c r="T2318" s="56" t="s">
        <v>3562</v>
      </c>
      <c r="V2318" s="56" t="s">
        <v>3561</v>
      </c>
      <c r="W2318" s="56" t="s">
        <v>3548</v>
      </c>
      <c r="X2318" s="56" t="s">
        <v>39</v>
      </c>
      <c r="Y2318" s="56" t="s">
        <v>3937</v>
      </c>
      <c r="Z2318" s="56" t="s">
        <v>3936</v>
      </c>
      <c r="AC2318" s="56" t="s">
        <v>3543</v>
      </c>
      <c r="AD2318" s="56" t="s">
        <v>24</v>
      </c>
      <c r="AE2318" s="56" t="s">
        <v>3862</v>
      </c>
      <c r="AF2318" s="56" t="s">
        <v>3935</v>
      </c>
      <c r="AH2318" s="56" t="s">
        <v>3542</v>
      </c>
      <c r="AI2318" s="56" t="s">
        <v>3723</v>
      </c>
    </row>
    <row r="2319" spans="1:35" ht="33" customHeight="1">
      <c r="A2319" s="56" t="s">
        <v>3940</v>
      </c>
      <c r="B2319" s="57">
        <v>44367.81322916667</v>
      </c>
      <c r="C2319" s="56" t="s">
        <v>3803</v>
      </c>
      <c r="D2319" s="56" t="s">
        <v>3802</v>
      </c>
      <c r="E2319" s="56" t="s">
        <v>3939</v>
      </c>
      <c r="F2319" s="56" t="s">
        <v>3938</v>
      </c>
      <c r="G2319" s="58" t="s">
        <v>3222</v>
      </c>
      <c r="H2319" s="56">
        <v>2</v>
      </c>
      <c r="I2319" s="56" t="s">
        <v>3712</v>
      </c>
      <c r="J2319" s="56">
        <v>59</v>
      </c>
      <c r="K2319" s="56">
        <v>59</v>
      </c>
      <c r="P2319" s="56">
        <v>0</v>
      </c>
      <c r="S2319" s="56">
        <v>0</v>
      </c>
      <c r="T2319" s="56" t="s">
        <v>3562</v>
      </c>
      <c r="V2319" s="56" t="s">
        <v>3561</v>
      </c>
      <c r="W2319" s="56" t="s">
        <v>3548</v>
      </c>
      <c r="X2319" s="56" t="s">
        <v>39</v>
      </c>
      <c r="Y2319" s="56" t="s">
        <v>3937</v>
      </c>
      <c r="Z2319" s="56" t="s">
        <v>3936</v>
      </c>
      <c r="AC2319" s="56" t="s">
        <v>3543</v>
      </c>
      <c r="AD2319" s="56" t="s">
        <v>24</v>
      </c>
      <c r="AE2319" s="56" t="s">
        <v>3862</v>
      </c>
      <c r="AF2319" s="56" t="s">
        <v>3935</v>
      </c>
      <c r="AH2319" s="56" t="s">
        <v>3542</v>
      </c>
      <c r="AI2319" s="56" t="s">
        <v>3723</v>
      </c>
    </row>
    <row r="2320" spans="1:35" ht="33" customHeight="1">
      <c r="A2320" s="56" t="s">
        <v>3940</v>
      </c>
      <c r="B2320" s="57">
        <v>44367.81322916667</v>
      </c>
      <c r="C2320" s="56" t="s">
        <v>3803</v>
      </c>
      <c r="D2320" s="56" t="s">
        <v>3802</v>
      </c>
      <c r="E2320" s="56" t="s">
        <v>3939</v>
      </c>
      <c r="F2320" s="56" t="s">
        <v>3938</v>
      </c>
      <c r="G2320" s="58" t="s">
        <v>3551</v>
      </c>
      <c r="H2320" s="56">
        <v>1</v>
      </c>
      <c r="I2320" s="56" t="s">
        <v>3550</v>
      </c>
      <c r="J2320" s="56">
        <v>0</v>
      </c>
      <c r="K2320" s="56">
        <v>0</v>
      </c>
      <c r="P2320" s="56">
        <v>0</v>
      </c>
      <c r="S2320" s="56">
        <v>0</v>
      </c>
      <c r="T2320" s="56" t="s">
        <v>3562</v>
      </c>
      <c r="V2320" s="56" t="s">
        <v>3561</v>
      </c>
      <c r="W2320" s="56" t="s">
        <v>3548</v>
      </c>
      <c r="X2320" s="56" t="s">
        <v>39</v>
      </c>
      <c r="Y2320" s="56" t="s">
        <v>3937</v>
      </c>
      <c r="Z2320" s="56" t="s">
        <v>3936</v>
      </c>
      <c r="AC2320" s="56" t="s">
        <v>3543</v>
      </c>
      <c r="AD2320" s="56" t="s">
        <v>24</v>
      </c>
      <c r="AE2320" s="56" t="s">
        <v>3862</v>
      </c>
      <c r="AF2320" s="56" t="s">
        <v>3935</v>
      </c>
      <c r="AH2320" s="56" t="s">
        <v>3542</v>
      </c>
      <c r="AI2320" s="56" t="s">
        <v>3723</v>
      </c>
    </row>
    <row r="2321" spans="1:35" ht="33" customHeight="1">
      <c r="A2321" s="56" t="s">
        <v>3940</v>
      </c>
      <c r="B2321" s="57">
        <v>44367.81322916667</v>
      </c>
      <c r="C2321" s="56" t="s">
        <v>3803</v>
      </c>
      <c r="D2321" s="56" t="s">
        <v>3802</v>
      </c>
      <c r="E2321" s="56" t="s">
        <v>3939</v>
      </c>
      <c r="F2321" s="56" t="s">
        <v>3938</v>
      </c>
      <c r="G2321" s="58" t="s">
        <v>1713</v>
      </c>
      <c r="H2321" s="56">
        <v>1</v>
      </c>
      <c r="I2321" s="56" t="s">
        <v>3568</v>
      </c>
      <c r="J2321" s="56">
        <v>0</v>
      </c>
      <c r="K2321" s="56">
        <v>0</v>
      </c>
      <c r="P2321" s="56">
        <v>0</v>
      </c>
      <c r="S2321" s="56">
        <v>0</v>
      </c>
      <c r="T2321" s="56" t="s">
        <v>3562</v>
      </c>
      <c r="V2321" s="56" t="s">
        <v>3561</v>
      </c>
      <c r="W2321" s="56" t="s">
        <v>3548</v>
      </c>
      <c r="X2321" s="56" t="s">
        <v>39</v>
      </c>
      <c r="Y2321" s="56" t="s">
        <v>3937</v>
      </c>
      <c r="Z2321" s="56" t="s">
        <v>3936</v>
      </c>
      <c r="AC2321" s="56" t="s">
        <v>3543</v>
      </c>
      <c r="AD2321" s="56" t="s">
        <v>24</v>
      </c>
      <c r="AE2321" s="56" t="s">
        <v>3862</v>
      </c>
      <c r="AF2321" s="56" t="s">
        <v>3935</v>
      </c>
      <c r="AH2321" s="56" t="s">
        <v>3542</v>
      </c>
      <c r="AI2321" s="56" t="s">
        <v>3723</v>
      </c>
    </row>
    <row r="2322" spans="1:35" ht="33" customHeight="1">
      <c r="A2322" s="56" t="s">
        <v>3933</v>
      </c>
      <c r="B2322" s="57">
        <v>44367.844548611109</v>
      </c>
      <c r="C2322" s="56" t="s">
        <v>3803</v>
      </c>
      <c r="D2322" s="56" t="s">
        <v>25</v>
      </c>
      <c r="E2322" s="56" t="s">
        <v>3932</v>
      </c>
      <c r="F2322" s="56" t="s">
        <v>3931</v>
      </c>
      <c r="G2322" s="58" t="s">
        <v>3934</v>
      </c>
      <c r="H2322" s="56">
        <v>1</v>
      </c>
      <c r="I2322" s="56" t="s">
        <v>3602</v>
      </c>
      <c r="J2322" s="56">
        <v>447</v>
      </c>
      <c r="K2322" s="56">
        <v>399</v>
      </c>
      <c r="L2322" s="56">
        <v>399</v>
      </c>
      <c r="M2322" s="56">
        <v>65</v>
      </c>
      <c r="N2322" s="56">
        <v>0</v>
      </c>
      <c r="O2322" s="56">
        <v>0</v>
      </c>
      <c r="P2322" s="56">
        <v>0</v>
      </c>
      <c r="Q2322" s="56">
        <v>464</v>
      </c>
      <c r="R2322" s="56">
        <v>0</v>
      </c>
      <c r="S2322" s="56">
        <v>0</v>
      </c>
      <c r="T2322" s="56" t="s">
        <v>27</v>
      </c>
      <c r="U2322" s="56">
        <v>464</v>
      </c>
      <c r="V2322" s="56" t="s">
        <v>3549</v>
      </c>
      <c r="W2322" s="56" t="s">
        <v>3548</v>
      </c>
      <c r="X2322" s="56" t="s">
        <v>3547</v>
      </c>
      <c r="Z2322" s="56" t="s">
        <v>3546</v>
      </c>
      <c r="AA2322" s="56" t="s">
        <v>3930</v>
      </c>
      <c r="AB2322" s="56" t="s">
        <v>3929</v>
      </c>
      <c r="AC2322" s="56" t="s">
        <v>3543</v>
      </c>
      <c r="AH2322" s="56" t="s">
        <v>3542</v>
      </c>
      <c r="AI2322" s="56" t="s">
        <v>3541</v>
      </c>
    </row>
    <row r="2323" spans="1:35" ht="33" customHeight="1">
      <c r="A2323" s="56" t="s">
        <v>3933</v>
      </c>
      <c r="B2323" s="57">
        <v>44367.844548611109</v>
      </c>
      <c r="C2323" s="56" t="s">
        <v>3803</v>
      </c>
      <c r="D2323" s="56" t="s">
        <v>25</v>
      </c>
      <c r="E2323" s="56" t="s">
        <v>3932</v>
      </c>
      <c r="F2323" s="56" t="s">
        <v>3931</v>
      </c>
      <c r="G2323" s="58" t="s">
        <v>3551</v>
      </c>
      <c r="H2323" s="56">
        <v>1</v>
      </c>
      <c r="I2323" s="56" t="s">
        <v>3550</v>
      </c>
      <c r="J2323" s="56">
        <v>0</v>
      </c>
      <c r="K2323" s="56">
        <v>0</v>
      </c>
      <c r="P2323" s="56">
        <v>0</v>
      </c>
      <c r="S2323" s="56">
        <v>0</v>
      </c>
      <c r="T2323" s="56" t="s">
        <v>27</v>
      </c>
      <c r="V2323" s="56" t="s">
        <v>3549</v>
      </c>
      <c r="W2323" s="56" t="s">
        <v>3548</v>
      </c>
      <c r="X2323" s="56" t="s">
        <v>3547</v>
      </c>
      <c r="Z2323" s="56" t="s">
        <v>3546</v>
      </c>
      <c r="AA2323" s="56" t="s">
        <v>3930</v>
      </c>
      <c r="AB2323" s="56" t="s">
        <v>3929</v>
      </c>
      <c r="AC2323" s="56" t="s">
        <v>3543</v>
      </c>
      <c r="AH2323" s="56" t="s">
        <v>3542</v>
      </c>
      <c r="AI2323" s="56" t="s">
        <v>3541</v>
      </c>
    </row>
    <row r="2324" spans="1:35" ht="33" customHeight="1">
      <c r="A2324" s="56" t="s">
        <v>3927</v>
      </c>
      <c r="B2324" s="57">
        <v>44367.878275462965</v>
      </c>
      <c r="C2324" s="56" t="s">
        <v>3803</v>
      </c>
      <c r="D2324" s="56" t="s">
        <v>3802</v>
      </c>
      <c r="E2324" s="56" t="s">
        <v>3926</v>
      </c>
      <c r="F2324" s="56" t="s">
        <v>3925</v>
      </c>
      <c r="G2324" s="58" t="s">
        <v>3928</v>
      </c>
      <c r="H2324" s="56">
        <v>1</v>
      </c>
      <c r="I2324" s="56" t="s">
        <v>3669</v>
      </c>
      <c r="J2324" s="56">
        <v>897</v>
      </c>
      <c r="K2324" s="56">
        <v>888</v>
      </c>
      <c r="L2324" s="56">
        <v>1746</v>
      </c>
      <c r="M2324" s="56">
        <v>0</v>
      </c>
      <c r="N2324" s="56">
        <v>0</v>
      </c>
      <c r="O2324" s="56">
        <v>100</v>
      </c>
      <c r="P2324" s="56">
        <v>0</v>
      </c>
      <c r="Q2324" s="56">
        <v>1646</v>
      </c>
      <c r="R2324" s="56">
        <v>0</v>
      </c>
      <c r="S2324" s="56">
        <v>0</v>
      </c>
      <c r="T2324" s="56" t="s">
        <v>3562</v>
      </c>
      <c r="U2324" s="56">
        <v>1646</v>
      </c>
      <c r="V2324" s="56" t="s">
        <v>59</v>
      </c>
      <c r="W2324" s="56" t="s">
        <v>3548</v>
      </c>
      <c r="X2324" s="56" t="s">
        <v>39</v>
      </c>
      <c r="Y2324" s="56" t="s">
        <v>3787</v>
      </c>
      <c r="Z2324" s="56" t="s">
        <v>3924</v>
      </c>
      <c r="AC2324" s="56" t="s">
        <v>3543</v>
      </c>
      <c r="AD2324" s="56" t="s">
        <v>24</v>
      </c>
      <c r="AE2324" s="56" t="s">
        <v>3862</v>
      </c>
      <c r="AF2324" s="56" t="s">
        <v>3923</v>
      </c>
      <c r="AH2324" s="56" t="s">
        <v>3542</v>
      </c>
      <c r="AI2324" s="56" t="s">
        <v>3723</v>
      </c>
    </row>
    <row r="2325" spans="1:35" ht="33" customHeight="1">
      <c r="A2325" s="56" t="s">
        <v>3927</v>
      </c>
      <c r="B2325" s="57">
        <v>44367.878275462965</v>
      </c>
      <c r="C2325" s="56" t="s">
        <v>3803</v>
      </c>
      <c r="D2325" s="56" t="s">
        <v>3802</v>
      </c>
      <c r="E2325" s="56" t="s">
        <v>3926</v>
      </c>
      <c r="F2325" s="56" t="s">
        <v>3925</v>
      </c>
      <c r="G2325" s="58" t="s">
        <v>3656</v>
      </c>
      <c r="H2325" s="56">
        <v>1</v>
      </c>
      <c r="I2325" s="56" t="s">
        <v>3655</v>
      </c>
      <c r="J2325" s="56">
        <v>1107</v>
      </c>
      <c r="K2325" s="56">
        <v>799</v>
      </c>
      <c r="P2325" s="56">
        <v>0</v>
      </c>
      <c r="S2325" s="56">
        <v>0</v>
      </c>
      <c r="T2325" s="56" t="s">
        <v>3562</v>
      </c>
      <c r="V2325" s="56" t="s">
        <v>59</v>
      </c>
      <c r="W2325" s="56" t="s">
        <v>3548</v>
      </c>
      <c r="X2325" s="56" t="s">
        <v>39</v>
      </c>
      <c r="Y2325" s="56" t="s">
        <v>3787</v>
      </c>
      <c r="Z2325" s="56" t="s">
        <v>3924</v>
      </c>
      <c r="AC2325" s="56" t="s">
        <v>3543</v>
      </c>
      <c r="AD2325" s="56" t="s">
        <v>24</v>
      </c>
      <c r="AE2325" s="56" t="s">
        <v>3862</v>
      </c>
      <c r="AF2325" s="56" t="s">
        <v>3923</v>
      </c>
      <c r="AH2325" s="56" t="s">
        <v>3542</v>
      </c>
      <c r="AI2325" s="56" t="s">
        <v>3723</v>
      </c>
    </row>
    <row r="2326" spans="1:35" ht="33" customHeight="1">
      <c r="A2326" s="56" t="s">
        <v>3927</v>
      </c>
      <c r="B2326" s="57">
        <v>44367.878275462965</v>
      </c>
      <c r="C2326" s="56" t="s">
        <v>3803</v>
      </c>
      <c r="D2326" s="56" t="s">
        <v>3802</v>
      </c>
      <c r="E2326" s="56" t="s">
        <v>3926</v>
      </c>
      <c r="F2326" s="56" t="s">
        <v>3925</v>
      </c>
      <c r="G2326" s="58" t="s">
        <v>3217</v>
      </c>
      <c r="H2326" s="56">
        <v>1</v>
      </c>
      <c r="I2326" s="56" t="s">
        <v>3720</v>
      </c>
      <c r="J2326" s="56">
        <v>59</v>
      </c>
      <c r="K2326" s="56">
        <v>59</v>
      </c>
      <c r="P2326" s="56">
        <v>0</v>
      </c>
      <c r="S2326" s="56">
        <v>0</v>
      </c>
      <c r="T2326" s="56" t="s">
        <v>3562</v>
      </c>
      <c r="V2326" s="56" t="s">
        <v>59</v>
      </c>
      <c r="W2326" s="56" t="s">
        <v>3548</v>
      </c>
      <c r="X2326" s="56" t="s">
        <v>39</v>
      </c>
      <c r="Y2326" s="56" t="s">
        <v>3787</v>
      </c>
      <c r="Z2326" s="56" t="s">
        <v>3924</v>
      </c>
      <c r="AC2326" s="56" t="s">
        <v>3543</v>
      </c>
      <c r="AD2326" s="56" t="s">
        <v>24</v>
      </c>
      <c r="AE2326" s="56" t="s">
        <v>3862</v>
      </c>
      <c r="AF2326" s="56" t="s">
        <v>3923</v>
      </c>
      <c r="AH2326" s="56" t="s">
        <v>3542</v>
      </c>
      <c r="AI2326" s="56" t="s">
        <v>3723</v>
      </c>
    </row>
    <row r="2327" spans="1:35" ht="33" customHeight="1">
      <c r="A2327" s="56" t="s">
        <v>3927</v>
      </c>
      <c r="B2327" s="57">
        <v>44367.878275462965</v>
      </c>
      <c r="C2327" s="56" t="s">
        <v>3803</v>
      </c>
      <c r="D2327" s="56" t="s">
        <v>3802</v>
      </c>
      <c r="E2327" s="56" t="s">
        <v>3926</v>
      </c>
      <c r="F2327" s="56" t="s">
        <v>3925</v>
      </c>
      <c r="G2327" s="58" t="s">
        <v>3551</v>
      </c>
      <c r="H2327" s="56">
        <v>1</v>
      </c>
      <c r="I2327" s="56" t="s">
        <v>3550</v>
      </c>
      <c r="J2327" s="56">
        <v>0</v>
      </c>
      <c r="K2327" s="56">
        <v>0</v>
      </c>
      <c r="P2327" s="56">
        <v>0</v>
      </c>
      <c r="S2327" s="56">
        <v>0</v>
      </c>
      <c r="T2327" s="56" t="s">
        <v>3562</v>
      </c>
      <c r="V2327" s="56" t="s">
        <v>59</v>
      </c>
      <c r="W2327" s="56" t="s">
        <v>3548</v>
      </c>
      <c r="X2327" s="56" t="s">
        <v>39</v>
      </c>
      <c r="Y2327" s="56" t="s">
        <v>3787</v>
      </c>
      <c r="Z2327" s="56" t="s">
        <v>3924</v>
      </c>
      <c r="AC2327" s="56" t="s">
        <v>3543</v>
      </c>
      <c r="AD2327" s="56" t="s">
        <v>24</v>
      </c>
      <c r="AE2327" s="56" t="s">
        <v>3862</v>
      </c>
      <c r="AF2327" s="56" t="s">
        <v>3923</v>
      </c>
      <c r="AH2327" s="56" t="s">
        <v>3542</v>
      </c>
      <c r="AI2327" s="56" t="s">
        <v>3723</v>
      </c>
    </row>
    <row r="2328" spans="1:35" ht="33" customHeight="1">
      <c r="A2328" s="56" t="s">
        <v>3927</v>
      </c>
      <c r="B2328" s="57">
        <v>44367.878275462965</v>
      </c>
      <c r="C2328" s="56" t="s">
        <v>3803</v>
      </c>
      <c r="D2328" s="56" t="s">
        <v>3802</v>
      </c>
      <c r="E2328" s="56" t="s">
        <v>3926</v>
      </c>
      <c r="F2328" s="56" t="s">
        <v>3925</v>
      </c>
      <c r="G2328" s="58" t="s">
        <v>1713</v>
      </c>
      <c r="H2328" s="56">
        <v>1</v>
      </c>
      <c r="I2328" s="56" t="s">
        <v>3568</v>
      </c>
      <c r="J2328" s="56">
        <v>0</v>
      </c>
      <c r="K2328" s="56">
        <v>0</v>
      </c>
      <c r="P2328" s="56">
        <v>0</v>
      </c>
      <c r="S2328" s="56">
        <v>0</v>
      </c>
      <c r="T2328" s="56" t="s">
        <v>3562</v>
      </c>
      <c r="V2328" s="56" t="s">
        <v>59</v>
      </c>
      <c r="W2328" s="56" t="s">
        <v>3548</v>
      </c>
      <c r="X2328" s="56" t="s">
        <v>39</v>
      </c>
      <c r="Y2328" s="56" t="s">
        <v>3787</v>
      </c>
      <c r="Z2328" s="56" t="s">
        <v>3924</v>
      </c>
      <c r="AC2328" s="56" t="s">
        <v>3543</v>
      </c>
      <c r="AD2328" s="56" t="s">
        <v>24</v>
      </c>
      <c r="AE2328" s="56" t="s">
        <v>3862</v>
      </c>
      <c r="AF2328" s="56" t="s">
        <v>3923</v>
      </c>
      <c r="AH2328" s="56" t="s">
        <v>3542</v>
      </c>
      <c r="AI2328" s="56" t="s">
        <v>3723</v>
      </c>
    </row>
    <row r="2329" spans="1:35" ht="33" customHeight="1">
      <c r="A2329" s="56" t="s">
        <v>3921</v>
      </c>
      <c r="B2329" s="57">
        <v>44367.899687500001</v>
      </c>
      <c r="C2329" s="56" t="s">
        <v>3803</v>
      </c>
      <c r="D2329" s="56" t="s">
        <v>25</v>
      </c>
      <c r="E2329" s="56" t="s">
        <v>3920</v>
      </c>
      <c r="F2329" s="56" t="s">
        <v>3919</v>
      </c>
      <c r="G2329" s="58" t="s">
        <v>3922</v>
      </c>
      <c r="H2329" s="56">
        <v>2</v>
      </c>
      <c r="I2329" s="56" t="s">
        <v>3569</v>
      </c>
      <c r="J2329" s="56">
        <v>894</v>
      </c>
      <c r="K2329" s="56">
        <v>750</v>
      </c>
      <c r="L2329" s="56">
        <v>1500</v>
      </c>
      <c r="M2329" s="56">
        <v>0</v>
      </c>
      <c r="N2329" s="56">
        <v>50</v>
      </c>
      <c r="O2329" s="56">
        <v>100</v>
      </c>
      <c r="P2329" s="56">
        <v>0</v>
      </c>
      <c r="Q2329" s="56">
        <v>1350</v>
      </c>
      <c r="R2329" s="56">
        <v>0</v>
      </c>
      <c r="S2329" s="56">
        <v>0</v>
      </c>
      <c r="T2329" s="56" t="s">
        <v>3562</v>
      </c>
      <c r="U2329" s="56">
        <v>1350</v>
      </c>
      <c r="V2329" s="56" t="s">
        <v>3561</v>
      </c>
      <c r="W2329" s="56" t="s">
        <v>3548</v>
      </c>
      <c r="X2329" s="56" t="s">
        <v>3716</v>
      </c>
      <c r="Z2329" s="56" t="s">
        <v>3546</v>
      </c>
      <c r="AA2329" s="56" t="s">
        <v>3918</v>
      </c>
      <c r="AB2329" s="56" t="s">
        <v>3917</v>
      </c>
      <c r="AC2329" s="56" t="s">
        <v>3543</v>
      </c>
      <c r="AD2329" s="56" t="s">
        <v>24</v>
      </c>
      <c r="AE2329" s="56" t="s">
        <v>3862</v>
      </c>
      <c r="AF2329" s="56" t="s">
        <v>3916</v>
      </c>
      <c r="AH2329" s="56" t="s">
        <v>3542</v>
      </c>
      <c r="AI2329" s="56" t="s">
        <v>3723</v>
      </c>
    </row>
    <row r="2330" spans="1:35" ht="33" customHeight="1">
      <c r="A2330" s="56" t="s">
        <v>3921</v>
      </c>
      <c r="B2330" s="57">
        <v>44367.899687500001</v>
      </c>
      <c r="C2330" s="56" t="s">
        <v>3803</v>
      </c>
      <c r="D2330" s="56" t="s">
        <v>25</v>
      </c>
      <c r="E2330" s="56" t="s">
        <v>3920</v>
      </c>
      <c r="F2330" s="56" t="s">
        <v>3919</v>
      </c>
      <c r="G2330" s="58" t="s">
        <v>3551</v>
      </c>
      <c r="H2330" s="56">
        <v>1</v>
      </c>
      <c r="I2330" s="56" t="s">
        <v>3550</v>
      </c>
      <c r="J2330" s="56">
        <v>0</v>
      </c>
      <c r="K2330" s="56">
        <v>0</v>
      </c>
      <c r="P2330" s="56">
        <v>0</v>
      </c>
      <c r="S2330" s="56">
        <v>0</v>
      </c>
      <c r="T2330" s="56" t="s">
        <v>3562</v>
      </c>
      <c r="V2330" s="56" t="s">
        <v>3561</v>
      </c>
      <c r="W2330" s="56" t="s">
        <v>3548</v>
      </c>
      <c r="X2330" s="56" t="s">
        <v>3716</v>
      </c>
      <c r="Z2330" s="56" t="s">
        <v>3546</v>
      </c>
      <c r="AA2330" s="56" t="s">
        <v>3918</v>
      </c>
      <c r="AB2330" s="56" t="s">
        <v>3917</v>
      </c>
      <c r="AC2330" s="56" t="s">
        <v>3543</v>
      </c>
      <c r="AD2330" s="56" t="s">
        <v>24</v>
      </c>
      <c r="AE2330" s="56" t="s">
        <v>3862</v>
      </c>
      <c r="AF2330" s="56" t="s">
        <v>3916</v>
      </c>
      <c r="AH2330" s="56" t="s">
        <v>3542</v>
      </c>
      <c r="AI2330" s="56" t="s">
        <v>3723</v>
      </c>
    </row>
    <row r="2331" spans="1:35" ht="33" customHeight="1">
      <c r="A2331" s="56" t="s">
        <v>3915</v>
      </c>
      <c r="B2331" s="57">
        <v>44367.922476851854</v>
      </c>
      <c r="C2331" s="56" t="s">
        <v>3803</v>
      </c>
      <c r="D2331" s="56" t="s">
        <v>25</v>
      </c>
      <c r="E2331" s="56" t="s">
        <v>3914</v>
      </c>
      <c r="F2331" s="56" t="s">
        <v>3913</v>
      </c>
      <c r="G2331" s="58" t="s">
        <v>3811</v>
      </c>
      <c r="H2331" s="56">
        <v>1</v>
      </c>
      <c r="I2331" s="56" t="s">
        <v>3669</v>
      </c>
      <c r="J2331" s="56">
        <v>897</v>
      </c>
      <c r="K2331" s="56">
        <v>888</v>
      </c>
      <c r="L2331" s="56">
        <v>1006</v>
      </c>
      <c r="M2331" s="56">
        <v>0</v>
      </c>
      <c r="N2331" s="56">
        <v>0</v>
      </c>
      <c r="O2331" s="56">
        <v>100</v>
      </c>
      <c r="P2331" s="56">
        <v>0</v>
      </c>
      <c r="Q2331" s="56">
        <v>906</v>
      </c>
      <c r="R2331" s="56">
        <v>0</v>
      </c>
      <c r="S2331" s="56">
        <v>0</v>
      </c>
      <c r="T2331" s="56" t="s">
        <v>27</v>
      </c>
      <c r="U2331" s="56">
        <v>906</v>
      </c>
      <c r="V2331" s="56" t="s">
        <v>3549</v>
      </c>
      <c r="W2331" s="56" t="s">
        <v>3548</v>
      </c>
      <c r="X2331" s="56" t="s">
        <v>3547</v>
      </c>
      <c r="Z2331" s="56" t="s">
        <v>3546</v>
      </c>
      <c r="AA2331" s="56" t="s">
        <v>3912</v>
      </c>
      <c r="AB2331" s="56" t="s">
        <v>3911</v>
      </c>
      <c r="AC2331" s="56" t="s">
        <v>3543</v>
      </c>
      <c r="AH2331" s="56" t="s">
        <v>3542</v>
      </c>
      <c r="AI2331" s="56" t="s">
        <v>3541</v>
      </c>
    </row>
    <row r="2332" spans="1:35" ht="33" customHeight="1">
      <c r="A2332" s="56" t="s">
        <v>3915</v>
      </c>
      <c r="B2332" s="57">
        <v>44367.922476851854</v>
      </c>
      <c r="C2332" s="56" t="s">
        <v>3803</v>
      </c>
      <c r="D2332" s="56" t="s">
        <v>25</v>
      </c>
      <c r="E2332" s="56" t="s">
        <v>3914</v>
      </c>
      <c r="F2332" s="56" t="s">
        <v>3913</v>
      </c>
      <c r="G2332" s="58" t="s">
        <v>3222</v>
      </c>
      <c r="H2332" s="56">
        <v>1</v>
      </c>
      <c r="I2332" s="56" t="s">
        <v>3712</v>
      </c>
      <c r="J2332" s="56">
        <v>59</v>
      </c>
      <c r="K2332" s="56">
        <v>59</v>
      </c>
      <c r="P2332" s="56">
        <v>0</v>
      </c>
      <c r="S2332" s="56">
        <v>0</v>
      </c>
      <c r="T2332" s="56" t="s">
        <v>27</v>
      </c>
      <c r="V2332" s="56" t="s">
        <v>3549</v>
      </c>
      <c r="W2332" s="56" t="s">
        <v>3548</v>
      </c>
      <c r="X2332" s="56" t="s">
        <v>3547</v>
      </c>
      <c r="Z2332" s="56" t="s">
        <v>3546</v>
      </c>
      <c r="AA2332" s="56" t="s">
        <v>3912</v>
      </c>
      <c r="AB2332" s="56" t="s">
        <v>3911</v>
      </c>
      <c r="AC2332" s="56" t="s">
        <v>3543</v>
      </c>
      <c r="AH2332" s="56" t="s">
        <v>3542</v>
      </c>
      <c r="AI2332" s="56" t="s">
        <v>3541</v>
      </c>
    </row>
    <row r="2333" spans="1:35" ht="33" customHeight="1">
      <c r="A2333" s="56" t="s">
        <v>3915</v>
      </c>
      <c r="B2333" s="57">
        <v>44367.922476851854</v>
      </c>
      <c r="C2333" s="56" t="s">
        <v>3803</v>
      </c>
      <c r="D2333" s="56" t="s">
        <v>25</v>
      </c>
      <c r="E2333" s="56" t="s">
        <v>3914</v>
      </c>
      <c r="F2333" s="56" t="s">
        <v>3913</v>
      </c>
      <c r="G2333" s="58" t="s">
        <v>3217</v>
      </c>
      <c r="H2333" s="56">
        <v>1</v>
      </c>
      <c r="I2333" s="56" t="s">
        <v>3720</v>
      </c>
      <c r="J2333" s="56">
        <v>59</v>
      </c>
      <c r="K2333" s="56">
        <v>59</v>
      </c>
      <c r="P2333" s="56">
        <v>0</v>
      </c>
      <c r="S2333" s="56">
        <v>0</v>
      </c>
      <c r="T2333" s="56" t="s">
        <v>27</v>
      </c>
      <c r="V2333" s="56" t="s">
        <v>3549</v>
      </c>
      <c r="W2333" s="56" t="s">
        <v>3548</v>
      </c>
      <c r="X2333" s="56" t="s">
        <v>3547</v>
      </c>
      <c r="Z2333" s="56" t="s">
        <v>3546</v>
      </c>
      <c r="AA2333" s="56" t="s">
        <v>3912</v>
      </c>
      <c r="AB2333" s="56" t="s">
        <v>3911</v>
      </c>
      <c r="AC2333" s="56" t="s">
        <v>3543</v>
      </c>
      <c r="AH2333" s="56" t="s">
        <v>3542</v>
      </c>
      <c r="AI2333" s="56" t="s">
        <v>3541</v>
      </c>
    </row>
    <row r="2334" spans="1:35" ht="33" customHeight="1">
      <c r="A2334" s="56" t="s">
        <v>3915</v>
      </c>
      <c r="B2334" s="57">
        <v>44367.922476851854</v>
      </c>
      <c r="C2334" s="56" t="s">
        <v>3803</v>
      </c>
      <c r="D2334" s="56" t="s">
        <v>25</v>
      </c>
      <c r="E2334" s="56" t="s">
        <v>3914</v>
      </c>
      <c r="F2334" s="56" t="s">
        <v>3913</v>
      </c>
      <c r="G2334" s="58" t="s">
        <v>3551</v>
      </c>
      <c r="H2334" s="56">
        <v>1</v>
      </c>
      <c r="I2334" s="56" t="s">
        <v>3550</v>
      </c>
      <c r="J2334" s="56">
        <v>0</v>
      </c>
      <c r="K2334" s="56">
        <v>0</v>
      </c>
      <c r="P2334" s="56">
        <v>0</v>
      </c>
      <c r="S2334" s="56">
        <v>0</v>
      </c>
      <c r="T2334" s="56" t="s">
        <v>27</v>
      </c>
      <c r="V2334" s="56" t="s">
        <v>3549</v>
      </c>
      <c r="W2334" s="56" t="s">
        <v>3548</v>
      </c>
      <c r="X2334" s="56" t="s">
        <v>3547</v>
      </c>
      <c r="Z2334" s="56" t="s">
        <v>3546</v>
      </c>
      <c r="AA2334" s="56" t="s">
        <v>3912</v>
      </c>
      <c r="AB2334" s="56" t="s">
        <v>3911</v>
      </c>
      <c r="AC2334" s="56" t="s">
        <v>3543</v>
      </c>
      <c r="AH2334" s="56" t="s">
        <v>3542</v>
      </c>
      <c r="AI2334" s="56" t="s">
        <v>3541</v>
      </c>
    </row>
    <row r="2335" spans="1:35" ht="33" customHeight="1">
      <c r="A2335" s="56" t="s">
        <v>3910</v>
      </c>
      <c r="B2335" s="57">
        <v>44367.922766203701</v>
      </c>
      <c r="C2335" s="56" t="s">
        <v>3803</v>
      </c>
      <c r="D2335" s="56" t="s">
        <v>25</v>
      </c>
      <c r="E2335" s="56" t="s">
        <v>3909</v>
      </c>
      <c r="F2335" s="56" t="s">
        <v>3908</v>
      </c>
      <c r="G2335" s="58" t="s">
        <v>3654</v>
      </c>
      <c r="H2335" s="56">
        <v>1</v>
      </c>
      <c r="I2335" s="56" t="s">
        <v>3653</v>
      </c>
      <c r="J2335" s="56">
        <v>447</v>
      </c>
      <c r="K2335" s="56">
        <v>430</v>
      </c>
      <c r="L2335" s="56">
        <v>430</v>
      </c>
      <c r="M2335" s="56">
        <v>65</v>
      </c>
      <c r="N2335" s="56">
        <v>0</v>
      </c>
      <c r="O2335" s="56">
        <v>0</v>
      </c>
      <c r="P2335" s="56">
        <v>0</v>
      </c>
      <c r="Q2335" s="56">
        <v>495</v>
      </c>
      <c r="R2335" s="56">
        <v>0</v>
      </c>
      <c r="S2335" s="56">
        <v>0</v>
      </c>
      <c r="T2335" s="56" t="s">
        <v>27</v>
      </c>
      <c r="U2335" s="56">
        <v>495</v>
      </c>
      <c r="V2335" s="56" t="s">
        <v>3612</v>
      </c>
      <c r="W2335" s="56" t="s">
        <v>3548</v>
      </c>
      <c r="X2335" s="56" t="s">
        <v>3611</v>
      </c>
      <c r="Z2335" s="56" t="s">
        <v>3546</v>
      </c>
      <c r="AA2335" s="56" t="s">
        <v>3907</v>
      </c>
      <c r="AB2335" s="56" t="s">
        <v>3906</v>
      </c>
      <c r="AC2335" s="56" t="s">
        <v>3543</v>
      </c>
      <c r="AH2335" s="56" t="s">
        <v>3542</v>
      </c>
      <c r="AI2335" s="56" t="s">
        <v>3541</v>
      </c>
    </row>
    <row r="2336" spans="1:35" ht="33" customHeight="1">
      <c r="A2336" s="56" t="s">
        <v>3910</v>
      </c>
      <c r="B2336" s="57">
        <v>44367.922766203701</v>
      </c>
      <c r="C2336" s="56" t="s">
        <v>3803</v>
      </c>
      <c r="D2336" s="56" t="s">
        <v>25</v>
      </c>
      <c r="E2336" s="56" t="s">
        <v>3909</v>
      </c>
      <c r="F2336" s="56" t="s">
        <v>3908</v>
      </c>
      <c r="G2336" s="58" t="s">
        <v>3551</v>
      </c>
      <c r="H2336" s="56">
        <v>1</v>
      </c>
      <c r="I2336" s="56" t="s">
        <v>3550</v>
      </c>
      <c r="J2336" s="56">
        <v>0</v>
      </c>
      <c r="K2336" s="56">
        <v>0</v>
      </c>
      <c r="P2336" s="56">
        <v>0</v>
      </c>
      <c r="S2336" s="56">
        <v>0</v>
      </c>
      <c r="T2336" s="56" t="s">
        <v>27</v>
      </c>
      <c r="V2336" s="56" t="s">
        <v>3612</v>
      </c>
      <c r="W2336" s="56" t="s">
        <v>3548</v>
      </c>
      <c r="X2336" s="56" t="s">
        <v>3611</v>
      </c>
      <c r="Z2336" s="56" t="s">
        <v>3546</v>
      </c>
      <c r="AA2336" s="56" t="s">
        <v>3907</v>
      </c>
      <c r="AB2336" s="56" t="s">
        <v>3906</v>
      </c>
      <c r="AC2336" s="56" t="s">
        <v>3543</v>
      </c>
      <c r="AH2336" s="56" t="s">
        <v>3542</v>
      </c>
      <c r="AI2336" s="56" t="s">
        <v>3541</v>
      </c>
    </row>
    <row r="2337" spans="1:35" ht="33" customHeight="1">
      <c r="A2337" s="56" t="s">
        <v>3905</v>
      </c>
      <c r="B2337" s="57">
        <v>44367.926412037035</v>
      </c>
      <c r="C2337" s="56" t="s">
        <v>3803</v>
      </c>
      <c r="D2337" s="56" t="s">
        <v>25</v>
      </c>
      <c r="E2337" s="56" t="s">
        <v>3904</v>
      </c>
      <c r="F2337" s="56" t="s">
        <v>3903</v>
      </c>
      <c r="G2337" s="58" t="s">
        <v>3811</v>
      </c>
      <c r="H2337" s="56">
        <v>1</v>
      </c>
      <c r="I2337" s="56" t="s">
        <v>3669</v>
      </c>
      <c r="J2337" s="56">
        <v>897</v>
      </c>
      <c r="K2337" s="56">
        <v>888</v>
      </c>
      <c r="L2337" s="56">
        <v>1318</v>
      </c>
      <c r="M2337" s="56">
        <v>0</v>
      </c>
      <c r="N2337" s="56">
        <v>0</v>
      </c>
      <c r="O2337" s="56">
        <v>100</v>
      </c>
      <c r="P2337" s="56">
        <v>0</v>
      </c>
      <c r="Q2337" s="56">
        <v>1218</v>
      </c>
      <c r="R2337" s="56">
        <v>0</v>
      </c>
      <c r="S2337" s="56">
        <v>0</v>
      </c>
      <c r="T2337" s="56" t="s">
        <v>27</v>
      </c>
      <c r="U2337" s="56">
        <v>1218</v>
      </c>
      <c r="V2337" s="56" t="s">
        <v>3549</v>
      </c>
      <c r="W2337" s="56" t="s">
        <v>3548</v>
      </c>
      <c r="X2337" s="56" t="s">
        <v>3547</v>
      </c>
      <c r="Z2337" s="56" t="s">
        <v>3546</v>
      </c>
      <c r="AA2337" s="56" t="s">
        <v>3902</v>
      </c>
      <c r="AB2337" s="56" t="s">
        <v>3901</v>
      </c>
      <c r="AC2337" s="56" t="s">
        <v>3543</v>
      </c>
      <c r="AH2337" s="56" t="s">
        <v>3542</v>
      </c>
      <c r="AI2337" s="56" t="s">
        <v>3541</v>
      </c>
    </row>
    <row r="2338" spans="1:35" ht="33" customHeight="1">
      <c r="A2338" s="56" t="s">
        <v>3905</v>
      </c>
      <c r="B2338" s="57">
        <v>44367.926412037035</v>
      </c>
      <c r="C2338" s="56" t="s">
        <v>3803</v>
      </c>
      <c r="D2338" s="56" t="s">
        <v>25</v>
      </c>
      <c r="E2338" s="56" t="s">
        <v>3904</v>
      </c>
      <c r="F2338" s="56" t="s">
        <v>3903</v>
      </c>
      <c r="G2338" s="58" t="s">
        <v>3654</v>
      </c>
      <c r="H2338" s="56">
        <v>1</v>
      </c>
      <c r="I2338" s="56" t="s">
        <v>3653</v>
      </c>
      <c r="J2338" s="56">
        <v>447</v>
      </c>
      <c r="K2338" s="56">
        <v>430</v>
      </c>
      <c r="P2338" s="56">
        <v>0</v>
      </c>
      <c r="S2338" s="56">
        <v>0</v>
      </c>
      <c r="T2338" s="56" t="s">
        <v>27</v>
      </c>
      <c r="V2338" s="56" t="s">
        <v>3549</v>
      </c>
      <c r="W2338" s="56" t="s">
        <v>3548</v>
      </c>
      <c r="X2338" s="56" t="s">
        <v>3547</v>
      </c>
      <c r="Z2338" s="56" t="s">
        <v>3546</v>
      </c>
      <c r="AA2338" s="56" t="s">
        <v>3902</v>
      </c>
      <c r="AB2338" s="56" t="s">
        <v>3901</v>
      </c>
      <c r="AC2338" s="56" t="s">
        <v>3543</v>
      </c>
      <c r="AH2338" s="56" t="s">
        <v>3542</v>
      </c>
      <c r="AI2338" s="56" t="s">
        <v>3541</v>
      </c>
    </row>
    <row r="2339" spans="1:35" ht="33" customHeight="1">
      <c r="A2339" s="56" t="s">
        <v>3905</v>
      </c>
      <c r="B2339" s="57">
        <v>44367.926412037035</v>
      </c>
      <c r="C2339" s="56" t="s">
        <v>3803</v>
      </c>
      <c r="D2339" s="56" t="s">
        <v>25</v>
      </c>
      <c r="E2339" s="56" t="s">
        <v>3904</v>
      </c>
      <c r="F2339" s="56" t="s">
        <v>3903</v>
      </c>
      <c r="G2339" s="58" t="s">
        <v>3551</v>
      </c>
      <c r="H2339" s="56">
        <v>1</v>
      </c>
      <c r="I2339" s="56" t="s">
        <v>3550</v>
      </c>
      <c r="J2339" s="56">
        <v>0</v>
      </c>
      <c r="K2339" s="56">
        <v>0</v>
      </c>
      <c r="P2339" s="56">
        <v>0</v>
      </c>
      <c r="S2339" s="56">
        <v>0</v>
      </c>
      <c r="T2339" s="56" t="s">
        <v>27</v>
      </c>
      <c r="V2339" s="56" t="s">
        <v>3549</v>
      </c>
      <c r="W2339" s="56" t="s">
        <v>3548</v>
      </c>
      <c r="X2339" s="56" t="s">
        <v>3547</v>
      </c>
      <c r="Z2339" s="56" t="s">
        <v>3546</v>
      </c>
      <c r="AA2339" s="56" t="s">
        <v>3902</v>
      </c>
      <c r="AB2339" s="56" t="s">
        <v>3901</v>
      </c>
      <c r="AC2339" s="56" t="s">
        <v>3543</v>
      </c>
      <c r="AH2339" s="56" t="s">
        <v>3542</v>
      </c>
      <c r="AI2339" s="56" t="s">
        <v>3541</v>
      </c>
    </row>
    <row r="2340" spans="1:35" ht="33" customHeight="1">
      <c r="A2340" s="56" t="s">
        <v>3900</v>
      </c>
      <c r="B2340" s="57">
        <v>44367.936712962961</v>
      </c>
      <c r="C2340" s="56" t="s">
        <v>3803</v>
      </c>
      <c r="D2340" s="56" t="s">
        <v>3802</v>
      </c>
      <c r="E2340" s="56" t="s">
        <v>3899</v>
      </c>
      <c r="F2340" s="56" t="s">
        <v>3898</v>
      </c>
      <c r="G2340" s="58" t="s">
        <v>3849</v>
      </c>
      <c r="H2340" s="56">
        <v>1</v>
      </c>
      <c r="I2340" s="56" t="s">
        <v>3848</v>
      </c>
      <c r="J2340" s="56">
        <v>1396</v>
      </c>
      <c r="K2340" s="56">
        <v>1320</v>
      </c>
      <c r="L2340" s="56">
        <v>1320</v>
      </c>
      <c r="M2340" s="56">
        <v>0</v>
      </c>
      <c r="N2340" s="56">
        <v>0</v>
      </c>
      <c r="O2340" s="56">
        <v>100</v>
      </c>
      <c r="P2340" s="56">
        <v>0</v>
      </c>
      <c r="Q2340" s="56">
        <v>1220</v>
      </c>
      <c r="R2340" s="56">
        <v>0</v>
      </c>
      <c r="S2340" s="56">
        <v>0</v>
      </c>
      <c r="T2340" s="56" t="s">
        <v>3562</v>
      </c>
      <c r="U2340" s="56">
        <v>1220</v>
      </c>
      <c r="V2340" s="56" t="s">
        <v>3561</v>
      </c>
      <c r="W2340" s="56" t="s">
        <v>3548</v>
      </c>
      <c r="X2340" s="56" t="s">
        <v>39</v>
      </c>
      <c r="Y2340" s="56" t="s">
        <v>3897</v>
      </c>
      <c r="Z2340" s="56" t="s">
        <v>3896</v>
      </c>
      <c r="AC2340" s="56" t="s">
        <v>3543</v>
      </c>
      <c r="AD2340" s="56" t="s">
        <v>24</v>
      </c>
      <c r="AE2340" s="56" t="s">
        <v>3862</v>
      </c>
      <c r="AF2340" s="56" t="s">
        <v>3895</v>
      </c>
      <c r="AH2340" s="56" t="s">
        <v>3542</v>
      </c>
      <c r="AI2340" s="56" t="s">
        <v>3723</v>
      </c>
    </row>
    <row r="2341" spans="1:35" ht="33" customHeight="1">
      <c r="A2341" s="56" t="s">
        <v>3900</v>
      </c>
      <c r="B2341" s="57">
        <v>44367.936712962961</v>
      </c>
      <c r="C2341" s="56" t="s">
        <v>3803</v>
      </c>
      <c r="D2341" s="56" t="s">
        <v>3802</v>
      </c>
      <c r="E2341" s="56" t="s">
        <v>3899</v>
      </c>
      <c r="F2341" s="56" t="s">
        <v>3898</v>
      </c>
      <c r="G2341" s="58" t="s">
        <v>3551</v>
      </c>
      <c r="H2341" s="56">
        <v>1</v>
      </c>
      <c r="I2341" s="56" t="s">
        <v>3550</v>
      </c>
      <c r="J2341" s="56">
        <v>0</v>
      </c>
      <c r="K2341" s="56">
        <v>0</v>
      </c>
      <c r="P2341" s="56">
        <v>0</v>
      </c>
      <c r="S2341" s="56">
        <v>0</v>
      </c>
      <c r="T2341" s="56" t="s">
        <v>3562</v>
      </c>
      <c r="V2341" s="56" t="s">
        <v>3561</v>
      </c>
      <c r="W2341" s="56" t="s">
        <v>3548</v>
      </c>
      <c r="X2341" s="56" t="s">
        <v>39</v>
      </c>
      <c r="Y2341" s="56" t="s">
        <v>3897</v>
      </c>
      <c r="Z2341" s="56" t="s">
        <v>3896</v>
      </c>
      <c r="AC2341" s="56" t="s">
        <v>3543</v>
      </c>
      <c r="AD2341" s="56" t="s">
        <v>24</v>
      </c>
      <c r="AE2341" s="56" t="s">
        <v>3862</v>
      </c>
      <c r="AF2341" s="56" t="s">
        <v>3895</v>
      </c>
      <c r="AH2341" s="56" t="s">
        <v>3542</v>
      </c>
      <c r="AI2341" s="56" t="s">
        <v>3723</v>
      </c>
    </row>
    <row r="2342" spans="1:35" ht="33" customHeight="1">
      <c r="A2342" s="56" t="s">
        <v>3894</v>
      </c>
      <c r="B2342" s="57">
        <v>44367.942708333336</v>
      </c>
      <c r="C2342" s="56" t="s">
        <v>3803</v>
      </c>
      <c r="D2342" s="56" t="s">
        <v>25</v>
      </c>
      <c r="E2342" s="56" t="s">
        <v>3893</v>
      </c>
      <c r="F2342" s="56" t="s">
        <v>3892</v>
      </c>
      <c r="G2342" s="58" t="s">
        <v>3656</v>
      </c>
      <c r="H2342" s="56">
        <v>2</v>
      </c>
      <c r="I2342" s="56" t="s">
        <v>3655</v>
      </c>
      <c r="J2342" s="56">
        <v>1107</v>
      </c>
      <c r="K2342" s="56">
        <v>799</v>
      </c>
      <c r="L2342" s="56">
        <v>1598</v>
      </c>
      <c r="M2342" s="56">
        <v>0</v>
      </c>
      <c r="N2342" s="56">
        <v>0</v>
      </c>
      <c r="O2342" s="56">
        <v>124</v>
      </c>
      <c r="P2342" s="56">
        <v>0</v>
      </c>
      <c r="Q2342" s="56">
        <v>1474</v>
      </c>
      <c r="R2342" s="56">
        <v>0</v>
      </c>
      <c r="S2342" s="56">
        <v>0</v>
      </c>
      <c r="T2342" s="56" t="s">
        <v>27</v>
      </c>
      <c r="U2342" s="56">
        <v>1474</v>
      </c>
      <c r="V2342" s="56" t="s">
        <v>3549</v>
      </c>
      <c r="W2342" s="56" t="s">
        <v>3548</v>
      </c>
      <c r="X2342" s="56" t="s">
        <v>3547</v>
      </c>
      <c r="Z2342" s="56" t="s">
        <v>3546</v>
      </c>
      <c r="AA2342" s="56" t="s">
        <v>3891</v>
      </c>
      <c r="AB2342" s="56" t="s">
        <v>3890</v>
      </c>
      <c r="AC2342" s="56" t="s">
        <v>3543</v>
      </c>
      <c r="AH2342" s="56" t="s">
        <v>3542</v>
      </c>
      <c r="AI2342" s="56" t="s">
        <v>3541</v>
      </c>
    </row>
    <row r="2343" spans="1:35" ht="33" customHeight="1">
      <c r="A2343" s="56" t="s">
        <v>3894</v>
      </c>
      <c r="B2343" s="57">
        <v>44367.942708333336</v>
      </c>
      <c r="C2343" s="56" t="s">
        <v>3803</v>
      </c>
      <c r="D2343" s="56" t="s">
        <v>25</v>
      </c>
      <c r="E2343" s="56" t="s">
        <v>3893</v>
      </c>
      <c r="F2343" s="56" t="s">
        <v>3892</v>
      </c>
      <c r="G2343" s="58" t="s">
        <v>3551</v>
      </c>
      <c r="H2343" s="56">
        <v>1</v>
      </c>
      <c r="I2343" s="56" t="s">
        <v>3550</v>
      </c>
      <c r="J2343" s="56">
        <v>0</v>
      </c>
      <c r="K2343" s="56">
        <v>0</v>
      </c>
      <c r="P2343" s="56">
        <v>0</v>
      </c>
      <c r="S2343" s="56">
        <v>0</v>
      </c>
      <c r="T2343" s="56" t="s">
        <v>27</v>
      </c>
      <c r="V2343" s="56" t="s">
        <v>3549</v>
      </c>
      <c r="W2343" s="56" t="s">
        <v>3548</v>
      </c>
      <c r="X2343" s="56" t="s">
        <v>3547</v>
      </c>
      <c r="Z2343" s="56" t="s">
        <v>3546</v>
      </c>
      <c r="AA2343" s="56" t="s">
        <v>3891</v>
      </c>
      <c r="AB2343" s="56" t="s">
        <v>3890</v>
      </c>
      <c r="AC2343" s="56" t="s">
        <v>3543</v>
      </c>
      <c r="AH2343" s="56" t="s">
        <v>3542</v>
      </c>
      <c r="AI2343" s="56" t="s">
        <v>3541</v>
      </c>
    </row>
    <row r="2344" spans="1:35" ht="33" customHeight="1">
      <c r="A2344" s="56" t="s">
        <v>3894</v>
      </c>
      <c r="B2344" s="57">
        <v>44367.942708333336</v>
      </c>
      <c r="C2344" s="56" t="s">
        <v>3803</v>
      </c>
      <c r="D2344" s="56" t="s">
        <v>25</v>
      </c>
      <c r="E2344" s="56" t="s">
        <v>3893</v>
      </c>
      <c r="F2344" s="56" t="s">
        <v>3892</v>
      </c>
      <c r="G2344" s="58" t="s">
        <v>1713</v>
      </c>
      <c r="H2344" s="56">
        <v>1</v>
      </c>
      <c r="I2344" s="56" t="s">
        <v>3568</v>
      </c>
      <c r="J2344" s="56">
        <v>0</v>
      </c>
      <c r="K2344" s="56">
        <v>0</v>
      </c>
      <c r="P2344" s="56">
        <v>0</v>
      </c>
      <c r="S2344" s="56">
        <v>0</v>
      </c>
      <c r="T2344" s="56" t="s">
        <v>27</v>
      </c>
      <c r="V2344" s="56" t="s">
        <v>3549</v>
      </c>
      <c r="W2344" s="56" t="s">
        <v>3548</v>
      </c>
      <c r="X2344" s="56" t="s">
        <v>3547</v>
      </c>
      <c r="Z2344" s="56" t="s">
        <v>3546</v>
      </c>
      <c r="AA2344" s="56" t="s">
        <v>3891</v>
      </c>
      <c r="AB2344" s="56" t="s">
        <v>3890</v>
      </c>
      <c r="AC2344" s="56" t="s">
        <v>3543</v>
      </c>
      <c r="AH2344" s="56" t="s">
        <v>3542</v>
      </c>
      <c r="AI2344" s="56" t="s">
        <v>3541</v>
      </c>
    </row>
    <row r="2345" spans="1:35" ht="33" customHeight="1">
      <c r="A2345" s="56" t="s">
        <v>3889</v>
      </c>
      <c r="B2345" s="57">
        <v>44367.947210648148</v>
      </c>
      <c r="C2345" s="56" t="s">
        <v>3803</v>
      </c>
      <c r="D2345" s="56" t="s">
        <v>3802</v>
      </c>
      <c r="E2345" s="56" t="s">
        <v>3888</v>
      </c>
      <c r="F2345" s="56" t="s">
        <v>3887</v>
      </c>
      <c r="G2345" s="58" t="s">
        <v>3603</v>
      </c>
      <c r="H2345" s="56">
        <v>1</v>
      </c>
      <c r="I2345" s="56" t="s">
        <v>3602</v>
      </c>
      <c r="J2345" s="56">
        <v>447</v>
      </c>
      <c r="K2345" s="56">
        <v>399</v>
      </c>
      <c r="L2345" s="56">
        <v>399</v>
      </c>
      <c r="M2345" s="56">
        <v>60</v>
      </c>
      <c r="N2345" s="56">
        <v>0</v>
      </c>
      <c r="O2345" s="56">
        <v>0</v>
      </c>
      <c r="P2345" s="56">
        <v>0</v>
      </c>
      <c r="Q2345" s="56">
        <v>459</v>
      </c>
      <c r="R2345" s="56">
        <v>0</v>
      </c>
      <c r="S2345" s="56">
        <v>0</v>
      </c>
      <c r="T2345" s="56" t="s">
        <v>3562</v>
      </c>
      <c r="U2345" s="56">
        <v>459</v>
      </c>
      <c r="V2345" s="56" t="s">
        <v>3561</v>
      </c>
      <c r="W2345" s="56" t="s">
        <v>3548</v>
      </c>
      <c r="X2345" s="56" t="s">
        <v>39</v>
      </c>
      <c r="Y2345" s="56" t="s">
        <v>3886</v>
      </c>
      <c r="Z2345" s="56" t="s">
        <v>3885</v>
      </c>
      <c r="AC2345" s="56" t="s">
        <v>3543</v>
      </c>
      <c r="AD2345" s="56" t="s">
        <v>24</v>
      </c>
      <c r="AE2345" s="56" t="s">
        <v>3725</v>
      </c>
      <c r="AF2345" s="56" t="s">
        <v>3884</v>
      </c>
      <c r="AH2345" s="56" t="s">
        <v>3542</v>
      </c>
      <c r="AI2345" s="56" t="s">
        <v>3723</v>
      </c>
    </row>
    <row r="2346" spans="1:35" ht="33" customHeight="1">
      <c r="A2346" s="56" t="s">
        <v>3889</v>
      </c>
      <c r="B2346" s="57">
        <v>44367.947210648148</v>
      </c>
      <c r="C2346" s="56" t="s">
        <v>3803</v>
      </c>
      <c r="D2346" s="56" t="s">
        <v>3802</v>
      </c>
      <c r="E2346" s="56" t="s">
        <v>3888</v>
      </c>
      <c r="F2346" s="56" t="s">
        <v>3887</v>
      </c>
      <c r="G2346" s="58" t="s">
        <v>3551</v>
      </c>
      <c r="H2346" s="56">
        <v>1</v>
      </c>
      <c r="I2346" s="56" t="s">
        <v>3550</v>
      </c>
      <c r="J2346" s="56">
        <v>0</v>
      </c>
      <c r="K2346" s="56">
        <v>0</v>
      </c>
      <c r="P2346" s="56">
        <v>0</v>
      </c>
      <c r="S2346" s="56">
        <v>0</v>
      </c>
      <c r="T2346" s="56" t="s">
        <v>3562</v>
      </c>
      <c r="V2346" s="56" t="s">
        <v>3561</v>
      </c>
      <c r="W2346" s="56" t="s">
        <v>3548</v>
      </c>
      <c r="X2346" s="56" t="s">
        <v>39</v>
      </c>
      <c r="Y2346" s="56" t="s">
        <v>3886</v>
      </c>
      <c r="Z2346" s="56" t="s">
        <v>3885</v>
      </c>
      <c r="AC2346" s="56" t="s">
        <v>3543</v>
      </c>
      <c r="AD2346" s="56" t="s">
        <v>24</v>
      </c>
      <c r="AE2346" s="56" t="s">
        <v>3725</v>
      </c>
      <c r="AF2346" s="56" t="s">
        <v>3884</v>
      </c>
      <c r="AH2346" s="56" t="s">
        <v>3542</v>
      </c>
      <c r="AI2346" s="56" t="s">
        <v>3723</v>
      </c>
    </row>
    <row r="2347" spans="1:35" ht="33" customHeight="1">
      <c r="A2347" s="56" t="s">
        <v>3883</v>
      </c>
      <c r="B2347" s="57">
        <v>44367.95453703704</v>
      </c>
      <c r="C2347" s="56" t="s">
        <v>3803</v>
      </c>
      <c r="D2347" s="56" t="s">
        <v>25</v>
      </c>
      <c r="E2347" s="56" t="s">
        <v>3882</v>
      </c>
      <c r="F2347" s="56" t="s">
        <v>3881</v>
      </c>
      <c r="G2347" s="58" t="s">
        <v>3603</v>
      </c>
      <c r="H2347" s="56">
        <v>1</v>
      </c>
      <c r="I2347" s="56" t="s">
        <v>3602</v>
      </c>
      <c r="J2347" s="56">
        <v>447</v>
      </c>
      <c r="K2347" s="56">
        <v>399</v>
      </c>
      <c r="L2347" s="56">
        <v>399</v>
      </c>
      <c r="M2347" s="56">
        <v>65</v>
      </c>
      <c r="N2347" s="56">
        <v>0</v>
      </c>
      <c r="O2347" s="56">
        <v>0</v>
      </c>
      <c r="P2347" s="56">
        <v>0</v>
      </c>
      <c r="Q2347" s="56">
        <v>464</v>
      </c>
      <c r="R2347" s="56">
        <v>0</v>
      </c>
      <c r="S2347" s="56">
        <v>0</v>
      </c>
      <c r="T2347" s="56" t="s">
        <v>27</v>
      </c>
      <c r="U2347" s="56">
        <v>464</v>
      </c>
      <c r="V2347" s="56" t="s">
        <v>3549</v>
      </c>
      <c r="W2347" s="56" t="s">
        <v>3548</v>
      </c>
      <c r="X2347" s="56" t="s">
        <v>3547</v>
      </c>
      <c r="Z2347" s="56" t="s">
        <v>3546</v>
      </c>
      <c r="AA2347" s="56" t="s">
        <v>3880</v>
      </c>
      <c r="AB2347" s="56" t="s">
        <v>3879</v>
      </c>
      <c r="AC2347" s="56" t="s">
        <v>3543</v>
      </c>
      <c r="AH2347" s="56" t="s">
        <v>3542</v>
      </c>
      <c r="AI2347" s="56" t="s">
        <v>3541</v>
      </c>
    </row>
    <row r="2348" spans="1:35" ht="33" customHeight="1">
      <c r="A2348" s="56" t="s">
        <v>3883</v>
      </c>
      <c r="B2348" s="57">
        <v>44367.95453703704</v>
      </c>
      <c r="C2348" s="56" t="s">
        <v>3803</v>
      </c>
      <c r="D2348" s="56" t="s">
        <v>25</v>
      </c>
      <c r="E2348" s="56" t="s">
        <v>3882</v>
      </c>
      <c r="F2348" s="56" t="s">
        <v>3881</v>
      </c>
      <c r="G2348" s="58" t="s">
        <v>3551</v>
      </c>
      <c r="H2348" s="56">
        <v>1</v>
      </c>
      <c r="I2348" s="56" t="s">
        <v>3550</v>
      </c>
      <c r="J2348" s="56">
        <v>0</v>
      </c>
      <c r="K2348" s="56">
        <v>0</v>
      </c>
      <c r="P2348" s="56">
        <v>0</v>
      </c>
      <c r="S2348" s="56">
        <v>0</v>
      </c>
      <c r="T2348" s="56" t="s">
        <v>27</v>
      </c>
      <c r="V2348" s="56" t="s">
        <v>3549</v>
      </c>
      <c r="W2348" s="56" t="s">
        <v>3548</v>
      </c>
      <c r="X2348" s="56" t="s">
        <v>3547</v>
      </c>
      <c r="Z2348" s="56" t="s">
        <v>3546</v>
      </c>
      <c r="AA2348" s="56" t="s">
        <v>3880</v>
      </c>
      <c r="AB2348" s="56" t="s">
        <v>3879</v>
      </c>
      <c r="AC2348" s="56" t="s">
        <v>3543</v>
      </c>
      <c r="AH2348" s="56" t="s">
        <v>3542</v>
      </c>
      <c r="AI2348" s="56" t="s">
        <v>3541</v>
      </c>
    </row>
    <row r="2349" spans="1:35" ht="33" customHeight="1">
      <c r="A2349" s="56" t="s">
        <v>3878</v>
      </c>
      <c r="B2349" s="57">
        <v>44367.962013888886</v>
      </c>
      <c r="C2349" s="56" t="s">
        <v>3803</v>
      </c>
      <c r="D2349" s="56" t="s">
        <v>25</v>
      </c>
      <c r="E2349" s="56" t="s">
        <v>3877</v>
      </c>
      <c r="F2349" s="56" t="s">
        <v>3876</v>
      </c>
      <c r="G2349" s="58" t="s">
        <v>3754</v>
      </c>
      <c r="H2349" s="56">
        <v>1</v>
      </c>
      <c r="I2349" s="56" t="s">
        <v>3753</v>
      </c>
      <c r="J2349" s="56">
        <v>997</v>
      </c>
      <c r="K2349" s="56">
        <v>960</v>
      </c>
      <c r="L2349" s="56">
        <v>1019</v>
      </c>
      <c r="M2349" s="56">
        <v>0</v>
      </c>
      <c r="N2349" s="56">
        <v>0</v>
      </c>
      <c r="O2349" s="56">
        <v>100</v>
      </c>
      <c r="P2349" s="56">
        <v>0</v>
      </c>
      <c r="Q2349" s="56">
        <v>919</v>
      </c>
      <c r="R2349" s="56">
        <v>0</v>
      </c>
      <c r="S2349" s="56">
        <v>0</v>
      </c>
      <c r="T2349" s="56" t="s">
        <v>27</v>
      </c>
      <c r="U2349" s="56">
        <v>919</v>
      </c>
      <c r="V2349" s="56" t="s">
        <v>3549</v>
      </c>
      <c r="W2349" s="56" t="s">
        <v>3548</v>
      </c>
      <c r="X2349" s="56" t="s">
        <v>3547</v>
      </c>
      <c r="Z2349" s="56" t="s">
        <v>3546</v>
      </c>
      <c r="AA2349" s="56" t="s">
        <v>3875</v>
      </c>
      <c r="AB2349" s="56" t="s">
        <v>3874</v>
      </c>
      <c r="AC2349" s="56" t="s">
        <v>3543</v>
      </c>
      <c r="AH2349" s="56" t="s">
        <v>3542</v>
      </c>
      <c r="AI2349" s="56" t="s">
        <v>3541</v>
      </c>
    </row>
    <row r="2350" spans="1:35" ht="33" customHeight="1">
      <c r="A2350" s="56" t="s">
        <v>3878</v>
      </c>
      <c r="B2350" s="57">
        <v>44367.962013888886</v>
      </c>
      <c r="C2350" s="56" t="s">
        <v>3803</v>
      </c>
      <c r="D2350" s="56" t="s">
        <v>25</v>
      </c>
      <c r="E2350" s="56" t="s">
        <v>3877</v>
      </c>
      <c r="F2350" s="56" t="s">
        <v>3876</v>
      </c>
      <c r="G2350" s="58" t="s">
        <v>3217</v>
      </c>
      <c r="H2350" s="56">
        <v>1</v>
      </c>
      <c r="I2350" s="56" t="s">
        <v>3720</v>
      </c>
      <c r="J2350" s="56">
        <v>59</v>
      </c>
      <c r="K2350" s="56">
        <v>59</v>
      </c>
      <c r="P2350" s="56">
        <v>0</v>
      </c>
      <c r="S2350" s="56">
        <v>0</v>
      </c>
      <c r="T2350" s="56" t="s">
        <v>27</v>
      </c>
      <c r="V2350" s="56" t="s">
        <v>3549</v>
      </c>
      <c r="W2350" s="56" t="s">
        <v>3548</v>
      </c>
      <c r="X2350" s="56" t="s">
        <v>3547</v>
      </c>
      <c r="Z2350" s="56" t="s">
        <v>3546</v>
      </c>
      <c r="AA2350" s="56" t="s">
        <v>3875</v>
      </c>
      <c r="AB2350" s="56" t="s">
        <v>3874</v>
      </c>
      <c r="AC2350" s="56" t="s">
        <v>3543</v>
      </c>
      <c r="AH2350" s="56" t="s">
        <v>3542</v>
      </c>
      <c r="AI2350" s="56" t="s">
        <v>3541</v>
      </c>
    </row>
    <row r="2351" spans="1:35" ht="33" customHeight="1">
      <c r="A2351" s="56" t="s">
        <v>3878</v>
      </c>
      <c r="B2351" s="57">
        <v>44367.962013888886</v>
      </c>
      <c r="C2351" s="56" t="s">
        <v>3803</v>
      </c>
      <c r="D2351" s="56" t="s">
        <v>25</v>
      </c>
      <c r="E2351" s="56" t="s">
        <v>3877</v>
      </c>
      <c r="F2351" s="56" t="s">
        <v>3876</v>
      </c>
      <c r="G2351" s="58" t="s">
        <v>3551</v>
      </c>
      <c r="H2351" s="56">
        <v>1</v>
      </c>
      <c r="I2351" s="56" t="s">
        <v>3550</v>
      </c>
      <c r="J2351" s="56">
        <v>0</v>
      </c>
      <c r="K2351" s="56">
        <v>0</v>
      </c>
      <c r="P2351" s="56">
        <v>0</v>
      </c>
      <c r="S2351" s="56">
        <v>0</v>
      </c>
      <c r="T2351" s="56" t="s">
        <v>27</v>
      </c>
      <c r="V2351" s="56" t="s">
        <v>3549</v>
      </c>
      <c r="W2351" s="56" t="s">
        <v>3548</v>
      </c>
      <c r="X2351" s="56" t="s">
        <v>3547</v>
      </c>
      <c r="Z2351" s="56" t="s">
        <v>3546</v>
      </c>
      <c r="AA2351" s="56" t="s">
        <v>3875</v>
      </c>
      <c r="AB2351" s="56" t="s">
        <v>3874</v>
      </c>
      <c r="AC2351" s="56" t="s">
        <v>3543</v>
      </c>
      <c r="AH2351" s="56" t="s">
        <v>3542</v>
      </c>
      <c r="AI2351" s="56" t="s">
        <v>3541</v>
      </c>
    </row>
    <row r="2352" spans="1:35" ht="33" customHeight="1">
      <c r="A2352" s="56" t="s">
        <v>3873</v>
      </c>
      <c r="B2352" s="57">
        <v>44367.966817129629</v>
      </c>
      <c r="C2352" s="56" t="s">
        <v>3803</v>
      </c>
      <c r="D2352" s="56" t="s">
        <v>25</v>
      </c>
      <c r="E2352" s="56" t="s">
        <v>3872</v>
      </c>
      <c r="F2352" s="56" t="s">
        <v>3871</v>
      </c>
      <c r="G2352" s="58" t="s">
        <v>3192</v>
      </c>
      <c r="H2352" s="56">
        <v>1</v>
      </c>
      <c r="I2352" s="56" t="s">
        <v>3722</v>
      </c>
      <c r="J2352" s="56">
        <v>168</v>
      </c>
      <c r="K2352" s="56">
        <v>168</v>
      </c>
      <c r="L2352" s="56">
        <v>1205</v>
      </c>
      <c r="M2352" s="56">
        <v>0</v>
      </c>
      <c r="N2352" s="56">
        <v>0</v>
      </c>
      <c r="O2352" s="56">
        <v>121</v>
      </c>
      <c r="P2352" s="56">
        <v>0</v>
      </c>
      <c r="Q2352" s="56">
        <v>1084</v>
      </c>
      <c r="R2352" s="56">
        <v>0</v>
      </c>
      <c r="S2352" s="56">
        <v>0</v>
      </c>
      <c r="T2352" s="56" t="s">
        <v>27</v>
      </c>
      <c r="U2352" s="56">
        <v>1084</v>
      </c>
      <c r="V2352" s="56" t="s">
        <v>3612</v>
      </c>
      <c r="W2352" s="56" t="s">
        <v>3548</v>
      </c>
      <c r="X2352" s="56" t="s">
        <v>3611</v>
      </c>
      <c r="Z2352" s="56" t="s">
        <v>3546</v>
      </c>
      <c r="AA2352" s="56" t="s">
        <v>3870</v>
      </c>
      <c r="AB2352" s="56" t="s">
        <v>3869</v>
      </c>
      <c r="AC2352" s="56" t="s">
        <v>3543</v>
      </c>
      <c r="AH2352" s="56" t="s">
        <v>3542</v>
      </c>
      <c r="AI2352" s="56" t="s">
        <v>3541</v>
      </c>
    </row>
    <row r="2353" spans="1:35" ht="33" customHeight="1">
      <c r="A2353" s="56" t="s">
        <v>3873</v>
      </c>
      <c r="B2353" s="57">
        <v>44367.966817129629</v>
      </c>
      <c r="C2353" s="56" t="s">
        <v>3803</v>
      </c>
      <c r="D2353" s="56" t="s">
        <v>25</v>
      </c>
      <c r="E2353" s="56" t="s">
        <v>3872</v>
      </c>
      <c r="F2353" s="56" t="s">
        <v>3871</v>
      </c>
      <c r="G2353" s="58" t="s">
        <v>3811</v>
      </c>
      <c r="H2353" s="56">
        <v>1</v>
      </c>
      <c r="I2353" s="56" t="s">
        <v>3669</v>
      </c>
      <c r="J2353" s="56">
        <v>897</v>
      </c>
      <c r="K2353" s="56">
        <v>888</v>
      </c>
      <c r="P2353" s="56">
        <v>0</v>
      </c>
      <c r="S2353" s="56">
        <v>0</v>
      </c>
      <c r="T2353" s="56" t="s">
        <v>27</v>
      </c>
      <c r="V2353" s="56" t="s">
        <v>3612</v>
      </c>
      <c r="W2353" s="56" t="s">
        <v>3548</v>
      </c>
      <c r="X2353" s="56" t="s">
        <v>3611</v>
      </c>
      <c r="Z2353" s="56" t="s">
        <v>3546</v>
      </c>
      <c r="AA2353" s="56" t="s">
        <v>3870</v>
      </c>
      <c r="AB2353" s="56" t="s">
        <v>3869</v>
      </c>
      <c r="AC2353" s="56" t="s">
        <v>3543</v>
      </c>
      <c r="AH2353" s="56" t="s">
        <v>3542</v>
      </c>
      <c r="AI2353" s="56" t="s">
        <v>3541</v>
      </c>
    </row>
    <row r="2354" spans="1:35" ht="33" customHeight="1">
      <c r="A2354" s="56" t="s">
        <v>3873</v>
      </c>
      <c r="B2354" s="57">
        <v>44367.966817129629</v>
      </c>
      <c r="C2354" s="56" t="s">
        <v>3803</v>
      </c>
      <c r="D2354" s="56" t="s">
        <v>25</v>
      </c>
      <c r="E2354" s="56" t="s">
        <v>3872</v>
      </c>
      <c r="F2354" s="56" t="s">
        <v>3871</v>
      </c>
      <c r="G2354" s="58" t="s">
        <v>1713</v>
      </c>
      <c r="H2354" s="56">
        <v>1</v>
      </c>
      <c r="I2354" s="56" t="s">
        <v>3761</v>
      </c>
      <c r="J2354" s="56">
        <v>149</v>
      </c>
      <c r="K2354" s="56">
        <v>149</v>
      </c>
      <c r="P2354" s="56">
        <v>0</v>
      </c>
      <c r="S2354" s="56">
        <v>0</v>
      </c>
      <c r="T2354" s="56" t="s">
        <v>27</v>
      </c>
      <c r="V2354" s="56" t="s">
        <v>3612</v>
      </c>
      <c r="W2354" s="56" t="s">
        <v>3548</v>
      </c>
      <c r="X2354" s="56" t="s">
        <v>3611</v>
      </c>
      <c r="Z2354" s="56" t="s">
        <v>3546</v>
      </c>
      <c r="AA2354" s="56" t="s">
        <v>3870</v>
      </c>
      <c r="AB2354" s="56" t="s">
        <v>3869</v>
      </c>
      <c r="AC2354" s="56" t="s">
        <v>3543</v>
      </c>
      <c r="AH2354" s="56" t="s">
        <v>3542</v>
      </c>
      <c r="AI2354" s="56" t="s">
        <v>3541</v>
      </c>
    </row>
    <row r="2355" spans="1:35" ht="33" customHeight="1">
      <c r="A2355" s="56" t="s">
        <v>3873</v>
      </c>
      <c r="B2355" s="57">
        <v>44367.966817129629</v>
      </c>
      <c r="C2355" s="56" t="s">
        <v>3803</v>
      </c>
      <c r="D2355" s="56" t="s">
        <v>25</v>
      </c>
      <c r="E2355" s="56" t="s">
        <v>3872</v>
      </c>
      <c r="F2355" s="56" t="s">
        <v>3871</v>
      </c>
      <c r="G2355" s="58" t="s">
        <v>3551</v>
      </c>
      <c r="H2355" s="56">
        <v>1</v>
      </c>
      <c r="I2355" s="56" t="s">
        <v>3550</v>
      </c>
      <c r="J2355" s="56">
        <v>0</v>
      </c>
      <c r="K2355" s="56">
        <v>0</v>
      </c>
      <c r="P2355" s="56">
        <v>0</v>
      </c>
      <c r="S2355" s="56">
        <v>0</v>
      </c>
      <c r="T2355" s="56" t="s">
        <v>27</v>
      </c>
      <c r="V2355" s="56" t="s">
        <v>3612</v>
      </c>
      <c r="W2355" s="56" t="s">
        <v>3548</v>
      </c>
      <c r="X2355" s="56" t="s">
        <v>3611</v>
      </c>
      <c r="Z2355" s="56" t="s">
        <v>3546</v>
      </c>
      <c r="AA2355" s="56" t="s">
        <v>3870</v>
      </c>
      <c r="AB2355" s="56" t="s">
        <v>3869</v>
      </c>
      <c r="AC2355" s="56" t="s">
        <v>3543</v>
      </c>
      <c r="AH2355" s="56" t="s">
        <v>3542</v>
      </c>
      <c r="AI2355" s="56" t="s">
        <v>3541</v>
      </c>
    </row>
    <row r="2356" spans="1:35" ht="33" customHeight="1">
      <c r="A2356" s="56" t="s">
        <v>3868</v>
      </c>
      <c r="B2356" s="57">
        <v>44367.97446759259</v>
      </c>
      <c r="C2356" s="56" t="s">
        <v>3803</v>
      </c>
      <c r="D2356" s="56" t="s">
        <v>3802</v>
      </c>
      <c r="E2356" s="56" t="s">
        <v>3867</v>
      </c>
      <c r="F2356" s="56" t="s">
        <v>3866</v>
      </c>
      <c r="G2356" s="58" t="s">
        <v>3603</v>
      </c>
      <c r="H2356" s="56">
        <v>1</v>
      </c>
      <c r="I2356" s="56" t="s">
        <v>3602</v>
      </c>
      <c r="J2356" s="56">
        <v>447</v>
      </c>
      <c r="K2356" s="56">
        <v>399</v>
      </c>
      <c r="L2356" s="56">
        <v>1000</v>
      </c>
      <c r="M2356" s="56">
        <v>0</v>
      </c>
      <c r="N2356" s="56">
        <v>0</v>
      </c>
      <c r="O2356" s="56">
        <v>100</v>
      </c>
      <c r="P2356" s="56">
        <v>0</v>
      </c>
      <c r="Q2356" s="56">
        <v>900</v>
      </c>
      <c r="R2356" s="56">
        <v>0</v>
      </c>
      <c r="S2356" s="56">
        <v>0</v>
      </c>
      <c r="T2356" s="56" t="s">
        <v>3562</v>
      </c>
      <c r="U2356" s="56">
        <v>900</v>
      </c>
      <c r="V2356" s="56" t="s">
        <v>3865</v>
      </c>
      <c r="W2356" s="56" t="s">
        <v>3548</v>
      </c>
      <c r="X2356" s="56" t="s">
        <v>39</v>
      </c>
      <c r="Y2356" s="56" t="s">
        <v>3864</v>
      </c>
      <c r="Z2356" s="56" t="s">
        <v>3863</v>
      </c>
      <c r="AC2356" s="56" t="s">
        <v>3543</v>
      </c>
      <c r="AD2356" s="56" t="s">
        <v>24</v>
      </c>
      <c r="AE2356" s="56" t="s">
        <v>3862</v>
      </c>
      <c r="AF2356" s="56" t="s">
        <v>3861</v>
      </c>
      <c r="AH2356" s="56" t="s">
        <v>3542</v>
      </c>
      <c r="AI2356" s="56" t="s">
        <v>3723</v>
      </c>
    </row>
    <row r="2357" spans="1:35" ht="33" customHeight="1">
      <c r="A2357" s="56" t="s">
        <v>3868</v>
      </c>
      <c r="B2357" s="57">
        <v>44367.97446759259</v>
      </c>
      <c r="C2357" s="56" t="s">
        <v>3803</v>
      </c>
      <c r="D2357" s="56" t="s">
        <v>3802</v>
      </c>
      <c r="E2357" s="56" t="s">
        <v>3867</v>
      </c>
      <c r="F2357" s="56" t="s">
        <v>3866</v>
      </c>
      <c r="G2357" s="58" t="s">
        <v>1493</v>
      </c>
      <c r="H2357" s="56">
        <v>1</v>
      </c>
      <c r="I2357" s="56" t="s">
        <v>3601</v>
      </c>
      <c r="J2357" s="56">
        <v>135</v>
      </c>
      <c r="K2357" s="56">
        <v>135</v>
      </c>
      <c r="P2357" s="56">
        <v>0</v>
      </c>
      <c r="S2357" s="56">
        <v>0</v>
      </c>
      <c r="T2357" s="56" t="s">
        <v>3562</v>
      </c>
      <c r="V2357" s="56" t="s">
        <v>3865</v>
      </c>
      <c r="W2357" s="56" t="s">
        <v>3548</v>
      </c>
      <c r="X2357" s="56" t="s">
        <v>39</v>
      </c>
      <c r="Y2357" s="56" t="s">
        <v>3864</v>
      </c>
      <c r="Z2357" s="56" t="s">
        <v>3863</v>
      </c>
      <c r="AC2357" s="56" t="s">
        <v>3543</v>
      </c>
      <c r="AD2357" s="56" t="s">
        <v>24</v>
      </c>
      <c r="AE2357" s="56" t="s">
        <v>3862</v>
      </c>
      <c r="AF2357" s="56" t="s">
        <v>3861</v>
      </c>
      <c r="AH2357" s="56" t="s">
        <v>3542</v>
      </c>
      <c r="AI2357" s="56" t="s">
        <v>3723</v>
      </c>
    </row>
    <row r="2358" spans="1:35" ht="33" customHeight="1">
      <c r="A2358" s="56" t="s">
        <v>3868</v>
      </c>
      <c r="B2358" s="57">
        <v>44367.97446759259</v>
      </c>
      <c r="C2358" s="56" t="s">
        <v>3803</v>
      </c>
      <c r="D2358" s="56" t="s">
        <v>3802</v>
      </c>
      <c r="E2358" s="56" t="s">
        <v>3867</v>
      </c>
      <c r="F2358" s="56" t="s">
        <v>3866</v>
      </c>
      <c r="G2358" s="58" t="s">
        <v>1514</v>
      </c>
      <c r="H2358" s="56">
        <v>1</v>
      </c>
      <c r="I2358" s="56" t="s">
        <v>3740</v>
      </c>
      <c r="J2358" s="56">
        <v>220</v>
      </c>
      <c r="K2358" s="56">
        <v>168</v>
      </c>
      <c r="P2358" s="56">
        <v>0</v>
      </c>
      <c r="S2358" s="56">
        <v>0</v>
      </c>
      <c r="T2358" s="56" t="s">
        <v>3562</v>
      </c>
      <c r="V2358" s="56" t="s">
        <v>3865</v>
      </c>
      <c r="W2358" s="56" t="s">
        <v>3548</v>
      </c>
      <c r="X2358" s="56" t="s">
        <v>39</v>
      </c>
      <c r="Y2358" s="56" t="s">
        <v>3864</v>
      </c>
      <c r="Z2358" s="56" t="s">
        <v>3863</v>
      </c>
      <c r="AC2358" s="56" t="s">
        <v>3543</v>
      </c>
      <c r="AD2358" s="56" t="s">
        <v>24</v>
      </c>
      <c r="AE2358" s="56" t="s">
        <v>3862</v>
      </c>
      <c r="AF2358" s="56" t="s">
        <v>3861</v>
      </c>
      <c r="AH2358" s="56" t="s">
        <v>3542</v>
      </c>
      <c r="AI2358" s="56" t="s">
        <v>3723</v>
      </c>
    </row>
    <row r="2359" spans="1:35" ht="33" customHeight="1">
      <c r="A2359" s="56" t="s">
        <v>3868</v>
      </c>
      <c r="B2359" s="57">
        <v>44367.97446759259</v>
      </c>
      <c r="C2359" s="56" t="s">
        <v>3803</v>
      </c>
      <c r="D2359" s="56" t="s">
        <v>3802</v>
      </c>
      <c r="E2359" s="56" t="s">
        <v>3867</v>
      </c>
      <c r="F2359" s="56" t="s">
        <v>3866</v>
      </c>
      <c r="G2359" s="58" t="s">
        <v>3189</v>
      </c>
      <c r="H2359" s="56">
        <v>1</v>
      </c>
      <c r="I2359" s="56" t="s">
        <v>3761</v>
      </c>
      <c r="J2359" s="56">
        <v>149</v>
      </c>
      <c r="K2359" s="56">
        <v>149</v>
      </c>
      <c r="P2359" s="56">
        <v>0</v>
      </c>
      <c r="S2359" s="56">
        <v>0</v>
      </c>
      <c r="T2359" s="56" t="s">
        <v>3562</v>
      </c>
      <c r="V2359" s="56" t="s">
        <v>3865</v>
      </c>
      <c r="W2359" s="56" t="s">
        <v>3548</v>
      </c>
      <c r="X2359" s="56" t="s">
        <v>39</v>
      </c>
      <c r="Y2359" s="56" t="s">
        <v>3864</v>
      </c>
      <c r="Z2359" s="56" t="s">
        <v>3863</v>
      </c>
      <c r="AC2359" s="56" t="s">
        <v>3543</v>
      </c>
      <c r="AD2359" s="56" t="s">
        <v>24</v>
      </c>
      <c r="AE2359" s="56" t="s">
        <v>3862</v>
      </c>
      <c r="AF2359" s="56" t="s">
        <v>3861</v>
      </c>
      <c r="AH2359" s="56" t="s">
        <v>3542</v>
      </c>
      <c r="AI2359" s="56" t="s">
        <v>3723</v>
      </c>
    </row>
    <row r="2360" spans="1:35" ht="33" customHeight="1">
      <c r="A2360" s="56" t="s">
        <v>3868</v>
      </c>
      <c r="B2360" s="57">
        <v>44367.97446759259</v>
      </c>
      <c r="C2360" s="56" t="s">
        <v>3803</v>
      </c>
      <c r="D2360" s="56" t="s">
        <v>3802</v>
      </c>
      <c r="E2360" s="56" t="s">
        <v>3867</v>
      </c>
      <c r="F2360" s="56" t="s">
        <v>3866</v>
      </c>
      <c r="G2360" s="58" t="s">
        <v>2156</v>
      </c>
      <c r="H2360" s="56">
        <v>1</v>
      </c>
      <c r="I2360" s="56" t="s">
        <v>1376</v>
      </c>
      <c r="J2360" s="56">
        <v>149</v>
      </c>
      <c r="K2360" s="56">
        <v>149</v>
      </c>
      <c r="P2360" s="56">
        <v>0</v>
      </c>
      <c r="S2360" s="56">
        <v>0</v>
      </c>
      <c r="T2360" s="56" t="s">
        <v>3562</v>
      </c>
      <c r="V2360" s="56" t="s">
        <v>3865</v>
      </c>
      <c r="W2360" s="56" t="s">
        <v>3548</v>
      </c>
      <c r="X2360" s="56" t="s">
        <v>39</v>
      </c>
      <c r="Y2360" s="56" t="s">
        <v>3864</v>
      </c>
      <c r="Z2360" s="56" t="s">
        <v>3863</v>
      </c>
      <c r="AC2360" s="56" t="s">
        <v>3543</v>
      </c>
      <c r="AD2360" s="56" t="s">
        <v>24</v>
      </c>
      <c r="AE2360" s="56" t="s">
        <v>3862</v>
      </c>
      <c r="AF2360" s="56" t="s">
        <v>3861</v>
      </c>
      <c r="AH2360" s="56" t="s">
        <v>3542</v>
      </c>
      <c r="AI2360" s="56" t="s">
        <v>3723</v>
      </c>
    </row>
    <row r="2361" spans="1:35" ht="33" customHeight="1">
      <c r="A2361" s="56" t="s">
        <v>3868</v>
      </c>
      <c r="B2361" s="57">
        <v>44367.97446759259</v>
      </c>
      <c r="C2361" s="56" t="s">
        <v>3803</v>
      </c>
      <c r="D2361" s="56" t="s">
        <v>3802</v>
      </c>
      <c r="E2361" s="56" t="s">
        <v>3867</v>
      </c>
      <c r="F2361" s="56" t="s">
        <v>3866</v>
      </c>
      <c r="G2361" s="58" t="s">
        <v>3551</v>
      </c>
      <c r="H2361" s="56">
        <v>1</v>
      </c>
      <c r="I2361" s="56" t="s">
        <v>3550</v>
      </c>
      <c r="J2361" s="56">
        <v>0</v>
      </c>
      <c r="K2361" s="56">
        <v>0</v>
      </c>
      <c r="P2361" s="56">
        <v>0</v>
      </c>
      <c r="S2361" s="56">
        <v>0</v>
      </c>
      <c r="T2361" s="56" t="s">
        <v>3562</v>
      </c>
      <c r="V2361" s="56" t="s">
        <v>3865</v>
      </c>
      <c r="W2361" s="56" t="s">
        <v>3548</v>
      </c>
      <c r="X2361" s="56" t="s">
        <v>39</v>
      </c>
      <c r="Y2361" s="56" t="s">
        <v>3864</v>
      </c>
      <c r="Z2361" s="56" t="s">
        <v>3863</v>
      </c>
      <c r="AC2361" s="56" t="s">
        <v>3543</v>
      </c>
      <c r="AD2361" s="56" t="s">
        <v>24</v>
      </c>
      <c r="AE2361" s="56" t="s">
        <v>3862</v>
      </c>
      <c r="AF2361" s="56" t="s">
        <v>3861</v>
      </c>
      <c r="AH2361" s="56" t="s">
        <v>3542</v>
      </c>
      <c r="AI2361" s="56" t="s">
        <v>3723</v>
      </c>
    </row>
    <row r="2362" spans="1:35" ht="33" customHeight="1">
      <c r="A2362" s="56" t="s">
        <v>3859</v>
      </c>
      <c r="B2362" s="57">
        <v>44368.0233912037</v>
      </c>
      <c r="C2362" s="56" t="s">
        <v>3803</v>
      </c>
      <c r="D2362" s="56" t="s">
        <v>25</v>
      </c>
      <c r="E2362" s="56" t="s">
        <v>3858</v>
      </c>
      <c r="F2362" s="56" t="s">
        <v>3857</v>
      </c>
      <c r="G2362" s="58" t="s">
        <v>3681</v>
      </c>
      <c r="H2362" s="56">
        <v>1</v>
      </c>
      <c r="I2362" s="56" t="s">
        <v>3569</v>
      </c>
      <c r="J2362" s="56">
        <v>894</v>
      </c>
      <c r="K2362" s="56">
        <v>750</v>
      </c>
      <c r="L2362" s="56">
        <v>1919</v>
      </c>
      <c r="M2362" s="56">
        <v>0</v>
      </c>
      <c r="N2362" s="56">
        <v>0</v>
      </c>
      <c r="O2362" s="56">
        <v>100</v>
      </c>
      <c r="P2362" s="56">
        <v>0</v>
      </c>
      <c r="Q2362" s="56">
        <v>1819</v>
      </c>
      <c r="R2362" s="56">
        <v>0</v>
      </c>
      <c r="S2362" s="56">
        <v>0</v>
      </c>
      <c r="T2362" s="56" t="s">
        <v>27</v>
      </c>
      <c r="U2362" s="56">
        <v>1819</v>
      </c>
      <c r="V2362" s="56" t="s">
        <v>3549</v>
      </c>
      <c r="W2362" s="56" t="s">
        <v>3548</v>
      </c>
      <c r="X2362" s="56" t="s">
        <v>3547</v>
      </c>
      <c r="Z2362" s="56" t="s">
        <v>3546</v>
      </c>
      <c r="AA2362" s="56" t="s">
        <v>3856</v>
      </c>
      <c r="AB2362" s="56" t="s">
        <v>3855</v>
      </c>
      <c r="AC2362" s="56" t="s">
        <v>3543</v>
      </c>
      <c r="AH2362" s="56" t="s">
        <v>3542</v>
      </c>
      <c r="AI2362" s="56" t="s">
        <v>3541</v>
      </c>
    </row>
    <row r="2363" spans="1:35" ht="33" customHeight="1">
      <c r="A2363" s="56" t="s">
        <v>3859</v>
      </c>
      <c r="B2363" s="57">
        <v>44368.0233912037</v>
      </c>
      <c r="C2363" s="56" t="s">
        <v>3803</v>
      </c>
      <c r="D2363" s="56" t="s">
        <v>25</v>
      </c>
      <c r="E2363" s="56" t="s">
        <v>3858</v>
      </c>
      <c r="F2363" s="56" t="s">
        <v>3857</v>
      </c>
      <c r="G2363" s="58" t="s">
        <v>3860</v>
      </c>
      <c r="H2363" s="56">
        <v>1</v>
      </c>
      <c r="I2363" s="56" t="s">
        <v>3731</v>
      </c>
      <c r="J2363" s="56">
        <v>867</v>
      </c>
      <c r="K2363" s="56">
        <v>550</v>
      </c>
      <c r="P2363" s="56">
        <v>0</v>
      </c>
      <c r="S2363" s="56">
        <v>0</v>
      </c>
      <c r="T2363" s="56" t="s">
        <v>27</v>
      </c>
      <c r="V2363" s="56" t="s">
        <v>3549</v>
      </c>
      <c r="W2363" s="56" t="s">
        <v>3548</v>
      </c>
      <c r="X2363" s="56" t="s">
        <v>3547</v>
      </c>
      <c r="Z2363" s="56" t="s">
        <v>3546</v>
      </c>
      <c r="AA2363" s="56" t="s">
        <v>3856</v>
      </c>
      <c r="AB2363" s="56" t="s">
        <v>3855</v>
      </c>
      <c r="AC2363" s="56" t="s">
        <v>3543</v>
      </c>
      <c r="AH2363" s="56" t="s">
        <v>3542</v>
      </c>
      <c r="AI2363" s="56" t="s">
        <v>3541</v>
      </c>
    </row>
    <row r="2364" spans="1:35" ht="33" customHeight="1">
      <c r="A2364" s="56" t="s">
        <v>3859</v>
      </c>
      <c r="B2364" s="57">
        <v>44368.0233912037</v>
      </c>
      <c r="C2364" s="56" t="s">
        <v>3803</v>
      </c>
      <c r="D2364" s="56" t="s">
        <v>25</v>
      </c>
      <c r="E2364" s="56" t="s">
        <v>3858</v>
      </c>
      <c r="F2364" s="56" t="s">
        <v>3857</v>
      </c>
      <c r="G2364" s="58" t="s">
        <v>1531</v>
      </c>
      <c r="H2364" s="56">
        <v>1</v>
      </c>
      <c r="I2364" s="56" t="s">
        <v>3696</v>
      </c>
      <c r="J2364" s="56">
        <v>299</v>
      </c>
      <c r="K2364" s="56">
        <v>299</v>
      </c>
      <c r="P2364" s="56">
        <v>0</v>
      </c>
      <c r="S2364" s="56">
        <v>0</v>
      </c>
      <c r="T2364" s="56" t="s">
        <v>27</v>
      </c>
      <c r="V2364" s="56" t="s">
        <v>3549</v>
      </c>
      <c r="W2364" s="56" t="s">
        <v>3548</v>
      </c>
      <c r="X2364" s="56" t="s">
        <v>3547</v>
      </c>
      <c r="Z2364" s="56" t="s">
        <v>3546</v>
      </c>
      <c r="AA2364" s="56" t="s">
        <v>3856</v>
      </c>
      <c r="AB2364" s="56" t="s">
        <v>3855</v>
      </c>
      <c r="AC2364" s="56" t="s">
        <v>3543</v>
      </c>
      <c r="AH2364" s="56" t="s">
        <v>3542</v>
      </c>
      <c r="AI2364" s="56" t="s">
        <v>3541</v>
      </c>
    </row>
    <row r="2365" spans="1:35" ht="33" customHeight="1">
      <c r="A2365" s="56" t="s">
        <v>3859</v>
      </c>
      <c r="B2365" s="57">
        <v>44368.0233912037</v>
      </c>
      <c r="C2365" s="56" t="s">
        <v>3803</v>
      </c>
      <c r="D2365" s="56" t="s">
        <v>25</v>
      </c>
      <c r="E2365" s="56" t="s">
        <v>3858</v>
      </c>
      <c r="F2365" s="56" t="s">
        <v>3857</v>
      </c>
      <c r="G2365" s="58" t="s">
        <v>3580</v>
      </c>
      <c r="H2365" s="56">
        <v>1</v>
      </c>
      <c r="I2365" s="56" t="s">
        <v>3579</v>
      </c>
      <c r="J2365" s="56">
        <v>336</v>
      </c>
      <c r="K2365" s="56">
        <v>320</v>
      </c>
      <c r="P2365" s="56">
        <v>0</v>
      </c>
      <c r="S2365" s="56">
        <v>0</v>
      </c>
      <c r="T2365" s="56" t="s">
        <v>27</v>
      </c>
      <c r="V2365" s="56" t="s">
        <v>3549</v>
      </c>
      <c r="W2365" s="56" t="s">
        <v>3548</v>
      </c>
      <c r="X2365" s="56" t="s">
        <v>3547</v>
      </c>
      <c r="Z2365" s="56" t="s">
        <v>3546</v>
      </c>
      <c r="AA2365" s="56" t="s">
        <v>3856</v>
      </c>
      <c r="AB2365" s="56" t="s">
        <v>3855</v>
      </c>
      <c r="AC2365" s="56" t="s">
        <v>3543</v>
      </c>
      <c r="AH2365" s="56" t="s">
        <v>3542</v>
      </c>
      <c r="AI2365" s="56" t="s">
        <v>3541</v>
      </c>
    </row>
    <row r="2366" spans="1:35" ht="33" customHeight="1">
      <c r="A2366" s="56" t="s">
        <v>3859</v>
      </c>
      <c r="B2366" s="57">
        <v>44368.0233912037</v>
      </c>
      <c r="C2366" s="56" t="s">
        <v>3803</v>
      </c>
      <c r="D2366" s="56" t="s">
        <v>25</v>
      </c>
      <c r="E2366" s="56" t="s">
        <v>3858</v>
      </c>
      <c r="F2366" s="56" t="s">
        <v>3857</v>
      </c>
      <c r="G2366" s="58" t="s">
        <v>3551</v>
      </c>
      <c r="H2366" s="56">
        <v>1</v>
      </c>
      <c r="I2366" s="56" t="s">
        <v>3550</v>
      </c>
      <c r="J2366" s="56">
        <v>0</v>
      </c>
      <c r="K2366" s="56">
        <v>0</v>
      </c>
      <c r="P2366" s="56">
        <v>0</v>
      </c>
      <c r="S2366" s="56">
        <v>0</v>
      </c>
      <c r="T2366" s="56" t="s">
        <v>27</v>
      </c>
      <c r="V2366" s="56" t="s">
        <v>3549</v>
      </c>
      <c r="W2366" s="56" t="s">
        <v>3548</v>
      </c>
      <c r="X2366" s="56" t="s">
        <v>3547</v>
      </c>
      <c r="Z2366" s="56" t="s">
        <v>3546</v>
      </c>
      <c r="AA2366" s="56" t="s">
        <v>3856</v>
      </c>
      <c r="AB2366" s="56" t="s">
        <v>3855</v>
      </c>
      <c r="AC2366" s="56" t="s">
        <v>3543</v>
      </c>
      <c r="AH2366" s="56" t="s">
        <v>3542</v>
      </c>
      <c r="AI2366" s="56" t="s">
        <v>3541</v>
      </c>
    </row>
    <row r="2367" spans="1:35" ht="33" customHeight="1">
      <c r="A2367" s="56" t="s">
        <v>3859</v>
      </c>
      <c r="B2367" s="57">
        <v>44368.0233912037</v>
      </c>
      <c r="C2367" s="56" t="s">
        <v>3803</v>
      </c>
      <c r="D2367" s="56" t="s">
        <v>25</v>
      </c>
      <c r="E2367" s="56" t="s">
        <v>3858</v>
      </c>
      <c r="F2367" s="56" t="s">
        <v>3857</v>
      </c>
      <c r="G2367" s="58" t="s">
        <v>1713</v>
      </c>
      <c r="H2367" s="56">
        <v>1</v>
      </c>
      <c r="I2367" s="56" t="s">
        <v>3568</v>
      </c>
      <c r="J2367" s="56">
        <v>0</v>
      </c>
      <c r="K2367" s="56">
        <v>0</v>
      </c>
      <c r="P2367" s="56">
        <v>0</v>
      </c>
      <c r="S2367" s="56">
        <v>0</v>
      </c>
      <c r="T2367" s="56" t="s">
        <v>27</v>
      </c>
      <c r="V2367" s="56" t="s">
        <v>3549</v>
      </c>
      <c r="W2367" s="56" t="s">
        <v>3548</v>
      </c>
      <c r="X2367" s="56" t="s">
        <v>3547</v>
      </c>
      <c r="Z2367" s="56" t="s">
        <v>3546</v>
      </c>
      <c r="AA2367" s="56" t="s">
        <v>3856</v>
      </c>
      <c r="AB2367" s="56" t="s">
        <v>3855</v>
      </c>
      <c r="AC2367" s="56" t="s">
        <v>3543</v>
      </c>
      <c r="AH2367" s="56" t="s">
        <v>3542</v>
      </c>
      <c r="AI2367" s="56" t="s">
        <v>3541</v>
      </c>
    </row>
    <row r="2368" spans="1:35" ht="33" customHeight="1">
      <c r="A2368" s="56" t="s">
        <v>3854</v>
      </c>
      <c r="B2368" s="57">
        <v>44368.03979166667</v>
      </c>
      <c r="C2368" s="56" t="s">
        <v>3803</v>
      </c>
      <c r="D2368" s="56" t="s">
        <v>25</v>
      </c>
      <c r="E2368" s="56" t="s">
        <v>3853</v>
      </c>
      <c r="F2368" s="56" t="s">
        <v>3852</v>
      </c>
      <c r="G2368" s="58" t="s">
        <v>3840</v>
      </c>
      <c r="H2368" s="56">
        <v>1</v>
      </c>
      <c r="I2368" s="56" t="s">
        <v>3602</v>
      </c>
      <c r="J2368" s="56">
        <v>447</v>
      </c>
      <c r="K2368" s="56">
        <v>399</v>
      </c>
      <c r="L2368" s="56">
        <v>1125</v>
      </c>
      <c r="M2368" s="56">
        <v>0</v>
      </c>
      <c r="N2368" s="56">
        <v>0</v>
      </c>
      <c r="O2368" s="56">
        <v>100</v>
      </c>
      <c r="P2368" s="56">
        <v>0</v>
      </c>
      <c r="Q2368" s="56">
        <v>1025</v>
      </c>
      <c r="R2368" s="56">
        <v>0</v>
      </c>
      <c r="S2368" s="56">
        <v>0</v>
      </c>
      <c r="T2368" s="56" t="s">
        <v>27</v>
      </c>
      <c r="U2368" s="56">
        <v>1025</v>
      </c>
      <c r="V2368" s="56" t="s">
        <v>3549</v>
      </c>
      <c r="W2368" s="56" t="s">
        <v>3548</v>
      </c>
      <c r="X2368" s="56" t="s">
        <v>3547</v>
      </c>
      <c r="Z2368" s="56" t="s">
        <v>3546</v>
      </c>
      <c r="AA2368" s="56" t="s">
        <v>3851</v>
      </c>
      <c r="AB2368" s="56" t="s">
        <v>3850</v>
      </c>
      <c r="AC2368" s="56" t="s">
        <v>3543</v>
      </c>
      <c r="AH2368" s="56" t="s">
        <v>3542</v>
      </c>
      <c r="AI2368" s="56" t="s">
        <v>3541</v>
      </c>
    </row>
    <row r="2369" spans="1:35" ht="33" customHeight="1">
      <c r="A2369" s="56" t="s">
        <v>3854</v>
      </c>
      <c r="B2369" s="57">
        <v>44368.03979166667</v>
      </c>
      <c r="C2369" s="56" t="s">
        <v>3803</v>
      </c>
      <c r="D2369" s="56" t="s">
        <v>25</v>
      </c>
      <c r="E2369" s="56" t="s">
        <v>3853</v>
      </c>
      <c r="F2369" s="56" t="s">
        <v>3852</v>
      </c>
      <c r="G2369" s="58" t="s">
        <v>1508</v>
      </c>
      <c r="H2369" s="56">
        <v>1</v>
      </c>
      <c r="I2369" s="56" t="s">
        <v>3696</v>
      </c>
      <c r="J2369" s="56">
        <v>299</v>
      </c>
      <c r="K2369" s="56">
        <v>299</v>
      </c>
      <c r="P2369" s="56">
        <v>0</v>
      </c>
      <c r="S2369" s="56">
        <v>0</v>
      </c>
      <c r="T2369" s="56" t="s">
        <v>27</v>
      </c>
      <c r="V2369" s="56" t="s">
        <v>3549</v>
      </c>
      <c r="W2369" s="56" t="s">
        <v>3548</v>
      </c>
      <c r="X2369" s="56" t="s">
        <v>3547</v>
      </c>
      <c r="Z2369" s="56" t="s">
        <v>3546</v>
      </c>
      <c r="AA2369" s="56" t="s">
        <v>3851</v>
      </c>
      <c r="AB2369" s="56" t="s">
        <v>3850</v>
      </c>
      <c r="AC2369" s="56" t="s">
        <v>3543</v>
      </c>
      <c r="AH2369" s="56" t="s">
        <v>3542</v>
      </c>
      <c r="AI2369" s="56" t="s">
        <v>3541</v>
      </c>
    </row>
    <row r="2370" spans="1:35" ht="33" customHeight="1">
      <c r="A2370" s="56" t="s">
        <v>3854</v>
      </c>
      <c r="B2370" s="57">
        <v>44368.03979166667</v>
      </c>
      <c r="C2370" s="56" t="s">
        <v>3803</v>
      </c>
      <c r="D2370" s="56" t="s">
        <v>25</v>
      </c>
      <c r="E2370" s="56" t="s">
        <v>3853</v>
      </c>
      <c r="F2370" s="56" t="s">
        <v>3852</v>
      </c>
      <c r="G2370" s="58" t="s">
        <v>2163</v>
      </c>
      <c r="H2370" s="56">
        <v>1</v>
      </c>
      <c r="I2370" s="56" t="s">
        <v>3694</v>
      </c>
      <c r="J2370" s="56">
        <v>128</v>
      </c>
      <c r="K2370" s="56">
        <v>128</v>
      </c>
      <c r="P2370" s="56">
        <v>0</v>
      </c>
      <c r="S2370" s="56">
        <v>0</v>
      </c>
      <c r="T2370" s="56" t="s">
        <v>27</v>
      </c>
      <c r="V2370" s="56" t="s">
        <v>3549</v>
      </c>
      <c r="W2370" s="56" t="s">
        <v>3548</v>
      </c>
      <c r="X2370" s="56" t="s">
        <v>3547</v>
      </c>
      <c r="Z2370" s="56" t="s">
        <v>3546</v>
      </c>
      <c r="AA2370" s="56" t="s">
        <v>3851</v>
      </c>
      <c r="AB2370" s="56" t="s">
        <v>3850</v>
      </c>
      <c r="AC2370" s="56" t="s">
        <v>3543</v>
      </c>
      <c r="AH2370" s="56" t="s">
        <v>3542</v>
      </c>
      <c r="AI2370" s="56" t="s">
        <v>3541</v>
      </c>
    </row>
    <row r="2371" spans="1:35" ht="33" customHeight="1">
      <c r="A2371" s="56" t="s">
        <v>3854</v>
      </c>
      <c r="B2371" s="57">
        <v>44368.03979166667</v>
      </c>
      <c r="C2371" s="56" t="s">
        <v>3803</v>
      </c>
      <c r="D2371" s="56" t="s">
        <v>25</v>
      </c>
      <c r="E2371" s="56" t="s">
        <v>3853</v>
      </c>
      <c r="F2371" s="56" t="s">
        <v>3852</v>
      </c>
      <c r="G2371" s="58" t="s">
        <v>1531</v>
      </c>
      <c r="H2371" s="56">
        <v>1</v>
      </c>
      <c r="I2371" s="56" t="s">
        <v>3696</v>
      </c>
      <c r="J2371" s="56">
        <v>299</v>
      </c>
      <c r="K2371" s="56">
        <v>299</v>
      </c>
      <c r="P2371" s="56">
        <v>0</v>
      </c>
      <c r="S2371" s="56">
        <v>0</v>
      </c>
      <c r="T2371" s="56" t="s">
        <v>27</v>
      </c>
      <c r="V2371" s="56" t="s">
        <v>3549</v>
      </c>
      <c r="W2371" s="56" t="s">
        <v>3548</v>
      </c>
      <c r="X2371" s="56" t="s">
        <v>3547</v>
      </c>
      <c r="Z2371" s="56" t="s">
        <v>3546</v>
      </c>
      <c r="AA2371" s="56" t="s">
        <v>3851</v>
      </c>
      <c r="AB2371" s="56" t="s">
        <v>3850</v>
      </c>
      <c r="AC2371" s="56" t="s">
        <v>3543</v>
      </c>
      <c r="AH2371" s="56" t="s">
        <v>3542</v>
      </c>
      <c r="AI2371" s="56" t="s">
        <v>3541</v>
      </c>
    </row>
    <row r="2372" spans="1:35" ht="33" customHeight="1">
      <c r="A2372" s="56" t="s">
        <v>3854</v>
      </c>
      <c r="B2372" s="57">
        <v>44368.03979166667</v>
      </c>
      <c r="C2372" s="56" t="s">
        <v>3803</v>
      </c>
      <c r="D2372" s="56" t="s">
        <v>25</v>
      </c>
      <c r="E2372" s="56" t="s">
        <v>3853</v>
      </c>
      <c r="F2372" s="56" t="s">
        <v>3852</v>
      </c>
      <c r="G2372" s="58" t="s">
        <v>3551</v>
      </c>
      <c r="H2372" s="56">
        <v>1</v>
      </c>
      <c r="I2372" s="56" t="s">
        <v>3550</v>
      </c>
      <c r="J2372" s="56">
        <v>0</v>
      </c>
      <c r="K2372" s="56">
        <v>0</v>
      </c>
      <c r="P2372" s="56">
        <v>0</v>
      </c>
      <c r="S2372" s="56">
        <v>0</v>
      </c>
      <c r="T2372" s="56" t="s">
        <v>27</v>
      </c>
      <c r="V2372" s="56" t="s">
        <v>3549</v>
      </c>
      <c r="W2372" s="56" t="s">
        <v>3548</v>
      </c>
      <c r="X2372" s="56" t="s">
        <v>3547</v>
      </c>
      <c r="Z2372" s="56" t="s">
        <v>3546</v>
      </c>
      <c r="AA2372" s="56" t="s">
        <v>3851</v>
      </c>
      <c r="AB2372" s="56" t="s">
        <v>3850</v>
      </c>
      <c r="AC2372" s="56" t="s">
        <v>3543</v>
      </c>
      <c r="AH2372" s="56" t="s">
        <v>3542</v>
      </c>
      <c r="AI2372" s="56" t="s">
        <v>3541</v>
      </c>
    </row>
    <row r="2373" spans="1:35" ht="33" customHeight="1">
      <c r="A2373" s="56" t="s">
        <v>3847</v>
      </c>
      <c r="B2373" s="57">
        <v>44368.074212962965</v>
      </c>
      <c r="C2373" s="56" t="s">
        <v>3803</v>
      </c>
      <c r="D2373" s="56" t="s">
        <v>3802</v>
      </c>
      <c r="E2373" s="56" t="s">
        <v>3846</v>
      </c>
      <c r="F2373" s="56" t="s">
        <v>3845</v>
      </c>
      <c r="G2373" s="58" t="s">
        <v>3849</v>
      </c>
      <c r="H2373" s="56">
        <v>1</v>
      </c>
      <c r="I2373" s="56" t="s">
        <v>3848</v>
      </c>
      <c r="J2373" s="56">
        <v>1396</v>
      </c>
      <c r="K2373" s="56">
        <v>1320</v>
      </c>
      <c r="L2373" s="56">
        <v>1320</v>
      </c>
      <c r="M2373" s="56">
        <v>0</v>
      </c>
      <c r="N2373" s="56">
        <v>0</v>
      </c>
      <c r="O2373" s="56">
        <v>100</v>
      </c>
      <c r="P2373" s="56">
        <v>0</v>
      </c>
      <c r="Q2373" s="56">
        <v>1220</v>
      </c>
      <c r="R2373" s="56">
        <v>0</v>
      </c>
      <c r="S2373" s="56">
        <v>0</v>
      </c>
      <c r="T2373" s="56" t="s">
        <v>3562</v>
      </c>
      <c r="U2373" s="56">
        <v>1220</v>
      </c>
      <c r="V2373" s="56" t="s">
        <v>59</v>
      </c>
      <c r="W2373" s="56" t="s">
        <v>3548</v>
      </c>
      <c r="X2373" s="56" t="s">
        <v>39</v>
      </c>
      <c r="Y2373" s="56" t="s">
        <v>3844</v>
      </c>
      <c r="Z2373" s="56" t="s">
        <v>3843</v>
      </c>
      <c r="AC2373" s="56" t="s">
        <v>3842</v>
      </c>
      <c r="AD2373" s="56" t="s">
        <v>24</v>
      </c>
      <c r="AE2373" s="56" t="s">
        <v>3725</v>
      </c>
      <c r="AF2373" s="56" t="s">
        <v>3841</v>
      </c>
      <c r="AH2373" s="56" t="s">
        <v>3542</v>
      </c>
      <c r="AI2373" s="56" t="s">
        <v>3723</v>
      </c>
    </row>
    <row r="2374" spans="1:35" ht="33" customHeight="1">
      <c r="A2374" s="56" t="s">
        <v>3847</v>
      </c>
      <c r="B2374" s="57">
        <v>44368.074212962965</v>
      </c>
      <c r="C2374" s="56" t="s">
        <v>3803</v>
      </c>
      <c r="D2374" s="56" t="s">
        <v>3802</v>
      </c>
      <c r="E2374" s="56" t="s">
        <v>3846</v>
      </c>
      <c r="F2374" s="56" t="s">
        <v>3845</v>
      </c>
      <c r="G2374" s="58" t="s">
        <v>3551</v>
      </c>
      <c r="H2374" s="56">
        <v>1</v>
      </c>
      <c r="I2374" s="56" t="s">
        <v>3550</v>
      </c>
      <c r="J2374" s="56">
        <v>0</v>
      </c>
      <c r="K2374" s="56">
        <v>0</v>
      </c>
      <c r="P2374" s="56">
        <v>0</v>
      </c>
      <c r="S2374" s="56">
        <v>0</v>
      </c>
      <c r="T2374" s="56" t="s">
        <v>3562</v>
      </c>
      <c r="V2374" s="56" t="s">
        <v>59</v>
      </c>
      <c r="W2374" s="56" t="s">
        <v>3548</v>
      </c>
      <c r="X2374" s="56" t="s">
        <v>39</v>
      </c>
      <c r="Y2374" s="56" t="s">
        <v>3844</v>
      </c>
      <c r="Z2374" s="56" t="s">
        <v>3843</v>
      </c>
      <c r="AC2374" s="56" t="s">
        <v>3842</v>
      </c>
      <c r="AD2374" s="56" t="s">
        <v>24</v>
      </c>
      <c r="AE2374" s="56" t="s">
        <v>3725</v>
      </c>
      <c r="AF2374" s="56" t="s">
        <v>3841</v>
      </c>
      <c r="AH2374" s="56" t="s">
        <v>3542</v>
      </c>
      <c r="AI2374" s="56" t="s">
        <v>3723</v>
      </c>
    </row>
    <row r="2375" spans="1:35" ht="33" customHeight="1">
      <c r="A2375" s="56" t="s">
        <v>3839</v>
      </c>
      <c r="B2375" s="57">
        <v>44368.149814814817</v>
      </c>
      <c r="C2375" s="56" t="s">
        <v>3803</v>
      </c>
      <c r="D2375" s="56" t="s">
        <v>25</v>
      </c>
      <c r="E2375" s="56" t="s">
        <v>3838</v>
      </c>
      <c r="F2375" s="56" t="s">
        <v>3837</v>
      </c>
      <c r="G2375" s="58" t="s">
        <v>3732</v>
      </c>
      <c r="H2375" s="56">
        <v>1</v>
      </c>
      <c r="I2375" s="56" t="s">
        <v>3731</v>
      </c>
      <c r="J2375" s="56">
        <v>867</v>
      </c>
      <c r="K2375" s="56">
        <v>550</v>
      </c>
      <c r="L2375" s="56">
        <v>1216</v>
      </c>
      <c r="M2375" s="56">
        <v>0</v>
      </c>
      <c r="N2375" s="56">
        <v>0</v>
      </c>
      <c r="O2375" s="56">
        <v>100</v>
      </c>
      <c r="P2375" s="56">
        <v>0</v>
      </c>
      <c r="Q2375" s="56">
        <v>1116</v>
      </c>
      <c r="R2375" s="56">
        <v>0</v>
      </c>
      <c r="S2375" s="56">
        <v>0</v>
      </c>
      <c r="T2375" s="56" t="s">
        <v>27</v>
      </c>
      <c r="U2375" s="56">
        <v>1116</v>
      </c>
      <c r="V2375" s="56" t="s">
        <v>3612</v>
      </c>
      <c r="W2375" s="56" t="s">
        <v>3548</v>
      </c>
      <c r="X2375" s="56" t="s">
        <v>3611</v>
      </c>
      <c r="Z2375" s="56" t="s">
        <v>3546</v>
      </c>
      <c r="AA2375" s="56" t="s">
        <v>3836</v>
      </c>
      <c r="AB2375" s="56" t="s">
        <v>3835</v>
      </c>
      <c r="AC2375" s="56" t="s">
        <v>3543</v>
      </c>
      <c r="AH2375" s="56" t="s">
        <v>3542</v>
      </c>
      <c r="AI2375" s="56" t="s">
        <v>3541</v>
      </c>
    </row>
    <row r="2376" spans="1:35" ht="33" customHeight="1">
      <c r="A2376" s="56" t="s">
        <v>3839</v>
      </c>
      <c r="B2376" s="57">
        <v>44368.149814814817</v>
      </c>
      <c r="C2376" s="56" t="s">
        <v>3803</v>
      </c>
      <c r="D2376" s="56" t="s">
        <v>25</v>
      </c>
      <c r="E2376" s="56" t="s">
        <v>3838</v>
      </c>
      <c r="F2376" s="56" t="s">
        <v>3837</v>
      </c>
      <c r="G2376" s="58" t="s">
        <v>1713</v>
      </c>
      <c r="H2376" s="56">
        <v>1</v>
      </c>
      <c r="I2376" s="56" t="s">
        <v>3587</v>
      </c>
      <c r="J2376" s="56">
        <v>149</v>
      </c>
      <c r="K2376" s="56">
        <v>149</v>
      </c>
      <c r="P2376" s="56">
        <v>0</v>
      </c>
      <c r="S2376" s="56">
        <v>0</v>
      </c>
      <c r="T2376" s="56" t="s">
        <v>27</v>
      </c>
      <c r="V2376" s="56" t="s">
        <v>3612</v>
      </c>
      <c r="W2376" s="56" t="s">
        <v>3548</v>
      </c>
      <c r="X2376" s="56" t="s">
        <v>3611</v>
      </c>
      <c r="Z2376" s="56" t="s">
        <v>3546</v>
      </c>
      <c r="AA2376" s="56" t="s">
        <v>3836</v>
      </c>
      <c r="AB2376" s="56" t="s">
        <v>3835</v>
      </c>
      <c r="AC2376" s="56" t="s">
        <v>3543</v>
      </c>
      <c r="AH2376" s="56" t="s">
        <v>3542</v>
      </c>
      <c r="AI2376" s="56" t="s">
        <v>3541</v>
      </c>
    </row>
    <row r="2377" spans="1:35" ht="33" customHeight="1">
      <c r="A2377" s="56" t="s">
        <v>3839</v>
      </c>
      <c r="B2377" s="57">
        <v>44368.149814814817</v>
      </c>
      <c r="C2377" s="56" t="s">
        <v>3803</v>
      </c>
      <c r="D2377" s="56" t="s">
        <v>25</v>
      </c>
      <c r="E2377" s="56" t="s">
        <v>3838</v>
      </c>
      <c r="F2377" s="56" t="s">
        <v>3837</v>
      </c>
      <c r="G2377" s="58" t="s">
        <v>3840</v>
      </c>
      <c r="H2377" s="56">
        <v>1</v>
      </c>
      <c r="I2377" s="56" t="s">
        <v>3602</v>
      </c>
      <c r="J2377" s="56">
        <v>447</v>
      </c>
      <c r="K2377" s="56">
        <v>399</v>
      </c>
      <c r="P2377" s="56">
        <v>0</v>
      </c>
      <c r="S2377" s="56">
        <v>0</v>
      </c>
      <c r="T2377" s="56" t="s">
        <v>27</v>
      </c>
      <c r="V2377" s="56" t="s">
        <v>3612</v>
      </c>
      <c r="W2377" s="56" t="s">
        <v>3548</v>
      </c>
      <c r="X2377" s="56" t="s">
        <v>3611</v>
      </c>
      <c r="Z2377" s="56" t="s">
        <v>3546</v>
      </c>
      <c r="AA2377" s="56" t="s">
        <v>3836</v>
      </c>
      <c r="AB2377" s="56" t="s">
        <v>3835</v>
      </c>
      <c r="AC2377" s="56" t="s">
        <v>3543</v>
      </c>
      <c r="AH2377" s="56" t="s">
        <v>3542</v>
      </c>
      <c r="AI2377" s="56" t="s">
        <v>3541</v>
      </c>
    </row>
    <row r="2378" spans="1:35" ht="33" customHeight="1">
      <c r="A2378" s="56" t="s">
        <v>3839</v>
      </c>
      <c r="B2378" s="57">
        <v>44368.149814814817</v>
      </c>
      <c r="C2378" s="56" t="s">
        <v>3803</v>
      </c>
      <c r="D2378" s="56" t="s">
        <v>25</v>
      </c>
      <c r="E2378" s="56" t="s">
        <v>3838</v>
      </c>
      <c r="F2378" s="56" t="s">
        <v>3837</v>
      </c>
      <c r="G2378" s="58" t="s">
        <v>3217</v>
      </c>
      <c r="H2378" s="56">
        <v>2</v>
      </c>
      <c r="I2378" s="56" t="s">
        <v>3720</v>
      </c>
      <c r="J2378" s="56">
        <v>59</v>
      </c>
      <c r="K2378" s="56">
        <v>59</v>
      </c>
      <c r="P2378" s="56">
        <v>0</v>
      </c>
      <c r="S2378" s="56">
        <v>0</v>
      </c>
      <c r="T2378" s="56" t="s">
        <v>27</v>
      </c>
      <c r="V2378" s="56" t="s">
        <v>3612</v>
      </c>
      <c r="W2378" s="56" t="s">
        <v>3548</v>
      </c>
      <c r="X2378" s="56" t="s">
        <v>3611</v>
      </c>
      <c r="Z2378" s="56" t="s">
        <v>3546</v>
      </c>
      <c r="AA2378" s="56" t="s">
        <v>3836</v>
      </c>
      <c r="AB2378" s="56" t="s">
        <v>3835</v>
      </c>
      <c r="AC2378" s="56" t="s">
        <v>3543</v>
      </c>
      <c r="AH2378" s="56" t="s">
        <v>3542</v>
      </c>
      <c r="AI2378" s="56" t="s">
        <v>3541</v>
      </c>
    </row>
    <row r="2379" spans="1:35" ht="33" customHeight="1">
      <c r="A2379" s="56" t="s">
        <v>3839</v>
      </c>
      <c r="B2379" s="57">
        <v>44368.149814814817</v>
      </c>
      <c r="C2379" s="56" t="s">
        <v>3803</v>
      </c>
      <c r="D2379" s="56" t="s">
        <v>25</v>
      </c>
      <c r="E2379" s="56" t="s">
        <v>3838</v>
      </c>
      <c r="F2379" s="56" t="s">
        <v>3837</v>
      </c>
      <c r="G2379" s="58" t="s">
        <v>3551</v>
      </c>
      <c r="H2379" s="56">
        <v>1</v>
      </c>
      <c r="I2379" s="56" t="s">
        <v>3550</v>
      </c>
      <c r="J2379" s="56">
        <v>0</v>
      </c>
      <c r="K2379" s="56">
        <v>0</v>
      </c>
      <c r="P2379" s="56">
        <v>0</v>
      </c>
      <c r="S2379" s="56">
        <v>0</v>
      </c>
      <c r="T2379" s="56" t="s">
        <v>27</v>
      </c>
      <c r="V2379" s="56" t="s">
        <v>3612</v>
      </c>
      <c r="W2379" s="56" t="s">
        <v>3548</v>
      </c>
      <c r="X2379" s="56" t="s">
        <v>3611</v>
      </c>
      <c r="Z2379" s="56" t="s">
        <v>3546</v>
      </c>
      <c r="AA2379" s="56" t="s">
        <v>3836</v>
      </c>
      <c r="AB2379" s="56" t="s">
        <v>3835</v>
      </c>
      <c r="AC2379" s="56" t="s">
        <v>3543</v>
      </c>
      <c r="AH2379" s="56" t="s">
        <v>3542</v>
      </c>
      <c r="AI2379" s="56" t="s">
        <v>3541</v>
      </c>
    </row>
    <row r="2380" spans="1:35" ht="33" customHeight="1">
      <c r="A2380" s="56" t="s">
        <v>3833</v>
      </c>
      <c r="B2380" s="57">
        <v>44368.185902777775</v>
      </c>
      <c r="C2380" s="56" t="s">
        <v>3803</v>
      </c>
      <c r="D2380" s="56" t="s">
        <v>3802</v>
      </c>
      <c r="E2380" s="56" t="s">
        <v>3832</v>
      </c>
      <c r="F2380" s="56" t="s">
        <v>3831</v>
      </c>
      <c r="G2380" s="58" t="s">
        <v>3196</v>
      </c>
      <c r="H2380" s="56">
        <v>3</v>
      </c>
      <c r="I2380" s="56" t="s">
        <v>2550</v>
      </c>
      <c r="J2380" s="56">
        <v>120</v>
      </c>
      <c r="K2380" s="56">
        <v>120</v>
      </c>
      <c r="L2380" s="56">
        <v>2495</v>
      </c>
      <c r="M2380" s="56">
        <v>0</v>
      </c>
      <c r="N2380" s="56">
        <v>0</v>
      </c>
      <c r="O2380" s="56">
        <v>100</v>
      </c>
      <c r="P2380" s="56">
        <v>0</v>
      </c>
      <c r="Q2380" s="56">
        <v>2395</v>
      </c>
      <c r="R2380" s="56">
        <v>0</v>
      </c>
      <c r="S2380" s="56">
        <v>0</v>
      </c>
      <c r="T2380" s="56" t="s">
        <v>3562</v>
      </c>
      <c r="U2380" s="56">
        <v>2395</v>
      </c>
      <c r="V2380" s="56" t="s">
        <v>3561</v>
      </c>
      <c r="W2380" s="56" t="s">
        <v>3548</v>
      </c>
      <c r="X2380" s="56" t="s">
        <v>39</v>
      </c>
      <c r="Y2380" s="56" t="s">
        <v>3830</v>
      </c>
      <c r="Z2380" s="56" t="s">
        <v>3829</v>
      </c>
      <c r="AC2380" s="56" t="s">
        <v>3623</v>
      </c>
      <c r="AD2380" s="56" t="s">
        <v>24</v>
      </c>
      <c r="AE2380" s="56" t="s">
        <v>3725</v>
      </c>
      <c r="AF2380" s="56" t="s">
        <v>3828</v>
      </c>
      <c r="AG2380" s="56" t="s">
        <v>3827</v>
      </c>
      <c r="AH2380" s="56" t="s">
        <v>3621</v>
      </c>
      <c r="AI2380" s="56" t="s">
        <v>3723</v>
      </c>
    </row>
    <row r="2381" spans="1:35" ht="33" customHeight="1">
      <c r="A2381" s="56" t="s">
        <v>3833</v>
      </c>
      <c r="B2381" s="57">
        <v>44368.185902777775</v>
      </c>
      <c r="C2381" s="56" t="s">
        <v>3803</v>
      </c>
      <c r="D2381" s="56" t="s">
        <v>3802</v>
      </c>
      <c r="E2381" s="56" t="s">
        <v>3832</v>
      </c>
      <c r="F2381" s="56" t="s">
        <v>3831</v>
      </c>
      <c r="G2381" s="58" t="s">
        <v>3681</v>
      </c>
      <c r="H2381" s="56">
        <v>1</v>
      </c>
      <c r="I2381" s="56" t="s">
        <v>3569</v>
      </c>
      <c r="J2381" s="56">
        <v>894</v>
      </c>
      <c r="K2381" s="56">
        <v>750</v>
      </c>
      <c r="P2381" s="56">
        <v>0</v>
      </c>
      <c r="S2381" s="56">
        <v>0</v>
      </c>
      <c r="T2381" s="56" t="s">
        <v>3562</v>
      </c>
      <c r="V2381" s="56" t="s">
        <v>3561</v>
      </c>
      <c r="W2381" s="56" t="s">
        <v>3548</v>
      </c>
      <c r="X2381" s="56" t="s">
        <v>39</v>
      </c>
      <c r="Y2381" s="56" t="s">
        <v>3830</v>
      </c>
      <c r="Z2381" s="56" t="s">
        <v>3829</v>
      </c>
      <c r="AC2381" s="56" t="s">
        <v>3623</v>
      </c>
      <c r="AD2381" s="56" t="s">
        <v>24</v>
      </c>
      <c r="AE2381" s="56" t="s">
        <v>3725</v>
      </c>
      <c r="AF2381" s="56" t="s">
        <v>3828</v>
      </c>
      <c r="AG2381" s="56" t="s">
        <v>3827</v>
      </c>
      <c r="AH2381" s="56" t="s">
        <v>3621</v>
      </c>
      <c r="AI2381" s="56" t="s">
        <v>3723</v>
      </c>
    </row>
    <row r="2382" spans="1:35" ht="33" customHeight="1">
      <c r="A2382" s="56" t="s">
        <v>3833</v>
      </c>
      <c r="B2382" s="57">
        <v>44368.185902777775</v>
      </c>
      <c r="C2382" s="56" t="s">
        <v>3803</v>
      </c>
      <c r="D2382" s="56" t="s">
        <v>3802</v>
      </c>
      <c r="E2382" s="56" t="s">
        <v>3832</v>
      </c>
      <c r="F2382" s="56" t="s">
        <v>3831</v>
      </c>
      <c r="G2382" s="58" t="s">
        <v>3811</v>
      </c>
      <c r="H2382" s="56">
        <v>1</v>
      </c>
      <c r="I2382" s="56" t="s">
        <v>3669</v>
      </c>
      <c r="J2382" s="56">
        <v>897</v>
      </c>
      <c r="K2382" s="56">
        <v>888</v>
      </c>
      <c r="P2382" s="56">
        <v>0</v>
      </c>
      <c r="S2382" s="56">
        <v>0</v>
      </c>
      <c r="T2382" s="56" t="s">
        <v>3562</v>
      </c>
      <c r="V2382" s="56" t="s">
        <v>3561</v>
      </c>
      <c r="W2382" s="56" t="s">
        <v>3548</v>
      </c>
      <c r="X2382" s="56" t="s">
        <v>39</v>
      </c>
      <c r="Y2382" s="56" t="s">
        <v>3830</v>
      </c>
      <c r="Z2382" s="56" t="s">
        <v>3829</v>
      </c>
      <c r="AC2382" s="56" t="s">
        <v>3623</v>
      </c>
      <c r="AD2382" s="56" t="s">
        <v>24</v>
      </c>
      <c r="AE2382" s="56" t="s">
        <v>3725</v>
      </c>
      <c r="AF2382" s="56" t="s">
        <v>3828</v>
      </c>
      <c r="AG2382" s="56" t="s">
        <v>3827</v>
      </c>
      <c r="AH2382" s="56" t="s">
        <v>3621</v>
      </c>
      <c r="AI2382" s="56" t="s">
        <v>3723</v>
      </c>
    </row>
    <row r="2383" spans="1:35" ht="33" customHeight="1">
      <c r="A2383" s="56" t="s">
        <v>3833</v>
      </c>
      <c r="B2383" s="57">
        <v>44368.185902777775</v>
      </c>
      <c r="C2383" s="56" t="s">
        <v>3803</v>
      </c>
      <c r="D2383" s="56" t="s">
        <v>3802</v>
      </c>
      <c r="E2383" s="56" t="s">
        <v>3832</v>
      </c>
      <c r="F2383" s="56" t="s">
        <v>3831</v>
      </c>
      <c r="G2383" s="58" t="s">
        <v>3174</v>
      </c>
      <c r="H2383" s="56">
        <v>1</v>
      </c>
      <c r="I2383" s="56" t="s">
        <v>3791</v>
      </c>
      <c r="J2383" s="56">
        <v>299</v>
      </c>
      <c r="K2383" s="56">
        <v>299</v>
      </c>
      <c r="P2383" s="56">
        <v>0</v>
      </c>
      <c r="S2383" s="56">
        <v>0</v>
      </c>
      <c r="T2383" s="56" t="s">
        <v>3562</v>
      </c>
      <c r="V2383" s="56" t="s">
        <v>3561</v>
      </c>
      <c r="W2383" s="56" t="s">
        <v>3548</v>
      </c>
      <c r="X2383" s="56" t="s">
        <v>39</v>
      </c>
      <c r="Y2383" s="56" t="s">
        <v>3830</v>
      </c>
      <c r="Z2383" s="56" t="s">
        <v>3829</v>
      </c>
      <c r="AC2383" s="56" t="s">
        <v>3623</v>
      </c>
      <c r="AD2383" s="56" t="s">
        <v>24</v>
      </c>
      <c r="AE2383" s="56" t="s">
        <v>3725</v>
      </c>
      <c r="AF2383" s="56" t="s">
        <v>3828</v>
      </c>
      <c r="AG2383" s="56" t="s">
        <v>3827</v>
      </c>
      <c r="AH2383" s="56" t="s">
        <v>3621</v>
      </c>
      <c r="AI2383" s="56" t="s">
        <v>3723</v>
      </c>
    </row>
    <row r="2384" spans="1:35" ht="33" customHeight="1">
      <c r="A2384" s="56" t="s">
        <v>3833</v>
      </c>
      <c r="B2384" s="57">
        <v>44368.185902777775</v>
      </c>
      <c r="C2384" s="56" t="s">
        <v>3803</v>
      </c>
      <c r="D2384" s="56" t="s">
        <v>3802</v>
      </c>
      <c r="E2384" s="56" t="s">
        <v>3832</v>
      </c>
      <c r="F2384" s="56" t="s">
        <v>3831</v>
      </c>
      <c r="G2384" s="58" t="s">
        <v>3199</v>
      </c>
      <c r="H2384" s="56">
        <v>2</v>
      </c>
      <c r="I2384" s="56" t="s">
        <v>3834</v>
      </c>
      <c r="J2384" s="56">
        <v>119</v>
      </c>
      <c r="K2384" s="56">
        <v>99</v>
      </c>
      <c r="P2384" s="56">
        <v>0</v>
      </c>
      <c r="S2384" s="56">
        <v>0</v>
      </c>
      <c r="T2384" s="56" t="s">
        <v>3562</v>
      </c>
      <c r="V2384" s="56" t="s">
        <v>3561</v>
      </c>
      <c r="W2384" s="56" t="s">
        <v>3548</v>
      </c>
      <c r="X2384" s="56" t="s">
        <v>39</v>
      </c>
      <c r="Y2384" s="56" t="s">
        <v>3830</v>
      </c>
      <c r="Z2384" s="56" t="s">
        <v>3829</v>
      </c>
      <c r="AC2384" s="56" t="s">
        <v>3623</v>
      </c>
      <c r="AD2384" s="56" t="s">
        <v>24</v>
      </c>
      <c r="AE2384" s="56" t="s">
        <v>3725</v>
      </c>
      <c r="AF2384" s="56" t="s">
        <v>3828</v>
      </c>
      <c r="AG2384" s="56" t="s">
        <v>3827</v>
      </c>
      <c r="AH2384" s="56" t="s">
        <v>3621</v>
      </c>
      <c r="AI2384" s="56" t="s">
        <v>3723</v>
      </c>
    </row>
    <row r="2385" spans="1:35" ht="33" customHeight="1">
      <c r="A2385" s="56" t="s">
        <v>3833</v>
      </c>
      <c r="B2385" s="57">
        <v>44368.185902777775</v>
      </c>
      <c r="C2385" s="56" t="s">
        <v>3803</v>
      </c>
      <c r="D2385" s="56" t="s">
        <v>3802</v>
      </c>
      <c r="E2385" s="56" t="s">
        <v>3832</v>
      </c>
      <c r="F2385" s="56" t="s">
        <v>3831</v>
      </c>
      <c r="G2385" s="58" t="s">
        <v>3551</v>
      </c>
      <c r="H2385" s="56">
        <v>1</v>
      </c>
      <c r="I2385" s="56" t="s">
        <v>3550</v>
      </c>
      <c r="J2385" s="56">
        <v>0</v>
      </c>
      <c r="K2385" s="56">
        <v>0</v>
      </c>
      <c r="P2385" s="56">
        <v>0</v>
      </c>
      <c r="S2385" s="56">
        <v>0</v>
      </c>
      <c r="T2385" s="56" t="s">
        <v>3562</v>
      </c>
      <c r="V2385" s="56" t="s">
        <v>3561</v>
      </c>
      <c r="W2385" s="56" t="s">
        <v>3548</v>
      </c>
      <c r="X2385" s="56" t="s">
        <v>39</v>
      </c>
      <c r="Y2385" s="56" t="s">
        <v>3830</v>
      </c>
      <c r="Z2385" s="56" t="s">
        <v>3829</v>
      </c>
      <c r="AC2385" s="56" t="s">
        <v>3623</v>
      </c>
      <c r="AD2385" s="56" t="s">
        <v>24</v>
      </c>
      <c r="AE2385" s="56" t="s">
        <v>3725</v>
      </c>
      <c r="AF2385" s="56" t="s">
        <v>3828</v>
      </c>
      <c r="AG2385" s="56" t="s">
        <v>3827</v>
      </c>
      <c r="AH2385" s="56" t="s">
        <v>3621</v>
      </c>
      <c r="AI2385" s="56" t="s">
        <v>3723</v>
      </c>
    </row>
    <row r="2386" spans="1:35" ht="33" customHeight="1">
      <c r="A2386" s="56" t="s">
        <v>3833</v>
      </c>
      <c r="B2386" s="57">
        <v>44368.185902777775</v>
      </c>
      <c r="C2386" s="56" t="s">
        <v>3803</v>
      </c>
      <c r="D2386" s="56" t="s">
        <v>3802</v>
      </c>
      <c r="E2386" s="56" t="s">
        <v>3832</v>
      </c>
      <c r="F2386" s="56" t="s">
        <v>3831</v>
      </c>
      <c r="G2386" s="58" t="s">
        <v>1713</v>
      </c>
      <c r="H2386" s="56">
        <v>1</v>
      </c>
      <c r="I2386" s="56" t="s">
        <v>3568</v>
      </c>
      <c r="J2386" s="56">
        <v>0</v>
      </c>
      <c r="K2386" s="56">
        <v>0</v>
      </c>
      <c r="P2386" s="56">
        <v>0</v>
      </c>
      <c r="S2386" s="56">
        <v>0</v>
      </c>
      <c r="T2386" s="56" t="s">
        <v>3562</v>
      </c>
      <c r="V2386" s="56" t="s">
        <v>3561</v>
      </c>
      <c r="W2386" s="56" t="s">
        <v>3548</v>
      </c>
      <c r="X2386" s="56" t="s">
        <v>39</v>
      </c>
      <c r="Y2386" s="56" t="s">
        <v>3830</v>
      </c>
      <c r="Z2386" s="56" t="s">
        <v>3829</v>
      </c>
      <c r="AC2386" s="56" t="s">
        <v>3623</v>
      </c>
      <c r="AD2386" s="56" t="s">
        <v>24</v>
      </c>
      <c r="AE2386" s="56" t="s">
        <v>3725</v>
      </c>
      <c r="AF2386" s="56" t="s">
        <v>3828</v>
      </c>
      <c r="AG2386" s="56" t="s">
        <v>3827</v>
      </c>
      <c r="AH2386" s="56" t="s">
        <v>3621</v>
      </c>
      <c r="AI2386" s="56" t="s">
        <v>3723</v>
      </c>
    </row>
    <row r="2387" spans="1:35" ht="33" customHeight="1">
      <c r="A2387" s="56" t="s">
        <v>3833</v>
      </c>
      <c r="B2387" s="57">
        <v>44368.185902777775</v>
      </c>
      <c r="C2387" s="56" t="s">
        <v>3803</v>
      </c>
      <c r="D2387" s="56" t="s">
        <v>3802</v>
      </c>
      <c r="E2387" s="56" t="s">
        <v>3832</v>
      </c>
      <c r="F2387" s="56" t="s">
        <v>3831</v>
      </c>
      <c r="G2387" s="58" t="s">
        <v>3564</v>
      </c>
      <c r="H2387" s="56">
        <v>1</v>
      </c>
      <c r="I2387" s="56" t="s">
        <v>3563</v>
      </c>
      <c r="J2387" s="56">
        <v>0</v>
      </c>
      <c r="K2387" s="56">
        <v>0</v>
      </c>
      <c r="P2387" s="56">
        <v>0</v>
      </c>
      <c r="S2387" s="56">
        <v>0</v>
      </c>
      <c r="T2387" s="56" t="s">
        <v>3562</v>
      </c>
      <c r="V2387" s="56" t="s">
        <v>3561</v>
      </c>
      <c r="W2387" s="56" t="s">
        <v>3548</v>
      </c>
      <c r="X2387" s="56" t="s">
        <v>39</v>
      </c>
      <c r="Y2387" s="56" t="s">
        <v>3830</v>
      </c>
      <c r="Z2387" s="56" t="s">
        <v>3829</v>
      </c>
      <c r="AC2387" s="56" t="s">
        <v>3623</v>
      </c>
      <c r="AD2387" s="56" t="s">
        <v>24</v>
      </c>
      <c r="AE2387" s="56" t="s">
        <v>3725</v>
      </c>
      <c r="AF2387" s="56" t="s">
        <v>3828</v>
      </c>
      <c r="AG2387" s="56" t="s">
        <v>3827</v>
      </c>
      <c r="AH2387" s="56" t="s">
        <v>3621</v>
      </c>
      <c r="AI2387" s="56" t="s">
        <v>3723</v>
      </c>
    </row>
    <row r="2388" spans="1:35" ht="33" customHeight="1">
      <c r="A2388" s="56" t="s">
        <v>3826</v>
      </c>
      <c r="B2388" s="57">
        <v>44368.220752314817</v>
      </c>
      <c r="C2388" s="56" t="s">
        <v>3803</v>
      </c>
      <c r="D2388" s="56" t="s">
        <v>25</v>
      </c>
      <c r="E2388" s="56" t="s">
        <v>3825</v>
      </c>
      <c r="F2388" s="56" t="s">
        <v>3824</v>
      </c>
      <c r="G2388" s="58" t="s">
        <v>3299</v>
      </c>
      <c r="H2388" s="56">
        <v>1</v>
      </c>
      <c r="I2388" s="56" t="s">
        <v>3576</v>
      </c>
      <c r="J2388" s="56">
        <v>299</v>
      </c>
      <c r="K2388" s="56">
        <v>299</v>
      </c>
      <c r="L2388" s="56">
        <v>299</v>
      </c>
      <c r="M2388" s="56">
        <v>65</v>
      </c>
      <c r="N2388" s="56">
        <v>0</v>
      </c>
      <c r="O2388" s="56">
        <v>0</v>
      </c>
      <c r="P2388" s="56">
        <v>0</v>
      </c>
      <c r="Q2388" s="56">
        <v>364</v>
      </c>
      <c r="R2388" s="56">
        <v>0</v>
      </c>
      <c r="S2388" s="56">
        <v>0</v>
      </c>
      <c r="T2388" s="56" t="s">
        <v>27</v>
      </c>
      <c r="U2388" s="56">
        <v>364</v>
      </c>
      <c r="V2388" s="56" t="s">
        <v>3612</v>
      </c>
      <c r="W2388" s="56" t="s">
        <v>3548</v>
      </c>
      <c r="X2388" s="56" t="s">
        <v>3611</v>
      </c>
      <c r="Z2388" s="56" t="s">
        <v>3546</v>
      </c>
      <c r="AA2388" s="56" t="s">
        <v>3823</v>
      </c>
      <c r="AB2388" s="56" t="s">
        <v>3822</v>
      </c>
      <c r="AC2388" s="56" t="s">
        <v>3543</v>
      </c>
      <c r="AH2388" s="56" t="s">
        <v>3542</v>
      </c>
      <c r="AI2388" s="56" t="s">
        <v>3541</v>
      </c>
    </row>
    <row r="2389" spans="1:35" ht="33" customHeight="1">
      <c r="A2389" s="56" t="s">
        <v>3826</v>
      </c>
      <c r="B2389" s="57">
        <v>44368.220752314817</v>
      </c>
      <c r="C2389" s="56" t="s">
        <v>3803</v>
      </c>
      <c r="D2389" s="56" t="s">
        <v>25</v>
      </c>
      <c r="E2389" s="56" t="s">
        <v>3825</v>
      </c>
      <c r="F2389" s="56" t="s">
        <v>3824</v>
      </c>
      <c r="G2389" s="58" t="s">
        <v>3551</v>
      </c>
      <c r="H2389" s="56">
        <v>1</v>
      </c>
      <c r="I2389" s="56" t="s">
        <v>3550</v>
      </c>
      <c r="J2389" s="56">
        <v>0</v>
      </c>
      <c r="K2389" s="56">
        <v>0</v>
      </c>
      <c r="P2389" s="56">
        <v>0</v>
      </c>
      <c r="S2389" s="56">
        <v>0</v>
      </c>
      <c r="T2389" s="56" t="s">
        <v>27</v>
      </c>
      <c r="V2389" s="56" t="s">
        <v>3612</v>
      </c>
      <c r="W2389" s="56" t="s">
        <v>3548</v>
      </c>
      <c r="X2389" s="56" t="s">
        <v>3611</v>
      </c>
      <c r="Z2389" s="56" t="s">
        <v>3546</v>
      </c>
      <c r="AA2389" s="56" t="s">
        <v>3823</v>
      </c>
      <c r="AB2389" s="56" t="s">
        <v>3822</v>
      </c>
      <c r="AC2389" s="56" t="s">
        <v>3543</v>
      </c>
      <c r="AH2389" s="56" t="s">
        <v>3542</v>
      </c>
      <c r="AI2389" s="56" t="s">
        <v>3541</v>
      </c>
    </row>
    <row r="2390" spans="1:35" ht="33" customHeight="1">
      <c r="A2390" s="56" t="s">
        <v>3821</v>
      </c>
      <c r="B2390" s="57">
        <v>44368.222372685188</v>
      </c>
      <c r="C2390" s="56" t="s">
        <v>3803</v>
      </c>
      <c r="D2390" s="56" t="s">
        <v>25</v>
      </c>
      <c r="E2390" s="56" t="s">
        <v>3820</v>
      </c>
      <c r="F2390" s="56" t="s">
        <v>3819</v>
      </c>
      <c r="G2390" s="58" t="s">
        <v>3603</v>
      </c>
      <c r="H2390" s="56">
        <v>1</v>
      </c>
      <c r="I2390" s="56" t="s">
        <v>3602</v>
      </c>
      <c r="J2390" s="56">
        <v>447</v>
      </c>
      <c r="K2390" s="56">
        <v>399</v>
      </c>
      <c r="L2390" s="56">
        <v>534</v>
      </c>
      <c r="M2390" s="56">
        <v>65</v>
      </c>
      <c r="N2390" s="56">
        <v>0</v>
      </c>
      <c r="O2390" s="56">
        <v>0</v>
      </c>
      <c r="P2390" s="56">
        <v>0</v>
      </c>
      <c r="Q2390" s="56">
        <v>599</v>
      </c>
      <c r="R2390" s="56">
        <v>0</v>
      </c>
      <c r="S2390" s="56">
        <v>0</v>
      </c>
      <c r="T2390" s="56" t="s">
        <v>27</v>
      </c>
      <c r="U2390" s="56">
        <v>599</v>
      </c>
      <c r="V2390" s="56" t="s">
        <v>3612</v>
      </c>
      <c r="W2390" s="56" t="s">
        <v>3548</v>
      </c>
      <c r="X2390" s="56" t="s">
        <v>3611</v>
      </c>
      <c r="Z2390" s="56" t="s">
        <v>3546</v>
      </c>
      <c r="AA2390" s="56" t="s">
        <v>3818</v>
      </c>
      <c r="AB2390" s="56" t="s">
        <v>3817</v>
      </c>
      <c r="AC2390" s="56" t="s">
        <v>3543</v>
      </c>
      <c r="AH2390" s="56" t="s">
        <v>3542</v>
      </c>
      <c r="AI2390" s="56" t="s">
        <v>3541</v>
      </c>
    </row>
    <row r="2391" spans="1:35" ht="33" customHeight="1">
      <c r="A2391" s="56" t="s">
        <v>3821</v>
      </c>
      <c r="B2391" s="57">
        <v>44368.222372685188</v>
      </c>
      <c r="C2391" s="56" t="s">
        <v>3803</v>
      </c>
      <c r="D2391" s="56" t="s">
        <v>25</v>
      </c>
      <c r="E2391" s="56" t="s">
        <v>3820</v>
      </c>
      <c r="F2391" s="56" t="s">
        <v>3819</v>
      </c>
      <c r="G2391" s="58" t="s">
        <v>1493</v>
      </c>
      <c r="H2391" s="56">
        <v>1</v>
      </c>
      <c r="I2391" s="56" t="s">
        <v>3601</v>
      </c>
      <c r="J2391" s="56">
        <v>135</v>
      </c>
      <c r="K2391" s="56">
        <v>135</v>
      </c>
      <c r="P2391" s="56">
        <v>0</v>
      </c>
      <c r="S2391" s="56">
        <v>0</v>
      </c>
      <c r="T2391" s="56" t="s">
        <v>27</v>
      </c>
      <c r="V2391" s="56" t="s">
        <v>3612</v>
      </c>
      <c r="W2391" s="56" t="s">
        <v>3548</v>
      </c>
      <c r="X2391" s="56" t="s">
        <v>3611</v>
      </c>
      <c r="Z2391" s="56" t="s">
        <v>3546</v>
      </c>
      <c r="AA2391" s="56" t="s">
        <v>3818</v>
      </c>
      <c r="AB2391" s="56" t="s">
        <v>3817</v>
      </c>
      <c r="AC2391" s="56" t="s">
        <v>3543</v>
      </c>
      <c r="AH2391" s="56" t="s">
        <v>3542</v>
      </c>
      <c r="AI2391" s="56" t="s">
        <v>3541</v>
      </c>
    </row>
    <row r="2392" spans="1:35" ht="33" customHeight="1">
      <c r="A2392" s="56" t="s">
        <v>3821</v>
      </c>
      <c r="B2392" s="57">
        <v>44368.222372685188</v>
      </c>
      <c r="C2392" s="56" t="s">
        <v>3803</v>
      </c>
      <c r="D2392" s="56" t="s">
        <v>25</v>
      </c>
      <c r="E2392" s="56" t="s">
        <v>3820</v>
      </c>
      <c r="F2392" s="56" t="s">
        <v>3819</v>
      </c>
      <c r="G2392" s="58" t="s">
        <v>3551</v>
      </c>
      <c r="H2392" s="56">
        <v>1</v>
      </c>
      <c r="I2392" s="56" t="s">
        <v>3550</v>
      </c>
      <c r="J2392" s="56">
        <v>0</v>
      </c>
      <c r="K2392" s="56">
        <v>0</v>
      </c>
      <c r="P2392" s="56">
        <v>0</v>
      </c>
      <c r="S2392" s="56">
        <v>0</v>
      </c>
      <c r="T2392" s="56" t="s">
        <v>27</v>
      </c>
      <c r="V2392" s="56" t="s">
        <v>3612</v>
      </c>
      <c r="W2392" s="56" t="s">
        <v>3548</v>
      </c>
      <c r="X2392" s="56" t="s">
        <v>3611</v>
      </c>
      <c r="Z2392" s="56" t="s">
        <v>3546</v>
      </c>
      <c r="AA2392" s="56" t="s">
        <v>3818</v>
      </c>
      <c r="AB2392" s="56" t="s">
        <v>3817</v>
      </c>
      <c r="AC2392" s="56" t="s">
        <v>3543</v>
      </c>
      <c r="AH2392" s="56" t="s">
        <v>3542</v>
      </c>
      <c r="AI2392" s="56" t="s">
        <v>3541</v>
      </c>
    </row>
    <row r="2393" spans="1:35" ht="33" customHeight="1">
      <c r="A2393" s="56" t="s">
        <v>3816</v>
      </c>
      <c r="B2393" s="57">
        <v>44368.308738425927</v>
      </c>
      <c r="C2393" s="56" t="s">
        <v>3803</v>
      </c>
      <c r="D2393" s="56" t="s">
        <v>25</v>
      </c>
      <c r="E2393" s="56" t="s">
        <v>3815</v>
      </c>
      <c r="F2393" s="56" t="s">
        <v>3814</v>
      </c>
      <c r="G2393" s="58" t="s">
        <v>3593</v>
      </c>
      <c r="H2393" s="56">
        <v>2</v>
      </c>
      <c r="I2393" s="56" t="s">
        <v>3577</v>
      </c>
      <c r="J2393" s="56">
        <v>700</v>
      </c>
      <c r="K2393" s="56">
        <v>599</v>
      </c>
      <c r="L2393" s="56">
        <v>1198</v>
      </c>
      <c r="M2393" s="56">
        <v>0</v>
      </c>
      <c r="N2393" s="56">
        <v>0</v>
      </c>
      <c r="O2393" s="56">
        <v>120</v>
      </c>
      <c r="P2393" s="56">
        <v>0</v>
      </c>
      <c r="Q2393" s="56">
        <v>1078</v>
      </c>
      <c r="R2393" s="56">
        <v>0</v>
      </c>
      <c r="S2393" s="56">
        <v>0</v>
      </c>
      <c r="T2393" s="56" t="s">
        <v>27</v>
      </c>
      <c r="U2393" s="56">
        <v>1078</v>
      </c>
      <c r="V2393" s="56" t="s">
        <v>3549</v>
      </c>
      <c r="W2393" s="56" t="s">
        <v>3548</v>
      </c>
      <c r="X2393" s="56" t="s">
        <v>3547</v>
      </c>
      <c r="Z2393" s="56" t="s">
        <v>3546</v>
      </c>
      <c r="AA2393" s="56" t="s">
        <v>3813</v>
      </c>
      <c r="AB2393" s="56" t="s">
        <v>3812</v>
      </c>
      <c r="AC2393" s="56" t="s">
        <v>3543</v>
      </c>
      <c r="AH2393" s="56" t="s">
        <v>3542</v>
      </c>
      <c r="AI2393" s="56" t="s">
        <v>3541</v>
      </c>
    </row>
    <row r="2394" spans="1:35" ht="33" customHeight="1">
      <c r="A2394" s="56" t="s">
        <v>3816</v>
      </c>
      <c r="B2394" s="57">
        <v>44368.308738425927</v>
      </c>
      <c r="C2394" s="56" t="s">
        <v>3803</v>
      </c>
      <c r="D2394" s="56" t="s">
        <v>25</v>
      </c>
      <c r="E2394" s="56" t="s">
        <v>3815</v>
      </c>
      <c r="F2394" s="56" t="s">
        <v>3814</v>
      </c>
      <c r="G2394" s="58" t="s">
        <v>3551</v>
      </c>
      <c r="H2394" s="56">
        <v>1</v>
      </c>
      <c r="I2394" s="56" t="s">
        <v>3550</v>
      </c>
      <c r="J2394" s="56">
        <v>0</v>
      </c>
      <c r="K2394" s="56">
        <v>0</v>
      </c>
      <c r="P2394" s="56">
        <v>0</v>
      </c>
      <c r="S2394" s="56">
        <v>0</v>
      </c>
      <c r="T2394" s="56" t="s">
        <v>27</v>
      </c>
      <c r="V2394" s="56" t="s">
        <v>3549</v>
      </c>
      <c r="W2394" s="56" t="s">
        <v>3548</v>
      </c>
      <c r="X2394" s="56" t="s">
        <v>3547</v>
      </c>
      <c r="Z2394" s="56" t="s">
        <v>3546</v>
      </c>
      <c r="AA2394" s="56" t="s">
        <v>3813</v>
      </c>
      <c r="AB2394" s="56" t="s">
        <v>3812</v>
      </c>
      <c r="AC2394" s="56" t="s">
        <v>3543</v>
      </c>
      <c r="AH2394" s="56" t="s">
        <v>3542</v>
      </c>
      <c r="AI2394" s="56" t="s">
        <v>3541</v>
      </c>
    </row>
    <row r="2395" spans="1:35" ht="33" customHeight="1">
      <c r="A2395" s="56" t="s">
        <v>3810</v>
      </c>
      <c r="B2395" s="57">
        <v>44368.314432870371</v>
      </c>
      <c r="C2395" s="56" t="s">
        <v>3803</v>
      </c>
      <c r="D2395" s="56" t="s">
        <v>3802</v>
      </c>
      <c r="E2395" s="56" t="s">
        <v>3809</v>
      </c>
      <c r="F2395" s="56" t="s">
        <v>3808</v>
      </c>
      <c r="G2395" s="58" t="s">
        <v>3811</v>
      </c>
      <c r="H2395" s="56">
        <v>1</v>
      </c>
      <c r="I2395" s="56" t="s">
        <v>3669</v>
      </c>
      <c r="J2395" s="56">
        <v>897</v>
      </c>
      <c r="K2395" s="56">
        <v>888</v>
      </c>
      <c r="L2395" s="56">
        <v>1023</v>
      </c>
      <c r="M2395" s="56">
        <v>0</v>
      </c>
      <c r="N2395" s="56">
        <v>0</v>
      </c>
      <c r="O2395" s="56">
        <v>100</v>
      </c>
      <c r="P2395" s="56">
        <v>0</v>
      </c>
      <c r="Q2395" s="56">
        <v>923</v>
      </c>
      <c r="R2395" s="56">
        <v>0</v>
      </c>
      <c r="S2395" s="56">
        <v>0</v>
      </c>
      <c r="T2395" s="56" t="s">
        <v>3562</v>
      </c>
      <c r="U2395" s="56">
        <v>923</v>
      </c>
      <c r="V2395" s="56" t="s">
        <v>3561</v>
      </c>
      <c r="W2395" s="56" t="s">
        <v>3548</v>
      </c>
      <c r="X2395" s="56" t="s">
        <v>39</v>
      </c>
      <c r="Y2395" s="56" t="s">
        <v>3807</v>
      </c>
      <c r="Z2395" s="56" t="s">
        <v>3806</v>
      </c>
      <c r="AC2395" s="56" t="s">
        <v>3543</v>
      </c>
      <c r="AD2395" s="56" t="s">
        <v>24</v>
      </c>
      <c r="AE2395" s="56" t="s">
        <v>3725</v>
      </c>
      <c r="AF2395" s="56" t="s">
        <v>3805</v>
      </c>
      <c r="AH2395" s="56" t="s">
        <v>3542</v>
      </c>
      <c r="AI2395" s="56" t="s">
        <v>3723</v>
      </c>
    </row>
    <row r="2396" spans="1:35" ht="33" customHeight="1">
      <c r="A2396" s="56" t="s">
        <v>3810</v>
      </c>
      <c r="B2396" s="57">
        <v>44368.314432870371</v>
      </c>
      <c r="C2396" s="56" t="s">
        <v>3803</v>
      </c>
      <c r="D2396" s="56" t="s">
        <v>3802</v>
      </c>
      <c r="E2396" s="56" t="s">
        <v>3809</v>
      </c>
      <c r="F2396" s="56" t="s">
        <v>3808</v>
      </c>
      <c r="G2396" s="58" t="s">
        <v>1491</v>
      </c>
      <c r="H2396" s="56">
        <v>1</v>
      </c>
      <c r="I2396" s="56" t="s">
        <v>3771</v>
      </c>
      <c r="J2396" s="56">
        <v>135</v>
      </c>
      <c r="K2396" s="56">
        <v>135</v>
      </c>
      <c r="P2396" s="56">
        <v>0</v>
      </c>
      <c r="S2396" s="56">
        <v>0</v>
      </c>
      <c r="T2396" s="56" t="s">
        <v>3562</v>
      </c>
      <c r="V2396" s="56" t="s">
        <v>3561</v>
      </c>
      <c r="W2396" s="56" t="s">
        <v>3548</v>
      </c>
      <c r="X2396" s="56" t="s">
        <v>39</v>
      </c>
      <c r="Y2396" s="56" t="s">
        <v>3807</v>
      </c>
      <c r="Z2396" s="56" t="s">
        <v>3806</v>
      </c>
      <c r="AC2396" s="56" t="s">
        <v>3543</v>
      </c>
      <c r="AD2396" s="56" t="s">
        <v>24</v>
      </c>
      <c r="AE2396" s="56" t="s">
        <v>3725</v>
      </c>
      <c r="AF2396" s="56" t="s">
        <v>3805</v>
      </c>
      <c r="AH2396" s="56" t="s">
        <v>3542</v>
      </c>
      <c r="AI2396" s="56" t="s">
        <v>3723</v>
      </c>
    </row>
    <row r="2397" spans="1:35" ht="33" customHeight="1">
      <c r="A2397" s="56" t="s">
        <v>3810</v>
      </c>
      <c r="B2397" s="57">
        <v>44368.314432870371</v>
      </c>
      <c r="C2397" s="56" t="s">
        <v>3803</v>
      </c>
      <c r="D2397" s="56" t="s">
        <v>3802</v>
      </c>
      <c r="E2397" s="56" t="s">
        <v>3809</v>
      </c>
      <c r="F2397" s="56" t="s">
        <v>3808</v>
      </c>
      <c r="G2397" s="58" t="s">
        <v>3551</v>
      </c>
      <c r="H2397" s="56">
        <v>1</v>
      </c>
      <c r="I2397" s="56" t="s">
        <v>3550</v>
      </c>
      <c r="J2397" s="56">
        <v>0</v>
      </c>
      <c r="K2397" s="56">
        <v>0</v>
      </c>
      <c r="P2397" s="56">
        <v>0</v>
      </c>
      <c r="S2397" s="56">
        <v>0</v>
      </c>
      <c r="T2397" s="56" t="s">
        <v>3562</v>
      </c>
      <c r="V2397" s="56" t="s">
        <v>3561</v>
      </c>
      <c r="W2397" s="56" t="s">
        <v>3548</v>
      </c>
      <c r="X2397" s="56" t="s">
        <v>39</v>
      </c>
      <c r="Y2397" s="56" t="s">
        <v>3807</v>
      </c>
      <c r="Z2397" s="56" t="s">
        <v>3806</v>
      </c>
      <c r="AC2397" s="56" t="s">
        <v>3543</v>
      </c>
      <c r="AD2397" s="56" t="s">
        <v>24</v>
      </c>
      <c r="AE2397" s="56" t="s">
        <v>3725</v>
      </c>
      <c r="AF2397" s="56" t="s">
        <v>3805</v>
      </c>
      <c r="AH2397" s="56" t="s">
        <v>3542</v>
      </c>
      <c r="AI2397" s="56" t="s">
        <v>3723</v>
      </c>
    </row>
    <row r="2398" spans="1:35" ht="33" customHeight="1">
      <c r="A2398" s="56" t="s">
        <v>3804</v>
      </c>
      <c r="B2398" s="57">
        <v>44368.329421296294</v>
      </c>
      <c r="C2398" s="56" t="s">
        <v>3803</v>
      </c>
      <c r="D2398" s="56" t="s">
        <v>3802</v>
      </c>
      <c r="E2398" s="56" t="s">
        <v>3801</v>
      </c>
      <c r="F2398" s="56" t="s">
        <v>3800</v>
      </c>
      <c r="G2398" s="58" t="s">
        <v>3196</v>
      </c>
      <c r="H2398" s="56">
        <v>5</v>
      </c>
      <c r="I2398" s="56" t="s">
        <v>2550</v>
      </c>
      <c r="J2398" s="56">
        <v>120</v>
      </c>
      <c r="K2398" s="56">
        <v>120</v>
      </c>
      <c r="L2398" s="56">
        <v>600</v>
      </c>
      <c r="M2398" s="56">
        <v>60</v>
      </c>
      <c r="N2398" s="56">
        <v>0</v>
      </c>
      <c r="O2398" s="56">
        <v>0</v>
      </c>
      <c r="P2398" s="56">
        <v>0</v>
      </c>
      <c r="Q2398" s="56">
        <v>660</v>
      </c>
      <c r="R2398" s="56">
        <v>0</v>
      </c>
      <c r="S2398" s="56">
        <v>0</v>
      </c>
      <c r="T2398" s="56" t="s">
        <v>3562</v>
      </c>
      <c r="U2398" s="56">
        <v>660</v>
      </c>
      <c r="V2398" s="56" t="s">
        <v>3561</v>
      </c>
      <c r="W2398" s="56" t="s">
        <v>3548</v>
      </c>
      <c r="X2398" s="56" t="s">
        <v>39</v>
      </c>
      <c r="Y2398" s="56" t="s">
        <v>3560</v>
      </c>
      <c r="Z2398" s="56" t="s">
        <v>3799</v>
      </c>
      <c r="AC2398" s="56" t="s">
        <v>3543</v>
      </c>
      <c r="AD2398" s="56" t="s">
        <v>24</v>
      </c>
      <c r="AE2398" s="56" t="s">
        <v>3725</v>
      </c>
      <c r="AF2398" s="56" t="s">
        <v>3798</v>
      </c>
      <c r="AH2398" s="56" t="s">
        <v>3542</v>
      </c>
      <c r="AI2398" s="56" t="s">
        <v>3723</v>
      </c>
    </row>
    <row r="2399" spans="1:35" ht="33" customHeight="1">
      <c r="A2399" s="56" t="s">
        <v>3804</v>
      </c>
      <c r="B2399" s="57">
        <v>44368.329421296294</v>
      </c>
      <c r="C2399" s="56" t="s">
        <v>3803</v>
      </c>
      <c r="D2399" s="56" t="s">
        <v>3802</v>
      </c>
      <c r="E2399" s="56" t="s">
        <v>3801</v>
      </c>
      <c r="F2399" s="56" t="s">
        <v>3800</v>
      </c>
      <c r="G2399" s="58" t="s">
        <v>3551</v>
      </c>
      <c r="H2399" s="56">
        <v>1</v>
      </c>
      <c r="I2399" s="56" t="s">
        <v>3550</v>
      </c>
      <c r="J2399" s="56">
        <v>0</v>
      </c>
      <c r="K2399" s="56">
        <v>0</v>
      </c>
      <c r="P2399" s="56">
        <v>0</v>
      </c>
      <c r="S2399" s="56">
        <v>0</v>
      </c>
      <c r="T2399" s="56" t="s">
        <v>3562</v>
      </c>
      <c r="V2399" s="56" t="s">
        <v>3561</v>
      </c>
      <c r="W2399" s="56" t="s">
        <v>3548</v>
      </c>
      <c r="X2399" s="56" t="s">
        <v>39</v>
      </c>
      <c r="Y2399" s="56" t="s">
        <v>3560</v>
      </c>
      <c r="Z2399" s="56" t="s">
        <v>3799</v>
      </c>
      <c r="AC2399" s="56" t="s">
        <v>3543</v>
      </c>
      <c r="AD2399" s="56" t="s">
        <v>24</v>
      </c>
      <c r="AE2399" s="56" t="s">
        <v>3725</v>
      </c>
      <c r="AF2399" s="56" t="s">
        <v>3798</v>
      </c>
      <c r="AH2399" s="56" t="s">
        <v>3542</v>
      </c>
      <c r="AI2399" s="56" t="s">
        <v>3723</v>
      </c>
    </row>
    <row r="2400" spans="1:35" ht="33" customHeight="1">
      <c r="A2400" s="56" t="s">
        <v>3796</v>
      </c>
      <c r="B2400" s="57">
        <v>44368.382245370369</v>
      </c>
      <c r="C2400" s="56" t="s">
        <v>3554</v>
      </c>
      <c r="D2400" s="56" t="s">
        <v>25</v>
      </c>
      <c r="E2400" s="56" t="s">
        <v>3795</v>
      </c>
      <c r="F2400" s="56" t="s">
        <v>3794</v>
      </c>
      <c r="G2400" s="58" t="s">
        <v>2156</v>
      </c>
      <c r="H2400" s="56">
        <v>1</v>
      </c>
      <c r="I2400" s="56" t="s">
        <v>1376</v>
      </c>
      <c r="J2400" s="56">
        <v>149</v>
      </c>
      <c r="K2400" s="56">
        <v>149</v>
      </c>
      <c r="L2400" s="56">
        <v>1641</v>
      </c>
      <c r="M2400" s="56">
        <v>0</v>
      </c>
      <c r="N2400" s="56">
        <v>0</v>
      </c>
      <c r="O2400" s="56">
        <v>100</v>
      </c>
      <c r="P2400" s="56">
        <v>0</v>
      </c>
      <c r="Q2400" s="56">
        <v>1541</v>
      </c>
      <c r="R2400" s="56">
        <v>0</v>
      </c>
      <c r="S2400" s="56">
        <v>0</v>
      </c>
      <c r="T2400" s="56" t="s">
        <v>27</v>
      </c>
      <c r="U2400" s="56">
        <v>1541</v>
      </c>
      <c r="V2400" s="56" t="s">
        <v>3549</v>
      </c>
      <c r="W2400" s="56" t="s">
        <v>3548</v>
      </c>
      <c r="X2400" s="56" t="s">
        <v>3547</v>
      </c>
      <c r="Z2400" s="56" t="s">
        <v>3546</v>
      </c>
      <c r="AA2400" s="56" t="s">
        <v>3793</v>
      </c>
      <c r="AB2400" s="56" t="s">
        <v>3792</v>
      </c>
      <c r="AC2400" s="56" t="s">
        <v>3543</v>
      </c>
      <c r="AH2400" s="56" t="s">
        <v>3542</v>
      </c>
      <c r="AI2400" s="56" t="s">
        <v>3541</v>
      </c>
    </row>
    <row r="2401" spans="1:35" ht="33" customHeight="1">
      <c r="A2401" s="56" t="s">
        <v>3796</v>
      </c>
      <c r="B2401" s="57">
        <v>44368.382245370369</v>
      </c>
      <c r="C2401" s="56" t="s">
        <v>3554</v>
      </c>
      <c r="D2401" s="56" t="s">
        <v>25</v>
      </c>
      <c r="E2401" s="56" t="s">
        <v>3795</v>
      </c>
      <c r="F2401" s="56" t="s">
        <v>3794</v>
      </c>
      <c r="G2401" s="58" t="s">
        <v>3299</v>
      </c>
      <c r="H2401" s="56">
        <v>1</v>
      </c>
      <c r="I2401" s="56" t="s">
        <v>3576</v>
      </c>
      <c r="J2401" s="56">
        <v>260</v>
      </c>
      <c r="K2401" s="56">
        <v>260</v>
      </c>
      <c r="P2401" s="56">
        <v>0</v>
      </c>
      <c r="S2401" s="56">
        <v>0</v>
      </c>
      <c r="T2401" s="56" t="s">
        <v>27</v>
      </c>
      <c r="V2401" s="56" t="s">
        <v>3549</v>
      </c>
      <c r="W2401" s="56" t="s">
        <v>3548</v>
      </c>
      <c r="X2401" s="56" t="s">
        <v>3547</v>
      </c>
      <c r="Z2401" s="56" t="s">
        <v>3546</v>
      </c>
      <c r="AA2401" s="56" t="s">
        <v>3793</v>
      </c>
      <c r="AB2401" s="56" t="s">
        <v>3792</v>
      </c>
      <c r="AC2401" s="56" t="s">
        <v>3543</v>
      </c>
      <c r="AH2401" s="56" t="s">
        <v>3542</v>
      </c>
      <c r="AI2401" s="56" t="s">
        <v>3541</v>
      </c>
    </row>
    <row r="2402" spans="1:35" ht="33" customHeight="1">
      <c r="A2402" s="56" t="s">
        <v>3796</v>
      </c>
      <c r="B2402" s="57">
        <v>44368.382245370369</v>
      </c>
      <c r="C2402" s="56" t="s">
        <v>3554</v>
      </c>
      <c r="D2402" s="56" t="s">
        <v>25</v>
      </c>
      <c r="E2402" s="56" t="s">
        <v>3795</v>
      </c>
      <c r="F2402" s="56" t="s">
        <v>3794</v>
      </c>
      <c r="G2402" s="58" t="s">
        <v>1531</v>
      </c>
      <c r="H2402" s="56">
        <v>1</v>
      </c>
      <c r="I2402" s="56" t="s">
        <v>3696</v>
      </c>
      <c r="J2402" s="56">
        <v>299</v>
      </c>
      <c r="K2402" s="56">
        <v>299</v>
      </c>
      <c r="P2402" s="56">
        <v>0</v>
      </c>
      <c r="S2402" s="56">
        <v>0</v>
      </c>
      <c r="T2402" s="56" t="s">
        <v>27</v>
      </c>
      <c r="V2402" s="56" t="s">
        <v>3549</v>
      </c>
      <c r="W2402" s="56" t="s">
        <v>3548</v>
      </c>
      <c r="X2402" s="56" t="s">
        <v>3547</v>
      </c>
      <c r="Z2402" s="56" t="s">
        <v>3546</v>
      </c>
      <c r="AA2402" s="56" t="s">
        <v>3793</v>
      </c>
      <c r="AB2402" s="56" t="s">
        <v>3792</v>
      </c>
      <c r="AC2402" s="56" t="s">
        <v>3543</v>
      </c>
      <c r="AH2402" s="56" t="s">
        <v>3542</v>
      </c>
      <c r="AI2402" s="56" t="s">
        <v>3541</v>
      </c>
    </row>
    <row r="2403" spans="1:35" ht="33" customHeight="1">
      <c r="A2403" s="56" t="s">
        <v>3796</v>
      </c>
      <c r="B2403" s="57">
        <v>44368.382245370369</v>
      </c>
      <c r="C2403" s="56" t="s">
        <v>3554</v>
      </c>
      <c r="D2403" s="56" t="s">
        <v>25</v>
      </c>
      <c r="E2403" s="56" t="s">
        <v>3795</v>
      </c>
      <c r="F2403" s="56" t="s">
        <v>3794</v>
      </c>
      <c r="G2403" s="58" t="s">
        <v>1514</v>
      </c>
      <c r="H2403" s="56">
        <v>1</v>
      </c>
      <c r="I2403" s="56" t="s">
        <v>3797</v>
      </c>
      <c r="J2403" s="56">
        <v>165</v>
      </c>
      <c r="K2403" s="56">
        <v>165</v>
      </c>
      <c r="P2403" s="56">
        <v>0</v>
      </c>
      <c r="S2403" s="56">
        <v>0</v>
      </c>
      <c r="T2403" s="56" t="s">
        <v>27</v>
      </c>
      <c r="V2403" s="56" t="s">
        <v>3549</v>
      </c>
      <c r="W2403" s="56" t="s">
        <v>3548</v>
      </c>
      <c r="X2403" s="56" t="s">
        <v>3547</v>
      </c>
      <c r="Z2403" s="56" t="s">
        <v>3546</v>
      </c>
      <c r="AA2403" s="56" t="s">
        <v>3793</v>
      </c>
      <c r="AB2403" s="56" t="s">
        <v>3792</v>
      </c>
      <c r="AC2403" s="56" t="s">
        <v>3543</v>
      </c>
      <c r="AH2403" s="56" t="s">
        <v>3542</v>
      </c>
      <c r="AI2403" s="56" t="s">
        <v>3541</v>
      </c>
    </row>
    <row r="2404" spans="1:35" ht="33" customHeight="1">
      <c r="A2404" s="56" t="s">
        <v>3796</v>
      </c>
      <c r="B2404" s="57">
        <v>44368.382245370369</v>
      </c>
      <c r="C2404" s="56" t="s">
        <v>3554</v>
      </c>
      <c r="D2404" s="56" t="s">
        <v>25</v>
      </c>
      <c r="E2404" s="56" t="s">
        <v>3795</v>
      </c>
      <c r="F2404" s="56" t="s">
        <v>3794</v>
      </c>
      <c r="G2404" s="58" t="s">
        <v>3174</v>
      </c>
      <c r="H2404" s="56">
        <v>1</v>
      </c>
      <c r="I2404" s="56" t="s">
        <v>3791</v>
      </c>
      <c r="J2404" s="56">
        <v>299</v>
      </c>
      <c r="K2404" s="56">
        <v>299</v>
      </c>
      <c r="P2404" s="56">
        <v>0</v>
      </c>
      <c r="S2404" s="56">
        <v>0</v>
      </c>
      <c r="T2404" s="56" t="s">
        <v>27</v>
      </c>
      <c r="V2404" s="56" t="s">
        <v>3549</v>
      </c>
      <c r="W2404" s="56" t="s">
        <v>3548</v>
      </c>
      <c r="X2404" s="56" t="s">
        <v>3547</v>
      </c>
      <c r="Z2404" s="56" t="s">
        <v>3546</v>
      </c>
      <c r="AA2404" s="56" t="s">
        <v>3793</v>
      </c>
      <c r="AB2404" s="56" t="s">
        <v>3792</v>
      </c>
      <c r="AC2404" s="56" t="s">
        <v>3543</v>
      </c>
      <c r="AH2404" s="56" t="s">
        <v>3542</v>
      </c>
      <c r="AI2404" s="56" t="s">
        <v>3541</v>
      </c>
    </row>
    <row r="2405" spans="1:35" ht="33" customHeight="1">
      <c r="A2405" s="56" t="s">
        <v>3796</v>
      </c>
      <c r="B2405" s="57">
        <v>44368.382245370369</v>
      </c>
      <c r="C2405" s="56" t="s">
        <v>3554</v>
      </c>
      <c r="D2405" s="56" t="s">
        <v>25</v>
      </c>
      <c r="E2405" s="56" t="s">
        <v>3795</v>
      </c>
      <c r="F2405" s="56" t="s">
        <v>3794</v>
      </c>
      <c r="G2405" s="58" t="s">
        <v>3580</v>
      </c>
      <c r="H2405" s="56">
        <v>1</v>
      </c>
      <c r="I2405" s="56" t="s">
        <v>3579</v>
      </c>
      <c r="J2405" s="56">
        <v>336</v>
      </c>
      <c r="K2405" s="56">
        <v>320</v>
      </c>
      <c r="P2405" s="56">
        <v>0</v>
      </c>
      <c r="S2405" s="56">
        <v>0</v>
      </c>
      <c r="T2405" s="56" t="s">
        <v>27</v>
      </c>
      <c r="V2405" s="56" t="s">
        <v>3549</v>
      </c>
      <c r="W2405" s="56" t="s">
        <v>3548</v>
      </c>
      <c r="X2405" s="56" t="s">
        <v>3547</v>
      </c>
      <c r="Z2405" s="56" t="s">
        <v>3546</v>
      </c>
      <c r="AA2405" s="56" t="s">
        <v>3793</v>
      </c>
      <c r="AB2405" s="56" t="s">
        <v>3792</v>
      </c>
      <c r="AC2405" s="56" t="s">
        <v>3543</v>
      </c>
      <c r="AH2405" s="56" t="s">
        <v>3542</v>
      </c>
      <c r="AI2405" s="56" t="s">
        <v>3541</v>
      </c>
    </row>
    <row r="2406" spans="1:35" ht="33" customHeight="1">
      <c r="A2406" s="56" t="s">
        <v>3796</v>
      </c>
      <c r="B2406" s="57">
        <v>44368.382245370369</v>
      </c>
      <c r="C2406" s="56" t="s">
        <v>3554</v>
      </c>
      <c r="D2406" s="56" t="s">
        <v>25</v>
      </c>
      <c r="E2406" s="56" t="s">
        <v>3795</v>
      </c>
      <c r="F2406" s="56" t="s">
        <v>3794</v>
      </c>
      <c r="G2406" s="58" t="s">
        <v>1713</v>
      </c>
      <c r="H2406" s="56">
        <v>1</v>
      </c>
      <c r="I2406" s="56" t="s">
        <v>3587</v>
      </c>
      <c r="J2406" s="56">
        <v>149</v>
      </c>
      <c r="K2406" s="56">
        <v>149</v>
      </c>
      <c r="P2406" s="56">
        <v>0</v>
      </c>
      <c r="S2406" s="56">
        <v>0</v>
      </c>
      <c r="T2406" s="56" t="s">
        <v>27</v>
      </c>
      <c r="V2406" s="56" t="s">
        <v>3549</v>
      </c>
      <c r="W2406" s="56" t="s">
        <v>3548</v>
      </c>
      <c r="X2406" s="56" t="s">
        <v>3547</v>
      </c>
      <c r="Z2406" s="56" t="s">
        <v>3546</v>
      </c>
      <c r="AA2406" s="56" t="s">
        <v>3793</v>
      </c>
      <c r="AB2406" s="56" t="s">
        <v>3792</v>
      </c>
      <c r="AC2406" s="56" t="s">
        <v>3543</v>
      </c>
      <c r="AH2406" s="56" t="s">
        <v>3542</v>
      </c>
      <c r="AI2406" s="56" t="s">
        <v>3541</v>
      </c>
    </row>
    <row r="2407" spans="1:35" ht="33" customHeight="1">
      <c r="A2407" s="56" t="s">
        <v>3796</v>
      </c>
      <c r="B2407" s="57">
        <v>44368.382245370369</v>
      </c>
      <c r="C2407" s="56" t="s">
        <v>3554</v>
      </c>
      <c r="D2407" s="56" t="s">
        <v>25</v>
      </c>
      <c r="E2407" s="56" t="s">
        <v>3795</v>
      </c>
      <c r="F2407" s="56" t="s">
        <v>3794</v>
      </c>
      <c r="G2407" s="58" t="s">
        <v>3551</v>
      </c>
      <c r="H2407" s="56">
        <v>1</v>
      </c>
      <c r="I2407" s="56" t="s">
        <v>3550</v>
      </c>
      <c r="J2407" s="56">
        <v>0</v>
      </c>
      <c r="K2407" s="56">
        <v>0</v>
      </c>
      <c r="P2407" s="56">
        <v>0</v>
      </c>
      <c r="S2407" s="56">
        <v>0</v>
      </c>
      <c r="T2407" s="56" t="s">
        <v>27</v>
      </c>
      <c r="V2407" s="56" t="s">
        <v>3549</v>
      </c>
      <c r="W2407" s="56" t="s">
        <v>3548</v>
      </c>
      <c r="X2407" s="56" t="s">
        <v>3547</v>
      </c>
      <c r="Z2407" s="56" t="s">
        <v>3546</v>
      </c>
      <c r="AA2407" s="56" t="s">
        <v>3793</v>
      </c>
      <c r="AB2407" s="56" t="s">
        <v>3792</v>
      </c>
      <c r="AC2407" s="56" t="s">
        <v>3543</v>
      </c>
      <c r="AH2407" s="56" t="s">
        <v>3542</v>
      </c>
      <c r="AI2407" s="56" t="s">
        <v>3541</v>
      </c>
    </row>
    <row r="2408" spans="1:35" ht="33" customHeight="1">
      <c r="A2408" s="56" t="s">
        <v>3796</v>
      </c>
      <c r="B2408" s="57">
        <v>44368.382245370369</v>
      </c>
      <c r="C2408" s="56" t="s">
        <v>3554</v>
      </c>
      <c r="D2408" s="56" t="s">
        <v>25</v>
      </c>
      <c r="E2408" s="56" t="s">
        <v>3795</v>
      </c>
      <c r="F2408" s="56" t="s">
        <v>3794</v>
      </c>
      <c r="G2408" s="58" t="s">
        <v>1713</v>
      </c>
      <c r="H2408" s="56">
        <v>1</v>
      </c>
      <c r="I2408" s="56" t="s">
        <v>3568</v>
      </c>
      <c r="J2408" s="56">
        <v>0</v>
      </c>
      <c r="K2408" s="56">
        <v>0</v>
      </c>
      <c r="P2408" s="56">
        <v>0</v>
      </c>
      <c r="S2408" s="56">
        <v>0</v>
      </c>
      <c r="T2408" s="56" t="s">
        <v>27</v>
      </c>
      <c r="V2408" s="56" t="s">
        <v>3549</v>
      </c>
      <c r="W2408" s="56" t="s">
        <v>3548</v>
      </c>
      <c r="X2408" s="56" t="s">
        <v>3547</v>
      </c>
      <c r="Z2408" s="56" t="s">
        <v>3546</v>
      </c>
      <c r="AA2408" s="56" t="s">
        <v>3793</v>
      </c>
      <c r="AB2408" s="56" t="s">
        <v>3792</v>
      </c>
      <c r="AC2408" s="56" t="s">
        <v>3543</v>
      </c>
      <c r="AH2408" s="56" t="s">
        <v>3542</v>
      </c>
      <c r="AI2408" s="56" t="s">
        <v>3541</v>
      </c>
    </row>
    <row r="2409" spans="1:35" ht="33" customHeight="1">
      <c r="A2409" s="56" t="s">
        <v>3790</v>
      </c>
      <c r="B2409" s="57">
        <v>44368.389155092591</v>
      </c>
      <c r="C2409" s="56" t="s">
        <v>3554</v>
      </c>
      <c r="D2409" s="56" t="s">
        <v>25</v>
      </c>
      <c r="E2409" s="56" t="s">
        <v>3789</v>
      </c>
      <c r="F2409" s="56" t="s">
        <v>3788</v>
      </c>
      <c r="G2409" s="58" t="s">
        <v>3174</v>
      </c>
      <c r="H2409" s="56">
        <v>1</v>
      </c>
      <c r="I2409" s="56" t="s">
        <v>3791</v>
      </c>
      <c r="J2409" s="56">
        <v>299</v>
      </c>
      <c r="K2409" s="56">
        <v>299</v>
      </c>
      <c r="L2409" s="56">
        <v>417</v>
      </c>
      <c r="M2409" s="56">
        <v>60</v>
      </c>
      <c r="N2409" s="56">
        <v>0</v>
      </c>
      <c r="O2409" s="56">
        <v>0</v>
      </c>
      <c r="P2409" s="56">
        <v>0</v>
      </c>
      <c r="Q2409" s="56">
        <v>477</v>
      </c>
      <c r="R2409" s="56">
        <v>0</v>
      </c>
      <c r="S2409" s="56">
        <v>0</v>
      </c>
      <c r="T2409" s="56" t="s">
        <v>3562</v>
      </c>
      <c r="U2409" s="56">
        <v>477</v>
      </c>
      <c r="V2409" s="56" t="s">
        <v>3561</v>
      </c>
      <c r="W2409" s="56" t="s">
        <v>3548</v>
      </c>
      <c r="X2409" s="56" t="s">
        <v>39</v>
      </c>
      <c r="Y2409" s="56" t="s">
        <v>3787</v>
      </c>
      <c r="Z2409" s="56" t="s">
        <v>3786</v>
      </c>
      <c r="AC2409" s="56" t="s">
        <v>3543</v>
      </c>
      <c r="AD2409" s="56" t="s">
        <v>24</v>
      </c>
      <c r="AE2409" s="56" t="s">
        <v>3725</v>
      </c>
      <c r="AF2409" s="56" t="s">
        <v>3785</v>
      </c>
      <c r="AH2409" s="56" t="s">
        <v>3542</v>
      </c>
      <c r="AI2409" s="56" t="s">
        <v>3723</v>
      </c>
    </row>
    <row r="2410" spans="1:35" ht="33" customHeight="1">
      <c r="A2410" s="56" t="s">
        <v>3790</v>
      </c>
      <c r="B2410" s="57">
        <v>44368.389155092591</v>
      </c>
      <c r="C2410" s="56" t="s">
        <v>3554</v>
      </c>
      <c r="D2410" s="56" t="s">
        <v>25</v>
      </c>
      <c r="E2410" s="56" t="s">
        <v>3789</v>
      </c>
      <c r="F2410" s="56" t="s">
        <v>3788</v>
      </c>
      <c r="G2410" s="58" t="s">
        <v>3222</v>
      </c>
      <c r="H2410" s="56">
        <v>1</v>
      </c>
      <c r="I2410" s="56" t="s">
        <v>3712</v>
      </c>
      <c r="J2410" s="56">
        <v>59</v>
      </c>
      <c r="K2410" s="56">
        <v>59</v>
      </c>
      <c r="P2410" s="56">
        <v>0</v>
      </c>
      <c r="S2410" s="56">
        <v>0</v>
      </c>
      <c r="T2410" s="56" t="s">
        <v>3562</v>
      </c>
      <c r="V2410" s="56" t="s">
        <v>3561</v>
      </c>
      <c r="W2410" s="56" t="s">
        <v>3548</v>
      </c>
      <c r="X2410" s="56" t="s">
        <v>39</v>
      </c>
      <c r="Y2410" s="56" t="s">
        <v>3787</v>
      </c>
      <c r="Z2410" s="56" t="s">
        <v>3786</v>
      </c>
      <c r="AC2410" s="56" t="s">
        <v>3543</v>
      </c>
      <c r="AD2410" s="56" t="s">
        <v>24</v>
      </c>
      <c r="AE2410" s="56" t="s">
        <v>3725</v>
      </c>
      <c r="AF2410" s="56" t="s">
        <v>3785</v>
      </c>
      <c r="AH2410" s="56" t="s">
        <v>3542</v>
      </c>
      <c r="AI2410" s="56" t="s">
        <v>3723</v>
      </c>
    </row>
    <row r="2411" spans="1:35" ht="33" customHeight="1">
      <c r="A2411" s="56" t="s">
        <v>3790</v>
      </c>
      <c r="B2411" s="57">
        <v>44368.389155092591</v>
      </c>
      <c r="C2411" s="56" t="s">
        <v>3554</v>
      </c>
      <c r="D2411" s="56" t="s">
        <v>25</v>
      </c>
      <c r="E2411" s="56" t="s">
        <v>3789</v>
      </c>
      <c r="F2411" s="56" t="s">
        <v>3788</v>
      </c>
      <c r="G2411" s="58" t="s">
        <v>3217</v>
      </c>
      <c r="H2411" s="56">
        <v>1</v>
      </c>
      <c r="I2411" s="56" t="s">
        <v>3720</v>
      </c>
      <c r="J2411" s="56">
        <v>59</v>
      </c>
      <c r="K2411" s="56">
        <v>59</v>
      </c>
      <c r="P2411" s="56">
        <v>0</v>
      </c>
      <c r="S2411" s="56">
        <v>0</v>
      </c>
      <c r="T2411" s="56" t="s">
        <v>3562</v>
      </c>
      <c r="V2411" s="56" t="s">
        <v>3561</v>
      </c>
      <c r="W2411" s="56" t="s">
        <v>3548</v>
      </c>
      <c r="X2411" s="56" t="s">
        <v>39</v>
      </c>
      <c r="Y2411" s="56" t="s">
        <v>3787</v>
      </c>
      <c r="Z2411" s="56" t="s">
        <v>3786</v>
      </c>
      <c r="AC2411" s="56" t="s">
        <v>3543</v>
      </c>
      <c r="AD2411" s="56" t="s">
        <v>24</v>
      </c>
      <c r="AE2411" s="56" t="s">
        <v>3725</v>
      </c>
      <c r="AF2411" s="56" t="s">
        <v>3785</v>
      </c>
      <c r="AH2411" s="56" t="s">
        <v>3542</v>
      </c>
      <c r="AI2411" s="56" t="s">
        <v>3723</v>
      </c>
    </row>
    <row r="2412" spans="1:35" ht="33" customHeight="1">
      <c r="A2412" s="56" t="s">
        <v>3790</v>
      </c>
      <c r="B2412" s="57">
        <v>44368.389155092591</v>
      </c>
      <c r="C2412" s="56" t="s">
        <v>3554</v>
      </c>
      <c r="D2412" s="56" t="s">
        <v>25</v>
      </c>
      <c r="E2412" s="56" t="s">
        <v>3789</v>
      </c>
      <c r="F2412" s="56" t="s">
        <v>3788</v>
      </c>
      <c r="G2412" s="58" t="s">
        <v>3551</v>
      </c>
      <c r="H2412" s="56">
        <v>1</v>
      </c>
      <c r="I2412" s="56" t="s">
        <v>3550</v>
      </c>
      <c r="J2412" s="56">
        <v>0</v>
      </c>
      <c r="K2412" s="56">
        <v>0</v>
      </c>
      <c r="P2412" s="56">
        <v>0</v>
      </c>
      <c r="S2412" s="56">
        <v>0</v>
      </c>
      <c r="T2412" s="56" t="s">
        <v>3562</v>
      </c>
      <c r="V2412" s="56" t="s">
        <v>3561</v>
      </c>
      <c r="W2412" s="56" t="s">
        <v>3548</v>
      </c>
      <c r="X2412" s="56" t="s">
        <v>39</v>
      </c>
      <c r="Y2412" s="56" t="s">
        <v>3787</v>
      </c>
      <c r="Z2412" s="56" t="s">
        <v>3786</v>
      </c>
      <c r="AC2412" s="56" t="s">
        <v>3543</v>
      </c>
      <c r="AD2412" s="56" t="s">
        <v>24</v>
      </c>
      <c r="AE2412" s="56" t="s">
        <v>3725</v>
      </c>
      <c r="AF2412" s="56" t="s">
        <v>3785</v>
      </c>
      <c r="AH2412" s="56" t="s">
        <v>3542</v>
      </c>
      <c r="AI2412" s="56" t="s">
        <v>3723</v>
      </c>
    </row>
    <row r="2413" spans="1:35" ht="33" customHeight="1">
      <c r="A2413" s="56" t="s">
        <v>3784</v>
      </c>
      <c r="B2413" s="57">
        <v>44368.394548611112</v>
      </c>
      <c r="C2413" s="56" t="s">
        <v>3554</v>
      </c>
      <c r="D2413" s="56" t="s">
        <v>25</v>
      </c>
      <c r="E2413" s="56" t="s">
        <v>3783</v>
      </c>
      <c r="F2413" s="56" t="s">
        <v>3782</v>
      </c>
      <c r="G2413" s="58" t="s">
        <v>3580</v>
      </c>
      <c r="H2413" s="56">
        <v>1</v>
      </c>
      <c r="I2413" s="56" t="s">
        <v>3579</v>
      </c>
      <c r="J2413" s="56">
        <v>336</v>
      </c>
      <c r="K2413" s="56">
        <v>320</v>
      </c>
      <c r="L2413" s="56">
        <v>1062</v>
      </c>
      <c r="M2413" s="56">
        <v>0</v>
      </c>
      <c r="N2413" s="56">
        <v>0</v>
      </c>
      <c r="O2413" s="56">
        <v>100</v>
      </c>
      <c r="P2413" s="56">
        <v>0</v>
      </c>
      <c r="Q2413" s="56">
        <v>962</v>
      </c>
      <c r="R2413" s="56">
        <v>0</v>
      </c>
      <c r="S2413" s="56">
        <v>0</v>
      </c>
      <c r="T2413" s="56" t="s">
        <v>3562</v>
      </c>
      <c r="U2413" s="56">
        <v>962</v>
      </c>
      <c r="V2413" s="56" t="s">
        <v>59</v>
      </c>
      <c r="W2413" s="56" t="s">
        <v>3548</v>
      </c>
      <c r="X2413" s="56" t="s">
        <v>39</v>
      </c>
      <c r="Y2413" s="56" t="s">
        <v>3781</v>
      </c>
      <c r="Z2413" s="56" t="s">
        <v>3780</v>
      </c>
      <c r="AC2413" s="56" t="s">
        <v>3543</v>
      </c>
      <c r="AD2413" s="56" t="s">
        <v>24</v>
      </c>
      <c r="AE2413" s="56" t="s">
        <v>3725</v>
      </c>
      <c r="AF2413" s="56" t="s">
        <v>3779</v>
      </c>
      <c r="AH2413" s="56" t="s">
        <v>3542</v>
      </c>
      <c r="AI2413" s="56" t="s">
        <v>3723</v>
      </c>
    </row>
    <row r="2414" spans="1:35" ht="33" customHeight="1">
      <c r="A2414" s="56" t="s">
        <v>3784</v>
      </c>
      <c r="B2414" s="57">
        <v>44368.394548611112</v>
      </c>
      <c r="C2414" s="56" t="s">
        <v>3554</v>
      </c>
      <c r="D2414" s="56" t="s">
        <v>25</v>
      </c>
      <c r="E2414" s="56" t="s">
        <v>3783</v>
      </c>
      <c r="F2414" s="56" t="s">
        <v>3782</v>
      </c>
      <c r="G2414" s="58" t="s">
        <v>3189</v>
      </c>
      <c r="H2414" s="56">
        <v>1</v>
      </c>
      <c r="I2414" s="56" t="s">
        <v>3761</v>
      </c>
      <c r="J2414" s="56">
        <v>149</v>
      </c>
      <c r="K2414" s="56">
        <v>149</v>
      </c>
      <c r="P2414" s="56">
        <v>0</v>
      </c>
      <c r="S2414" s="56">
        <v>0</v>
      </c>
      <c r="T2414" s="56" t="s">
        <v>3562</v>
      </c>
      <c r="V2414" s="56" t="s">
        <v>59</v>
      </c>
      <c r="W2414" s="56" t="s">
        <v>3548</v>
      </c>
      <c r="X2414" s="56" t="s">
        <v>39</v>
      </c>
      <c r="Y2414" s="56" t="s">
        <v>3781</v>
      </c>
      <c r="Z2414" s="56" t="s">
        <v>3780</v>
      </c>
      <c r="AC2414" s="56" t="s">
        <v>3543</v>
      </c>
      <c r="AD2414" s="56" t="s">
        <v>24</v>
      </c>
      <c r="AE2414" s="56" t="s">
        <v>3725</v>
      </c>
      <c r="AF2414" s="56" t="s">
        <v>3779</v>
      </c>
      <c r="AH2414" s="56" t="s">
        <v>3542</v>
      </c>
      <c r="AI2414" s="56" t="s">
        <v>3723</v>
      </c>
    </row>
    <row r="2415" spans="1:35" ht="33" customHeight="1">
      <c r="A2415" s="56" t="s">
        <v>3784</v>
      </c>
      <c r="B2415" s="57">
        <v>44368.394548611112</v>
      </c>
      <c r="C2415" s="56" t="s">
        <v>3554</v>
      </c>
      <c r="D2415" s="56" t="s">
        <v>25</v>
      </c>
      <c r="E2415" s="56" t="s">
        <v>3783</v>
      </c>
      <c r="F2415" s="56" t="s">
        <v>3782</v>
      </c>
      <c r="G2415" s="58" t="s">
        <v>2156</v>
      </c>
      <c r="H2415" s="56">
        <v>1</v>
      </c>
      <c r="I2415" s="56" t="s">
        <v>1376</v>
      </c>
      <c r="J2415" s="56">
        <v>145</v>
      </c>
      <c r="K2415" s="56">
        <v>145</v>
      </c>
      <c r="P2415" s="56">
        <v>0</v>
      </c>
      <c r="S2415" s="56">
        <v>0</v>
      </c>
      <c r="T2415" s="56" t="s">
        <v>3562</v>
      </c>
      <c r="V2415" s="56" t="s">
        <v>59</v>
      </c>
      <c r="W2415" s="56" t="s">
        <v>3548</v>
      </c>
      <c r="X2415" s="56" t="s">
        <v>39</v>
      </c>
      <c r="Y2415" s="56" t="s">
        <v>3781</v>
      </c>
      <c r="Z2415" s="56" t="s">
        <v>3780</v>
      </c>
      <c r="AC2415" s="56" t="s">
        <v>3543</v>
      </c>
      <c r="AD2415" s="56" t="s">
        <v>24</v>
      </c>
      <c r="AE2415" s="56" t="s">
        <v>3725</v>
      </c>
      <c r="AF2415" s="56" t="s">
        <v>3779</v>
      </c>
      <c r="AH2415" s="56" t="s">
        <v>3542</v>
      </c>
      <c r="AI2415" s="56" t="s">
        <v>3723</v>
      </c>
    </row>
    <row r="2416" spans="1:35" ht="33" customHeight="1">
      <c r="A2416" s="56" t="s">
        <v>3784</v>
      </c>
      <c r="B2416" s="57">
        <v>44368.394548611112</v>
      </c>
      <c r="C2416" s="56" t="s">
        <v>3554</v>
      </c>
      <c r="D2416" s="56" t="s">
        <v>25</v>
      </c>
      <c r="E2416" s="56" t="s">
        <v>3783</v>
      </c>
      <c r="F2416" s="56" t="s">
        <v>3782</v>
      </c>
      <c r="G2416" s="58" t="s">
        <v>1506</v>
      </c>
      <c r="H2416" s="56">
        <v>1</v>
      </c>
      <c r="I2416" s="56" t="s">
        <v>3696</v>
      </c>
      <c r="J2416" s="56">
        <v>299</v>
      </c>
      <c r="K2416" s="56">
        <v>299</v>
      </c>
      <c r="P2416" s="56">
        <v>0</v>
      </c>
      <c r="S2416" s="56">
        <v>0</v>
      </c>
      <c r="T2416" s="56" t="s">
        <v>3562</v>
      </c>
      <c r="V2416" s="56" t="s">
        <v>59</v>
      </c>
      <c r="W2416" s="56" t="s">
        <v>3548</v>
      </c>
      <c r="X2416" s="56" t="s">
        <v>39</v>
      </c>
      <c r="Y2416" s="56" t="s">
        <v>3781</v>
      </c>
      <c r="Z2416" s="56" t="s">
        <v>3780</v>
      </c>
      <c r="AC2416" s="56" t="s">
        <v>3543</v>
      </c>
      <c r="AD2416" s="56" t="s">
        <v>24</v>
      </c>
      <c r="AE2416" s="56" t="s">
        <v>3725</v>
      </c>
      <c r="AF2416" s="56" t="s">
        <v>3779</v>
      </c>
      <c r="AH2416" s="56" t="s">
        <v>3542</v>
      </c>
      <c r="AI2416" s="56" t="s">
        <v>3723</v>
      </c>
    </row>
    <row r="2417" spans="1:35" ht="33" customHeight="1">
      <c r="A2417" s="56" t="s">
        <v>3784</v>
      </c>
      <c r="B2417" s="57">
        <v>44368.394548611112</v>
      </c>
      <c r="C2417" s="56" t="s">
        <v>3554</v>
      </c>
      <c r="D2417" s="56" t="s">
        <v>25</v>
      </c>
      <c r="E2417" s="56" t="s">
        <v>3783</v>
      </c>
      <c r="F2417" s="56" t="s">
        <v>3782</v>
      </c>
      <c r="G2417" s="58" t="s">
        <v>3187</v>
      </c>
      <c r="H2417" s="56">
        <v>1</v>
      </c>
      <c r="I2417" s="56" t="s">
        <v>3761</v>
      </c>
      <c r="J2417" s="56">
        <v>149</v>
      </c>
      <c r="K2417" s="56">
        <v>149</v>
      </c>
      <c r="P2417" s="56">
        <v>0</v>
      </c>
      <c r="S2417" s="56">
        <v>0</v>
      </c>
      <c r="T2417" s="56" t="s">
        <v>3562</v>
      </c>
      <c r="V2417" s="56" t="s">
        <v>59</v>
      </c>
      <c r="W2417" s="56" t="s">
        <v>3548</v>
      </c>
      <c r="X2417" s="56" t="s">
        <v>39</v>
      </c>
      <c r="Y2417" s="56" t="s">
        <v>3781</v>
      </c>
      <c r="Z2417" s="56" t="s">
        <v>3780</v>
      </c>
      <c r="AC2417" s="56" t="s">
        <v>3543</v>
      </c>
      <c r="AD2417" s="56" t="s">
        <v>24</v>
      </c>
      <c r="AE2417" s="56" t="s">
        <v>3725</v>
      </c>
      <c r="AF2417" s="56" t="s">
        <v>3779</v>
      </c>
      <c r="AH2417" s="56" t="s">
        <v>3542</v>
      </c>
      <c r="AI2417" s="56" t="s">
        <v>3723</v>
      </c>
    </row>
    <row r="2418" spans="1:35" ht="33" customHeight="1">
      <c r="A2418" s="56" t="s">
        <v>3784</v>
      </c>
      <c r="B2418" s="57">
        <v>44368.394548611112</v>
      </c>
      <c r="C2418" s="56" t="s">
        <v>3554</v>
      </c>
      <c r="D2418" s="56" t="s">
        <v>25</v>
      </c>
      <c r="E2418" s="56" t="s">
        <v>3783</v>
      </c>
      <c r="F2418" s="56" t="s">
        <v>3782</v>
      </c>
      <c r="G2418" s="58" t="s">
        <v>3551</v>
      </c>
      <c r="H2418" s="56">
        <v>1</v>
      </c>
      <c r="I2418" s="56" t="s">
        <v>3550</v>
      </c>
      <c r="J2418" s="56">
        <v>0</v>
      </c>
      <c r="K2418" s="56">
        <v>0</v>
      </c>
      <c r="P2418" s="56">
        <v>0</v>
      </c>
      <c r="S2418" s="56">
        <v>0</v>
      </c>
      <c r="T2418" s="56" t="s">
        <v>3562</v>
      </c>
      <c r="V2418" s="56" t="s">
        <v>59</v>
      </c>
      <c r="W2418" s="56" t="s">
        <v>3548</v>
      </c>
      <c r="X2418" s="56" t="s">
        <v>39</v>
      </c>
      <c r="Y2418" s="56" t="s">
        <v>3781</v>
      </c>
      <c r="Z2418" s="56" t="s">
        <v>3780</v>
      </c>
      <c r="AC2418" s="56" t="s">
        <v>3543</v>
      </c>
      <c r="AD2418" s="56" t="s">
        <v>24</v>
      </c>
      <c r="AE2418" s="56" t="s">
        <v>3725</v>
      </c>
      <c r="AF2418" s="56" t="s">
        <v>3779</v>
      </c>
      <c r="AH2418" s="56" t="s">
        <v>3542</v>
      </c>
      <c r="AI2418" s="56" t="s">
        <v>3723</v>
      </c>
    </row>
    <row r="2419" spans="1:35" ht="33" customHeight="1">
      <c r="A2419" s="56" t="s">
        <v>3778</v>
      </c>
      <c r="B2419" s="57">
        <v>44368.409108796295</v>
      </c>
      <c r="C2419" s="56" t="s">
        <v>3554</v>
      </c>
      <c r="D2419" s="56" t="s">
        <v>25</v>
      </c>
      <c r="E2419" s="56" t="s">
        <v>3777</v>
      </c>
      <c r="F2419" s="56" t="s">
        <v>3776</v>
      </c>
      <c r="G2419" s="58" t="s">
        <v>3196</v>
      </c>
      <c r="H2419" s="56">
        <v>2</v>
      </c>
      <c r="I2419" s="56" t="s">
        <v>2550</v>
      </c>
      <c r="J2419" s="56">
        <v>120</v>
      </c>
      <c r="K2419" s="56">
        <v>120</v>
      </c>
      <c r="L2419" s="56">
        <v>530</v>
      </c>
      <c r="M2419" s="56">
        <v>60</v>
      </c>
      <c r="N2419" s="56">
        <v>0</v>
      </c>
      <c r="O2419" s="56">
        <v>0</v>
      </c>
      <c r="P2419" s="56">
        <v>0</v>
      </c>
      <c r="Q2419" s="56">
        <v>590</v>
      </c>
      <c r="R2419" s="56">
        <v>0</v>
      </c>
      <c r="S2419" s="56">
        <v>0</v>
      </c>
      <c r="T2419" s="56" t="s">
        <v>3562</v>
      </c>
      <c r="U2419" s="56">
        <v>590</v>
      </c>
      <c r="V2419" s="56" t="s">
        <v>3561</v>
      </c>
      <c r="W2419" s="56" t="s">
        <v>3548</v>
      </c>
      <c r="X2419" s="56" t="s">
        <v>39</v>
      </c>
      <c r="Y2419" s="56" t="s">
        <v>3775</v>
      </c>
      <c r="Z2419" s="56" t="s">
        <v>3774</v>
      </c>
      <c r="AC2419" s="56" t="s">
        <v>3623</v>
      </c>
      <c r="AD2419" s="56" t="s">
        <v>24</v>
      </c>
      <c r="AE2419" s="56" t="s">
        <v>3725</v>
      </c>
      <c r="AF2419" s="56" t="s">
        <v>3773</v>
      </c>
      <c r="AG2419" s="56" t="s">
        <v>3772</v>
      </c>
      <c r="AH2419" s="56" t="s">
        <v>3621</v>
      </c>
      <c r="AI2419" s="56" t="s">
        <v>3723</v>
      </c>
    </row>
    <row r="2420" spans="1:35" ht="33" customHeight="1">
      <c r="A2420" s="56" t="s">
        <v>3778</v>
      </c>
      <c r="B2420" s="57">
        <v>44368.409108796295</v>
      </c>
      <c r="C2420" s="56" t="s">
        <v>3554</v>
      </c>
      <c r="D2420" s="56" t="s">
        <v>25</v>
      </c>
      <c r="E2420" s="56" t="s">
        <v>3777</v>
      </c>
      <c r="F2420" s="56" t="s">
        <v>3776</v>
      </c>
      <c r="G2420" s="58" t="s">
        <v>2156</v>
      </c>
      <c r="H2420" s="56">
        <v>2</v>
      </c>
      <c r="I2420" s="56" t="s">
        <v>1376</v>
      </c>
      <c r="J2420" s="56">
        <v>145</v>
      </c>
      <c r="K2420" s="56">
        <v>145</v>
      </c>
      <c r="P2420" s="56">
        <v>0</v>
      </c>
      <c r="S2420" s="56">
        <v>0</v>
      </c>
      <c r="T2420" s="56" t="s">
        <v>3562</v>
      </c>
      <c r="V2420" s="56" t="s">
        <v>3561</v>
      </c>
      <c r="W2420" s="56" t="s">
        <v>3548</v>
      </c>
      <c r="X2420" s="56" t="s">
        <v>39</v>
      </c>
      <c r="Y2420" s="56" t="s">
        <v>3775</v>
      </c>
      <c r="Z2420" s="56" t="s">
        <v>3774</v>
      </c>
      <c r="AC2420" s="56" t="s">
        <v>3623</v>
      </c>
      <c r="AD2420" s="56" t="s">
        <v>24</v>
      </c>
      <c r="AE2420" s="56" t="s">
        <v>3725</v>
      </c>
      <c r="AF2420" s="56" t="s">
        <v>3773</v>
      </c>
      <c r="AG2420" s="56" t="s">
        <v>3772</v>
      </c>
      <c r="AH2420" s="56" t="s">
        <v>3621</v>
      </c>
      <c r="AI2420" s="56" t="s">
        <v>3723</v>
      </c>
    </row>
    <row r="2421" spans="1:35" ht="33" customHeight="1">
      <c r="A2421" s="56" t="s">
        <v>3778</v>
      </c>
      <c r="B2421" s="57">
        <v>44368.409108796295</v>
      </c>
      <c r="C2421" s="56" t="s">
        <v>3554</v>
      </c>
      <c r="D2421" s="56" t="s">
        <v>25</v>
      </c>
      <c r="E2421" s="56" t="s">
        <v>3777</v>
      </c>
      <c r="F2421" s="56" t="s">
        <v>3776</v>
      </c>
      <c r="G2421" s="58" t="s">
        <v>3551</v>
      </c>
      <c r="H2421" s="56">
        <v>1</v>
      </c>
      <c r="I2421" s="56" t="s">
        <v>3550</v>
      </c>
      <c r="J2421" s="56">
        <v>0</v>
      </c>
      <c r="K2421" s="56">
        <v>0</v>
      </c>
      <c r="P2421" s="56">
        <v>0</v>
      </c>
      <c r="S2421" s="56">
        <v>0</v>
      </c>
      <c r="T2421" s="56" t="s">
        <v>3562</v>
      </c>
      <c r="V2421" s="56" t="s">
        <v>3561</v>
      </c>
      <c r="W2421" s="56" t="s">
        <v>3548</v>
      </c>
      <c r="X2421" s="56" t="s">
        <v>39</v>
      </c>
      <c r="Y2421" s="56" t="s">
        <v>3775</v>
      </c>
      <c r="Z2421" s="56" t="s">
        <v>3774</v>
      </c>
      <c r="AC2421" s="56" t="s">
        <v>3623</v>
      </c>
      <c r="AD2421" s="56" t="s">
        <v>24</v>
      </c>
      <c r="AE2421" s="56" t="s">
        <v>3725</v>
      </c>
      <c r="AF2421" s="56" t="s">
        <v>3773</v>
      </c>
      <c r="AG2421" s="56" t="s">
        <v>3772</v>
      </c>
      <c r="AH2421" s="56" t="s">
        <v>3621</v>
      </c>
      <c r="AI2421" s="56" t="s">
        <v>3723</v>
      </c>
    </row>
    <row r="2422" spans="1:35" ht="33" customHeight="1">
      <c r="A2422" s="56" t="s">
        <v>3768</v>
      </c>
      <c r="B2422" s="57">
        <v>44368.423159722224</v>
      </c>
      <c r="C2422" s="56" t="s">
        <v>3554</v>
      </c>
      <c r="D2422" s="56" t="s">
        <v>25</v>
      </c>
      <c r="E2422" s="56" t="s">
        <v>3767</v>
      </c>
      <c r="F2422" s="56" t="s">
        <v>3766</v>
      </c>
      <c r="G2422" s="58" t="s">
        <v>3299</v>
      </c>
      <c r="H2422" s="56">
        <v>1</v>
      </c>
      <c r="I2422" s="56" t="s">
        <v>3576</v>
      </c>
      <c r="J2422" s="56">
        <v>299</v>
      </c>
      <c r="K2422" s="56">
        <v>299</v>
      </c>
      <c r="L2422" s="56">
        <v>933</v>
      </c>
      <c r="M2422" s="56">
        <v>0</v>
      </c>
      <c r="N2422" s="56">
        <v>0</v>
      </c>
      <c r="O2422" s="56">
        <v>0</v>
      </c>
      <c r="P2422" s="56">
        <v>0</v>
      </c>
      <c r="Q2422" s="56">
        <v>933</v>
      </c>
      <c r="R2422" s="56">
        <v>0</v>
      </c>
      <c r="S2422" s="56">
        <v>0</v>
      </c>
      <c r="T2422" s="56" t="s">
        <v>3562</v>
      </c>
      <c r="U2422" s="56">
        <v>933</v>
      </c>
      <c r="V2422" s="56" t="s">
        <v>3561</v>
      </c>
      <c r="W2422" s="56" t="s">
        <v>3548</v>
      </c>
      <c r="X2422" s="56" t="s">
        <v>3765</v>
      </c>
      <c r="Z2422" s="56" t="s">
        <v>3546</v>
      </c>
      <c r="AA2422" s="56" t="s">
        <v>3764</v>
      </c>
      <c r="AB2422" s="56" t="s">
        <v>3763</v>
      </c>
      <c r="AC2422" s="56" t="s">
        <v>3543</v>
      </c>
      <c r="AH2422" s="56" t="s">
        <v>3542</v>
      </c>
      <c r="AI2422" s="56" t="s">
        <v>3541</v>
      </c>
    </row>
    <row r="2423" spans="1:35" ht="33" customHeight="1">
      <c r="A2423" s="56" t="s">
        <v>3768</v>
      </c>
      <c r="B2423" s="57">
        <v>44368.423159722224</v>
      </c>
      <c r="C2423" s="56" t="s">
        <v>3554</v>
      </c>
      <c r="D2423" s="56" t="s">
        <v>25</v>
      </c>
      <c r="E2423" s="56" t="s">
        <v>3767</v>
      </c>
      <c r="F2423" s="56" t="s">
        <v>3766</v>
      </c>
      <c r="G2423" s="58" t="s">
        <v>1491</v>
      </c>
      <c r="H2423" s="56">
        <v>1</v>
      </c>
      <c r="I2423" s="56" t="s">
        <v>3771</v>
      </c>
      <c r="J2423" s="56">
        <v>135</v>
      </c>
      <c r="K2423" s="56">
        <v>135</v>
      </c>
      <c r="P2423" s="56">
        <v>0</v>
      </c>
      <c r="S2423" s="56">
        <v>0</v>
      </c>
      <c r="T2423" s="56" t="s">
        <v>3562</v>
      </c>
      <c r="V2423" s="56" t="s">
        <v>3561</v>
      </c>
      <c r="W2423" s="56" t="s">
        <v>3548</v>
      </c>
      <c r="X2423" s="56" t="s">
        <v>3765</v>
      </c>
      <c r="Z2423" s="56" t="s">
        <v>3546</v>
      </c>
      <c r="AA2423" s="56" t="s">
        <v>3764</v>
      </c>
      <c r="AB2423" s="56" t="s">
        <v>3763</v>
      </c>
      <c r="AC2423" s="56" t="s">
        <v>3543</v>
      </c>
      <c r="AH2423" s="56" t="s">
        <v>3542</v>
      </c>
      <c r="AI2423" s="56" t="s">
        <v>3541</v>
      </c>
    </row>
    <row r="2424" spans="1:35" ht="33" customHeight="1">
      <c r="A2424" s="56" t="s">
        <v>3768</v>
      </c>
      <c r="B2424" s="57">
        <v>44368.423159722224</v>
      </c>
      <c r="C2424" s="56" t="s">
        <v>3554</v>
      </c>
      <c r="D2424" s="56" t="s">
        <v>25</v>
      </c>
      <c r="E2424" s="56" t="s">
        <v>3767</v>
      </c>
      <c r="F2424" s="56" t="s">
        <v>3766</v>
      </c>
      <c r="G2424" s="58" t="s">
        <v>3770</v>
      </c>
      <c r="H2424" s="56">
        <v>1</v>
      </c>
      <c r="I2424" s="56" t="s">
        <v>3769</v>
      </c>
      <c r="J2424" s="56">
        <v>405</v>
      </c>
      <c r="K2424" s="56">
        <v>390</v>
      </c>
      <c r="P2424" s="56">
        <v>0</v>
      </c>
      <c r="S2424" s="56">
        <v>0</v>
      </c>
      <c r="T2424" s="56" t="s">
        <v>3562</v>
      </c>
      <c r="V2424" s="56" t="s">
        <v>3561</v>
      </c>
      <c r="W2424" s="56" t="s">
        <v>3548</v>
      </c>
      <c r="X2424" s="56" t="s">
        <v>3765</v>
      </c>
      <c r="Z2424" s="56" t="s">
        <v>3546</v>
      </c>
      <c r="AA2424" s="56" t="s">
        <v>3764</v>
      </c>
      <c r="AB2424" s="56" t="s">
        <v>3763</v>
      </c>
      <c r="AC2424" s="56" t="s">
        <v>3543</v>
      </c>
      <c r="AH2424" s="56" t="s">
        <v>3542</v>
      </c>
      <c r="AI2424" s="56" t="s">
        <v>3541</v>
      </c>
    </row>
    <row r="2425" spans="1:35" ht="33" customHeight="1">
      <c r="A2425" s="56" t="s">
        <v>3768</v>
      </c>
      <c r="B2425" s="57">
        <v>44368.423159722224</v>
      </c>
      <c r="C2425" s="56" t="s">
        <v>3554</v>
      </c>
      <c r="D2425" s="56" t="s">
        <v>25</v>
      </c>
      <c r="E2425" s="56" t="s">
        <v>3767</v>
      </c>
      <c r="F2425" s="56" t="s">
        <v>3766</v>
      </c>
      <c r="G2425" s="58" t="s">
        <v>2165</v>
      </c>
      <c r="H2425" s="56">
        <v>1</v>
      </c>
      <c r="I2425" s="56" t="s">
        <v>3721</v>
      </c>
      <c r="J2425" s="56">
        <v>109</v>
      </c>
      <c r="K2425" s="56">
        <v>109</v>
      </c>
      <c r="P2425" s="56">
        <v>0</v>
      </c>
      <c r="S2425" s="56">
        <v>0</v>
      </c>
      <c r="T2425" s="56" t="s">
        <v>3562</v>
      </c>
      <c r="V2425" s="56" t="s">
        <v>3561</v>
      </c>
      <c r="W2425" s="56" t="s">
        <v>3548</v>
      </c>
      <c r="X2425" s="56" t="s">
        <v>3765</v>
      </c>
      <c r="Z2425" s="56" t="s">
        <v>3546</v>
      </c>
      <c r="AA2425" s="56" t="s">
        <v>3764</v>
      </c>
      <c r="AB2425" s="56" t="s">
        <v>3763</v>
      </c>
      <c r="AC2425" s="56" t="s">
        <v>3543</v>
      </c>
      <c r="AH2425" s="56" t="s">
        <v>3542</v>
      </c>
      <c r="AI2425" s="56" t="s">
        <v>3541</v>
      </c>
    </row>
    <row r="2426" spans="1:35" ht="33" customHeight="1">
      <c r="A2426" s="56" t="s">
        <v>3768</v>
      </c>
      <c r="B2426" s="57">
        <v>44368.423159722224</v>
      </c>
      <c r="C2426" s="56" t="s">
        <v>3554</v>
      </c>
      <c r="D2426" s="56" t="s">
        <v>25</v>
      </c>
      <c r="E2426" s="56" t="s">
        <v>3767</v>
      </c>
      <c r="F2426" s="56" t="s">
        <v>3766</v>
      </c>
      <c r="G2426" s="58" t="s">
        <v>3551</v>
      </c>
      <c r="H2426" s="56">
        <v>1</v>
      </c>
      <c r="I2426" s="56" t="s">
        <v>3550</v>
      </c>
      <c r="J2426" s="56">
        <v>0</v>
      </c>
      <c r="K2426" s="56">
        <v>0</v>
      </c>
      <c r="P2426" s="56">
        <v>0</v>
      </c>
      <c r="S2426" s="56">
        <v>0</v>
      </c>
      <c r="T2426" s="56" t="s">
        <v>3562</v>
      </c>
      <c r="V2426" s="56" t="s">
        <v>3561</v>
      </c>
      <c r="W2426" s="56" t="s">
        <v>3548</v>
      </c>
      <c r="X2426" s="56" t="s">
        <v>3765</v>
      </c>
      <c r="Z2426" s="56" t="s">
        <v>3546</v>
      </c>
      <c r="AA2426" s="56" t="s">
        <v>3764</v>
      </c>
      <c r="AB2426" s="56" t="s">
        <v>3763</v>
      </c>
      <c r="AC2426" s="56" t="s">
        <v>3543</v>
      </c>
      <c r="AH2426" s="56" t="s">
        <v>3542</v>
      </c>
      <c r="AI2426" s="56" t="s">
        <v>3541</v>
      </c>
    </row>
    <row r="2427" spans="1:35" ht="33" customHeight="1">
      <c r="A2427" s="56" t="s">
        <v>3760</v>
      </c>
      <c r="B2427" s="57">
        <v>44368.429942129631</v>
      </c>
      <c r="C2427" s="56" t="s">
        <v>3554</v>
      </c>
      <c r="D2427" s="56" t="s">
        <v>25</v>
      </c>
      <c r="E2427" s="56" t="s">
        <v>3759</v>
      </c>
      <c r="F2427" s="56" t="s">
        <v>3758</v>
      </c>
      <c r="G2427" s="58" t="s">
        <v>3299</v>
      </c>
      <c r="H2427" s="56">
        <v>1</v>
      </c>
      <c r="I2427" s="56" t="s">
        <v>3576</v>
      </c>
      <c r="J2427" s="56">
        <v>299</v>
      </c>
      <c r="K2427" s="56">
        <v>299</v>
      </c>
      <c r="L2427" s="56">
        <v>1166</v>
      </c>
      <c r="M2427" s="56">
        <v>0</v>
      </c>
      <c r="N2427" s="56">
        <v>0</v>
      </c>
      <c r="O2427" s="56">
        <v>117</v>
      </c>
      <c r="P2427" s="56">
        <v>0</v>
      </c>
      <c r="Q2427" s="56">
        <v>1049</v>
      </c>
      <c r="R2427" s="56">
        <v>0</v>
      </c>
      <c r="S2427" s="56">
        <v>0</v>
      </c>
      <c r="T2427" s="56" t="s">
        <v>3562</v>
      </c>
      <c r="U2427" s="56">
        <v>1049</v>
      </c>
      <c r="V2427" s="56" t="s">
        <v>3561</v>
      </c>
      <c r="W2427" s="56" t="s">
        <v>3548</v>
      </c>
      <c r="X2427" s="56" t="s">
        <v>39</v>
      </c>
      <c r="Y2427" s="56" t="s">
        <v>3757</v>
      </c>
      <c r="Z2427" s="56" t="s">
        <v>3756</v>
      </c>
      <c r="AC2427" s="56" t="s">
        <v>3543</v>
      </c>
      <c r="AD2427" s="56" t="s">
        <v>24</v>
      </c>
      <c r="AE2427" s="56" t="s">
        <v>3725</v>
      </c>
      <c r="AF2427" s="56" t="s">
        <v>3755</v>
      </c>
      <c r="AH2427" s="56" t="s">
        <v>3542</v>
      </c>
      <c r="AI2427" s="56" t="s">
        <v>3723</v>
      </c>
    </row>
    <row r="2428" spans="1:35" ht="33" customHeight="1">
      <c r="A2428" s="56" t="s">
        <v>3760</v>
      </c>
      <c r="B2428" s="57">
        <v>44368.429942129631</v>
      </c>
      <c r="C2428" s="56" t="s">
        <v>3554</v>
      </c>
      <c r="D2428" s="56" t="s">
        <v>25</v>
      </c>
      <c r="E2428" s="56" t="s">
        <v>3759</v>
      </c>
      <c r="F2428" s="56" t="s">
        <v>3758</v>
      </c>
      <c r="G2428" s="58" t="s">
        <v>2171</v>
      </c>
      <c r="H2428" s="56">
        <v>1</v>
      </c>
      <c r="I2428" s="56" t="s">
        <v>3762</v>
      </c>
      <c r="J2428" s="56">
        <v>350</v>
      </c>
      <c r="K2428" s="56">
        <v>350</v>
      </c>
      <c r="P2428" s="56">
        <v>0</v>
      </c>
      <c r="S2428" s="56">
        <v>0</v>
      </c>
      <c r="T2428" s="56" t="s">
        <v>3562</v>
      </c>
      <c r="V2428" s="56" t="s">
        <v>3561</v>
      </c>
      <c r="W2428" s="56" t="s">
        <v>3548</v>
      </c>
      <c r="X2428" s="56" t="s">
        <v>39</v>
      </c>
      <c r="Y2428" s="56" t="s">
        <v>3757</v>
      </c>
      <c r="Z2428" s="56" t="s">
        <v>3756</v>
      </c>
      <c r="AC2428" s="56" t="s">
        <v>3543</v>
      </c>
      <c r="AD2428" s="56" t="s">
        <v>24</v>
      </c>
      <c r="AE2428" s="56" t="s">
        <v>3725</v>
      </c>
      <c r="AF2428" s="56" t="s">
        <v>3755</v>
      </c>
      <c r="AH2428" s="56" t="s">
        <v>3542</v>
      </c>
      <c r="AI2428" s="56" t="s">
        <v>3723</v>
      </c>
    </row>
    <row r="2429" spans="1:35" ht="33" customHeight="1">
      <c r="A2429" s="56" t="s">
        <v>3760</v>
      </c>
      <c r="B2429" s="57">
        <v>44368.429942129631</v>
      </c>
      <c r="C2429" s="56" t="s">
        <v>3554</v>
      </c>
      <c r="D2429" s="56" t="s">
        <v>25</v>
      </c>
      <c r="E2429" s="56" t="s">
        <v>3759</v>
      </c>
      <c r="F2429" s="56" t="s">
        <v>3758</v>
      </c>
      <c r="G2429" s="58" t="s">
        <v>3189</v>
      </c>
      <c r="H2429" s="56">
        <v>1</v>
      </c>
      <c r="I2429" s="56" t="s">
        <v>3761</v>
      </c>
      <c r="J2429" s="56">
        <v>149</v>
      </c>
      <c r="K2429" s="56">
        <v>149</v>
      </c>
      <c r="P2429" s="56">
        <v>0</v>
      </c>
      <c r="S2429" s="56">
        <v>0</v>
      </c>
      <c r="T2429" s="56" t="s">
        <v>3562</v>
      </c>
      <c r="V2429" s="56" t="s">
        <v>3561</v>
      </c>
      <c r="W2429" s="56" t="s">
        <v>3548</v>
      </c>
      <c r="X2429" s="56" t="s">
        <v>39</v>
      </c>
      <c r="Y2429" s="56" t="s">
        <v>3757</v>
      </c>
      <c r="Z2429" s="56" t="s">
        <v>3756</v>
      </c>
      <c r="AC2429" s="56" t="s">
        <v>3543</v>
      </c>
      <c r="AD2429" s="56" t="s">
        <v>24</v>
      </c>
      <c r="AE2429" s="56" t="s">
        <v>3725</v>
      </c>
      <c r="AF2429" s="56" t="s">
        <v>3755</v>
      </c>
      <c r="AH2429" s="56" t="s">
        <v>3542</v>
      </c>
      <c r="AI2429" s="56" t="s">
        <v>3723</v>
      </c>
    </row>
    <row r="2430" spans="1:35" ht="33" customHeight="1">
      <c r="A2430" s="56" t="s">
        <v>3760</v>
      </c>
      <c r="B2430" s="57">
        <v>44368.429942129631</v>
      </c>
      <c r="C2430" s="56" t="s">
        <v>3554</v>
      </c>
      <c r="D2430" s="56" t="s">
        <v>25</v>
      </c>
      <c r="E2430" s="56" t="s">
        <v>3759</v>
      </c>
      <c r="F2430" s="56" t="s">
        <v>3758</v>
      </c>
      <c r="G2430" s="58" t="s">
        <v>1508</v>
      </c>
      <c r="H2430" s="56">
        <v>1</v>
      </c>
      <c r="I2430" s="56" t="s">
        <v>3696</v>
      </c>
      <c r="J2430" s="56">
        <v>299</v>
      </c>
      <c r="K2430" s="56">
        <v>299</v>
      </c>
      <c r="P2430" s="56">
        <v>0</v>
      </c>
      <c r="S2430" s="56">
        <v>0</v>
      </c>
      <c r="T2430" s="56" t="s">
        <v>3562</v>
      </c>
      <c r="V2430" s="56" t="s">
        <v>3561</v>
      </c>
      <c r="W2430" s="56" t="s">
        <v>3548</v>
      </c>
      <c r="X2430" s="56" t="s">
        <v>39</v>
      </c>
      <c r="Y2430" s="56" t="s">
        <v>3757</v>
      </c>
      <c r="Z2430" s="56" t="s">
        <v>3756</v>
      </c>
      <c r="AC2430" s="56" t="s">
        <v>3543</v>
      </c>
      <c r="AD2430" s="56" t="s">
        <v>24</v>
      </c>
      <c r="AE2430" s="56" t="s">
        <v>3725</v>
      </c>
      <c r="AF2430" s="56" t="s">
        <v>3755</v>
      </c>
      <c r="AH2430" s="56" t="s">
        <v>3542</v>
      </c>
      <c r="AI2430" s="56" t="s">
        <v>3723</v>
      </c>
    </row>
    <row r="2431" spans="1:35" ht="33" customHeight="1">
      <c r="A2431" s="56" t="s">
        <v>3760</v>
      </c>
      <c r="B2431" s="57">
        <v>44368.429942129631</v>
      </c>
      <c r="C2431" s="56" t="s">
        <v>3554</v>
      </c>
      <c r="D2431" s="56" t="s">
        <v>25</v>
      </c>
      <c r="E2431" s="56" t="s">
        <v>3759</v>
      </c>
      <c r="F2431" s="56" t="s">
        <v>3758</v>
      </c>
      <c r="G2431" s="58" t="s">
        <v>3219</v>
      </c>
      <c r="H2431" s="56">
        <v>1</v>
      </c>
      <c r="I2431" s="56" t="s">
        <v>3594</v>
      </c>
      <c r="J2431" s="56">
        <v>69</v>
      </c>
      <c r="K2431" s="56">
        <v>69</v>
      </c>
      <c r="P2431" s="56">
        <v>0</v>
      </c>
      <c r="S2431" s="56">
        <v>0</v>
      </c>
      <c r="T2431" s="56" t="s">
        <v>3562</v>
      </c>
      <c r="V2431" s="56" t="s">
        <v>3561</v>
      </c>
      <c r="W2431" s="56" t="s">
        <v>3548</v>
      </c>
      <c r="X2431" s="56" t="s">
        <v>39</v>
      </c>
      <c r="Y2431" s="56" t="s">
        <v>3757</v>
      </c>
      <c r="Z2431" s="56" t="s">
        <v>3756</v>
      </c>
      <c r="AC2431" s="56" t="s">
        <v>3543</v>
      </c>
      <c r="AD2431" s="56" t="s">
        <v>24</v>
      </c>
      <c r="AE2431" s="56" t="s">
        <v>3725</v>
      </c>
      <c r="AF2431" s="56" t="s">
        <v>3755</v>
      </c>
      <c r="AH2431" s="56" t="s">
        <v>3542</v>
      </c>
      <c r="AI2431" s="56" t="s">
        <v>3723</v>
      </c>
    </row>
    <row r="2432" spans="1:35" ht="33" customHeight="1">
      <c r="A2432" s="56" t="s">
        <v>3760</v>
      </c>
      <c r="B2432" s="57">
        <v>44368.429942129631</v>
      </c>
      <c r="C2432" s="56" t="s">
        <v>3554</v>
      </c>
      <c r="D2432" s="56" t="s">
        <v>25</v>
      </c>
      <c r="E2432" s="56" t="s">
        <v>3759</v>
      </c>
      <c r="F2432" s="56" t="s">
        <v>3758</v>
      </c>
      <c r="G2432" s="58" t="s">
        <v>3551</v>
      </c>
      <c r="H2432" s="56">
        <v>1</v>
      </c>
      <c r="I2432" s="56" t="s">
        <v>3550</v>
      </c>
      <c r="J2432" s="56">
        <v>0</v>
      </c>
      <c r="K2432" s="56">
        <v>0</v>
      </c>
      <c r="P2432" s="56">
        <v>0</v>
      </c>
      <c r="S2432" s="56">
        <v>0</v>
      </c>
      <c r="T2432" s="56" t="s">
        <v>3562</v>
      </c>
      <c r="V2432" s="56" t="s">
        <v>3561</v>
      </c>
      <c r="W2432" s="56" t="s">
        <v>3548</v>
      </c>
      <c r="X2432" s="56" t="s">
        <v>39</v>
      </c>
      <c r="Y2432" s="56" t="s">
        <v>3757</v>
      </c>
      <c r="Z2432" s="56" t="s">
        <v>3756</v>
      </c>
      <c r="AC2432" s="56" t="s">
        <v>3543</v>
      </c>
      <c r="AD2432" s="56" t="s">
        <v>24</v>
      </c>
      <c r="AE2432" s="56" t="s">
        <v>3725</v>
      </c>
      <c r="AF2432" s="56" t="s">
        <v>3755</v>
      </c>
      <c r="AH2432" s="56" t="s">
        <v>3542</v>
      </c>
      <c r="AI2432" s="56" t="s">
        <v>3723</v>
      </c>
    </row>
    <row r="2433" spans="1:35" ht="33" customHeight="1">
      <c r="A2433" s="56" t="s">
        <v>3752</v>
      </c>
      <c r="B2433" s="57">
        <v>44368.457152777781</v>
      </c>
      <c r="C2433" s="56" t="s">
        <v>3554</v>
      </c>
      <c r="D2433" s="56" t="s">
        <v>25</v>
      </c>
      <c r="E2433" s="56" t="s">
        <v>3751</v>
      </c>
      <c r="F2433" s="56" t="s">
        <v>3750</v>
      </c>
      <c r="G2433" s="58" t="s">
        <v>3580</v>
      </c>
      <c r="H2433" s="56">
        <v>1</v>
      </c>
      <c r="I2433" s="56" t="s">
        <v>3579</v>
      </c>
      <c r="J2433" s="56">
        <v>336</v>
      </c>
      <c r="K2433" s="56">
        <v>320</v>
      </c>
      <c r="L2433" s="56">
        <v>1679</v>
      </c>
      <c r="M2433" s="56">
        <v>0</v>
      </c>
      <c r="N2433" s="56">
        <v>0</v>
      </c>
      <c r="O2433" s="56">
        <v>168</v>
      </c>
      <c r="P2433" s="56">
        <v>0</v>
      </c>
      <c r="Q2433" s="56">
        <v>1511</v>
      </c>
      <c r="R2433" s="56">
        <v>0</v>
      </c>
      <c r="S2433" s="56">
        <v>0</v>
      </c>
      <c r="T2433" s="56" t="s">
        <v>3562</v>
      </c>
      <c r="U2433" s="56">
        <v>1511</v>
      </c>
      <c r="V2433" s="56" t="s">
        <v>3561</v>
      </c>
      <c r="W2433" s="56" t="s">
        <v>3548</v>
      </c>
      <c r="X2433" s="56" t="s">
        <v>39</v>
      </c>
      <c r="Y2433" s="56" t="s">
        <v>3749</v>
      </c>
      <c r="Z2433" s="56" t="s">
        <v>3748</v>
      </c>
      <c r="AC2433" s="56" t="s">
        <v>3543</v>
      </c>
      <c r="AH2433" s="56" t="s">
        <v>3542</v>
      </c>
      <c r="AI2433" s="56" t="s">
        <v>3541</v>
      </c>
    </row>
    <row r="2434" spans="1:35" ht="33" customHeight="1">
      <c r="A2434" s="56" t="s">
        <v>3752</v>
      </c>
      <c r="B2434" s="57">
        <v>44368.457152777781</v>
      </c>
      <c r="C2434" s="56" t="s">
        <v>3554</v>
      </c>
      <c r="D2434" s="56" t="s">
        <v>25</v>
      </c>
      <c r="E2434" s="56" t="s">
        <v>3751</v>
      </c>
      <c r="F2434" s="56" t="s">
        <v>3750</v>
      </c>
      <c r="G2434" s="58" t="s">
        <v>3754</v>
      </c>
      <c r="H2434" s="56">
        <v>1</v>
      </c>
      <c r="I2434" s="56" t="s">
        <v>3753</v>
      </c>
      <c r="J2434" s="56">
        <v>997</v>
      </c>
      <c r="K2434" s="56">
        <v>960</v>
      </c>
      <c r="P2434" s="56">
        <v>0</v>
      </c>
      <c r="S2434" s="56">
        <v>0</v>
      </c>
      <c r="T2434" s="56" t="s">
        <v>3562</v>
      </c>
      <c r="V2434" s="56" t="s">
        <v>3561</v>
      </c>
      <c r="W2434" s="56" t="s">
        <v>3548</v>
      </c>
      <c r="X2434" s="56" t="s">
        <v>39</v>
      </c>
      <c r="Y2434" s="56" t="s">
        <v>3749</v>
      </c>
      <c r="Z2434" s="56" t="s">
        <v>3748</v>
      </c>
      <c r="AC2434" s="56" t="s">
        <v>3543</v>
      </c>
      <c r="AH2434" s="56" t="s">
        <v>3542</v>
      </c>
      <c r="AI2434" s="56" t="s">
        <v>3541</v>
      </c>
    </row>
    <row r="2435" spans="1:35" ht="33" customHeight="1">
      <c r="A2435" s="56" t="s">
        <v>3752</v>
      </c>
      <c r="B2435" s="57">
        <v>44368.457152777781</v>
      </c>
      <c r="C2435" s="56" t="s">
        <v>3554</v>
      </c>
      <c r="D2435" s="56" t="s">
        <v>25</v>
      </c>
      <c r="E2435" s="56" t="s">
        <v>3751</v>
      </c>
      <c r="F2435" s="56" t="s">
        <v>3750</v>
      </c>
      <c r="G2435" s="58" t="s">
        <v>3603</v>
      </c>
      <c r="H2435" s="56">
        <v>1</v>
      </c>
      <c r="I2435" s="56" t="s">
        <v>3602</v>
      </c>
      <c r="J2435" s="56">
        <v>447</v>
      </c>
      <c r="K2435" s="56">
        <v>399</v>
      </c>
      <c r="P2435" s="56">
        <v>0</v>
      </c>
      <c r="S2435" s="56">
        <v>0</v>
      </c>
      <c r="T2435" s="56" t="s">
        <v>3562</v>
      </c>
      <c r="V2435" s="56" t="s">
        <v>3561</v>
      </c>
      <c r="W2435" s="56" t="s">
        <v>3548</v>
      </c>
      <c r="X2435" s="56" t="s">
        <v>39</v>
      </c>
      <c r="Y2435" s="56" t="s">
        <v>3749</v>
      </c>
      <c r="Z2435" s="56" t="s">
        <v>3748</v>
      </c>
      <c r="AC2435" s="56" t="s">
        <v>3543</v>
      </c>
      <c r="AH2435" s="56" t="s">
        <v>3542</v>
      </c>
      <c r="AI2435" s="56" t="s">
        <v>3541</v>
      </c>
    </row>
    <row r="2436" spans="1:35" ht="33" customHeight="1">
      <c r="A2436" s="56" t="s">
        <v>3752</v>
      </c>
      <c r="B2436" s="57">
        <v>44368.457152777781</v>
      </c>
      <c r="C2436" s="56" t="s">
        <v>3554</v>
      </c>
      <c r="D2436" s="56" t="s">
        <v>25</v>
      </c>
      <c r="E2436" s="56" t="s">
        <v>3751</v>
      </c>
      <c r="F2436" s="56" t="s">
        <v>3750</v>
      </c>
      <c r="G2436" s="58" t="s">
        <v>3551</v>
      </c>
      <c r="H2436" s="56">
        <v>1</v>
      </c>
      <c r="I2436" s="56" t="s">
        <v>3550</v>
      </c>
      <c r="J2436" s="56">
        <v>0</v>
      </c>
      <c r="K2436" s="56">
        <v>0</v>
      </c>
      <c r="P2436" s="56">
        <v>0</v>
      </c>
      <c r="S2436" s="56">
        <v>0</v>
      </c>
      <c r="T2436" s="56" t="s">
        <v>3562</v>
      </c>
      <c r="V2436" s="56" t="s">
        <v>3561</v>
      </c>
      <c r="W2436" s="56" t="s">
        <v>3548</v>
      </c>
      <c r="X2436" s="56" t="s">
        <v>39</v>
      </c>
      <c r="Y2436" s="56" t="s">
        <v>3749</v>
      </c>
      <c r="Z2436" s="56" t="s">
        <v>3748</v>
      </c>
      <c r="AC2436" s="56" t="s">
        <v>3543</v>
      </c>
      <c r="AH2436" s="56" t="s">
        <v>3542</v>
      </c>
      <c r="AI2436" s="56" t="s">
        <v>3541</v>
      </c>
    </row>
    <row r="2437" spans="1:35" ht="33" customHeight="1">
      <c r="A2437" s="56" t="s">
        <v>3752</v>
      </c>
      <c r="B2437" s="57">
        <v>44368.457152777781</v>
      </c>
      <c r="C2437" s="56" t="s">
        <v>3554</v>
      </c>
      <c r="D2437" s="56" t="s">
        <v>25</v>
      </c>
      <c r="E2437" s="56" t="s">
        <v>3751</v>
      </c>
      <c r="F2437" s="56" t="s">
        <v>3750</v>
      </c>
      <c r="G2437" s="58" t="s">
        <v>1713</v>
      </c>
      <c r="H2437" s="56">
        <v>1</v>
      </c>
      <c r="I2437" s="56" t="s">
        <v>3568</v>
      </c>
      <c r="J2437" s="56">
        <v>0</v>
      </c>
      <c r="K2437" s="56">
        <v>0</v>
      </c>
      <c r="P2437" s="56">
        <v>0</v>
      </c>
      <c r="S2437" s="56">
        <v>0</v>
      </c>
      <c r="T2437" s="56" t="s">
        <v>3562</v>
      </c>
      <c r="V2437" s="56" t="s">
        <v>3561</v>
      </c>
      <c r="W2437" s="56" t="s">
        <v>3548</v>
      </c>
      <c r="X2437" s="56" t="s">
        <v>39</v>
      </c>
      <c r="Y2437" s="56" t="s">
        <v>3749</v>
      </c>
      <c r="Z2437" s="56" t="s">
        <v>3748</v>
      </c>
      <c r="AC2437" s="56" t="s">
        <v>3543</v>
      </c>
      <c r="AH2437" s="56" t="s">
        <v>3542</v>
      </c>
      <c r="AI2437" s="56" t="s">
        <v>3541</v>
      </c>
    </row>
    <row r="2438" spans="1:35" ht="33" customHeight="1">
      <c r="A2438" s="56" t="s">
        <v>3745</v>
      </c>
      <c r="B2438" s="57">
        <v>44368.46402777778</v>
      </c>
      <c r="C2438" s="56" t="s">
        <v>3554</v>
      </c>
      <c r="D2438" s="56" t="s">
        <v>25</v>
      </c>
      <c r="E2438" s="56" t="s">
        <v>3744</v>
      </c>
      <c r="F2438" s="56" t="s">
        <v>3743</v>
      </c>
      <c r="G2438" s="58" t="s">
        <v>3557</v>
      </c>
      <c r="H2438" s="56">
        <v>1</v>
      </c>
      <c r="I2438" s="56" t="s">
        <v>3556</v>
      </c>
      <c r="J2438" s="56">
        <v>250</v>
      </c>
      <c r="K2438" s="56">
        <v>199</v>
      </c>
      <c r="L2438" s="56">
        <v>1099</v>
      </c>
      <c r="M2438" s="56">
        <v>0</v>
      </c>
      <c r="N2438" s="56">
        <v>0</v>
      </c>
      <c r="O2438" s="56">
        <v>100</v>
      </c>
      <c r="P2438" s="56">
        <v>0</v>
      </c>
      <c r="Q2438" s="56">
        <v>999</v>
      </c>
      <c r="R2438" s="56">
        <v>0</v>
      </c>
      <c r="S2438" s="56">
        <v>0</v>
      </c>
      <c r="T2438" s="56" t="s">
        <v>3562</v>
      </c>
      <c r="U2438" s="56">
        <v>999</v>
      </c>
      <c r="V2438" s="56" t="s">
        <v>59</v>
      </c>
      <c r="W2438" s="56" t="s">
        <v>3548</v>
      </c>
      <c r="X2438" s="56" t="s">
        <v>39</v>
      </c>
      <c r="Y2438" s="56" t="s">
        <v>3742</v>
      </c>
      <c r="Z2438" s="56" t="s">
        <v>3741</v>
      </c>
      <c r="AC2438" s="56" t="s">
        <v>3543</v>
      </c>
      <c r="AH2438" s="56" t="s">
        <v>3542</v>
      </c>
      <c r="AI2438" s="56" t="s">
        <v>3541</v>
      </c>
    </row>
    <row r="2439" spans="1:35" ht="33" customHeight="1">
      <c r="A2439" s="56" t="s">
        <v>3745</v>
      </c>
      <c r="B2439" s="57">
        <v>44368.46402777778</v>
      </c>
      <c r="C2439" s="56" t="s">
        <v>3554</v>
      </c>
      <c r="D2439" s="56" t="s">
        <v>25</v>
      </c>
      <c r="E2439" s="56" t="s">
        <v>3744</v>
      </c>
      <c r="F2439" s="56" t="s">
        <v>3743</v>
      </c>
      <c r="G2439" s="58" t="s">
        <v>3747</v>
      </c>
      <c r="H2439" s="56">
        <v>2</v>
      </c>
      <c r="I2439" s="56" t="s">
        <v>3746</v>
      </c>
      <c r="J2439" s="56">
        <v>660</v>
      </c>
      <c r="K2439" s="56">
        <v>450</v>
      </c>
      <c r="P2439" s="56">
        <v>0</v>
      </c>
      <c r="S2439" s="56">
        <v>0</v>
      </c>
      <c r="T2439" s="56" t="s">
        <v>3562</v>
      </c>
      <c r="V2439" s="56" t="s">
        <v>59</v>
      </c>
      <c r="W2439" s="56" t="s">
        <v>3548</v>
      </c>
      <c r="X2439" s="56" t="s">
        <v>39</v>
      </c>
      <c r="Y2439" s="56" t="s">
        <v>3742</v>
      </c>
      <c r="Z2439" s="56" t="s">
        <v>3741</v>
      </c>
      <c r="AC2439" s="56" t="s">
        <v>3543</v>
      </c>
      <c r="AH2439" s="56" t="s">
        <v>3542</v>
      </c>
      <c r="AI2439" s="56" t="s">
        <v>3541</v>
      </c>
    </row>
    <row r="2440" spans="1:35" ht="33" customHeight="1">
      <c r="A2440" s="56" t="s">
        <v>3745</v>
      </c>
      <c r="B2440" s="57">
        <v>44368.46402777778</v>
      </c>
      <c r="C2440" s="56" t="s">
        <v>3554</v>
      </c>
      <c r="D2440" s="56" t="s">
        <v>25</v>
      </c>
      <c r="E2440" s="56" t="s">
        <v>3744</v>
      </c>
      <c r="F2440" s="56" t="s">
        <v>3743</v>
      </c>
      <c r="G2440" s="58" t="s">
        <v>3551</v>
      </c>
      <c r="H2440" s="56">
        <v>1</v>
      </c>
      <c r="I2440" s="56" t="s">
        <v>3550</v>
      </c>
      <c r="J2440" s="56">
        <v>0</v>
      </c>
      <c r="K2440" s="56">
        <v>0</v>
      </c>
      <c r="P2440" s="56">
        <v>0</v>
      </c>
      <c r="S2440" s="56">
        <v>0</v>
      </c>
      <c r="T2440" s="56" t="s">
        <v>3562</v>
      </c>
      <c r="V2440" s="56" t="s">
        <v>59</v>
      </c>
      <c r="W2440" s="56" t="s">
        <v>3548</v>
      </c>
      <c r="X2440" s="56" t="s">
        <v>39</v>
      </c>
      <c r="Y2440" s="56" t="s">
        <v>3742</v>
      </c>
      <c r="Z2440" s="56" t="s">
        <v>3741</v>
      </c>
      <c r="AC2440" s="56" t="s">
        <v>3543</v>
      </c>
      <c r="AH2440" s="56" t="s">
        <v>3542</v>
      </c>
      <c r="AI2440" s="56" t="s">
        <v>3541</v>
      </c>
    </row>
    <row r="2441" spans="1:35" ht="33" customHeight="1">
      <c r="A2441" s="56" t="s">
        <v>3739</v>
      </c>
      <c r="B2441" s="57">
        <v>44368.483460648145</v>
      </c>
      <c r="C2441" s="56" t="s">
        <v>3554</v>
      </c>
      <c r="D2441" s="56" t="s">
        <v>25</v>
      </c>
      <c r="E2441" s="56" t="s">
        <v>3738</v>
      </c>
      <c r="F2441" s="56" t="s">
        <v>3737</v>
      </c>
      <c r="G2441" s="58" t="s">
        <v>3580</v>
      </c>
      <c r="H2441" s="56">
        <v>1</v>
      </c>
      <c r="I2441" s="56" t="s">
        <v>3579</v>
      </c>
      <c r="J2441" s="56">
        <v>336</v>
      </c>
      <c r="K2441" s="56">
        <v>320</v>
      </c>
      <c r="L2441" s="56">
        <v>942</v>
      </c>
      <c r="M2441" s="56">
        <v>0</v>
      </c>
      <c r="N2441" s="56">
        <v>0</v>
      </c>
      <c r="O2441" s="56">
        <v>0</v>
      </c>
      <c r="P2441" s="56">
        <v>0</v>
      </c>
      <c r="Q2441" s="56">
        <v>942</v>
      </c>
      <c r="R2441" s="56">
        <v>0</v>
      </c>
      <c r="S2441" s="56">
        <v>0</v>
      </c>
      <c r="T2441" s="56" t="s">
        <v>27</v>
      </c>
      <c r="U2441" s="56">
        <v>942</v>
      </c>
      <c r="V2441" s="56" t="s">
        <v>3736</v>
      </c>
      <c r="W2441" s="56" t="s">
        <v>3548</v>
      </c>
      <c r="X2441" s="56" t="s">
        <v>3735</v>
      </c>
      <c r="Y2441" s="56" t="s">
        <v>3734</v>
      </c>
      <c r="Z2441" s="56" t="s">
        <v>3733</v>
      </c>
      <c r="AC2441" s="56" t="s">
        <v>3543</v>
      </c>
      <c r="AH2441" s="56" t="s">
        <v>3542</v>
      </c>
      <c r="AI2441" s="56" t="s">
        <v>3541</v>
      </c>
    </row>
    <row r="2442" spans="1:35" ht="33" customHeight="1">
      <c r="A2442" s="56" t="s">
        <v>3739</v>
      </c>
      <c r="B2442" s="57">
        <v>44368.483460648145</v>
      </c>
      <c r="C2442" s="56" t="s">
        <v>3554</v>
      </c>
      <c r="D2442" s="56" t="s">
        <v>25</v>
      </c>
      <c r="E2442" s="56" t="s">
        <v>3738</v>
      </c>
      <c r="F2442" s="56" t="s">
        <v>3737</v>
      </c>
      <c r="G2442" s="58" t="s">
        <v>1514</v>
      </c>
      <c r="H2442" s="56">
        <v>1</v>
      </c>
      <c r="I2442" s="56" t="s">
        <v>3740</v>
      </c>
      <c r="J2442" s="56">
        <v>220</v>
      </c>
      <c r="K2442" s="56">
        <v>168</v>
      </c>
      <c r="P2442" s="56">
        <v>0</v>
      </c>
      <c r="S2442" s="56">
        <v>0</v>
      </c>
      <c r="T2442" s="56" t="s">
        <v>27</v>
      </c>
      <c r="V2442" s="56" t="s">
        <v>3736</v>
      </c>
      <c r="W2442" s="56" t="s">
        <v>3548</v>
      </c>
      <c r="X2442" s="56" t="s">
        <v>3735</v>
      </c>
      <c r="Y2442" s="56" t="s">
        <v>3734</v>
      </c>
      <c r="Z2442" s="56" t="s">
        <v>3733</v>
      </c>
      <c r="AC2442" s="56" t="s">
        <v>3543</v>
      </c>
      <c r="AH2442" s="56" t="s">
        <v>3542</v>
      </c>
      <c r="AI2442" s="56" t="s">
        <v>3541</v>
      </c>
    </row>
    <row r="2443" spans="1:35" ht="33" customHeight="1">
      <c r="A2443" s="56" t="s">
        <v>3739</v>
      </c>
      <c r="B2443" s="57">
        <v>44368.483460648145</v>
      </c>
      <c r="C2443" s="56" t="s">
        <v>3554</v>
      </c>
      <c r="D2443" s="56" t="s">
        <v>25</v>
      </c>
      <c r="E2443" s="56" t="s">
        <v>3738</v>
      </c>
      <c r="F2443" s="56" t="s">
        <v>3737</v>
      </c>
      <c r="G2443" s="58" t="s">
        <v>1517</v>
      </c>
      <c r="H2443" s="56">
        <v>1</v>
      </c>
      <c r="I2443" s="56" t="s">
        <v>3740</v>
      </c>
      <c r="J2443" s="56">
        <v>220</v>
      </c>
      <c r="K2443" s="56">
        <v>168</v>
      </c>
      <c r="P2443" s="56">
        <v>0</v>
      </c>
      <c r="S2443" s="56">
        <v>0</v>
      </c>
      <c r="T2443" s="56" t="s">
        <v>27</v>
      </c>
      <c r="V2443" s="56" t="s">
        <v>3736</v>
      </c>
      <c r="W2443" s="56" t="s">
        <v>3548</v>
      </c>
      <c r="X2443" s="56" t="s">
        <v>3735</v>
      </c>
      <c r="Y2443" s="56" t="s">
        <v>3734</v>
      </c>
      <c r="Z2443" s="56" t="s">
        <v>3733</v>
      </c>
      <c r="AC2443" s="56" t="s">
        <v>3543</v>
      </c>
      <c r="AH2443" s="56" t="s">
        <v>3542</v>
      </c>
      <c r="AI2443" s="56" t="s">
        <v>3541</v>
      </c>
    </row>
    <row r="2444" spans="1:35" ht="33" customHeight="1">
      <c r="A2444" s="56" t="s">
        <v>3739</v>
      </c>
      <c r="B2444" s="57">
        <v>44368.483460648145</v>
      </c>
      <c r="C2444" s="56" t="s">
        <v>3554</v>
      </c>
      <c r="D2444" s="56" t="s">
        <v>25</v>
      </c>
      <c r="E2444" s="56" t="s">
        <v>3738</v>
      </c>
      <c r="F2444" s="56" t="s">
        <v>3737</v>
      </c>
      <c r="G2444" s="58" t="s">
        <v>1512</v>
      </c>
      <c r="H2444" s="56">
        <v>1</v>
      </c>
      <c r="I2444" s="56" t="s">
        <v>3740</v>
      </c>
      <c r="J2444" s="56">
        <v>220</v>
      </c>
      <c r="K2444" s="56">
        <v>168</v>
      </c>
      <c r="P2444" s="56">
        <v>0</v>
      </c>
      <c r="S2444" s="56">
        <v>0</v>
      </c>
      <c r="T2444" s="56" t="s">
        <v>27</v>
      </c>
      <c r="V2444" s="56" t="s">
        <v>3736</v>
      </c>
      <c r="W2444" s="56" t="s">
        <v>3548</v>
      </c>
      <c r="X2444" s="56" t="s">
        <v>3735</v>
      </c>
      <c r="Y2444" s="56" t="s">
        <v>3734</v>
      </c>
      <c r="Z2444" s="56" t="s">
        <v>3733</v>
      </c>
      <c r="AC2444" s="56" t="s">
        <v>3543</v>
      </c>
      <c r="AH2444" s="56" t="s">
        <v>3542</v>
      </c>
      <c r="AI2444" s="56" t="s">
        <v>3541</v>
      </c>
    </row>
    <row r="2445" spans="1:35" ht="33" customHeight="1">
      <c r="A2445" s="56" t="s">
        <v>3739</v>
      </c>
      <c r="B2445" s="57">
        <v>44368.483460648145</v>
      </c>
      <c r="C2445" s="56" t="s">
        <v>3554</v>
      </c>
      <c r="D2445" s="56" t="s">
        <v>25</v>
      </c>
      <c r="E2445" s="56" t="s">
        <v>3738</v>
      </c>
      <c r="F2445" s="56" t="s">
        <v>3737</v>
      </c>
      <c r="G2445" s="58" t="s">
        <v>3222</v>
      </c>
      <c r="H2445" s="56">
        <v>1</v>
      </c>
      <c r="I2445" s="56" t="s">
        <v>3712</v>
      </c>
      <c r="J2445" s="56">
        <v>59</v>
      </c>
      <c r="K2445" s="56">
        <v>59</v>
      </c>
      <c r="P2445" s="56">
        <v>0</v>
      </c>
      <c r="S2445" s="56">
        <v>0</v>
      </c>
      <c r="T2445" s="56" t="s">
        <v>27</v>
      </c>
      <c r="V2445" s="56" t="s">
        <v>3736</v>
      </c>
      <c r="W2445" s="56" t="s">
        <v>3548</v>
      </c>
      <c r="X2445" s="56" t="s">
        <v>3735</v>
      </c>
      <c r="Y2445" s="56" t="s">
        <v>3734</v>
      </c>
      <c r="Z2445" s="56" t="s">
        <v>3733</v>
      </c>
      <c r="AC2445" s="56" t="s">
        <v>3543</v>
      </c>
      <c r="AH2445" s="56" t="s">
        <v>3542</v>
      </c>
      <c r="AI2445" s="56" t="s">
        <v>3541</v>
      </c>
    </row>
    <row r="2446" spans="1:35" ht="33" customHeight="1">
      <c r="A2446" s="56" t="s">
        <v>3739</v>
      </c>
      <c r="B2446" s="57">
        <v>44368.483460648145</v>
      </c>
      <c r="C2446" s="56" t="s">
        <v>3554</v>
      </c>
      <c r="D2446" s="56" t="s">
        <v>25</v>
      </c>
      <c r="E2446" s="56" t="s">
        <v>3738</v>
      </c>
      <c r="F2446" s="56" t="s">
        <v>3737</v>
      </c>
      <c r="G2446" s="58" t="s">
        <v>3217</v>
      </c>
      <c r="H2446" s="56">
        <v>1</v>
      </c>
      <c r="I2446" s="56" t="s">
        <v>3720</v>
      </c>
      <c r="J2446" s="56">
        <v>59</v>
      </c>
      <c r="K2446" s="56">
        <v>59</v>
      </c>
      <c r="P2446" s="56">
        <v>0</v>
      </c>
      <c r="S2446" s="56">
        <v>0</v>
      </c>
      <c r="T2446" s="56" t="s">
        <v>27</v>
      </c>
      <c r="V2446" s="56" t="s">
        <v>3736</v>
      </c>
      <c r="W2446" s="56" t="s">
        <v>3548</v>
      </c>
      <c r="X2446" s="56" t="s">
        <v>3735</v>
      </c>
      <c r="Y2446" s="56" t="s">
        <v>3734</v>
      </c>
      <c r="Z2446" s="56" t="s">
        <v>3733</v>
      </c>
      <c r="AC2446" s="56" t="s">
        <v>3543</v>
      </c>
      <c r="AH2446" s="56" t="s">
        <v>3542</v>
      </c>
      <c r="AI2446" s="56" t="s">
        <v>3541</v>
      </c>
    </row>
    <row r="2447" spans="1:35" ht="33" customHeight="1">
      <c r="A2447" s="56" t="s">
        <v>3739</v>
      </c>
      <c r="B2447" s="57">
        <v>44368.483460648145</v>
      </c>
      <c r="C2447" s="56" t="s">
        <v>3554</v>
      </c>
      <c r="D2447" s="56" t="s">
        <v>25</v>
      </c>
      <c r="E2447" s="56" t="s">
        <v>3738</v>
      </c>
      <c r="F2447" s="56" t="s">
        <v>3737</v>
      </c>
      <c r="G2447" s="58" t="s">
        <v>3551</v>
      </c>
      <c r="H2447" s="56">
        <v>1</v>
      </c>
      <c r="I2447" s="56" t="s">
        <v>3550</v>
      </c>
      <c r="J2447" s="56">
        <v>0</v>
      </c>
      <c r="K2447" s="56">
        <v>0</v>
      </c>
      <c r="P2447" s="56">
        <v>0</v>
      </c>
      <c r="S2447" s="56">
        <v>0</v>
      </c>
      <c r="T2447" s="56" t="s">
        <v>27</v>
      </c>
      <c r="V2447" s="56" t="s">
        <v>3736</v>
      </c>
      <c r="W2447" s="56" t="s">
        <v>3548</v>
      </c>
      <c r="X2447" s="56" t="s">
        <v>3735</v>
      </c>
      <c r="Y2447" s="56" t="s">
        <v>3734</v>
      </c>
      <c r="Z2447" s="56" t="s">
        <v>3733</v>
      </c>
      <c r="AC2447" s="56" t="s">
        <v>3543</v>
      </c>
      <c r="AH2447" s="56" t="s">
        <v>3542</v>
      </c>
      <c r="AI2447" s="56" t="s">
        <v>3541</v>
      </c>
    </row>
    <row r="2448" spans="1:35" ht="33" customHeight="1">
      <c r="A2448" s="56" t="s">
        <v>3730</v>
      </c>
      <c r="B2448" s="57">
        <v>44368.491400462961</v>
      </c>
      <c r="C2448" s="56" t="s">
        <v>3554</v>
      </c>
      <c r="D2448" s="56" t="s">
        <v>25</v>
      </c>
      <c r="E2448" s="56" t="s">
        <v>3729</v>
      </c>
      <c r="F2448" s="56" t="s">
        <v>3728</v>
      </c>
      <c r="G2448" s="58" t="s">
        <v>3732</v>
      </c>
      <c r="H2448" s="56">
        <v>1</v>
      </c>
      <c r="I2448" s="56" t="s">
        <v>3731</v>
      </c>
      <c r="J2448" s="56">
        <v>867</v>
      </c>
      <c r="K2448" s="56">
        <v>550</v>
      </c>
      <c r="L2448" s="56">
        <v>695</v>
      </c>
      <c r="M2448" s="56">
        <v>60</v>
      </c>
      <c r="N2448" s="56">
        <v>0</v>
      </c>
      <c r="O2448" s="56">
        <v>0</v>
      </c>
      <c r="P2448" s="56">
        <v>0</v>
      </c>
      <c r="Q2448" s="56">
        <v>755</v>
      </c>
      <c r="R2448" s="56">
        <v>0</v>
      </c>
      <c r="S2448" s="56">
        <v>0</v>
      </c>
      <c r="T2448" s="56" t="s">
        <v>3562</v>
      </c>
      <c r="U2448" s="56">
        <v>755</v>
      </c>
      <c r="V2448" s="56" t="s">
        <v>3561</v>
      </c>
      <c r="W2448" s="56" t="s">
        <v>3548</v>
      </c>
      <c r="X2448" s="56" t="s">
        <v>39</v>
      </c>
      <c r="Y2448" s="56" t="s">
        <v>3727</v>
      </c>
      <c r="Z2448" s="56" t="s">
        <v>3726</v>
      </c>
      <c r="AC2448" s="56" t="s">
        <v>3543</v>
      </c>
      <c r="AD2448" s="56" t="s">
        <v>24</v>
      </c>
      <c r="AE2448" s="56" t="s">
        <v>3725</v>
      </c>
      <c r="AF2448" s="56" t="s">
        <v>3724</v>
      </c>
      <c r="AH2448" s="56" t="s">
        <v>3542</v>
      </c>
      <c r="AI2448" s="56" t="s">
        <v>3723</v>
      </c>
    </row>
    <row r="2449" spans="1:35" ht="33" customHeight="1">
      <c r="A2449" s="56" t="s">
        <v>3730</v>
      </c>
      <c r="B2449" s="57">
        <v>44368.491400462961</v>
      </c>
      <c r="C2449" s="56" t="s">
        <v>3554</v>
      </c>
      <c r="D2449" s="56" t="s">
        <v>25</v>
      </c>
      <c r="E2449" s="56" t="s">
        <v>3729</v>
      </c>
      <c r="F2449" s="56" t="s">
        <v>3728</v>
      </c>
      <c r="G2449" s="58" t="s">
        <v>2156</v>
      </c>
      <c r="H2449" s="56">
        <v>1</v>
      </c>
      <c r="I2449" s="56" t="s">
        <v>1376</v>
      </c>
      <c r="J2449" s="56">
        <v>145</v>
      </c>
      <c r="K2449" s="56">
        <v>145</v>
      </c>
      <c r="P2449" s="56">
        <v>0</v>
      </c>
      <c r="S2449" s="56">
        <v>0</v>
      </c>
      <c r="T2449" s="56" t="s">
        <v>3562</v>
      </c>
      <c r="V2449" s="56" t="s">
        <v>3561</v>
      </c>
      <c r="W2449" s="56" t="s">
        <v>3548</v>
      </c>
      <c r="X2449" s="56" t="s">
        <v>39</v>
      </c>
      <c r="Y2449" s="56" t="s">
        <v>3727</v>
      </c>
      <c r="Z2449" s="56" t="s">
        <v>3726</v>
      </c>
      <c r="AC2449" s="56" t="s">
        <v>3543</v>
      </c>
      <c r="AD2449" s="56" t="s">
        <v>24</v>
      </c>
      <c r="AE2449" s="56" t="s">
        <v>3725</v>
      </c>
      <c r="AF2449" s="56" t="s">
        <v>3724</v>
      </c>
      <c r="AH2449" s="56" t="s">
        <v>3542</v>
      </c>
      <c r="AI2449" s="56" t="s">
        <v>3723</v>
      </c>
    </row>
    <row r="2450" spans="1:35" ht="33" customHeight="1">
      <c r="A2450" s="56" t="s">
        <v>3730</v>
      </c>
      <c r="B2450" s="57">
        <v>44368.491400462961</v>
      </c>
      <c r="C2450" s="56" t="s">
        <v>3554</v>
      </c>
      <c r="D2450" s="56" t="s">
        <v>25</v>
      </c>
      <c r="E2450" s="56" t="s">
        <v>3729</v>
      </c>
      <c r="F2450" s="56" t="s">
        <v>3728</v>
      </c>
      <c r="G2450" s="58" t="s">
        <v>3551</v>
      </c>
      <c r="H2450" s="56">
        <v>1</v>
      </c>
      <c r="I2450" s="56" t="s">
        <v>3550</v>
      </c>
      <c r="J2450" s="56">
        <v>0</v>
      </c>
      <c r="K2450" s="56">
        <v>0</v>
      </c>
      <c r="P2450" s="56">
        <v>0</v>
      </c>
      <c r="S2450" s="56">
        <v>0</v>
      </c>
      <c r="T2450" s="56" t="s">
        <v>3562</v>
      </c>
      <c r="V2450" s="56" t="s">
        <v>3561</v>
      </c>
      <c r="W2450" s="56" t="s">
        <v>3548</v>
      </c>
      <c r="X2450" s="56" t="s">
        <v>39</v>
      </c>
      <c r="Y2450" s="56" t="s">
        <v>3727</v>
      </c>
      <c r="Z2450" s="56" t="s">
        <v>3726</v>
      </c>
      <c r="AC2450" s="56" t="s">
        <v>3543</v>
      </c>
      <c r="AD2450" s="56" t="s">
        <v>24</v>
      </c>
      <c r="AE2450" s="56" t="s">
        <v>3725</v>
      </c>
      <c r="AF2450" s="56" t="s">
        <v>3724</v>
      </c>
      <c r="AH2450" s="56" t="s">
        <v>3542</v>
      </c>
      <c r="AI2450" s="56" t="s">
        <v>3723</v>
      </c>
    </row>
    <row r="2451" spans="1:35" ht="33" customHeight="1">
      <c r="A2451" s="56" t="s">
        <v>3719</v>
      </c>
      <c r="B2451" s="57">
        <v>44368.495046296295</v>
      </c>
      <c r="C2451" s="56" t="s">
        <v>3554</v>
      </c>
      <c r="D2451" s="56" t="s">
        <v>25</v>
      </c>
      <c r="E2451" s="56" t="s">
        <v>3718</v>
      </c>
      <c r="F2451" s="56" t="s">
        <v>3717</v>
      </c>
      <c r="G2451" s="58" t="s">
        <v>3558</v>
      </c>
      <c r="H2451" s="56">
        <v>1</v>
      </c>
      <c r="I2451" s="56" t="s">
        <v>3556</v>
      </c>
      <c r="J2451" s="56">
        <v>250</v>
      </c>
      <c r="K2451" s="56">
        <v>199</v>
      </c>
      <c r="L2451" s="56">
        <v>1592</v>
      </c>
      <c r="M2451" s="56">
        <v>0</v>
      </c>
      <c r="N2451" s="56">
        <v>0</v>
      </c>
      <c r="O2451" s="56">
        <v>160</v>
      </c>
      <c r="P2451" s="56">
        <v>0</v>
      </c>
      <c r="Q2451" s="56">
        <v>1432</v>
      </c>
      <c r="R2451" s="56">
        <v>0</v>
      </c>
      <c r="S2451" s="56">
        <v>0</v>
      </c>
      <c r="T2451" s="56" t="s">
        <v>3562</v>
      </c>
      <c r="U2451" s="56">
        <v>1432</v>
      </c>
      <c r="V2451" s="56" t="s">
        <v>3561</v>
      </c>
      <c r="W2451" s="56" t="s">
        <v>3548</v>
      </c>
      <c r="X2451" s="56" t="s">
        <v>3716</v>
      </c>
      <c r="Z2451" s="56" t="s">
        <v>3546</v>
      </c>
      <c r="AA2451" s="56" t="s">
        <v>3715</v>
      </c>
      <c r="AB2451" s="56" t="s">
        <v>3714</v>
      </c>
      <c r="AC2451" s="56" t="s">
        <v>3543</v>
      </c>
      <c r="AH2451" s="56" t="s">
        <v>3542</v>
      </c>
      <c r="AI2451" s="56" t="s">
        <v>3541</v>
      </c>
    </row>
    <row r="2452" spans="1:35" ht="33" customHeight="1">
      <c r="A2452" s="56" t="s">
        <v>3719</v>
      </c>
      <c r="B2452" s="57">
        <v>44368.495046296295</v>
      </c>
      <c r="C2452" s="56" t="s">
        <v>3554</v>
      </c>
      <c r="D2452" s="56" t="s">
        <v>25</v>
      </c>
      <c r="E2452" s="56" t="s">
        <v>3718</v>
      </c>
      <c r="F2452" s="56" t="s">
        <v>3717</v>
      </c>
      <c r="G2452" s="58" t="s">
        <v>3557</v>
      </c>
      <c r="H2452" s="56">
        <v>1</v>
      </c>
      <c r="I2452" s="56" t="s">
        <v>3556</v>
      </c>
      <c r="J2452" s="56">
        <v>250</v>
      </c>
      <c r="K2452" s="56">
        <v>199</v>
      </c>
      <c r="P2452" s="56">
        <v>0</v>
      </c>
      <c r="S2452" s="56">
        <v>0</v>
      </c>
      <c r="T2452" s="56" t="s">
        <v>3562</v>
      </c>
      <c r="V2452" s="56" t="s">
        <v>3561</v>
      </c>
      <c r="W2452" s="56" t="s">
        <v>3548</v>
      </c>
      <c r="X2452" s="56" t="s">
        <v>3716</v>
      </c>
      <c r="Z2452" s="56" t="s">
        <v>3546</v>
      </c>
      <c r="AA2452" s="56" t="s">
        <v>3715</v>
      </c>
      <c r="AB2452" s="56" t="s">
        <v>3714</v>
      </c>
      <c r="AC2452" s="56" t="s">
        <v>3543</v>
      </c>
      <c r="AH2452" s="56" t="s">
        <v>3542</v>
      </c>
      <c r="AI2452" s="56" t="s">
        <v>3541</v>
      </c>
    </row>
    <row r="2453" spans="1:35" ht="33" customHeight="1">
      <c r="A2453" s="56" t="s">
        <v>3719</v>
      </c>
      <c r="B2453" s="57">
        <v>44368.495046296295</v>
      </c>
      <c r="C2453" s="56" t="s">
        <v>3554</v>
      </c>
      <c r="D2453" s="56" t="s">
        <v>25</v>
      </c>
      <c r="E2453" s="56" t="s">
        <v>3718</v>
      </c>
      <c r="F2453" s="56" t="s">
        <v>3717</v>
      </c>
      <c r="G2453" s="58" t="s">
        <v>3192</v>
      </c>
      <c r="H2453" s="56">
        <v>1</v>
      </c>
      <c r="I2453" s="56" t="s">
        <v>3722</v>
      </c>
      <c r="J2453" s="56">
        <v>168</v>
      </c>
      <c r="K2453" s="56">
        <v>168</v>
      </c>
      <c r="P2453" s="56">
        <v>0</v>
      </c>
      <c r="S2453" s="56">
        <v>0</v>
      </c>
      <c r="T2453" s="56" t="s">
        <v>3562</v>
      </c>
      <c r="V2453" s="56" t="s">
        <v>3561</v>
      </c>
      <c r="W2453" s="56" t="s">
        <v>3548</v>
      </c>
      <c r="X2453" s="56" t="s">
        <v>3716</v>
      </c>
      <c r="Z2453" s="56" t="s">
        <v>3546</v>
      </c>
      <c r="AA2453" s="56" t="s">
        <v>3715</v>
      </c>
      <c r="AB2453" s="56" t="s">
        <v>3714</v>
      </c>
      <c r="AC2453" s="56" t="s">
        <v>3543</v>
      </c>
      <c r="AH2453" s="56" t="s">
        <v>3542</v>
      </c>
      <c r="AI2453" s="56" t="s">
        <v>3541</v>
      </c>
    </row>
    <row r="2454" spans="1:35" ht="33" customHeight="1">
      <c r="A2454" s="56" t="s">
        <v>3719</v>
      </c>
      <c r="B2454" s="57">
        <v>44368.495046296295</v>
      </c>
      <c r="C2454" s="56" t="s">
        <v>3554</v>
      </c>
      <c r="D2454" s="56" t="s">
        <v>25</v>
      </c>
      <c r="E2454" s="56" t="s">
        <v>3718</v>
      </c>
      <c r="F2454" s="56" t="s">
        <v>3717</v>
      </c>
      <c r="G2454" s="58" t="s">
        <v>2165</v>
      </c>
      <c r="H2454" s="56">
        <v>1</v>
      </c>
      <c r="I2454" s="56" t="s">
        <v>3721</v>
      </c>
      <c r="J2454" s="56">
        <v>109</v>
      </c>
      <c r="K2454" s="56">
        <v>109</v>
      </c>
      <c r="P2454" s="56">
        <v>0</v>
      </c>
      <c r="S2454" s="56">
        <v>0</v>
      </c>
      <c r="T2454" s="56" t="s">
        <v>3562</v>
      </c>
      <c r="V2454" s="56" t="s">
        <v>3561</v>
      </c>
      <c r="W2454" s="56" t="s">
        <v>3548</v>
      </c>
      <c r="X2454" s="56" t="s">
        <v>3716</v>
      </c>
      <c r="Z2454" s="56" t="s">
        <v>3546</v>
      </c>
      <c r="AA2454" s="56" t="s">
        <v>3715</v>
      </c>
      <c r="AB2454" s="56" t="s">
        <v>3714</v>
      </c>
      <c r="AC2454" s="56" t="s">
        <v>3543</v>
      </c>
      <c r="AH2454" s="56" t="s">
        <v>3542</v>
      </c>
      <c r="AI2454" s="56" t="s">
        <v>3541</v>
      </c>
    </row>
    <row r="2455" spans="1:35" ht="33" customHeight="1">
      <c r="A2455" s="56" t="s">
        <v>3719</v>
      </c>
      <c r="B2455" s="57">
        <v>44368.495046296295</v>
      </c>
      <c r="C2455" s="56" t="s">
        <v>3554</v>
      </c>
      <c r="D2455" s="56" t="s">
        <v>25</v>
      </c>
      <c r="E2455" s="56" t="s">
        <v>3718</v>
      </c>
      <c r="F2455" s="56" t="s">
        <v>3717</v>
      </c>
      <c r="G2455" s="58" t="s">
        <v>3222</v>
      </c>
      <c r="H2455" s="56">
        <v>1</v>
      </c>
      <c r="I2455" s="56" t="s">
        <v>3712</v>
      </c>
      <c r="J2455" s="56">
        <v>59</v>
      </c>
      <c r="K2455" s="56">
        <v>59</v>
      </c>
      <c r="P2455" s="56">
        <v>0</v>
      </c>
      <c r="S2455" s="56">
        <v>0</v>
      </c>
      <c r="T2455" s="56" t="s">
        <v>3562</v>
      </c>
      <c r="V2455" s="56" t="s">
        <v>3561</v>
      </c>
      <c r="W2455" s="56" t="s">
        <v>3548</v>
      </c>
      <c r="X2455" s="56" t="s">
        <v>3716</v>
      </c>
      <c r="Z2455" s="56" t="s">
        <v>3546</v>
      </c>
      <c r="AA2455" s="56" t="s">
        <v>3715</v>
      </c>
      <c r="AB2455" s="56" t="s">
        <v>3714</v>
      </c>
      <c r="AC2455" s="56" t="s">
        <v>3543</v>
      </c>
      <c r="AH2455" s="56" t="s">
        <v>3542</v>
      </c>
      <c r="AI2455" s="56" t="s">
        <v>3541</v>
      </c>
    </row>
    <row r="2456" spans="1:35" ht="33" customHeight="1">
      <c r="A2456" s="56" t="s">
        <v>3719</v>
      </c>
      <c r="B2456" s="57">
        <v>44368.495046296295</v>
      </c>
      <c r="C2456" s="56" t="s">
        <v>3554</v>
      </c>
      <c r="D2456" s="56" t="s">
        <v>25</v>
      </c>
      <c r="E2456" s="56" t="s">
        <v>3718</v>
      </c>
      <c r="F2456" s="56" t="s">
        <v>3717</v>
      </c>
      <c r="G2456" s="58" t="s">
        <v>3217</v>
      </c>
      <c r="H2456" s="56">
        <v>1</v>
      </c>
      <c r="I2456" s="56" t="s">
        <v>3720</v>
      </c>
      <c r="J2456" s="56">
        <v>59</v>
      </c>
      <c r="K2456" s="56">
        <v>59</v>
      </c>
      <c r="P2456" s="56">
        <v>0</v>
      </c>
      <c r="S2456" s="56">
        <v>0</v>
      </c>
      <c r="T2456" s="56" t="s">
        <v>3562</v>
      </c>
      <c r="V2456" s="56" t="s">
        <v>3561</v>
      </c>
      <c r="W2456" s="56" t="s">
        <v>3548</v>
      </c>
      <c r="X2456" s="56" t="s">
        <v>3716</v>
      </c>
      <c r="Z2456" s="56" t="s">
        <v>3546</v>
      </c>
      <c r="AA2456" s="56" t="s">
        <v>3715</v>
      </c>
      <c r="AB2456" s="56" t="s">
        <v>3714</v>
      </c>
      <c r="AC2456" s="56" t="s">
        <v>3543</v>
      </c>
      <c r="AH2456" s="56" t="s">
        <v>3542</v>
      </c>
      <c r="AI2456" s="56" t="s">
        <v>3541</v>
      </c>
    </row>
    <row r="2457" spans="1:35" ht="33" customHeight="1">
      <c r="A2457" s="56" t="s">
        <v>3719</v>
      </c>
      <c r="B2457" s="57">
        <v>44368.495046296295</v>
      </c>
      <c r="C2457" s="56" t="s">
        <v>3554</v>
      </c>
      <c r="D2457" s="56" t="s">
        <v>25</v>
      </c>
      <c r="E2457" s="56" t="s">
        <v>3718</v>
      </c>
      <c r="F2457" s="56" t="s">
        <v>3717</v>
      </c>
      <c r="G2457" s="58" t="s">
        <v>3656</v>
      </c>
      <c r="H2457" s="56">
        <v>1</v>
      </c>
      <c r="I2457" s="56" t="s">
        <v>3655</v>
      </c>
      <c r="J2457" s="56">
        <v>1107</v>
      </c>
      <c r="K2457" s="56">
        <v>799</v>
      </c>
      <c r="P2457" s="56">
        <v>0</v>
      </c>
      <c r="S2457" s="56">
        <v>0</v>
      </c>
      <c r="T2457" s="56" t="s">
        <v>3562</v>
      </c>
      <c r="V2457" s="56" t="s">
        <v>3561</v>
      </c>
      <c r="W2457" s="56" t="s">
        <v>3548</v>
      </c>
      <c r="X2457" s="56" t="s">
        <v>3716</v>
      </c>
      <c r="Z2457" s="56" t="s">
        <v>3546</v>
      </c>
      <c r="AA2457" s="56" t="s">
        <v>3715</v>
      </c>
      <c r="AB2457" s="56" t="s">
        <v>3714</v>
      </c>
      <c r="AC2457" s="56" t="s">
        <v>3543</v>
      </c>
      <c r="AH2457" s="56" t="s">
        <v>3542</v>
      </c>
      <c r="AI2457" s="56" t="s">
        <v>3541</v>
      </c>
    </row>
    <row r="2458" spans="1:35" ht="33" customHeight="1">
      <c r="A2458" s="56" t="s">
        <v>3719</v>
      </c>
      <c r="B2458" s="57">
        <v>44368.495046296295</v>
      </c>
      <c r="C2458" s="56" t="s">
        <v>3554</v>
      </c>
      <c r="D2458" s="56" t="s">
        <v>25</v>
      </c>
      <c r="E2458" s="56" t="s">
        <v>3718</v>
      </c>
      <c r="F2458" s="56" t="s">
        <v>3717</v>
      </c>
      <c r="G2458" s="58" t="s">
        <v>3551</v>
      </c>
      <c r="H2458" s="56">
        <v>1</v>
      </c>
      <c r="I2458" s="56" t="s">
        <v>3550</v>
      </c>
      <c r="J2458" s="56">
        <v>0</v>
      </c>
      <c r="K2458" s="56">
        <v>0</v>
      </c>
      <c r="P2458" s="56">
        <v>0</v>
      </c>
      <c r="S2458" s="56">
        <v>0</v>
      </c>
      <c r="T2458" s="56" t="s">
        <v>3562</v>
      </c>
      <c r="V2458" s="56" t="s">
        <v>3561</v>
      </c>
      <c r="W2458" s="56" t="s">
        <v>3548</v>
      </c>
      <c r="X2458" s="56" t="s">
        <v>3716</v>
      </c>
      <c r="Z2458" s="56" t="s">
        <v>3546</v>
      </c>
      <c r="AA2458" s="56" t="s">
        <v>3715</v>
      </c>
      <c r="AB2458" s="56" t="s">
        <v>3714</v>
      </c>
      <c r="AC2458" s="56" t="s">
        <v>3543</v>
      </c>
      <c r="AH2458" s="56" t="s">
        <v>3542</v>
      </c>
      <c r="AI2458" s="56" t="s">
        <v>3541</v>
      </c>
    </row>
    <row r="2459" spans="1:35" ht="33" customHeight="1">
      <c r="A2459" s="56" t="s">
        <v>3719</v>
      </c>
      <c r="B2459" s="57">
        <v>44368.495046296295</v>
      </c>
      <c r="C2459" s="56" t="s">
        <v>3554</v>
      </c>
      <c r="D2459" s="56" t="s">
        <v>25</v>
      </c>
      <c r="E2459" s="56" t="s">
        <v>3718</v>
      </c>
      <c r="F2459" s="56" t="s">
        <v>3717</v>
      </c>
      <c r="G2459" s="58" t="s">
        <v>1713</v>
      </c>
      <c r="H2459" s="56">
        <v>1</v>
      </c>
      <c r="I2459" s="56" t="s">
        <v>3568</v>
      </c>
      <c r="J2459" s="56">
        <v>0</v>
      </c>
      <c r="K2459" s="56">
        <v>0</v>
      </c>
      <c r="P2459" s="56">
        <v>0</v>
      </c>
      <c r="S2459" s="56">
        <v>0</v>
      </c>
      <c r="T2459" s="56" t="s">
        <v>3562</v>
      </c>
      <c r="V2459" s="56" t="s">
        <v>3561</v>
      </c>
      <c r="W2459" s="56" t="s">
        <v>3548</v>
      </c>
      <c r="X2459" s="56" t="s">
        <v>3716</v>
      </c>
      <c r="Z2459" s="56" t="s">
        <v>3546</v>
      </c>
      <c r="AA2459" s="56" t="s">
        <v>3715</v>
      </c>
      <c r="AB2459" s="56" t="s">
        <v>3714</v>
      </c>
      <c r="AC2459" s="56" t="s">
        <v>3543</v>
      </c>
      <c r="AH2459" s="56" t="s">
        <v>3542</v>
      </c>
      <c r="AI2459" s="56" t="s">
        <v>3541</v>
      </c>
    </row>
    <row r="2460" spans="1:35" ht="33" customHeight="1">
      <c r="A2460" s="56" t="s">
        <v>3711</v>
      </c>
      <c r="B2460" s="57">
        <v>44368.513287037036</v>
      </c>
      <c r="C2460" s="56" t="s">
        <v>3554</v>
      </c>
      <c r="D2460" s="56" t="s">
        <v>25</v>
      </c>
      <c r="E2460" s="56" t="s">
        <v>3710</v>
      </c>
      <c r="F2460" s="56" t="s">
        <v>3709</v>
      </c>
      <c r="G2460" s="58" t="s">
        <v>3713</v>
      </c>
      <c r="H2460" s="56">
        <v>1</v>
      </c>
      <c r="I2460" s="56" t="s">
        <v>3669</v>
      </c>
      <c r="J2460" s="56">
        <v>897</v>
      </c>
      <c r="K2460" s="56">
        <v>888</v>
      </c>
      <c r="L2460" s="56">
        <v>947</v>
      </c>
      <c r="M2460" s="56">
        <v>0</v>
      </c>
      <c r="N2460" s="56">
        <v>0</v>
      </c>
      <c r="O2460" s="56">
        <v>0</v>
      </c>
      <c r="P2460" s="56">
        <v>0</v>
      </c>
      <c r="Q2460" s="56">
        <v>947</v>
      </c>
      <c r="R2460" s="56">
        <v>0</v>
      </c>
      <c r="S2460" s="56">
        <v>0</v>
      </c>
      <c r="T2460" s="56" t="s">
        <v>27</v>
      </c>
      <c r="U2460" s="56">
        <v>947</v>
      </c>
      <c r="V2460" s="56" t="s">
        <v>3549</v>
      </c>
      <c r="W2460" s="56" t="s">
        <v>3548</v>
      </c>
      <c r="X2460" s="56" t="s">
        <v>3547</v>
      </c>
      <c r="Z2460" s="56" t="s">
        <v>3546</v>
      </c>
      <c r="AA2460" s="56" t="s">
        <v>3708</v>
      </c>
      <c r="AB2460" s="56" t="s">
        <v>3707</v>
      </c>
      <c r="AC2460" s="56" t="s">
        <v>3543</v>
      </c>
      <c r="AH2460" s="56" t="s">
        <v>3542</v>
      </c>
      <c r="AI2460" s="56" t="s">
        <v>3541</v>
      </c>
    </row>
    <row r="2461" spans="1:35" ht="33" customHeight="1">
      <c r="A2461" s="56" t="s">
        <v>3711</v>
      </c>
      <c r="B2461" s="57">
        <v>44368.513287037036</v>
      </c>
      <c r="C2461" s="56" t="s">
        <v>3554</v>
      </c>
      <c r="D2461" s="56" t="s">
        <v>25</v>
      </c>
      <c r="E2461" s="56" t="s">
        <v>3710</v>
      </c>
      <c r="F2461" s="56" t="s">
        <v>3709</v>
      </c>
      <c r="G2461" s="58" t="s">
        <v>3222</v>
      </c>
      <c r="H2461" s="56">
        <v>1</v>
      </c>
      <c r="I2461" s="56" t="s">
        <v>3712</v>
      </c>
      <c r="J2461" s="56">
        <v>59</v>
      </c>
      <c r="K2461" s="56">
        <v>59</v>
      </c>
      <c r="P2461" s="56">
        <v>0</v>
      </c>
      <c r="S2461" s="56">
        <v>0</v>
      </c>
      <c r="T2461" s="56" t="s">
        <v>27</v>
      </c>
      <c r="V2461" s="56" t="s">
        <v>3549</v>
      </c>
      <c r="W2461" s="56" t="s">
        <v>3548</v>
      </c>
      <c r="X2461" s="56" t="s">
        <v>3547</v>
      </c>
      <c r="Z2461" s="56" t="s">
        <v>3546</v>
      </c>
      <c r="AA2461" s="56" t="s">
        <v>3708</v>
      </c>
      <c r="AB2461" s="56" t="s">
        <v>3707</v>
      </c>
      <c r="AC2461" s="56" t="s">
        <v>3543</v>
      </c>
      <c r="AH2461" s="56" t="s">
        <v>3542</v>
      </c>
      <c r="AI2461" s="56" t="s">
        <v>3541</v>
      </c>
    </row>
    <row r="2462" spans="1:35" ht="33" customHeight="1">
      <c r="A2462" s="56" t="s">
        <v>3711</v>
      </c>
      <c r="B2462" s="57">
        <v>44368.513287037036</v>
      </c>
      <c r="C2462" s="56" t="s">
        <v>3554</v>
      </c>
      <c r="D2462" s="56" t="s">
        <v>25</v>
      </c>
      <c r="E2462" s="56" t="s">
        <v>3710</v>
      </c>
      <c r="F2462" s="56" t="s">
        <v>3709</v>
      </c>
      <c r="G2462" s="58" t="s">
        <v>3551</v>
      </c>
      <c r="H2462" s="56">
        <v>1</v>
      </c>
      <c r="I2462" s="56" t="s">
        <v>3550</v>
      </c>
      <c r="J2462" s="56">
        <v>0</v>
      </c>
      <c r="K2462" s="56">
        <v>0</v>
      </c>
      <c r="P2462" s="56">
        <v>0</v>
      </c>
      <c r="S2462" s="56">
        <v>0</v>
      </c>
      <c r="T2462" s="56" t="s">
        <v>27</v>
      </c>
      <c r="V2462" s="56" t="s">
        <v>3549</v>
      </c>
      <c r="W2462" s="56" t="s">
        <v>3548</v>
      </c>
      <c r="X2462" s="56" t="s">
        <v>3547</v>
      </c>
      <c r="Z2462" s="56" t="s">
        <v>3546</v>
      </c>
      <c r="AA2462" s="56" t="s">
        <v>3708</v>
      </c>
      <c r="AB2462" s="56" t="s">
        <v>3707</v>
      </c>
      <c r="AC2462" s="56" t="s">
        <v>3543</v>
      </c>
      <c r="AH2462" s="56" t="s">
        <v>3542</v>
      </c>
      <c r="AI2462" s="56" t="s">
        <v>3541</v>
      </c>
    </row>
    <row r="2463" spans="1:35" ht="33" customHeight="1">
      <c r="A2463" s="56" t="s">
        <v>3706</v>
      </c>
      <c r="B2463" s="57">
        <v>44368.514467592591</v>
      </c>
      <c r="C2463" s="56" t="s">
        <v>3554</v>
      </c>
      <c r="D2463" s="56" t="s">
        <v>25</v>
      </c>
      <c r="E2463" s="56" t="s">
        <v>3705</v>
      </c>
      <c r="F2463" s="56" t="s">
        <v>3704</v>
      </c>
      <c r="G2463" s="58" t="s">
        <v>3557</v>
      </c>
      <c r="H2463" s="56">
        <v>1</v>
      </c>
      <c r="I2463" s="56" t="s">
        <v>3556</v>
      </c>
      <c r="J2463" s="56">
        <v>250</v>
      </c>
      <c r="K2463" s="56">
        <v>199</v>
      </c>
      <c r="L2463" s="56">
        <v>1897</v>
      </c>
      <c r="M2463" s="56">
        <v>0</v>
      </c>
      <c r="N2463" s="56">
        <v>0</v>
      </c>
      <c r="O2463" s="56">
        <v>100</v>
      </c>
      <c r="P2463" s="56">
        <v>0</v>
      </c>
      <c r="Q2463" s="56">
        <v>1797</v>
      </c>
      <c r="R2463" s="56">
        <v>0</v>
      </c>
      <c r="S2463" s="56">
        <v>0</v>
      </c>
      <c r="T2463" s="56" t="s">
        <v>27</v>
      </c>
      <c r="U2463" s="56">
        <v>1797</v>
      </c>
      <c r="V2463" s="56" t="s">
        <v>3549</v>
      </c>
      <c r="W2463" s="56" t="s">
        <v>3548</v>
      </c>
      <c r="X2463" s="56" t="s">
        <v>3547</v>
      </c>
      <c r="Z2463" s="56" t="s">
        <v>3546</v>
      </c>
      <c r="AA2463" s="56" t="s">
        <v>3703</v>
      </c>
      <c r="AB2463" s="56" t="s">
        <v>3702</v>
      </c>
      <c r="AC2463" s="56" t="s">
        <v>3543</v>
      </c>
      <c r="AH2463" s="56" t="s">
        <v>3542</v>
      </c>
      <c r="AI2463" s="56" t="s">
        <v>3541</v>
      </c>
    </row>
    <row r="2464" spans="1:35" ht="33" customHeight="1">
      <c r="A2464" s="56" t="s">
        <v>3706</v>
      </c>
      <c r="B2464" s="57">
        <v>44368.514467592591</v>
      </c>
      <c r="C2464" s="56" t="s">
        <v>3554</v>
      </c>
      <c r="D2464" s="56" t="s">
        <v>25</v>
      </c>
      <c r="E2464" s="56" t="s">
        <v>3705</v>
      </c>
      <c r="F2464" s="56" t="s">
        <v>3704</v>
      </c>
      <c r="G2464" s="58" t="s">
        <v>1713</v>
      </c>
      <c r="H2464" s="56">
        <v>1</v>
      </c>
      <c r="I2464" s="56" t="s">
        <v>3587</v>
      </c>
      <c r="J2464" s="56">
        <v>149</v>
      </c>
      <c r="K2464" s="56">
        <v>149</v>
      </c>
      <c r="P2464" s="56">
        <v>0</v>
      </c>
      <c r="S2464" s="56">
        <v>0</v>
      </c>
      <c r="T2464" s="56" t="s">
        <v>27</v>
      </c>
      <c r="V2464" s="56" t="s">
        <v>3549</v>
      </c>
      <c r="W2464" s="56" t="s">
        <v>3548</v>
      </c>
      <c r="X2464" s="56" t="s">
        <v>3547</v>
      </c>
      <c r="Z2464" s="56" t="s">
        <v>3546</v>
      </c>
      <c r="AA2464" s="56" t="s">
        <v>3703</v>
      </c>
      <c r="AB2464" s="56" t="s">
        <v>3702</v>
      </c>
      <c r="AC2464" s="56" t="s">
        <v>3543</v>
      </c>
      <c r="AH2464" s="56" t="s">
        <v>3542</v>
      </c>
      <c r="AI2464" s="56" t="s">
        <v>3541</v>
      </c>
    </row>
    <row r="2465" spans="1:35" ht="33" customHeight="1">
      <c r="A2465" s="56" t="s">
        <v>3706</v>
      </c>
      <c r="B2465" s="57">
        <v>44368.514467592591</v>
      </c>
      <c r="C2465" s="56" t="s">
        <v>3554</v>
      </c>
      <c r="D2465" s="56" t="s">
        <v>25</v>
      </c>
      <c r="E2465" s="56" t="s">
        <v>3705</v>
      </c>
      <c r="F2465" s="56" t="s">
        <v>3704</v>
      </c>
      <c r="G2465" s="58" t="s">
        <v>3656</v>
      </c>
      <c r="H2465" s="56">
        <v>1</v>
      </c>
      <c r="I2465" s="56" t="s">
        <v>3655</v>
      </c>
      <c r="J2465" s="56">
        <v>1107</v>
      </c>
      <c r="K2465" s="56">
        <v>799</v>
      </c>
      <c r="P2465" s="56">
        <v>0</v>
      </c>
      <c r="S2465" s="56">
        <v>0</v>
      </c>
      <c r="T2465" s="56" t="s">
        <v>27</v>
      </c>
      <c r="V2465" s="56" t="s">
        <v>3549</v>
      </c>
      <c r="W2465" s="56" t="s">
        <v>3548</v>
      </c>
      <c r="X2465" s="56" t="s">
        <v>3547</v>
      </c>
      <c r="Z2465" s="56" t="s">
        <v>3546</v>
      </c>
      <c r="AA2465" s="56" t="s">
        <v>3703</v>
      </c>
      <c r="AB2465" s="56" t="s">
        <v>3702</v>
      </c>
      <c r="AC2465" s="56" t="s">
        <v>3543</v>
      </c>
      <c r="AH2465" s="56" t="s">
        <v>3542</v>
      </c>
      <c r="AI2465" s="56" t="s">
        <v>3541</v>
      </c>
    </row>
    <row r="2466" spans="1:35" ht="33" customHeight="1">
      <c r="A2466" s="56" t="s">
        <v>3706</v>
      </c>
      <c r="B2466" s="57">
        <v>44368.514467592591</v>
      </c>
      <c r="C2466" s="56" t="s">
        <v>3554</v>
      </c>
      <c r="D2466" s="56" t="s">
        <v>25</v>
      </c>
      <c r="E2466" s="56" t="s">
        <v>3705</v>
      </c>
      <c r="F2466" s="56" t="s">
        <v>3704</v>
      </c>
      <c r="G2466" s="58" t="s">
        <v>3681</v>
      </c>
      <c r="H2466" s="56">
        <v>1</v>
      </c>
      <c r="I2466" s="56" t="s">
        <v>3569</v>
      </c>
      <c r="J2466" s="56">
        <v>894</v>
      </c>
      <c r="K2466" s="56">
        <v>750</v>
      </c>
      <c r="P2466" s="56">
        <v>0</v>
      </c>
      <c r="S2466" s="56">
        <v>0</v>
      </c>
      <c r="T2466" s="56" t="s">
        <v>27</v>
      </c>
      <c r="V2466" s="56" t="s">
        <v>3549</v>
      </c>
      <c r="W2466" s="56" t="s">
        <v>3548</v>
      </c>
      <c r="X2466" s="56" t="s">
        <v>3547</v>
      </c>
      <c r="Z2466" s="56" t="s">
        <v>3546</v>
      </c>
      <c r="AA2466" s="56" t="s">
        <v>3703</v>
      </c>
      <c r="AB2466" s="56" t="s">
        <v>3702</v>
      </c>
      <c r="AC2466" s="56" t="s">
        <v>3543</v>
      </c>
      <c r="AH2466" s="56" t="s">
        <v>3542</v>
      </c>
      <c r="AI2466" s="56" t="s">
        <v>3541</v>
      </c>
    </row>
    <row r="2467" spans="1:35" ht="33" customHeight="1">
      <c r="A2467" s="56" t="s">
        <v>3706</v>
      </c>
      <c r="B2467" s="57">
        <v>44368.514467592591</v>
      </c>
      <c r="C2467" s="56" t="s">
        <v>3554</v>
      </c>
      <c r="D2467" s="56" t="s">
        <v>25</v>
      </c>
      <c r="E2467" s="56" t="s">
        <v>3705</v>
      </c>
      <c r="F2467" s="56" t="s">
        <v>3704</v>
      </c>
      <c r="G2467" s="58" t="s">
        <v>3551</v>
      </c>
      <c r="H2467" s="56">
        <v>1</v>
      </c>
      <c r="I2467" s="56" t="s">
        <v>3550</v>
      </c>
      <c r="J2467" s="56">
        <v>0</v>
      </c>
      <c r="K2467" s="56">
        <v>0</v>
      </c>
      <c r="P2467" s="56">
        <v>0</v>
      </c>
      <c r="S2467" s="56">
        <v>0</v>
      </c>
      <c r="T2467" s="56" t="s">
        <v>27</v>
      </c>
      <c r="V2467" s="56" t="s">
        <v>3549</v>
      </c>
      <c r="W2467" s="56" t="s">
        <v>3548</v>
      </c>
      <c r="X2467" s="56" t="s">
        <v>3547</v>
      </c>
      <c r="Z2467" s="56" t="s">
        <v>3546</v>
      </c>
      <c r="AA2467" s="56" t="s">
        <v>3703</v>
      </c>
      <c r="AB2467" s="56" t="s">
        <v>3702</v>
      </c>
      <c r="AC2467" s="56" t="s">
        <v>3543</v>
      </c>
      <c r="AH2467" s="56" t="s">
        <v>3542</v>
      </c>
      <c r="AI2467" s="56" t="s">
        <v>3541</v>
      </c>
    </row>
    <row r="2468" spans="1:35" ht="33" customHeight="1">
      <c r="A2468" s="56" t="s">
        <v>3706</v>
      </c>
      <c r="B2468" s="57">
        <v>44368.514467592591</v>
      </c>
      <c r="C2468" s="56" t="s">
        <v>3554</v>
      </c>
      <c r="D2468" s="56" t="s">
        <v>25</v>
      </c>
      <c r="E2468" s="56" t="s">
        <v>3705</v>
      </c>
      <c r="F2468" s="56" t="s">
        <v>3704</v>
      </c>
      <c r="G2468" s="58" t="s">
        <v>1713</v>
      </c>
      <c r="H2468" s="56">
        <v>1</v>
      </c>
      <c r="I2468" s="56" t="s">
        <v>3568</v>
      </c>
      <c r="J2468" s="56">
        <v>0</v>
      </c>
      <c r="K2468" s="56">
        <v>0</v>
      </c>
      <c r="P2468" s="56">
        <v>0</v>
      </c>
      <c r="S2468" s="56">
        <v>0</v>
      </c>
      <c r="T2468" s="56" t="s">
        <v>27</v>
      </c>
      <c r="V2468" s="56" t="s">
        <v>3549</v>
      </c>
      <c r="W2468" s="56" t="s">
        <v>3548</v>
      </c>
      <c r="X2468" s="56" t="s">
        <v>3547</v>
      </c>
      <c r="Z2468" s="56" t="s">
        <v>3546</v>
      </c>
      <c r="AA2468" s="56" t="s">
        <v>3703</v>
      </c>
      <c r="AB2468" s="56" t="s">
        <v>3702</v>
      </c>
      <c r="AC2468" s="56" t="s">
        <v>3543</v>
      </c>
      <c r="AH2468" s="56" t="s">
        <v>3542</v>
      </c>
      <c r="AI2468" s="56" t="s">
        <v>3541</v>
      </c>
    </row>
    <row r="2469" spans="1:35" ht="33" customHeight="1">
      <c r="A2469" s="56" t="s">
        <v>3701</v>
      </c>
      <c r="B2469" s="57">
        <v>44368.517638888887</v>
      </c>
      <c r="C2469" s="56" t="s">
        <v>3554</v>
      </c>
      <c r="D2469" s="56" t="s">
        <v>25</v>
      </c>
      <c r="E2469" s="56" t="s">
        <v>3700</v>
      </c>
      <c r="F2469" s="56" t="s">
        <v>3699</v>
      </c>
      <c r="G2469" s="58" t="s">
        <v>3557</v>
      </c>
      <c r="H2469" s="56">
        <v>1</v>
      </c>
      <c r="I2469" s="56" t="s">
        <v>3556</v>
      </c>
      <c r="J2469" s="56">
        <v>250</v>
      </c>
      <c r="K2469" s="56">
        <v>199</v>
      </c>
      <c r="L2469" s="56">
        <v>398</v>
      </c>
      <c r="M2469" s="56">
        <v>65</v>
      </c>
      <c r="N2469" s="56">
        <v>0</v>
      </c>
      <c r="O2469" s="56">
        <v>0</v>
      </c>
      <c r="P2469" s="56">
        <v>0</v>
      </c>
      <c r="Q2469" s="56">
        <v>463</v>
      </c>
      <c r="R2469" s="56">
        <v>0</v>
      </c>
      <c r="S2469" s="56">
        <v>0</v>
      </c>
      <c r="T2469" s="56" t="s">
        <v>27</v>
      </c>
      <c r="U2469" s="56">
        <v>463</v>
      </c>
      <c r="V2469" s="56" t="s">
        <v>3612</v>
      </c>
      <c r="W2469" s="56" t="s">
        <v>3548</v>
      </c>
      <c r="X2469" s="56" t="s">
        <v>3611</v>
      </c>
      <c r="Z2469" s="56" t="s">
        <v>3546</v>
      </c>
      <c r="AA2469" s="56" t="s">
        <v>3698</v>
      </c>
      <c r="AB2469" s="56" t="s">
        <v>3697</v>
      </c>
      <c r="AC2469" s="56" t="s">
        <v>3543</v>
      </c>
      <c r="AH2469" s="56" t="s">
        <v>3542</v>
      </c>
      <c r="AI2469" s="56" t="s">
        <v>3541</v>
      </c>
    </row>
    <row r="2470" spans="1:35" ht="33" customHeight="1">
      <c r="A2470" s="56" t="s">
        <v>3701</v>
      </c>
      <c r="B2470" s="57">
        <v>44368.517638888887</v>
      </c>
      <c r="C2470" s="56" t="s">
        <v>3554</v>
      </c>
      <c r="D2470" s="56" t="s">
        <v>25</v>
      </c>
      <c r="E2470" s="56" t="s">
        <v>3700</v>
      </c>
      <c r="F2470" s="56" t="s">
        <v>3699</v>
      </c>
      <c r="G2470" s="58" t="s">
        <v>3558</v>
      </c>
      <c r="H2470" s="56">
        <v>1</v>
      </c>
      <c r="I2470" s="56" t="s">
        <v>3556</v>
      </c>
      <c r="J2470" s="56">
        <v>250</v>
      </c>
      <c r="K2470" s="56">
        <v>199</v>
      </c>
      <c r="P2470" s="56">
        <v>0</v>
      </c>
      <c r="S2470" s="56">
        <v>0</v>
      </c>
      <c r="T2470" s="56" t="s">
        <v>27</v>
      </c>
      <c r="V2470" s="56" t="s">
        <v>3612</v>
      </c>
      <c r="W2470" s="56" t="s">
        <v>3548</v>
      </c>
      <c r="X2470" s="56" t="s">
        <v>3611</v>
      </c>
      <c r="Z2470" s="56" t="s">
        <v>3546</v>
      </c>
      <c r="AA2470" s="56" t="s">
        <v>3698</v>
      </c>
      <c r="AB2470" s="56" t="s">
        <v>3697</v>
      </c>
      <c r="AC2470" s="56" t="s">
        <v>3543</v>
      </c>
      <c r="AH2470" s="56" t="s">
        <v>3542</v>
      </c>
      <c r="AI2470" s="56" t="s">
        <v>3541</v>
      </c>
    </row>
    <row r="2471" spans="1:35" ht="33" customHeight="1">
      <c r="A2471" s="56" t="s">
        <v>3701</v>
      </c>
      <c r="B2471" s="57">
        <v>44368.517638888887</v>
      </c>
      <c r="C2471" s="56" t="s">
        <v>3554</v>
      </c>
      <c r="D2471" s="56" t="s">
        <v>25</v>
      </c>
      <c r="E2471" s="56" t="s">
        <v>3700</v>
      </c>
      <c r="F2471" s="56" t="s">
        <v>3699</v>
      </c>
      <c r="G2471" s="58" t="s">
        <v>3551</v>
      </c>
      <c r="H2471" s="56">
        <v>1</v>
      </c>
      <c r="I2471" s="56" t="s">
        <v>3550</v>
      </c>
      <c r="J2471" s="56">
        <v>0</v>
      </c>
      <c r="K2471" s="56">
        <v>0</v>
      </c>
      <c r="P2471" s="56">
        <v>0</v>
      </c>
      <c r="S2471" s="56">
        <v>0</v>
      </c>
      <c r="T2471" s="56" t="s">
        <v>27</v>
      </c>
      <c r="V2471" s="56" t="s">
        <v>3612</v>
      </c>
      <c r="W2471" s="56" t="s">
        <v>3548</v>
      </c>
      <c r="X2471" s="56" t="s">
        <v>3611</v>
      </c>
      <c r="Z2471" s="56" t="s">
        <v>3546</v>
      </c>
      <c r="AA2471" s="56" t="s">
        <v>3698</v>
      </c>
      <c r="AB2471" s="56" t="s">
        <v>3697</v>
      </c>
      <c r="AC2471" s="56" t="s">
        <v>3543</v>
      </c>
      <c r="AH2471" s="56" t="s">
        <v>3542</v>
      </c>
      <c r="AI2471" s="56" t="s">
        <v>3541</v>
      </c>
    </row>
    <row r="2472" spans="1:35" ht="33" customHeight="1">
      <c r="A2472" s="56" t="s">
        <v>3691</v>
      </c>
      <c r="B2472" s="57">
        <v>44368.518136574072</v>
      </c>
      <c r="C2472" s="56" t="s">
        <v>3554</v>
      </c>
      <c r="D2472" s="56" t="s">
        <v>25</v>
      </c>
      <c r="E2472" s="56" t="s">
        <v>3690</v>
      </c>
      <c r="F2472" s="56" t="s">
        <v>3689</v>
      </c>
      <c r="G2472" s="58" t="s">
        <v>1506</v>
      </c>
      <c r="H2472" s="56">
        <v>1</v>
      </c>
      <c r="I2472" s="56" t="s">
        <v>3696</v>
      </c>
      <c r="J2472" s="56">
        <v>299</v>
      </c>
      <c r="K2472" s="56">
        <v>299</v>
      </c>
      <c r="L2472" s="56">
        <v>1025</v>
      </c>
      <c r="M2472" s="56">
        <v>0</v>
      </c>
      <c r="N2472" s="56">
        <v>0</v>
      </c>
      <c r="O2472" s="56">
        <v>100</v>
      </c>
      <c r="P2472" s="56">
        <v>0</v>
      </c>
      <c r="Q2472" s="56">
        <v>925</v>
      </c>
      <c r="R2472" s="56">
        <v>0</v>
      </c>
      <c r="S2472" s="56">
        <v>0</v>
      </c>
      <c r="T2472" s="56" t="s">
        <v>27</v>
      </c>
      <c r="U2472" s="56">
        <v>925</v>
      </c>
      <c r="V2472" s="56" t="s">
        <v>3612</v>
      </c>
      <c r="W2472" s="56" t="s">
        <v>3548</v>
      </c>
      <c r="X2472" s="56" t="s">
        <v>3611</v>
      </c>
      <c r="Z2472" s="56" t="s">
        <v>3546</v>
      </c>
      <c r="AA2472" s="56" t="s">
        <v>3688</v>
      </c>
      <c r="AB2472" s="56" t="s">
        <v>3687</v>
      </c>
      <c r="AC2472" s="56" t="s">
        <v>3543</v>
      </c>
      <c r="AH2472" s="56" t="s">
        <v>3542</v>
      </c>
      <c r="AI2472" s="56" t="s">
        <v>3541</v>
      </c>
    </row>
    <row r="2473" spans="1:35" ht="33" customHeight="1">
      <c r="A2473" s="56" t="s">
        <v>3691</v>
      </c>
      <c r="B2473" s="57">
        <v>44368.518136574072</v>
      </c>
      <c r="C2473" s="56" t="s">
        <v>3554</v>
      </c>
      <c r="D2473" s="56" t="s">
        <v>25</v>
      </c>
      <c r="E2473" s="56" t="s">
        <v>3690</v>
      </c>
      <c r="F2473" s="56" t="s">
        <v>3689</v>
      </c>
      <c r="G2473" s="58" t="s">
        <v>3171</v>
      </c>
      <c r="H2473" s="56">
        <v>1</v>
      </c>
      <c r="I2473" s="56" t="s">
        <v>3695</v>
      </c>
      <c r="J2473" s="56">
        <v>399</v>
      </c>
      <c r="K2473" s="56">
        <v>399</v>
      </c>
      <c r="P2473" s="56">
        <v>0</v>
      </c>
      <c r="S2473" s="56">
        <v>0</v>
      </c>
      <c r="T2473" s="56" t="s">
        <v>27</v>
      </c>
      <c r="V2473" s="56" t="s">
        <v>3612</v>
      </c>
      <c r="W2473" s="56" t="s">
        <v>3548</v>
      </c>
      <c r="X2473" s="56" t="s">
        <v>3611</v>
      </c>
      <c r="Z2473" s="56" t="s">
        <v>3546</v>
      </c>
      <c r="AA2473" s="56" t="s">
        <v>3688</v>
      </c>
      <c r="AB2473" s="56" t="s">
        <v>3687</v>
      </c>
      <c r="AC2473" s="56" t="s">
        <v>3543</v>
      </c>
      <c r="AH2473" s="56" t="s">
        <v>3542</v>
      </c>
      <c r="AI2473" s="56" t="s">
        <v>3541</v>
      </c>
    </row>
    <row r="2474" spans="1:35" ht="33" customHeight="1">
      <c r="A2474" s="56" t="s">
        <v>3691</v>
      </c>
      <c r="B2474" s="57">
        <v>44368.518136574072</v>
      </c>
      <c r="C2474" s="56" t="s">
        <v>3554</v>
      </c>
      <c r="D2474" s="56" t="s">
        <v>25</v>
      </c>
      <c r="E2474" s="56" t="s">
        <v>3690</v>
      </c>
      <c r="F2474" s="56" t="s">
        <v>3689</v>
      </c>
      <c r="G2474" s="58" t="s">
        <v>2161</v>
      </c>
      <c r="H2474" s="56">
        <v>1</v>
      </c>
      <c r="I2474" s="56" t="s">
        <v>3694</v>
      </c>
      <c r="J2474" s="56">
        <v>128</v>
      </c>
      <c r="K2474" s="56">
        <v>128</v>
      </c>
      <c r="P2474" s="56">
        <v>0</v>
      </c>
      <c r="S2474" s="56">
        <v>0</v>
      </c>
      <c r="T2474" s="56" t="s">
        <v>27</v>
      </c>
      <c r="V2474" s="56" t="s">
        <v>3612</v>
      </c>
      <c r="W2474" s="56" t="s">
        <v>3548</v>
      </c>
      <c r="X2474" s="56" t="s">
        <v>3611</v>
      </c>
      <c r="Z2474" s="56" t="s">
        <v>3546</v>
      </c>
      <c r="AA2474" s="56" t="s">
        <v>3688</v>
      </c>
      <c r="AB2474" s="56" t="s">
        <v>3687</v>
      </c>
      <c r="AC2474" s="56" t="s">
        <v>3543</v>
      </c>
      <c r="AH2474" s="56" t="s">
        <v>3542</v>
      </c>
      <c r="AI2474" s="56" t="s">
        <v>3541</v>
      </c>
    </row>
    <row r="2475" spans="1:35" ht="33" customHeight="1">
      <c r="A2475" s="56" t="s">
        <v>3691</v>
      </c>
      <c r="B2475" s="57">
        <v>44368.518136574072</v>
      </c>
      <c r="C2475" s="56" t="s">
        <v>3554</v>
      </c>
      <c r="D2475" s="56" t="s">
        <v>25</v>
      </c>
      <c r="E2475" s="56" t="s">
        <v>3690</v>
      </c>
      <c r="F2475" s="56" t="s">
        <v>3689</v>
      </c>
      <c r="G2475" s="58" t="s">
        <v>3693</v>
      </c>
      <c r="H2475" s="56">
        <v>1</v>
      </c>
      <c r="I2475" s="56" t="s">
        <v>3692</v>
      </c>
      <c r="J2475" s="56">
        <v>207</v>
      </c>
      <c r="K2475" s="56">
        <v>199</v>
      </c>
      <c r="P2475" s="56">
        <v>0</v>
      </c>
      <c r="S2475" s="56">
        <v>0</v>
      </c>
      <c r="T2475" s="56" t="s">
        <v>27</v>
      </c>
      <c r="V2475" s="56" t="s">
        <v>3612</v>
      </c>
      <c r="W2475" s="56" t="s">
        <v>3548</v>
      </c>
      <c r="X2475" s="56" t="s">
        <v>3611</v>
      </c>
      <c r="Z2475" s="56" t="s">
        <v>3546</v>
      </c>
      <c r="AA2475" s="56" t="s">
        <v>3688</v>
      </c>
      <c r="AB2475" s="56" t="s">
        <v>3687</v>
      </c>
      <c r="AC2475" s="56" t="s">
        <v>3543</v>
      </c>
      <c r="AH2475" s="56" t="s">
        <v>3542</v>
      </c>
      <c r="AI2475" s="56" t="s">
        <v>3541</v>
      </c>
    </row>
    <row r="2476" spans="1:35" ht="33" customHeight="1">
      <c r="A2476" s="56" t="s">
        <v>3691</v>
      </c>
      <c r="B2476" s="57">
        <v>44368.518136574072</v>
      </c>
      <c r="C2476" s="56" t="s">
        <v>3554</v>
      </c>
      <c r="D2476" s="56" t="s">
        <v>25</v>
      </c>
      <c r="E2476" s="56" t="s">
        <v>3690</v>
      </c>
      <c r="F2476" s="56" t="s">
        <v>3689</v>
      </c>
      <c r="G2476" s="58" t="s">
        <v>3551</v>
      </c>
      <c r="H2476" s="56">
        <v>1</v>
      </c>
      <c r="I2476" s="56" t="s">
        <v>3550</v>
      </c>
      <c r="J2476" s="56">
        <v>0</v>
      </c>
      <c r="K2476" s="56">
        <v>0</v>
      </c>
      <c r="P2476" s="56">
        <v>0</v>
      </c>
      <c r="S2476" s="56">
        <v>0</v>
      </c>
      <c r="T2476" s="56" t="s">
        <v>27</v>
      </c>
      <c r="V2476" s="56" t="s">
        <v>3612</v>
      </c>
      <c r="W2476" s="56" t="s">
        <v>3548</v>
      </c>
      <c r="X2476" s="56" t="s">
        <v>3611</v>
      </c>
      <c r="Z2476" s="56" t="s">
        <v>3546</v>
      </c>
      <c r="AA2476" s="56" t="s">
        <v>3688</v>
      </c>
      <c r="AB2476" s="56" t="s">
        <v>3687</v>
      </c>
      <c r="AC2476" s="56" t="s">
        <v>3543</v>
      </c>
      <c r="AH2476" s="56" t="s">
        <v>3542</v>
      </c>
      <c r="AI2476" s="56" t="s">
        <v>3541</v>
      </c>
    </row>
    <row r="2477" spans="1:35" ht="33" customHeight="1">
      <c r="A2477" s="56" t="s">
        <v>3686</v>
      </c>
      <c r="B2477" s="57">
        <v>44368.522407407407</v>
      </c>
      <c r="C2477" s="56" t="s">
        <v>3554</v>
      </c>
      <c r="D2477" s="56" t="s">
        <v>25</v>
      </c>
      <c r="E2477" s="56" t="s">
        <v>3685</v>
      </c>
      <c r="F2477" s="56" t="s">
        <v>3684</v>
      </c>
      <c r="G2477" s="58" t="s">
        <v>3557</v>
      </c>
      <c r="H2477" s="56">
        <v>1</v>
      </c>
      <c r="I2477" s="56" t="s">
        <v>3556</v>
      </c>
      <c r="J2477" s="56">
        <v>250</v>
      </c>
      <c r="K2477" s="56">
        <v>199</v>
      </c>
      <c r="L2477" s="56">
        <v>398</v>
      </c>
      <c r="M2477" s="56">
        <v>65</v>
      </c>
      <c r="N2477" s="56">
        <v>0</v>
      </c>
      <c r="O2477" s="56">
        <v>0</v>
      </c>
      <c r="P2477" s="56">
        <v>0</v>
      </c>
      <c r="Q2477" s="56">
        <v>463</v>
      </c>
      <c r="R2477" s="56">
        <v>0</v>
      </c>
      <c r="S2477" s="56">
        <v>0</v>
      </c>
      <c r="T2477" s="56" t="s">
        <v>27</v>
      </c>
      <c r="U2477" s="56">
        <v>463</v>
      </c>
      <c r="V2477" s="56" t="s">
        <v>3549</v>
      </c>
      <c r="W2477" s="56" t="s">
        <v>3548</v>
      </c>
      <c r="X2477" s="56" t="s">
        <v>3547</v>
      </c>
      <c r="Z2477" s="56" t="s">
        <v>3546</v>
      </c>
      <c r="AA2477" s="56" t="s">
        <v>3683</v>
      </c>
      <c r="AB2477" s="56" t="s">
        <v>3682</v>
      </c>
      <c r="AC2477" s="56" t="s">
        <v>3543</v>
      </c>
      <c r="AH2477" s="56" t="s">
        <v>3542</v>
      </c>
      <c r="AI2477" s="56" t="s">
        <v>3541</v>
      </c>
    </row>
    <row r="2478" spans="1:35" ht="33" customHeight="1">
      <c r="A2478" s="56" t="s">
        <v>3686</v>
      </c>
      <c r="B2478" s="57">
        <v>44368.522407407407</v>
      </c>
      <c r="C2478" s="56" t="s">
        <v>3554</v>
      </c>
      <c r="D2478" s="56" t="s">
        <v>25</v>
      </c>
      <c r="E2478" s="56" t="s">
        <v>3685</v>
      </c>
      <c r="F2478" s="56" t="s">
        <v>3684</v>
      </c>
      <c r="G2478" s="58" t="s">
        <v>3558</v>
      </c>
      <c r="H2478" s="56">
        <v>1</v>
      </c>
      <c r="I2478" s="56" t="s">
        <v>3556</v>
      </c>
      <c r="J2478" s="56">
        <v>250</v>
      </c>
      <c r="K2478" s="56">
        <v>199</v>
      </c>
      <c r="P2478" s="56">
        <v>0</v>
      </c>
      <c r="S2478" s="56">
        <v>0</v>
      </c>
      <c r="T2478" s="56" t="s">
        <v>27</v>
      </c>
      <c r="V2478" s="56" t="s">
        <v>3549</v>
      </c>
      <c r="W2478" s="56" t="s">
        <v>3548</v>
      </c>
      <c r="X2478" s="56" t="s">
        <v>3547</v>
      </c>
      <c r="Z2478" s="56" t="s">
        <v>3546</v>
      </c>
      <c r="AA2478" s="56" t="s">
        <v>3683</v>
      </c>
      <c r="AB2478" s="56" t="s">
        <v>3682</v>
      </c>
      <c r="AC2478" s="56" t="s">
        <v>3543</v>
      </c>
      <c r="AH2478" s="56" t="s">
        <v>3542</v>
      </c>
      <c r="AI2478" s="56" t="s">
        <v>3541</v>
      </c>
    </row>
    <row r="2479" spans="1:35" ht="33" customHeight="1">
      <c r="A2479" s="56" t="s">
        <v>3686</v>
      </c>
      <c r="B2479" s="57">
        <v>44368.522407407407</v>
      </c>
      <c r="C2479" s="56" t="s">
        <v>3554</v>
      </c>
      <c r="D2479" s="56" t="s">
        <v>25</v>
      </c>
      <c r="E2479" s="56" t="s">
        <v>3685</v>
      </c>
      <c r="F2479" s="56" t="s">
        <v>3684</v>
      </c>
      <c r="G2479" s="58" t="s">
        <v>3551</v>
      </c>
      <c r="H2479" s="56">
        <v>1</v>
      </c>
      <c r="I2479" s="56" t="s">
        <v>3550</v>
      </c>
      <c r="J2479" s="56">
        <v>0</v>
      </c>
      <c r="K2479" s="56">
        <v>0</v>
      </c>
      <c r="P2479" s="56">
        <v>0</v>
      </c>
      <c r="S2479" s="56">
        <v>0</v>
      </c>
      <c r="T2479" s="56" t="s">
        <v>27</v>
      </c>
      <c r="V2479" s="56" t="s">
        <v>3549</v>
      </c>
      <c r="W2479" s="56" t="s">
        <v>3548</v>
      </c>
      <c r="X2479" s="56" t="s">
        <v>3547</v>
      </c>
      <c r="Z2479" s="56" t="s">
        <v>3546</v>
      </c>
      <c r="AA2479" s="56" t="s">
        <v>3683</v>
      </c>
      <c r="AB2479" s="56" t="s">
        <v>3682</v>
      </c>
      <c r="AC2479" s="56" t="s">
        <v>3543</v>
      </c>
      <c r="AH2479" s="56" t="s">
        <v>3542</v>
      </c>
      <c r="AI2479" s="56" t="s">
        <v>3541</v>
      </c>
    </row>
    <row r="2480" spans="1:35" ht="33" customHeight="1">
      <c r="A2480" s="56" t="s">
        <v>3680</v>
      </c>
      <c r="B2480" s="57">
        <v>44368.523275462961</v>
      </c>
      <c r="C2480" s="56" t="s">
        <v>3554</v>
      </c>
      <c r="D2480" s="56" t="s">
        <v>25</v>
      </c>
      <c r="E2480" s="56" t="s">
        <v>3679</v>
      </c>
      <c r="F2480" s="56" t="s">
        <v>3678</v>
      </c>
      <c r="G2480" s="58" t="s">
        <v>3681</v>
      </c>
      <c r="H2480" s="56">
        <v>2</v>
      </c>
      <c r="I2480" s="56" t="s">
        <v>3569</v>
      </c>
      <c r="J2480" s="56">
        <v>894</v>
      </c>
      <c r="K2480" s="56">
        <v>750</v>
      </c>
      <c r="L2480" s="56">
        <v>1500</v>
      </c>
      <c r="M2480" s="56">
        <v>0</v>
      </c>
      <c r="N2480" s="56">
        <v>0</v>
      </c>
      <c r="O2480" s="56">
        <v>100</v>
      </c>
      <c r="P2480" s="56">
        <v>0</v>
      </c>
      <c r="Q2480" s="56">
        <v>1400</v>
      </c>
      <c r="R2480" s="56">
        <v>0</v>
      </c>
      <c r="S2480" s="56">
        <v>0</v>
      </c>
      <c r="T2480" s="56" t="s">
        <v>3562</v>
      </c>
      <c r="U2480" s="56">
        <v>1400</v>
      </c>
      <c r="V2480" s="56" t="s">
        <v>3561</v>
      </c>
      <c r="W2480" s="56" t="s">
        <v>3548</v>
      </c>
      <c r="X2480" s="56" t="s">
        <v>39</v>
      </c>
      <c r="Y2480" s="56" t="s">
        <v>3677</v>
      </c>
      <c r="Z2480" s="56" t="s">
        <v>3676</v>
      </c>
      <c r="AC2480" s="56" t="s">
        <v>3543</v>
      </c>
      <c r="AH2480" s="56" t="s">
        <v>3542</v>
      </c>
      <c r="AI2480" s="56" t="s">
        <v>3541</v>
      </c>
    </row>
    <row r="2481" spans="1:35" ht="33" customHeight="1">
      <c r="A2481" s="56" t="s">
        <v>3680</v>
      </c>
      <c r="B2481" s="57">
        <v>44368.523275462961</v>
      </c>
      <c r="C2481" s="56" t="s">
        <v>3554</v>
      </c>
      <c r="D2481" s="56" t="s">
        <v>25</v>
      </c>
      <c r="E2481" s="56" t="s">
        <v>3679</v>
      </c>
      <c r="F2481" s="56" t="s">
        <v>3678</v>
      </c>
      <c r="G2481" s="58" t="s">
        <v>3551</v>
      </c>
      <c r="H2481" s="56">
        <v>1</v>
      </c>
      <c r="I2481" s="56" t="s">
        <v>3550</v>
      </c>
      <c r="J2481" s="56">
        <v>0</v>
      </c>
      <c r="K2481" s="56">
        <v>0</v>
      </c>
      <c r="P2481" s="56">
        <v>0</v>
      </c>
      <c r="S2481" s="56">
        <v>0</v>
      </c>
      <c r="T2481" s="56" t="s">
        <v>3562</v>
      </c>
      <c r="V2481" s="56" t="s">
        <v>3561</v>
      </c>
      <c r="W2481" s="56" t="s">
        <v>3548</v>
      </c>
      <c r="X2481" s="56" t="s">
        <v>39</v>
      </c>
      <c r="Y2481" s="56" t="s">
        <v>3677</v>
      </c>
      <c r="Z2481" s="56" t="s">
        <v>3676</v>
      </c>
      <c r="AC2481" s="56" t="s">
        <v>3543</v>
      </c>
      <c r="AH2481" s="56" t="s">
        <v>3542</v>
      </c>
      <c r="AI2481" s="56" t="s">
        <v>3541</v>
      </c>
    </row>
    <row r="2482" spans="1:35" ht="33" customHeight="1">
      <c r="A2482" s="56" t="s">
        <v>3680</v>
      </c>
      <c r="B2482" s="57">
        <v>44368.523275462961</v>
      </c>
      <c r="C2482" s="56" t="s">
        <v>3554</v>
      </c>
      <c r="D2482" s="56" t="s">
        <v>25</v>
      </c>
      <c r="E2482" s="56" t="s">
        <v>3679</v>
      </c>
      <c r="F2482" s="56" t="s">
        <v>3678</v>
      </c>
      <c r="G2482" s="58" t="s">
        <v>1713</v>
      </c>
      <c r="H2482" s="56">
        <v>1</v>
      </c>
      <c r="I2482" s="56" t="s">
        <v>3568</v>
      </c>
      <c r="J2482" s="56">
        <v>0</v>
      </c>
      <c r="K2482" s="56">
        <v>0</v>
      </c>
      <c r="P2482" s="56">
        <v>0</v>
      </c>
      <c r="S2482" s="56">
        <v>0</v>
      </c>
      <c r="T2482" s="56" t="s">
        <v>3562</v>
      </c>
      <c r="V2482" s="56" t="s">
        <v>3561</v>
      </c>
      <c r="W2482" s="56" t="s">
        <v>3548</v>
      </c>
      <c r="X2482" s="56" t="s">
        <v>39</v>
      </c>
      <c r="Y2482" s="56" t="s">
        <v>3677</v>
      </c>
      <c r="Z2482" s="56" t="s">
        <v>3676</v>
      </c>
      <c r="AC2482" s="56" t="s">
        <v>3543</v>
      </c>
      <c r="AH2482" s="56" t="s">
        <v>3542</v>
      </c>
      <c r="AI2482" s="56" t="s">
        <v>3541</v>
      </c>
    </row>
    <row r="2483" spans="1:35" ht="33" customHeight="1">
      <c r="A2483" s="56" t="s">
        <v>3675</v>
      </c>
      <c r="B2483" s="57">
        <v>44368.523541666669</v>
      </c>
      <c r="C2483" s="56" t="s">
        <v>3554</v>
      </c>
      <c r="D2483" s="56" t="s">
        <v>25</v>
      </c>
      <c r="E2483" s="56" t="s">
        <v>3674</v>
      </c>
      <c r="F2483" s="56" t="s">
        <v>3673</v>
      </c>
      <c r="G2483" s="58" t="s">
        <v>3557</v>
      </c>
      <c r="H2483" s="56">
        <v>2</v>
      </c>
      <c r="I2483" s="56" t="s">
        <v>3556</v>
      </c>
      <c r="J2483" s="56">
        <v>250</v>
      </c>
      <c r="K2483" s="56">
        <v>199</v>
      </c>
      <c r="L2483" s="56">
        <v>796</v>
      </c>
      <c r="M2483" s="56">
        <v>65</v>
      </c>
      <c r="N2483" s="56">
        <v>0</v>
      </c>
      <c r="O2483" s="56">
        <v>0</v>
      </c>
      <c r="P2483" s="56">
        <v>0</v>
      </c>
      <c r="Q2483" s="56">
        <v>861</v>
      </c>
      <c r="R2483" s="56">
        <v>0</v>
      </c>
      <c r="S2483" s="56">
        <v>0</v>
      </c>
      <c r="T2483" s="56" t="s">
        <v>27</v>
      </c>
      <c r="U2483" s="56">
        <v>861</v>
      </c>
      <c r="V2483" s="56" t="s">
        <v>3549</v>
      </c>
      <c r="W2483" s="56" t="s">
        <v>3548</v>
      </c>
      <c r="X2483" s="56" t="s">
        <v>3547</v>
      </c>
      <c r="Z2483" s="56" t="s">
        <v>3546</v>
      </c>
      <c r="AA2483" s="56" t="s">
        <v>3672</v>
      </c>
      <c r="AB2483" s="56" t="s">
        <v>3671</v>
      </c>
      <c r="AC2483" s="56" t="s">
        <v>3543</v>
      </c>
      <c r="AH2483" s="56" t="s">
        <v>3542</v>
      </c>
      <c r="AI2483" s="56" t="s">
        <v>3541</v>
      </c>
    </row>
    <row r="2484" spans="1:35" ht="33" customHeight="1">
      <c r="A2484" s="56" t="s">
        <v>3675</v>
      </c>
      <c r="B2484" s="57">
        <v>44368.523541666669</v>
      </c>
      <c r="C2484" s="56" t="s">
        <v>3554</v>
      </c>
      <c r="D2484" s="56" t="s">
        <v>25</v>
      </c>
      <c r="E2484" s="56" t="s">
        <v>3674</v>
      </c>
      <c r="F2484" s="56" t="s">
        <v>3673</v>
      </c>
      <c r="G2484" s="58" t="s">
        <v>3558</v>
      </c>
      <c r="H2484" s="56">
        <v>2</v>
      </c>
      <c r="I2484" s="56" t="s">
        <v>3556</v>
      </c>
      <c r="J2484" s="56">
        <v>250</v>
      </c>
      <c r="K2484" s="56">
        <v>199</v>
      </c>
      <c r="P2484" s="56">
        <v>0</v>
      </c>
      <c r="S2484" s="56">
        <v>0</v>
      </c>
      <c r="T2484" s="56" t="s">
        <v>27</v>
      </c>
      <c r="V2484" s="56" t="s">
        <v>3549</v>
      </c>
      <c r="W2484" s="56" t="s">
        <v>3548</v>
      </c>
      <c r="X2484" s="56" t="s">
        <v>3547</v>
      </c>
      <c r="Z2484" s="56" t="s">
        <v>3546</v>
      </c>
      <c r="AA2484" s="56" t="s">
        <v>3672</v>
      </c>
      <c r="AB2484" s="56" t="s">
        <v>3671</v>
      </c>
      <c r="AC2484" s="56" t="s">
        <v>3543</v>
      </c>
      <c r="AH2484" s="56" t="s">
        <v>3542</v>
      </c>
      <c r="AI2484" s="56" t="s">
        <v>3541</v>
      </c>
    </row>
    <row r="2485" spans="1:35" ht="33" customHeight="1">
      <c r="A2485" s="56" t="s">
        <v>3675</v>
      </c>
      <c r="B2485" s="57">
        <v>44368.523541666669</v>
      </c>
      <c r="C2485" s="56" t="s">
        <v>3554</v>
      </c>
      <c r="D2485" s="56" t="s">
        <v>25</v>
      </c>
      <c r="E2485" s="56" t="s">
        <v>3674</v>
      </c>
      <c r="F2485" s="56" t="s">
        <v>3673</v>
      </c>
      <c r="G2485" s="58" t="s">
        <v>3551</v>
      </c>
      <c r="H2485" s="56">
        <v>1</v>
      </c>
      <c r="I2485" s="56" t="s">
        <v>3550</v>
      </c>
      <c r="J2485" s="56">
        <v>0</v>
      </c>
      <c r="K2485" s="56">
        <v>0</v>
      </c>
      <c r="P2485" s="56">
        <v>0</v>
      </c>
      <c r="S2485" s="56">
        <v>0</v>
      </c>
      <c r="T2485" s="56" t="s">
        <v>27</v>
      </c>
      <c r="V2485" s="56" t="s">
        <v>3549</v>
      </c>
      <c r="W2485" s="56" t="s">
        <v>3548</v>
      </c>
      <c r="X2485" s="56" t="s">
        <v>3547</v>
      </c>
      <c r="Z2485" s="56" t="s">
        <v>3546</v>
      </c>
      <c r="AA2485" s="56" t="s">
        <v>3672</v>
      </c>
      <c r="AB2485" s="56" t="s">
        <v>3671</v>
      </c>
      <c r="AC2485" s="56" t="s">
        <v>3543</v>
      </c>
      <c r="AH2485" s="56" t="s">
        <v>3542</v>
      </c>
      <c r="AI2485" s="56" t="s">
        <v>3541</v>
      </c>
    </row>
    <row r="2486" spans="1:35" ht="33" customHeight="1">
      <c r="A2486" s="56" t="s">
        <v>3667</v>
      </c>
      <c r="B2486" s="57">
        <v>44368.524583333332</v>
      </c>
      <c r="C2486" s="56" t="s">
        <v>3554</v>
      </c>
      <c r="D2486" s="56" t="s">
        <v>25</v>
      </c>
      <c r="E2486" s="56" t="s">
        <v>3666</v>
      </c>
      <c r="F2486" s="56" t="s">
        <v>3665</v>
      </c>
      <c r="G2486" s="58" t="s">
        <v>3670</v>
      </c>
      <c r="H2486" s="56">
        <v>1</v>
      </c>
      <c r="I2486" s="56" t="s">
        <v>3669</v>
      </c>
      <c r="J2486" s="56">
        <v>897</v>
      </c>
      <c r="K2486" s="56">
        <v>888</v>
      </c>
      <c r="L2486" s="56">
        <v>1786</v>
      </c>
      <c r="M2486" s="56">
        <v>0</v>
      </c>
      <c r="N2486" s="56">
        <v>0</v>
      </c>
      <c r="O2486" s="56">
        <v>100</v>
      </c>
      <c r="P2486" s="56">
        <v>0</v>
      </c>
      <c r="Q2486" s="56">
        <v>1686</v>
      </c>
      <c r="R2486" s="56">
        <v>0</v>
      </c>
      <c r="S2486" s="56">
        <v>0</v>
      </c>
      <c r="T2486" s="56" t="s">
        <v>3562</v>
      </c>
      <c r="U2486" s="56">
        <v>1686</v>
      </c>
      <c r="V2486" s="56" t="s">
        <v>59</v>
      </c>
      <c r="W2486" s="56" t="s">
        <v>3548</v>
      </c>
      <c r="X2486" s="56" t="s">
        <v>39</v>
      </c>
      <c r="Y2486" s="56" t="s">
        <v>3664</v>
      </c>
      <c r="Z2486" s="56" t="s">
        <v>3663</v>
      </c>
      <c r="AC2486" s="56" t="s">
        <v>3543</v>
      </c>
      <c r="AH2486" s="56" t="s">
        <v>3542</v>
      </c>
      <c r="AI2486" s="56" t="s">
        <v>3541</v>
      </c>
    </row>
    <row r="2487" spans="1:35" ht="33" customHeight="1">
      <c r="A2487" s="56" t="s">
        <v>3667</v>
      </c>
      <c r="B2487" s="57">
        <v>44368.524583333332</v>
      </c>
      <c r="C2487" s="56" t="s">
        <v>3554</v>
      </c>
      <c r="D2487" s="56" t="s">
        <v>25</v>
      </c>
      <c r="E2487" s="56" t="s">
        <v>3666</v>
      </c>
      <c r="F2487" s="56" t="s">
        <v>3665</v>
      </c>
      <c r="G2487" s="58" t="s">
        <v>3299</v>
      </c>
      <c r="H2487" s="56">
        <v>1</v>
      </c>
      <c r="I2487" s="56" t="s">
        <v>3576</v>
      </c>
      <c r="J2487" s="56">
        <v>299</v>
      </c>
      <c r="K2487" s="56">
        <v>299</v>
      </c>
      <c r="P2487" s="56">
        <v>0</v>
      </c>
      <c r="S2487" s="56">
        <v>0</v>
      </c>
      <c r="T2487" s="56" t="s">
        <v>3562</v>
      </c>
      <c r="V2487" s="56" t="s">
        <v>59</v>
      </c>
      <c r="W2487" s="56" t="s">
        <v>3548</v>
      </c>
      <c r="X2487" s="56" t="s">
        <v>39</v>
      </c>
      <c r="Y2487" s="56" t="s">
        <v>3664</v>
      </c>
      <c r="Z2487" s="56" t="s">
        <v>3663</v>
      </c>
      <c r="AC2487" s="56" t="s">
        <v>3543</v>
      </c>
      <c r="AH2487" s="56" t="s">
        <v>3542</v>
      </c>
      <c r="AI2487" s="56" t="s">
        <v>3541</v>
      </c>
    </row>
    <row r="2488" spans="1:35" ht="33" customHeight="1">
      <c r="A2488" s="56" t="s">
        <v>3667</v>
      </c>
      <c r="B2488" s="57">
        <v>44368.524583333332</v>
      </c>
      <c r="C2488" s="56" t="s">
        <v>3554</v>
      </c>
      <c r="D2488" s="56" t="s">
        <v>25</v>
      </c>
      <c r="E2488" s="56" t="s">
        <v>3666</v>
      </c>
      <c r="F2488" s="56" t="s">
        <v>3665</v>
      </c>
      <c r="G2488" s="58" t="s">
        <v>3668</v>
      </c>
      <c r="H2488" s="56">
        <v>1</v>
      </c>
      <c r="I2488" s="56" t="s">
        <v>3577</v>
      </c>
      <c r="J2488" s="56">
        <v>700</v>
      </c>
      <c r="K2488" s="56">
        <v>599</v>
      </c>
      <c r="P2488" s="56">
        <v>0</v>
      </c>
      <c r="S2488" s="56">
        <v>0</v>
      </c>
      <c r="T2488" s="56" t="s">
        <v>3562</v>
      </c>
      <c r="V2488" s="56" t="s">
        <v>59</v>
      </c>
      <c r="W2488" s="56" t="s">
        <v>3548</v>
      </c>
      <c r="X2488" s="56" t="s">
        <v>39</v>
      </c>
      <c r="Y2488" s="56" t="s">
        <v>3664</v>
      </c>
      <c r="Z2488" s="56" t="s">
        <v>3663</v>
      </c>
      <c r="AC2488" s="56" t="s">
        <v>3543</v>
      </c>
      <c r="AH2488" s="56" t="s">
        <v>3542</v>
      </c>
      <c r="AI2488" s="56" t="s">
        <v>3541</v>
      </c>
    </row>
    <row r="2489" spans="1:35" ht="33" customHeight="1">
      <c r="A2489" s="56" t="s">
        <v>3667</v>
      </c>
      <c r="B2489" s="57">
        <v>44368.524583333332</v>
      </c>
      <c r="C2489" s="56" t="s">
        <v>3554</v>
      </c>
      <c r="D2489" s="56" t="s">
        <v>25</v>
      </c>
      <c r="E2489" s="56" t="s">
        <v>3666</v>
      </c>
      <c r="F2489" s="56" t="s">
        <v>3665</v>
      </c>
      <c r="G2489" s="58" t="s">
        <v>3551</v>
      </c>
      <c r="H2489" s="56">
        <v>1</v>
      </c>
      <c r="I2489" s="56" t="s">
        <v>3550</v>
      </c>
      <c r="J2489" s="56">
        <v>0</v>
      </c>
      <c r="K2489" s="56">
        <v>0</v>
      </c>
      <c r="P2489" s="56">
        <v>0</v>
      </c>
      <c r="S2489" s="56">
        <v>0</v>
      </c>
      <c r="T2489" s="56" t="s">
        <v>3562</v>
      </c>
      <c r="V2489" s="56" t="s">
        <v>59</v>
      </c>
      <c r="W2489" s="56" t="s">
        <v>3548</v>
      </c>
      <c r="X2489" s="56" t="s">
        <v>39</v>
      </c>
      <c r="Y2489" s="56" t="s">
        <v>3664</v>
      </c>
      <c r="Z2489" s="56" t="s">
        <v>3663</v>
      </c>
      <c r="AC2489" s="56" t="s">
        <v>3543</v>
      </c>
      <c r="AH2489" s="56" t="s">
        <v>3542</v>
      </c>
      <c r="AI2489" s="56" t="s">
        <v>3541</v>
      </c>
    </row>
    <row r="2490" spans="1:35" ht="33" customHeight="1">
      <c r="A2490" s="56" t="s">
        <v>3667</v>
      </c>
      <c r="B2490" s="57">
        <v>44368.524583333332</v>
      </c>
      <c r="C2490" s="56" t="s">
        <v>3554</v>
      </c>
      <c r="D2490" s="56" t="s">
        <v>25</v>
      </c>
      <c r="E2490" s="56" t="s">
        <v>3666</v>
      </c>
      <c r="F2490" s="56" t="s">
        <v>3665</v>
      </c>
      <c r="G2490" s="58" t="s">
        <v>1713</v>
      </c>
      <c r="H2490" s="56">
        <v>1</v>
      </c>
      <c r="I2490" s="56" t="s">
        <v>3568</v>
      </c>
      <c r="J2490" s="56">
        <v>0</v>
      </c>
      <c r="K2490" s="56">
        <v>0</v>
      </c>
      <c r="P2490" s="56">
        <v>0</v>
      </c>
      <c r="S2490" s="56">
        <v>0</v>
      </c>
      <c r="T2490" s="56" t="s">
        <v>3562</v>
      </c>
      <c r="V2490" s="56" t="s">
        <v>59</v>
      </c>
      <c r="W2490" s="56" t="s">
        <v>3548</v>
      </c>
      <c r="X2490" s="56" t="s">
        <v>39</v>
      </c>
      <c r="Y2490" s="56" t="s">
        <v>3664</v>
      </c>
      <c r="Z2490" s="56" t="s">
        <v>3663</v>
      </c>
      <c r="AC2490" s="56" t="s">
        <v>3543</v>
      </c>
      <c r="AH2490" s="56" t="s">
        <v>3542</v>
      </c>
      <c r="AI2490" s="56" t="s">
        <v>3541</v>
      </c>
    </row>
    <row r="2491" spans="1:35" ht="33" customHeight="1">
      <c r="A2491" s="56" t="s">
        <v>3662</v>
      </c>
      <c r="B2491" s="57">
        <v>44368.525891203702</v>
      </c>
      <c r="C2491" s="56" t="s">
        <v>3554</v>
      </c>
      <c r="D2491" s="56" t="s">
        <v>25</v>
      </c>
      <c r="E2491" s="56" t="s">
        <v>3661</v>
      </c>
      <c r="F2491" s="56" t="s">
        <v>3660</v>
      </c>
      <c r="G2491" s="58" t="s">
        <v>3558</v>
      </c>
      <c r="H2491" s="56">
        <v>1</v>
      </c>
      <c r="I2491" s="56" t="s">
        <v>3556</v>
      </c>
      <c r="J2491" s="56">
        <v>250</v>
      </c>
      <c r="K2491" s="56">
        <v>199</v>
      </c>
      <c r="L2491" s="56">
        <v>398</v>
      </c>
      <c r="M2491" s="56">
        <v>65</v>
      </c>
      <c r="N2491" s="56">
        <v>0</v>
      </c>
      <c r="O2491" s="56">
        <v>0</v>
      </c>
      <c r="P2491" s="56">
        <v>0</v>
      </c>
      <c r="Q2491" s="56">
        <v>463</v>
      </c>
      <c r="R2491" s="56">
        <v>0</v>
      </c>
      <c r="S2491" s="56">
        <v>0</v>
      </c>
      <c r="T2491" s="56" t="s">
        <v>27</v>
      </c>
      <c r="U2491" s="56">
        <v>463</v>
      </c>
      <c r="V2491" s="56" t="s">
        <v>3549</v>
      </c>
      <c r="W2491" s="56" t="s">
        <v>3548</v>
      </c>
      <c r="X2491" s="56" t="s">
        <v>3547</v>
      </c>
      <c r="Z2491" s="56" t="s">
        <v>3546</v>
      </c>
      <c r="AA2491" s="56" t="s">
        <v>3659</v>
      </c>
      <c r="AB2491" s="56" t="s">
        <v>3658</v>
      </c>
      <c r="AC2491" s="56" t="s">
        <v>3543</v>
      </c>
      <c r="AH2491" s="56" t="s">
        <v>3542</v>
      </c>
      <c r="AI2491" s="56" t="s">
        <v>3541</v>
      </c>
    </row>
    <row r="2492" spans="1:35" ht="33" customHeight="1">
      <c r="A2492" s="56" t="s">
        <v>3662</v>
      </c>
      <c r="B2492" s="57">
        <v>44368.525891203702</v>
      </c>
      <c r="C2492" s="56" t="s">
        <v>3554</v>
      </c>
      <c r="D2492" s="56" t="s">
        <v>25</v>
      </c>
      <c r="E2492" s="56" t="s">
        <v>3661</v>
      </c>
      <c r="F2492" s="56" t="s">
        <v>3660</v>
      </c>
      <c r="G2492" s="58" t="s">
        <v>3557</v>
      </c>
      <c r="H2492" s="56">
        <v>1</v>
      </c>
      <c r="I2492" s="56" t="s">
        <v>3556</v>
      </c>
      <c r="J2492" s="56">
        <v>250</v>
      </c>
      <c r="K2492" s="56">
        <v>199</v>
      </c>
      <c r="P2492" s="56">
        <v>0</v>
      </c>
      <c r="S2492" s="56">
        <v>0</v>
      </c>
      <c r="T2492" s="56" t="s">
        <v>27</v>
      </c>
      <c r="V2492" s="56" t="s">
        <v>3549</v>
      </c>
      <c r="W2492" s="56" t="s">
        <v>3548</v>
      </c>
      <c r="X2492" s="56" t="s">
        <v>3547</v>
      </c>
      <c r="Z2492" s="56" t="s">
        <v>3546</v>
      </c>
      <c r="AA2492" s="56" t="s">
        <v>3659</v>
      </c>
      <c r="AB2492" s="56" t="s">
        <v>3658</v>
      </c>
      <c r="AC2492" s="56" t="s">
        <v>3543</v>
      </c>
      <c r="AH2492" s="56" t="s">
        <v>3542</v>
      </c>
      <c r="AI2492" s="56" t="s">
        <v>3541</v>
      </c>
    </row>
    <row r="2493" spans="1:35" ht="33" customHeight="1">
      <c r="A2493" s="56" t="s">
        <v>3662</v>
      </c>
      <c r="B2493" s="57">
        <v>44368.525891203702</v>
      </c>
      <c r="C2493" s="56" t="s">
        <v>3554</v>
      </c>
      <c r="D2493" s="56" t="s">
        <v>25</v>
      </c>
      <c r="E2493" s="56" t="s">
        <v>3661</v>
      </c>
      <c r="F2493" s="56" t="s">
        <v>3660</v>
      </c>
      <c r="G2493" s="58" t="s">
        <v>3551</v>
      </c>
      <c r="H2493" s="56">
        <v>1</v>
      </c>
      <c r="I2493" s="56" t="s">
        <v>3550</v>
      </c>
      <c r="J2493" s="56">
        <v>0</v>
      </c>
      <c r="K2493" s="56">
        <v>0</v>
      </c>
      <c r="P2493" s="56">
        <v>0</v>
      </c>
      <c r="S2493" s="56">
        <v>0</v>
      </c>
      <c r="T2493" s="56" t="s">
        <v>27</v>
      </c>
      <c r="V2493" s="56" t="s">
        <v>3549</v>
      </c>
      <c r="W2493" s="56" t="s">
        <v>3548</v>
      </c>
      <c r="X2493" s="56" t="s">
        <v>3547</v>
      </c>
      <c r="Z2493" s="56" t="s">
        <v>3546</v>
      </c>
      <c r="AA2493" s="56" t="s">
        <v>3659</v>
      </c>
      <c r="AB2493" s="56" t="s">
        <v>3658</v>
      </c>
      <c r="AC2493" s="56" t="s">
        <v>3543</v>
      </c>
      <c r="AH2493" s="56" t="s">
        <v>3542</v>
      </c>
      <c r="AI2493" s="56" t="s">
        <v>3541</v>
      </c>
    </row>
    <row r="2494" spans="1:35" ht="33" customHeight="1">
      <c r="A2494" s="56" t="s">
        <v>3652</v>
      </c>
      <c r="B2494" s="57">
        <v>44368.528321759259</v>
      </c>
      <c r="C2494" s="56" t="s">
        <v>3554</v>
      </c>
      <c r="D2494" s="56" t="s">
        <v>25</v>
      </c>
      <c r="E2494" s="56" t="s">
        <v>3651</v>
      </c>
      <c r="F2494" s="56" t="s">
        <v>3650</v>
      </c>
      <c r="G2494" s="58" t="s">
        <v>3557</v>
      </c>
      <c r="H2494" s="56">
        <v>1</v>
      </c>
      <c r="I2494" s="56" t="s">
        <v>3556</v>
      </c>
      <c r="J2494" s="56">
        <v>250</v>
      </c>
      <c r="K2494" s="56">
        <v>199</v>
      </c>
      <c r="L2494" s="56">
        <v>2756</v>
      </c>
      <c r="M2494" s="56">
        <v>0</v>
      </c>
      <c r="N2494" s="56">
        <v>0</v>
      </c>
      <c r="O2494" s="56">
        <v>100</v>
      </c>
      <c r="P2494" s="56">
        <v>0</v>
      </c>
      <c r="Q2494" s="56">
        <v>2656</v>
      </c>
      <c r="R2494" s="56">
        <v>0</v>
      </c>
      <c r="S2494" s="56">
        <v>0</v>
      </c>
      <c r="T2494" s="56" t="s">
        <v>3562</v>
      </c>
      <c r="U2494" s="56">
        <v>2656</v>
      </c>
      <c r="V2494" s="56" t="s">
        <v>59</v>
      </c>
      <c r="W2494" s="56" t="s">
        <v>3548</v>
      </c>
      <c r="X2494" s="56" t="s">
        <v>39</v>
      </c>
      <c r="Y2494" s="56" t="s">
        <v>3649</v>
      </c>
      <c r="Z2494" s="56" t="s">
        <v>3648</v>
      </c>
      <c r="AC2494" s="56" t="s">
        <v>3543</v>
      </c>
      <c r="AH2494" s="56" t="s">
        <v>3542</v>
      </c>
      <c r="AI2494" s="56" t="s">
        <v>3541</v>
      </c>
    </row>
    <row r="2495" spans="1:35" ht="33" customHeight="1">
      <c r="A2495" s="56" t="s">
        <v>3652</v>
      </c>
      <c r="B2495" s="57">
        <v>44368.528321759259</v>
      </c>
      <c r="C2495" s="56" t="s">
        <v>3554</v>
      </c>
      <c r="D2495" s="56" t="s">
        <v>25</v>
      </c>
      <c r="E2495" s="56" t="s">
        <v>3651</v>
      </c>
      <c r="F2495" s="56" t="s">
        <v>3650</v>
      </c>
      <c r="G2495" s="58" t="s">
        <v>1512</v>
      </c>
      <c r="H2495" s="56">
        <v>1</v>
      </c>
      <c r="I2495" s="56" t="s">
        <v>3657</v>
      </c>
      <c r="J2495" s="56">
        <v>165</v>
      </c>
      <c r="K2495" s="56">
        <v>165</v>
      </c>
      <c r="P2495" s="56">
        <v>0</v>
      </c>
      <c r="S2495" s="56">
        <v>0</v>
      </c>
      <c r="T2495" s="56" t="s">
        <v>3562</v>
      </c>
      <c r="V2495" s="56" t="s">
        <v>59</v>
      </c>
      <c r="W2495" s="56" t="s">
        <v>3548</v>
      </c>
      <c r="X2495" s="56" t="s">
        <v>39</v>
      </c>
      <c r="Y2495" s="56" t="s">
        <v>3649</v>
      </c>
      <c r="Z2495" s="56" t="s">
        <v>3648</v>
      </c>
      <c r="AC2495" s="56" t="s">
        <v>3543</v>
      </c>
      <c r="AH2495" s="56" t="s">
        <v>3542</v>
      </c>
      <c r="AI2495" s="56" t="s">
        <v>3541</v>
      </c>
    </row>
    <row r="2496" spans="1:35" ht="33" customHeight="1">
      <c r="A2496" s="56" t="s">
        <v>3652</v>
      </c>
      <c r="B2496" s="57">
        <v>44368.528321759259</v>
      </c>
      <c r="C2496" s="56" t="s">
        <v>3554</v>
      </c>
      <c r="D2496" s="56" t="s">
        <v>25</v>
      </c>
      <c r="E2496" s="56" t="s">
        <v>3651</v>
      </c>
      <c r="F2496" s="56" t="s">
        <v>3650</v>
      </c>
      <c r="G2496" s="58" t="s">
        <v>3558</v>
      </c>
      <c r="H2496" s="56">
        <v>1</v>
      </c>
      <c r="I2496" s="56" t="s">
        <v>3556</v>
      </c>
      <c r="J2496" s="56">
        <v>250</v>
      </c>
      <c r="K2496" s="56">
        <v>199</v>
      </c>
      <c r="P2496" s="56">
        <v>0</v>
      </c>
      <c r="S2496" s="56">
        <v>0</v>
      </c>
      <c r="T2496" s="56" t="s">
        <v>3562</v>
      </c>
      <c r="V2496" s="56" t="s">
        <v>59</v>
      </c>
      <c r="W2496" s="56" t="s">
        <v>3548</v>
      </c>
      <c r="X2496" s="56" t="s">
        <v>39</v>
      </c>
      <c r="Y2496" s="56" t="s">
        <v>3649</v>
      </c>
      <c r="Z2496" s="56" t="s">
        <v>3648</v>
      </c>
      <c r="AC2496" s="56" t="s">
        <v>3543</v>
      </c>
      <c r="AH2496" s="56" t="s">
        <v>3542</v>
      </c>
      <c r="AI2496" s="56" t="s">
        <v>3541</v>
      </c>
    </row>
    <row r="2497" spans="1:35" ht="33" customHeight="1">
      <c r="A2497" s="56" t="s">
        <v>3652</v>
      </c>
      <c r="B2497" s="57">
        <v>44368.528321759259</v>
      </c>
      <c r="C2497" s="56" t="s">
        <v>3554</v>
      </c>
      <c r="D2497" s="56" t="s">
        <v>25</v>
      </c>
      <c r="E2497" s="56" t="s">
        <v>3651</v>
      </c>
      <c r="F2497" s="56" t="s">
        <v>3650</v>
      </c>
      <c r="G2497" s="58" t="s">
        <v>1512</v>
      </c>
      <c r="H2497" s="56">
        <v>1</v>
      </c>
      <c r="I2497" s="56" t="s">
        <v>3657</v>
      </c>
      <c r="J2497" s="56">
        <v>165</v>
      </c>
      <c r="K2497" s="56">
        <v>165</v>
      </c>
      <c r="P2497" s="56">
        <v>0</v>
      </c>
      <c r="S2497" s="56">
        <v>0</v>
      </c>
      <c r="T2497" s="56" t="s">
        <v>3562</v>
      </c>
      <c r="V2497" s="56" t="s">
        <v>59</v>
      </c>
      <c r="W2497" s="56" t="s">
        <v>3548</v>
      </c>
      <c r="X2497" s="56" t="s">
        <v>39</v>
      </c>
      <c r="Y2497" s="56" t="s">
        <v>3649</v>
      </c>
      <c r="Z2497" s="56" t="s">
        <v>3648</v>
      </c>
      <c r="AC2497" s="56" t="s">
        <v>3543</v>
      </c>
      <c r="AH2497" s="56" t="s">
        <v>3542</v>
      </c>
      <c r="AI2497" s="56" t="s">
        <v>3541</v>
      </c>
    </row>
    <row r="2498" spans="1:35" ht="33" customHeight="1">
      <c r="A2498" s="56" t="s">
        <v>3652</v>
      </c>
      <c r="B2498" s="57">
        <v>44368.528321759259</v>
      </c>
      <c r="C2498" s="56" t="s">
        <v>3554</v>
      </c>
      <c r="D2498" s="56" t="s">
        <v>25</v>
      </c>
      <c r="E2498" s="56" t="s">
        <v>3651</v>
      </c>
      <c r="F2498" s="56" t="s">
        <v>3650</v>
      </c>
      <c r="G2498" s="58" t="s">
        <v>3656</v>
      </c>
      <c r="H2498" s="56">
        <v>2</v>
      </c>
      <c r="I2498" s="56" t="s">
        <v>3655</v>
      </c>
      <c r="J2498" s="56">
        <v>1107</v>
      </c>
      <c r="K2498" s="56">
        <v>799</v>
      </c>
      <c r="P2498" s="56">
        <v>0</v>
      </c>
      <c r="S2498" s="56">
        <v>0</v>
      </c>
      <c r="T2498" s="56" t="s">
        <v>3562</v>
      </c>
      <c r="V2498" s="56" t="s">
        <v>59</v>
      </c>
      <c r="W2498" s="56" t="s">
        <v>3548</v>
      </c>
      <c r="X2498" s="56" t="s">
        <v>39</v>
      </c>
      <c r="Y2498" s="56" t="s">
        <v>3649</v>
      </c>
      <c r="Z2498" s="56" t="s">
        <v>3648</v>
      </c>
      <c r="AC2498" s="56" t="s">
        <v>3543</v>
      </c>
      <c r="AH2498" s="56" t="s">
        <v>3542</v>
      </c>
      <c r="AI2498" s="56" t="s">
        <v>3541</v>
      </c>
    </row>
    <row r="2499" spans="1:35" ht="33" customHeight="1">
      <c r="A2499" s="56" t="s">
        <v>3652</v>
      </c>
      <c r="B2499" s="57">
        <v>44368.528321759259</v>
      </c>
      <c r="C2499" s="56" t="s">
        <v>3554</v>
      </c>
      <c r="D2499" s="56" t="s">
        <v>25</v>
      </c>
      <c r="E2499" s="56" t="s">
        <v>3651</v>
      </c>
      <c r="F2499" s="56" t="s">
        <v>3650</v>
      </c>
      <c r="G2499" s="58" t="s">
        <v>3654</v>
      </c>
      <c r="H2499" s="56">
        <v>1</v>
      </c>
      <c r="I2499" s="56" t="s">
        <v>3653</v>
      </c>
      <c r="J2499" s="56">
        <v>447</v>
      </c>
      <c r="K2499" s="56">
        <v>430</v>
      </c>
      <c r="P2499" s="56">
        <v>0</v>
      </c>
      <c r="S2499" s="56">
        <v>0</v>
      </c>
      <c r="T2499" s="56" t="s">
        <v>3562</v>
      </c>
      <c r="V2499" s="56" t="s">
        <v>59</v>
      </c>
      <c r="W2499" s="56" t="s">
        <v>3548</v>
      </c>
      <c r="X2499" s="56" t="s">
        <v>39</v>
      </c>
      <c r="Y2499" s="56" t="s">
        <v>3649</v>
      </c>
      <c r="Z2499" s="56" t="s">
        <v>3648</v>
      </c>
      <c r="AC2499" s="56" t="s">
        <v>3543</v>
      </c>
      <c r="AH2499" s="56" t="s">
        <v>3542</v>
      </c>
      <c r="AI2499" s="56" t="s">
        <v>3541</v>
      </c>
    </row>
    <row r="2500" spans="1:35" ht="33" customHeight="1">
      <c r="A2500" s="56" t="s">
        <v>3652</v>
      </c>
      <c r="B2500" s="57">
        <v>44368.528321759259</v>
      </c>
      <c r="C2500" s="56" t="s">
        <v>3554</v>
      </c>
      <c r="D2500" s="56" t="s">
        <v>25</v>
      </c>
      <c r="E2500" s="56" t="s">
        <v>3651</v>
      </c>
      <c r="F2500" s="56" t="s">
        <v>3650</v>
      </c>
      <c r="G2500" s="58" t="s">
        <v>3551</v>
      </c>
      <c r="H2500" s="56">
        <v>1</v>
      </c>
      <c r="I2500" s="56" t="s">
        <v>3550</v>
      </c>
      <c r="J2500" s="56">
        <v>0</v>
      </c>
      <c r="K2500" s="56">
        <v>0</v>
      </c>
      <c r="P2500" s="56">
        <v>0</v>
      </c>
      <c r="S2500" s="56">
        <v>0</v>
      </c>
      <c r="T2500" s="56" t="s">
        <v>3562</v>
      </c>
      <c r="V2500" s="56" t="s">
        <v>59</v>
      </c>
      <c r="W2500" s="56" t="s">
        <v>3548</v>
      </c>
      <c r="X2500" s="56" t="s">
        <v>39</v>
      </c>
      <c r="Y2500" s="56" t="s">
        <v>3649</v>
      </c>
      <c r="Z2500" s="56" t="s">
        <v>3648</v>
      </c>
      <c r="AC2500" s="56" t="s">
        <v>3543</v>
      </c>
      <c r="AH2500" s="56" t="s">
        <v>3542</v>
      </c>
      <c r="AI2500" s="56" t="s">
        <v>3541</v>
      </c>
    </row>
    <row r="2501" spans="1:35" ht="33" customHeight="1">
      <c r="A2501" s="56" t="s">
        <v>3652</v>
      </c>
      <c r="B2501" s="57">
        <v>44368.528321759259</v>
      </c>
      <c r="C2501" s="56" t="s">
        <v>3554</v>
      </c>
      <c r="D2501" s="56" t="s">
        <v>25</v>
      </c>
      <c r="E2501" s="56" t="s">
        <v>3651</v>
      </c>
      <c r="F2501" s="56" t="s">
        <v>3650</v>
      </c>
      <c r="G2501" s="58" t="s">
        <v>1713</v>
      </c>
      <c r="H2501" s="56">
        <v>1</v>
      </c>
      <c r="I2501" s="56" t="s">
        <v>3568</v>
      </c>
      <c r="J2501" s="56">
        <v>0</v>
      </c>
      <c r="K2501" s="56">
        <v>0</v>
      </c>
      <c r="P2501" s="56">
        <v>0</v>
      </c>
      <c r="S2501" s="56">
        <v>0</v>
      </c>
      <c r="T2501" s="56" t="s">
        <v>3562</v>
      </c>
      <c r="V2501" s="56" t="s">
        <v>59</v>
      </c>
      <c r="W2501" s="56" t="s">
        <v>3548</v>
      </c>
      <c r="X2501" s="56" t="s">
        <v>39</v>
      </c>
      <c r="Y2501" s="56" t="s">
        <v>3649</v>
      </c>
      <c r="Z2501" s="56" t="s">
        <v>3648</v>
      </c>
      <c r="AC2501" s="56" t="s">
        <v>3543</v>
      </c>
      <c r="AH2501" s="56" t="s">
        <v>3542</v>
      </c>
      <c r="AI2501" s="56" t="s">
        <v>3541</v>
      </c>
    </row>
    <row r="2502" spans="1:35" ht="33" customHeight="1">
      <c r="A2502" s="56" t="s">
        <v>3652</v>
      </c>
      <c r="B2502" s="57">
        <v>44368.528321759259</v>
      </c>
      <c r="C2502" s="56" t="s">
        <v>3554</v>
      </c>
      <c r="D2502" s="56" t="s">
        <v>25</v>
      </c>
      <c r="E2502" s="56" t="s">
        <v>3651</v>
      </c>
      <c r="F2502" s="56" t="s">
        <v>3650</v>
      </c>
      <c r="G2502" s="58" t="s">
        <v>3564</v>
      </c>
      <c r="H2502" s="56">
        <v>1</v>
      </c>
      <c r="I2502" s="56" t="s">
        <v>3563</v>
      </c>
      <c r="J2502" s="56">
        <v>0</v>
      </c>
      <c r="K2502" s="56">
        <v>0</v>
      </c>
      <c r="P2502" s="56">
        <v>0</v>
      </c>
      <c r="S2502" s="56">
        <v>0</v>
      </c>
      <c r="T2502" s="56" t="s">
        <v>3562</v>
      </c>
      <c r="V2502" s="56" t="s">
        <v>59</v>
      </c>
      <c r="W2502" s="56" t="s">
        <v>3548</v>
      </c>
      <c r="X2502" s="56" t="s">
        <v>39</v>
      </c>
      <c r="Y2502" s="56" t="s">
        <v>3649</v>
      </c>
      <c r="Z2502" s="56" t="s">
        <v>3648</v>
      </c>
      <c r="AC2502" s="56" t="s">
        <v>3543</v>
      </c>
      <c r="AH2502" s="56" t="s">
        <v>3542</v>
      </c>
      <c r="AI2502" s="56" t="s">
        <v>3541</v>
      </c>
    </row>
    <row r="2503" spans="1:35" ht="33" customHeight="1">
      <c r="A2503" s="56" t="s">
        <v>3647</v>
      </c>
      <c r="B2503" s="57">
        <v>44368.528379629628</v>
      </c>
      <c r="C2503" s="56" t="s">
        <v>3554</v>
      </c>
      <c r="D2503" s="56" t="s">
        <v>25</v>
      </c>
      <c r="E2503" s="56" t="s">
        <v>3646</v>
      </c>
      <c r="F2503" s="56" t="s">
        <v>3645</v>
      </c>
      <c r="G2503" s="58" t="s">
        <v>3558</v>
      </c>
      <c r="H2503" s="56">
        <v>1</v>
      </c>
      <c r="I2503" s="56" t="s">
        <v>3556</v>
      </c>
      <c r="J2503" s="56">
        <v>250</v>
      </c>
      <c r="K2503" s="56">
        <v>199</v>
      </c>
      <c r="L2503" s="56">
        <v>199</v>
      </c>
      <c r="M2503" s="56">
        <v>65</v>
      </c>
      <c r="N2503" s="56">
        <v>0</v>
      </c>
      <c r="O2503" s="56">
        <v>0</v>
      </c>
      <c r="P2503" s="56">
        <v>0</v>
      </c>
      <c r="Q2503" s="56">
        <v>264</v>
      </c>
      <c r="R2503" s="56">
        <v>0</v>
      </c>
      <c r="S2503" s="56">
        <v>0</v>
      </c>
      <c r="T2503" s="56" t="s">
        <v>27</v>
      </c>
      <c r="U2503" s="56">
        <v>264</v>
      </c>
      <c r="V2503" s="56" t="s">
        <v>3612</v>
      </c>
      <c r="W2503" s="56" t="s">
        <v>3548</v>
      </c>
      <c r="X2503" s="56" t="s">
        <v>3611</v>
      </c>
      <c r="Z2503" s="56" t="s">
        <v>3546</v>
      </c>
      <c r="AA2503" s="56" t="s">
        <v>3644</v>
      </c>
      <c r="AB2503" s="56" t="s">
        <v>3643</v>
      </c>
      <c r="AC2503" s="56" t="s">
        <v>3543</v>
      </c>
      <c r="AH2503" s="56" t="s">
        <v>3542</v>
      </c>
      <c r="AI2503" s="56" t="s">
        <v>3541</v>
      </c>
    </row>
    <row r="2504" spans="1:35" ht="33" customHeight="1">
      <c r="A2504" s="56" t="s">
        <v>3647</v>
      </c>
      <c r="B2504" s="57">
        <v>44368.528379629628</v>
      </c>
      <c r="C2504" s="56" t="s">
        <v>3554</v>
      </c>
      <c r="D2504" s="56" t="s">
        <v>25</v>
      </c>
      <c r="E2504" s="56" t="s">
        <v>3646</v>
      </c>
      <c r="F2504" s="56" t="s">
        <v>3645</v>
      </c>
      <c r="G2504" s="58" t="s">
        <v>3551</v>
      </c>
      <c r="H2504" s="56">
        <v>1</v>
      </c>
      <c r="I2504" s="56" t="s">
        <v>3550</v>
      </c>
      <c r="J2504" s="56">
        <v>0</v>
      </c>
      <c r="K2504" s="56">
        <v>0</v>
      </c>
      <c r="P2504" s="56">
        <v>0</v>
      </c>
      <c r="S2504" s="56">
        <v>0</v>
      </c>
      <c r="T2504" s="56" t="s">
        <v>27</v>
      </c>
      <c r="V2504" s="56" t="s">
        <v>3612</v>
      </c>
      <c r="W2504" s="56" t="s">
        <v>3548</v>
      </c>
      <c r="X2504" s="56" t="s">
        <v>3611</v>
      </c>
      <c r="Z2504" s="56" t="s">
        <v>3546</v>
      </c>
      <c r="AA2504" s="56" t="s">
        <v>3644</v>
      </c>
      <c r="AB2504" s="56" t="s">
        <v>3643</v>
      </c>
      <c r="AC2504" s="56" t="s">
        <v>3543</v>
      </c>
      <c r="AH2504" s="56" t="s">
        <v>3542</v>
      </c>
      <c r="AI2504" s="56" t="s">
        <v>3541</v>
      </c>
    </row>
    <row r="2505" spans="1:35" ht="33" customHeight="1">
      <c r="A2505" s="56" t="s">
        <v>3642</v>
      </c>
      <c r="B2505" s="57">
        <v>44368.532199074078</v>
      </c>
      <c r="C2505" s="56" t="s">
        <v>3554</v>
      </c>
      <c r="D2505" s="56" t="s">
        <v>25</v>
      </c>
      <c r="E2505" s="56" t="s">
        <v>3641</v>
      </c>
      <c r="F2505" s="56" t="s">
        <v>3640</v>
      </c>
      <c r="G2505" s="58" t="s">
        <v>3557</v>
      </c>
      <c r="H2505" s="56">
        <v>1</v>
      </c>
      <c r="I2505" s="56" t="s">
        <v>3556</v>
      </c>
      <c r="J2505" s="56">
        <v>250</v>
      </c>
      <c r="K2505" s="56">
        <v>199</v>
      </c>
      <c r="L2505" s="56">
        <v>199</v>
      </c>
      <c r="M2505" s="56">
        <v>65</v>
      </c>
      <c r="N2505" s="56">
        <v>0</v>
      </c>
      <c r="O2505" s="56">
        <v>0</v>
      </c>
      <c r="P2505" s="56">
        <v>0</v>
      </c>
      <c r="Q2505" s="56">
        <v>264</v>
      </c>
      <c r="R2505" s="56">
        <v>0</v>
      </c>
      <c r="S2505" s="56">
        <v>0</v>
      </c>
      <c r="T2505" s="56" t="s">
        <v>27</v>
      </c>
      <c r="U2505" s="56">
        <v>264</v>
      </c>
      <c r="V2505" s="56" t="s">
        <v>3612</v>
      </c>
      <c r="W2505" s="56" t="s">
        <v>3548</v>
      </c>
      <c r="X2505" s="56" t="s">
        <v>3611</v>
      </c>
      <c r="Z2505" s="56" t="s">
        <v>3546</v>
      </c>
      <c r="AA2505" s="56" t="s">
        <v>3639</v>
      </c>
      <c r="AB2505" s="56" t="s">
        <v>3638</v>
      </c>
      <c r="AC2505" s="56" t="s">
        <v>3543</v>
      </c>
      <c r="AH2505" s="56" t="s">
        <v>3542</v>
      </c>
      <c r="AI2505" s="56" t="s">
        <v>3541</v>
      </c>
    </row>
    <row r="2506" spans="1:35" ht="33" customHeight="1">
      <c r="A2506" s="56" t="s">
        <v>3642</v>
      </c>
      <c r="B2506" s="57">
        <v>44368.532199074078</v>
      </c>
      <c r="C2506" s="56" t="s">
        <v>3554</v>
      </c>
      <c r="D2506" s="56" t="s">
        <v>25</v>
      </c>
      <c r="E2506" s="56" t="s">
        <v>3641</v>
      </c>
      <c r="F2506" s="56" t="s">
        <v>3640</v>
      </c>
      <c r="G2506" s="58" t="s">
        <v>3551</v>
      </c>
      <c r="H2506" s="56">
        <v>1</v>
      </c>
      <c r="I2506" s="56" t="s">
        <v>3550</v>
      </c>
      <c r="J2506" s="56">
        <v>0</v>
      </c>
      <c r="K2506" s="56">
        <v>0</v>
      </c>
      <c r="P2506" s="56">
        <v>0</v>
      </c>
      <c r="S2506" s="56">
        <v>0</v>
      </c>
      <c r="T2506" s="56" t="s">
        <v>27</v>
      </c>
      <c r="V2506" s="56" t="s">
        <v>3612</v>
      </c>
      <c r="W2506" s="56" t="s">
        <v>3548</v>
      </c>
      <c r="X2506" s="56" t="s">
        <v>3611</v>
      </c>
      <c r="Z2506" s="56" t="s">
        <v>3546</v>
      </c>
      <c r="AA2506" s="56" t="s">
        <v>3639</v>
      </c>
      <c r="AB2506" s="56" t="s">
        <v>3638</v>
      </c>
      <c r="AC2506" s="56" t="s">
        <v>3543</v>
      </c>
      <c r="AH2506" s="56" t="s">
        <v>3542</v>
      </c>
      <c r="AI2506" s="56" t="s">
        <v>3541</v>
      </c>
    </row>
    <row r="2507" spans="1:35" ht="33" customHeight="1">
      <c r="A2507" s="56" t="s">
        <v>3637</v>
      </c>
      <c r="B2507" s="57">
        <v>44368.533379629633</v>
      </c>
      <c r="C2507" s="56" t="s">
        <v>3554</v>
      </c>
      <c r="D2507" s="56" t="s">
        <v>25</v>
      </c>
      <c r="E2507" s="56" t="s">
        <v>3636</v>
      </c>
      <c r="F2507" s="56" t="s">
        <v>3635</v>
      </c>
      <c r="G2507" s="58" t="s">
        <v>3557</v>
      </c>
      <c r="H2507" s="56">
        <v>2</v>
      </c>
      <c r="I2507" s="56" t="s">
        <v>3556</v>
      </c>
      <c r="J2507" s="56">
        <v>250</v>
      </c>
      <c r="K2507" s="56">
        <v>199</v>
      </c>
      <c r="L2507" s="56">
        <v>796</v>
      </c>
      <c r="M2507" s="56">
        <v>60</v>
      </c>
      <c r="N2507" s="56">
        <v>0</v>
      </c>
      <c r="O2507" s="56">
        <v>0</v>
      </c>
      <c r="P2507" s="56">
        <v>0</v>
      </c>
      <c r="Q2507" s="56">
        <v>856</v>
      </c>
      <c r="R2507" s="56">
        <v>0</v>
      </c>
      <c r="S2507" s="56">
        <v>0</v>
      </c>
      <c r="T2507" s="56" t="s">
        <v>3562</v>
      </c>
      <c r="U2507" s="56">
        <v>856</v>
      </c>
      <c r="V2507" s="56" t="s">
        <v>3561</v>
      </c>
      <c r="W2507" s="56" t="s">
        <v>3548</v>
      </c>
      <c r="X2507" s="56" t="s">
        <v>39</v>
      </c>
      <c r="Y2507" s="56" t="s">
        <v>3634</v>
      </c>
      <c r="Z2507" s="56" t="s">
        <v>3633</v>
      </c>
      <c r="AC2507" s="56" t="s">
        <v>3543</v>
      </c>
      <c r="AH2507" s="56" t="s">
        <v>3542</v>
      </c>
      <c r="AI2507" s="56" t="s">
        <v>3541</v>
      </c>
    </row>
    <row r="2508" spans="1:35" ht="33" customHeight="1">
      <c r="A2508" s="56" t="s">
        <v>3637</v>
      </c>
      <c r="B2508" s="57">
        <v>44368.533379629633</v>
      </c>
      <c r="C2508" s="56" t="s">
        <v>3554</v>
      </c>
      <c r="D2508" s="56" t="s">
        <v>25</v>
      </c>
      <c r="E2508" s="56" t="s">
        <v>3636</v>
      </c>
      <c r="F2508" s="56" t="s">
        <v>3635</v>
      </c>
      <c r="G2508" s="58" t="s">
        <v>3558</v>
      </c>
      <c r="H2508" s="56">
        <v>2</v>
      </c>
      <c r="I2508" s="56" t="s">
        <v>3556</v>
      </c>
      <c r="J2508" s="56">
        <v>250</v>
      </c>
      <c r="K2508" s="56">
        <v>199</v>
      </c>
      <c r="P2508" s="56">
        <v>0</v>
      </c>
      <c r="S2508" s="56">
        <v>0</v>
      </c>
      <c r="T2508" s="56" t="s">
        <v>3562</v>
      </c>
      <c r="V2508" s="56" t="s">
        <v>3561</v>
      </c>
      <c r="W2508" s="56" t="s">
        <v>3548</v>
      </c>
      <c r="X2508" s="56" t="s">
        <v>39</v>
      </c>
      <c r="Y2508" s="56" t="s">
        <v>3634</v>
      </c>
      <c r="Z2508" s="56" t="s">
        <v>3633</v>
      </c>
      <c r="AC2508" s="56" t="s">
        <v>3543</v>
      </c>
      <c r="AH2508" s="56" t="s">
        <v>3542</v>
      </c>
      <c r="AI2508" s="56" t="s">
        <v>3541</v>
      </c>
    </row>
    <row r="2509" spans="1:35" ht="33" customHeight="1">
      <c r="A2509" s="56" t="s">
        <v>3637</v>
      </c>
      <c r="B2509" s="57">
        <v>44368.533379629633</v>
      </c>
      <c r="C2509" s="56" t="s">
        <v>3554</v>
      </c>
      <c r="D2509" s="56" t="s">
        <v>25</v>
      </c>
      <c r="E2509" s="56" t="s">
        <v>3636</v>
      </c>
      <c r="F2509" s="56" t="s">
        <v>3635</v>
      </c>
      <c r="G2509" s="58" t="s">
        <v>3551</v>
      </c>
      <c r="H2509" s="56">
        <v>1</v>
      </c>
      <c r="I2509" s="56" t="s">
        <v>3550</v>
      </c>
      <c r="J2509" s="56">
        <v>0</v>
      </c>
      <c r="K2509" s="56">
        <v>0</v>
      </c>
      <c r="P2509" s="56">
        <v>0</v>
      </c>
      <c r="S2509" s="56">
        <v>0</v>
      </c>
      <c r="T2509" s="56" t="s">
        <v>3562</v>
      </c>
      <c r="V2509" s="56" t="s">
        <v>3561</v>
      </c>
      <c r="W2509" s="56" t="s">
        <v>3548</v>
      </c>
      <c r="X2509" s="56" t="s">
        <v>39</v>
      </c>
      <c r="Y2509" s="56" t="s">
        <v>3634</v>
      </c>
      <c r="Z2509" s="56" t="s">
        <v>3633</v>
      </c>
      <c r="AC2509" s="56" t="s">
        <v>3543</v>
      </c>
      <c r="AH2509" s="56" t="s">
        <v>3542</v>
      </c>
      <c r="AI2509" s="56" t="s">
        <v>3541</v>
      </c>
    </row>
    <row r="2510" spans="1:35" ht="33" customHeight="1">
      <c r="A2510" s="56" t="s">
        <v>3632</v>
      </c>
      <c r="B2510" s="57">
        <v>44368.533576388887</v>
      </c>
      <c r="C2510" s="56" t="s">
        <v>3554</v>
      </c>
      <c r="D2510" s="56" t="s">
        <v>25</v>
      </c>
      <c r="E2510" s="56" t="s">
        <v>3631</v>
      </c>
      <c r="F2510" s="56" t="s">
        <v>3630</v>
      </c>
      <c r="G2510" s="58" t="s">
        <v>3558</v>
      </c>
      <c r="H2510" s="56">
        <v>1</v>
      </c>
      <c r="I2510" s="56" t="s">
        <v>3556</v>
      </c>
      <c r="J2510" s="56">
        <v>250</v>
      </c>
      <c r="K2510" s="56">
        <v>199</v>
      </c>
      <c r="L2510" s="56">
        <v>598</v>
      </c>
      <c r="M2510" s="56">
        <v>60</v>
      </c>
      <c r="N2510" s="56">
        <v>0</v>
      </c>
      <c r="O2510" s="56">
        <v>0</v>
      </c>
      <c r="P2510" s="56">
        <v>0</v>
      </c>
      <c r="Q2510" s="56">
        <v>658</v>
      </c>
      <c r="R2510" s="56">
        <v>0</v>
      </c>
      <c r="S2510" s="56">
        <v>0</v>
      </c>
      <c r="T2510" s="56" t="s">
        <v>3562</v>
      </c>
      <c r="U2510" s="56">
        <v>658</v>
      </c>
      <c r="V2510" s="56" t="s">
        <v>3561</v>
      </c>
      <c r="W2510" s="56" t="s">
        <v>3548</v>
      </c>
      <c r="X2510" s="56" t="s">
        <v>39</v>
      </c>
      <c r="Y2510" s="56" t="s">
        <v>3629</v>
      </c>
      <c r="Z2510" s="56" t="s">
        <v>3628</v>
      </c>
      <c r="AC2510" s="56" t="s">
        <v>3543</v>
      </c>
      <c r="AH2510" s="56" t="s">
        <v>3542</v>
      </c>
      <c r="AI2510" s="56" t="s">
        <v>3541</v>
      </c>
    </row>
    <row r="2511" spans="1:35" ht="33" customHeight="1">
      <c r="A2511" s="56" t="s">
        <v>3632</v>
      </c>
      <c r="B2511" s="57">
        <v>44368.533576388887</v>
      </c>
      <c r="C2511" s="56" t="s">
        <v>3554</v>
      </c>
      <c r="D2511" s="56" t="s">
        <v>25</v>
      </c>
      <c r="E2511" s="56" t="s">
        <v>3631</v>
      </c>
      <c r="F2511" s="56" t="s">
        <v>3630</v>
      </c>
      <c r="G2511" s="58" t="s">
        <v>3603</v>
      </c>
      <c r="H2511" s="56">
        <v>1</v>
      </c>
      <c r="I2511" s="56" t="s">
        <v>3602</v>
      </c>
      <c r="J2511" s="56">
        <v>447</v>
      </c>
      <c r="K2511" s="56">
        <v>399</v>
      </c>
      <c r="P2511" s="56">
        <v>0</v>
      </c>
      <c r="S2511" s="56">
        <v>0</v>
      </c>
      <c r="T2511" s="56" t="s">
        <v>3562</v>
      </c>
      <c r="V2511" s="56" t="s">
        <v>3561</v>
      </c>
      <c r="W2511" s="56" t="s">
        <v>3548</v>
      </c>
      <c r="X2511" s="56" t="s">
        <v>39</v>
      </c>
      <c r="Y2511" s="56" t="s">
        <v>3629</v>
      </c>
      <c r="Z2511" s="56" t="s">
        <v>3628</v>
      </c>
      <c r="AC2511" s="56" t="s">
        <v>3543</v>
      </c>
      <c r="AH2511" s="56" t="s">
        <v>3542</v>
      </c>
      <c r="AI2511" s="56" t="s">
        <v>3541</v>
      </c>
    </row>
    <row r="2512" spans="1:35" ht="33" customHeight="1">
      <c r="A2512" s="56" t="s">
        <v>3632</v>
      </c>
      <c r="B2512" s="57">
        <v>44368.533576388887</v>
      </c>
      <c r="C2512" s="56" t="s">
        <v>3554</v>
      </c>
      <c r="D2512" s="56" t="s">
        <v>25</v>
      </c>
      <c r="E2512" s="56" t="s">
        <v>3631</v>
      </c>
      <c r="F2512" s="56" t="s">
        <v>3630</v>
      </c>
      <c r="G2512" s="58" t="s">
        <v>3551</v>
      </c>
      <c r="H2512" s="56">
        <v>1</v>
      </c>
      <c r="I2512" s="56" t="s">
        <v>3550</v>
      </c>
      <c r="J2512" s="56">
        <v>0</v>
      </c>
      <c r="K2512" s="56">
        <v>0</v>
      </c>
      <c r="P2512" s="56">
        <v>0</v>
      </c>
      <c r="S2512" s="56">
        <v>0</v>
      </c>
      <c r="T2512" s="56" t="s">
        <v>3562</v>
      </c>
      <c r="V2512" s="56" t="s">
        <v>3561</v>
      </c>
      <c r="W2512" s="56" t="s">
        <v>3548</v>
      </c>
      <c r="X2512" s="56" t="s">
        <v>39</v>
      </c>
      <c r="Y2512" s="56" t="s">
        <v>3629</v>
      </c>
      <c r="Z2512" s="56" t="s">
        <v>3628</v>
      </c>
      <c r="AC2512" s="56" t="s">
        <v>3543</v>
      </c>
      <c r="AH2512" s="56" t="s">
        <v>3542</v>
      </c>
      <c r="AI2512" s="56" t="s">
        <v>3541</v>
      </c>
    </row>
    <row r="2513" spans="1:35" ht="33" customHeight="1">
      <c r="A2513" s="56" t="s">
        <v>3627</v>
      </c>
      <c r="B2513" s="57">
        <v>44368.534305555557</v>
      </c>
      <c r="C2513" s="56" t="s">
        <v>3554</v>
      </c>
      <c r="D2513" s="56" t="s">
        <v>25</v>
      </c>
      <c r="E2513" s="56" t="s">
        <v>3626</v>
      </c>
      <c r="F2513" s="56" t="s">
        <v>3625</v>
      </c>
      <c r="G2513" s="58" t="s">
        <v>3603</v>
      </c>
      <c r="H2513" s="56">
        <v>1</v>
      </c>
      <c r="I2513" s="56" t="s">
        <v>3602</v>
      </c>
      <c r="J2513" s="56">
        <v>447</v>
      </c>
      <c r="K2513" s="56">
        <v>399</v>
      </c>
      <c r="L2513" s="56">
        <v>399</v>
      </c>
      <c r="M2513" s="56">
        <v>60</v>
      </c>
      <c r="N2513" s="56">
        <v>0</v>
      </c>
      <c r="O2513" s="56">
        <v>0</v>
      </c>
      <c r="P2513" s="56">
        <v>0</v>
      </c>
      <c r="Q2513" s="56">
        <v>459</v>
      </c>
      <c r="R2513" s="56">
        <v>0</v>
      </c>
      <c r="S2513" s="56">
        <v>0</v>
      </c>
      <c r="T2513" s="56" t="s">
        <v>3562</v>
      </c>
      <c r="U2513" s="56">
        <v>459</v>
      </c>
      <c r="V2513" s="56" t="s">
        <v>3561</v>
      </c>
      <c r="W2513" s="56" t="s">
        <v>3548</v>
      </c>
      <c r="X2513" s="56" t="s">
        <v>39</v>
      </c>
      <c r="Y2513" s="56" t="s">
        <v>3560</v>
      </c>
      <c r="Z2513" s="56" t="s">
        <v>3624</v>
      </c>
      <c r="AC2513" s="56" t="s">
        <v>3623</v>
      </c>
      <c r="AG2513" s="56" t="s">
        <v>3622</v>
      </c>
      <c r="AH2513" s="56" t="s">
        <v>3621</v>
      </c>
      <c r="AI2513" s="56" t="s">
        <v>3541</v>
      </c>
    </row>
    <row r="2514" spans="1:35" ht="33" customHeight="1">
      <c r="A2514" s="56" t="s">
        <v>3627</v>
      </c>
      <c r="B2514" s="57">
        <v>44368.534305555557</v>
      </c>
      <c r="C2514" s="56" t="s">
        <v>3554</v>
      </c>
      <c r="D2514" s="56" t="s">
        <v>25</v>
      </c>
      <c r="E2514" s="56" t="s">
        <v>3626</v>
      </c>
      <c r="F2514" s="56" t="s">
        <v>3625</v>
      </c>
      <c r="G2514" s="58" t="s">
        <v>3551</v>
      </c>
      <c r="H2514" s="56">
        <v>1</v>
      </c>
      <c r="I2514" s="56" t="s">
        <v>3550</v>
      </c>
      <c r="J2514" s="56">
        <v>0</v>
      </c>
      <c r="K2514" s="56">
        <v>0</v>
      </c>
      <c r="P2514" s="56">
        <v>0</v>
      </c>
      <c r="S2514" s="56">
        <v>0</v>
      </c>
      <c r="T2514" s="56" t="s">
        <v>3562</v>
      </c>
      <c r="V2514" s="56" t="s">
        <v>3561</v>
      </c>
      <c r="W2514" s="56" t="s">
        <v>3548</v>
      </c>
      <c r="X2514" s="56" t="s">
        <v>39</v>
      </c>
      <c r="Y2514" s="56" t="s">
        <v>3560</v>
      </c>
      <c r="Z2514" s="56" t="s">
        <v>3624</v>
      </c>
      <c r="AC2514" s="56" t="s">
        <v>3623</v>
      </c>
      <c r="AG2514" s="56" t="s">
        <v>3622</v>
      </c>
      <c r="AH2514" s="56" t="s">
        <v>3621</v>
      </c>
      <c r="AI2514" s="56" t="s">
        <v>3541</v>
      </c>
    </row>
    <row r="2515" spans="1:35" ht="33" customHeight="1">
      <c r="A2515" s="56" t="s">
        <v>3620</v>
      </c>
      <c r="B2515" s="57">
        <v>44368.535740740743</v>
      </c>
      <c r="C2515" s="56" t="s">
        <v>3554</v>
      </c>
      <c r="D2515" s="56" t="s">
        <v>25</v>
      </c>
      <c r="E2515" s="56" t="s">
        <v>3619</v>
      </c>
      <c r="F2515" s="56" t="s">
        <v>3618</v>
      </c>
      <c r="G2515" s="58" t="s">
        <v>3603</v>
      </c>
      <c r="H2515" s="56">
        <v>5</v>
      </c>
      <c r="I2515" s="56" t="s">
        <v>3602</v>
      </c>
      <c r="J2515" s="56">
        <v>447</v>
      </c>
      <c r="K2515" s="56">
        <v>399</v>
      </c>
      <c r="L2515" s="56">
        <v>1995</v>
      </c>
      <c r="M2515" s="56">
        <v>0</v>
      </c>
      <c r="N2515" s="56">
        <v>0</v>
      </c>
      <c r="O2515" s="56">
        <v>200</v>
      </c>
      <c r="P2515" s="56">
        <v>0</v>
      </c>
      <c r="Q2515" s="56">
        <v>1795</v>
      </c>
      <c r="R2515" s="56">
        <v>0</v>
      </c>
      <c r="S2515" s="56">
        <v>0</v>
      </c>
      <c r="T2515" s="56" t="s">
        <v>3562</v>
      </c>
      <c r="U2515" s="56">
        <v>1795</v>
      </c>
      <c r="V2515" s="56" t="s">
        <v>3561</v>
      </c>
      <c r="W2515" s="56" t="s">
        <v>3548</v>
      </c>
      <c r="X2515" s="56" t="s">
        <v>39</v>
      </c>
      <c r="Y2515" s="56" t="s">
        <v>3617</v>
      </c>
      <c r="Z2515" s="56" t="s">
        <v>3616</v>
      </c>
      <c r="AC2515" s="56" t="s">
        <v>3543</v>
      </c>
      <c r="AH2515" s="56" t="s">
        <v>3542</v>
      </c>
      <c r="AI2515" s="56" t="s">
        <v>3541</v>
      </c>
    </row>
    <row r="2516" spans="1:35" ht="33" customHeight="1">
      <c r="A2516" s="56" t="s">
        <v>3620</v>
      </c>
      <c r="B2516" s="57">
        <v>44368.535740740743</v>
      </c>
      <c r="C2516" s="56" t="s">
        <v>3554</v>
      </c>
      <c r="D2516" s="56" t="s">
        <v>25</v>
      </c>
      <c r="E2516" s="56" t="s">
        <v>3619</v>
      </c>
      <c r="F2516" s="56" t="s">
        <v>3618</v>
      </c>
      <c r="G2516" s="58" t="s">
        <v>3551</v>
      </c>
      <c r="H2516" s="56">
        <v>1</v>
      </c>
      <c r="I2516" s="56" t="s">
        <v>3550</v>
      </c>
      <c r="J2516" s="56">
        <v>0</v>
      </c>
      <c r="K2516" s="56">
        <v>0</v>
      </c>
      <c r="P2516" s="56">
        <v>0</v>
      </c>
      <c r="S2516" s="56">
        <v>0</v>
      </c>
      <c r="T2516" s="56" t="s">
        <v>3562</v>
      </c>
      <c r="V2516" s="56" t="s">
        <v>3561</v>
      </c>
      <c r="W2516" s="56" t="s">
        <v>3548</v>
      </c>
      <c r="X2516" s="56" t="s">
        <v>39</v>
      </c>
      <c r="Y2516" s="56" t="s">
        <v>3617</v>
      </c>
      <c r="Z2516" s="56" t="s">
        <v>3616</v>
      </c>
      <c r="AC2516" s="56" t="s">
        <v>3543</v>
      </c>
      <c r="AH2516" s="56" t="s">
        <v>3542</v>
      </c>
      <c r="AI2516" s="56" t="s">
        <v>3541</v>
      </c>
    </row>
    <row r="2517" spans="1:35" ht="33" customHeight="1">
      <c r="A2517" s="56" t="s">
        <v>3620</v>
      </c>
      <c r="B2517" s="57">
        <v>44368.535740740743</v>
      </c>
      <c r="C2517" s="56" t="s">
        <v>3554</v>
      </c>
      <c r="D2517" s="56" t="s">
        <v>25</v>
      </c>
      <c r="E2517" s="56" t="s">
        <v>3619</v>
      </c>
      <c r="F2517" s="56" t="s">
        <v>3618</v>
      </c>
      <c r="G2517" s="58" t="s">
        <v>1713</v>
      </c>
      <c r="H2517" s="56">
        <v>1</v>
      </c>
      <c r="I2517" s="56" t="s">
        <v>3568</v>
      </c>
      <c r="J2517" s="56">
        <v>0</v>
      </c>
      <c r="K2517" s="56">
        <v>0</v>
      </c>
      <c r="P2517" s="56">
        <v>0</v>
      </c>
      <c r="S2517" s="56">
        <v>0</v>
      </c>
      <c r="T2517" s="56" t="s">
        <v>3562</v>
      </c>
      <c r="V2517" s="56" t="s">
        <v>3561</v>
      </c>
      <c r="W2517" s="56" t="s">
        <v>3548</v>
      </c>
      <c r="X2517" s="56" t="s">
        <v>39</v>
      </c>
      <c r="Y2517" s="56" t="s">
        <v>3617</v>
      </c>
      <c r="Z2517" s="56" t="s">
        <v>3616</v>
      </c>
      <c r="AC2517" s="56" t="s">
        <v>3543</v>
      </c>
      <c r="AH2517" s="56" t="s">
        <v>3542</v>
      </c>
      <c r="AI2517" s="56" t="s">
        <v>3541</v>
      </c>
    </row>
    <row r="2518" spans="1:35" ht="33" customHeight="1">
      <c r="A2518" s="56" t="s">
        <v>3615</v>
      </c>
      <c r="B2518" s="57">
        <v>44368.537662037037</v>
      </c>
      <c r="C2518" s="56" t="s">
        <v>3554</v>
      </c>
      <c r="D2518" s="56" t="s">
        <v>25</v>
      </c>
      <c r="E2518" s="56" t="s">
        <v>3614</v>
      </c>
      <c r="F2518" s="56" t="s">
        <v>3613</v>
      </c>
      <c r="G2518" s="58" t="s">
        <v>3558</v>
      </c>
      <c r="H2518" s="56">
        <v>1</v>
      </c>
      <c r="I2518" s="56" t="s">
        <v>3556</v>
      </c>
      <c r="J2518" s="56">
        <v>250</v>
      </c>
      <c r="K2518" s="56">
        <v>199</v>
      </c>
      <c r="L2518" s="56">
        <v>1094</v>
      </c>
      <c r="M2518" s="56">
        <v>0</v>
      </c>
      <c r="N2518" s="56">
        <v>0</v>
      </c>
      <c r="O2518" s="56">
        <v>100</v>
      </c>
      <c r="P2518" s="56">
        <v>0</v>
      </c>
      <c r="Q2518" s="56">
        <v>994</v>
      </c>
      <c r="R2518" s="56">
        <v>0</v>
      </c>
      <c r="S2518" s="56">
        <v>0</v>
      </c>
      <c r="T2518" s="56" t="s">
        <v>27</v>
      </c>
      <c r="U2518" s="56">
        <v>994</v>
      </c>
      <c r="V2518" s="56" t="s">
        <v>3612</v>
      </c>
      <c r="W2518" s="56" t="s">
        <v>3548</v>
      </c>
      <c r="X2518" s="56" t="s">
        <v>3611</v>
      </c>
      <c r="Z2518" s="56" t="s">
        <v>3546</v>
      </c>
      <c r="AA2518" s="56" t="s">
        <v>3610</v>
      </c>
      <c r="AB2518" s="56" t="s">
        <v>3609</v>
      </c>
      <c r="AC2518" s="56" t="s">
        <v>3543</v>
      </c>
      <c r="AH2518" s="56" t="s">
        <v>3542</v>
      </c>
      <c r="AI2518" s="56" t="s">
        <v>3541</v>
      </c>
    </row>
    <row r="2519" spans="1:35" ht="33" customHeight="1">
      <c r="A2519" s="56" t="s">
        <v>3615</v>
      </c>
      <c r="B2519" s="57">
        <v>44368.537662037037</v>
      </c>
      <c r="C2519" s="56" t="s">
        <v>3554</v>
      </c>
      <c r="D2519" s="56" t="s">
        <v>25</v>
      </c>
      <c r="E2519" s="56" t="s">
        <v>3614</v>
      </c>
      <c r="F2519" s="56" t="s">
        <v>3613</v>
      </c>
      <c r="G2519" s="58" t="s">
        <v>3557</v>
      </c>
      <c r="H2519" s="56">
        <v>3</v>
      </c>
      <c r="I2519" s="56" t="s">
        <v>3556</v>
      </c>
      <c r="J2519" s="56">
        <v>250</v>
      </c>
      <c r="K2519" s="56">
        <v>199</v>
      </c>
      <c r="P2519" s="56">
        <v>0</v>
      </c>
      <c r="S2519" s="56">
        <v>0</v>
      </c>
      <c r="T2519" s="56" t="s">
        <v>27</v>
      </c>
      <c r="V2519" s="56" t="s">
        <v>3612</v>
      </c>
      <c r="W2519" s="56" t="s">
        <v>3548</v>
      </c>
      <c r="X2519" s="56" t="s">
        <v>3611</v>
      </c>
      <c r="Z2519" s="56" t="s">
        <v>3546</v>
      </c>
      <c r="AA2519" s="56" t="s">
        <v>3610</v>
      </c>
      <c r="AB2519" s="56" t="s">
        <v>3609</v>
      </c>
      <c r="AC2519" s="56" t="s">
        <v>3543</v>
      </c>
      <c r="AH2519" s="56" t="s">
        <v>3542</v>
      </c>
      <c r="AI2519" s="56" t="s">
        <v>3541</v>
      </c>
    </row>
    <row r="2520" spans="1:35" ht="33" customHeight="1">
      <c r="A2520" s="56" t="s">
        <v>3615</v>
      </c>
      <c r="B2520" s="57">
        <v>44368.537662037037</v>
      </c>
      <c r="C2520" s="56" t="s">
        <v>3554</v>
      </c>
      <c r="D2520" s="56" t="s">
        <v>25</v>
      </c>
      <c r="E2520" s="56" t="s">
        <v>3614</v>
      </c>
      <c r="F2520" s="56" t="s">
        <v>3613</v>
      </c>
      <c r="G2520" s="58" t="s">
        <v>2156</v>
      </c>
      <c r="H2520" s="56">
        <v>2</v>
      </c>
      <c r="I2520" s="56" t="s">
        <v>1376</v>
      </c>
      <c r="J2520" s="56">
        <v>149</v>
      </c>
      <c r="K2520" s="56">
        <v>149</v>
      </c>
      <c r="P2520" s="56">
        <v>0</v>
      </c>
      <c r="S2520" s="56">
        <v>0</v>
      </c>
      <c r="T2520" s="56" t="s">
        <v>27</v>
      </c>
      <c r="V2520" s="56" t="s">
        <v>3612</v>
      </c>
      <c r="W2520" s="56" t="s">
        <v>3548</v>
      </c>
      <c r="X2520" s="56" t="s">
        <v>3611</v>
      </c>
      <c r="Z2520" s="56" t="s">
        <v>3546</v>
      </c>
      <c r="AA2520" s="56" t="s">
        <v>3610</v>
      </c>
      <c r="AB2520" s="56" t="s">
        <v>3609</v>
      </c>
      <c r="AC2520" s="56" t="s">
        <v>3543</v>
      </c>
      <c r="AH2520" s="56" t="s">
        <v>3542</v>
      </c>
      <c r="AI2520" s="56" t="s">
        <v>3541</v>
      </c>
    </row>
    <row r="2521" spans="1:35" ht="33" customHeight="1">
      <c r="A2521" s="56" t="s">
        <v>3615</v>
      </c>
      <c r="B2521" s="57">
        <v>44368.537662037037</v>
      </c>
      <c r="C2521" s="56" t="s">
        <v>3554</v>
      </c>
      <c r="D2521" s="56" t="s">
        <v>25</v>
      </c>
      <c r="E2521" s="56" t="s">
        <v>3614</v>
      </c>
      <c r="F2521" s="56" t="s">
        <v>3613</v>
      </c>
      <c r="G2521" s="58" t="s">
        <v>3551</v>
      </c>
      <c r="H2521" s="56">
        <v>1</v>
      </c>
      <c r="I2521" s="56" t="s">
        <v>3550</v>
      </c>
      <c r="J2521" s="56">
        <v>0</v>
      </c>
      <c r="K2521" s="56">
        <v>0</v>
      </c>
      <c r="P2521" s="56">
        <v>0</v>
      </c>
      <c r="S2521" s="56">
        <v>0</v>
      </c>
      <c r="T2521" s="56" t="s">
        <v>27</v>
      </c>
      <c r="V2521" s="56" t="s">
        <v>3612</v>
      </c>
      <c r="W2521" s="56" t="s">
        <v>3548</v>
      </c>
      <c r="X2521" s="56" t="s">
        <v>3611</v>
      </c>
      <c r="Z2521" s="56" t="s">
        <v>3546</v>
      </c>
      <c r="AA2521" s="56" t="s">
        <v>3610</v>
      </c>
      <c r="AB2521" s="56" t="s">
        <v>3609</v>
      </c>
      <c r="AC2521" s="56" t="s">
        <v>3543</v>
      </c>
      <c r="AH2521" s="56" t="s">
        <v>3542</v>
      </c>
      <c r="AI2521" s="56" t="s">
        <v>3541</v>
      </c>
    </row>
    <row r="2522" spans="1:35" ht="33" customHeight="1">
      <c r="A2522" s="56" t="s">
        <v>3608</v>
      </c>
      <c r="B2522" s="57">
        <v>44368.538807870369</v>
      </c>
      <c r="C2522" s="56" t="s">
        <v>3554</v>
      </c>
      <c r="D2522" s="56" t="s">
        <v>25</v>
      </c>
      <c r="E2522" s="56" t="s">
        <v>3607</v>
      </c>
      <c r="F2522" s="56" t="s">
        <v>3606</v>
      </c>
      <c r="G2522" s="58" t="s">
        <v>3557</v>
      </c>
      <c r="H2522" s="56">
        <v>1</v>
      </c>
      <c r="I2522" s="56" t="s">
        <v>3556</v>
      </c>
      <c r="J2522" s="56">
        <v>250</v>
      </c>
      <c r="K2522" s="56">
        <v>199</v>
      </c>
      <c r="L2522" s="56">
        <v>1056</v>
      </c>
      <c r="M2522" s="56">
        <v>0</v>
      </c>
      <c r="N2522" s="56">
        <v>0</v>
      </c>
      <c r="O2522" s="56">
        <v>100</v>
      </c>
      <c r="P2522" s="56">
        <v>0</v>
      </c>
      <c r="Q2522" s="56">
        <v>956</v>
      </c>
      <c r="R2522" s="56">
        <v>0</v>
      </c>
      <c r="S2522" s="56">
        <v>0</v>
      </c>
      <c r="T2522" s="56" t="s">
        <v>3562</v>
      </c>
      <c r="U2522" s="56">
        <v>956</v>
      </c>
      <c r="V2522" s="56" t="s">
        <v>3561</v>
      </c>
      <c r="W2522" s="56" t="s">
        <v>3548</v>
      </c>
      <c r="X2522" s="56" t="s">
        <v>39</v>
      </c>
      <c r="Y2522" s="56" t="s">
        <v>3605</v>
      </c>
      <c r="Z2522" s="56" t="s">
        <v>3604</v>
      </c>
      <c r="AC2522" s="56" t="s">
        <v>3543</v>
      </c>
      <c r="AH2522" s="56" t="s">
        <v>3542</v>
      </c>
      <c r="AI2522" s="56" t="s">
        <v>3541</v>
      </c>
    </row>
    <row r="2523" spans="1:35" ht="33" customHeight="1">
      <c r="A2523" s="56" t="s">
        <v>3608</v>
      </c>
      <c r="B2523" s="57">
        <v>44368.538807870369</v>
      </c>
      <c r="C2523" s="56" t="s">
        <v>3554</v>
      </c>
      <c r="D2523" s="56" t="s">
        <v>25</v>
      </c>
      <c r="E2523" s="56" t="s">
        <v>3607</v>
      </c>
      <c r="F2523" s="56" t="s">
        <v>3606</v>
      </c>
      <c r="G2523" s="58" t="s">
        <v>3558</v>
      </c>
      <c r="H2523" s="56">
        <v>1</v>
      </c>
      <c r="I2523" s="56" t="s">
        <v>3556</v>
      </c>
      <c r="J2523" s="56">
        <v>250</v>
      </c>
      <c r="K2523" s="56">
        <v>199</v>
      </c>
      <c r="P2523" s="56">
        <v>0</v>
      </c>
      <c r="S2523" s="56">
        <v>0</v>
      </c>
      <c r="T2523" s="56" t="s">
        <v>3562</v>
      </c>
      <c r="V2523" s="56" t="s">
        <v>3561</v>
      </c>
      <c r="W2523" s="56" t="s">
        <v>3548</v>
      </c>
      <c r="X2523" s="56" t="s">
        <v>39</v>
      </c>
      <c r="Y2523" s="56" t="s">
        <v>3605</v>
      </c>
      <c r="Z2523" s="56" t="s">
        <v>3604</v>
      </c>
      <c r="AC2523" s="56" t="s">
        <v>3543</v>
      </c>
      <c r="AH2523" s="56" t="s">
        <v>3542</v>
      </c>
      <c r="AI2523" s="56" t="s">
        <v>3541</v>
      </c>
    </row>
    <row r="2524" spans="1:35" ht="33" customHeight="1">
      <c r="A2524" s="56" t="s">
        <v>3608</v>
      </c>
      <c r="B2524" s="57">
        <v>44368.538807870369</v>
      </c>
      <c r="C2524" s="56" t="s">
        <v>3554</v>
      </c>
      <c r="D2524" s="56" t="s">
        <v>25</v>
      </c>
      <c r="E2524" s="56" t="s">
        <v>3607</v>
      </c>
      <c r="F2524" s="56" t="s">
        <v>3606</v>
      </c>
      <c r="G2524" s="58" t="s">
        <v>2156</v>
      </c>
      <c r="H2524" s="56">
        <v>2</v>
      </c>
      <c r="I2524" s="56" t="s">
        <v>1376</v>
      </c>
      <c r="J2524" s="56">
        <v>149</v>
      </c>
      <c r="K2524" s="56">
        <v>149</v>
      </c>
      <c r="P2524" s="56">
        <v>0</v>
      </c>
      <c r="S2524" s="56">
        <v>0</v>
      </c>
      <c r="T2524" s="56" t="s">
        <v>3562</v>
      </c>
      <c r="V2524" s="56" t="s">
        <v>3561</v>
      </c>
      <c r="W2524" s="56" t="s">
        <v>3548</v>
      </c>
      <c r="X2524" s="56" t="s">
        <v>39</v>
      </c>
      <c r="Y2524" s="56" t="s">
        <v>3605</v>
      </c>
      <c r="Z2524" s="56" t="s">
        <v>3604</v>
      </c>
      <c r="AC2524" s="56" t="s">
        <v>3543</v>
      </c>
      <c r="AH2524" s="56" t="s">
        <v>3542</v>
      </c>
      <c r="AI2524" s="56" t="s">
        <v>3541</v>
      </c>
    </row>
    <row r="2525" spans="1:35" ht="33" customHeight="1">
      <c r="A2525" s="56" t="s">
        <v>3608</v>
      </c>
      <c r="B2525" s="57">
        <v>44368.538807870369</v>
      </c>
      <c r="C2525" s="56" t="s">
        <v>3554</v>
      </c>
      <c r="D2525" s="56" t="s">
        <v>25</v>
      </c>
      <c r="E2525" s="56" t="s">
        <v>3607</v>
      </c>
      <c r="F2525" s="56" t="s">
        <v>3606</v>
      </c>
      <c r="G2525" s="58" t="s">
        <v>3196</v>
      </c>
      <c r="H2525" s="56">
        <v>3</v>
      </c>
      <c r="I2525" s="56" t="s">
        <v>2550</v>
      </c>
      <c r="J2525" s="56">
        <v>120</v>
      </c>
      <c r="K2525" s="56">
        <v>120</v>
      </c>
      <c r="P2525" s="56">
        <v>0</v>
      </c>
      <c r="S2525" s="56">
        <v>0</v>
      </c>
      <c r="T2525" s="56" t="s">
        <v>3562</v>
      </c>
      <c r="V2525" s="56" t="s">
        <v>3561</v>
      </c>
      <c r="W2525" s="56" t="s">
        <v>3548</v>
      </c>
      <c r="X2525" s="56" t="s">
        <v>39</v>
      </c>
      <c r="Y2525" s="56" t="s">
        <v>3605</v>
      </c>
      <c r="Z2525" s="56" t="s">
        <v>3604</v>
      </c>
      <c r="AC2525" s="56" t="s">
        <v>3543</v>
      </c>
      <c r="AH2525" s="56" t="s">
        <v>3542</v>
      </c>
      <c r="AI2525" s="56" t="s">
        <v>3541</v>
      </c>
    </row>
    <row r="2526" spans="1:35" ht="33" customHeight="1">
      <c r="A2526" s="56" t="s">
        <v>3608</v>
      </c>
      <c r="B2526" s="57">
        <v>44368.538807870369</v>
      </c>
      <c r="C2526" s="56" t="s">
        <v>3554</v>
      </c>
      <c r="D2526" s="56" t="s">
        <v>25</v>
      </c>
      <c r="E2526" s="56" t="s">
        <v>3607</v>
      </c>
      <c r="F2526" s="56" t="s">
        <v>3606</v>
      </c>
      <c r="G2526" s="58" t="s">
        <v>3551</v>
      </c>
      <c r="H2526" s="56">
        <v>1</v>
      </c>
      <c r="I2526" s="56" t="s">
        <v>3550</v>
      </c>
      <c r="J2526" s="56">
        <v>0</v>
      </c>
      <c r="K2526" s="56">
        <v>0</v>
      </c>
      <c r="P2526" s="56">
        <v>0</v>
      </c>
      <c r="S2526" s="56">
        <v>0</v>
      </c>
      <c r="T2526" s="56" t="s">
        <v>3562</v>
      </c>
      <c r="V2526" s="56" t="s">
        <v>3561</v>
      </c>
      <c r="W2526" s="56" t="s">
        <v>3548</v>
      </c>
      <c r="X2526" s="56" t="s">
        <v>39</v>
      </c>
      <c r="Y2526" s="56" t="s">
        <v>3605</v>
      </c>
      <c r="Z2526" s="56" t="s">
        <v>3604</v>
      </c>
      <c r="AC2526" s="56" t="s">
        <v>3543</v>
      </c>
      <c r="AH2526" s="56" t="s">
        <v>3542</v>
      </c>
      <c r="AI2526" s="56" t="s">
        <v>3541</v>
      </c>
    </row>
    <row r="2527" spans="1:35" ht="33" customHeight="1">
      <c r="A2527" s="56" t="s">
        <v>3600</v>
      </c>
      <c r="B2527" s="57">
        <v>44368.541377314818</v>
      </c>
      <c r="C2527" s="56" t="s">
        <v>3554</v>
      </c>
      <c r="D2527" s="56" t="s">
        <v>25</v>
      </c>
      <c r="E2527" s="56" t="s">
        <v>3599</v>
      </c>
      <c r="F2527" s="56" t="s">
        <v>3598</v>
      </c>
      <c r="G2527" s="58" t="s">
        <v>3580</v>
      </c>
      <c r="H2527" s="56">
        <v>1</v>
      </c>
      <c r="I2527" s="56" t="s">
        <v>3579</v>
      </c>
      <c r="J2527" s="56">
        <v>336</v>
      </c>
      <c r="K2527" s="56">
        <v>320</v>
      </c>
      <c r="L2527" s="56">
        <v>1053</v>
      </c>
      <c r="M2527" s="56">
        <v>0</v>
      </c>
      <c r="N2527" s="56">
        <v>0</v>
      </c>
      <c r="O2527" s="56">
        <v>106</v>
      </c>
      <c r="P2527" s="56">
        <v>0</v>
      </c>
      <c r="Q2527" s="56">
        <v>947</v>
      </c>
      <c r="R2527" s="56">
        <v>0</v>
      </c>
      <c r="S2527" s="56">
        <v>0</v>
      </c>
      <c r="T2527" s="56" t="s">
        <v>3562</v>
      </c>
      <c r="U2527" s="56">
        <v>947</v>
      </c>
      <c r="V2527" s="56" t="s">
        <v>3561</v>
      </c>
      <c r="W2527" s="56" t="s">
        <v>3548</v>
      </c>
      <c r="X2527" s="56" t="s">
        <v>39</v>
      </c>
      <c r="Y2527" s="56" t="s">
        <v>3597</v>
      </c>
      <c r="Z2527" s="56" t="s">
        <v>3596</v>
      </c>
      <c r="AC2527" s="56" t="s">
        <v>3543</v>
      </c>
      <c r="AH2527" s="56" t="s">
        <v>3542</v>
      </c>
      <c r="AI2527" s="56" t="s">
        <v>3541</v>
      </c>
    </row>
    <row r="2528" spans="1:35" ht="33" customHeight="1">
      <c r="A2528" s="56" t="s">
        <v>3600</v>
      </c>
      <c r="B2528" s="57">
        <v>44368.541377314818</v>
      </c>
      <c r="C2528" s="56" t="s">
        <v>3554</v>
      </c>
      <c r="D2528" s="56" t="s">
        <v>25</v>
      </c>
      <c r="E2528" s="56" t="s">
        <v>3599</v>
      </c>
      <c r="F2528" s="56" t="s">
        <v>3598</v>
      </c>
      <c r="G2528" s="58" t="s">
        <v>3557</v>
      </c>
      <c r="H2528" s="56">
        <v>1</v>
      </c>
      <c r="I2528" s="56" t="s">
        <v>3556</v>
      </c>
      <c r="J2528" s="56">
        <v>250</v>
      </c>
      <c r="K2528" s="56">
        <v>199</v>
      </c>
      <c r="P2528" s="56">
        <v>0</v>
      </c>
      <c r="S2528" s="56">
        <v>0</v>
      </c>
      <c r="T2528" s="56" t="s">
        <v>3562</v>
      </c>
      <c r="V2528" s="56" t="s">
        <v>3561</v>
      </c>
      <c r="W2528" s="56" t="s">
        <v>3548</v>
      </c>
      <c r="X2528" s="56" t="s">
        <v>39</v>
      </c>
      <c r="Y2528" s="56" t="s">
        <v>3597</v>
      </c>
      <c r="Z2528" s="56" t="s">
        <v>3596</v>
      </c>
      <c r="AC2528" s="56" t="s">
        <v>3543</v>
      </c>
      <c r="AH2528" s="56" t="s">
        <v>3542</v>
      </c>
      <c r="AI2528" s="56" t="s">
        <v>3541</v>
      </c>
    </row>
    <row r="2529" spans="1:35" ht="33" customHeight="1">
      <c r="A2529" s="56" t="s">
        <v>3600</v>
      </c>
      <c r="B2529" s="57">
        <v>44368.541377314818</v>
      </c>
      <c r="C2529" s="56" t="s">
        <v>3554</v>
      </c>
      <c r="D2529" s="56" t="s">
        <v>25</v>
      </c>
      <c r="E2529" s="56" t="s">
        <v>3599</v>
      </c>
      <c r="F2529" s="56" t="s">
        <v>3598</v>
      </c>
      <c r="G2529" s="58" t="s">
        <v>3603</v>
      </c>
      <c r="H2529" s="56">
        <v>1</v>
      </c>
      <c r="I2529" s="56" t="s">
        <v>3602</v>
      </c>
      <c r="J2529" s="56">
        <v>447</v>
      </c>
      <c r="K2529" s="56">
        <v>399</v>
      </c>
      <c r="P2529" s="56">
        <v>0</v>
      </c>
      <c r="S2529" s="56">
        <v>0</v>
      </c>
      <c r="T2529" s="56" t="s">
        <v>3562</v>
      </c>
      <c r="V2529" s="56" t="s">
        <v>3561</v>
      </c>
      <c r="W2529" s="56" t="s">
        <v>3548</v>
      </c>
      <c r="X2529" s="56" t="s">
        <v>39</v>
      </c>
      <c r="Y2529" s="56" t="s">
        <v>3597</v>
      </c>
      <c r="Z2529" s="56" t="s">
        <v>3596</v>
      </c>
      <c r="AC2529" s="56" t="s">
        <v>3543</v>
      </c>
      <c r="AH2529" s="56" t="s">
        <v>3542</v>
      </c>
      <c r="AI2529" s="56" t="s">
        <v>3541</v>
      </c>
    </row>
    <row r="2530" spans="1:35" ht="33" customHeight="1">
      <c r="A2530" s="56" t="s">
        <v>3600</v>
      </c>
      <c r="B2530" s="57">
        <v>44368.541377314818</v>
      </c>
      <c r="C2530" s="56" t="s">
        <v>3554</v>
      </c>
      <c r="D2530" s="56" t="s">
        <v>25</v>
      </c>
      <c r="E2530" s="56" t="s">
        <v>3599</v>
      </c>
      <c r="F2530" s="56" t="s">
        <v>3598</v>
      </c>
      <c r="G2530" s="58" t="s">
        <v>1493</v>
      </c>
      <c r="H2530" s="56">
        <v>1</v>
      </c>
      <c r="I2530" s="56" t="s">
        <v>3601</v>
      </c>
      <c r="J2530" s="56">
        <v>135</v>
      </c>
      <c r="K2530" s="56">
        <v>135</v>
      </c>
      <c r="P2530" s="56">
        <v>0</v>
      </c>
      <c r="S2530" s="56">
        <v>0</v>
      </c>
      <c r="T2530" s="56" t="s">
        <v>3562</v>
      </c>
      <c r="V2530" s="56" t="s">
        <v>3561</v>
      </c>
      <c r="W2530" s="56" t="s">
        <v>3548</v>
      </c>
      <c r="X2530" s="56" t="s">
        <v>39</v>
      </c>
      <c r="Y2530" s="56" t="s">
        <v>3597</v>
      </c>
      <c r="Z2530" s="56" t="s">
        <v>3596</v>
      </c>
      <c r="AC2530" s="56" t="s">
        <v>3543</v>
      </c>
      <c r="AH2530" s="56" t="s">
        <v>3542</v>
      </c>
      <c r="AI2530" s="56" t="s">
        <v>3541</v>
      </c>
    </row>
    <row r="2531" spans="1:35" ht="33" customHeight="1">
      <c r="A2531" s="56" t="s">
        <v>3600</v>
      </c>
      <c r="B2531" s="57">
        <v>44368.541377314818</v>
      </c>
      <c r="C2531" s="56" t="s">
        <v>3554</v>
      </c>
      <c r="D2531" s="56" t="s">
        <v>25</v>
      </c>
      <c r="E2531" s="56" t="s">
        <v>3599</v>
      </c>
      <c r="F2531" s="56" t="s">
        <v>3598</v>
      </c>
      <c r="G2531" s="58" t="s">
        <v>3551</v>
      </c>
      <c r="H2531" s="56">
        <v>1</v>
      </c>
      <c r="I2531" s="56" t="s">
        <v>3550</v>
      </c>
      <c r="J2531" s="56">
        <v>0</v>
      </c>
      <c r="K2531" s="56">
        <v>0</v>
      </c>
      <c r="P2531" s="56">
        <v>0</v>
      </c>
      <c r="S2531" s="56">
        <v>0</v>
      </c>
      <c r="T2531" s="56" t="s">
        <v>3562</v>
      </c>
      <c r="V2531" s="56" t="s">
        <v>3561</v>
      </c>
      <c r="W2531" s="56" t="s">
        <v>3548</v>
      </c>
      <c r="X2531" s="56" t="s">
        <v>39</v>
      </c>
      <c r="Y2531" s="56" t="s">
        <v>3597</v>
      </c>
      <c r="Z2531" s="56" t="s">
        <v>3596</v>
      </c>
      <c r="AC2531" s="56" t="s">
        <v>3543</v>
      </c>
      <c r="AH2531" s="56" t="s">
        <v>3542</v>
      </c>
      <c r="AI2531" s="56" t="s">
        <v>3541</v>
      </c>
    </row>
    <row r="2532" spans="1:35" ht="33" customHeight="1">
      <c r="A2532" s="56" t="s">
        <v>3592</v>
      </c>
      <c r="B2532" s="57">
        <v>44368.544085648151</v>
      </c>
      <c r="C2532" s="56" t="s">
        <v>3554</v>
      </c>
      <c r="D2532" s="56" t="s">
        <v>25</v>
      </c>
      <c r="E2532" s="56" t="s">
        <v>3591</v>
      </c>
      <c r="F2532" s="56" t="s">
        <v>3590</v>
      </c>
      <c r="G2532" s="58" t="s">
        <v>3580</v>
      </c>
      <c r="H2532" s="56">
        <v>1</v>
      </c>
      <c r="I2532" s="56" t="s">
        <v>3579</v>
      </c>
      <c r="J2532" s="56">
        <v>336</v>
      </c>
      <c r="K2532" s="56">
        <v>320</v>
      </c>
      <c r="L2532" s="56">
        <v>1261</v>
      </c>
      <c r="M2532" s="56">
        <v>0</v>
      </c>
      <c r="N2532" s="56">
        <v>0</v>
      </c>
      <c r="O2532" s="56">
        <v>127</v>
      </c>
      <c r="P2532" s="56">
        <v>0</v>
      </c>
      <c r="Q2532" s="56">
        <v>1134</v>
      </c>
      <c r="R2532" s="56">
        <v>0</v>
      </c>
      <c r="S2532" s="56">
        <v>0</v>
      </c>
      <c r="T2532" s="56" t="s">
        <v>3562</v>
      </c>
      <c r="U2532" s="56">
        <v>1134</v>
      </c>
      <c r="V2532" s="56" t="s">
        <v>3561</v>
      </c>
      <c r="W2532" s="56" t="s">
        <v>3548</v>
      </c>
      <c r="X2532" s="56" t="s">
        <v>39</v>
      </c>
      <c r="Y2532" s="56" t="s">
        <v>3589</v>
      </c>
      <c r="Z2532" s="56" t="s">
        <v>3588</v>
      </c>
      <c r="AC2532" s="56" t="s">
        <v>3543</v>
      </c>
      <c r="AH2532" s="56" t="s">
        <v>3542</v>
      </c>
      <c r="AI2532" s="56" t="s">
        <v>3541</v>
      </c>
    </row>
    <row r="2533" spans="1:35" ht="33" customHeight="1">
      <c r="A2533" s="56" t="s">
        <v>3592</v>
      </c>
      <c r="B2533" s="57">
        <v>44368.544085648151</v>
      </c>
      <c r="C2533" s="56" t="s">
        <v>3554</v>
      </c>
      <c r="D2533" s="56" t="s">
        <v>25</v>
      </c>
      <c r="E2533" s="56" t="s">
        <v>3591</v>
      </c>
      <c r="F2533" s="56" t="s">
        <v>3590</v>
      </c>
      <c r="G2533" s="58" t="s">
        <v>3222</v>
      </c>
      <c r="H2533" s="56">
        <v>1</v>
      </c>
      <c r="I2533" s="56" t="s">
        <v>3594</v>
      </c>
      <c r="J2533" s="56">
        <v>69</v>
      </c>
      <c r="K2533" s="56">
        <v>69</v>
      </c>
      <c r="P2533" s="56">
        <v>0</v>
      </c>
      <c r="S2533" s="56">
        <v>0</v>
      </c>
      <c r="T2533" s="56" t="s">
        <v>3562</v>
      </c>
      <c r="V2533" s="56" t="s">
        <v>3561</v>
      </c>
      <c r="W2533" s="56" t="s">
        <v>3548</v>
      </c>
      <c r="X2533" s="56" t="s">
        <v>39</v>
      </c>
      <c r="Y2533" s="56" t="s">
        <v>3589</v>
      </c>
      <c r="Z2533" s="56" t="s">
        <v>3588</v>
      </c>
      <c r="AC2533" s="56" t="s">
        <v>3543</v>
      </c>
      <c r="AH2533" s="56" t="s">
        <v>3542</v>
      </c>
      <c r="AI2533" s="56" t="s">
        <v>3541</v>
      </c>
    </row>
    <row r="2534" spans="1:35" ht="33" customHeight="1">
      <c r="A2534" s="56" t="s">
        <v>3592</v>
      </c>
      <c r="B2534" s="57">
        <v>44368.544085648151</v>
      </c>
      <c r="C2534" s="56" t="s">
        <v>3554</v>
      </c>
      <c r="D2534" s="56" t="s">
        <v>25</v>
      </c>
      <c r="E2534" s="56" t="s">
        <v>3591</v>
      </c>
      <c r="F2534" s="56" t="s">
        <v>3590</v>
      </c>
      <c r="G2534" s="58" t="s">
        <v>3219</v>
      </c>
      <c r="H2534" s="56">
        <v>1</v>
      </c>
      <c r="I2534" s="56" t="s">
        <v>3595</v>
      </c>
      <c r="J2534" s="56">
        <v>59</v>
      </c>
      <c r="K2534" s="56">
        <v>59</v>
      </c>
      <c r="P2534" s="56">
        <v>0</v>
      </c>
      <c r="S2534" s="56">
        <v>0</v>
      </c>
      <c r="T2534" s="56" t="s">
        <v>3562</v>
      </c>
      <c r="V2534" s="56" t="s">
        <v>3561</v>
      </c>
      <c r="W2534" s="56" t="s">
        <v>3548</v>
      </c>
      <c r="X2534" s="56" t="s">
        <v>39</v>
      </c>
      <c r="Y2534" s="56" t="s">
        <v>3589</v>
      </c>
      <c r="Z2534" s="56" t="s">
        <v>3588</v>
      </c>
      <c r="AC2534" s="56" t="s">
        <v>3543</v>
      </c>
      <c r="AH2534" s="56" t="s">
        <v>3542</v>
      </c>
      <c r="AI2534" s="56" t="s">
        <v>3541</v>
      </c>
    </row>
    <row r="2535" spans="1:35" ht="33" customHeight="1">
      <c r="A2535" s="56" t="s">
        <v>3592</v>
      </c>
      <c r="B2535" s="57">
        <v>44368.544085648151</v>
      </c>
      <c r="C2535" s="56" t="s">
        <v>3554</v>
      </c>
      <c r="D2535" s="56" t="s">
        <v>25</v>
      </c>
      <c r="E2535" s="56" t="s">
        <v>3591</v>
      </c>
      <c r="F2535" s="56" t="s">
        <v>3590</v>
      </c>
      <c r="G2535" s="58" t="s">
        <v>3217</v>
      </c>
      <c r="H2535" s="56">
        <v>1</v>
      </c>
      <c r="I2535" s="56" t="s">
        <v>3594</v>
      </c>
      <c r="J2535" s="56">
        <v>69</v>
      </c>
      <c r="K2535" s="56">
        <v>69</v>
      </c>
      <c r="P2535" s="56">
        <v>0</v>
      </c>
      <c r="S2535" s="56">
        <v>0</v>
      </c>
      <c r="T2535" s="56" t="s">
        <v>3562</v>
      </c>
      <c r="V2535" s="56" t="s">
        <v>3561</v>
      </c>
      <c r="W2535" s="56" t="s">
        <v>3548</v>
      </c>
      <c r="X2535" s="56" t="s">
        <v>39</v>
      </c>
      <c r="Y2535" s="56" t="s">
        <v>3589</v>
      </c>
      <c r="Z2535" s="56" t="s">
        <v>3588</v>
      </c>
      <c r="AC2535" s="56" t="s">
        <v>3543</v>
      </c>
      <c r="AH2535" s="56" t="s">
        <v>3542</v>
      </c>
      <c r="AI2535" s="56" t="s">
        <v>3541</v>
      </c>
    </row>
    <row r="2536" spans="1:35" ht="33" customHeight="1">
      <c r="A2536" s="56" t="s">
        <v>3592</v>
      </c>
      <c r="B2536" s="57">
        <v>44368.544085648151</v>
      </c>
      <c r="C2536" s="56" t="s">
        <v>3554</v>
      </c>
      <c r="D2536" s="56" t="s">
        <v>25</v>
      </c>
      <c r="E2536" s="56" t="s">
        <v>3591</v>
      </c>
      <c r="F2536" s="56" t="s">
        <v>3590</v>
      </c>
      <c r="G2536" s="58" t="s">
        <v>3593</v>
      </c>
      <c r="H2536" s="56">
        <v>1</v>
      </c>
      <c r="I2536" s="56" t="s">
        <v>3577</v>
      </c>
      <c r="J2536" s="56">
        <v>700</v>
      </c>
      <c r="K2536" s="56">
        <v>599</v>
      </c>
      <c r="P2536" s="56">
        <v>0</v>
      </c>
      <c r="S2536" s="56">
        <v>0</v>
      </c>
      <c r="T2536" s="56" t="s">
        <v>3562</v>
      </c>
      <c r="V2536" s="56" t="s">
        <v>3561</v>
      </c>
      <c r="W2536" s="56" t="s">
        <v>3548</v>
      </c>
      <c r="X2536" s="56" t="s">
        <v>39</v>
      </c>
      <c r="Y2536" s="56" t="s">
        <v>3589</v>
      </c>
      <c r="Z2536" s="56" t="s">
        <v>3588</v>
      </c>
      <c r="AC2536" s="56" t="s">
        <v>3543</v>
      </c>
      <c r="AH2536" s="56" t="s">
        <v>3542</v>
      </c>
      <c r="AI2536" s="56" t="s">
        <v>3541</v>
      </c>
    </row>
    <row r="2537" spans="1:35" ht="33" customHeight="1">
      <c r="A2537" s="56" t="s">
        <v>3592</v>
      </c>
      <c r="B2537" s="57">
        <v>44368.544085648151</v>
      </c>
      <c r="C2537" s="56" t="s">
        <v>3554</v>
      </c>
      <c r="D2537" s="56" t="s">
        <v>25</v>
      </c>
      <c r="E2537" s="56" t="s">
        <v>3591</v>
      </c>
      <c r="F2537" s="56" t="s">
        <v>3590</v>
      </c>
      <c r="G2537" s="58" t="s">
        <v>2156</v>
      </c>
      <c r="H2537" s="56">
        <v>1</v>
      </c>
      <c r="I2537" s="56" t="s">
        <v>1376</v>
      </c>
      <c r="J2537" s="56">
        <v>145</v>
      </c>
      <c r="K2537" s="56">
        <v>145</v>
      </c>
      <c r="P2537" s="56">
        <v>0</v>
      </c>
      <c r="S2537" s="56">
        <v>0</v>
      </c>
      <c r="T2537" s="56" t="s">
        <v>3562</v>
      </c>
      <c r="V2537" s="56" t="s">
        <v>3561</v>
      </c>
      <c r="W2537" s="56" t="s">
        <v>3548</v>
      </c>
      <c r="X2537" s="56" t="s">
        <v>39</v>
      </c>
      <c r="Y2537" s="56" t="s">
        <v>3589</v>
      </c>
      <c r="Z2537" s="56" t="s">
        <v>3588</v>
      </c>
      <c r="AC2537" s="56" t="s">
        <v>3543</v>
      </c>
      <c r="AH2537" s="56" t="s">
        <v>3542</v>
      </c>
      <c r="AI2537" s="56" t="s">
        <v>3541</v>
      </c>
    </row>
    <row r="2538" spans="1:35" ht="33" customHeight="1">
      <c r="A2538" s="56" t="s">
        <v>3592</v>
      </c>
      <c r="B2538" s="57">
        <v>44368.544085648151</v>
      </c>
      <c r="C2538" s="56" t="s">
        <v>3554</v>
      </c>
      <c r="D2538" s="56" t="s">
        <v>25</v>
      </c>
      <c r="E2538" s="56" t="s">
        <v>3591</v>
      </c>
      <c r="F2538" s="56" t="s">
        <v>3590</v>
      </c>
      <c r="G2538" s="58" t="s">
        <v>3551</v>
      </c>
      <c r="H2538" s="56">
        <v>1</v>
      </c>
      <c r="I2538" s="56" t="s">
        <v>3550</v>
      </c>
      <c r="J2538" s="56">
        <v>0</v>
      </c>
      <c r="K2538" s="56">
        <v>0</v>
      </c>
      <c r="P2538" s="56">
        <v>0</v>
      </c>
      <c r="S2538" s="56">
        <v>0</v>
      </c>
      <c r="T2538" s="56" t="s">
        <v>3562</v>
      </c>
      <c r="V2538" s="56" t="s">
        <v>3561</v>
      </c>
      <c r="W2538" s="56" t="s">
        <v>3548</v>
      </c>
      <c r="X2538" s="56" t="s">
        <v>39</v>
      </c>
      <c r="Y2538" s="56" t="s">
        <v>3589</v>
      </c>
      <c r="Z2538" s="56" t="s">
        <v>3588</v>
      </c>
      <c r="AC2538" s="56" t="s">
        <v>3543</v>
      </c>
      <c r="AH2538" s="56" t="s">
        <v>3542</v>
      </c>
      <c r="AI2538" s="56" t="s">
        <v>3541</v>
      </c>
    </row>
    <row r="2539" spans="1:35" ht="33" customHeight="1">
      <c r="A2539" s="56" t="s">
        <v>3585</v>
      </c>
      <c r="B2539" s="57">
        <v>44368.54482638889</v>
      </c>
      <c r="C2539" s="56" t="s">
        <v>3554</v>
      </c>
      <c r="D2539" s="56" t="s">
        <v>25</v>
      </c>
      <c r="E2539" s="56" t="s">
        <v>3584</v>
      </c>
      <c r="F2539" s="56" t="s">
        <v>3583</v>
      </c>
      <c r="G2539" s="58" t="s">
        <v>3557</v>
      </c>
      <c r="H2539" s="56">
        <v>2</v>
      </c>
      <c r="I2539" s="56" t="s">
        <v>3556</v>
      </c>
      <c r="J2539" s="56">
        <v>250</v>
      </c>
      <c r="K2539" s="56">
        <v>199</v>
      </c>
      <c r="L2539" s="56">
        <v>841</v>
      </c>
      <c r="M2539" s="56">
        <v>60</v>
      </c>
      <c r="N2539" s="56">
        <v>0</v>
      </c>
      <c r="O2539" s="56">
        <v>0</v>
      </c>
      <c r="P2539" s="56">
        <v>0</v>
      </c>
      <c r="Q2539" s="56">
        <v>901</v>
      </c>
      <c r="R2539" s="56">
        <v>0</v>
      </c>
      <c r="S2539" s="56">
        <v>0</v>
      </c>
      <c r="T2539" s="56" t="s">
        <v>3562</v>
      </c>
      <c r="U2539" s="56">
        <v>901</v>
      </c>
      <c r="V2539" s="56" t="s">
        <v>3561</v>
      </c>
      <c r="W2539" s="56" t="s">
        <v>3548</v>
      </c>
      <c r="X2539" s="56" t="s">
        <v>39</v>
      </c>
      <c r="Y2539" s="56" t="s">
        <v>3582</v>
      </c>
      <c r="Z2539" s="56" t="s">
        <v>3581</v>
      </c>
      <c r="AC2539" s="56" t="s">
        <v>3543</v>
      </c>
      <c r="AH2539" s="56" t="s">
        <v>3542</v>
      </c>
      <c r="AI2539" s="56" t="s">
        <v>3541</v>
      </c>
    </row>
    <row r="2540" spans="1:35" ht="33" customHeight="1">
      <c r="A2540" s="56" t="s">
        <v>3585</v>
      </c>
      <c r="B2540" s="57">
        <v>44368.54482638889</v>
      </c>
      <c r="C2540" s="56" t="s">
        <v>3554</v>
      </c>
      <c r="D2540" s="56" t="s">
        <v>25</v>
      </c>
      <c r="E2540" s="56" t="s">
        <v>3584</v>
      </c>
      <c r="F2540" s="56" t="s">
        <v>3583</v>
      </c>
      <c r="G2540" s="58" t="s">
        <v>1713</v>
      </c>
      <c r="H2540" s="56">
        <v>1</v>
      </c>
      <c r="I2540" s="56" t="s">
        <v>3587</v>
      </c>
      <c r="J2540" s="56">
        <v>149</v>
      </c>
      <c r="K2540" s="56">
        <v>149</v>
      </c>
      <c r="P2540" s="56">
        <v>0</v>
      </c>
      <c r="S2540" s="56">
        <v>0</v>
      </c>
      <c r="T2540" s="56" t="s">
        <v>3562</v>
      </c>
      <c r="V2540" s="56" t="s">
        <v>3561</v>
      </c>
      <c r="W2540" s="56" t="s">
        <v>3548</v>
      </c>
      <c r="X2540" s="56" t="s">
        <v>39</v>
      </c>
      <c r="Y2540" s="56" t="s">
        <v>3582</v>
      </c>
      <c r="Z2540" s="56" t="s">
        <v>3581</v>
      </c>
      <c r="AC2540" s="56" t="s">
        <v>3543</v>
      </c>
      <c r="AH2540" s="56" t="s">
        <v>3542</v>
      </c>
      <c r="AI2540" s="56" t="s">
        <v>3541</v>
      </c>
    </row>
    <row r="2541" spans="1:35" ht="33" customHeight="1">
      <c r="A2541" s="56" t="s">
        <v>3585</v>
      </c>
      <c r="B2541" s="57">
        <v>44368.54482638889</v>
      </c>
      <c r="C2541" s="56" t="s">
        <v>3554</v>
      </c>
      <c r="D2541" s="56" t="s">
        <v>25</v>
      </c>
      <c r="E2541" s="56" t="s">
        <v>3584</v>
      </c>
      <c r="F2541" s="56" t="s">
        <v>3583</v>
      </c>
      <c r="G2541" s="58" t="s">
        <v>1491</v>
      </c>
      <c r="H2541" s="56">
        <v>1</v>
      </c>
      <c r="I2541" s="56" t="s">
        <v>3586</v>
      </c>
      <c r="J2541" s="56">
        <v>149</v>
      </c>
      <c r="K2541" s="56">
        <v>149</v>
      </c>
      <c r="P2541" s="56">
        <v>0</v>
      </c>
      <c r="S2541" s="56">
        <v>0</v>
      </c>
      <c r="T2541" s="56" t="s">
        <v>3562</v>
      </c>
      <c r="V2541" s="56" t="s">
        <v>3561</v>
      </c>
      <c r="W2541" s="56" t="s">
        <v>3548</v>
      </c>
      <c r="X2541" s="56" t="s">
        <v>39</v>
      </c>
      <c r="Y2541" s="56" t="s">
        <v>3582</v>
      </c>
      <c r="Z2541" s="56" t="s">
        <v>3581</v>
      </c>
      <c r="AC2541" s="56" t="s">
        <v>3543</v>
      </c>
      <c r="AH2541" s="56" t="s">
        <v>3542</v>
      </c>
      <c r="AI2541" s="56" t="s">
        <v>3541</v>
      </c>
    </row>
    <row r="2542" spans="1:35" ht="33" customHeight="1">
      <c r="A2542" s="56" t="s">
        <v>3585</v>
      </c>
      <c r="B2542" s="57">
        <v>44368.54482638889</v>
      </c>
      <c r="C2542" s="56" t="s">
        <v>3554</v>
      </c>
      <c r="D2542" s="56" t="s">
        <v>25</v>
      </c>
      <c r="E2542" s="56" t="s">
        <v>3584</v>
      </c>
      <c r="F2542" s="56" t="s">
        <v>3583</v>
      </c>
      <c r="G2542" s="58" t="s">
        <v>2156</v>
      </c>
      <c r="H2542" s="56">
        <v>1</v>
      </c>
      <c r="I2542" s="56" t="s">
        <v>1376</v>
      </c>
      <c r="J2542" s="56">
        <v>145</v>
      </c>
      <c r="K2542" s="56">
        <v>145</v>
      </c>
      <c r="P2542" s="56">
        <v>0</v>
      </c>
      <c r="S2542" s="56">
        <v>0</v>
      </c>
      <c r="T2542" s="56" t="s">
        <v>3562</v>
      </c>
      <c r="V2542" s="56" t="s">
        <v>3561</v>
      </c>
      <c r="W2542" s="56" t="s">
        <v>3548</v>
      </c>
      <c r="X2542" s="56" t="s">
        <v>39</v>
      </c>
      <c r="Y2542" s="56" t="s">
        <v>3582</v>
      </c>
      <c r="Z2542" s="56" t="s">
        <v>3581</v>
      </c>
      <c r="AC2542" s="56" t="s">
        <v>3543</v>
      </c>
      <c r="AH2542" s="56" t="s">
        <v>3542</v>
      </c>
      <c r="AI2542" s="56" t="s">
        <v>3541</v>
      </c>
    </row>
    <row r="2543" spans="1:35" ht="33" customHeight="1">
      <c r="A2543" s="56" t="s">
        <v>3585</v>
      </c>
      <c r="B2543" s="57">
        <v>44368.54482638889</v>
      </c>
      <c r="C2543" s="56" t="s">
        <v>3554</v>
      </c>
      <c r="D2543" s="56" t="s">
        <v>25</v>
      </c>
      <c r="E2543" s="56" t="s">
        <v>3584</v>
      </c>
      <c r="F2543" s="56" t="s">
        <v>3583</v>
      </c>
      <c r="G2543" s="58" t="s">
        <v>3551</v>
      </c>
      <c r="H2543" s="56">
        <v>1</v>
      </c>
      <c r="I2543" s="56" t="s">
        <v>3550</v>
      </c>
      <c r="J2543" s="56">
        <v>0</v>
      </c>
      <c r="K2543" s="56">
        <v>0</v>
      </c>
      <c r="P2543" s="56">
        <v>0</v>
      </c>
      <c r="S2543" s="56">
        <v>0</v>
      </c>
      <c r="T2543" s="56" t="s">
        <v>3562</v>
      </c>
      <c r="V2543" s="56" t="s">
        <v>3561</v>
      </c>
      <c r="W2543" s="56" t="s">
        <v>3548</v>
      </c>
      <c r="X2543" s="56" t="s">
        <v>39</v>
      </c>
      <c r="Y2543" s="56" t="s">
        <v>3582</v>
      </c>
      <c r="Z2543" s="56" t="s">
        <v>3581</v>
      </c>
      <c r="AC2543" s="56" t="s">
        <v>3543</v>
      </c>
      <c r="AH2543" s="56" t="s">
        <v>3542</v>
      </c>
      <c r="AI2543" s="56" t="s">
        <v>3541</v>
      </c>
    </row>
    <row r="2544" spans="1:35" ht="33" customHeight="1">
      <c r="A2544" s="56" t="s">
        <v>3575</v>
      </c>
      <c r="B2544" s="57">
        <v>44368.55023148148</v>
      </c>
      <c r="C2544" s="56" t="s">
        <v>3554</v>
      </c>
      <c r="D2544" s="56" t="s">
        <v>25</v>
      </c>
      <c r="E2544" s="56" t="s">
        <v>3574</v>
      </c>
      <c r="F2544" s="56" t="s">
        <v>3573</v>
      </c>
      <c r="G2544" s="58" t="s">
        <v>3580</v>
      </c>
      <c r="H2544" s="56">
        <v>1</v>
      </c>
      <c r="I2544" s="56" t="s">
        <v>3579</v>
      </c>
      <c r="J2544" s="56">
        <v>336</v>
      </c>
      <c r="K2544" s="56">
        <v>320</v>
      </c>
      <c r="L2544" s="56">
        <v>3312</v>
      </c>
      <c r="M2544" s="56">
        <v>0</v>
      </c>
      <c r="N2544" s="56">
        <v>66</v>
      </c>
      <c r="O2544" s="56">
        <v>325</v>
      </c>
      <c r="P2544" s="56">
        <v>0</v>
      </c>
      <c r="Q2544" s="56">
        <v>2921</v>
      </c>
      <c r="R2544" s="56">
        <v>0</v>
      </c>
      <c r="S2544" s="56">
        <v>0</v>
      </c>
      <c r="T2544" s="56" t="s">
        <v>3562</v>
      </c>
      <c r="U2544" s="56">
        <v>2921</v>
      </c>
      <c r="V2544" s="56" t="s">
        <v>3561</v>
      </c>
      <c r="W2544" s="56" t="s">
        <v>3548</v>
      </c>
      <c r="X2544" s="56" t="s">
        <v>39</v>
      </c>
      <c r="Y2544" s="56" t="s">
        <v>3572</v>
      </c>
      <c r="Z2544" s="56" t="s">
        <v>3571</v>
      </c>
      <c r="AC2544" s="56" t="s">
        <v>3543</v>
      </c>
      <c r="AH2544" s="56" t="s">
        <v>3542</v>
      </c>
      <c r="AI2544" s="56" t="s">
        <v>3541</v>
      </c>
    </row>
    <row r="2545" spans="1:35" ht="33" customHeight="1">
      <c r="A2545" s="56" t="s">
        <v>3575</v>
      </c>
      <c r="B2545" s="57">
        <v>44368.55023148148</v>
      </c>
      <c r="C2545" s="56" t="s">
        <v>3554</v>
      </c>
      <c r="D2545" s="56" t="s">
        <v>25</v>
      </c>
      <c r="E2545" s="56" t="s">
        <v>3574</v>
      </c>
      <c r="F2545" s="56" t="s">
        <v>3573</v>
      </c>
      <c r="G2545" s="58" t="s">
        <v>3578</v>
      </c>
      <c r="H2545" s="56">
        <v>2</v>
      </c>
      <c r="I2545" s="56" t="s">
        <v>3577</v>
      </c>
      <c r="J2545" s="56">
        <v>700</v>
      </c>
      <c r="K2545" s="56">
        <v>599</v>
      </c>
      <c r="P2545" s="56">
        <v>0</v>
      </c>
      <c r="S2545" s="56">
        <v>0</v>
      </c>
      <c r="T2545" s="56" t="s">
        <v>3562</v>
      </c>
      <c r="V2545" s="56" t="s">
        <v>3561</v>
      </c>
      <c r="W2545" s="56" t="s">
        <v>3548</v>
      </c>
      <c r="X2545" s="56" t="s">
        <v>39</v>
      </c>
      <c r="Y2545" s="56" t="s">
        <v>3572</v>
      </c>
      <c r="Z2545" s="56" t="s">
        <v>3571</v>
      </c>
      <c r="AC2545" s="56" t="s">
        <v>3543</v>
      </c>
      <c r="AH2545" s="56" t="s">
        <v>3542</v>
      </c>
      <c r="AI2545" s="56" t="s">
        <v>3541</v>
      </c>
    </row>
    <row r="2546" spans="1:35" ht="33" customHeight="1">
      <c r="A2546" s="56" t="s">
        <v>3575</v>
      </c>
      <c r="B2546" s="57">
        <v>44368.55023148148</v>
      </c>
      <c r="C2546" s="56" t="s">
        <v>3554</v>
      </c>
      <c r="D2546" s="56" t="s">
        <v>25</v>
      </c>
      <c r="E2546" s="56" t="s">
        <v>3574</v>
      </c>
      <c r="F2546" s="56" t="s">
        <v>3573</v>
      </c>
      <c r="G2546" s="58" t="s">
        <v>3299</v>
      </c>
      <c r="H2546" s="56">
        <v>6</v>
      </c>
      <c r="I2546" s="56" t="s">
        <v>3576</v>
      </c>
      <c r="J2546" s="56">
        <v>299</v>
      </c>
      <c r="K2546" s="56">
        <v>299</v>
      </c>
      <c r="P2546" s="56">
        <v>0</v>
      </c>
      <c r="S2546" s="56">
        <v>0</v>
      </c>
      <c r="T2546" s="56" t="s">
        <v>3562</v>
      </c>
      <c r="V2546" s="56" t="s">
        <v>3561</v>
      </c>
      <c r="W2546" s="56" t="s">
        <v>3548</v>
      </c>
      <c r="X2546" s="56" t="s">
        <v>39</v>
      </c>
      <c r="Y2546" s="56" t="s">
        <v>3572</v>
      </c>
      <c r="Z2546" s="56" t="s">
        <v>3571</v>
      </c>
      <c r="AC2546" s="56" t="s">
        <v>3543</v>
      </c>
      <c r="AH2546" s="56" t="s">
        <v>3542</v>
      </c>
      <c r="AI2546" s="56" t="s">
        <v>3541</v>
      </c>
    </row>
    <row r="2547" spans="1:35" ht="33" customHeight="1">
      <c r="A2547" s="56" t="s">
        <v>3575</v>
      </c>
      <c r="B2547" s="57">
        <v>44368.55023148148</v>
      </c>
      <c r="C2547" s="56" t="s">
        <v>3554</v>
      </c>
      <c r="D2547" s="56" t="s">
        <v>25</v>
      </c>
      <c r="E2547" s="56" t="s">
        <v>3574</v>
      </c>
      <c r="F2547" s="56" t="s">
        <v>3573</v>
      </c>
      <c r="G2547" s="58" t="s">
        <v>3551</v>
      </c>
      <c r="H2547" s="56">
        <v>1</v>
      </c>
      <c r="I2547" s="56" t="s">
        <v>3550</v>
      </c>
      <c r="J2547" s="56">
        <v>0</v>
      </c>
      <c r="K2547" s="56">
        <v>0</v>
      </c>
      <c r="P2547" s="56">
        <v>0</v>
      </c>
      <c r="S2547" s="56">
        <v>0</v>
      </c>
      <c r="T2547" s="56" t="s">
        <v>3562</v>
      </c>
      <c r="V2547" s="56" t="s">
        <v>3561</v>
      </c>
      <c r="W2547" s="56" t="s">
        <v>3548</v>
      </c>
      <c r="X2547" s="56" t="s">
        <v>39</v>
      </c>
      <c r="Y2547" s="56" t="s">
        <v>3572</v>
      </c>
      <c r="Z2547" s="56" t="s">
        <v>3571</v>
      </c>
      <c r="AC2547" s="56" t="s">
        <v>3543</v>
      </c>
      <c r="AH2547" s="56" t="s">
        <v>3542</v>
      </c>
      <c r="AI2547" s="56" t="s">
        <v>3541</v>
      </c>
    </row>
    <row r="2548" spans="1:35" ht="33" customHeight="1">
      <c r="A2548" s="56" t="s">
        <v>3575</v>
      </c>
      <c r="B2548" s="57">
        <v>44368.55023148148</v>
      </c>
      <c r="C2548" s="56" t="s">
        <v>3554</v>
      </c>
      <c r="D2548" s="56" t="s">
        <v>25</v>
      </c>
      <c r="E2548" s="56" t="s">
        <v>3574</v>
      </c>
      <c r="F2548" s="56" t="s">
        <v>3573</v>
      </c>
      <c r="G2548" s="58" t="s">
        <v>1713</v>
      </c>
      <c r="H2548" s="56">
        <v>1</v>
      </c>
      <c r="I2548" s="56" t="s">
        <v>3568</v>
      </c>
      <c r="J2548" s="56">
        <v>0</v>
      </c>
      <c r="K2548" s="56">
        <v>0</v>
      </c>
      <c r="P2548" s="56">
        <v>0</v>
      </c>
      <c r="S2548" s="56">
        <v>0</v>
      </c>
      <c r="T2548" s="56" t="s">
        <v>3562</v>
      </c>
      <c r="V2548" s="56" t="s">
        <v>3561</v>
      </c>
      <c r="W2548" s="56" t="s">
        <v>3548</v>
      </c>
      <c r="X2548" s="56" t="s">
        <v>39</v>
      </c>
      <c r="Y2548" s="56" t="s">
        <v>3572</v>
      </c>
      <c r="Z2548" s="56" t="s">
        <v>3571</v>
      </c>
      <c r="AC2548" s="56" t="s">
        <v>3543</v>
      </c>
      <c r="AH2548" s="56" t="s">
        <v>3542</v>
      </c>
      <c r="AI2548" s="56" t="s">
        <v>3541</v>
      </c>
    </row>
    <row r="2549" spans="1:35" ht="33" customHeight="1">
      <c r="A2549" s="56" t="s">
        <v>3575</v>
      </c>
      <c r="B2549" s="57">
        <v>44368.55023148148</v>
      </c>
      <c r="C2549" s="56" t="s">
        <v>3554</v>
      </c>
      <c r="D2549" s="56" t="s">
        <v>25</v>
      </c>
      <c r="E2549" s="56" t="s">
        <v>3574</v>
      </c>
      <c r="F2549" s="56" t="s">
        <v>3573</v>
      </c>
      <c r="G2549" s="58" t="s">
        <v>3564</v>
      </c>
      <c r="H2549" s="56">
        <v>1</v>
      </c>
      <c r="I2549" s="56" t="s">
        <v>3563</v>
      </c>
      <c r="J2549" s="56">
        <v>0</v>
      </c>
      <c r="K2549" s="56">
        <v>0</v>
      </c>
      <c r="P2549" s="56">
        <v>0</v>
      </c>
      <c r="S2549" s="56">
        <v>0</v>
      </c>
      <c r="T2549" s="56" t="s">
        <v>3562</v>
      </c>
      <c r="V2549" s="56" t="s">
        <v>3561</v>
      </c>
      <c r="W2549" s="56" t="s">
        <v>3548</v>
      </c>
      <c r="X2549" s="56" t="s">
        <v>39</v>
      </c>
      <c r="Y2549" s="56" t="s">
        <v>3572</v>
      </c>
      <c r="Z2549" s="56" t="s">
        <v>3571</v>
      </c>
      <c r="AC2549" s="56" t="s">
        <v>3543</v>
      </c>
      <c r="AH2549" s="56" t="s">
        <v>3542</v>
      </c>
      <c r="AI2549" s="56" t="s">
        <v>3541</v>
      </c>
    </row>
    <row r="2550" spans="1:35" ht="33" customHeight="1">
      <c r="A2550" s="56" t="s">
        <v>3567</v>
      </c>
      <c r="B2550" s="57">
        <v>44368.554907407408</v>
      </c>
      <c r="C2550" s="56" t="s">
        <v>3554</v>
      </c>
      <c r="D2550" s="56" t="s">
        <v>25</v>
      </c>
      <c r="E2550" s="56" t="s">
        <v>3566</v>
      </c>
      <c r="F2550" s="56" t="s">
        <v>3565</v>
      </c>
      <c r="G2550" s="58" t="s">
        <v>3570</v>
      </c>
      <c r="H2550" s="56">
        <v>3</v>
      </c>
      <c r="I2550" s="56" t="s">
        <v>3569</v>
      </c>
      <c r="J2550" s="56">
        <v>894</v>
      </c>
      <c r="K2550" s="56">
        <v>750</v>
      </c>
      <c r="L2550" s="56">
        <v>2250</v>
      </c>
      <c r="M2550" s="56">
        <v>0</v>
      </c>
      <c r="N2550" s="56">
        <v>0</v>
      </c>
      <c r="O2550" s="56">
        <v>225</v>
      </c>
      <c r="P2550" s="56">
        <v>0</v>
      </c>
      <c r="Q2550" s="56">
        <v>2025</v>
      </c>
      <c r="R2550" s="56">
        <v>0</v>
      </c>
      <c r="S2550" s="56">
        <v>0</v>
      </c>
      <c r="T2550" s="56" t="s">
        <v>3562</v>
      </c>
      <c r="U2550" s="56">
        <v>2025</v>
      </c>
      <c r="V2550" s="56" t="s">
        <v>3561</v>
      </c>
      <c r="W2550" s="56" t="s">
        <v>3548</v>
      </c>
      <c r="X2550" s="56" t="s">
        <v>39</v>
      </c>
      <c r="Y2550" s="56" t="s">
        <v>3560</v>
      </c>
      <c r="Z2550" s="56" t="s">
        <v>3559</v>
      </c>
      <c r="AC2550" s="56" t="s">
        <v>3543</v>
      </c>
      <c r="AH2550" s="56" t="s">
        <v>3542</v>
      </c>
      <c r="AI2550" s="56" t="s">
        <v>3541</v>
      </c>
    </row>
    <row r="2551" spans="1:35" ht="33" customHeight="1">
      <c r="A2551" s="56" t="s">
        <v>3567</v>
      </c>
      <c r="B2551" s="57">
        <v>44368.554907407408</v>
      </c>
      <c r="C2551" s="56" t="s">
        <v>3554</v>
      </c>
      <c r="D2551" s="56" t="s">
        <v>25</v>
      </c>
      <c r="E2551" s="56" t="s">
        <v>3566</v>
      </c>
      <c r="F2551" s="56" t="s">
        <v>3565</v>
      </c>
      <c r="G2551" s="58" t="s">
        <v>3551</v>
      </c>
      <c r="H2551" s="56">
        <v>1</v>
      </c>
      <c r="I2551" s="56" t="s">
        <v>3550</v>
      </c>
      <c r="J2551" s="56">
        <v>0</v>
      </c>
      <c r="K2551" s="56">
        <v>0</v>
      </c>
      <c r="P2551" s="56">
        <v>0</v>
      </c>
      <c r="S2551" s="56">
        <v>0</v>
      </c>
      <c r="T2551" s="56" t="s">
        <v>3562</v>
      </c>
      <c r="V2551" s="56" t="s">
        <v>3561</v>
      </c>
      <c r="W2551" s="56" t="s">
        <v>3548</v>
      </c>
      <c r="X2551" s="56" t="s">
        <v>39</v>
      </c>
      <c r="Y2551" s="56" t="s">
        <v>3560</v>
      </c>
      <c r="Z2551" s="56" t="s">
        <v>3559</v>
      </c>
      <c r="AC2551" s="56" t="s">
        <v>3543</v>
      </c>
      <c r="AH2551" s="56" t="s">
        <v>3542</v>
      </c>
      <c r="AI2551" s="56" t="s">
        <v>3541</v>
      </c>
    </row>
    <row r="2552" spans="1:35" ht="33" customHeight="1">
      <c r="A2552" s="56" t="s">
        <v>3567</v>
      </c>
      <c r="B2552" s="57">
        <v>44368.554907407408</v>
      </c>
      <c r="C2552" s="56" t="s">
        <v>3554</v>
      </c>
      <c r="D2552" s="56" t="s">
        <v>25</v>
      </c>
      <c r="E2552" s="56" t="s">
        <v>3566</v>
      </c>
      <c r="F2552" s="56" t="s">
        <v>3565</v>
      </c>
      <c r="G2552" s="58" t="s">
        <v>1713</v>
      </c>
      <c r="H2552" s="56">
        <v>1</v>
      </c>
      <c r="I2552" s="56" t="s">
        <v>3568</v>
      </c>
      <c r="J2552" s="56">
        <v>0</v>
      </c>
      <c r="K2552" s="56">
        <v>0</v>
      </c>
      <c r="P2552" s="56">
        <v>0</v>
      </c>
      <c r="S2552" s="56">
        <v>0</v>
      </c>
      <c r="T2552" s="56" t="s">
        <v>3562</v>
      </c>
      <c r="V2552" s="56" t="s">
        <v>3561</v>
      </c>
      <c r="W2552" s="56" t="s">
        <v>3548</v>
      </c>
      <c r="X2552" s="56" t="s">
        <v>39</v>
      </c>
      <c r="Y2552" s="56" t="s">
        <v>3560</v>
      </c>
      <c r="Z2552" s="56" t="s">
        <v>3559</v>
      </c>
      <c r="AC2552" s="56" t="s">
        <v>3543</v>
      </c>
      <c r="AH2552" s="56" t="s">
        <v>3542</v>
      </c>
      <c r="AI2552" s="56" t="s">
        <v>3541</v>
      </c>
    </row>
    <row r="2553" spans="1:35" ht="33" customHeight="1">
      <c r="A2553" s="56" t="s">
        <v>3567</v>
      </c>
      <c r="B2553" s="57">
        <v>44368.554907407408</v>
      </c>
      <c r="C2553" s="56" t="s">
        <v>3554</v>
      </c>
      <c r="D2553" s="56" t="s">
        <v>25</v>
      </c>
      <c r="E2553" s="56" t="s">
        <v>3566</v>
      </c>
      <c r="F2553" s="56" t="s">
        <v>3565</v>
      </c>
      <c r="G2553" s="58" t="s">
        <v>3564</v>
      </c>
      <c r="H2553" s="56">
        <v>1</v>
      </c>
      <c r="I2553" s="56" t="s">
        <v>3563</v>
      </c>
      <c r="J2553" s="56">
        <v>0</v>
      </c>
      <c r="K2553" s="56">
        <v>0</v>
      </c>
      <c r="P2553" s="56">
        <v>0</v>
      </c>
      <c r="S2553" s="56">
        <v>0</v>
      </c>
      <c r="T2553" s="56" t="s">
        <v>3562</v>
      </c>
      <c r="V2553" s="56" t="s">
        <v>3561</v>
      </c>
      <c r="W2553" s="56" t="s">
        <v>3548</v>
      </c>
      <c r="X2553" s="56" t="s">
        <v>39</v>
      </c>
      <c r="Y2553" s="56" t="s">
        <v>3560</v>
      </c>
      <c r="Z2553" s="56" t="s">
        <v>3559</v>
      </c>
      <c r="AC2553" s="56" t="s">
        <v>3543</v>
      </c>
      <c r="AH2553" s="56" t="s">
        <v>3542</v>
      </c>
      <c r="AI2553" s="56" t="s">
        <v>3541</v>
      </c>
    </row>
    <row r="2554" spans="1:35" ht="33" customHeight="1">
      <c r="A2554" s="56" t="s">
        <v>3555</v>
      </c>
      <c r="B2554" s="57">
        <v>44368.555393518516</v>
      </c>
      <c r="C2554" s="56" t="s">
        <v>3554</v>
      </c>
      <c r="D2554" s="56" t="s">
        <v>25</v>
      </c>
      <c r="E2554" s="56" t="s">
        <v>3553</v>
      </c>
      <c r="F2554" s="56" t="s">
        <v>3552</v>
      </c>
      <c r="G2554" s="58" t="s">
        <v>3558</v>
      </c>
      <c r="H2554" s="56">
        <v>1</v>
      </c>
      <c r="I2554" s="56" t="s">
        <v>3556</v>
      </c>
      <c r="J2554" s="56">
        <v>250</v>
      </c>
      <c r="K2554" s="56">
        <v>199</v>
      </c>
      <c r="L2554" s="56">
        <v>398</v>
      </c>
      <c r="M2554" s="56">
        <v>65</v>
      </c>
      <c r="N2554" s="56">
        <v>0</v>
      </c>
      <c r="O2554" s="56">
        <v>0</v>
      </c>
      <c r="P2554" s="56">
        <v>0</v>
      </c>
      <c r="Q2554" s="56">
        <v>463</v>
      </c>
      <c r="R2554" s="56">
        <v>0</v>
      </c>
      <c r="S2554" s="56">
        <v>0</v>
      </c>
      <c r="T2554" s="56" t="s">
        <v>27</v>
      </c>
      <c r="U2554" s="56">
        <v>463</v>
      </c>
      <c r="V2554" s="56" t="s">
        <v>3549</v>
      </c>
      <c r="W2554" s="56" t="s">
        <v>3548</v>
      </c>
      <c r="X2554" s="56" t="s">
        <v>3547</v>
      </c>
      <c r="Z2554" s="56" t="s">
        <v>3546</v>
      </c>
      <c r="AA2554" s="56" t="s">
        <v>3545</v>
      </c>
      <c r="AB2554" s="56" t="s">
        <v>3544</v>
      </c>
      <c r="AC2554" s="56" t="s">
        <v>3543</v>
      </c>
      <c r="AH2554" s="56" t="s">
        <v>3542</v>
      </c>
      <c r="AI2554" s="56" t="s">
        <v>3541</v>
      </c>
    </row>
    <row r="2555" spans="1:35" ht="33" customHeight="1">
      <c r="A2555" s="56" t="s">
        <v>3555</v>
      </c>
      <c r="B2555" s="57">
        <v>44368.555393518516</v>
      </c>
      <c r="C2555" s="56" t="s">
        <v>3554</v>
      </c>
      <c r="D2555" s="56" t="s">
        <v>25</v>
      </c>
      <c r="E2555" s="56" t="s">
        <v>3553</v>
      </c>
      <c r="F2555" s="56" t="s">
        <v>3552</v>
      </c>
      <c r="G2555" s="58" t="s">
        <v>3557</v>
      </c>
      <c r="H2555" s="56">
        <v>1</v>
      </c>
      <c r="I2555" s="56" t="s">
        <v>3556</v>
      </c>
      <c r="J2555" s="56">
        <v>250</v>
      </c>
      <c r="K2555" s="56">
        <v>199</v>
      </c>
      <c r="P2555" s="56">
        <v>0</v>
      </c>
      <c r="S2555" s="56">
        <v>0</v>
      </c>
      <c r="T2555" s="56" t="s">
        <v>27</v>
      </c>
      <c r="V2555" s="56" t="s">
        <v>3549</v>
      </c>
      <c r="W2555" s="56" t="s">
        <v>3548</v>
      </c>
      <c r="X2555" s="56" t="s">
        <v>3547</v>
      </c>
      <c r="Z2555" s="56" t="s">
        <v>3546</v>
      </c>
      <c r="AA2555" s="56" t="s">
        <v>3545</v>
      </c>
      <c r="AB2555" s="56" t="s">
        <v>3544</v>
      </c>
      <c r="AC2555" s="56" t="s">
        <v>3543</v>
      </c>
      <c r="AH2555" s="56" t="s">
        <v>3542</v>
      </c>
      <c r="AI2555" s="56" t="s">
        <v>3541</v>
      </c>
    </row>
    <row r="2556" spans="1:35" ht="33" customHeight="1">
      <c r="A2556" s="56" t="s">
        <v>3555</v>
      </c>
      <c r="B2556" s="57">
        <v>44368.555393518516</v>
      </c>
      <c r="C2556" s="56" t="s">
        <v>3554</v>
      </c>
      <c r="D2556" s="56" t="s">
        <v>25</v>
      </c>
      <c r="E2556" s="56" t="s">
        <v>3553</v>
      </c>
      <c r="F2556" s="56" t="s">
        <v>3552</v>
      </c>
      <c r="G2556" s="58" t="s">
        <v>3551</v>
      </c>
      <c r="H2556" s="56">
        <v>1</v>
      </c>
      <c r="I2556" s="56" t="s">
        <v>3550</v>
      </c>
      <c r="J2556" s="56">
        <v>0</v>
      </c>
      <c r="K2556" s="56">
        <v>0</v>
      </c>
      <c r="P2556" s="56">
        <v>0</v>
      </c>
      <c r="S2556" s="56">
        <v>0</v>
      </c>
      <c r="T2556" s="56" t="s">
        <v>27</v>
      </c>
      <c r="V2556" s="56" t="s">
        <v>3549</v>
      </c>
      <c r="W2556" s="56" t="s">
        <v>3548</v>
      </c>
      <c r="X2556" s="56" t="s">
        <v>3547</v>
      </c>
      <c r="Z2556" s="56" t="s">
        <v>3546</v>
      </c>
      <c r="AA2556" s="56" t="s">
        <v>3545</v>
      </c>
      <c r="AB2556" s="56" t="s">
        <v>3544</v>
      </c>
      <c r="AC2556" s="56" t="s">
        <v>3543</v>
      </c>
      <c r="AH2556" s="56" t="s">
        <v>3542</v>
      </c>
      <c r="AI2556" s="56" t="s">
        <v>3541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F124-F54A-9D4F-9BAD-B9194BA9A2A7}">
  <sheetPr codeName="Sheet2">
    <outlinePr summaryBelow="0" summaryRight="0"/>
  </sheetPr>
  <dimension ref="A1:Z4255"/>
  <sheetViews>
    <sheetView zoomScale="150" workbookViewId="0">
      <pane ySplit="1" topLeftCell="A3411" activePane="bottomLeft" state="frozen"/>
      <selection pane="bottomLeft" activeCell="C3425" sqref="C3425"/>
    </sheetView>
  </sheetViews>
  <sheetFormatPr baseColWidth="10" defaultColWidth="11.1640625" defaultRowHeight="15" customHeight="1"/>
  <cols>
    <col min="1" max="1" width="17.33203125" style="3" customWidth="1"/>
    <col min="2" max="2" width="8.5" style="3" customWidth="1"/>
    <col min="3" max="3" width="17.83203125" style="4" customWidth="1"/>
    <col min="4" max="4" width="49.83203125" style="3" customWidth="1"/>
    <col min="5" max="16384" width="11.1640625" style="3"/>
  </cols>
  <sheetData>
    <row r="1" spans="1:26" ht="16.5" customHeight="1">
      <c r="A1" s="13" t="s">
        <v>3155</v>
      </c>
      <c r="B1" s="13" t="s">
        <v>3154</v>
      </c>
      <c r="C1" s="11" t="s">
        <v>3153</v>
      </c>
      <c r="D1" s="13" t="s">
        <v>3152</v>
      </c>
      <c r="E1" s="10" t="s">
        <v>184</v>
      </c>
      <c r="F1" s="10" t="s">
        <v>3151</v>
      </c>
      <c r="G1" s="20" t="s">
        <v>3150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>
      <c r="A2" s="10" t="s">
        <v>3149</v>
      </c>
      <c r="B2" s="29">
        <v>1</v>
      </c>
      <c r="C2" s="31" t="s">
        <v>1531</v>
      </c>
      <c r="D2" s="30" t="s">
        <v>2194</v>
      </c>
      <c r="E2" s="29">
        <v>1</v>
      </c>
      <c r="F2" s="9">
        <v>110</v>
      </c>
      <c r="G2" s="8">
        <f>F2/110</f>
        <v>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>
      <c r="A3" s="10" t="s">
        <v>3148</v>
      </c>
      <c r="B3" s="29">
        <v>1</v>
      </c>
      <c r="C3" s="31" t="s">
        <v>1510</v>
      </c>
      <c r="D3" s="30" t="s">
        <v>2190</v>
      </c>
      <c r="E3" s="29">
        <v>1</v>
      </c>
      <c r="F3" s="9">
        <v>110</v>
      </c>
      <c r="G3" s="8">
        <f>F3/110</f>
        <v>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>
      <c r="A4" s="10" t="s">
        <v>3147</v>
      </c>
      <c r="B4" s="29">
        <v>1</v>
      </c>
      <c r="C4" s="31" t="s">
        <v>1506</v>
      </c>
      <c r="D4" s="30" t="s">
        <v>2188</v>
      </c>
      <c r="E4" s="29">
        <v>1</v>
      </c>
      <c r="F4" s="9">
        <v>110</v>
      </c>
      <c r="G4" s="8">
        <f>F4/110</f>
        <v>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>
      <c r="A5" s="10" t="s">
        <v>3146</v>
      </c>
      <c r="B5" s="29">
        <v>1</v>
      </c>
      <c r="C5" s="31" t="s">
        <v>1508</v>
      </c>
      <c r="D5" s="30" t="s">
        <v>2186</v>
      </c>
      <c r="E5" s="29">
        <v>1</v>
      </c>
      <c r="F5" s="9">
        <v>110</v>
      </c>
      <c r="G5" s="8">
        <f>F5/110</f>
        <v>1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>
      <c r="A6" s="10" t="s">
        <v>3145</v>
      </c>
      <c r="B6" s="29">
        <v>1</v>
      </c>
      <c r="C6" s="31" t="s">
        <v>3144</v>
      </c>
      <c r="D6" s="30" t="s">
        <v>1522</v>
      </c>
      <c r="E6" s="29">
        <v>1</v>
      </c>
      <c r="F6" s="9">
        <v>155</v>
      </c>
      <c r="G6" s="8">
        <f>F6/155</f>
        <v>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>
      <c r="A7" s="10" t="s">
        <v>561</v>
      </c>
      <c r="B7" s="17">
        <v>3</v>
      </c>
      <c r="C7" s="23" t="s">
        <v>1512</v>
      </c>
      <c r="D7" s="12" t="s">
        <v>1511</v>
      </c>
      <c r="E7" s="17">
        <v>1</v>
      </c>
      <c r="F7" s="9">
        <v>142</v>
      </c>
      <c r="G7" s="8">
        <f>F7/425</f>
        <v>0.33411764705882352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>
      <c r="A8" s="10"/>
      <c r="B8" s="12"/>
      <c r="C8" s="23" t="s">
        <v>1517</v>
      </c>
      <c r="D8" s="12" t="s">
        <v>1516</v>
      </c>
      <c r="E8" s="17">
        <v>1</v>
      </c>
      <c r="F8" s="9">
        <v>142</v>
      </c>
      <c r="G8" s="8">
        <f>F8/425</f>
        <v>0.33411764705882352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>
      <c r="A9" s="10"/>
      <c r="B9" s="12"/>
      <c r="C9" s="23" t="s">
        <v>1514</v>
      </c>
      <c r="D9" s="12" t="s">
        <v>1513</v>
      </c>
      <c r="E9" s="17">
        <v>1</v>
      </c>
      <c r="F9" s="9">
        <v>141</v>
      </c>
      <c r="G9" s="8">
        <f>F9/425</f>
        <v>0.33176470588235296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>
      <c r="A10" s="10" t="s">
        <v>3143</v>
      </c>
      <c r="B10" s="17">
        <v>1</v>
      </c>
      <c r="C10" s="23" t="s">
        <v>1514</v>
      </c>
      <c r="D10" s="12" t="s">
        <v>1513</v>
      </c>
      <c r="E10" s="17">
        <v>3</v>
      </c>
      <c r="F10" s="9">
        <v>425</v>
      </c>
      <c r="G10" s="8">
        <f>F10/425</f>
        <v>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>
      <c r="A11" s="10" t="s">
        <v>3142</v>
      </c>
      <c r="B11" s="17">
        <v>1</v>
      </c>
      <c r="C11" s="23" t="s">
        <v>1517</v>
      </c>
      <c r="D11" s="12" t="s">
        <v>1516</v>
      </c>
      <c r="E11" s="17">
        <v>3</v>
      </c>
      <c r="F11" s="9">
        <v>425</v>
      </c>
      <c r="G11" s="8">
        <f>F11/425</f>
        <v>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>
      <c r="A12" s="10" t="s">
        <v>3141</v>
      </c>
      <c r="B12" s="17">
        <v>1</v>
      </c>
      <c r="C12" s="23" t="s">
        <v>1512</v>
      </c>
      <c r="D12" s="12" t="s">
        <v>1511</v>
      </c>
      <c r="E12" s="17">
        <v>3</v>
      </c>
      <c r="F12" s="9">
        <v>425</v>
      </c>
      <c r="G12" s="8">
        <f>F12/425</f>
        <v>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>
      <c r="A13" s="10" t="s">
        <v>3140</v>
      </c>
      <c r="B13" s="17">
        <v>2</v>
      </c>
      <c r="C13" s="23" t="s">
        <v>1517</v>
      </c>
      <c r="D13" s="12" t="s">
        <v>1516</v>
      </c>
      <c r="E13" s="17">
        <v>2</v>
      </c>
      <c r="F13" s="9">
        <v>284</v>
      </c>
      <c r="G13" s="8">
        <f>F13/425</f>
        <v>0.66823529411764704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>
      <c r="A14" s="10"/>
      <c r="B14" s="12"/>
      <c r="C14" s="23" t="s">
        <v>1512</v>
      </c>
      <c r="D14" s="12" t="s">
        <v>1511</v>
      </c>
      <c r="E14" s="17">
        <v>1</v>
      </c>
      <c r="F14" s="9">
        <v>141</v>
      </c>
      <c r="G14" s="8">
        <f>F14/425</f>
        <v>0.33176470588235296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>
      <c r="A15" s="10" t="s">
        <v>3139</v>
      </c>
      <c r="B15" s="17">
        <v>2</v>
      </c>
      <c r="C15" s="23" t="s">
        <v>1517</v>
      </c>
      <c r="D15" s="12" t="s">
        <v>1516</v>
      </c>
      <c r="E15" s="17">
        <v>2</v>
      </c>
      <c r="F15" s="9">
        <v>284</v>
      </c>
      <c r="G15" s="8">
        <f>F15/425</f>
        <v>0.66823529411764704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>
      <c r="A16" s="10"/>
      <c r="B16" s="12"/>
      <c r="C16" s="23" t="s">
        <v>1514</v>
      </c>
      <c r="D16" s="12" t="s">
        <v>1513</v>
      </c>
      <c r="E16" s="17">
        <v>1</v>
      </c>
      <c r="F16" s="9">
        <v>141</v>
      </c>
      <c r="G16" s="8">
        <f>F16/425</f>
        <v>0.33176470588235296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>
      <c r="A17" s="10" t="s">
        <v>3138</v>
      </c>
      <c r="B17" s="17">
        <v>2</v>
      </c>
      <c r="C17" s="23" t="s">
        <v>1512</v>
      </c>
      <c r="D17" s="12" t="s">
        <v>1511</v>
      </c>
      <c r="E17" s="17">
        <v>2</v>
      </c>
      <c r="F17" s="9">
        <v>284</v>
      </c>
      <c r="G17" s="8">
        <f>F17/425</f>
        <v>0.66823529411764704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>
      <c r="A18" s="10"/>
      <c r="B18" s="12"/>
      <c r="C18" s="23" t="s">
        <v>1517</v>
      </c>
      <c r="D18" s="12" t="s">
        <v>1516</v>
      </c>
      <c r="E18" s="17">
        <v>1</v>
      </c>
      <c r="F18" s="9">
        <v>141</v>
      </c>
      <c r="G18" s="8">
        <f>F18/425</f>
        <v>0.33176470588235296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>
      <c r="A19" s="10" t="s">
        <v>3137</v>
      </c>
      <c r="B19" s="17">
        <v>2</v>
      </c>
      <c r="C19" s="23" t="s">
        <v>1512</v>
      </c>
      <c r="D19" s="12" t="s">
        <v>1511</v>
      </c>
      <c r="E19" s="17">
        <v>2</v>
      </c>
      <c r="F19" s="9">
        <v>284</v>
      </c>
      <c r="G19" s="8">
        <f>F19/425</f>
        <v>0.66823529411764704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>
      <c r="A20" s="10"/>
      <c r="B20" s="12"/>
      <c r="C20" s="23" t="s">
        <v>1514</v>
      </c>
      <c r="D20" s="12" t="s">
        <v>1513</v>
      </c>
      <c r="E20" s="17">
        <v>1</v>
      </c>
      <c r="F20" s="9">
        <v>141</v>
      </c>
      <c r="G20" s="8">
        <f>F20/425</f>
        <v>0.33176470588235296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10" t="s">
        <v>3136</v>
      </c>
      <c r="B21" s="17">
        <v>2</v>
      </c>
      <c r="C21" s="23" t="s">
        <v>1514</v>
      </c>
      <c r="D21" s="12" t="s">
        <v>1513</v>
      </c>
      <c r="E21" s="17">
        <v>2</v>
      </c>
      <c r="F21" s="9">
        <v>284</v>
      </c>
      <c r="G21" s="8">
        <f>F21/425</f>
        <v>0.66823529411764704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10"/>
      <c r="B22" s="12"/>
      <c r="C22" s="23" t="s">
        <v>1517</v>
      </c>
      <c r="D22" s="12" t="s">
        <v>1516</v>
      </c>
      <c r="E22" s="17">
        <v>1</v>
      </c>
      <c r="F22" s="9">
        <v>141</v>
      </c>
      <c r="G22" s="8">
        <f>F22/425</f>
        <v>0.33176470588235296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10" t="s">
        <v>3135</v>
      </c>
      <c r="B23" s="17">
        <v>2</v>
      </c>
      <c r="C23" s="23" t="s">
        <v>1514</v>
      </c>
      <c r="D23" s="12" t="s">
        <v>1513</v>
      </c>
      <c r="E23" s="17">
        <v>2</v>
      </c>
      <c r="F23" s="9">
        <v>284</v>
      </c>
      <c r="G23" s="8">
        <f>F23/425</f>
        <v>0.66823529411764704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10"/>
      <c r="B24" s="12"/>
      <c r="C24" s="23" t="s">
        <v>1512</v>
      </c>
      <c r="D24" s="12" t="s">
        <v>1511</v>
      </c>
      <c r="E24" s="17">
        <v>1</v>
      </c>
      <c r="F24" s="9">
        <v>141</v>
      </c>
      <c r="G24" s="8">
        <f>F24/425</f>
        <v>0.33176470588235296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10" t="s">
        <v>287</v>
      </c>
      <c r="B25" s="9">
        <v>3</v>
      </c>
      <c r="C25" s="23" t="s">
        <v>3133</v>
      </c>
      <c r="D25" s="12" t="s">
        <v>1454</v>
      </c>
      <c r="E25" s="9">
        <v>1</v>
      </c>
      <c r="F25" s="9">
        <v>125</v>
      </c>
      <c r="G25" s="8">
        <f>F25/375</f>
        <v>0.33333333333333331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10"/>
      <c r="B26" s="12"/>
      <c r="C26" s="23" t="s">
        <v>3132</v>
      </c>
      <c r="D26" s="12" t="s">
        <v>1453</v>
      </c>
      <c r="E26" s="9">
        <v>1</v>
      </c>
      <c r="F26" s="9">
        <v>125</v>
      </c>
      <c r="G26" s="8">
        <f>F26/375</f>
        <v>0.33333333333333331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0"/>
      <c r="B27" s="12"/>
      <c r="C27" s="23" t="s">
        <v>3134</v>
      </c>
      <c r="D27" s="12" t="s">
        <v>1452</v>
      </c>
      <c r="E27" s="9">
        <v>1</v>
      </c>
      <c r="F27" s="9">
        <v>125</v>
      </c>
      <c r="G27" s="8">
        <f>F27/375</f>
        <v>0.33333333333333331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0" t="s">
        <v>571</v>
      </c>
      <c r="B28" s="9">
        <v>1</v>
      </c>
      <c r="C28" s="23" t="s">
        <v>3133</v>
      </c>
      <c r="D28" s="12" t="s">
        <v>1454</v>
      </c>
      <c r="E28" s="9">
        <v>3</v>
      </c>
      <c r="F28" s="9">
        <v>375</v>
      </c>
      <c r="G28" s="8">
        <f>F28/375</f>
        <v>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10" t="s">
        <v>405</v>
      </c>
      <c r="B29" s="9">
        <v>1</v>
      </c>
      <c r="C29" s="23" t="s">
        <v>3132</v>
      </c>
      <c r="D29" s="12" t="s">
        <v>1453</v>
      </c>
      <c r="E29" s="9">
        <v>3</v>
      </c>
      <c r="F29" s="9">
        <v>375</v>
      </c>
      <c r="G29" s="8">
        <f>F29/375</f>
        <v>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0" t="s">
        <v>3131</v>
      </c>
      <c r="B30" s="9">
        <v>1</v>
      </c>
      <c r="C30" s="23">
        <v>4714781021029</v>
      </c>
      <c r="D30" s="12" t="s">
        <v>1452</v>
      </c>
      <c r="E30" s="9">
        <v>3</v>
      </c>
      <c r="F30" s="9">
        <v>375</v>
      </c>
      <c r="G30" s="8">
        <f>F30/375</f>
        <v>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0" t="s">
        <v>3130</v>
      </c>
      <c r="B31" s="9">
        <v>2</v>
      </c>
      <c r="C31" s="23">
        <v>4714781021593</v>
      </c>
      <c r="D31" s="12" t="s">
        <v>1453</v>
      </c>
      <c r="E31" s="9">
        <v>1</v>
      </c>
      <c r="F31" s="9">
        <v>125</v>
      </c>
      <c r="G31" s="8">
        <f>F31/375</f>
        <v>0.33333333333333331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0"/>
      <c r="B32" s="12"/>
      <c r="C32" s="23">
        <v>4714781021029</v>
      </c>
      <c r="D32" s="12" t="s">
        <v>2072</v>
      </c>
      <c r="E32" s="9">
        <v>2</v>
      </c>
      <c r="F32" s="9">
        <v>250</v>
      </c>
      <c r="G32" s="8">
        <f>F32/375</f>
        <v>0.66666666666666663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2" t="s">
        <v>601</v>
      </c>
      <c r="B33" s="9">
        <v>2</v>
      </c>
      <c r="C33" s="23">
        <v>4714781021029</v>
      </c>
      <c r="D33" s="12" t="s">
        <v>2072</v>
      </c>
      <c r="E33" s="9">
        <v>2</v>
      </c>
      <c r="F33" s="9">
        <v>250</v>
      </c>
      <c r="G33" s="8">
        <f>F33/375</f>
        <v>0.66666666666666663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0"/>
      <c r="B34" s="12"/>
      <c r="C34" s="23">
        <v>4714781021609</v>
      </c>
      <c r="D34" s="12" t="s">
        <v>1454</v>
      </c>
      <c r="E34" s="9">
        <v>1</v>
      </c>
      <c r="F34" s="9">
        <v>125</v>
      </c>
      <c r="G34" s="8">
        <f>F34/375</f>
        <v>0.33333333333333331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2" t="s">
        <v>1146</v>
      </c>
      <c r="B35" s="9">
        <v>2</v>
      </c>
      <c r="C35" s="23">
        <v>4714781021593</v>
      </c>
      <c r="D35" s="12" t="s">
        <v>1453</v>
      </c>
      <c r="E35" s="9">
        <v>2</v>
      </c>
      <c r="F35" s="9">
        <v>250</v>
      </c>
      <c r="G35" s="8">
        <f>F35/375</f>
        <v>0.66666666666666663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10"/>
      <c r="B36" s="12"/>
      <c r="C36" s="23">
        <v>4714781021029</v>
      </c>
      <c r="D36" s="12" t="s">
        <v>2072</v>
      </c>
      <c r="E36" s="9">
        <v>1</v>
      </c>
      <c r="F36" s="9">
        <v>125</v>
      </c>
      <c r="G36" s="8">
        <f>F36/375</f>
        <v>0.33333333333333331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12" t="s">
        <v>3129</v>
      </c>
      <c r="B37" s="9">
        <v>2</v>
      </c>
      <c r="C37" s="23">
        <v>4714781021593</v>
      </c>
      <c r="D37" s="12" t="s">
        <v>1453</v>
      </c>
      <c r="E37" s="9">
        <v>2</v>
      </c>
      <c r="F37" s="9">
        <v>250</v>
      </c>
      <c r="G37" s="8">
        <f>F37/375</f>
        <v>0.66666666666666663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10"/>
      <c r="B38" s="12"/>
      <c r="C38" s="23">
        <v>4714781021609</v>
      </c>
      <c r="D38" s="12" t="s">
        <v>1454</v>
      </c>
      <c r="E38" s="9">
        <v>1</v>
      </c>
      <c r="F38" s="9">
        <v>125</v>
      </c>
      <c r="G38" s="8">
        <f>F38/375</f>
        <v>0.33333333333333331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2" t="s">
        <v>403</v>
      </c>
      <c r="B39" s="9">
        <v>2</v>
      </c>
      <c r="C39" s="23">
        <v>4714781021609</v>
      </c>
      <c r="D39" s="12" t="s">
        <v>1454</v>
      </c>
      <c r="E39" s="9">
        <v>2</v>
      </c>
      <c r="F39" s="9">
        <v>250</v>
      </c>
      <c r="G39" s="8">
        <f>F39/375</f>
        <v>0.66666666666666663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10"/>
      <c r="B40" s="12"/>
      <c r="C40" s="23">
        <v>4714781021029</v>
      </c>
      <c r="D40" s="12" t="s">
        <v>2072</v>
      </c>
      <c r="E40" s="9">
        <v>1</v>
      </c>
      <c r="F40" s="9">
        <v>125</v>
      </c>
      <c r="G40" s="8">
        <f>F40/375</f>
        <v>0.33333333333333331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12" t="s">
        <v>294</v>
      </c>
      <c r="B41" s="9">
        <v>2</v>
      </c>
      <c r="C41" s="23">
        <v>4714781021609</v>
      </c>
      <c r="D41" s="12" t="s">
        <v>1454</v>
      </c>
      <c r="E41" s="9">
        <v>2</v>
      </c>
      <c r="F41" s="9">
        <v>250</v>
      </c>
      <c r="G41" s="8">
        <f>F41/375</f>
        <v>0.66666666666666663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10"/>
      <c r="B42" s="12"/>
      <c r="C42" s="23">
        <v>4714781021593</v>
      </c>
      <c r="D42" s="12" t="s">
        <v>1453</v>
      </c>
      <c r="E42" s="9">
        <v>1</v>
      </c>
      <c r="F42" s="9">
        <v>125</v>
      </c>
      <c r="G42" s="8">
        <f>F42/375</f>
        <v>0.33333333333333331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12" t="s">
        <v>436</v>
      </c>
      <c r="B43" s="9">
        <v>6</v>
      </c>
      <c r="C43" s="23">
        <v>4714781021029</v>
      </c>
      <c r="D43" s="12" t="s">
        <v>1452</v>
      </c>
      <c r="E43" s="9">
        <v>1</v>
      </c>
      <c r="F43" s="9">
        <v>133</v>
      </c>
      <c r="G43" s="8">
        <f>F43/820</f>
        <v>0.16219512195121952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10"/>
      <c r="B44" s="12"/>
      <c r="C44" s="23">
        <v>4714781021593</v>
      </c>
      <c r="D44" s="12" t="s">
        <v>1453</v>
      </c>
      <c r="E44" s="9">
        <v>1</v>
      </c>
      <c r="F44" s="9">
        <v>133</v>
      </c>
      <c r="G44" s="8">
        <f>F44/820</f>
        <v>0.16219512195121952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10"/>
      <c r="B45" s="12"/>
      <c r="C45" s="23">
        <v>4714781021609</v>
      </c>
      <c r="D45" s="12" t="s">
        <v>1454</v>
      </c>
      <c r="E45" s="9">
        <v>1</v>
      </c>
      <c r="F45" s="9">
        <v>134</v>
      </c>
      <c r="G45" s="8">
        <f>F45/820</f>
        <v>0.16341463414634147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0"/>
      <c r="B46" s="12"/>
      <c r="C46" s="21">
        <v>4714781020466</v>
      </c>
      <c r="D46" s="12" t="s">
        <v>1374</v>
      </c>
      <c r="E46" s="9">
        <v>1</v>
      </c>
      <c r="F46" s="9">
        <v>140</v>
      </c>
      <c r="G46" s="8">
        <f>F46/820</f>
        <v>0.17073170731707318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0"/>
      <c r="B47" s="12"/>
      <c r="C47" s="21">
        <v>4714781020503</v>
      </c>
      <c r="D47" s="12" t="s">
        <v>1372</v>
      </c>
      <c r="E47" s="9">
        <v>1</v>
      </c>
      <c r="F47" s="9">
        <v>140</v>
      </c>
      <c r="G47" s="8">
        <f>F47/820</f>
        <v>0.17073170731707318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0"/>
      <c r="B48" s="12"/>
      <c r="C48" s="21">
        <v>4714781020558</v>
      </c>
      <c r="D48" s="12" t="s">
        <v>1370</v>
      </c>
      <c r="E48" s="9">
        <v>1</v>
      </c>
      <c r="F48" s="9">
        <v>140</v>
      </c>
      <c r="G48" s="8">
        <f>F48/820</f>
        <v>0.17073170731707318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2" t="s">
        <v>3128</v>
      </c>
      <c r="B49" s="9">
        <v>2</v>
      </c>
      <c r="C49" s="23">
        <v>4714781021029</v>
      </c>
      <c r="D49" s="12" t="s">
        <v>1452</v>
      </c>
      <c r="E49" s="9">
        <v>3</v>
      </c>
      <c r="F49" s="9">
        <v>400</v>
      </c>
      <c r="G49" s="8">
        <f>F49/820</f>
        <v>0.48780487804878048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10"/>
      <c r="B50" s="12"/>
      <c r="C50" s="21">
        <v>4714781020558</v>
      </c>
      <c r="D50" s="12" t="s">
        <v>1370</v>
      </c>
      <c r="E50" s="9">
        <v>3</v>
      </c>
      <c r="F50" s="9">
        <v>420</v>
      </c>
      <c r="G50" s="8">
        <f>F50/820</f>
        <v>0.51219512195121952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12" t="s">
        <v>3127</v>
      </c>
      <c r="B51" s="9">
        <v>2</v>
      </c>
      <c r="C51" s="23">
        <v>4714781021029</v>
      </c>
      <c r="D51" s="12" t="s">
        <v>1452</v>
      </c>
      <c r="E51" s="9">
        <v>3</v>
      </c>
      <c r="F51" s="9">
        <v>400</v>
      </c>
      <c r="G51" s="8">
        <f>F51/820</f>
        <v>0.48780487804878048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10"/>
      <c r="B52" s="12"/>
      <c r="C52" s="21">
        <v>4714781020466</v>
      </c>
      <c r="D52" s="12" t="s">
        <v>1374</v>
      </c>
      <c r="E52" s="9">
        <v>3</v>
      </c>
      <c r="F52" s="9">
        <v>420</v>
      </c>
      <c r="G52" s="8">
        <f>F52/820</f>
        <v>0.51219512195121952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2" t="s">
        <v>3126</v>
      </c>
      <c r="B53" s="9">
        <v>2</v>
      </c>
      <c r="C53" s="23">
        <v>4714781021029</v>
      </c>
      <c r="D53" s="12" t="s">
        <v>1452</v>
      </c>
      <c r="E53" s="9">
        <v>3</v>
      </c>
      <c r="F53" s="9">
        <v>400</v>
      </c>
      <c r="G53" s="8">
        <f>F53/820</f>
        <v>0.48780487804878048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0"/>
      <c r="B54" s="12"/>
      <c r="C54" s="21">
        <v>4714781020503</v>
      </c>
      <c r="D54" s="12" t="s">
        <v>1372</v>
      </c>
      <c r="E54" s="9">
        <v>3</v>
      </c>
      <c r="F54" s="9">
        <v>420</v>
      </c>
      <c r="G54" s="8">
        <f>F54/820</f>
        <v>0.51219512195121952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2" t="s">
        <v>3125</v>
      </c>
      <c r="B55" s="9">
        <v>2</v>
      </c>
      <c r="C55" s="23">
        <v>4714781021593</v>
      </c>
      <c r="D55" s="12" t="s">
        <v>1453</v>
      </c>
      <c r="E55" s="9">
        <v>3</v>
      </c>
      <c r="F55" s="9">
        <v>400</v>
      </c>
      <c r="G55" s="8">
        <f>F55/820</f>
        <v>0.48780487804878048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0"/>
      <c r="B56" s="12"/>
      <c r="C56" s="21">
        <v>4714781020558</v>
      </c>
      <c r="D56" s="12" t="s">
        <v>1370</v>
      </c>
      <c r="E56" s="9">
        <v>3</v>
      </c>
      <c r="F56" s="9">
        <v>420</v>
      </c>
      <c r="G56" s="8">
        <f>F56/820</f>
        <v>0.51219512195121952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12" t="s">
        <v>3124</v>
      </c>
      <c r="B57" s="9">
        <v>2</v>
      </c>
      <c r="C57" s="23">
        <v>4714781021593</v>
      </c>
      <c r="D57" s="12" t="s">
        <v>1453</v>
      </c>
      <c r="E57" s="9">
        <v>3</v>
      </c>
      <c r="F57" s="9">
        <v>400</v>
      </c>
      <c r="G57" s="8">
        <f>F57/820</f>
        <v>0.48780487804878048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0"/>
      <c r="B58" s="12"/>
      <c r="C58" s="21">
        <v>4714781020466</v>
      </c>
      <c r="D58" s="12" t="s">
        <v>1374</v>
      </c>
      <c r="E58" s="9">
        <v>3</v>
      </c>
      <c r="F58" s="9">
        <v>420</v>
      </c>
      <c r="G58" s="8">
        <f>F58/820</f>
        <v>0.51219512195121952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12" t="s">
        <v>3123</v>
      </c>
      <c r="B59" s="9">
        <v>2</v>
      </c>
      <c r="C59" s="23">
        <v>4714781021593</v>
      </c>
      <c r="D59" s="12" t="s">
        <v>1453</v>
      </c>
      <c r="E59" s="9">
        <v>3</v>
      </c>
      <c r="F59" s="9">
        <v>400</v>
      </c>
      <c r="G59" s="8">
        <f>F59/820</f>
        <v>0.48780487804878048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0"/>
      <c r="B60" s="12"/>
      <c r="C60" s="21">
        <v>4714781020503</v>
      </c>
      <c r="D60" s="12" t="s">
        <v>1372</v>
      </c>
      <c r="E60" s="9">
        <v>3</v>
      </c>
      <c r="F60" s="9">
        <v>420</v>
      </c>
      <c r="G60" s="8">
        <f>F60/820</f>
        <v>0.51219512195121952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2" t="s">
        <v>574</v>
      </c>
      <c r="B61" s="9">
        <v>2</v>
      </c>
      <c r="C61" s="23">
        <v>4714781021609</v>
      </c>
      <c r="D61" s="12" t="s">
        <v>1454</v>
      </c>
      <c r="E61" s="9">
        <v>3</v>
      </c>
      <c r="F61" s="9">
        <v>400</v>
      </c>
      <c r="G61" s="8">
        <f>F61/820</f>
        <v>0.48780487804878048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0"/>
      <c r="B62" s="12"/>
      <c r="C62" s="21">
        <v>4714781020558</v>
      </c>
      <c r="D62" s="12" t="s">
        <v>1370</v>
      </c>
      <c r="E62" s="9">
        <v>3</v>
      </c>
      <c r="F62" s="9">
        <v>420</v>
      </c>
      <c r="G62" s="8">
        <f>F62/820</f>
        <v>0.51219512195121952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2" t="s">
        <v>3122</v>
      </c>
      <c r="B63" s="9">
        <v>2</v>
      </c>
      <c r="C63" s="23">
        <v>4714781021609</v>
      </c>
      <c r="D63" s="12" t="s">
        <v>1454</v>
      </c>
      <c r="E63" s="9">
        <v>3</v>
      </c>
      <c r="F63" s="9">
        <v>400</v>
      </c>
      <c r="G63" s="8">
        <f>F63/820</f>
        <v>0.48780487804878048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0"/>
      <c r="B64" s="12"/>
      <c r="C64" s="21">
        <v>4714781020466</v>
      </c>
      <c r="D64" s="12" t="s">
        <v>1374</v>
      </c>
      <c r="E64" s="9">
        <v>3</v>
      </c>
      <c r="F64" s="9">
        <v>420</v>
      </c>
      <c r="G64" s="8">
        <f>F64/820</f>
        <v>0.51219512195121952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2" t="s">
        <v>3121</v>
      </c>
      <c r="B65" s="27">
        <v>2</v>
      </c>
      <c r="C65" s="23">
        <v>4714781021609</v>
      </c>
      <c r="D65" s="12" t="s">
        <v>1454</v>
      </c>
      <c r="E65" s="9">
        <v>3</v>
      </c>
      <c r="F65" s="9">
        <v>400</v>
      </c>
      <c r="G65" s="8">
        <f>F65/820</f>
        <v>0.48780487804878048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0"/>
      <c r="B66" s="9"/>
      <c r="C66" s="21">
        <v>4714781020503</v>
      </c>
      <c r="D66" s="12" t="s">
        <v>1372</v>
      </c>
      <c r="E66" s="9">
        <v>3</v>
      </c>
      <c r="F66" s="9">
        <v>420</v>
      </c>
      <c r="G66" s="8">
        <f>F66/820</f>
        <v>0.51219512195121952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2" t="s">
        <v>3120</v>
      </c>
      <c r="B67" s="9">
        <v>2</v>
      </c>
      <c r="C67" s="23">
        <v>4714781021777</v>
      </c>
      <c r="D67" s="12" t="s">
        <v>1522</v>
      </c>
      <c r="E67" s="9">
        <v>2</v>
      </c>
      <c r="F67" s="9">
        <v>750</v>
      </c>
      <c r="G67" s="8">
        <f>F67/1320</f>
        <v>0.56818181818181823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10"/>
      <c r="B68" s="9"/>
      <c r="C68" s="23" t="s">
        <v>1510</v>
      </c>
      <c r="D68" s="12" t="s">
        <v>2190</v>
      </c>
      <c r="E68" s="9">
        <v>2</v>
      </c>
      <c r="F68" s="9">
        <v>570</v>
      </c>
      <c r="G68" s="8">
        <f>F68/1320</f>
        <v>0.43181818181818182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12" t="s">
        <v>3119</v>
      </c>
      <c r="B69" s="9">
        <v>2</v>
      </c>
      <c r="C69" s="23">
        <v>4714781021777</v>
      </c>
      <c r="D69" s="12" t="s">
        <v>1522</v>
      </c>
      <c r="E69" s="9">
        <v>2</v>
      </c>
      <c r="F69" s="9">
        <v>750</v>
      </c>
      <c r="G69" s="8">
        <f>F69/1320</f>
        <v>0.56818181818181823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10"/>
      <c r="B70" s="9"/>
      <c r="C70" s="23" t="s">
        <v>1506</v>
      </c>
      <c r="D70" s="12" t="s">
        <v>2188</v>
      </c>
      <c r="E70" s="9">
        <v>2</v>
      </c>
      <c r="F70" s="9">
        <v>570</v>
      </c>
      <c r="G70" s="8">
        <f>F70/1320</f>
        <v>0.43181818181818182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2" t="s">
        <v>3118</v>
      </c>
      <c r="B71" s="9">
        <v>2</v>
      </c>
      <c r="C71" s="23">
        <v>4714781021777</v>
      </c>
      <c r="D71" s="12" t="s">
        <v>1522</v>
      </c>
      <c r="E71" s="9">
        <v>2</v>
      </c>
      <c r="F71" s="9">
        <v>750</v>
      </c>
      <c r="G71" s="8">
        <f>F71/1320</f>
        <v>0.56818181818181823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0"/>
      <c r="B72" s="9"/>
      <c r="C72" s="23" t="s">
        <v>1508</v>
      </c>
      <c r="D72" s="12" t="s">
        <v>2186</v>
      </c>
      <c r="E72" s="9">
        <v>2</v>
      </c>
      <c r="F72" s="9">
        <v>570</v>
      </c>
      <c r="G72" s="8">
        <f>F72/1320</f>
        <v>0.43181818181818182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12" t="s">
        <v>615</v>
      </c>
      <c r="B73" s="9">
        <v>2</v>
      </c>
      <c r="C73" s="23">
        <v>4714781021777</v>
      </c>
      <c r="D73" s="12" t="s">
        <v>1522</v>
      </c>
      <c r="E73" s="9">
        <v>2</v>
      </c>
      <c r="F73" s="9">
        <v>750</v>
      </c>
      <c r="G73" s="8">
        <f>F73/1320</f>
        <v>0.56818181818181823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0"/>
      <c r="B74" s="9"/>
      <c r="C74" s="23" t="s">
        <v>1531</v>
      </c>
      <c r="D74" s="12" t="s">
        <v>2194</v>
      </c>
      <c r="E74" s="9">
        <v>2</v>
      </c>
      <c r="F74" s="9">
        <v>570</v>
      </c>
      <c r="G74" s="8">
        <f>F74/1320</f>
        <v>0.43181818181818182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2" t="s">
        <v>3117</v>
      </c>
      <c r="B75" s="9">
        <v>3</v>
      </c>
      <c r="C75" s="23">
        <v>4714781021777</v>
      </c>
      <c r="D75" s="12" t="s">
        <v>1522</v>
      </c>
      <c r="E75" s="9">
        <v>2</v>
      </c>
      <c r="F75" s="9">
        <v>750</v>
      </c>
      <c r="G75" s="8">
        <f>F75/1320</f>
        <v>0.56818181818181823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0"/>
      <c r="B76" s="9"/>
      <c r="C76" s="23" t="s">
        <v>1510</v>
      </c>
      <c r="D76" s="12" t="s">
        <v>2190</v>
      </c>
      <c r="E76" s="9">
        <v>1</v>
      </c>
      <c r="F76" s="9">
        <v>285</v>
      </c>
      <c r="G76" s="8">
        <f>F76/1320</f>
        <v>0.21590909090909091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0"/>
      <c r="B77" s="9"/>
      <c r="C77" s="23" t="s">
        <v>1531</v>
      </c>
      <c r="D77" s="12" t="s">
        <v>2194</v>
      </c>
      <c r="E77" s="9">
        <v>1</v>
      </c>
      <c r="F77" s="9">
        <v>285</v>
      </c>
      <c r="G77" s="8">
        <f>F77/1320</f>
        <v>0.21590909090909091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2" t="s">
        <v>3116</v>
      </c>
      <c r="B78" s="9">
        <v>3</v>
      </c>
      <c r="C78" s="23">
        <v>4714781021777</v>
      </c>
      <c r="D78" s="12" t="s">
        <v>1522</v>
      </c>
      <c r="E78" s="9">
        <v>2</v>
      </c>
      <c r="F78" s="9">
        <v>750</v>
      </c>
      <c r="G78" s="8">
        <f>F78/1320</f>
        <v>0.56818181818181823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0"/>
      <c r="B79" s="9"/>
      <c r="C79" s="23" t="s">
        <v>1531</v>
      </c>
      <c r="D79" s="12" t="s">
        <v>2194</v>
      </c>
      <c r="E79" s="9">
        <v>1</v>
      </c>
      <c r="F79" s="9">
        <v>285</v>
      </c>
      <c r="G79" s="8">
        <f>F79/1320</f>
        <v>0.21590909090909091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0"/>
      <c r="B80" s="9"/>
      <c r="C80" s="23" t="s">
        <v>1508</v>
      </c>
      <c r="D80" s="12" t="s">
        <v>2186</v>
      </c>
      <c r="E80" s="9">
        <v>1</v>
      </c>
      <c r="F80" s="9">
        <v>285</v>
      </c>
      <c r="G80" s="8">
        <f>F80/1320</f>
        <v>0.21590909090909091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2" t="s">
        <v>3115</v>
      </c>
      <c r="B81" s="9">
        <v>3</v>
      </c>
      <c r="C81" s="23">
        <v>4714781021777</v>
      </c>
      <c r="D81" s="12" t="s">
        <v>1522</v>
      </c>
      <c r="E81" s="9">
        <v>2</v>
      </c>
      <c r="F81" s="9">
        <v>750</v>
      </c>
      <c r="G81" s="8">
        <f>F81/1320</f>
        <v>0.56818181818181823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0"/>
      <c r="B82" s="9"/>
      <c r="C82" s="23" t="s">
        <v>1531</v>
      </c>
      <c r="D82" s="12" t="s">
        <v>2194</v>
      </c>
      <c r="E82" s="9">
        <v>1</v>
      </c>
      <c r="F82" s="9">
        <v>285</v>
      </c>
      <c r="G82" s="8">
        <f>F82/1320</f>
        <v>0.21590909090909091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0"/>
      <c r="B83" s="9"/>
      <c r="C83" s="23" t="s">
        <v>1506</v>
      </c>
      <c r="D83" s="12" t="s">
        <v>2188</v>
      </c>
      <c r="E83" s="9">
        <v>1</v>
      </c>
      <c r="F83" s="9">
        <v>285</v>
      </c>
      <c r="G83" s="8">
        <f>F83/1320</f>
        <v>0.21590909090909091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2" t="s">
        <v>3114</v>
      </c>
      <c r="B84" s="9">
        <v>3</v>
      </c>
      <c r="C84" s="23">
        <v>4714781021777</v>
      </c>
      <c r="D84" s="12" t="s">
        <v>1522</v>
      </c>
      <c r="E84" s="9">
        <v>2</v>
      </c>
      <c r="F84" s="9">
        <v>750</v>
      </c>
      <c r="G84" s="8">
        <f>F84/1320</f>
        <v>0.56818181818181823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0"/>
      <c r="B85" s="9"/>
      <c r="C85" s="23" t="s">
        <v>1510</v>
      </c>
      <c r="D85" s="12" t="s">
        <v>2190</v>
      </c>
      <c r="E85" s="9">
        <v>1</v>
      </c>
      <c r="F85" s="9">
        <v>285</v>
      </c>
      <c r="G85" s="8">
        <f>F85/1320</f>
        <v>0.21590909090909091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10"/>
      <c r="B86" s="9"/>
      <c r="C86" s="23" t="s">
        <v>1506</v>
      </c>
      <c r="D86" s="12" t="s">
        <v>2188</v>
      </c>
      <c r="E86" s="9">
        <v>1</v>
      </c>
      <c r="F86" s="9">
        <v>285</v>
      </c>
      <c r="G86" s="8">
        <f>F86/1320</f>
        <v>0.21590909090909091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12" t="s">
        <v>3113</v>
      </c>
      <c r="B87" s="9">
        <v>3</v>
      </c>
      <c r="C87" s="23">
        <v>4714781021777</v>
      </c>
      <c r="D87" s="12" t="s">
        <v>1522</v>
      </c>
      <c r="E87" s="9">
        <v>2</v>
      </c>
      <c r="F87" s="9">
        <v>750</v>
      </c>
      <c r="G87" s="8">
        <f>F87/1320</f>
        <v>0.56818181818181823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0"/>
      <c r="B88" s="9"/>
      <c r="C88" s="23" t="s">
        <v>1510</v>
      </c>
      <c r="D88" s="12" t="s">
        <v>2190</v>
      </c>
      <c r="E88" s="9">
        <v>1</v>
      </c>
      <c r="F88" s="9">
        <v>285</v>
      </c>
      <c r="G88" s="8">
        <f>F88/1320</f>
        <v>0.21590909090909091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0"/>
      <c r="B89" s="9"/>
      <c r="C89" s="23" t="s">
        <v>1508</v>
      </c>
      <c r="D89" s="12" t="s">
        <v>2186</v>
      </c>
      <c r="E89" s="9">
        <v>1</v>
      </c>
      <c r="F89" s="9">
        <v>285</v>
      </c>
      <c r="G89" s="8">
        <f>F89/1320</f>
        <v>0.21590909090909091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2" t="s">
        <v>448</v>
      </c>
      <c r="B90" s="9">
        <v>3</v>
      </c>
      <c r="C90" s="23">
        <v>4714781021777</v>
      </c>
      <c r="D90" s="12" t="s">
        <v>1522</v>
      </c>
      <c r="E90" s="9">
        <v>2</v>
      </c>
      <c r="F90" s="9">
        <v>750</v>
      </c>
      <c r="G90" s="8">
        <f>F90/1320</f>
        <v>0.56818181818181823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0"/>
      <c r="B91" s="9"/>
      <c r="C91" s="23" t="s">
        <v>1508</v>
      </c>
      <c r="D91" s="12" t="s">
        <v>2186</v>
      </c>
      <c r="E91" s="9">
        <v>1</v>
      </c>
      <c r="F91" s="9">
        <v>285</v>
      </c>
      <c r="G91" s="8">
        <f>F91/1320</f>
        <v>0.21590909090909091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0"/>
      <c r="B92" s="9"/>
      <c r="C92" s="23" t="s">
        <v>1506</v>
      </c>
      <c r="D92" s="12" t="s">
        <v>2188</v>
      </c>
      <c r="E92" s="9">
        <v>1</v>
      </c>
      <c r="F92" s="9">
        <v>285</v>
      </c>
      <c r="G92" s="8">
        <f>F92/1320</f>
        <v>0.21590909090909091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0" t="s">
        <v>3112</v>
      </c>
      <c r="B93" s="9">
        <v>1</v>
      </c>
      <c r="C93" s="21">
        <v>4714781020794</v>
      </c>
      <c r="D93" s="12" t="s">
        <v>1320</v>
      </c>
      <c r="E93" s="9">
        <v>2</v>
      </c>
      <c r="F93" s="9">
        <v>230</v>
      </c>
      <c r="G93" s="8">
        <f>F93/230</f>
        <v>1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0" t="s">
        <v>3111</v>
      </c>
      <c r="B94" s="9">
        <v>1</v>
      </c>
      <c r="C94" s="21">
        <v>4714781020800</v>
      </c>
      <c r="D94" s="12" t="s">
        <v>1319</v>
      </c>
      <c r="E94" s="9">
        <v>2</v>
      </c>
      <c r="F94" s="9">
        <v>230</v>
      </c>
      <c r="G94" s="8">
        <f>F94/230</f>
        <v>1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0" t="s">
        <v>3110</v>
      </c>
      <c r="B95" s="9">
        <v>1</v>
      </c>
      <c r="C95" s="21">
        <v>4714781020817</v>
      </c>
      <c r="D95" s="12" t="s">
        <v>1317</v>
      </c>
      <c r="E95" s="9">
        <v>2</v>
      </c>
      <c r="F95" s="9">
        <v>230</v>
      </c>
      <c r="G95" s="8">
        <f>F95/230</f>
        <v>1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0" t="s">
        <v>3109</v>
      </c>
      <c r="B96" s="9">
        <v>2</v>
      </c>
      <c r="C96" s="21">
        <v>4714781020794</v>
      </c>
      <c r="D96" s="12" t="s">
        <v>1320</v>
      </c>
      <c r="E96" s="9">
        <v>1</v>
      </c>
      <c r="F96" s="9">
        <v>115</v>
      </c>
      <c r="G96" s="8">
        <f>F96/230</f>
        <v>0.5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0"/>
      <c r="B97" s="12"/>
      <c r="C97" s="21">
        <v>4714781020800</v>
      </c>
      <c r="D97" s="12" t="s">
        <v>1319</v>
      </c>
      <c r="E97" s="9">
        <v>1</v>
      </c>
      <c r="F97" s="9">
        <v>115</v>
      </c>
      <c r="G97" s="8">
        <f>F97/230</f>
        <v>0.5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2" t="s">
        <v>3108</v>
      </c>
      <c r="B98" s="9">
        <v>2</v>
      </c>
      <c r="C98" s="21">
        <v>4714781020794</v>
      </c>
      <c r="D98" s="12" t="s">
        <v>1320</v>
      </c>
      <c r="E98" s="9">
        <v>1</v>
      </c>
      <c r="F98" s="9">
        <v>115</v>
      </c>
      <c r="G98" s="8">
        <f>F98/230</f>
        <v>0.5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0"/>
      <c r="B99" s="12"/>
      <c r="C99" s="21">
        <v>4714781020817</v>
      </c>
      <c r="D99" s="12" t="s">
        <v>1317</v>
      </c>
      <c r="E99" s="9">
        <v>1</v>
      </c>
      <c r="F99" s="9">
        <v>115</v>
      </c>
      <c r="G99" s="8">
        <f>F99/230</f>
        <v>0.5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2" t="s">
        <v>3107</v>
      </c>
      <c r="B100" s="9">
        <v>2</v>
      </c>
      <c r="C100" s="21">
        <v>4714781020800</v>
      </c>
      <c r="D100" s="12" t="s">
        <v>1319</v>
      </c>
      <c r="E100" s="9">
        <v>1</v>
      </c>
      <c r="F100" s="9">
        <v>115</v>
      </c>
      <c r="G100" s="8">
        <f>F100/230</f>
        <v>0.5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0"/>
      <c r="B101" s="12"/>
      <c r="C101" s="21">
        <v>4714781020817</v>
      </c>
      <c r="D101" s="12" t="s">
        <v>1317</v>
      </c>
      <c r="E101" s="9">
        <v>1</v>
      </c>
      <c r="F101" s="9">
        <v>115</v>
      </c>
      <c r="G101" s="8">
        <f>F101/230</f>
        <v>0.5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2" t="s">
        <v>3106</v>
      </c>
      <c r="B102" s="9">
        <v>1</v>
      </c>
      <c r="C102" s="21">
        <v>4714781020770</v>
      </c>
      <c r="D102" s="12" t="s">
        <v>1380</v>
      </c>
      <c r="E102" s="9">
        <v>2</v>
      </c>
      <c r="F102" s="9">
        <v>270</v>
      </c>
      <c r="G102" s="8">
        <f>F102/270</f>
        <v>1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0" t="s">
        <v>3105</v>
      </c>
      <c r="B103" s="9">
        <v>1</v>
      </c>
      <c r="C103" s="21">
        <v>4714781020787</v>
      </c>
      <c r="D103" s="12" t="s">
        <v>1378</v>
      </c>
      <c r="E103" s="9">
        <v>2</v>
      </c>
      <c r="F103" s="9">
        <v>270</v>
      </c>
      <c r="G103" s="8">
        <f>F103/270</f>
        <v>1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0" t="s">
        <v>299</v>
      </c>
      <c r="B104" s="9">
        <v>2</v>
      </c>
      <c r="C104" s="21">
        <v>4714781020770</v>
      </c>
      <c r="D104" s="12" t="s">
        <v>1380</v>
      </c>
      <c r="E104" s="9">
        <v>1</v>
      </c>
      <c r="F104" s="9">
        <v>135</v>
      </c>
      <c r="G104" s="8">
        <f>F104/270</f>
        <v>0.5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0"/>
      <c r="B105" s="12"/>
      <c r="C105" s="21">
        <v>4714781020787</v>
      </c>
      <c r="D105" s="12" t="s">
        <v>1378</v>
      </c>
      <c r="E105" s="9">
        <v>1</v>
      </c>
      <c r="F105" s="9">
        <v>135</v>
      </c>
      <c r="G105" s="8">
        <f>F105/270</f>
        <v>0.5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0" t="s">
        <v>3104</v>
      </c>
      <c r="B106" s="9">
        <v>1</v>
      </c>
      <c r="C106" s="21">
        <v>4714781020848</v>
      </c>
      <c r="D106" s="12" t="s">
        <v>1382</v>
      </c>
      <c r="E106" s="9">
        <v>2</v>
      </c>
      <c r="F106" s="9">
        <v>650</v>
      </c>
      <c r="G106" s="8">
        <f>F106/650</f>
        <v>1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0" t="s">
        <v>3103</v>
      </c>
      <c r="B107" s="9">
        <v>1</v>
      </c>
      <c r="C107" s="21" t="s">
        <v>1596</v>
      </c>
      <c r="D107" s="12" t="s">
        <v>1384</v>
      </c>
      <c r="E107" s="9">
        <v>2</v>
      </c>
      <c r="F107" s="9">
        <v>650</v>
      </c>
      <c r="G107" s="8">
        <f>F107/650</f>
        <v>1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0" t="s">
        <v>566</v>
      </c>
      <c r="B108" s="9">
        <v>2</v>
      </c>
      <c r="C108" s="21">
        <v>4714781020848</v>
      </c>
      <c r="D108" s="12" t="s">
        <v>1382</v>
      </c>
      <c r="E108" s="9">
        <v>1</v>
      </c>
      <c r="F108" s="9">
        <v>325</v>
      </c>
      <c r="G108" s="8">
        <f>F108/650</f>
        <v>0.5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10"/>
      <c r="B109" s="12"/>
      <c r="C109" s="21" t="s">
        <v>1596</v>
      </c>
      <c r="D109" s="12" t="s">
        <v>1384</v>
      </c>
      <c r="E109" s="9">
        <v>1</v>
      </c>
      <c r="F109" s="9">
        <v>325</v>
      </c>
      <c r="G109" s="8">
        <f>F109/650</f>
        <v>0.5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0" t="s">
        <v>3102</v>
      </c>
      <c r="B110" s="9">
        <v>1</v>
      </c>
      <c r="C110" s="21">
        <v>4714781020824</v>
      </c>
      <c r="D110" s="12" t="s">
        <v>1391</v>
      </c>
      <c r="E110" s="9">
        <v>2</v>
      </c>
      <c r="F110" s="9">
        <v>650</v>
      </c>
      <c r="G110" s="8">
        <f>F110/650</f>
        <v>1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0" t="s">
        <v>621</v>
      </c>
      <c r="B111" s="9">
        <v>1</v>
      </c>
      <c r="C111" s="21">
        <v>4714781020831</v>
      </c>
      <c r="D111" s="12" t="s">
        <v>1389</v>
      </c>
      <c r="E111" s="9">
        <v>2</v>
      </c>
      <c r="F111" s="9">
        <v>650</v>
      </c>
      <c r="G111" s="8">
        <f>F111/650</f>
        <v>1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0" t="s">
        <v>3101</v>
      </c>
      <c r="B112" s="9">
        <v>2</v>
      </c>
      <c r="C112" s="21">
        <v>4714781020824</v>
      </c>
      <c r="D112" s="12" t="s">
        <v>1391</v>
      </c>
      <c r="E112" s="9">
        <v>1</v>
      </c>
      <c r="F112" s="9">
        <v>325</v>
      </c>
      <c r="G112" s="8">
        <f>F112/650</f>
        <v>0.5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0"/>
      <c r="B113" s="12"/>
      <c r="C113" s="21">
        <v>4714781020831</v>
      </c>
      <c r="D113" s="12" t="s">
        <v>1389</v>
      </c>
      <c r="E113" s="9">
        <v>1</v>
      </c>
      <c r="F113" s="9">
        <v>325</v>
      </c>
      <c r="G113" s="8">
        <f>F113/650</f>
        <v>0.5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28" t="s">
        <v>998</v>
      </c>
      <c r="B114" s="9">
        <v>2</v>
      </c>
      <c r="C114" s="21">
        <v>4714781020848</v>
      </c>
      <c r="D114" s="12" t="s">
        <v>1382</v>
      </c>
      <c r="E114" s="9">
        <v>1</v>
      </c>
      <c r="F114" s="9">
        <v>325</v>
      </c>
      <c r="G114" s="8">
        <f>F114/650</f>
        <v>0.5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0"/>
      <c r="B115" s="12"/>
      <c r="C115" s="21">
        <v>4714781020824</v>
      </c>
      <c r="D115" s="12" t="s">
        <v>1391</v>
      </c>
      <c r="E115" s="9">
        <v>1</v>
      </c>
      <c r="F115" s="9">
        <v>325</v>
      </c>
      <c r="G115" s="8">
        <f>F115/650</f>
        <v>0.5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28" t="s">
        <v>3100</v>
      </c>
      <c r="B116" s="9">
        <v>2</v>
      </c>
      <c r="C116" s="21">
        <v>4714781020848</v>
      </c>
      <c r="D116" s="12" t="s">
        <v>1382</v>
      </c>
      <c r="E116" s="9">
        <v>1</v>
      </c>
      <c r="F116" s="9">
        <v>325</v>
      </c>
      <c r="G116" s="8">
        <f>F116/650</f>
        <v>0.5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0"/>
      <c r="B117" s="12"/>
      <c r="C117" s="21">
        <v>4714781020831</v>
      </c>
      <c r="D117" s="12" t="s">
        <v>1389</v>
      </c>
      <c r="E117" s="9">
        <v>1</v>
      </c>
      <c r="F117" s="9">
        <v>325</v>
      </c>
      <c r="G117" s="8">
        <f>F117/650</f>
        <v>0.5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28" t="s">
        <v>3099</v>
      </c>
      <c r="B118" s="9">
        <v>2</v>
      </c>
      <c r="C118" s="21" t="s">
        <v>1596</v>
      </c>
      <c r="D118" s="12" t="s">
        <v>1384</v>
      </c>
      <c r="E118" s="9">
        <v>1</v>
      </c>
      <c r="F118" s="9">
        <v>325</v>
      </c>
      <c r="G118" s="8">
        <f>F118/650</f>
        <v>0.5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0"/>
      <c r="B119" s="12"/>
      <c r="C119" s="21">
        <v>4714781020824</v>
      </c>
      <c r="D119" s="12" t="s">
        <v>1391</v>
      </c>
      <c r="E119" s="9">
        <v>1</v>
      </c>
      <c r="F119" s="9">
        <v>325</v>
      </c>
      <c r="G119" s="8">
        <f>F119/650</f>
        <v>0.5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28" t="s">
        <v>3098</v>
      </c>
      <c r="B120" s="9">
        <v>2</v>
      </c>
      <c r="C120" s="21" t="s">
        <v>1596</v>
      </c>
      <c r="D120" s="12" t="s">
        <v>1384</v>
      </c>
      <c r="E120" s="9">
        <v>1</v>
      </c>
      <c r="F120" s="9">
        <v>325</v>
      </c>
      <c r="G120" s="8">
        <f>F120/650</f>
        <v>0.5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0"/>
      <c r="B121" s="12"/>
      <c r="C121" s="21">
        <v>4714781020831</v>
      </c>
      <c r="D121" s="12" t="s">
        <v>1389</v>
      </c>
      <c r="E121" s="9">
        <v>1</v>
      </c>
      <c r="F121" s="9">
        <v>325</v>
      </c>
      <c r="G121" s="8">
        <f>F121/650</f>
        <v>0.5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28" t="s">
        <v>3097</v>
      </c>
      <c r="B122" s="9">
        <v>1</v>
      </c>
      <c r="C122" s="23" t="s">
        <v>1510</v>
      </c>
      <c r="D122" s="12" t="s">
        <v>2190</v>
      </c>
      <c r="E122" s="9">
        <v>4</v>
      </c>
      <c r="F122" s="9">
        <v>1160</v>
      </c>
      <c r="G122" s="8">
        <f>F122/1160</f>
        <v>1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28" t="s">
        <v>627</v>
      </c>
      <c r="B123" s="9">
        <v>1</v>
      </c>
      <c r="C123" s="23" t="s">
        <v>1506</v>
      </c>
      <c r="D123" s="12" t="s">
        <v>2188</v>
      </c>
      <c r="E123" s="9">
        <v>4</v>
      </c>
      <c r="F123" s="9">
        <v>1160</v>
      </c>
      <c r="G123" s="8">
        <f>F123/1160</f>
        <v>1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28" t="s">
        <v>1017</v>
      </c>
      <c r="B124" s="9">
        <v>1</v>
      </c>
      <c r="C124" s="23" t="s">
        <v>1508</v>
      </c>
      <c r="D124" s="12" t="s">
        <v>2186</v>
      </c>
      <c r="E124" s="9">
        <v>4</v>
      </c>
      <c r="F124" s="9">
        <v>1160</v>
      </c>
      <c r="G124" s="8">
        <f>F124/1160</f>
        <v>1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28" t="s">
        <v>535</v>
      </c>
      <c r="B125" s="9">
        <v>1</v>
      </c>
      <c r="C125" s="23" t="s">
        <v>1531</v>
      </c>
      <c r="D125" s="12" t="s">
        <v>2194</v>
      </c>
      <c r="E125" s="9">
        <v>4</v>
      </c>
      <c r="F125" s="9">
        <v>1160</v>
      </c>
      <c r="G125" s="8">
        <f>F125/1160</f>
        <v>1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28" t="s">
        <v>462</v>
      </c>
      <c r="B126" s="9">
        <v>4</v>
      </c>
      <c r="C126" s="23" t="s">
        <v>1510</v>
      </c>
      <c r="D126" s="12" t="s">
        <v>2190</v>
      </c>
      <c r="E126" s="9">
        <v>1</v>
      </c>
      <c r="F126" s="9">
        <v>290</v>
      </c>
      <c r="G126" s="8">
        <f>F126/1160</f>
        <v>0.25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0"/>
      <c r="B127" s="12"/>
      <c r="C127" s="23" t="s">
        <v>1506</v>
      </c>
      <c r="D127" s="12" t="s">
        <v>2188</v>
      </c>
      <c r="E127" s="9">
        <v>1</v>
      </c>
      <c r="F127" s="9">
        <v>290</v>
      </c>
      <c r="G127" s="8">
        <f>F127/1160</f>
        <v>0.25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0"/>
      <c r="B128" s="12"/>
      <c r="C128" s="23" t="s">
        <v>1508</v>
      </c>
      <c r="D128" s="12" t="s">
        <v>2186</v>
      </c>
      <c r="E128" s="9">
        <v>1</v>
      </c>
      <c r="F128" s="9">
        <v>290</v>
      </c>
      <c r="G128" s="8">
        <f>F128/1160</f>
        <v>0.25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0"/>
      <c r="B129" s="12"/>
      <c r="C129" s="23" t="s">
        <v>1531</v>
      </c>
      <c r="D129" s="12" t="s">
        <v>2194</v>
      </c>
      <c r="E129" s="9">
        <v>1</v>
      </c>
      <c r="F129" s="9">
        <v>290</v>
      </c>
      <c r="G129" s="8">
        <f>F129/1160</f>
        <v>0.25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0"/>
      <c r="B130" s="9"/>
      <c r="C130" s="21"/>
      <c r="D130" s="10"/>
      <c r="E130" s="9"/>
      <c r="F130" s="9"/>
      <c r="G130" s="8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0"/>
      <c r="B131" s="9"/>
      <c r="C131" s="21"/>
      <c r="D131" s="10"/>
      <c r="E131" s="9"/>
      <c r="F131" s="9"/>
      <c r="G131" s="8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0"/>
      <c r="B132" s="9"/>
      <c r="C132" s="21"/>
      <c r="D132" s="10"/>
      <c r="E132" s="9"/>
      <c r="F132" s="9"/>
      <c r="G132" s="8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0"/>
      <c r="B133" s="9"/>
      <c r="C133" s="21"/>
      <c r="D133" s="10"/>
      <c r="E133" s="9"/>
      <c r="F133" s="9"/>
      <c r="G133" s="8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0"/>
      <c r="B134" s="9"/>
      <c r="C134" s="21"/>
      <c r="D134" s="10"/>
      <c r="E134" s="9"/>
      <c r="F134" s="9"/>
      <c r="G134" s="8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0"/>
      <c r="B135" s="9"/>
      <c r="C135" s="21"/>
      <c r="D135" s="10"/>
      <c r="E135" s="9"/>
      <c r="F135" s="9"/>
      <c r="G135" s="8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0"/>
      <c r="B136" s="9"/>
      <c r="C136" s="21"/>
      <c r="D136" s="10"/>
      <c r="E136" s="9"/>
      <c r="F136" s="9"/>
      <c r="G136" s="8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0"/>
      <c r="B137" s="9"/>
      <c r="C137" s="21"/>
      <c r="D137" s="10"/>
      <c r="E137" s="9"/>
      <c r="F137" s="9"/>
      <c r="G137" s="8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0"/>
      <c r="B138" s="9"/>
      <c r="C138" s="21"/>
      <c r="D138" s="10"/>
      <c r="E138" s="9"/>
      <c r="F138" s="9"/>
      <c r="G138" s="8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0"/>
      <c r="B139" s="9"/>
      <c r="C139" s="21"/>
      <c r="D139" s="10"/>
      <c r="E139" s="9"/>
      <c r="F139" s="9"/>
      <c r="G139" s="8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0"/>
      <c r="B140" s="9"/>
      <c r="C140" s="21"/>
      <c r="D140" s="10"/>
      <c r="E140" s="9"/>
      <c r="F140" s="9"/>
      <c r="G140" s="8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0"/>
      <c r="B141" s="9"/>
      <c r="C141" s="21"/>
      <c r="D141" s="10"/>
      <c r="E141" s="9"/>
      <c r="F141" s="9"/>
      <c r="G141" s="8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0"/>
      <c r="B142" s="9"/>
      <c r="C142" s="21"/>
      <c r="D142" s="10"/>
      <c r="E142" s="9"/>
      <c r="F142" s="9"/>
      <c r="G142" s="8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0"/>
      <c r="B143" s="9"/>
      <c r="C143" s="21"/>
      <c r="D143" s="10"/>
      <c r="E143" s="9"/>
      <c r="F143" s="9"/>
      <c r="G143" s="8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0"/>
      <c r="B144" s="9"/>
      <c r="C144" s="21"/>
      <c r="D144" s="10"/>
      <c r="E144" s="9"/>
      <c r="F144" s="9"/>
      <c r="G144" s="8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10"/>
      <c r="B145" s="9"/>
      <c r="C145" s="21"/>
      <c r="D145" s="10"/>
      <c r="E145" s="9"/>
      <c r="F145" s="9"/>
      <c r="G145" s="8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0"/>
      <c r="B146" s="9"/>
      <c r="C146" s="21"/>
      <c r="D146" s="10"/>
      <c r="E146" s="9"/>
      <c r="F146" s="9"/>
      <c r="G146" s="8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0"/>
      <c r="B147" s="9"/>
      <c r="C147" s="21"/>
      <c r="D147" s="10"/>
      <c r="E147" s="9"/>
      <c r="F147" s="9"/>
      <c r="G147" s="8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0"/>
      <c r="B148" s="9"/>
      <c r="C148" s="21"/>
      <c r="D148" s="10"/>
      <c r="E148" s="9"/>
      <c r="F148" s="9"/>
      <c r="G148" s="8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0"/>
      <c r="B149" s="9"/>
      <c r="C149" s="21"/>
      <c r="D149" s="10"/>
      <c r="E149" s="9"/>
      <c r="F149" s="9"/>
      <c r="G149" s="8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0"/>
      <c r="B150" s="9"/>
      <c r="C150" s="21"/>
      <c r="D150" s="10"/>
      <c r="E150" s="9"/>
      <c r="F150" s="9"/>
      <c r="G150" s="8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0"/>
      <c r="B151" s="9"/>
      <c r="C151" s="21"/>
      <c r="D151" s="10"/>
      <c r="E151" s="9"/>
      <c r="F151" s="9"/>
      <c r="G151" s="8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0"/>
      <c r="B152" s="9"/>
      <c r="C152" s="21"/>
      <c r="D152" s="10"/>
      <c r="E152" s="9"/>
      <c r="F152" s="9"/>
      <c r="G152" s="8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0"/>
      <c r="B153" s="9"/>
      <c r="C153" s="21"/>
      <c r="D153" s="10"/>
      <c r="E153" s="9"/>
      <c r="F153" s="9"/>
      <c r="G153" s="8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0"/>
      <c r="B154" s="9"/>
      <c r="C154" s="21"/>
      <c r="D154" s="10"/>
      <c r="E154" s="9"/>
      <c r="F154" s="9"/>
      <c r="G154" s="8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0"/>
      <c r="B155" s="9"/>
      <c r="C155" s="21"/>
      <c r="D155" s="10"/>
      <c r="E155" s="9"/>
      <c r="F155" s="9"/>
      <c r="G155" s="8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0"/>
      <c r="B156" s="9"/>
      <c r="C156" s="21"/>
      <c r="D156" s="10"/>
      <c r="E156" s="9"/>
      <c r="F156" s="9"/>
      <c r="G156" s="8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0"/>
      <c r="B157" s="9"/>
      <c r="C157" s="21"/>
      <c r="D157" s="10"/>
      <c r="E157" s="9"/>
      <c r="F157" s="9"/>
      <c r="G157" s="8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0"/>
      <c r="B158" s="9"/>
      <c r="C158" s="21"/>
      <c r="D158" s="10"/>
      <c r="E158" s="9"/>
      <c r="F158" s="9"/>
      <c r="G158" s="8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0"/>
      <c r="B159" s="9"/>
      <c r="C159" s="21"/>
      <c r="D159" s="10"/>
      <c r="E159" s="9"/>
      <c r="F159" s="9"/>
      <c r="G159" s="8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0"/>
      <c r="B160" s="9"/>
      <c r="C160" s="21"/>
      <c r="D160" s="10"/>
      <c r="E160" s="9"/>
      <c r="F160" s="9"/>
      <c r="G160" s="8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0"/>
      <c r="B161" s="9"/>
      <c r="C161" s="21"/>
      <c r="D161" s="10"/>
      <c r="E161" s="9"/>
      <c r="F161" s="9"/>
      <c r="G161" s="8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0"/>
      <c r="B162" s="9"/>
      <c r="C162" s="21"/>
      <c r="D162" s="10"/>
      <c r="E162" s="9"/>
      <c r="F162" s="9"/>
      <c r="G162" s="8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0"/>
      <c r="B163" s="9"/>
      <c r="C163" s="21"/>
      <c r="D163" s="10"/>
      <c r="E163" s="9"/>
      <c r="F163" s="9"/>
      <c r="G163" s="8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0"/>
      <c r="B164" s="9"/>
      <c r="C164" s="21"/>
      <c r="D164" s="10"/>
      <c r="E164" s="9"/>
      <c r="F164" s="9"/>
      <c r="G164" s="8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0"/>
      <c r="B165" s="9"/>
      <c r="C165" s="21"/>
      <c r="D165" s="10"/>
      <c r="E165" s="9"/>
      <c r="F165" s="9"/>
      <c r="G165" s="8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0"/>
      <c r="B166" s="9"/>
      <c r="C166" s="21"/>
      <c r="D166" s="10"/>
      <c r="E166" s="9"/>
      <c r="F166" s="9"/>
      <c r="G166" s="8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0"/>
      <c r="B167" s="9"/>
      <c r="C167" s="21"/>
      <c r="D167" s="10"/>
      <c r="E167" s="9"/>
      <c r="F167" s="9"/>
      <c r="G167" s="8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0"/>
      <c r="B168" s="9"/>
      <c r="C168" s="21"/>
      <c r="D168" s="10"/>
      <c r="E168" s="9"/>
      <c r="F168" s="9"/>
      <c r="G168" s="8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0"/>
      <c r="B169" s="9"/>
      <c r="C169" s="21"/>
      <c r="D169" s="10"/>
      <c r="E169" s="9"/>
      <c r="F169" s="9"/>
      <c r="G169" s="8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0"/>
      <c r="B170" s="9"/>
      <c r="C170" s="21"/>
      <c r="D170" s="10"/>
      <c r="E170" s="9"/>
      <c r="F170" s="9"/>
      <c r="G170" s="8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0"/>
      <c r="B171" s="9"/>
      <c r="C171" s="21"/>
      <c r="D171" s="10"/>
      <c r="E171" s="9"/>
      <c r="F171" s="9"/>
      <c r="G171" s="8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0"/>
      <c r="B172" s="9"/>
      <c r="C172" s="21"/>
      <c r="D172" s="10"/>
      <c r="E172" s="9"/>
      <c r="F172" s="9"/>
      <c r="G172" s="8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0"/>
      <c r="B173" s="9"/>
      <c r="C173" s="21"/>
      <c r="D173" s="10"/>
      <c r="E173" s="9"/>
      <c r="F173" s="9"/>
      <c r="G173" s="8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0"/>
      <c r="B174" s="9"/>
      <c r="C174" s="21"/>
      <c r="D174" s="10"/>
      <c r="E174" s="9"/>
      <c r="F174" s="9"/>
      <c r="G174" s="8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0" t="s">
        <v>3096</v>
      </c>
      <c r="B175" s="9">
        <v>1</v>
      </c>
      <c r="C175" s="21">
        <v>4714781021043</v>
      </c>
      <c r="D175" s="10" t="s">
        <v>1362</v>
      </c>
      <c r="E175" s="9">
        <v>24</v>
      </c>
      <c r="F175" s="9">
        <v>3120</v>
      </c>
      <c r="G175" s="8">
        <f>F175/3120</f>
        <v>1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0" t="s">
        <v>3095</v>
      </c>
      <c r="B176" s="9">
        <v>6</v>
      </c>
      <c r="C176" s="23">
        <v>4714781021029</v>
      </c>
      <c r="D176" s="12" t="s">
        <v>1452</v>
      </c>
      <c r="E176" s="9">
        <v>1</v>
      </c>
      <c r="F176" s="9">
        <v>130</v>
      </c>
      <c r="G176" s="8">
        <f>F176/1100</f>
        <v>0.11818181818181818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0"/>
      <c r="B177" s="12"/>
      <c r="C177" s="21">
        <v>4714781020466</v>
      </c>
      <c r="D177" s="12" t="s">
        <v>1374</v>
      </c>
      <c r="E177" s="9">
        <v>1</v>
      </c>
      <c r="F177" s="9">
        <v>135</v>
      </c>
      <c r="G177" s="8">
        <f>F177/1100</f>
        <v>0.12272727272727273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0"/>
      <c r="B178" s="12"/>
      <c r="C178" s="21">
        <v>4714781020770</v>
      </c>
      <c r="D178" s="10" t="s">
        <v>1380</v>
      </c>
      <c r="E178" s="9">
        <v>1</v>
      </c>
      <c r="F178" s="9">
        <v>130</v>
      </c>
      <c r="G178" s="8">
        <f>F178/1100</f>
        <v>0.11818181818181818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0"/>
      <c r="B179" s="12"/>
      <c r="C179" s="21" t="s">
        <v>1619</v>
      </c>
      <c r="D179" s="12" t="s">
        <v>1376</v>
      </c>
      <c r="E179" s="9">
        <v>1</v>
      </c>
      <c r="F179" s="9">
        <v>125</v>
      </c>
      <c r="G179" s="8">
        <f>F179/1100</f>
        <v>0.11363636363636363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0"/>
      <c r="B180" s="12"/>
      <c r="C180" s="23" t="s">
        <v>1531</v>
      </c>
      <c r="D180" s="12" t="s">
        <v>2194</v>
      </c>
      <c r="E180" s="9">
        <v>1</v>
      </c>
      <c r="F180" s="9">
        <v>290</v>
      </c>
      <c r="G180" s="8">
        <f>F180/1100</f>
        <v>0.26363636363636361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10"/>
      <c r="B181" s="12"/>
      <c r="C181" s="23" t="s">
        <v>1506</v>
      </c>
      <c r="D181" s="12" t="s">
        <v>2188</v>
      </c>
      <c r="E181" s="9">
        <v>1</v>
      </c>
      <c r="F181" s="9">
        <v>290</v>
      </c>
      <c r="G181" s="8">
        <f>F181/1100</f>
        <v>0.26363636363636361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0" t="s">
        <v>3094</v>
      </c>
      <c r="B182" s="9">
        <v>6</v>
      </c>
      <c r="C182" s="23">
        <v>4714781021029</v>
      </c>
      <c r="D182" s="12" t="s">
        <v>1452</v>
      </c>
      <c r="E182" s="9">
        <v>1</v>
      </c>
      <c r="F182" s="9">
        <v>130</v>
      </c>
      <c r="G182" s="8">
        <f>F182/1100</f>
        <v>0.11818181818181818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0"/>
      <c r="B183" s="12"/>
      <c r="C183" s="21">
        <v>4714781020466</v>
      </c>
      <c r="D183" s="12" t="s">
        <v>1374</v>
      </c>
      <c r="E183" s="9">
        <v>1</v>
      </c>
      <c r="F183" s="9">
        <v>135</v>
      </c>
      <c r="G183" s="8">
        <f>F183/1100</f>
        <v>0.12272727272727273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0"/>
      <c r="B184" s="12"/>
      <c r="C184" s="21">
        <v>4714781020794</v>
      </c>
      <c r="D184" s="10" t="s">
        <v>1320</v>
      </c>
      <c r="E184" s="9">
        <v>1</v>
      </c>
      <c r="F184" s="9">
        <v>130</v>
      </c>
      <c r="G184" s="8">
        <f>F184/1100</f>
        <v>0.11818181818181818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0"/>
      <c r="B185" s="12"/>
      <c r="C185" s="21" t="s">
        <v>1619</v>
      </c>
      <c r="D185" s="12" t="s">
        <v>1376</v>
      </c>
      <c r="E185" s="9">
        <v>1</v>
      </c>
      <c r="F185" s="9">
        <v>125</v>
      </c>
      <c r="G185" s="8">
        <f>F185/1100</f>
        <v>0.11363636363636363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0"/>
      <c r="B186" s="12"/>
      <c r="C186" s="23" t="s">
        <v>1531</v>
      </c>
      <c r="D186" s="12" t="s">
        <v>2194</v>
      </c>
      <c r="E186" s="9">
        <v>1</v>
      </c>
      <c r="F186" s="9">
        <v>290</v>
      </c>
      <c r="G186" s="8">
        <f>F186/1100</f>
        <v>0.26363636363636361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0"/>
      <c r="B187" s="12"/>
      <c r="C187" s="23" t="s">
        <v>1506</v>
      </c>
      <c r="D187" s="12" t="s">
        <v>2188</v>
      </c>
      <c r="E187" s="9">
        <v>1</v>
      </c>
      <c r="F187" s="9">
        <v>290</v>
      </c>
      <c r="G187" s="8">
        <f>F187/1100</f>
        <v>0.26363636363636361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0" t="s">
        <v>3093</v>
      </c>
      <c r="B188" s="17">
        <v>3</v>
      </c>
      <c r="C188" s="23" t="s">
        <v>1512</v>
      </c>
      <c r="D188" s="12" t="s">
        <v>1511</v>
      </c>
      <c r="E188" s="17">
        <v>1</v>
      </c>
      <c r="F188" s="9">
        <v>142</v>
      </c>
      <c r="G188" s="8">
        <f>F188/425</f>
        <v>0.33411764705882352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0"/>
      <c r="B189" s="12"/>
      <c r="C189" s="23" t="s">
        <v>1517</v>
      </c>
      <c r="D189" s="12" t="s">
        <v>1516</v>
      </c>
      <c r="E189" s="17">
        <v>1</v>
      </c>
      <c r="F189" s="9">
        <v>142</v>
      </c>
      <c r="G189" s="8">
        <f>F189/425</f>
        <v>0.33411764705882352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0"/>
      <c r="B190" s="12"/>
      <c r="C190" s="23" t="s">
        <v>1514</v>
      </c>
      <c r="D190" s="12" t="s">
        <v>1513</v>
      </c>
      <c r="E190" s="17">
        <v>1</v>
      </c>
      <c r="F190" s="9">
        <v>141</v>
      </c>
      <c r="G190" s="8">
        <f>F190/425</f>
        <v>0.33176470588235296</v>
      </c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0" t="s">
        <v>3092</v>
      </c>
      <c r="B191" s="17">
        <v>1</v>
      </c>
      <c r="C191" s="23" t="s">
        <v>1514</v>
      </c>
      <c r="D191" s="12" t="s">
        <v>1513</v>
      </c>
      <c r="E191" s="17">
        <v>3</v>
      </c>
      <c r="F191" s="9">
        <v>425</v>
      </c>
      <c r="G191" s="8">
        <f>F191/425</f>
        <v>1</v>
      </c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0" t="s">
        <v>3091</v>
      </c>
      <c r="B192" s="17">
        <v>1</v>
      </c>
      <c r="C192" s="23" t="s">
        <v>1517</v>
      </c>
      <c r="D192" s="12" t="s">
        <v>1516</v>
      </c>
      <c r="E192" s="17">
        <v>3</v>
      </c>
      <c r="F192" s="9">
        <v>425</v>
      </c>
      <c r="G192" s="8">
        <f>F192/425</f>
        <v>1</v>
      </c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0" t="s">
        <v>3090</v>
      </c>
      <c r="B193" s="17">
        <v>1</v>
      </c>
      <c r="C193" s="23" t="s">
        <v>1512</v>
      </c>
      <c r="D193" s="12" t="s">
        <v>1511</v>
      </c>
      <c r="E193" s="17">
        <v>3</v>
      </c>
      <c r="F193" s="9">
        <v>425</v>
      </c>
      <c r="G193" s="8">
        <f>F193/425</f>
        <v>1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0" t="s">
        <v>3089</v>
      </c>
      <c r="B194" s="17">
        <v>2</v>
      </c>
      <c r="C194" s="23" t="s">
        <v>1517</v>
      </c>
      <c r="D194" s="12" t="s">
        <v>1516</v>
      </c>
      <c r="E194" s="17">
        <v>2</v>
      </c>
      <c r="F194" s="9">
        <v>284</v>
      </c>
      <c r="G194" s="8">
        <f>F194/425</f>
        <v>0.66823529411764704</v>
      </c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0"/>
      <c r="B195" s="12"/>
      <c r="C195" s="23" t="s">
        <v>1512</v>
      </c>
      <c r="D195" s="12" t="s">
        <v>1511</v>
      </c>
      <c r="E195" s="17">
        <v>1</v>
      </c>
      <c r="F195" s="9">
        <v>141</v>
      </c>
      <c r="G195" s="8">
        <f>F195/425</f>
        <v>0.33176470588235296</v>
      </c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2" t="s">
        <v>3088</v>
      </c>
      <c r="B196" s="17">
        <v>2</v>
      </c>
      <c r="C196" s="23" t="s">
        <v>1517</v>
      </c>
      <c r="D196" s="12" t="s">
        <v>1516</v>
      </c>
      <c r="E196" s="17">
        <v>2</v>
      </c>
      <c r="F196" s="9">
        <v>284</v>
      </c>
      <c r="G196" s="8">
        <f>F196/425</f>
        <v>0.66823529411764704</v>
      </c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0"/>
      <c r="B197" s="12"/>
      <c r="C197" s="23" t="s">
        <v>1514</v>
      </c>
      <c r="D197" s="12" t="s">
        <v>1513</v>
      </c>
      <c r="E197" s="17">
        <v>1</v>
      </c>
      <c r="F197" s="9">
        <v>141</v>
      </c>
      <c r="G197" s="8">
        <f>F197/425</f>
        <v>0.33176470588235296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2" t="s">
        <v>3087</v>
      </c>
      <c r="B198" s="17">
        <v>2</v>
      </c>
      <c r="C198" s="23" t="s">
        <v>1512</v>
      </c>
      <c r="D198" s="12" t="s">
        <v>1511</v>
      </c>
      <c r="E198" s="17">
        <v>2</v>
      </c>
      <c r="F198" s="9">
        <v>284</v>
      </c>
      <c r="G198" s="8">
        <f>F198/425</f>
        <v>0.66823529411764704</v>
      </c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0"/>
      <c r="B199" s="12"/>
      <c r="C199" s="23" t="s">
        <v>1517</v>
      </c>
      <c r="D199" s="12" t="s">
        <v>1516</v>
      </c>
      <c r="E199" s="17">
        <v>1</v>
      </c>
      <c r="F199" s="9">
        <v>141</v>
      </c>
      <c r="G199" s="8">
        <f>F199/425</f>
        <v>0.33176470588235296</v>
      </c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2" t="s">
        <v>3086</v>
      </c>
      <c r="B200" s="17">
        <v>2</v>
      </c>
      <c r="C200" s="23" t="s">
        <v>1512</v>
      </c>
      <c r="D200" s="12" t="s">
        <v>1511</v>
      </c>
      <c r="E200" s="17">
        <v>2</v>
      </c>
      <c r="F200" s="9">
        <v>284</v>
      </c>
      <c r="G200" s="8">
        <f>F200/425</f>
        <v>0.66823529411764704</v>
      </c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0"/>
      <c r="B201" s="12"/>
      <c r="C201" s="23" t="s">
        <v>1514</v>
      </c>
      <c r="D201" s="12" t="s">
        <v>1513</v>
      </c>
      <c r="E201" s="17">
        <v>1</v>
      </c>
      <c r="F201" s="9">
        <v>141</v>
      </c>
      <c r="G201" s="8">
        <f>F201/425</f>
        <v>0.33176470588235296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2" t="s">
        <v>3085</v>
      </c>
      <c r="B202" s="17">
        <v>2</v>
      </c>
      <c r="C202" s="23" t="s">
        <v>1514</v>
      </c>
      <c r="D202" s="12" t="s">
        <v>1513</v>
      </c>
      <c r="E202" s="17">
        <v>2</v>
      </c>
      <c r="F202" s="9">
        <v>284</v>
      </c>
      <c r="G202" s="8">
        <f>F202/425</f>
        <v>0.66823529411764704</v>
      </c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0"/>
      <c r="B203" s="12"/>
      <c r="C203" s="23" t="s">
        <v>1517</v>
      </c>
      <c r="D203" s="12" t="s">
        <v>1516</v>
      </c>
      <c r="E203" s="17">
        <v>1</v>
      </c>
      <c r="F203" s="9">
        <v>141</v>
      </c>
      <c r="G203" s="8">
        <f>F203/425</f>
        <v>0.33176470588235296</v>
      </c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2" t="s">
        <v>3084</v>
      </c>
      <c r="B204" s="17">
        <v>2</v>
      </c>
      <c r="C204" s="23" t="s">
        <v>1514</v>
      </c>
      <c r="D204" s="12" t="s">
        <v>1513</v>
      </c>
      <c r="E204" s="17">
        <v>2</v>
      </c>
      <c r="F204" s="9">
        <v>284</v>
      </c>
      <c r="G204" s="8">
        <f>F204/425</f>
        <v>0.66823529411764704</v>
      </c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0"/>
      <c r="B205" s="12"/>
      <c r="C205" s="23" t="s">
        <v>1512</v>
      </c>
      <c r="D205" s="12" t="s">
        <v>1511</v>
      </c>
      <c r="E205" s="17">
        <v>1</v>
      </c>
      <c r="F205" s="9">
        <v>141</v>
      </c>
      <c r="G205" s="8">
        <f>F205/425</f>
        <v>0.33176470588235296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2" t="s">
        <v>3083</v>
      </c>
      <c r="B206" s="9">
        <v>3</v>
      </c>
      <c r="C206" s="23">
        <v>4714781021609</v>
      </c>
      <c r="D206" s="12" t="s">
        <v>1454</v>
      </c>
      <c r="E206" s="9">
        <v>1</v>
      </c>
      <c r="F206" s="9">
        <v>125</v>
      </c>
      <c r="G206" s="8">
        <f>F206/375</f>
        <v>0.33333333333333331</v>
      </c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0"/>
      <c r="B207" s="12"/>
      <c r="C207" s="23">
        <v>4714781021593</v>
      </c>
      <c r="D207" s="12" t="s">
        <v>1453</v>
      </c>
      <c r="E207" s="9">
        <v>1</v>
      </c>
      <c r="F207" s="9">
        <v>125</v>
      </c>
      <c r="G207" s="8">
        <f>F207/375</f>
        <v>0.33333333333333331</v>
      </c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0"/>
      <c r="B208" s="12"/>
      <c r="C208" s="23">
        <v>4714781021029</v>
      </c>
      <c r="D208" s="12" t="s">
        <v>1452</v>
      </c>
      <c r="E208" s="9">
        <v>1</v>
      </c>
      <c r="F208" s="9">
        <v>125</v>
      </c>
      <c r="G208" s="8">
        <f>F208/375</f>
        <v>0.33333333333333331</v>
      </c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0" t="s">
        <v>3082</v>
      </c>
      <c r="B209" s="9">
        <v>1</v>
      </c>
      <c r="C209" s="23">
        <v>4714781021609</v>
      </c>
      <c r="D209" s="12" t="s">
        <v>1454</v>
      </c>
      <c r="E209" s="9">
        <v>3</v>
      </c>
      <c r="F209" s="9">
        <v>375</v>
      </c>
      <c r="G209" s="8">
        <f>F209/375</f>
        <v>1</v>
      </c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0" t="s">
        <v>3081</v>
      </c>
      <c r="B210" s="9">
        <v>1</v>
      </c>
      <c r="C210" s="23">
        <v>4714781021593</v>
      </c>
      <c r="D210" s="12" t="s">
        <v>1453</v>
      </c>
      <c r="E210" s="9">
        <v>3</v>
      </c>
      <c r="F210" s="9">
        <v>375</v>
      </c>
      <c r="G210" s="8">
        <f>F210/375</f>
        <v>1</v>
      </c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0" t="s">
        <v>3080</v>
      </c>
      <c r="B211" s="9">
        <v>1</v>
      </c>
      <c r="C211" s="23">
        <v>4714781021029</v>
      </c>
      <c r="D211" s="12" t="s">
        <v>1452</v>
      </c>
      <c r="E211" s="9">
        <v>3</v>
      </c>
      <c r="F211" s="9">
        <v>375</v>
      </c>
      <c r="G211" s="8">
        <f>F211/375</f>
        <v>1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0" t="s">
        <v>3079</v>
      </c>
      <c r="B212" s="9">
        <v>2</v>
      </c>
      <c r="C212" s="23">
        <v>4714781021593</v>
      </c>
      <c r="D212" s="12" t="s">
        <v>1453</v>
      </c>
      <c r="E212" s="9">
        <v>1</v>
      </c>
      <c r="F212" s="9">
        <v>125</v>
      </c>
      <c r="G212" s="8">
        <f>F212/375</f>
        <v>0.33333333333333331</v>
      </c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0"/>
      <c r="B213" s="12"/>
      <c r="C213" s="23">
        <v>4714781021029</v>
      </c>
      <c r="D213" s="12" t="s">
        <v>2072</v>
      </c>
      <c r="E213" s="9">
        <v>2</v>
      </c>
      <c r="F213" s="9">
        <v>250</v>
      </c>
      <c r="G213" s="8">
        <f>F213/375</f>
        <v>0.66666666666666663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2" t="s">
        <v>3078</v>
      </c>
      <c r="B214" s="9">
        <v>2</v>
      </c>
      <c r="C214" s="23">
        <v>4714781021029</v>
      </c>
      <c r="D214" s="12" t="s">
        <v>2072</v>
      </c>
      <c r="E214" s="9">
        <v>2</v>
      </c>
      <c r="F214" s="9">
        <v>250</v>
      </c>
      <c r="G214" s="8">
        <f>F214/375</f>
        <v>0.66666666666666663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0"/>
      <c r="B215" s="12"/>
      <c r="C215" s="23">
        <v>4714781021609</v>
      </c>
      <c r="D215" s="12" t="s">
        <v>1454</v>
      </c>
      <c r="E215" s="9">
        <v>1</v>
      </c>
      <c r="F215" s="9">
        <v>125</v>
      </c>
      <c r="G215" s="8">
        <f>F215/375</f>
        <v>0.33333333333333331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2" t="s">
        <v>3077</v>
      </c>
      <c r="B216" s="9">
        <v>2</v>
      </c>
      <c r="C216" s="23">
        <v>4714781021593</v>
      </c>
      <c r="D216" s="12" t="s">
        <v>1453</v>
      </c>
      <c r="E216" s="9">
        <v>2</v>
      </c>
      <c r="F216" s="9">
        <v>250</v>
      </c>
      <c r="G216" s="8">
        <f>F216/375</f>
        <v>0.66666666666666663</v>
      </c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10"/>
      <c r="B217" s="12"/>
      <c r="C217" s="23">
        <v>4714781021029</v>
      </c>
      <c r="D217" s="12" t="s">
        <v>2072</v>
      </c>
      <c r="E217" s="9">
        <v>1</v>
      </c>
      <c r="F217" s="9">
        <v>125</v>
      </c>
      <c r="G217" s="8">
        <f>F217/375</f>
        <v>0.33333333333333331</v>
      </c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2" t="s">
        <v>3076</v>
      </c>
      <c r="B218" s="9">
        <v>2</v>
      </c>
      <c r="C218" s="23">
        <v>4714781021593</v>
      </c>
      <c r="D218" s="12" t="s">
        <v>1453</v>
      </c>
      <c r="E218" s="9">
        <v>2</v>
      </c>
      <c r="F218" s="9">
        <v>250</v>
      </c>
      <c r="G218" s="8">
        <f>F218/375</f>
        <v>0.66666666666666663</v>
      </c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0"/>
      <c r="B219" s="12"/>
      <c r="C219" s="23">
        <v>4714781021609</v>
      </c>
      <c r="D219" s="12" t="s">
        <v>1454</v>
      </c>
      <c r="E219" s="9">
        <v>1</v>
      </c>
      <c r="F219" s="9">
        <v>125</v>
      </c>
      <c r="G219" s="8">
        <f>F219/375</f>
        <v>0.33333333333333331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2" t="s">
        <v>3075</v>
      </c>
      <c r="B220" s="9">
        <v>2</v>
      </c>
      <c r="C220" s="23">
        <v>4714781021609</v>
      </c>
      <c r="D220" s="12" t="s">
        <v>1454</v>
      </c>
      <c r="E220" s="9">
        <v>2</v>
      </c>
      <c r="F220" s="9">
        <v>250</v>
      </c>
      <c r="G220" s="8">
        <f>F220/375</f>
        <v>0.66666666666666663</v>
      </c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0"/>
      <c r="B221" s="12"/>
      <c r="C221" s="23">
        <v>4714781021029</v>
      </c>
      <c r="D221" s="12" t="s">
        <v>2072</v>
      </c>
      <c r="E221" s="9">
        <v>1</v>
      </c>
      <c r="F221" s="9">
        <v>125</v>
      </c>
      <c r="G221" s="8">
        <f>F221/375</f>
        <v>0.33333333333333331</v>
      </c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2" t="s">
        <v>3074</v>
      </c>
      <c r="B222" s="9">
        <v>2</v>
      </c>
      <c r="C222" s="23">
        <v>4714781021609</v>
      </c>
      <c r="D222" s="12" t="s">
        <v>1454</v>
      </c>
      <c r="E222" s="9">
        <v>2</v>
      </c>
      <c r="F222" s="9">
        <v>250</v>
      </c>
      <c r="G222" s="8">
        <f>F222/375</f>
        <v>0.66666666666666663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0"/>
      <c r="B223" s="12"/>
      <c r="C223" s="23">
        <v>4714781021593</v>
      </c>
      <c r="D223" s="12" t="s">
        <v>1453</v>
      </c>
      <c r="E223" s="9">
        <v>1</v>
      </c>
      <c r="F223" s="9">
        <v>125</v>
      </c>
      <c r="G223" s="8">
        <f>F223/375</f>
        <v>0.33333333333333331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2" t="s">
        <v>3073</v>
      </c>
      <c r="B224" s="9">
        <v>6</v>
      </c>
      <c r="C224" s="23">
        <v>4714781021029</v>
      </c>
      <c r="D224" s="12" t="s">
        <v>1452</v>
      </c>
      <c r="E224" s="9">
        <v>1</v>
      </c>
      <c r="F224" s="9">
        <v>133</v>
      </c>
      <c r="G224" s="8">
        <f>F224/820</f>
        <v>0.16219512195121952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0"/>
      <c r="B225" s="12"/>
      <c r="C225" s="23">
        <v>4714781021593</v>
      </c>
      <c r="D225" s="12" t="s">
        <v>1453</v>
      </c>
      <c r="E225" s="9">
        <v>1</v>
      </c>
      <c r="F225" s="9">
        <v>133</v>
      </c>
      <c r="G225" s="8">
        <f>F225/820</f>
        <v>0.16219512195121952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0"/>
      <c r="B226" s="12"/>
      <c r="C226" s="23">
        <v>4714781021609</v>
      </c>
      <c r="D226" s="12" t="s">
        <v>1454</v>
      </c>
      <c r="E226" s="9">
        <v>1</v>
      </c>
      <c r="F226" s="9">
        <v>134</v>
      </c>
      <c r="G226" s="8">
        <f>F226/820</f>
        <v>0.16341463414634147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0"/>
      <c r="B227" s="12"/>
      <c r="C227" s="21">
        <v>4714781020466</v>
      </c>
      <c r="D227" s="12" t="s">
        <v>1374</v>
      </c>
      <c r="E227" s="9">
        <v>1</v>
      </c>
      <c r="F227" s="9">
        <v>140</v>
      </c>
      <c r="G227" s="8">
        <f>F227/820</f>
        <v>0.17073170731707318</v>
      </c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0"/>
      <c r="B228" s="12"/>
      <c r="C228" s="21">
        <v>4714781020503</v>
      </c>
      <c r="D228" s="12" t="s">
        <v>1372</v>
      </c>
      <c r="E228" s="9">
        <v>1</v>
      </c>
      <c r="F228" s="9">
        <v>140</v>
      </c>
      <c r="G228" s="8">
        <f>F228/820</f>
        <v>0.17073170731707318</v>
      </c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0"/>
      <c r="B229" s="12"/>
      <c r="C229" s="21">
        <v>4714781020558</v>
      </c>
      <c r="D229" s="12" t="s">
        <v>1370</v>
      </c>
      <c r="E229" s="9">
        <v>1</v>
      </c>
      <c r="F229" s="9">
        <v>140</v>
      </c>
      <c r="G229" s="8">
        <f>F229/820</f>
        <v>0.17073170731707318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2" t="s">
        <v>3072</v>
      </c>
      <c r="B230" s="9">
        <v>2</v>
      </c>
      <c r="C230" s="23">
        <v>4714781021029</v>
      </c>
      <c r="D230" s="12" t="s">
        <v>1452</v>
      </c>
      <c r="E230" s="9">
        <v>3</v>
      </c>
      <c r="F230" s="9">
        <v>400</v>
      </c>
      <c r="G230" s="8">
        <f>F230/820</f>
        <v>0.48780487804878048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0"/>
      <c r="B231" s="12"/>
      <c r="C231" s="21">
        <v>4714781020558</v>
      </c>
      <c r="D231" s="12" t="s">
        <v>1370</v>
      </c>
      <c r="E231" s="9">
        <v>3</v>
      </c>
      <c r="F231" s="9">
        <v>420</v>
      </c>
      <c r="G231" s="8">
        <f>F231/820</f>
        <v>0.51219512195121952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2" t="s">
        <v>3071</v>
      </c>
      <c r="B232" s="9">
        <v>2</v>
      </c>
      <c r="C232" s="23">
        <v>4714781021029</v>
      </c>
      <c r="D232" s="12" t="s">
        <v>1452</v>
      </c>
      <c r="E232" s="9">
        <v>3</v>
      </c>
      <c r="F232" s="9">
        <v>400</v>
      </c>
      <c r="G232" s="8">
        <f>F232/820</f>
        <v>0.48780487804878048</v>
      </c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0"/>
      <c r="B233" s="12"/>
      <c r="C233" s="21">
        <v>4714781020466</v>
      </c>
      <c r="D233" s="12" t="s">
        <v>1374</v>
      </c>
      <c r="E233" s="9">
        <v>3</v>
      </c>
      <c r="F233" s="9">
        <v>420</v>
      </c>
      <c r="G233" s="8">
        <f>F233/820</f>
        <v>0.51219512195121952</v>
      </c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 t="s">
        <v>3070</v>
      </c>
      <c r="B234" s="9">
        <v>2</v>
      </c>
      <c r="C234" s="23">
        <v>4714781021029</v>
      </c>
      <c r="D234" s="12" t="s">
        <v>1452</v>
      </c>
      <c r="E234" s="9">
        <v>3</v>
      </c>
      <c r="F234" s="9">
        <v>400</v>
      </c>
      <c r="G234" s="8">
        <f>F234/820</f>
        <v>0.48780487804878048</v>
      </c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0"/>
      <c r="B235" s="12"/>
      <c r="C235" s="21">
        <v>4714781020503</v>
      </c>
      <c r="D235" s="12" t="s">
        <v>1372</v>
      </c>
      <c r="E235" s="9">
        <v>3</v>
      </c>
      <c r="F235" s="9">
        <v>420</v>
      </c>
      <c r="G235" s="8">
        <f>F235/820</f>
        <v>0.51219512195121952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 t="s">
        <v>3069</v>
      </c>
      <c r="B236" s="9">
        <v>2</v>
      </c>
      <c r="C236" s="23">
        <v>4714781021593</v>
      </c>
      <c r="D236" s="12" t="s">
        <v>1453</v>
      </c>
      <c r="E236" s="9">
        <v>3</v>
      </c>
      <c r="F236" s="9">
        <v>400</v>
      </c>
      <c r="G236" s="8">
        <f>F236/820</f>
        <v>0.48780487804878048</v>
      </c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0"/>
      <c r="B237" s="12"/>
      <c r="C237" s="21">
        <v>4714781020558</v>
      </c>
      <c r="D237" s="12" t="s">
        <v>1370</v>
      </c>
      <c r="E237" s="9">
        <v>3</v>
      </c>
      <c r="F237" s="9">
        <v>420</v>
      </c>
      <c r="G237" s="8">
        <f>F237/820</f>
        <v>0.51219512195121952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 t="s">
        <v>3068</v>
      </c>
      <c r="B238" s="9">
        <v>2</v>
      </c>
      <c r="C238" s="23">
        <v>4714781021593</v>
      </c>
      <c r="D238" s="12" t="s">
        <v>1453</v>
      </c>
      <c r="E238" s="9">
        <v>3</v>
      </c>
      <c r="F238" s="9">
        <v>400</v>
      </c>
      <c r="G238" s="8">
        <f>F238/820</f>
        <v>0.48780487804878048</v>
      </c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0"/>
      <c r="B239" s="12"/>
      <c r="C239" s="21">
        <v>4714781020466</v>
      </c>
      <c r="D239" s="12" t="s">
        <v>1374</v>
      </c>
      <c r="E239" s="9">
        <v>3</v>
      </c>
      <c r="F239" s="9">
        <v>420</v>
      </c>
      <c r="G239" s="8">
        <f>F239/820</f>
        <v>0.51219512195121952</v>
      </c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 t="s">
        <v>3067</v>
      </c>
      <c r="B240" s="9">
        <v>2</v>
      </c>
      <c r="C240" s="23">
        <v>4714781021593</v>
      </c>
      <c r="D240" s="12" t="s">
        <v>1453</v>
      </c>
      <c r="E240" s="9">
        <v>3</v>
      </c>
      <c r="F240" s="9">
        <v>400</v>
      </c>
      <c r="G240" s="8">
        <f>F240/820</f>
        <v>0.48780487804878048</v>
      </c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0"/>
      <c r="B241" s="12"/>
      <c r="C241" s="21">
        <v>4714781020503</v>
      </c>
      <c r="D241" s="12" t="s">
        <v>1372</v>
      </c>
      <c r="E241" s="9">
        <v>3</v>
      </c>
      <c r="F241" s="9">
        <v>420</v>
      </c>
      <c r="G241" s="8">
        <f>F241/820</f>
        <v>0.51219512195121952</v>
      </c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 t="s">
        <v>3066</v>
      </c>
      <c r="B242" s="9">
        <v>2</v>
      </c>
      <c r="C242" s="23">
        <v>4714781021609</v>
      </c>
      <c r="D242" s="12" t="s">
        <v>1454</v>
      </c>
      <c r="E242" s="9">
        <v>3</v>
      </c>
      <c r="F242" s="9">
        <v>400</v>
      </c>
      <c r="G242" s="8">
        <f>F242/820</f>
        <v>0.48780487804878048</v>
      </c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0"/>
      <c r="B243" s="12"/>
      <c r="C243" s="21">
        <v>4714781020558</v>
      </c>
      <c r="D243" s="12" t="s">
        <v>1370</v>
      </c>
      <c r="E243" s="9">
        <v>3</v>
      </c>
      <c r="F243" s="9">
        <v>420</v>
      </c>
      <c r="G243" s="8">
        <f>F243/820</f>
        <v>0.51219512195121952</v>
      </c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 t="s">
        <v>3065</v>
      </c>
      <c r="B244" s="9">
        <v>2</v>
      </c>
      <c r="C244" s="23">
        <v>4714781021609</v>
      </c>
      <c r="D244" s="12" t="s">
        <v>1454</v>
      </c>
      <c r="E244" s="9">
        <v>3</v>
      </c>
      <c r="F244" s="9">
        <v>400</v>
      </c>
      <c r="G244" s="8">
        <f>F244/820</f>
        <v>0.48780487804878048</v>
      </c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0"/>
      <c r="B245" s="12"/>
      <c r="C245" s="21">
        <v>4714781020466</v>
      </c>
      <c r="D245" s="12" t="s">
        <v>1374</v>
      </c>
      <c r="E245" s="9">
        <v>3</v>
      </c>
      <c r="F245" s="9">
        <v>420</v>
      </c>
      <c r="G245" s="8">
        <f>F245/820</f>
        <v>0.51219512195121952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 t="s">
        <v>3064</v>
      </c>
      <c r="B246" s="27">
        <v>2</v>
      </c>
      <c r="C246" s="23">
        <v>4714781021609</v>
      </c>
      <c r="D246" s="12" t="s">
        <v>1454</v>
      </c>
      <c r="E246" s="9">
        <v>3</v>
      </c>
      <c r="F246" s="9">
        <v>400</v>
      </c>
      <c r="G246" s="8">
        <f>F246/820</f>
        <v>0.48780487804878048</v>
      </c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0"/>
      <c r="B247" s="9"/>
      <c r="C247" s="21">
        <v>4714781020503</v>
      </c>
      <c r="D247" s="12" t="s">
        <v>1372</v>
      </c>
      <c r="E247" s="9">
        <v>3</v>
      </c>
      <c r="F247" s="9">
        <v>420</v>
      </c>
      <c r="G247" s="8">
        <f>F247/820</f>
        <v>0.51219512195121952</v>
      </c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 t="s">
        <v>3063</v>
      </c>
      <c r="B248" s="9">
        <v>2</v>
      </c>
      <c r="C248" s="23">
        <v>4714781021777</v>
      </c>
      <c r="D248" s="12" t="s">
        <v>1522</v>
      </c>
      <c r="E248" s="9">
        <v>2</v>
      </c>
      <c r="F248" s="9">
        <v>750</v>
      </c>
      <c r="G248" s="8">
        <f>F248/1320</f>
        <v>0.56818181818181823</v>
      </c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0"/>
      <c r="B249" s="9"/>
      <c r="C249" s="23" t="s">
        <v>1510</v>
      </c>
      <c r="D249" s="12" t="s">
        <v>2190</v>
      </c>
      <c r="E249" s="9">
        <v>2</v>
      </c>
      <c r="F249" s="9">
        <v>570</v>
      </c>
      <c r="G249" s="8">
        <f>F249/1320</f>
        <v>0.43181818181818182</v>
      </c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 t="s">
        <v>3062</v>
      </c>
      <c r="B250" s="9">
        <v>2</v>
      </c>
      <c r="C250" s="23">
        <v>4714781021777</v>
      </c>
      <c r="D250" s="12" t="s">
        <v>1522</v>
      </c>
      <c r="E250" s="9">
        <v>2</v>
      </c>
      <c r="F250" s="9">
        <v>750</v>
      </c>
      <c r="G250" s="8">
        <f>F250/1320</f>
        <v>0.56818181818181823</v>
      </c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0"/>
      <c r="B251" s="9"/>
      <c r="C251" s="23" t="s">
        <v>1506</v>
      </c>
      <c r="D251" s="12" t="s">
        <v>2188</v>
      </c>
      <c r="E251" s="9">
        <v>2</v>
      </c>
      <c r="F251" s="9">
        <v>570</v>
      </c>
      <c r="G251" s="8">
        <f>F251/1320</f>
        <v>0.43181818181818182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 t="s">
        <v>3061</v>
      </c>
      <c r="B252" s="9">
        <v>2</v>
      </c>
      <c r="C252" s="23">
        <v>4714781021777</v>
      </c>
      <c r="D252" s="12" t="s">
        <v>1522</v>
      </c>
      <c r="E252" s="9">
        <v>2</v>
      </c>
      <c r="F252" s="9">
        <v>750</v>
      </c>
      <c r="G252" s="8">
        <f>F252/1320</f>
        <v>0.56818181818181823</v>
      </c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0"/>
      <c r="B253" s="9"/>
      <c r="C253" s="23" t="s">
        <v>1508</v>
      </c>
      <c r="D253" s="12" t="s">
        <v>2186</v>
      </c>
      <c r="E253" s="9">
        <v>2</v>
      </c>
      <c r="F253" s="9">
        <v>570</v>
      </c>
      <c r="G253" s="8">
        <f>F253/1320</f>
        <v>0.43181818181818182</v>
      </c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 t="s">
        <v>3060</v>
      </c>
      <c r="B254" s="9">
        <v>2</v>
      </c>
      <c r="C254" s="23">
        <v>4714781021777</v>
      </c>
      <c r="D254" s="12" t="s">
        <v>1522</v>
      </c>
      <c r="E254" s="9">
        <v>2</v>
      </c>
      <c r="F254" s="9">
        <v>750</v>
      </c>
      <c r="G254" s="8">
        <f>F254/1320</f>
        <v>0.56818181818181823</v>
      </c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0"/>
      <c r="B255" s="9"/>
      <c r="C255" s="23" t="s">
        <v>1531</v>
      </c>
      <c r="D255" s="12" t="s">
        <v>2194</v>
      </c>
      <c r="E255" s="9">
        <v>2</v>
      </c>
      <c r="F255" s="9">
        <v>570</v>
      </c>
      <c r="G255" s="8">
        <f>F255/1320</f>
        <v>0.43181818181818182</v>
      </c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 t="s">
        <v>3059</v>
      </c>
      <c r="B256" s="9">
        <v>3</v>
      </c>
      <c r="C256" s="23">
        <v>4714781021777</v>
      </c>
      <c r="D256" s="12" t="s">
        <v>1522</v>
      </c>
      <c r="E256" s="9">
        <v>2</v>
      </c>
      <c r="F256" s="9">
        <v>750</v>
      </c>
      <c r="G256" s="8">
        <f>F256/1320</f>
        <v>0.56818181818181823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0"/>
      <c r="B257" s="9"/>
      <c r="C257" s="23" t="s">
        <v>1510</v>
      </c>
      <c r="D257" s="12" t="s">
        <v>2190</v>
      </c>
      <c r="E257" s="9">
        <v>1</v>
      </c>
      <c r="F257" s="9">
        <v>285</v>
      </c>
      <c r="G257" s="8">
        <f>F257/1320</f>
        <v>0.21590909090909091</v>
      </c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0"/>
      <c r="B258" s="9"/>
      <c r="C258" s="23" t="s">
        <v>1531</v>
      </c>
      <c r="D258" s="12" t="s">
        <v>2194</v>
      </c>
      <c r="E258" s="9">
        <v>1</v>
      </c>
      <c r="F258" s="9">
        <v>285</v>
      </c>
      <c r="G258" s="8">
        <f>F258/1320</f>
        <v>0.21590909090909091</v>
      </c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 t="s">
        <v>3058</v>
      </c>
      <c r="B259" s="9">
        <v>3</v>
      </c>
      <c r="C259" s="23">
        <v>4714781021777</v>
      </c>
      <c r="D259" s="12" t="s">
        <v>1522</v>
      </c>
      <c r="E259" s="9">
        <v>2</v>
      </c>
      <c r="F259" s="9">
        <v>750</v>
      </c>
      <c r="G259" s="8">
        <f>F259/1320</f>
        <v>0.56818181818181823</v>
      </c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0"/>
      <c r="B260" s="9"/>
      <c r="C260" s="23" t="s">
        <v>1531</v>
      </c>
      <c r="D260" s="12" t="s">
        <v>2194</v>
      </c>
      <c r="E260" s="9">
        <v>1</v>
      </c>
      <c r="F260" s="9">
        <v>285</v>
      </c>
      <c r="G260" s="8">
        <f>F260/1320</f>
        <v>0.21590909090909091</v>
      </c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0"/>
      <c r="B261" s="9"/>
      <c r="C261" s="23" t="s">
        <v>1508</v>
      </c>
      <c r="D261" s="12" t="s">
        <v>2186</v>
      </c>
      <c r="E261" s="9">
        <v>1</v>
      </c>
      <c r="F261" s="9">
        <v>285</v>
      </c>
      <c r="G261" s="8">
        <f>F261/1320</f>
        <v>0.21590909090909091</v>
      </c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 t="s">
        <v>3057</v>
      </c>
      <c r="B262" s="9">
        <v>3</v>
      </c>
      <c r="C262" s="23">
        <v>4714781021777</v>
      </c>
      <c r="D262" s="12" t="s">
        <v>1522</v>
      </c>
      <c r="E262" s="9">
        <v>2</v>
      </c>
      <c r="F262" s="9">
        <v>750</v>
      </c>
      <c r="G262" s="8">
        <f>F262/1320</f>
        <v>0.56818181818181823</v>
      </c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0"/>
      <c r="B263" s="9"/>
      <c r="C263" s="23" t="s">
        <v>1531</v>
      </c>
      <c r="D263" s="12" t="s">
        <v>2194</v>
      </c>
      <c r="E263" s="9">
        <v>1</v>
      </c>
      <c r="F263" s="9">
        <v>285</v>
      </c>
      <c r="G263" s="8">
        <f>F263/1320</f>
        <v>0.21590909090909091</v>
      </c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0"/>
      <c r="B264" s="9"/>
      <c r="C264" s="23" t="s">
        <v>1506</v>
      </c>
      <c r="D264" s="12" t="s">
        <v>2188</v>
      </c>
      <c r="E264" s="9">
        <v>1</v>
      </c>
      <c r="F264" s="9">
        <v>285</v>
      </c>
      <c r="G264" s="8">
        <f>F264/1320</f>
        <v>0.21590909090909091</v>
      </c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 t="s">
        <v>3056</v>
      </c>
      <c r="B265" s="9">
        <v>3</v>
      </c>
      <c r="C265" s="23">
        <v>4714781021777</v>
      </c>
      <c r="D265" s="12" t="s">
        <v>1522</v>
      </c>
      <c r="E265" s="9">
        <v>2</v>
      </c>
      <c r="F265" s="9">
        <v>750</v>
      </c>
      <c r="G265" s="8">
        <f>F265/1320</f>
        <v>0.56818181818181823</v>
      </c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0"/>
      <c r="B266" s="9"/>
      <c r="C266" s="23" t="s">
        <v>1510</v>
      </c>
      <c r="D266" s="12" t="s">
        <v>2190</v>
      </c>
      <c r="E266" s="9">
        <v>1</v>
      </c>
      <c r="F266" s="9">
        <v>285</v>
      </c>
      <c r="G266" s="8">
        <f>F266/1320</f>
        <v>0.21590909090909091</v>
      </c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0"/>
      <c r="B267" s="9"/>
      <c r="C267" s="23" t="s">
        <v>1506</v>
      </c>
      <c r="D267" s="12" t="s">
        <v>2188</v>
      </c>
      <c r="E267" s="9">
        <v>1</v>
      </c>
      <c r="F267" s="9">
        <v>285</v>
      </c>
      <c r="G267" s="8">
        <f>F267/1320</f>
        <v>0.21590909090909091</v>
      </c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 t="s">
        <v>3055</v>
      </c>
      <c r="B268" s="9">
        <v>3</v>
      </c>
      <c r="C268" s="23">
        <v>4714781021777</v>
      </c>
      <c r="D268" s="12" t="s">
        <v>1522</v>
      </c>
      <c r="E268" s="9">
        <v>2</v>
      </c>
      <c r="F268" s="9">
        <v>750</v>
      </c>
      <c r="G268" s="8">
        <f>F268/1320</f>
        <v>0.56818181818181823</v>
      </c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0"/>
      <c r="B269" s="9"/>
      <c r="C269" s="23" t="s">
        <v>1510</v>
      </c>
      <c r="D269" s="12" t="s">
        <v>2190</v>
      </c>
      <c r="E269" s="9">
        <v>1</v>
      </c>
      <c r="F269" s="9">
        <v>285</v>
      </c>
      <c r="G269" s="8">
        <f>F269/1320</f>
        <v>0.21590909090909091</v>
      </c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0"/>
      <c r="B270" s="9"/>
      <c r="C270" s="23" t="s">
        <v>1508</v>
      </c>
      <c r="D270" s="12" t="s">
        <v>2186</v>
      </c>
      <c r="E270" s="9">
        <v>1</v>
      </c>
      <c r="F270" s="9">
        <v>285</v>
      </c>
      <c r="G270" s="8">
        <f>F270/1320</f>
        <v>0.21590909090909091</v>
      </c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 t="s">
        <v>3054</v>
      </c>
      <c r="B271" s="9">
        <v>3</v>
      </c>
      <c r="C271" s="23">
        <v>4714781021777</v>
      </c>
      <c r="D271" s="12" t="s">
        <v>1522</v>
      </c>
      <c r="E271" s="9">
        <v>2</v>
      </c>
      <c r="F271" s="9">
        <v>750</v>
      </c>
      <c r="G271" s="8">
        <f>F271/1320</f>
        <v>0.56818181818181823</v>
      </c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0"/>
      <c r="B272" s="9"/>
      <c r="C272" s="23" t="s">
        <v>1508</v>
      </c>
      <c r="D272" s="12" t="s">
        <v>2186</v>
      </c>
      <c r="E272" s="9">
        <v>1</v>
      </c>
      <c r="F272" s="9">
        <v>285</v>
      </c>
      <c r="G272" s="8">
        <f>F272/1320</f>
        <v>0.21590909090909091</v>
      </c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0"/>
      <c r="B273" s="9"/>
      <c r="C273" s="23" t="s">
        <v>1506</v>
      </c>
      <c r="D273" s="12" t="s">
        <v>2188</v>
      </c>
      <c r="E273" s="9">
        <v>1</v>
      </c>
      <c r="F273" s="9">
        <v>285</v>
      </c>
      <c r="G273" s="8">
        <f>F273/1320</f>
        <v>0.21590909090909091</v>
      </c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 t="s">
        <v>3053</v>
      </c>
      <c r="B274" s="9">
        <v>1</v>
      </c>
      <c r="C274" s="21">
        <v>4714781020794</v>
      </c>
      <c r="D274" s="12" t="s">
        <v>1320</v>
      </c>
      <c r="E274" s="9">
        <v>2</v>
      </c>
      <c r="F274" s="9">
        <v>230</v>
      </c>
      <c r="G274" s="8">
        <f>F274/230</f>
        <v>1</v>
      </c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0" t="s">
        <v>3052</v>
      </c>
      <c r="B275" s="9">
        <v>1</v>
      </c>
      <c r="C275" s="21">
        <v>4714781020800</v>
      </c>
      <c r="D275" s="12" t="s">
        <v>1319</v>
      </c>
      <c r="E275" s="9">
        <v>2</v>
      </c>
      <c r="F275" s="9">
        <v>230</v>
      </c>
      <c r="G275" s="8">
        <f>F275/230</f>
        <v>1</v>
      </c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0" t="s">
        <v>3051</v>
      </c>
      <c r="B276" s="9">
        <v>1</v>
      </c>
      <c r="C276" s="21">
        <v>4714781020817</v>
      </c>
      <c r="D276" s="12" t="s">
        <v>1317</v>
      </c>
      <c r="E276" s="9">
        <v>2</v>
      </c>
      <c r="F276" s="9">
        <v>230</v>
      </c>
      <c r="G276" s="8">
        <f>F276/230</f>
        <v>1</v>
      </c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0" t="s">
        <v>3050</v>
      </c>
      <c r="B277" s="9">
        <v>2</v>
      </c>
      <c r="C277" s="21">
        <v>4714781020794</v>
      </c>
      <c r="D277" s="12" t="s">
        <v>1320</v>
      </c>
      <c r="E277" s="9">
        <v>1</v>
      </c>
      <c r="F277" s="9">
        <v>115</v>
      </c>
      <c r="G277" s="8">
        <f>F277/230</f>
        <v>0.5</v>
      </c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0"/>
      <c r="B278" s="12"/>
      <c r="C278" s="21">
        <v>4714781020800</v>
      </c>
      <c r="D278" s="12" t="s">
        <v>1319</v>
      </c>
      <c r="E278" s="9">
        <v>1</v>
      </c>
      <c r="F278" s="9">
        <v>115</v>
      </c>
      <c r="G278" s="8">
        <f>F278/230</f>
        <v>0.5</v>
      </c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 t="s">
        <v>3049</v>
      </c>
      <c r="B279" s="9">
        <v>2</v>
      </c>
      <c r="C279" s="21">
        <v>4714781020794</v>
      </c>
      <c r="D279" s="12" t="s">
        <v>1320</v>
      </c>
      <c r="E279" s="9">
        <v>1</v>
      </c>
      <c r="F279" s="9">
        <v>115</v>
      </c>
      <c r="G279" s="8">
        <f>F279/230</f>
        <v>0.5</v>
      </c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0"/>
      <c r="B280" s="12"/>
      <c r="C280" s="21">
        <v>4714781020817</v>
      </c>
      <c r="D280" s="12" t="s">
        <v>1317</v>
      </c>
      <c r="E280" s="9">
        <v>1</v>
      </c>
      <c r="F280" s="9">
        <v>115</v>
      </c>
      <c r="G280" s="8">
        <f>F280/230</f>
        <v>0.5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 t="s">
        <v>3048</v>
      </c>
      <c r="B281" s="9">
        <v>2</v>
      </c>
      <c r="C281" s="21">
        <v>4714781020800</v>
      </c>
      <c r="D281" s="12" t="s">
        <v>1319</v>
      </c>
      <c r="E281" s="9">
        <v>1</v>
      </c>
      <c r="F281" s="9">
        <v>115</v>
      </c>
      <c r="G281" s="8">
        <f>F281/230</f>
        <v>0.5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0"/>
      <c r="B282" s="12"/>
      <c r="C282" s="21">
        <v>4714781020817</v>
      </c>
      <c r="D282" s="12" t="s">
        <v>1317</v>
      </c>
      <c r="E282" s="9">
        <v>1</v>
      </c>
      <c r="F282" s="9">
        <v>115</v>
      </c>
      <c r="G282" s="8">
        <f>F282/230</f>
        <v>0.5</v>
      </c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 t="s">
        <v>3047</v>
      </c>
      <c r="B283" s="9">
        <v>1</v>
      </c>
      <c r="C283" s="21">
        <v>4714781020770</v>
      </c>
      <c r="D283" s="12" t="s">
        <v>1380</v>
      </c>
      <c r="E283" s="9">
        <v>2</v>
      </c>
      <c r="F283" s="9">
        <v>270</v>
      </c>
      <c r="G283" s="8">
        <f>F283/270</f>
        <v>1</v>
      </c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 t="s">
        <v>3046</v>
      </c>
      <c r="B284" s="9">
        <v>1</v>
      </c>
      <c r="C284" s="21">
        <v>4714781020787</v>
      </c>
      <c r="D284" s="12" t="s">
        <v>1378</v>
      </c>
      <c r="E284" s="9">
        <v>2</v>
      </c>
      <c r="F284" s="9">
        <v>270</v>
      </c>
      <c r="G284" s="8">
        <f>F284/270</f>
        <v>1</v>
      </c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 t="s">
        <v>3045</v>
      </c>
      <c r="B285" s="9">
        <v>2</v>
      </c>
      <c r="C285" s="21">
        <v>4714781020770</v>
      </c>
      <c r="D285" s="12" t="s">
        <v>1380</v>
      </c>
      <c r="E285" s="9">
        <v>1</v>
      </c>
      <c r="F285" s="9">
        <v>135</v>
      </c>
      <c r="G285" s="8">
        <f>F285/270</f>
        <v>0.5</v>
      </c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0"/>
      <c r="B286" s="12"/>
      <c r="C286" s="21">
        <v>4714781020787</v>
      </c>
      <c r="D286" s="12" t="s">
        <v>1378</v>
      </c>
      <c r="E286" s="9">
        <v>1</v>
      </c>
      <c r="F286" s="9">
        <v>135</v>
      </c>
      <c r="G286" s="8">
        <f>F286/270</f>
        <v>0.5</v>
      </c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0" t="s">
        <v>3044</v>
      </c>
      <c r="B287" s="9">
        <v>1</v>
      </c>
      <c r="C287" s="21">
        <v>4714781020848</v>
      </c>
      <c r="D287" s="12" t="s">
        <v>1382</v>
      </c>
      <c r="E287" s="9">
        <v>2</v>
      </c>
      <c r="F287" s="9">
        <v>650</v>
      </c>
      <c r="G287" s="8">
        <f>F287/650</f>
        <v>1</v>
      </c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0" t="s">
        <v>3043</v>
      </c>
      <c r="B288" s="9">
        <v>1</v>
      </c>
      <c r="C288" s="21" t="s">
        <v>1596</v>
      </c>
      <c r="D288" s="12" t="s">
        <v>1384</v>
      </c>
      <c r="E288" s="9">
        <v>2</v>
      </c>
      <c r="F288" s="9">
        <v>650</v>
      </c>
      <c r="G288" s="8">
        <f>F288/650</f>
        <v>1</v>
      </c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0" t="s">
        <v>3042</v>
      </c>
      <c r="B289" s="9">
        <v>2</v>
      </c>
      <c r="C289" s="21">
        <v>4714781020848</v>
      </c>
      <c r="D289" s="12" t="s">
        <v>1382</v>
      </c>
      <c r="E289" s="9">
        <v>1</v>
      </c>
      <c r="F289" s="9">
        <v>325</v>
      </c>
      <c r="G289" s="8">
        <f>F289/650</f>
        <v>0.5</v>
      </c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0"/>
      <c r="B290" s="12"/>
      <c r="C290" s="21" t="s">
        <v>1596</v>
      </c>
      <c r="D290" s="12" t="s">
        <v>1384</v>
      </c>
      <c r="E290" s="9">
        <v>1</v>
      </c>
      <c r="F290" s="9">
        <v>325</v>
      </c>
      <c r="G290" s="8">
        <f>F290/650</f>
        <v>0.5</v>
      </c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0" t="s">
        <v>3041</v>
      </c>
      <c r="B291" s="9">
        <v>1</v>
      </c>
      <c r="C291" s="21">
        <v>4714781020824</v>
      </c>
      <c r="D291" s="12" t="s">
        <v>1391</v>
      </c>
      <c r="E291" s="9">
        <v>2</v>
      </c>
      <c r="F291" s="9">
        <v>650</v>
      </c>
      <c r="G291" s="8">
        <f>F291/650</f>
        <v>1</v>
      </c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0" t="s">
        <v>3040</v>
      </c>
      <c r="B292" s="9">
        <v>1</v>
      </c>
      <c r="C292" s="21">
        <v>4714781020831</v>
      </c>
      <c r="D292" s="12" t="s">
        <v>1389</v>
      </c>
      <c r="E292" s="9">
        <v>2</v>
      </c>
      <c r="F292" s="9">
        <v>650</v>
      </c>
      <c r="G292" s="8">
        <f>F292/650</f>
        <v>1</v>
      </c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0" t="s">
        <v>3039</v>
      </c>
      <c r="B293" s="9">
        <v>2</v>
      </c>
      <c r="C293" s="21">
        <v>4714781020824</v>
      </c>
      <c r="D293" s="12" t="s">
        <v>1391</v>
      </c>
      <c r="E293" s="9">
        <v>1</v>
      </c>
      <c r="F293" s="9">
        <v>325</v>
      </c>
      <c r="G293" s="8">
        <f>F293/650</f>
        <v>0.5</v>
      </c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0"/>
      <c r="B294" s="12"/>
      <c r="C294" s="21">
        <v>4714781020831</v>
      </c>
      <c r="D294" s="12" t="s">
        <v>1389</v>
      </c>
      <c r="E294" s="9">
        <v>1</v>
      </c>
      <c r="F294" s="9">
        <v>325</v>
      </c>
      <c r="G294" s="8">
        <f>F294/650</f>
        <v>0.5</v>
      </c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 t="s">
        <v>3038</v>
      </c>
      <c r="B295" s="9">
        <v>2</v>
      </c>
      <c r="C295" s="21">
        <v>4714781020848</v>
      </c>
      <c r="D295" s="12" t="s">
        <v>1382</v>
      </c>
      <c r="E295" s="9">
        <v>1</v>
      </c>
      <c r="F295" s="9">
        <v>325</v>
      </c>
      <c r="G295" s="8">
        <f>F295/650</f>
        <v>0.5</v>
      </c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0"/>
      <c r="B296" s="12"/>
      <c r="C296" s="21">
        <v>4714781020824</v>
      </c>
      <c r="D296" s="12" t="s">
        <v>1391</v>
      </c>
      <c r="E296" s="9">
        <v>1</v>
      </c>
      <c r="F296" s="9">
        <v>325</v>
      </c>
      <c r="G296" s="8">
        <f>F296/650</f>
        <v>0.5</v>
      </c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 t="s">
        <v>3037</v>
      </c>
      <c r="B297" s="9">
        <v>2</v>
      </c>
      <c r="C297" s="21">
        <v>4714781020848</v>
      </c>
      <c r="D297" s="12" t="s">
        <v>1382</v>
      </c>
      <c r="E297" s="9">
        <v>1</v>
      </c>
      <c r="F297" s="9">
        <v>325</v>
      </c>
      <c r="G297" s="8">
        <f>F297/650</f>
        <v>0.5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0"/>
      <c r="B298" s="12"/>
      <c r="C298" s="21">
        <v>4714781020831</v>
      </c>
      <c r="D298" s="12" t="s">
        <v>1389</v>
      </c>
      <c r="E298" s="9">
        <v>1</v>
      </c>
      <c r="F298" s="9">
        <v>325</v>
      </c>
      <c r="G298" s="8">
        <f>F298/650</f>
        <v>0.5</v>
      </c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 t="s">
        <v>3036</v>
      </c>
      <c r="B299" s="9">
        <v>2</v>
      </c>
      <c r="C299" s="21" t="s">
        <v>1596</v>
      </c>
      <c r="D299" s="12" t="s">
        <v>1384</v>
      </c>
      <c r="E299" s="9">
        <v>1</v>
      </c>
      <c r="F299" s="9">
        <v>325</v>
      </c>
      <c r="G299" s="8">
        <f>F299/650</f>
        <v>0.5</v>
      </c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0"/>
      <c r="B300" s="12"/>
      <c r="C300" s="21">
        <v>4714781020824</v>
      </c>
      <c r="D300" s="12" t="s">
        <v>1391</v>
      </c>
      <c r="E300" s="9">
        <v>1</v>
      </c>
      <c r="F300" s="9">
        <v>325</v>
      </c>
      <c r="G300" s="8">
        <f>F300/650</f>
        <v>0.5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 t="s">
        <v>3035</v>
      </c>
      <c r="B301" s="9">
        <v>2</v>
      </c>
      <c r="C301" s="21" t="s">
        <v>1596</v>
      </c>
      <c r="D301" s="12" t="s">
        <v>1384</v>
      </c>
      <c r="E301" s="9">
        <v>1</v>
      </c>
      <c r="F301" s="9">
        <v>325</v>
      </c>
      <c r="G301" s="8">
        <f>F301/650</f>
        <v>0.5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0"/>
      <c r="B302" s="12"/>
      <c r="C302" s="21">
        <v>4714781020831</v>
      </c>
      <c r="D302" s="12" t="s">
        <v>1389</v>
      </c>
      <c r="E302" s="9">
        <v>1</v>
      </c>
      <c r="F302" s="9">
        <v>325</v>
      </c>
      <c r="G302" s="8">
        <f>F302/650</f>
        <v>0.5</v>
      </c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0" t="s">
        <v>3034</v>
      </c>
      <c r="B303" s="9">
        <v>1</v>
      </c>
      <c r="C303" s="23" t="s">
        <v>1510</v>
      </c>
      <c r="D303" s="12" t="s">
        <v>2190</v>
      </c>
      <c r="E303" s="9">
        <v>4</v>
      </c>
      <c r="F303" s="9">
        <v>1160</v>
      </c>
      <c r="G303" s="8">
        <f>F303/1160</f>
        <v>1</v>
      </c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0" t="s">
        <v>3033</v>
      </c>
      <c r="B304" s="9">
        <v>1</v>
      </c>
      <c r="C304" s="23" t="s">
        <v>1506</v>
      </c>
      <c r="D304" s="12" t="s">
        <v>2188</v>
      </c>
      <c r="E304" s="9">
        <v>4</v>
      </c>
      <c r="F304" s="9">
        <v>1160</v>
      </c>
      <c r="G304" s="8">
        <f>F304/1160</f>
        <v>1</v>
      </c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0" t="s">
        <v>3032</v>
      </c>
      <c r="B305" s="9">
        <v>1</v>
      </c>
      <c r="C305" s="23" t="s">
        <v>1508</v>
      </c>
      <c r="D305" s="12" t="s">
        <v>2186</v>
      </c>
      <c r="E305" s="9">
        <v>4</v>
      </c>
      <c r="F305" s="9">
        <v>1160</v>
      </c>
      <c r="G305" s="8">
        <f>F305/1160</f>
        <v>1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0" t="s">
        <v>3031</v>
      </c>
      <c r="B306" s="9">
        <v>1</v>
      </c>
      <c r="C306" s="23" t="s">
        <v>1531</v>
      </c>
      <c r="D306" s="12" t="s">
        <v>2194</v>
      </c>
      <c r="E306" s="9">
        <v>4</v>
      </c>
      <c r="F306" s="9">
        <v>1160</v>
      </c>
      <c r="G306" s="8">
        <f>F306/1160</f>
        <v>1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0" t="s">
        <v>3030</v>
      </c>
      <c r="B307" s="9">
        <v>4</v>
      </c>
      <c r="C307" s="23" t="s">
        <v>1510</v>
      </c>
      <c r="D307" s="12" t="s">
        <v>2190</v>
      </c>
      <c r="E307" s="9">
        <v>1</v>
      </c>
      <c r="F307" s="9">
        <v>290</v>
      </c>
      <c r="G307" s="8">
        <f>F307/1160</f>
        <v>0.25</v>
      </c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0"/>
      <c r="B308" s="12"/>
      <c r="C308" s="23" t="s">
        <v>1506</v>
      </c>
      <c r="D308" s="12" t="s">
        <v>2188</v>
      </c>
      <c r="E308" s="9">
        <v>1</v>
      </c>
      <c r="F308" s="9">
        <v>290</v>
      </c>
      <c r="G308" s="8">
        <f>F308/1160</f>
        <v>0.25</v>
      </c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0"/>
      <c r="B309" s="12"/>
      <c r="C309" s="23" t="s">
        <v>1508</v>
      </c>
      <c r="D309" s="12" t="s">
        <v>2186</v>
      </c>
      <c r="E309" s="9">
        <v>1</v>
      </c>
      <c r="F309" s="9">
        <v>290</v>
      </c>
      <c r="G309" s="8">
        <f>F309/1160</f>
        <v>0.25</v>
      </c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0"/>
      <c r="B310" s="12"/>
      <c r="C310" s="23" t="s">
        <v>1531</v>
      </c>
      <c r="D310" s="12" t="s">
        <v>2194</v>
      </c>
      <c r="E310" s="9">
        <v>1</v>
      </c>
      <c r="F310" s="9">
        <v>290</v>
      </c>
      <c r="G310" s="8">
        <f>F310/1160</f>
        <v>0.25</v>
      </c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0" t="s">
        <v>3029</v>
      </c>
      <c r="B311" s="12">
        <v>3</v>
      </c>
      <c r="C311" s="21">
        <v>4714781021043</v>
      </c>
      <c r="D311" s="10" t="s">
        <v>1362</v>
      </c>
      <c r="E311" s="9">
        <v>1</v>
      </c>
      <c r="F311" s="9">
        <v>150</v>
      </c>
      <c r="G311" s="8">
        <f>F311/330</f>
        <v>0.45454545454545453</v>
      </c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0"/>
      <c r="B312" s="12"/>
      <c r="C312" s="21">
        <v>4714781021036</v>
      </c>
      <c r="D312" s="10" t="s">
        <v>1360</v>
      </c>
      <c r="E312" s="9">
        <v>1</v>
      </c>
      <c r="F312" s="9">
        <v>90</v>
      </c>
      <c r="G312" s="8">
        <f>F312/330</f>
        <v>0.27272727272727271</v>
      </c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0"/>
      <c r="B313" s="12"/>
      <c r="C313" s="21">
        <v>4714781021050</v>
      </c>
      <c r="D313" s="10" t="s">
        <v>1358</v>
      </c>
      <c r="E313" s="9">
        <v>1</v>
      </c>
      <c r="F313" s="9">
        <v>90</v>
      </c>
      <c r="G313" s="8">
        <f>F313/330</f>
        <v>0.27272727272727271</v>
      </c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0" t="s">
        <v>3028</v>
      </c>
      <c r="B314" s="12">
        <v>2</v>
      </c>
      <c r="C314" s="21">
        <v>4714781020770</v>
      </c>
      <c r="D314" s="10" t="s">
        <v>1380</v>
      </c>
      <c r="E314" s="9">
        <v>2</v>
      </c>
      <c r="F314" s="9">
        <v>280</v>
      </c>
      <c r="G314" s="8">
        <f>F314/380</f>
        <v>0.73684210526315785</v>
      </c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0"/>
      <c r="B315" s="12"/>
      <c r="C315" s="21">
        <v>4719880900091</v>
      </c>
      <c r="D315" s="10" t="s">
        <v>920</v>
      </c>
      <c r="E315" s="17">
        <v>1</v>
      </c>
      <c r="F315" s="9">
        <v>100</v>
      </c>
      <c r="G315" s="8">
        <f>F315/380</f>
        <v>0.26315789473684209</v>
      </c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0" t="s">
        <v>3027</v>
      </c>
      <c r="B316" s="12">
        <v>2</v>
      </c>
      <c r="C316" s="21">
        <v>4714781020787</v>
      </c>
      <c r="D316" s="10" t="s">
        <v>1378</v>
      </c>
      <c r="E316" s="9">
        <v>2</v>
      </c>
      <c r="F316" s="9">
        <v>280</v>
      </c>
      <c r="G316" s="8">
        <f>F316/380</f>
        <v>0.73684210526315785</v>
      </c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0"/>
      <c r="B317" s="12"/>
      <c r="C317" s="21">
        <v>4719880900091</v>
      </c>
      <c r="D317" s="10" t="s">
        <v>920</v>
      </c>
      <c r="E317" s="17">
        <v>1</v>
      </c>
      <c r="F317" s="9">
        <v>100</v>
      </c>
      <c r="G317" s="8">
        <f>F317/380</f>
        <v>0.26315789473684209</v>
      </c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0" t="s">
        <v>3026</v>
      </c>
      <c r="B318" s="12">
        <v>3</v>
      </c>
      <c r="C318" s="21">
        <v>4714781020770</v>
      </c>
      <c r="D318" s="10" t="s">
        <v>1380</v>
      </c>
      <c r="E318" s="17">
        <v>1</v>
      </c>
      <c r="F318" s="9">
        <v>140</v>
      </c>
      <c r="G318" s="8">
        <f>F318/380</f>
        <v>0.36842105263157893</v>
      </c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0"/>
      <c r="B319" s="12"/>
      <c r="C319" s="21">
        <v>4714781020787</v>
      </c>
      <c r="D319" s="10" t="s">
        <v>1378</v>
      </c>
      <c r="E319" s="17">
        <v>1</v>
      </c>
      <c r="F319" s="12">
        <v>140</v>
      </c>
      <c r="G319" s="8">
        <f>F319/380</f>
        <v>0.36842105263157893</v>
      </c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0"/>
      <c r="B320" s="12"/>
      <c r="C320" s="21">
        <v>4719880900091</v>
      </c>
      <c r="D320" s="10" t="s">
        <v>920</v>
      </c>
      <c r="E320" s="17">
        <v>1</v>
      </c>
      <c r="F320" s="9">
        <v>100</v>
      </c>
      <c r="G320" s="8">
        <f>F320/380</f>
        <v>0.26315789473684209</v>
      </c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0" t="s">
        <v>3025</v>
      </c>
      <c r="B321" s="12">
        <v>2</v>
      </c>
      <c r="C321" s="23">
        <v>4714781020794</v>
      </c>
      <c r="D321" s="12" t="s">
        <v>1320</v>
      </c>
      <c r="E321" s="17">
        <v>2</v>
      </c>
      <c r="F321" s="9">
        <v>240</v>
      </c>
      <c r="G321" s="8">
        <f>F321/380</f>
        <v>0.63157894736842102</v>
      </c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0"/>
      <c r="B322" s="12"/>
      <c r="C322" s="21">
        <v>4719880900091</v>
      </c>
      <c r="D322" s="10" t="s">
        <v>920</v>
      </c>
      <c r="E322" s="17">
        <v>1</v>
      </c>
      <c r="F322" s="9">
        <v>140</v>
      </c>
      <c r="G322" s="8">
        <f>F322/380</f>
        <v>0.36842105263157893</v>
      </c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0" t="s">
        <v>3024</v>
      </c>
      <c r="B323" s="12">
        <v>2</v>
      </c>
      <c r="C323" s="23">
        <v>4714781020800</v>
      </c>
      <c r="D323" s="12" t="s">
        <v>1319</v>
      </c>
      <c r="E323" s="17">
        <v>2</v>
      </c>
      <c r="F323" s="9">
        <v>240</v>
      </c>
      <c r="G323" s="8">
        <f>F323/380</f>
        <v>0.63157894736842102</v>
      </c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0"/>
      <c r="B324" s="12"/>
      <c r="C324" s="21">
        <v>4719880900091</v>
      </c>
      <c r="D324" s="10" t="s">
        <v>920</v>
      </c>
      <c r="E324" s="17">
        <v>1</v>
      </c>
      <c r="F324" s="9">
        <v>140</v>
      </c>
      <c r="G324" s="8">
        <f>F324/380</f>
        <v>0.36842105263157893</v>
      </c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0" t="s">
        <v>3023</v>
      </c>
      <c r="B325" s="12">
        <v>2</v>
      </c>
      <c r="C325" s="23">
        <v>4714781020817</v>
      </c>
      <c r="D325" s="12" t="s">
        <v>1317</v>
      </c>
      <c r="E325" s="17">
        <v>2</v>
      </c>
      <c r="F325" s="9">
        <v>240</v>
      </c>
      <c r="G325" s="8">
        <f>F325/380</f>
        <v>0.63157894736842102</v>
      </c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0"/>
      <c r="B326" s="12"/>
      <c r="C326" s="21">
        <v>4719880900091</v>
      </c>
      <c r="D326" s="10" t="s">
        <v>920</v>
      </c>
      <c r="E326" s="17">
        <v>1</v>
      </c>
      <c r="F326" s="9">
        <v>140</v>
      </c>
      <c r="G326" s="8">
        <f>F326/380</f>
        <v>0.36842105263157893</v>
      </c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0" t="s">
        <v>3022</v>
      </c>
      <c r="B327" s="12">
        <v>3</v>
      </c>
      <c r="C327" s="23">
        <v>4714781020794</v>
      </c>
      <c r="D327" s="12" t="s">
        <v>1320</v>
      </c>
      <c r="E327" s="17">
        <v>1</v>
      </c>
      <c r="F327" s="9">
        <v>120</v>
      </c>
      <c r="G327" s="8">
        <f>F327/380</f>
        <v>0.31578947368421051</v>
      </c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0"/>
      <c r="B328" s="12"/>
      <c r="C328" s="23">
        <v>4714781020800</v>
      </c>
      <c r="D328" s="12" t="s">
        <v>1319</v>
      </c>
      <c r="E328" s="17">
        <v>1</v>
      </c>
      <c r="F328" s="9">
        <v>120</v>
      </c>
      <c r="G328" s="8">
        <f>F328/380</f>
        <v>0.31578947368421051</v>
      </c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0"/>
      <c r="B329" s="12"/>
      <c r="C329" s="21">
        <v>4719880900091</v>
      </c>
      <c r="D329" s="10" t="s">
        <v>920</v>
      </c>
      <c r="E329" s="17">
        <v>1</v>
      </c>
      <c r="F329" s="9">
        <v>140</v>
      </c>
      <c r="G329" s="8">
        <f>F329/380</f>
        <v>0.36842105263157893</v>
      </c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0" t="s">
        <v>3021</v>
      </c>
      <c r="B330" s="12">
        <v>3</v>
      </c>
      <c r="C330" s="23">
        <v>4714781020794</v>
      </c>
      <c r="D330" s="12" t="s">
        <v>1320</v>
      </c>
      <c r="E330" s="17">
        <v>1</v>
      </c>
      <c r="F330" s="9">
        <v>120</v>
      </c>
      <c r="G330" s="8">
        <f>F330/380</f>
        <v>0.31578947368421051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0"/>
      <c r="B331" s="12"/>
      <c r="C331" s="23">
        <v>4714781020817</v>
      </c>
      <c r="D331" s="12" t="s">
        <v>1317</v>
      </c>
      <c r="E331" s="17">
        <v>1</v>
      </c>
      <c r="F331" s="9">
        <v>120</v>
      </c>
      <c r="G331" s="8">
        <f>F331/380</f>
        <v>0.31578947368421051</v>
      </c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0"/>
      <c r="B332" s="12"/>
      <c r="C332" s="21">
        <v>4719880900091</v>
      </c>
      <c r="D332" s="10" t="s">
        <v>920</v>
      </c>
      <c r="E332" s="17">
        <v>1</v>
      </c>
      <c r="F332" s="9">
        <v>140</v>
      </c>
      <c r="G332" s="8">
        <f>F332/380</f>
        <v>0.36842105263157893</v>
      </c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0" t="s">
        <v>3020</v>
      </c>
      <c r="B333" s="12">
        <v>3</v>
      </c>
      <c r="C333" s="23">
        <v>4714781020800</v>
      </c>
      <c r="D333" s="12" t="s">
        <v>1319</v>
      </c>
      <c r="E333" s="17">
        <v>1</v>
      </c>
      <c r="F333" s="9">
        <v>120</v>
      </c>
      <c r="G333" s="8">
        <f>F333/380</f>
        <v>0.31578947368421051</v>
      </c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0"/>
      <c r="B334" s="12"/>
      <c r="C334" s="23">
        <v>4714781020817</v>
      </c>
      <c r="D334" s="12" t="s">
        <v>1317</v>
      </c>
      <c r="E334" s="17">
        <v>1</v>
      </c>
      <c r="F334" s="9">
        <v>120</v>
      </c>
      <c r="G334" s="8">
        <f>F334/380</f>
        <v>0.31578947368421051</v>
      </c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0"/>
      <c r="B335" s="12"/>
      <c r="C335" s="21">
        <v>4719880900091</v>
      </c>
      <c r="D335" s="10" t="s">
        <v>920</v>
      </c>
      <c r="E335" s="17">
        <v>1</v>
      </c>
      <c r="F335" s="9">
        <v>140</v>
      </c>
      <c r="G335" s="8">
        <f>F335/380</f>
        <v>0.36842105263157893</v>
      </c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0" t="s">
        <v>3019</v>
      </c>
      <c r="B336" s="12">
        <v>4</v>
      </c>
      <c r="C336" s="23" t="s">
        <v>1512</v>
      </c>
      <c r="D336" s="12" t="s">
        <v>1511</v>
      </c>
      <c r="E336" s="17">
        <v>1</v>
      </c>
      <c r="F336" s="9">
        <v>150</v>
      </c>
      <c r="G336" s="8">
        <f>F336/550</f>
        <v>0.27272727272727271</v>
      </c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0"/>
      <c r="B337" s="12"/>
      <c r="C337" s="23" t="s">
        <v>1517</v>
      </c>
      <c r="D337" s="12" t="s">
        <v>1516</v>
      </c>
      <c r="E337" s="17">
        <v>1</v>
      </c>
      <c r="F337" s="9">
        <v>150</v>
      </c>
      <c r="G337" s="8">
        <f>F337/550</f>
        <v>0.27272727272727271</v>
      </c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0"/>
      <c r="B338" s="12"/>
      <c r="C338" s="23" t="s">
        <v>1514</v>
      </c>
      <c r="D338" s="12" t="s">
        <v>1513</v>
      </c>
      <c r="E338" s="17">
        <v>1</v>
      </c>
      <c r="F338" s="9">
        <v>150</v>
      </c>
      <c r="G338" s="8">
        <f>F338/550</f>
        <v>0.27272727272727271</v>
      </c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0"/>
      <c r="B339" s="12"/>
      <c r="C339" s="21">
        <v>4719880900091</v>
      </c>
      <c r="D339" s="10" t="s">
        <v>920</v>
      </c>
      <c r="E339" s="17">
        <v>1</v>
      </c>
      <c r="F339" s="9">
        <v>100</v>
      </c>
      <c r="G339" s="8">
        <f>F339/550</f>
        <v>0.18181818181818182</v>
      </c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0" t="s">
        <v>3018</v>
      </c>
      <c r="B340" s="12">
        <v>2</v>
      </c>
      <c r="C340" s="23" t="s">
        <v>1514</v>
      </c>
      <c r="D340" s="12" t="s">
        <v>1513</v>
      </c>
      <c r="E340" s="17">
        <v>3</v>
      </c>
      <c r="F340" s="9">
        <v>450</v>
      </c>
      <c r="G340" s="8">
        <f>F340/550</f>
        <v>0.81818181818181823</v>
      </c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0"/>
      <c r="B341" s="12"/>
      <c r="C341" s="21">
        <v>4719880900091</v>
      </c>
      <c r="D341" s="10" t="s">
        <v>920</v>
      </c>
      <c r="E341" s="17">
        <v>1</v>
      </c>
      <c r="F341" s="9">
        <v>100</v>
      </c>
      <c r="G341" s="8">
        <f>F341/550</f>
        <v>0.18181818181818182</v>
      </c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0" t="s">
        <v>3017</v>
      </c>
      <c r="B342" s="12">
        <v>2</v>
      </c>
      <c r="C342" s="23" t="s">
        <v>1517</v>
      </c>
      <c r="D342" s="12" t="s">
        <v>1516</v>
      </c>
      <c r="E342" s="17">
        <v>3</v>
      </c>
      <c r="F342" s="9">
        <v>450</v>
      </c>
      <c r="G342" s="8">
        <f>F342/550</f>
        <v>0.81818181818181823</v>
      </c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0"/>
      <c r="B343" s="12"/>
      <c r="C343" s="21">
        <v>4719880900091</v>
      </c>
      <c r="D343" s="10" t="s">
        <v>920</v>
      </c>
      <c r="E343" s="17">
        <v>1</v>
      </c>
      <c r="F343" s="9">
        <v>100</v>
      </c>
      <c r="G343" s="8">
        <f>F343/550</f>
        <v>0.18181818181818182</v>
      </c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0" t="s">
        <v>3016</v>
      </c>
      <c r="B344" s="12">
        <v>2</v>
      </c>
      <c r="C344" s="23" t="s">
        <v>1512</v>
      </c>
      <c r="D344" s="12" t="s">
        <v>1511</v>
      </c>
      <c r="E344" s="17">
        <v>3</v>
      </c>
      <c r="F344" s="9">
        <v>450</v>
      </c>
      <c r="G344" s="8">
        <f>F344/550</f>
        <v>0.81818181818181823</v>
      </c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0"/>
      <c r="B345" s="12"/>
      <c r="C345" s="21">
        <v>4719880900091</v>
      </c>
      <c r="D345" s="10" t="s">
        <v>920</v>
      </c>
      <c r="E345" s="17">
        <v>1</v>
      </c>
      <c r="F345" s="9">
        <v>100</v>
      </c>
      <c r="G345" s="8">
        <f>F345/550</f>
        <v>0.18181818181818182</v>
      </c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0" t="s">
        <v>3015</v>
      </c>
      <c r="B346" s="12">
        <v>3</v>
      </c>
      <c r="C346" s="23" t="s">
        <v>1517</v>
      </c>
      <c r="D346" s="12" t="s">
        <v>1516</v>
      </c>
      <c r="E346" s="17">
        <v>2</v>
      </c>
      <c r="F346" s="9">
        <v>300</v>
      </c>
      <c r="G346" s="8">
        <f>F346/550</f>
        <v>0.54545454545454541</v>
      </c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0"/>
      <c r="B347" s="12"/>
      <c r="C347" s="23" t="s">
        <v>1512</v>
      </c>
      <c r="D347" s="12" t="s">
        <v>1511</v>
      </c>
      <c r="E347" s="17">
        <v>1</v>
      </c>
      <c r="F347" s="9">
        <v>150</v>
      </c>
      <c r="G347" s="8">
        <f>F347/550</f>
        <v>0.27272727272727271</v>
      </c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0"/>
      <c r="B348" s="12"/>
      <c r="C348" s="21">
        <v>4719880900091</v>
      </c>
      <c r="D348" s="10" t="s">
        <v>920</v>
      </c>
      <c r="E348" s="17">
        <v>1</v>
      </c>
      <c r="F348" s="9">
        <v>100</v>
      </c>
      <c r="G348" s="8">
        <f>F348/550</f>
        <v>0.18181818181818182</v>
      </c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0" t="s">
        <v>3014</v>
      </c>
      <c r="B349" s="12">
        <v>3</v>
      </c>
      <c r="C349" s="23" t="s">
        <v>1517</v>
      </c>
      <c r="D349" s="12" t="s">
        <v>1516</v>
      </c>
      <c r="E349" s="17">
        <v>2</v>
      </c>
      <c r="F349" s="9">
        <v>300</v>
      </c>
      <c r="G349" s="8">
        <f>F349/550</f>
        <v>0.54545454545454541</v>
      </c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0"/>
      <c r="B350" s="12"/>
      <c r="C350" s="23" t="s">
        <v>1514</v>
      </c>
      <c r="D350" s="12" t="s">
        <v>1513</v>
      </c>
      <c r="E350" s="17">
        <v>1</v>
      </c>
      <c r="F350" s="9">
        <v>150</v>
      </c>
      <c r="G350" s="8">
        <f>F350/550</f>
        <v>0.27272727272727271</v>
      </c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0"/>
      <c r="B351" s="12"/>
      <c r="C351" s="21">
        <v>4719880900091</v>
      </c>
      <c r="D351" s="10" t="s">
        <v>920</v>
      </c>
      <c r="E351" s="17">
        <v>1</v>
      </c>
      <c r="F351" s="9">
        <v>100</v>
      </c>
      <c r="G351" s="8">
        <f>F351/550</f>
        <v>0.18181818181818182</v>
      </c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0" t="s">
        <v>3013</v>
      </c>
      <c r="B352" s="12">
        <v>3</v>
      </c>
      <c r="C352" s="23" t="s">
        <v>1512</v>
      </c>
      <c r="D352" s="12" t="s">
        <v>1511</v>
      </c>
      <c r="E352" s="17">
        <v>2</v>
      </c>
      <c r="F352" s="9">
        <v>300</v>
      </c>
      <c r="G352" s="8">
        <f>F352/550</f>
        <v>0.54545454545454541</v>
      </c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0"/>
      <c r="B353" s="12"/>
      <c r="C353" s="23" t="s">
        <v>1517</v>
      </c>
      <c r="D353" s="12" t="s">
        <v>1516</v>
      </c>
      <c r="E353" s="17">
        <v>1</v>
      </c>
      <c r="F353" s="9">
        <v>150</v>
      </c>
      <c r="G353" s="8">
        <f>F353/550</f>
        <v>0.27272727272727271</v>
      </c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0"/>
      <c r="B354" s="12"/>
      <c r="C354" s="21">
        <v>4719880900091</v>
      </c>
      <c r="D354" s="10" t="s">
        <v>920</v>
      </c>
      <c r="E354" s="17">
        <v>1</v>
      </c>
      <c r="F354" s="9">
        <v>100</v>
      </c>
      <c r="G354" s="8">
        <f>F354/550</f>
        <v>0.18181818181818182</v>
      </c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0" t="s">
        <v>3012</v>
      </c>
      <c r="B355" s="12">
        <v>3</v>
      </c>
      <c r="C355" s="23" t="s">
        <v>1512</v>
      </c>
      <c r="D355" s="12" t="s">
        <v>1511</v>
      </c>
      <c r="E355" s="17">
        <v>2</v>
      </c>
      <c r="F355" s="9">
        <v>300</v>
      </c>
      <c r="G355" s="8">
        <f>F355/550</f>
        <v>0.54545454545454541</v>
      </c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0"/>
      <c r="B356" s="12"/>
      <c r="C356" s="23" t="s">
        <v>1514</v>
      </c>
      <c r="D356" s="12" t="s">
        <v>1513</v>
      </c>
      <c r="E356" s="17">
        <v>1</v>
      </c>
      <c r="F356" s="9">
        <v>150</v>
      </c>
      <c r="G356" s="8">
        <f>F356/550</f>
        <v>0.27272727272727271</v>
      </c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0"/>
      <c r="B357" s="12"/>
      <c r="C357" s="21">
        <v>4719880900091</v>
      </c>
      <c r="D357" s="10" t="s">
        <v>920</v>
      </c>
      <c r="E357" s="17">
        <v>1</v>
      </c>
      <c r="F357" s="9">
        <v>100</v>
      </c>
      <c r="G357" s="8">
        <f>F357/550</f>
        <v>0.18181818181818182</v>
      </c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0" t="s">
        <v>3011</v>
      </c>
      <c r="B358" s="12">
        <v>3</v>
      </c>
      <c r="C358" s="23" t="s">
        <v>1514</v>
      </c>
      <c r="D358" s="12" t="s">
        <v>1513</v>
      </c>
      <c r="E358" s="17">
        <v>2</v>
      </c>
      <c r="F358" s="9">
        <v>300</v>
      </c>
      <c r="G358" s="8">
        <f>F358/550</f>
        <v>0.54545454545454541</v>
      </c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0"/>
      <c r="B359" s="12"/>
      <c r="C359" s="23" t="s">
        <v>1517</v>
      </c>
      <c r="D359" s="12" t="s">
        <v>1516</v>
      </c>
      <c r="E359" s="17">
        <v>1</v>
      </c>
      <c r="F359" s="9">
        <v>150</v>
      </c>
      <c r="G359" s="8">
        <f>F359/550</f>
        <v>0.27272727272727271</v>
      </c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0"/>
      <c r="B360" s="12"/>
      <c r="C360" s="21">
        <v>4719880900091</v>
      </c>
      <c r="D360" s="10" t="s">
        <v>920</v>
      </c>
      <c r="E360" s="17">
        <v>1</v>
      </c>
      <c r="F360" s="9">
        <v>100</v>
      </c>
      <c r="G360" s="8">
        <f>F360/550</f>
        <v>0.18181818181818182</v>
      </c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0" t="s">
        <v>3010</v>
      </c>
      <c r="B361" s="12">
        <v>3</v>
      </c>
      <c r="C361" s="23" t="s">
        <v>1514</v>
      </c>
      <c r="D361" s="12" t="s">
        <v>1513</v>
      </c>
      <c r="E361" s="17">
        <v>2</v>
      </c>
      <c r="F361" s="9">
        <v>300</v>
      </c>
      <c r="G361" s="8">
        <f>F361/550</f>
        <v>0.54545454545454541</v>
      </c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0"/>
      <c r="B362" s="12"/>
      <c r="C362" s="23" t="s">
        <v>1512</v>
      </c>
      <c r="D362" s="12" t="s">
        <v>1511</v>
      </c>
      <c r="E362" s="17">
        <v>1</v>
      </c>
      <c r="F362" s="9">
        <v>150</v>
      </c>
      <c r="G362" s="8">
        <f>F362/550</f>
        <v>0.27272727272727271</v>
      </c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0"/>
      <c r="B363" s="12"/>
      <c r="C363" s="21">
        <v>4719880900091</v>
      </c>
      <c r="D363" s="10" t="s">
        <v>920</v>
      </c>
      <c r="E363" s="17">
        <v>1</v>
      </c>
      <c r="F363" s="9">
        <v>100</v>
      </c>
      <c r="G363" s="8">
        <f>F363/550</f>
        <v>0.18181818181818182</v>
      </c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0" t="s">
        <v>3009</v>
      </c>
      <c r="B364" s="12">
        <v>6</v>
      </c>
      <c r="C364" s="23" t="s">
        <v>1512</v>
      </c>
      <c r="D364" s="12" t="s">
        <v>1511</v>
      </c>
      <c r="E364" s="17">
        <v>1</v>
      </c>
      <c r="F364" s="9">
        <v>137</v>
      </c>
      <c r="G364" s="8">
        <f>F364/599</f>
        <v>0.22871452420701169</v>
      </c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0"/>
      <c r="B365" s="12"/>
      <c r="C365" s="23" t="s">
        <v>1517</v>
      </c>
      <c r="D365" s="12" t="s">
        <v>1516</v>
      </c>
      <c r="E365" s="17">
        <v>1</v>
      </c>
      <c r="F365" s="9">
        <v>137</v>
      </c>
      <c r="G365" s="8">
        <f>F365/599</f>
        <v>0.22871452420701169</v>
      </c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0"/>
      <c r="B366" s="12"/>
      <c r="C366" s="23" t="s">
        <v>1514</v>
      </c>
      <c r="D366" s="12" t="s">
        <v>1513</v>
      </c>
      <c r="E366" s="17">
        <v>1</v>
      </c>
      <c r="F366" s="9">
        <v>136</v>
      </c>
      <c r="G366" s="8">
        <f>F366/599</f>
        <v>0.22704507512520869</v>
      </c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0"/>
      <c r="B367" s="12"/>
      <c r="C367" s="21">
        <v>4714781021227</v>
      </c>
      <c r="D367" s="10" t="s">
        <v>2137</v>
      </c>
      <c r="E367" s="9">
        <v>1</v>
      </c>
      <c r="F367" s="9">
        <v>63</v>
      </c>
      <c r="G367" s="8">
        <f>F367/599</f>
        <v>0.10517529215358931</v>
      </c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0"/>
      <c r="B368" s="12"/>
      <c r="C368" s="21">
        <v>4714781021234</v>
      </c>
      <c r="D368" s="10" t="s">
        <v>2135</v>
      </c>
      <c r="E368" s="9">
        <v>1</v>
      </c>
      <c r="F368" s="9">
        <v>63</v>
      </c>
      <c r="G368" s="8">
        <f>F368/599</f>
        <v>0.10517529215358931</v>
      </c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0"/>
      <c r="B369" s="12"/>
      <c r="C369" s="21">
        <v>4714781021241</v>
      </c>
      <c r="D369" s="10" t="s">
        <v>2133</v>
      </c>
      <c r="E369" s="9">
        <v>1</v>
      </c>
      <c r="F369" s="9">
        <v>63</v>
      </c>
      <c r="G369" s="8">
        <f>F369/599</f>
        <v>0.10517529215358931</v>
      </c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0" t="s">
        <v>3008</v>
      </c>
      <c r="B370" s="9">
        <v>2</v>
      </c>
      <c r="C370" s="23" t="s">
        <v>1531</v>
      </c>
      <c r="D370" s="12" t="s">
        <v>2194</v>
      </c>
      <c r="E370" s="9">
        <v>1</v>
      </c>
      <c r="F370" s="9">
        <v>290</v>
      </c>
      <c r="G370" s="8">
        <f>F370/450</f>
        <v>0.64444444444444449</v>
      </c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0"/>
      <c r="B371" s="9"/>
      <c r="C371" s="21">
        <v>4714781020466</v>
      </c>
      <c r="D371" s="10" t="s">
        <v>1374</v>
      </c>
      <c r="E371" s="9">
        <v>1</v>
      </c>
      <c r="F371" s="9">
        <v>160</v>
      </c>
      <c r="G371" s="8">
        <f>F371/450</f>
        <v>0.35555555555555557</v>
      </c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0" t="s">
        <v>3007</v>
      </c>
      <c r="B372" s="9">
        <v>2</v>
      </c>
      <c r="C372" s="23" t="s">
        <v>1531</v>
      </c>
      <c r="D372" s="12" t="s">
        <v>2194</v>
      </c>
      <c r="E372" s="9">
        <v>1</v>
      </c>
      <c r="F372" s="9">
        <v>290</v>
      </c>
      <c r="G372" s="8">
        <f>F372/450</f>
        <v>0.64444444444444449</v>
      </c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0"/>
      <c r="B373" s="9"/>
      <c r="C373" s="21">
        <v>4714781020558</v>
      </c>
      <c r="D373" s="10" t="s">
        <v>1370</v>
      </c>
      <c r="E373" s="9">
        <v>1</v>
      </c>
      <c r="F373" s="9">
        <v>160</v>
      </c>
      <c r="G373" s="8">
        <f>F373/450</f>
        <v>0.35555555555555557</v>
      </c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0" t="s">
        <v>3006</v>
      </c>
      <c r="B374" s="9">
        <v>2</v>
      </c>
      <c r="C374" s="23" t="s">
        <v>1531</v>
      </c>
      <c r="D374" s="12" t="s">
        <v>2194</v>
      </c>
      <c r="E374" s="9">
        <v>1</v>
      </c>
      <c r="F374" s="9">
        <v>290</v>
      </c>
      <c r="G374" s="8">
        <f>F374/450</f>
        <v>0.64444444444444449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0"/>
      <c r="B375" s="9"/>
      <c r="C375" s="21">
        <v>4714781020503</v>
      </c>
      <c r="D375" s="10" t="s">
        <v>1372</v>
      </c>
      <c r="E375" s="9">
        <v>1</v>
      </c>
      <c r="F375" s="9">
        <v>160</v>
      </c>
      <c r="G375" s="8">
        <f>F375/450</f>
        <v>0.35555555555555557</v>
      </c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0" t="s">
        <v>3005</v>
      </c>
      <c r="B376" s="9">
        <v>2</v>
      </c>
      <c r="C376" s="23" t="s">
        <v>1510</v>
      </c>
      <c r="D376" s="12" t="s">
        <v>2190</v>
      </c>
      <c r="E376" s="9">
        <v>1</v>
      </c>
      <c r="F376" s="9">
        <v>290</v>
      </c>
      <c r="G376" s="8">
        <f>F376/450</f>
        <v>0.64444444444444449</v>
      </c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0"/>
      <c r="B377" s="9"/>
      <c r="C377" s="21">
        <v>4714781020466</v>
      </c>
      <c r="D377" s="10" t="s">
        <v>1374</v>
      </c>
      <c r="E377" s="9">
        <v>1</v>
      </c>
      <c r="F377" s="9">
        <v>160</v>
      </c>
      <c r="G377" s="8">
        <f>F377/450</f>
        <v>0.35555555555555557</v>
      </c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0" t="s">
        <v>3004</v>
      </c>
      <c r="B378" s="9">
        <v>2</v>
      </c>
      <c r="C378" s="23" t="s">
        <v>1510</v>
      </c>
      <c r="D378" s="12" t="s">
        <v>2190</v>
      </c>
      <c r="E378" s="9">
        <v>1</v>
      </c>
      <c r="F378" s="9">
        <v>290</v>
      </c>
      <c r="G378" s="8">
        <f>F378/450</f>
        <v>0.64444444444444449</v>
      </c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0"/>
      <c r="B379" s="9"/>
      <c r="C379" s="21">
        <v>4714781020558</v>
      </c>
      <c r="D379" s="10" t="s">
        <v>1370</v>
      </c>
      <c r="E379" s="9">
        <v>1</v>
      </c>
      <c r="F379" s="9">
        <v>160</v>
      </c>
      <c r="G379" s="8">
        <f>F379/450</f>
        <v>0.35555555555555557</v>
      </c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0" t="s">
        <v>3003</v>
      </c>
      <c r="B380" s="9">
        <v>2</v>
      </c>
      <c r="C380" s="23" t="s">
        <v>1510</v>
      </c>
      <c r="D380" s="12" t="s">
        <v>2190</v>
      </c>
      <c r="E380" s="9">
        <v>1</v>
      </c>
      <c r="F380" s="9">
        <v>290</v>
      </c>
      <c r="G380" s="8">
        <f>F380/450</f>
        <v>0.64444444444444449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0"/>
      <c r="B381" s="9"/>
      <c r="C381" s="21">
        <v>4714781020503</v>
      </c>
      <c r="D381" s="10" t="s">
        <v>1372</v>
      </c>
      <c r="E381" s="9">
        <v>1</v>
      </c>
      <c r="F381" s="9">
        <v>160</v>
      </c>
      <c r="G381" s="8">
        <f>F381/450</f>
        <v>0.35555555555555557</v>
      </c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0" t="s">
        <v>3002</v>
      </c>
      <c r="B382" s="9">
        <v>2</v>
      </c>
      <c r="C382" s="23" t="s">
        <v>1506</v>
      </c>
      <c r="D382" s="12" t="s">
        <v>2188</v>
      </c>
      <c r="E382" s="9">
        <v>1</v>
      </c>
      <c r="F382" s="9">
        <v>290</v>
      </c>
      <c r="G382" s="8">
        <f>F382/450</f>
        <v>0.64444444444444449</v>
      </c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0"/>
      <c r="B383" s="9"/>
      <c r="C383" s="21">
        <v>4714781020466</v>
      </c>
      <c r="D383" s="10" t="s">
        <v>1374</v>
      </c>
      <c r="E383" s="9">
        <v>1</v>
      </c>
      <c r="F383" s="9">
        <v>160</v>
      </c>
      <c r="G383" s="8">
        <f>F383/450</f>
        <v>0.35555555555555557</v>
      </c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0" t="s">
        <v>3001</v>
      </c>
      <c r="B384" s="9">
        <v>2</v>
      </c>
      <c r="C384" s="23" t="s">
        <v>1506</v>
      </c>
      <c r="D384" s="12" t="s">
        <v>2188</v>
      </c>
      <c r="E384" s="9">
        <v>1</v>
      </c>
      <c r="F384" s="9">
        <v>290</v>
      </c>
      <c r="G384" s="8">
        <f>F384/450</f>
        <v>0.64444444444444449</v>
      </c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0"/>
      <c r="B385" s="9"/>
      <c r="C385" s="21">
        <v>4714781020558</v>
      </c>
      <c r="D385" s="10" t="s">
        <v>1370</v>
      </c>
      <c r="E385" s="9">
        <v>1</v>
      </c>
      <c r="F385" s="9">
        <v>160</v>
      </c>
      <c r="G385" s="8">
        <f>F385/450</f>
        <v>0.35555555555555557</v>
      </c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0" t="s">
        <v>3000</v>
      </c>
      <c r="B386" s="9">
        <v>2</v>
      </c>
      <c r="C386" s="23" t="s">
        <v>1506</v>
      </c>
      <c r="D386" s="12" t="s">
        <v>2188</v>
      </c>
      <c r="E386" s="9">
        <v>1</v>
      </c>
      <c r="F386" s="9">
        <v>290</v>
      </c>
      <c r="G386" s="8">
        <f>F386/450</f>
        <v>0.64444444444444449</v>
      </c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0"/>
      <c r="B387" s="9"/>
      <c r="C387" s="21">
        <v>4714781020503</v>
      </c>
      <c r="D387" s="10" t="s">
        <v>1372</v>
      </c>
      <c r="E387" s="9">
        <v>1</v>
      </c>
      <c r="F387" s="9">
        <v>160</v>
      </c>
      <c r="G387" s="8">
        <f>F387/450</f>
        <v>0.35555555555555557</v>
      </c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0" t="s">
        <v>2999</v>
      </c>
      <c r="B388" s="9">
        <v>2</v>
      </c>
      <c r="C388" s="23" t="s">
        <v>1508</v>
      </c>
      <c r="D388" s="12" t="s">
        <v>2186</v>
      </c>
      <c r="E388" s="9">
        <v>1</v>
      </c>
      <c r="F388" s="9">
        <v>290</v>
      </c>
      <c r="G388" s="8">
        <f>F388/450</f>
        <v>0.64444444444444449</v>
      </c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0"/>
      <c r="B389" s="9"/>
      <c r="C389" s="21">
        <v>4714781020466</v>
      </c>
      <c r="D389" s="10" t="s">
        <v>1374</v>
      </c>
      <c r="E389" s="9">
        <v>1</v>
      </c>
      <c r="F389" s="9">
        <v>160</v>
      </c>
      <c r="G389" s="8">
        <f>F389/450</f>
        <v>0.35555555555555557</v>
      </c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0" t="s">
        <v>2998</v>
      </c>
      <c r="B390" s="9">
        <v>2</v>
      </c>
      <c r="C390" s="23" t="s">
        <v>1508</v>
      </c>
      <c r="D390" s="12" t="s">
        <v>2186</v>
      </c>
      <c r="E390" s="9">
        <v>1</v>
      </c>
      <c r="F390" s="9">
        <v>290</v>
      </c>
      <c r="G390" s="8">
        <f>F390/450</f>
        <v>0.64444444444444449</v>
      </c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0"/>
      <c r="B391" s="9"/>
      <c r="C391" s="21">
        <v>4714781020558</v>
      </c>
      <c r="D391" s="10" t="s">
        <v>1370</v>
      </c>
      <c r="E391" s="9">
        <v>1</v>
      </c>
      <c r="F391" s="9">
        <v>160</v>
      </c>
      <c r="G391" s="8">
        <f>F391/450</f>
        <v>0.35555555555555557</v>
      </c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0" t="s">
        <v>2997</v>
      </c>
      <c r="B392" s="9">
        <v>2</v>
      </c>
      <c r="C392" s="23" t="s">
        <v>1508</v>
      </c>
      <c r="D392" s="12" t="s">
        <v>2186</v>
      </c>
      <c r="E392" s="9">
        <v>1</v>
      </c>
      <c r="F392" s="9">
        <v>290</v>
      </c>
      <c r="G392" s="8">
        <f>F392/450</f>
        <v>0.64444444444444449</v>
      </c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0"/>
      <c r="B393" s="9"/>
      <c r="C393" s="21">
        <v>4714781020503</v>
      </c>
      <c r="D393" s="10" t="s">
        <v>1372</v>
      </c>
      <c r="E393" s="9">
        <v>1</v>
      </c>
      <c r="F393" s="9">
        <v>160</v>
      </c>
      <c r="G393" s="8">
        <f>F393/450</f>
        <v>0.35555555555555557</v>
      </c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0" t="s">
        <v>2996</v>
      </c>
      <c r="B394" s="9">
        <v>2</v>
      </c>
      <c r="C394" s="21">
        <v>4714781020466</v>
      </c>
      <c r="D394" s="10" t="s">
        <v>1374</v>
      </c>
      <c r="E394" s="9">
        <v>2</v>
      </c>
      <c r="F394" s="9">
        <v>290</v>
      </c>
      <c r="G394" s="8">
        <f>F394/580</f>
        <v>0.5</v>
      </c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0"/>
      <c r="B395" s="10"/>
      <c r="C395" s="21">
        <v>4714781020282</v>
      </c>
      <c r="D395" s="10" t="s">
        <v>275</v>
      </c>
      <c r="E395" s="9">
        <v>1</v>
      </c>
      <c r="F395" s="9">
        <v>290</v>
      </c>
      <c r="G395" s="8">
        <f>F395/580</f>
        <v>0.5</v>
      </c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0" t="s">
        <v>2995</v>
      </c>
      <c r="B396" s="9">
        <v>2</v>
      </c>
      <c r="C396" s="21">
        <v>4714781020466</v>
      </c>
      <c r="D396" s="10" t="s">
        <v>1374</v>
      </c>
      <c r="E396" s="9">
        <v>2</v>
      </c>
      <c r="F396" s="9">
        <v>290</v>
      </c>
      <c r="G396" s="8">
        <f>F396/580</f>
        <v>0.5</v>
      </c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0"/>
      <c r="B397" s="10"/>
      <c r="C397" s="21" t="s">
        <v>1645</v>
      </c>
      <c r="D397" s="10" t="s">
        <v>373</v>
      </c>
      <c r="E397" s="9">
        <v>1</v>
      </c>
      <c r="F397" s="9">
        <v>290</v>
      </c>
      <c r="G397" s="8">
        <f>F397/580</f>
        <v>0.5</v>
      </c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0" t="s">
        <v>2994</v>
      </c>
      <c r="B398" s="9">
        <v>2</v>
      </c>
      <c r="C398" s="21">
        <v>4714781020466</v>
      </c>
      <c r="D398" s="10" t="s">
        <v>1374</v>
      </c>
      <c r="E398" s="9">
        <v>2</v>
      </c>
      <c r="F398" s="9">
        <v>290</v>
      </c>
      <c r="G398" s="8">
        <f>F398/580</f>
        <v>0.5</v>
      </c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0"/>
      <c r="B399" s="10"/>
      <c r="C399" s="21" t="s">
        <v>1643</v>
      </c>
      <c r="D399" s="10" t="s">
        <v>264</v>
      </c>
      <c r="E399" s="9">
        <v>1</v>
      </c>
      <c r="F399" s="9">
        <v>290</v>
      </c>
      <c r="G399" s="8">
        <f>F399/580</f>
        <v>0.5</v>
      </c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0" t="s">
        <v>2993</v>
      </c>
      <c r="B400" s="9">
        <v>2</v>
      </c>
      <c r="C400" s="21">
        <v>4714781020466</v>
      </c>
      <c r="D400" s="10" t="s">
        <v>1374</v>
      </c>
      <c r="E400" s="9">
        <v>2</v>
      </c>
      <c r="F400" s="9">
        <v>290</v>
      </c>
      <c r="G400" s="8">
        <f>F400/580</f>
        <v>0.5</v>
      </c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0"/>
      <c r="B401" s="10"/>
      <c r="C401" s="21" t="s">
        <v>1641</v>
      </c>
      <c r="D401" s="10" t="s">
        <v>359</v>
      </c>
      <c r="E401" s="9">
        <v>1</v>
      </c>
      <c r="F401" s="9">
        <v>290</v>
      </c>
      <c r="G401" s="8">
        <f>F401/580</f>
        <v>0.5</v>
      </c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0" t="s">
        <v>2992</v>
      </c>
      <c r="B402" s="9">
        <v>2</v>
      </c>
      <c r="C402" s="21">
        <v>4714781020503</v>
      </c>
      <c r="D402" s="10" t="s">
        <v>1372</v>
      </c>
      <c r="E402" s="9">
        <v>2</v>
      </c>
      <c r="F402" s="9">
        <v>290</v>
      </c>
      <c r="G402" s="8">
        <f>F402/580</f>
        <v>0.5</v>
      </c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0"/>
      <c r="B403" s="10"/>
      <c r="C403" s="21">
        <v>4714781020282</v>
      </c>
      <c r="D403" s="10" t="s">
        <v>275</v>
      </c>
      <c r="E403" s="9">
        <v>1</v>
      </c>
      <c r="F403" s="9">
        <v>290</v>
      </c>
      <c r="G403" s="8">
        <f>F403/580</f>
        <v>0.5</v>
      </c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0" t="s">
        <v>2991</v>
      </c>
      <c r="B404" s="9">
        <v>2</v>
      </c>
      <c r="C404" s="21">
        <v>4714781020503</v>
      </c>
      <c r="D404" s="10" t="s">
        <v>1372</v>
      </c>
      <c r="E404" s="9">
        <v>2</v>
      </c>
      <c r="F404" s="9">
        <v>290</v>
      </c>
      <c r="G404" s="8">
        <f>F404/580</f>
        <v>0.5</v>
      </c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0"/>
      <c r="B405" s="10"/>
      <c r="C405" s="21" t="s">
        <v>1645</v>
      </c>
      <c r="D405" s="10" t="s">
        <v>373</v>
      </c>
      <c r="E405" s="9">
        <v>1</v>
      </c>
      <c r="F405" s="9">
        <v>290</v>
      </c>
      <c r="G405" s="8">
        <f>F405/580</f>
        <v>0.5</v>
      </c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0" t="s">
        <v>2990</v>
      </c>
      <c r="B406" s="9">
        <v>2</v>
      </c>
      <c r="C406" s="21">
        <v>4714781020503</v>
      </c>
      <c r="D406" s="10" t="s">
        <v>1372</v>
      </c>
      <c r="E406" s="9">
        <v>2</v>
      </c>
      <c r="F406" s="9">
        <v>290</v>
      </c>
      <c r="G406" s="8">
        <f>F406/580</f>
        <v>0.5</v>
      </c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0"/>
      <c r="B407" s="10"/>
      <c r="C407" s="21" t="s">
        <v>1643</v>
      </c>
      <c r="D407" s="10" t="s">
        <v>264</v>
      </c>
      <c r="E407" s="9">
        <v>1</v>
      </c>
      <c r="F407" s="9">
        <v>290</v>
      </c>
      <c r="G407" s="8">
        <f>F407/580</f>
        <v>0.5</v>
      </c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0" t="s">
        <v>2989</v>
      </c>
      <c r="B408" s="9">
        <v>2</v>
      </c>
      <c r="C408" s="21">
        <v>4714781020503</v>
      </c>
      <c r="D408" s="10" t="s">
        <v>1372</v>
      </c>
      <c r="E408" s="9">
        <v>2</v>
      </c>
      <c r="F408" s="9">
        <v>290</v>
      </c>
      <c r="G408" s="8">
        <f>F408/580</f>
        <v>0.5</v>
      </c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0"/>
      <c r="B409" s="10"/>
      <c r="C409" s="21" t="s">
        <v>1641</v>
      </c>
      <c r="D409" s="10" t="s">
        <v>359</v>
      </c>
      <c r="E409" s="9">
        <v>1</v>
      </c>
      <c r="F409" s="9">
        <v>290</v>
      </c>
      <c r="G409" s="8">
        <f>F409/580</f>
        <v>0.5</v>
      </c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0" t="s">
        <v>2988</v>
      </c>
      <c r="B410" s="9">
        <v>2</v>
      </c>
      <c r="C410" s="21">
        <v>4714781020558</v>
      </c>
      <c r="D410" s="10" t="s">
        <v>1370</v>
      </c>
      <c r="E410" s="9">
        <v>2</v>
      </c>
      <c r="F410" s="9">
        <v>290</v>
      </c>
      <c r="G410" s="8">
        <f>F410/580</f>
        <v>0.5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0"/>
      <c r="B411" s="10"/>
      <c r="C411" s="21">
        <v>4714781020282</v>
      </c>
      <c r="D411" s="10" t="s">
        <v>275</v>
      </c>
      <c r="E411" s="9">
        <v>1</v>
      </c>
      <c r="F411" s="9">
        <v>290</v>
      </c>
      <c r="G411" s="8">
        <f>F411/580</f>
        <v>0.5</v>
      </c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0" t="s">
        <v>2987</v>
      </c>
      <c r="B412" s="9">
        <v>2</v>
      </c>
      <c r="C412" s="21">
        <v>4714781020558</v>
      </c>
      <c r="D412" s="10" t="s">
        <v>1370</v>
      </c>
      <c r="E412" s="9">
        <v>2</v>
      </c>
      <c r="F412" s="9">
        <v>290</v>
      </c>
      <c r="G412" s="8">
        <f>F412/580</f>
        <v>0.5</v>
      </c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0"/>
      <c r="B413" s="10"/>
      <c r="C413" s="21" t="s">
        <v>1645</v>
      </c>
      <c r="D413" s="10" t="s">
        <v>373</v>
      </c>
      <c r="E413" s="9">
        <v>1</v>
      </c>
      <c r="F413" s="9">
        <v>290</v>
      </c>
      <c r="G413" s="8">
        <f>F413/580</f>
        <v>0.5</v>
      </c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0" t="s">
        <v>2986</v>
      </c>
      <c r="B414" s="9">
        <v>2</v>
      </c>
      <c r="C414" s="21">
        <v>4714781020558</v>
      </c>
      <c r="D414" s="10" t="s">
        <v>1370</v>
      </c>
      <c r="E414" s="9">
        <v>2</v>
      </c>
      <c r="F414" s="9">
        <v>290</v>
      </c>
      <c r="G414" s="8">
        <f>F414/580</f>
        <v>0.5</v>
      </c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0"/>
      <c r="B415" s="10"/>
      <c r="C415" s="21" t="s">
        <v>1643</v>
      </c>
      <c r="D415" s="10" t="s">
        <v>264</v>
      </c>
      <c r="E415" s="9">
        <v>1</v>
      </c>
      <c r="F415" s="9">
        <v>290</v>
      </c>
      <c r="G415" s="8">
        <f>F415/580</f>
        <v>0.5</v>
      </c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0" t="s">
        <v>2985</v>
      </c>
      <c r="B416" s="9">
        <v>2</v>
      </c>
      <c r="C416" s="21">
        <v>4714781020558</v>
      </c>
      <c r="D416" s="10" t="s">
        <v>1370</v>
      </c>
      <c r="E416" s="9">
        <v>2</v>
      </c>
      <c r="F416" s="9">
        <v>290</v>
      </c>
      <c r="G416" s="8">
        <f>F416/580</f>
        <v>0.5</v>
      </c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0"/>
      <c r="B417" s="10"/>
      <c r="C417" s="21" t="s">
        <v>1641</v>
      </c>
      <c r="D417" s="10" t="s">
        <v>359</v>
      </c>
      <c r="E417" s="9">
        <v>1</v>
      </c>
      <c r="F417" s="9">
        <v>290</v>
      </c>
      <c r="G417" s="8">
        <f>F417/580</f>
        <v>0.5</v>
      </c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0" t="s">
        <v>2984</v>
      </c>
      <c r="B418" s="12">
        <v>3</v>
      </c>
      <c r="C418" s="19">
        <v>4714781020770</v>
      </c>
      <c r="D418" s="18" t="s">
        <v>1380</v>
      </c>
      <c r="E418" s="9">
        <v>2</v>
      </c>
      <c r="F418" s="17">
        <v>280</v>
      </c>
      <c r="G418" s="8">
        <f>F418/460</f>
        <v>0.60869565217391308</v>
      </c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0"/>
      <c r="B419" s="12"/>
      <c r="C419" s="19">
        <v>4714781020954</v>
      </c>
      <c r="D419" s="18" t="s">
        <v>140</v>
      </c>
      <c r="E419" s="17">
        <v>1</v>
      </c>
      <c r="F419" s="17">
        <v>150</v>
      </c>
      <c r="G419" s="8">
        <f>F419/460</f>
        <v>0.32608695652173914</v>
      </c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0"/>
      <c r="B420" s="12"/>
      <c r="C420" s="19">
        <v>6970965450933</v>
      </c>
      <c r="D420" s="18" t="s">
        <v>1582</v>
      </c>
      <c r="E420" s="17">
        <v>1</v>
      </c>
      <c r="F420" s="17">
        <v>30</v>
      </c>
      <c r="G420" s="8">
        <f>F420/460</f>
        <v>6.5217391304347824E-2</v>
      </c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0" t="s">
        <v>2983</v>
      </c>
      <c r="B421" s="12">
        <v>3</v>
      </c>
      <c r="C421" s="19">
        <v>4714781020787</v>
      </c>
      <c r="D421" s="18" t="s">
        <v>1378</v>
      </c>
      <c r="E421" s="17">
        <v>2</v>
      </c>
      <c r="F421" s="17">
        <v>280</v>
      </c>
      <c r="G421" s="8">
        <f>F421/460</f>
        <v>0.60869565217391308</v>
      </c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0"/>
      <c r="B422" s="12"/>
      <c r="C422" s="19">
        <v>4714781020954</v>
      </c>
      <c r="D422" s="12" t="s">
        <v>140</v>
      </c>
      <c r="E422" s="17">
        <v>1</v>
      </c>
      <c r="F422" s="17">
        <v>150</v>
      </c>
      <c r="G422" s="8">
        <f>F422/460</f>
        <v>0.32608695652173914</v>
      </c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0"/>
      <c r="B423" s="12"/>
      <c r="C423" s="19">
        <v>6970965450933</v>
      </c>
      <c r="D423" s="18" t="s">
        <v>1582</v>
      </c>
      <c r="E423" s="17">
        <v>1</v>
      </c>
      <c r="F423" s="17">
        <v>30</v>
      </c>
      <c r="G423" s="8">
        <f>F423/460</f>
        <v>6.5217391304347824E-2</v>
      </c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0" t="s">
        <v>2982</v>
      </c>
      <c r="B424" s="12">
        <v>4</v>
      </c>
      <c r="C424" s="19">
        <v>4714781020770</v>
      </c>
      <c r="D424" s="18" t="s">
        <v>1380</v>
      </c>
      <c r="E424" s="17">
        <v>1</v>
      </c>
      <c r="F424" s="17">
        <v>140</v>
      </c>
      <c r="G424" s="8">
        <f>F424/460</f>
        <v>0.30434782608695654</v>
      </c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0"/>
      <c r="B425" s="12"/>
      <c r="C425" s="19">
        <v>4714781020787</v>
      </c>
      <c r="D425" s="12" t="s">
        <v>1378</v>
      </c>
      <c r="E425" s="17">
        <v>1</v>
      </c>
      <c r="F425" s="17">
        <v>140</v>
      </c>
      <c r="G425" s="8">
        <f>F425/460</f>
        <v>0.30434782608695654</v>
      </c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0"/>
      <c r="B426" s="12"/>
      <c r="C426" s="19">
        <v>4714781020954</v>
      </c>
      <c r="D426" s="12" t="s">
        <v>140</v>
      </c>
      <c r="E426" s="17">
        <v>1</v>
      </c>
      <c r="F426" s="17">
        <v>150</v>
      </c>
      <c r="G426" s="8">
        <f>F426/460</f>
        <v>0.32608695652173914</v>
      </c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0"/>
      <c r="B427" s="12"/>
      <c r="C427" s="19">
        <v>6970965450933</v>
      </c>
      <c r="D427" s="18" t="s">
        <v>1582</v>
      </c>
      <c r="E427" s="9">
        <v>1</v>
      </c>
      <c r="F427" s="9">
        <v>30</v>
      </c>
      <c r="G427" s="8">
        <f>F427/460</f>
        <v>6.5217391304347824E-2</v>
      </c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0" t="s">
        <v>2981</v>
      </c>
      <c r="B428" s="10">
        <v>3</v>
      </c>
      <c r="C428" s="23">
        <v>4714781020954</v>
      </c>
      <c r="D428" s="12" t="s">
        <v>1398</v>
      </c>
      <c r="E428" s="9">
        <v>1</v>
      </c>
      <c r="F428" s="9">
        <v>140</v>
      </c>
      <c r="G428" s="14">
        <f>F428/420</f>
        <v>0.33333333333333331</v>
      </c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0"/>
      <c r="B429" s="12"/>
      <c r="C429" s="23">
        <v>4714781020794</v>
      </c>
      <c r="D429" s="10" t="s">
        <v>1457</v>
      </c>
      <c r="E429" s="9">
        <v>2</v>
      </c>
      <c r="F429" s="9">
        <v>250</v>
      </c>
      <c r="G429" s="14">
        <f>F429/420</f>
        <v>0.59523809523809523</v>
      </c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0"/>
      <c r="B430" s="10"/>
      <c r="C430" s="19">
        <v>6970965450933</v>
      </c>
      <c r="D430" s="18" t="s">
        <v>1582</v>
      </c>
      <c r="E430" s="9">
        <v>1</v>
      </c>
      <c r="F430" s="9">
        <v>30</v>
      </c>
      <c r="G430" s="14">
        <f>F430/420</f>
        <v>7.1428571428571425E-2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0" t="s">
        <v>2980</v>
      </c>
      <c r="B431" s="10">
        <v>3</v>
      </c>
      <c r="C431" s="23">
        <v>4714781020954</v>
      </c>
      <c r="D431" s="12" t="s">
        <v>1398</v>
      </c>
      <c r="E431" s="9">
        <v>1</v>
      </c>
      <c r="F431" s="9">
        <v>140</v>
      </c>
      <c r="G431" s="14">
        <f>F431/420</f>
        <v>0.33333333333333331</v>
      </c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0"/>
      <c r="B432" s="12"/>
      <c r="C432" s="23">
        <v>4714781020800</v>
      </c>
      <c r="D432" s="10" t="s">
        <v>1456</v>
      </c>
      <c r="E432" s="9">
        <v>2</v>
      </c>
      <c r="F432" s="9">
        <v>250</v>
      </c>
      <c r="G432" s="14">
        <f>F432/420</f>
        <v>0.59523809523809523</v>
      </c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0"/>
      <c r="B433" s="10"/>
      <c r="C433" s="19">
        <v>6970965450933</v>
      </c>
      <c r="D433" s="18" t="s">
        <v>1582</v>
      </c>
      <c r="E433" s="9">
        <v>1</v>
      </c>
      <c r="F433" s="9">
        <v>30</v>
      </c>
      <c r="G433" s="14">
        <f>F433/420</f>
        <v>7.1428571428571425E-2</v>
      </c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0" t="s">
        <v>2979</v>
      </c>
      <c r="B434" s="10">
        <v>3</v>
      </c>
      <c r="C434" s="23">
        <v>4714781020954</v>
      </c>
      <c r="D434" s="12" t="s">
        <v>1398</v>
      </c>
      <c r="E434" s="9">
        <v>1</v>
      </c>
      <c r="F434" s="9">
        <v>140</v>
      </c>
      <c r="G434" s="14">
        <f>F434/420</f>
        <v>0.33333333333333331</v>
      </c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0"/>
      <c r="B435" s="12"/>
      <c r="C435" s="23">
        <v>4714781020817</v>
      </c>
      <c r="D435" s="10" t="s">
        <v>1455</v>
      </c>
      <c r="E435" s="9">
        <v>2</v>
      </c>
      <c r="F435" s="9">
        <v>250</v>
      </c>
      <c r="G435" s="14">
        <f>F435/420</f>
        <v>0.59523809523809523</v>
      </c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0"/>
      <c r="B436" s="10"/>
      <c r="C436" s="19">
        <v>6970965450933</v>
      </c>
      <c r="D436" s="18" t="s">
        <v>1582</v>
      </c>
      <c r="E436" s="9">
        <v>1</v>
      </c>
      <c r="F436" s="9">
        <v>30</v>
      </c>
      <c r="G436" s="14">
        <f>F436/420</f>
        <v>7.1428571428571425E-2</v>
      </c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0" t="s">
        <v>2978</v>
      </c>
      <c r="B437" s="10">
        <v>4</v>
      </c>
      <c r="C437" s="23">
        <v>4714781020954</v>
      </c>
      <c r="D437" s="12" t="s">
        <v>1398</v>
      </c>
      <c r="E437" s="9">
        <v>1</v>
      </c>
      <c r="F437" s="9">
        <v>140</v>
      </c>
      <c r="G437" s="14">
        <f>F437/420</f>
        <v>0.33333333333333331</v>
      </c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0"/>
      <c r="B438" s="12"/>
      <c r="C438" s="23">
        <v>4714781020794</v>
      </c>
      <c r="D438" s="10" t="s">
        <v>1457</v>
      </c>
      <c r="E438" s="9">
        <v>1</v>
      </c>
      <c r="F438" s="9">
        <v>125</v>
      </c>
      <c r="G438" s="14">
        <f>F438/420</f>
        <v>0.29761904761904762</v>
      </c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0"/>
      <c r="B439" s="12"/>
      <c r="C439" s="23">
        <v>4714781020800</v>
      </c>
      <c r="D439" s="10" t="s">
        <v>1456</v>
      </c>
      <c r="E439" s="9">
        <v>1</v>
      </c>
      <c r="F439" s="9">
        <v>125</v>
      </c>
      <c r="G439" s="14">
        <f>F439/420</f>
        <v>0.29761904761904762</v>
      </c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0"/>
      <c r="B440" s="10"/>
      <c r="C440" s="19">
        <v>6970965450933</v>
      </c>
      <c r="D440" s="18" t="s">
        <v>1582</v>
      </c>
      <c r="E440" s="9">
        <v>1</v>
      </c>
      <c r="F440" s="9">
        <v>30</v>
      </c>
      <c r="G440" s="14">
        <f>F440/420</f>
        <v>7.1428571428571425E-2</v>
      </c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0" t="s">
        <v>2977</v>
      </c>
      <c r="B441" s="10">
        <v>4</v>
      </c>
      <c r="C441" s="23">
        <v>4714781020954</v>
      </c>
      <c r="D441" s="12" t="s">
        <v>1398</v>
      </c>
      <c r="E441" s="9">
        <v>1</v>
      </c>
      <c r="F441" s="9">
        <v>140</v>
      </c>
      <c r="G441" s="14">
        <f>F441/420</f>
        <v>0.33333333333333331</v>
      </c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0"/>
      <c r="B442" s="12"/>
      <c r="C442" s="23">
        <v>4714781020794</v>
      </c>
      <c r="D442" s="10" t="s">
        <v>1457</v>
      </c>
      <c r="E442" s="9">
        <v>1</v>
      </c>
      <c r="F442" s="9">
        <v>125</v>
      </c>
      <c r="G442" s="14">
        <f>F442/420</f>
        <v>0.29761904761904762</v>
      </c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0"/>
      <c r="B443" s="12"/>
      <c r="C443" s="23">
        <v>4714781020817</v>
      </c>
      <c r="D443" s="10" t="s">
        <v>1455</v>
      </c>
      <c r="E443" s="9">
        <v>1</v>
      </c>
      <c r="F443" s="9">
        <v>125</v>
      </c>
      <c r="G443" s="14">
        <f>F443/420</f>
        <v>0.29761904761904762</v>
      </c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0"/>
      <c r="B444" s="10"/>
      <c r="C444" s="19">
        <v>6970965450933</v>
      </c>
      <c r="D444" s="18" t="s">
        <v>1582</v>
      </c>
      <c r="E444" s="9">
        <v>1</v>
      </c>
      <c r="F444" s="9">
        <v>30</v>
      </c>
      <c r="G444" s="14">
        <f>F444/420</f>
        <v>7.1428571428571425E-2</v>
      </c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0" t="s">
        <v>2976</v>
      </c>
      <c r="B445" s="10">
        <v>3</v>
      </c>
      <c r="C445" s="23">
        <v>4714781020954</v>
      </c>
      <c r="D445" s="12" t="s">
        <v>1398</v>
      </c>
      <c r="E445" s="9">
        <v>1</v>
      </c>
      <c r="F445" s="9">
        <v>140</v>
      </c>
      <c r="G445" s="14">
        <f>F445/420</f>
        <v>0.33333333333333331</v>
      </c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0"/>
      <c r="B446" s="12"/>
      <c r="C446" s="23">
        <v>4714781020800</v>
      </c>
      <c r="D446" s="12" t="s">
        <v>1456</v>
      </c>
      <c r="E446" s="9">
        <v>1</v>
      </c>
      <c r="F446" s="9">
        <v>125</v>
      </c>
      <c r="G446" s="14">
        <f>F446/420</f>
        <v>0.29761904761904762</v>
      </c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0"/>
      <c r="B447" s="12"/>
      <c r="C447" s="23">
        <v>4714781020817</v>
      </c>
      <c r="D447" s="10" t="s">
        <v>1455</v>
      </c>
      <c r="E447" s="9">
        <v>1</v>
      </c>
      <c r="F447" s="9">
        <v>125</v>
      </c>
      <c r="G447" s="14">
        <f>F447/420</f>
        <v>0.29761904761904762</v>
      </c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0"/>
      <c r="B448" s="12"/>
      <c r="C448" s="19">
        <v>6970965450933</v>
      </c>
      <c r="D448" s="18" t="s">
        <v>1582</v>
      </c>
      <c r="E448" s="9">
        <v>1</v>
      </c>
      <c r="F448" s="9">
        <v>30</v>
      </c>
      <c r="G448" s="14">
        <f>F448/420</f>
        <v>7.1428571428571425E-2</v>
      </c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0" t="s">
        <v>2975</v>
      </c>
      <c r="B449" s="12">
        <v>3</v>
      </c>
      <c r="C449" s="6">
        <v>4714781021609</v>
      </c>
      <c r="D449" s="12" t="s">
        <v>1454</v>
      </c>
      <c r="E449" s="9">
        <v>12</v>
      </c>
      <c r="F449" s="9">
        <v>1560</v>
      </c>
      <c r="G449" s="8">
        <f>F449/4680</f>
        <v>0.33333333333333331</v>
      </c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0"/>
      <c r="B450" s="12"/>
      <c r="C450" s="23">
        <v>4714781021012</v>
      </c>
      <c r="D450" s="12" t="s">
        <v>1703</v>
      </c>
      <c r="E450" s="9">
        <v>12</v>
      </c>
      <c r="F450" s="9">
        <v>1560</v>
      </c>
      <c r="G450" s="8">
        <f>F450/4680</f>
        <v>0.33333333333333331</v>
      </c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0"/>
      <c r="B451" s="12"/>
      <c r="C451" s="23">
        <v>4714781021029</v>
      </c>
      <c r="D451" s="12" t="s">
        <v>1452</v>
      </c>
      <c r="E451" s="9">
        <v>12</v>
      </c>
      <c r="F451" s="9">
        <v>1560</v>
      </c>
      <c r="G451" s="8">
        <f>F451/4680</f>
        <v>0.33333333333333331</v>
      </c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0" t="s">
        <v>2974</v>
      </c>
      <c r="B452" s="12">
        <v>3</v>
      </c>
      <c r="C452" s="23" t="s">
        <v>1512</v>
      </c>
      <c r="D452" s="12" t="s">
        <v>1511</v>
      </c>
      <c r="E452" s="17">
        <v>1</v>
      </c>
      <c r="F452" s="9">
        <v>142</v>
      </c>
      <c r="G452" s="8">
        <f>F452/425</f>
        <v>0.33411764705882352</v>
      </c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0"/>
      <c r="B453" s="12"/>
      <c r="C453" s="23" t="s">
        <v>1517</v>
      </c>
      <c r="D453" s="12" t="s">
        <v>1516</v>
      </c>
      <c r="E453" s="17">
        <v>1</v>
      </c>
      <c r="F453" s="9">
        <v>142</v>
      </c>
      <c r="G453" s="8">
        <f>F453/425</f>
        <v>0.33411764705882352</v>
      </c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0"/>
      <c r="B454" s="12"/>
      <c r="C454" s="23" t="s">
        <v>1514</v>
      </c>
      <c r="D454" s="12" t="s">
        <v>1513</v>
      </c>
      <c r="E454" s="17">
        <v>1</v>
      </c>
      <c r="F454" s="9">
        <v>141</v>
      </c>
      <c r="G454" s="8">
        <f>F454/425</f>
        <v>0.33176470588235296</v>
      </c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0" t="s">
        <v>2973</v>
      </c>
      <c r="B455" s="12">
        <v>1</v>
      </c>
      <c r="C455" s="23" t="s">
        <v>1514</v>
      </c>
      <c r="D455" s="12" t="s">
        <v>1513</v>
      </c>
      <c r="E455" s="17">
        <v>3</v>
      </c>
      <c r="F455" s="9">
        <v>425</v>
      </c>
      <c r="G455" s="8">
        <f>F455/425</f>
        <v>1</v>
      </c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0" t="s">
        <v>2972</v>
      </c>
      <c r="B456" s="12">
        <v>1</v>
      </c>
      <c r="C456" s="23" t="s">
        <v>1517</v>
      </c>
      <c r="D456" s="12" t="s">
        <v>1516</v>
      </c>
      <c r="E456" s="17">
        <v>3</v>
      </c>
      <c r="F456" s="9">
        <v>425</v>
      </c>
      <c r="G456" s="8">
        <f>F456/425</f>
        <v>1</v>
      </c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0" t="s">
        <v>2971</v>
      </c>
      <c r="B457" s="12">
        <v>1</v>
      </c>
      <c r="C457" s="23" t="s">
        <v>1512</v>
      </c>
      <c r="D457" s="12" t="s">
        <v>1511</v>
      </c>
      <c r="E457" s="17">
        <v>3</v>
      </c>
      <c r="F457" s="9">
        <v>425</v>
      </c>
      <c r="G457" s="8">
        <f>F457/425</f>
        <v>1</v>
      </c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0" t="s">
        <v>2970</v>
      </c>
      <c r="B458" s="12">
        <v>2</v>
      </c>
      <c r="C458" s="23" t="s">
        <v>1517</v>
      </c>
      <c r="D458" s="12" t="s">
        <v>1516</v>
      </c>
      <c r="E458" s="17">
        <v>2</v>
      </c>
      <c r="F458" s="9">
        <v>284</v>
      </c>
      <c r="G458" s="8">
        <f>F458/425</f>
        <v>0.66823529411764704</v>
      </c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0"/>
      <c r="B459" s="12"/>
      <c r="C459" s="23" t="s">
        <v>1512</v>
      </c>
      <c r="D459" s="12" t="s">
        <v>1511</v>
      </c>
      <c r="E459" s="17">
        <v>1</v>
      </c>
      <c r="F459" s="9">
        <v>141</v>
      </c>
      <c r="G459" s="8">
        <f>F459/425</f>
        <v>0.33176470588235296</v>
      </c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0" t="s">
        <v>2969</v>
      </c>
      <c r="B460" s="12">
        <v>2</v>
      </c>
      <c r="C460" s="23" t="s">
        <v>1517</v>
      </c>
      <c r="D460" s="12" t="s">
        <v>1516</v>
      </c>
      <c r="E460" s="17">
        <v>2</v>
      </c>
      <c r="F460" s="9">
        <v>284</v>
      </c>
      <c r="G460" s="8">
        <f>F460/425</f>
        <v>0.66823529411764704</v>
      </c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0"/>
      <c r="B461" s="12"/>
      <c r="C461" s="23" t="s">
        <v>1514</v>
      </c>
      <c r="D461" s="12" t="s">
        <v>1513</v>
      </c>
      <c r="E461" s="17">
        <v>1</v>
      </c>
      <c r="F461" s="9">
        <v>141</v>
      </c>
      <c r="G461" s="8">
        <f>F461/425</f>
        <v>0.33176470588235296</v>
      </c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0" t="s">
        <v>2968</v>
      </c>
      <c r="B462" s="12">
        <v>2</v>
      </c>
      <c r="C462" s="23" t="s">
        <v>1512</v>
      </c>
      <c r="D462" s="12" t="s">
        <v>1511</v>
      </c>
      <c r="E462" s="17">
        <v>2</v>
      </c>
      <c r="F462" s="9">
        <v>284</v>
      </c>
      <c r="G462" s="8">
        <f>F462/425</f>
        <v>0.66823529411764704</v>
      </c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0"/>
      <c r="B463" s="12"/>
      <c r="C463" s="23" t="s">
        <v>1517</v>
      </c>
      <c r="D463" s="12" t="s">
        <v>1516</v>
      </c>
      <c r="E463" s="17">
        <v>1</v>
      </c>
      <c r="F463" s="9">
        <v>141</v>
      </c>
      <c r="G463" s="8">
        <f>F463/425</f>
        <v>0.33176470588235296</v>
      </c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0" t="s">
        <v>2967</v>
      </c>
      <c r="B464" s="12">
        <v>2</v>
      </c>
      <c r="C464" s="23" t="s">
        <v>1512</v>
      </c>
      <c r="D464" s="12" t="s">
        <v>1511</v>
      </c>
      <c r="E464" s="17">
        <v>2</v>
      </c>
      <c r="F464" s="9">
        <v>284</v>
      </c>
      <c r="G464" s="8">
        <f>F464/425</f>
        <v>0.66823529411764704</v>
      </c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0"/>
      <c r="B465" s="12"/>
      <c r="C465" s="23" t="s">
        <v>1514</v>
      </c>
      <c r="D465" s="12" t="s">
        <v>1513</v>
      </c>
      <c r="E465" s="17">
        <v>1</v>
      </c>
      <c r="F465" s="9">
        <v>141</v>
      </c>
      <c r="G465" s="8">
        <f>F465/425</f>
        <v>0.33176470588235296</v>
      </c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0" t="s">
        <v>2966</v>
      </c>
      <c r="B466" s="12">
        <v>2</v>
      </c>
      <c r="C466" s="23" t="s">
        <v>1514</v>
      </c>
      <c r="D466" s="12" t="s">
        <v>1513</v>
      </c>
      <c r="E466" s="17">
        <v>2</v>
      </c>
      <c r="F466" s="9">
        <v>284</v>
      </c>
      <c r="G466" s="8">
        <f>F466/425</f>
        <v>0.66823529411764704</v>
      </c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0"/>
      <c r="B467" s="12"/>
      <c r="C467" s="23" t="s">
        <v>1517</v>
      </c>
      <c r="D467" s="12" t="s">
        <v>1516</v>
      </c>
      <c r="E467" s="17">
        <v>1</v>
      </c>
      <c r="F467" s="9">
        <v>141</v>
      </c>
      <c r="G467" s="8">
        <f>F467/425</f>
        <v>0.33176470588235296</v>
      </c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0" t="s">
        <v>2965</v>
      </c>
      <c r="B468" s="12">
        <v>2</v>
      </c>
      <c r="C468" s="23" t="s">
        <v>1514</v>
      </c>
      <c r="D468" s="12" t="s">
        <v>1513</v>
      </c>
      <c r="E468" s="17">
        <v>2</v>
      </c>
      <c r="F468" s="9">
        <v>284</v>
      </c>
      <c r="G468" s="8">
        <f>F468/425</f>
        <v>0.66823529411764704</v>
      </c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0"/>
      <c r="B469" s="12"/>
      <c r="C469" s="23" t="s">
        <v>1512</v>
      </c>
      <c r="D469" s="12" t="s">
        <v>1511</v>
      </c>
      <c r="E469" s="17">
        <v>1</v>
      </c>
      <c r="F469" s="9">
        <v>141</v>
      </c>
      <c r="G469" s="8">
        <f>F469/425</f>
        <v>0.33176470588235296</v>
      </c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0" t="s">
        <v>2964</v>
      </c>
      <c r="B470" s="10">
        <v>3</v>
      </c>
      <c r="C470" s="6">
        <v>4714781021609</v>
      </c>
      <c r="D470" s="12" t="s">
        <v>1454</v>
      </c>
      <c r="E470" s="9">
        <v>1</v>
      </c>
      <c r="F470" s="9">
        <v>125</v>
      </c>
      <c r="G470" s="8">
        <f>F470/375</f>
        <v>0.33333333333333331</v>
      </c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0"/>
      <c r="B471" s="10"/>
      <c r="C471" s="6">
        <v>4714781021593</v>
      </c>
      <c r="D471" s="12" t="s">
        <v>1453</v>
      </c>
      <c r="E471" s="9">
        <v>1</v>
      </c>
      <c r="F471" s="9">
        <v>125</v>
      </c>
      <c r="G471" s="8">
        <f>F471/375</f>
        <v>0.33333333333333331</v>
      </c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0"/>
      <c r="B472" s="10"/>
      <c r="C472" s="23">
        <v>4714781021029</v>
      </c>
      <c r="D472" s="12" t="s">
        <v>1452</v>
      </c>
      <c r="E472" s="9">
        <v>1</v>
      </c>
      <c r="F472" s="9">
        <v>125</v>
      </c>
      <c r="G472" s="8">
        <f>F472/375</f>
        <v>0.33333333333333331</v>
      </c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0" t="s">
        <v>2963</v>
      </c>
      <c r="B473" s="10">
        <v>1</v>
      </c>
      <c r="C473" s="6">
        <v>4714781021609</v>
      </c>
      <c r="D473" s="12" t="s">
        <v>1454</v>
      </c>
      <c r="E473" s="9">
        <v>3</v>
      </c>
      <c r="F473" s="9">
        <v>375</v>
      </c>
      <c r="G473" s="8">
        <f>F473/375</f>
        <v>1</v>
      </c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0" t="s">
        <v>2962</v>
      </c>
      <c r="B474" s="10">
        <v>1</v>
      </c>
      <c r="C474" s="6">
        <v>4714781021593</v>
      </c>
      <c r="D474" s="12" t="s">
        <v>1453</v>
      </c>
      <c r="E474" s="9">
        <v>3</v>
      </c>
      <c r="F474" s="9">
        <v>375</v>
      </c>
      <c r="G474" s="8">
        <f>F474/375</f>
        <v>1</v>
      </c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0" t="s">
        <v>2961</v>
      </c>
      <c r="B475" s="10">
        <v>1</v>
      </c>
      <c r="C475" s="23">
        <v>4714781021029</v>
      </c>
      <c r="D475" s="12" t="s">
        <v>1452</v>
      </c>
      <c r="E475" s="9">
        <v>3</v>
      </c>
      <c r="F475" s="9">
        <v>375</v>
      </c>
      <c r="G475" s="8">
        <f>F475/375</f>
        <v>1</v>
      </c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0" t="s">
        <v>2960</v>
      </c>
      <c r="B476" s="9">
        <v>2</v>
      </c>
      <c r="C476" s="6">
        <v>4714781021593</v>
      </c>
      <c r="D476" s="12" t="s">
        <v>1453</v>
      </c>
      <c r="E476" s="9">
        <v>1</v>
      </c>
      <c r="F476" s="9">
        <v>125</v>
      </c>
      <c r="G476" s="8">
        <f>F476/375</f>
        <v>0.33333333333333331</v>
      </c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0"/>
      <c r="B477" s="12"/>
      <c r="C477" s="23">
        <v>4714781021029</v>
      </c>
      <c r="D477" s="12" t="s">
        <v>2072</v>
      </c>
      <c r="E477" s="9">
        <v>2</v>
      </c>
      <c r="F477" s="9">
        <v>250</v>
      </c>
      <c r="G477" s="8">
        <f>F477/375</f>
        <v>0.66666666666666663</v>
      </c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0" t="s">
        <v>2959</v>
      </c>
      <c r="B478" s="9">
        <v>2</v>
      </c>
      <c r="C478" s="23">
        <v>4714781021029</v>
      </c>
      <c r="D478" s="12" t="s">
        <v>2072</v>
      </c>
      <c r="E478" s="9">
        <v>2</v>
      </c>
      <c r="F478" s="9">
        <v>250</v>
      </c>
      <c r="G478" s="8">
        <f>F478/375</f>
        <v>0.66666666666666663</v>
      </c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0"/>
      <c r="B479" s="12"/>
      <c r="C479" s="6">
        <v>4714781021609</v>
      </c>
      <c r="D479" s="12" t="s">
        <v>1454</v>
      </c>
      <c r="E479" s="9">
        <v>1</v>
      </c>
      <c r="F479" s="9">
        <v>125</v>
      </c>
      <c r="G479" s="8">
        <f>F479/375</f>
        <v>0.33333333333333331</v>
      </c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0" t="s">
        <v>2958</v>
      </c>
      <c r="B480" s="9">
        <v>2</v>
      </c>
      <c r="C480" s="6">
        <v>4714781021593</v>
      </c>
      <c r="D480" s="12" t="s">
        <v>1453</v>
      </c>
      <c r="E480" s="9">
        <v>2</v>
      </c>
      <c r="F480" s="9">
        <v>250</v>
      </c>
      <c r="G480" s="8">
        <f>F480/375</f>
        <v>0.66666666666666663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0"/>
      <c r="B481" s="12"/>
      <c r="C481" s="23">
        <v>4714781021029</v>
      </c>
      <c r="D481" s="12" t="s">
        <v>2072</v>
      </c>
      <c r="E481" s="9">
        <v>1</v>
      </c>
      <c r="F481" s="9">
        <v>125</v>
      </c>
      <c r="G481" s="8">
        <f>F481/375</f>
        <v>0.33333333333333331</v>
      </c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0" t="s">
        <v>2957</v>
      </c>
      <c r="B482" s="9">
        <v>2</v>
      </c>
      <c r="C482" s="6">
        <v>4714781021593</v>
      </c>
      <c r="D482" s="12" t="s">
        <v>1453</v>
      </c>
      <c r="E482" s="9">
        <v>2</v>
      </c>
      <c r="F482" s="9">
        <v>250</v>
      </c>
      <c r="G482" s="8">
        <f>F482/375</f>
        <v>0.66666666666666663</v>
      </c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0"/>
      <c r="B483" s="12"/>
      <c r="C483" s="6">
        <v>4714781021609</v>
      </c>
      <c r="D483" s="12" t="s">
        <v>1454</v>
      </c>
      <c r="E483" s="9">
        <v>1</v>
      </c>
      <c r="F483" s="9">
        <v>125</v>
      </c>
      <c r="G483" s="8">
        <f>F483/375</f>
        <v>0.33333333333333331</v>
      </c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0" t="s">
        <v>2956</v>
      </c>
      <c r="B484" s="9">
        <v>2</v>
      </c>
      <c r="C484" s="6">
        <v>4714781021609</v>
      </c>
      <c r="D484" s="12" t="s">
        <v>1454</v>
      </c>
      <c r="E484" s="9">
        <v>2</v>
      </c>
      <c r="F484" s="9">
        <v>250</v>
      </c>
      <c r="G484" s="8">
        <f>F484/375</f>
        <v>0.66666666666666663</v>
      </c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0"/>
      <c r="B485" s="12"/>
      <c r="C485" s="23">
        <v>4714781021029</v>
      </c>
      <c r="D485" s="12" t="s">
        <v>2072</v>
      </c>
      <c r="E485" s="9">
        <v>1</v>
      </c>
      <c r="F485" s="9">
        <v>125</v>
      </c>
      <c r="G485" s="8">
        <f>F485/375</f>
        <v>0.33333333333333331</v>
      </c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0" t="s">
        <v>2955</v>
      </c>
      <c r="B486" s="9">
        <v>2</v>
      </c>
      <c r="C486" s="6">
        <v>4714781021609</v>
      </c>
      <c r="D486" s="12" t="s">
        <v>1454</v>
      </c>
      <c r="E486" s="9">
        <v>2</v>
      </c>
      <c r="F486" s="9">
        <v>250</v>
      </c>
      <c r="G486" s="8">
        <f>F486/375</f>
        <v>0.66666666666666663</v>
      </c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0"/>
      <c r="B487" s="12"/>
      <c r="C487" s="6">
        <v>4714781021593</v>
      </c>
      <c r="D487" s="12" t="s">
        <v>1453</v>
      </c>
      <c r="E487" s="9">
        <v>1</v>
      </c>
      <c r="F487" s="9">
        <v>125</v>
      </c>
      <c r="G487" s="8">
        <f>F487/375</f>
        <v>0.33333333333333331</v>
      </c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0" t="s">
        <v>2954</v>
      </c>
      <c r="B488" s="9">
        <v>6</v>
      </c>
      <c r="C488" s="23">
        <v>4714781021029</v>
      </c>
      <c r="D488" s="12" t="s">
        <v>1452</v>
      </c>
      <c r="E488" s="9">
        <v>1</v>
      </c>
      <c r="F488" s="9">
        <v>133</v>
      </c>
      <c r="G488" s="8">
        <f>F488/820</f>
        <v>0.16219512195121952</v>
      </c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0"/>
      <c r="B489" s="12"/>
      <c r="C489" s="6">
        <v>4714781021593</v>
      </c>
      <c r="D489" s="12" t="s">
        <v>1453</v>
      </c>
      <c r="E489" s="9">
        <v>1</v>
      </c>
      <c r="F489" s="9">
        <v>133</v>
      </c>
      <c r="G489" s="8">
        <f>F489/820</f>
        <v>0.16219512195121952</v>
      </c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0"/>
      <c r="B490" s="12"/>
      <c r="C490" s="6">
        <v>4714781021609</v>
      </c>
      <c r="D490" s="12" t="s">
        <v>1454</v>
      </c>
      <c r="E490" s="9">
        <v>1</v>
      </c>
      <c r="F490" s="9">
        <v>134</v>
      </c>
      <c r="G490" s="8">
        <f>F490/820</f>
        <v>0.16341463414634147</v>
      </c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0"/>
      <c r="B491" s="12"/>
      <c r="C491" s="21">
        <v>4714781020466</v>
      </c>
      <c r="D491" s="12" t="s">
        <v>1374</v>
      </c>
      <c r="E491" s="9">
        <v>1</v>
      </c>
      <c r="F491" s="9">
        <v>140</v>
      </c>
      <c r="G491" s="8">
        <f>F491/820</f>
        <v>0.17073170731707318</v>
      </c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0"/>
      <c r="B492" s="12"/>
      <c r="C492" s="21">
        <v>4714781020503</v>
      </c>
      <c r="D492" s="12" t="s">
        <v>1372</v>
      </c>
      <c r="E492" s="9">
        <v>1</v>
      </c>
      <c r="F492" s="9">
        <v>140</v>
      </c>
      <c r="G492" s="8">
        <f>F492/820</f>
        <v>0.17073170731707318</v>
      </c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0"/>
      <c r="B493" s="12"/>
      <c r="C493" s="21">
        <v>4714781020558</v>
      </c>
      <c r="D493" s="12" t="s">
        <v>1370</v>
      </c>
      <c r="E493" s="9">
        <v>1</v>
      </c>
      <c r="F493" s="9">
        <v>140</v>
      </c>
      <c r="G493" s="8">
        <f>F493/820</f>
        <v>0.17073170731707318</v>
      </c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0" t="s">
        <v>2953</v>
      </c>
      <c r="B494" s="9">
        <v>2</v>
      </c>
      <c r="C494" s="23">
        <v>4714781021029</v>
      </c>
      <c r="D494" s="12" t="s">
        <v>1452</v>
      </c>
      <c r="E494" s="9">
        <v>3</v>
      </c>
      <c r="F494" s="9">
        <v>400</v>
      </c>
      <c r="G494" s="8">
        <f>F494/820</f>
        <v>0.48780487804878048</v>
      </c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0"/>
      <c r="B495" s="12"/>
      <c r="C495" s="21">
        <v>4714781020558</v>
      </c>
      <c r="D495" s="12" t="s">
        <v>1370</v>
      </c>
      <c r="E495" s="9">
        <v>3</v>
      </c>
      <c r="F495" s="9">
        <v>420</v>
      </c>
      <c r="G495" s="8">
        <f>F495/820</f>
        <v>0.51219512195121952</v>
      </c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0" t="s">
        <v>2952</v>
      </c>
      <c r="B496" s="9">
        <v>2</v>
      </c>
      <c r="C496" s="23">
        <v>4714781021029</v>
      </c>
      <c r="D496" s="12" t="s">
        <v>1452</v>
      </c>
      <c r="E496" s="9">
        <v>3</v>
      </c>
      <c r="F496" s="9">
        <v>400</v>
      </c>
      <c r="G496" s="8">
        <f>F496/820</f>
        <v>0.48780487804878048</v>
      </c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0"/>
      <c r="B497" s="12"/>
      <c r="C497" s="21">
        <v>4714781020466</v>
      </c>
      <c r="D497" s="12" t="s">
        <v>1374</v>
      </c>
      <c r="E497" s="9">
        <v>3</v>
      </c>
      <c r="F497" s="9">
        <v>420</v>
      </c>
      <c r="G497" s="8">
        <f>F497/820</f>
        <v>0.51219512195121952</v>
      </c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0" t="s">
        <v>2951</v>
      </c>
      <c r="B498" s="9">
        <v>2</v>
      </c>
      <c r="C498" s="23">
        <v>4714781021029</v>
      </c>
      <c r="D498" s="12" t="s">
        <v>1452</v>
      </c>
      <c r="E498" s="9">
        <v>3</v>
      </c>
      <c r="F498" s="9">
        <v>400</v>
      </c>
      <c r="G498" s="8">
        <f>F498/820</f>
        <v>0.48780487804878048</v>
      </c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0"/>
      <c r="B499" s="12"/>
      <c r="C499" s="21">
        <v>4714781020503</v>
      </c>
      <c r="D499" s="12" t="s">
        <v>1372</v>
      </c>
      <c r="E499" s="9">
        <v>3</v>
      </c>
      <c r="F499" s="9">
        <v>420</v>
      </c>
      <c r="G499" s="8">
        <f>F499/820</f>
        <v>0.51219512195121952</v>
      </c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0" t="s">
        <v>2950</v>
      </c>
      <c r="B500" s="9">
        <v>2</v>
      </c>
      <c r="C500" s="6">
        <v>4714781021593</v>
      </c>
      <c r="D500" s="12" t="s">
        <v>1453</v>
      </c>
      <c r="E500" s="9">
        <v>3</v>
      </c>
      <c r="F500" s="9">
        <v>400</v>
      </c>
      <c r="G500" s="8">
        <f>F500/820</f>
        <v>0.48780487804878048</v>
      </c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0"/>
      <c r="B501" s="12"/>
      <c r="C501" s="21">
        <v>4714781020558</v>
      </c>
      <c r="D501" s="12" t="s">
        <v>1370</v>
      </c>
      <c r="E501" s="9">
        <v>3</v>
      </c>
      <c r="F501" s="9">
        <v>420</v>
      </c>
      <c r="G501" s="8">
        <f>F501/820</f>
        <v>0.51219512195121952</v>
      </c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0" t="s">
        <v>2949</v>
      </c>
      <c r="B502" s="9">
        <v>2</v>
      </c>
      <c r="C502" s="6">
        <v>4714781021593</v>
      </c>
      <c r="D502" s="12" t="s">
        <v>1453</v>
      </c>
      <c r="E502" s="9">
        <v>3</v>
      </c>
      <c r="F502" s="9">
        <v>400</v>
      </c>
      <c r="G502" s="8">
        <f>F502/820</f>
        <v>0.48780487804878048</v>
      </c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0"/>
      <c r="B503" s="12"/>
      <c r="C503" s="21">
        <v>4714781020466</v>
      </c>
      <c r="D503" s="12" t="s">
        <v>1374</v>
      </c>
      <c r="E503" s="9">
        <v>3</v>
      </c>
      <c r="F503" s="9">
        <v>420</v>
      </c>
      <c r="G503" s="8">
        <f>F503/820</f>
        <v>0.51219512195121952</v>
      </c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0" t="s">
        <v>2948</v>
      </c>
      <c r="B504" s="9">
        <v>2</v>
      </c>
      <c r="C504" s="6">
        <v>4714781021593</v>
      </c>
      <c r="D504" s="12" t="s">
        <v>1453</v>
      </c>
      <c r="E504" s="9">
        <v>3</v>
      </c>
      <c r="F504" s="9">
        <v>400</v>
      </c>
      <c r="G504" s="8">
        <f>F504/820</f>
        <v>0.48780487804878048</v>
      </c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0"/>
      <c r="B505" s="12"/>
      <c r="C505" s="21">
        <v>4714781020503</v>
      </c>
      <c r="D505" s="12" t="s">
        <v>1372</v>
      </c>
      <c r="E505" s="9">
        <v>3</v>
      </c>
      <c r="F505" s="9">
        <v>420</v>
      </c>
      <c r="G505" s="8">
        <f>F505/820</f>
        <v>0.51219512195121952</v>
      </c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0" t="s">
        <v>2947</v>
      </c>
      <c r="B506" s="9">
        <v>2</v>
      </c>
      <c r="C506" s="6">
        <v>4714781021609</v>
      </c>
      <c r="D506" s="12" t="s">
        <v>1454</v>
      </c>
      <c r="E506" s="9">
        <v>3</v>
      </c>
      <c r="F506" s="9">
        <v>400</v>
      </c>
      <c r="G506" s="8">
        <f>F506/820</f>
        <v>0.48780487804878048</v>
      </c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0"/>
      <c r="B507" s="12"/>
      <c r="C507" s="21">
        <v>4714781020558</v>
      </c>
      <c r="D507" s="12" t="s">
        <v>1370</v>
      </c>
      <c r="E507" s="9">
        <v>3</v>
      </c>
      <c r="F507" s="9">
        <v>420</v>
      </c>
      <c r="G507" s="8">
        <f>F507/820</f>
        <v>0.51219512195121952</v>
      </c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0" t="s">
        <v>2946</v>
      </c>
      <c r="B508" s="9">
        <v>2</v>
      </c>
      <c r="C508" s="6">
        <v>4714781021609</v>
      </c>
      <c r="D508" s="12" t="s">
        <v>1454</v>
      </c>
      <c r="E508" s="9">
        <v>3</v>
      </c>
      <c r="F508" s="9">
        <v>400</v>
      </c>
      <c r="G508" s="8">
        <f>F508/820</f>
        <v>0.48780487804878048</v>
      </c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0"/>
      <c r="B509" s="12"/>
      <c r="C509" s="21">
        <v>4714781020466</v>
      </c>
      <c r="D509" s="12" t="s">
        <v>1374</v>
      </c>
      <c r="E509" s="9">
        <v>3</v>
      </c>
      <c r="F509" s="9">
        <v>420</v>
      </c>
      <c r="G509" s="8">
        <f>F509/820</f>
        <v>0.51219512195121952</v>
      </c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26" t="s">
        <v>2945</v>
      </c>
      <c r="B510" s="9">
        <v>2</v>
      </c>
      <c r="C510" s="6">
        <v>4714781021609</v>
      </c>
      <c r="D510" s="12" t="s">
        <v>1454</v>
      </c>
      <c r="E510" s="9">
        <v>3</v>
      </c>
      <c r="F510" s="9">
        <v>400</v>
      </c>
      <c r="G510" s="8">
        <f>F510/820</f>
        <v>0.48780487804878048</v>
      </c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0"/>
      <c r="B511" s="9"/>
      <c r="C511" s="21">
        <v>4714781020503</v>
      </c>
      <c r="D511" s="12" t="s">
        <v>1372</v>
      </c>
      <c r="E511" s="9">
        <v>3</v>
      </c>
      <c r="F511" s="9">
        <v>420</v>
      </c>
      <c r="G511" s="8">
        <f>F511/820</f>
        <v>0.51219512195121952</v>
      </c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0" t="s">
        <v>2944</v>
      </c>
      <c r="B512" s="9">
        <v>2</v>
      </c>
      <c r="C512" s="23">
        <v>4714781021777</v>
      </c>
      <c r="D512" s="12" t="s">
        <v>1522</v>
      </c>
      <c r="E512" s="9">
        <v>2</v>
      </c>
      <c r="F512" s="9">
        <v>750</v>
      </c>
      <c r="G512" s="8">
        <f>F512/1320</f>
        <v>0.56818181818181823</v>
      </c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0"/>
      <c r="B513" s="9"/>
      <c r="C513" s="23" t="s">
        <v>1510</v>
      </c>
      <c r="D513" s="12" t="s">
        <v>2190</v>
      </c>
      <c r="E513" s="9">
        <v>2</v>
      </c>
      <c r="F513" s="9">
        <v>570</v>
      </c>
      <c r="G513" s="8">
        <f>F513/1320</f>
        <v>0.43181818181818182</v>
      </c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0" t="s">
        <v>2943</v>
      </c>
      <c r="B514" s="9">
        <v>2</v>
      </c>
      <c r="C514" s="23">
        <v>4714781021777</v>
      </c>
      <c r="D514" s="12" t="s">
        <v>1522</v>
      </c>
      <c r="E514" s="9">
        <v>2</v>
      </c>
      <c r="F514" s="9">
        <v>750</v>
      </c>
      <c r="G514" s="8">
        <f>F514/1320</f>
        <v>0.56818181818181823</v>
      </c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0"/>
      <c r="B515" s="9"/>
      <c r="C515" s="23" t="s">
        <v>1506</v>
      </c>
      <c r="D515" s="12" t="s">
        <v>2188</v>
      </c>
      <c r="E515" s="9">
        <v>2</v>
      </c>
      <c r="F515" s="9">
        <v>570</v>
      </c>
      <c r="G515" s="8">
        <f>F515/1320</f>
        <v>0.43181818181818182</v>
      </c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0" t="s">
        <v>2942</v>
      </c>
      <c r="B516" s="9">
        <v>2</v>
      </c>
      <c r="C516" s="23">
        <v>4714781021777</v>
      </c>
      <c r="D516" s="12" t="s">
        <v>1522</v>
      </c>
      <c r="E516" s="9">
        <v>2</v>
      </c>
      <c r="F516" s="9">
        <v>750</v>
      </c>
      <c r="G516" s="8">
        <f>F516/1320</f>
        <v>0.56818181818181823</v>
      </c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0"/>
      <c r="B517" s="9"/>
      <c r="C517" s="23" t="s">
        <v>1508</v>
      </c>
      <c r="D517" s="12" t="s">
        <v>2186</v>
      </c>
      <c r="E517" s="9">
        <v>2</v>
      </c>
      <c r="F517" s="9">
        <v>570</v>
      </c>
      <c r="G517" s="8">
        <f>F517/1320</f>
        <v>0.43181818181818182</v>
      </c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0" t="s">
        <v>2941</v>
      </c>
      <c r="B518" s="9">
        <v>2</v>
      </c>
      <c r="C518" s="23">
        <v>4714781021777</v>
      </c>
      <c r="D518" s="12" t="s">
        <v>1522</v>
      </c>
      <c r="E518" s="9">
        <v>2</v>
      </c>
      <c r="F518" s="9">
        <v>750</v>
      </c>
      <c r="G518" s="8">
        <f>F518/1320</f>
        <v>0.56818181818181823</v>
      </c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0"/>
      <c r="B519" s="9"/>
      <c r="C519" s="23" t="s">
        <v>1531</v>
      </c>
      <c r="D519" s="12" t="s">
        <v>2194</v>
      </c>
      <c r="E519" s="9">
        <v>2</v>
      </c>
      <c r="F519" s="9">
        <v>570</v>
      </c>
      <c r="G519" s="8">
        <f>F519/1320</f>
        <v>0.43181818181818182</v>
      </c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0" t="s">
        <v>2940</v>
      </c>
      <c r="B520" s="9">
        <v>3</v>
      </c>
      <c r="C520" s="23">
        <v>4714781021777</v>
      </c>
      <c r="D520" s="12" t="s">
        <v>1522</v>
      </c>
      <c r="E520" s="9">
        <v>2</v>
      </c>
      <c r="F520" s="9">
        <v>750</v>
      </c>
      <c r="G520" s="8">
        <f>F520/1320</f>
        <v>0.56818181818181823</v>
      </c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0"/>
      <c r="B521" s="9"/>
      <c r="C521" s="23" t="s">
        <v>1510</v>
      </c>
      <c r="D521" s="12" t="s">
        <v>2190</v>
      </c>
      <c r="E521" s="9">
        <v>1</v>
      </c>
      <c r="F521" s="9">
        <v>285</v>
      </c>
      <c r="G521" s="8">
        <f>F521/1320</f>
        <v>0.21590909090909091</v>
      </c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0"/>
      <c r="B522" s="9"/>
      <c r="C522" s="23" t="s">
        <v>1531</v>
      </c>
      <c r="D522" s="12" t="s">
        <v>2194</v>
      </c>
      <c r="E522" s="9">
        <v>1</v>
      </c>
      <c r="F522" s="9">
        <v>285</v>
      </c>
      <c r="G522" s="8">
        <f>F522/1320</f>
        <v>0.21590909090909091</v>
      </c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0" t="s">
        <v>2939</v>
      </c>
      <c r="B523" s="9">
        <v>3</v>
      </c>
      <c r="C523" s="23">
        <v>4714781021777</v>
      </c>
      <c r="D523" s="12" t="s">
        <v>1522</v>
      </c>
      <c r="E523" s="9">
        <v>2</v>
      </c>
      <c r="F523" s="9">
        <v>750</v>
      </c>
      <c r="G523" s="8">
        <f>F523/1320</f>
        <v>0.56818181818181823</v>
      </c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0"/>
      <c r="B524" s="9"/>
      <c r="C524" s="23" t="s">
        <v>1531</v>
      </c>
      <c r="D524" s="12" t="s">
        <v>2194</v>
      </c>
      <c r="E524" s="9">
        <v>1</v>
      </c>
      <c r="F524" s="9">
        <v>285</v>
      </c>
      <c r="G524" s="8">
        <f>F524/1320</f>
        <v>0.21590909090909091</v>
      </c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0"/>
      <c r="B525" s="9"/>
      <c r="C525" s="23" t="s">
        <v>1508</v>
      </c>
      <c r="D525" s="12" t="s">
        <v>2186</v>
      </c>
      <c r="E525" s="9">
        <v>1</v>
      </c>
      <c r="F525" s="9">
        <v>285</v>
      </c>
      <c r="G525" s="8">
        <f>F525/1320</f>
        <v>0.21590909090909091</v>
      </c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0" t="s">
        <v>2938</v>
      </c>
      <c r="B526" s="9">
        <v>3</v>
      </c>
      <c r="C526" s="23">
        <v>4714781021777</v>
      </c>
      <c r="D526" s="12" t="s">
        <v>1522</v>
      </c>
      <c r="E526" s="9">
        <v>2</v>
      </c>
      <c r="F526" s="9">
        <v>750</v>
      </c>
      <c r="G526" s="8">
        <f>F526/1320</f>
        <v>0.56818181818181823</v>
      </c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0"/>
      <c r="B527" s="9"/>
      <c r="C527" s="23" t="s">
        <v>1531</v>
      </c>
      <c r="D527" s="12" t="s">
        <v>2194</v>
      </c>
      <c r="E527" s="9">
        <v>1</v>
      </c>
      <c r="F527" s="9">
        <v>285</v>
      </c>
      <c r="G527" s="8">
        <f>F527/1320</f>
        <v>0.21590909090909091</v>
      </c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0"/>
      <c r="B528" s="9"/>
      <c r="C528" s="23" t="s">
        <v>1506</v>
      </c>
      <c r="D528" s="12" t="s">
        <v>2188</v>
      </c>
      <c r="E528" s="9">
        <v>1</v>
      </c>
      <c r="F528" s="9">
        <v>285</v>
      </c>
      <c r="G528" s="8">
        <f>F528/1320</f>
        <v>0.21590909090909091</v>
      </c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0" t="s">
        <v>2937</v>
      </c>
      <c r="B529" s="9">
        <v>3</v>
      </c>
      <c r="C529" s="23">
        <v>4714781021777</v>
      </c>
      <c r="D529" s="12" t="s">
        <v>1522</v>
      </c>
      <c r="E529" s="9">
        <v>2</v>
      </c>
      <c r="F529" s="9">
        <v>750</v>
      </c>
      <c r="G529" s="8">
        <f>F529/1320</f>
        <v>0.56818181818181823</v>
      </c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0"/>
      <c r="B530" s="9"/>
      <c r="C530" s="23" t="s">
        <v>1510</v>
      </c>
      <c r="D530" s="12" t="s">
        <v>2190</v>
      </c>
      <c r="E530" s="9">
        <v>1</v>
      </c>
      <c r="F530" s="9">
        <v>285</v>
      </c>
      <c r="G530" s="8">
        <f>F530/1320</f>
        <v>0.21590909090909091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0"/>
      <c r="B531" s="9"/>
      <c r="C531" s="23" t="s">
        <v>1506</v>
      </c>
      <c r="D531" s="12" t="s">
        <v>2188</v>
      </c>
      <c r="E531" s="9">
        <v>1</v>
      </c>
      <c r="F531" s="9">
        <v>285</v>
      </c>
      <c r="G531" s="8">
        <f>F531/1320</f>
        <v>0.21590909090909091</v>
      </c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0" t="s">
        <v>2936</v>
      </c>
      <c r="B532" s="9">
        <v>3</v>
      </c>
      <c r="C532" s="23">
        <v>4714781021777</v>
      </c>
      <c r="D532" s="12" t="s">
        <v>1522</v>
      </c>
      <c r="E532" s="9">
        <v>2</v>
      </c>
      <c r="F532" s="9">
        <v>750</v>
      </c>
      <c r="G532" s="8">
        <f>F532/1320</f>
        <v>0.56818181818181823</v>
      </c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0"/>
      <c r="B533" s="9"/>
      <c r="C533" s="23" t="s">
        <v>1510</v>
      </c>
      <c r="D533" s="12" t="s">
        <v>2190</v>
      </c>
      <c r="E533" s="9">
        <v>1</v>
      </c>
      <c r="F533" s="9">
        <v>285</v>
      </c>
      <c r="G533" s="8">
        <f>F533/1320</f>
        <v>0.21590909090909091</v>
      </c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0"/>
      <c r="B534" s="9"/>
      <c r="C534" s="23" t="s">
        <v>1508</v>
      </c>
      <c r="D534" s="12" t="s">
        <v>2186</v>
      </c>
      <c r="E534" s="9">
        <v>1</v>
      </c>
      <c r="F534" s="9">
        <v>285</v>
      </c>
      <c r="G534" s="8">
        <f>F534/1320</f>
        <v>0.21590909090909091</v>
      </c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0" t="s">
        <v>2935</v>
      </c>
      <c r="B535" s="9">
        <v>3</v>
      </c>
      <c r="C535" s="23">
        <v>4714781021777</v>
      </c>
      <c r="D535" s="12" t="s">
        <v>1522</v>
      </c>
      <c r="E535" s="9">
        <v>2</v>
      </c>
      <c r="F535" s="9">
        <v>750</v>
      </c>
      <c r="G535" s="8">
        <f>F535/1320</f>
        <v>0.56818181818181823</v>
      </c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0"/>
      <c r="B536" s="9"/>
      <c r="C536" s="23" t="s">
        <v>1508</v>
      </c>
      <c r="D536" s="12" t="s">
        <v>2186</v>
      </c>
      <c r="E536" s="9">
        <v>1</v>
      </c>
      <c r="F536" s="9">
        <v>285</v>
      </c>
      <c r="G536" s="8">
        <f>F536/1320</f>
        <v>0.21590909090909091</v>
      </c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0"/>
      <c r="B537" s="9"/>
      <c r="C537" s="23" t="s">
        <v>1506</v>
      </c>
      <c r="D537" s="12" t="s">
        <v>2188</v>
      </c>
      <c r="E537" s="9">
        <v>1</v>
      </c>
      <c r="F537" s="9">
        <v>285</v>
      </c>
      <c r="G537" s="8">
        <f>F537/1320</f>
        <v>0.21590909090909091</v>
      </c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0" t="s">
        <v>2934</v>
      </c>
      <c r="B538" s="9">
        <v>1</v>
      </c>
      <c r="C538" s="21">
        <v>4714781020794</v>
      </c>
      <c r="D538" s="10" t="s">
        <v>1320</v>
      </c>
      <c r="E538" s="9">
        <v>2</v>
      </c>
      <c r="F538" s="9">
        <v>230</v>
      </c>
      <c r="G538" s="8">
        <f>F538/230</f>
        <v>1</v>
      </c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0" t="s">
        <v>2933</v>
      </c>
      <c r="B539" s="9">
        <v>1</v>
      </c>
      <c r="C539" s="21">
        <v>4714781020800</v>
      </c>
      <c r="D539" s="10" t="s">
        <v>1319</v>
      </c>
      <c r="E539" s="9">
        <v>2</v>
      </c>
      <c r="F539" s="9">
        <v>230</v>
      </c>
      <c r="G539" s="8">
        <f>F539/230</f>
        <v>1</v>
      </c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0" t="s">
        <v>2932</v>
      </c>
      <c r="B540" s="9">
        <v>1</v>
      </c>
      <c r="C540" s="21">
        <v>4714781020817</v>
      </c>
      <c r="D540" s="10" t="s">
        <v>1317</v>
      </c>
      <c r="E540" s="9">
        <v>2</v>
      </c>
      <c r="F540" s="9">
        <v>230</v>
      </c>
      <c r="G540" s="8">
        <f>F540/230</f>
        <v>1</v>
      </c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0" t="s">
        <v>2931</v>
      </c>
      <c r="B541" s="9">
        <v>2</v>
      </c>
      <c r="C541" s="21">
        <v>4714781020794</v>
      </c>
      <c r="D541" s="10" t="s">
        <v>1320</v>
      </c>
      <c r="E541" s="9">
        <v>1</v>
      </c>
      <c r="F541" s="9">
        <v>115</v>
      </c>
      <c r="G541" s="8">
        <f>F541/230</f>
        <v>0.5</v>
      </c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0"/>
      <c r="B542" s="10"/>
      <c r="C542" s="21">
        <v>4714781020800</v>
      </c>
      <c r="D542" s="10" t="s">
        <v>1319</v>
      </c>
      <c r="E542" s="9">
        <v>1</v>
      </c>
      <c r="F542" s="9">
        <v>115</v>
      </c>
      <c r="G542" s="8">
        <f>F542/230</f>
        <v>0.5</v>
      </c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0" t="s">
        <v>2930</v>
      </c>
      <c r="B543" s="9">
        <v>2</v>
      </c>
      <c r="C543" s="21">
        <v>4714781020794</v>
      </c>
      <c r="D543" s="10" t="s">
        <v>1320</v>
      </c>
      <c r="E543" s="9">
        <v>1</v>
      </c>
      <c r="F543" s="9">
        <v>115</v>
      </c>
      <c r="G543" s="8">
        <f>F543/230</f>
        <v>0.5</v>
      </c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0"/>
      <c r="B544" s="10"/>
      <c r="C544" s="21">
        <v>4714781020817</v>
      </c>
      <c r="D544" s="10" t="s">
        <v>1317</v>
      </c>
      <c r="E544" s="9">
        <v>1</v>
      </c>
      <c r="F544" s="9">
        <v>115</v>
      </c>
      <c r="G544" s="8">
        <f>F544/230</f>
        <v>0.5</v>
      </c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0" t="s">
        <v>2929</v>
      </c>
      <c r="B545" s="9">
        <v>2</v>
      </c>
      <c r="C545" s="21">
        <v>4714781020800</v>
      </c>
      <c r="D545" s="10" t="s">
        <v>1319</v>
      </c>
      <c r="E545" s="9">
        <v>1</v>
      </c>
      <c r="F545" s="9">
        <v>115</v>
      </c>
      <c r="G545" s="8">
        <f>F545/230</f>
        <v>0.5</v>
      </c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0"/>
      <c r="B546" s="10"/>
      <c r="C546" s="21">
        <v>4714781020817</v>
      </c>
      <c r="D546" s="10" t="s">
        <v>1317</v>
      </c>
      <c r="E546" s="9">
        <v>1</v>
      </c>
      <c r="F546" s="9">
        <v>115</v>
      </c>
      <c r="G546" s="8">
        <f>F546/230</f>
        <v>0.5</v>
      </c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0" t="s">
        <v>2928</v>
      </c>
      <c r="B547" s="9">
        <v>1</v>
      </c>
      <c r="C547" s="21">
        <v>4714781020770</v>
      </c>
      <c r="D547" s="10" t="s">
        <v>1380</v>
      </c>
      <c r="E547" s="9">
        <v>2</v>
      </c>
      <c r="F547" s="9">
        <v>270</v>
      </c>
      <c r="G547" s="8">
        <f>F547/270</f>
        <v>1</v>
      </c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0" t="s">
        <v>2927</v>
      </c>
      <c r="B548" s="9">
        <v>1</v>
      </c>
      <c r="C548" s="21">
        <v>4714781020787</v>
      </c>
      <c r="D548" s="10" t="s">
        <v>1378</v>
      </c>
      <c r="E548" s="9">
        <v>2</v>
      </c>
      <c r="F548" s="9">
        <v>270</v>
      </c>
      <c r="G548" s="8">
        <f>F548/270</f>
        <v>1</v>
      </c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0" t="s">
        <v>2926</v>
      </c>
      <c r="B549" s="9">
        <v>2</v>
      </c>
      <c r="C549" s="21">
        <v>4714781020770</v>
      </c>
      <c r="D549" s="10" t="s">
        <v>1380</v>
      </c>
      <c r="E549" s="9">
        <v>1</v>
      </c>
      <c r="F549" s="9">
        <v>135</v>
      </c>
      <c r="G549" s="8">
        <f>F549/270</f>
        <v>0.5</v>
      </c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0"/>
      <c r="B550" s="10"/>
      <c r="C550" s="21">
        <v>4714781020787</v>
      </c>
      <c r="D550" s="10" t="s">
        <v>1378</v>
      </c>
      <c r="E550" s="9">
        <v>1</v>
      </c>
      <c r="F550" s="9">
        <v>135</v>
      </c>
      <c r="G550" s="8">
        <f>F550/270</f>
        <v>0.5</v>
      </c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0" t="s">
        <v>2925</v>
      </c>
      <c r="B551" s="9">
        <v>1</v>
      </c>
      <c r="C551" s="21">
        <v>4714781020848</v>
      </c>
      <c r="D551" s="10" t="s">
        <v>1382</v>
      </c>
      <c r="E551" s="9">
        <v>2</v>
      </c>
      <c r="F551" s="9">
        <v>650</v>
      </c>
      <c r="G551" s="8">
        <f>F551/650</f>
        <v>1</v>
      </c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0" t="s">
        <v>2924</v>
      </c>
      <c r="B552" s="9">
        <v>1</v>
      </c>
      <c r="C552" s="21" t="s">
        <v>1596</v>
      </c>
      <c r="D552" s="10" t="s">
        <v>1384</v>
      </c>
      <c r="E552" s="9">
        <v>2</v>
      </c>
      <c r="F552" s="9">
        <v>650</v>
      </c>
      <c r="G552" s="8">
        <f>F552/650</f>
        <v>1</v>
      </c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0" t="s">
        <v>2923</v>
      </c>
      <c r="B553" s="9">
        <v>2</v>
      </c>
      <c r="C553" s="21">
        <v>4714781020848</v>
      </c>
      <c r="D553" s="10" t="s">
        <v>1382</v>
      </c>
      <c r="E553" s="9">
        <v>1</v>
      </c>
      <c r="F553" s="9">
        <v>325</v>
      </c>
      <c r="G553" s="8">
        <f>F553/650</f>
        <v>0.5</v>
      </c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0"/>
      <c r="B554" s="10"/>
      <c r="C554" s="21" t="s">
        <v>1596</v>
      </c>
      <c r="D554" s="10" t="s">
        <v>1384</v>
      </c>
      <c r="E554" s="9">
        <v>1</v>
      </c>
      <c r="F554" s="9">
        <v>325</v>
      </c>
      <c r="G554" s="8">
        <f>F554/650</f>
        <v>0.5</v>
      </c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0" t="s">
        <v>2922</v>
      </c>
      <c r="B555" s="9">
        <v>1</v>
      </c>
      <c r="C555" s="21">
        <v>4714781020824</v>
      </c>
      <c r="D555" s="10" t="s">
        <v>1391</v>
      </c>
      <c r="E555" s="9">
        <v>2</v>
      </c>
      <c r="F555" s="9">
        <v>650</v>
      </c>
      <c r="G555" s="8">
        <f>F555/650</f>
        <v>1</v>
      </c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0" t="s">
        <v>2921</v>
      </c>
      <c r="B556" s="9">
        <v>1</v>
      </c>
      <c r="C556" s="21">
        <v>4714781020831</v>
      </c>
      <c r="D556" s="10" t="s">
        <v>1389</v>
      </c>
      <c r="E556" s="9">
        <v>2</v>
      </c>
      <c r="F556" s="9">
        <v>650</v>
      </c>
      <c r="G556" s="8">
        <f>F556/650</f>
        <v>1</v>
      </c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0" t="s">
        <v>2920</v>
      </c>
      <c r="B557" s="9">
        <v>2</v>
      </c>
      <c r="C557" s="21">
        <v>4714781020824</v>
      </c>
      <c r="D557" s="10" t="s">
        <v>1391</v>
      </c>
      <c r="E557" s="9">
        <v>1</v>
      </c>
      <c r="F557" s="9">
        <v>325</v>
      </c>
      <c r="G557" s="8">
        <f>F557/650</f>
        <v>0.5</v>
      </c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0"/>
      <c r="B558" s="10"/>
      <c r="C558" s="21">
        <v>4714781020831</v>
      </c>
      <c r="D558" s="10" t="s">
        <v>1389</v>
      </c>
      <c r="E558" s="9">
        <v>1</v>
      </c>
      <c r="F558" s="9">
        <v>325</v>
      </c>
      <c r="G558" s="8">
        <f>F558/650</f>
        <v>0.5</v>
      </c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0" t="s">
        <v>2919</v>
      </c>
      <c r="B559" s="9">
        <v>2</v>
      </c>
      <c r="C559" s="21">
        <v>4714781020848</v>
      </c>
      <c r="D559" s="10" t="s">
        <v>1382</v>
      </c>
      <c r="E559" s="9">
        <v>1</v>
      </c>
      <c r="F559" s="9">
        <v>325</v>
      </c>
      <c r="G559" s="8">
        <f>F559/650</f>
        <v>0.5</v>
      </c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0"/>
      <c r="B560" s="10"/>
      <c r="C560" s="21">
        <v>4714781020824</v>
      </c>
      <c r="D560" s="10" t="s">
        <v>1391</v>
      </c>
      <c r="E560" s="9">
        <v>1</v>
      </c>
      <c r="F560" s="9">
        <v>325</v>
      </c>
      <c r="G560" s="8">
        <f>F560/650</f>
        <v>0.5</v>
      </c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0" t="s">
        <v>2918</v>
      </c>
      <c r="B561" s="9">
        <v>2</v>
      </c>
      <c r="C561" s="21">
        <v>4714781020848</v>
      </c>
      <c r="D561" s="10" t="s">
        <v>1382</v>
      </c>
      <c r="E561" s="9">
        <v>1</v>
      </c>
      <c r="F561" s="9">
        <v>325</v>
      </c>
      <c r="G561" s="8">
        <f>F561/650</f>
        <v>0.5</v>
      </c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0"/>
      <c r="B562" s="10"/>
      <c r="C562" s="21">
        <v>4714781020831</v>
      </c>
      <c r="D562" s="10" t="s">
        <v>1389</v>
      </c>
      <c r="E562" s="9">
        <v>1</v>
      </c>
      <c r="F562" s="9">
        <v>325</v>
      </c>
      <c r="G562" s="8">
        <f>F562/650</f>
        <v>0.5</v>
      </c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0" t="s">
        <v>2917</v>
      </c>
      <c r="B563" s="9">
        <v>2</v>
      </c>
      <c r="C563" s="21" t="s">
        <v>1596</v>
      </c>
      <c r="D563" s="10" t="s">
        <v>1384</v>
      </c>
      <c r="E563" s="9">
        <v>1</v>
      </c>
      <c r="F563" s="9">
        <v>325</v>
      </c>
      <c r="G563" s="8">
        <f>F563/650</f>
        <v>0.5</v>
      </c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0"/>
      <c r="B564" s="10"/>
      <c r="C564" s="21">
        <v>4714781020824</v>
      </c>
      <c r="D564" s="10" t="s">
        <v>1391</v>
      </c>
      <c r="E564" s="9">
        <v>1</v>
      </c>
      <c r="F564" s="9">
        <v>325</v>
      </c>
      <c r="G564" s="8">
        <f>F564/650</f>
        <v>0.5</v>
      </c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0" t="s">
        <v>2916</v>
      </c>
      <c r="B565" s="9">
        <v>2</v>
      </c>
      <c r="C565" s="21" t="s">
        <v>1596</v>
      </c>
      <c r="D565" s="10" t="s">
        <v>1384</v>
      </c>
      <c r="E565" s="9">
        <v>1</v>
      </c>
      <c r="F565" s="9">
        <v>325</v>
      </c>
      <c r="G565" s="8">
        <f>F565/650</f>
        <v>0.5</v>
      </c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0"/>
      <c r="B566" s="10"/>
      <c r="C566" s="21">
        <v>4714781020831</v>
      </c>
      <c r="D566" s="10" t="s">
        <v>1389</v>
      </c>
      <c r="E566" s="9">
        <v>1</v>
      </c>
      <c r="F566" s="9">
        <v>325</v>
      </c>
      <c r="G566" s="8">
        <f>F566/650</f>
        <v>0.5</v>
      </c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0" t="s">
        <v>2915</v>
      </c>
      <c r="B567" s="9">
        <v>5</v>
      </c>
      <c r="C567" s="21" t="s">
        <v>1585</v>
      </c>
      <c r="D567" s="10" t="s">
        <v>1584</v>
      </c>
      <c r="E567" s="9">
        <v>1</v>
      </c>
      <c r="F567" s="9">
        <v>60</v>
      </c>
      <c r="G567" s="8">
        <f>F567/600</f>
        <v>0.1</v>
      </c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0"/>
      <c r="B568" s="12"/>
      <c r="C568" s="21" t="s">
        <v>1598</v>
      </c>
      <c r="D568" s="10" t="s">
        <v>1382</v>
      </c>
      <c r="E568" s="9">
        <v>1</v>
      </c>
      <c r="F568" s="9">
        <v>300</v>
      </c>
      <c r="G568" s="8">
        <f>F568/600</f>
        <v>0.5</v>
      </c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0"/>
      <c r="B569" s="12"/>
      <c r="C569" s="21" t="s">
        <v>1595</v>
      </c>
      <c r="D569" s="10" t="s">
        <v>1378</v>
      </c>
      <c r="E569" s="9">
        <v>1</v>
      </c>
      <c r="F569" s="9">
        <v>120</v>
      </c>
      <c r="G569" s="8">
        <f>F569/600</f>
        <v>0.2</v>
      </c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0"/>
      <c r="B570" s="12"/>
      <c r="C570" s="21" t="s">
        <v>1593</v>
      </c>
      <c r="D570" s="10" t="s">
        <v>1592</v>
      </c>
      <c r="E570" s="9">
        <v>1</v>
      </c>
      <c r="F570" s="9">
        <v>50</v>
      </c>
      <c r="G570" s="8">
        <f>F570/600</f>
        <v>8.3333333333333329E-2</v>
      </c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0"/>
      <c r="B571" s="12"/>
      <c r="C571" s="21" t="s">
        <v>1583</v>
      </c>
      <c r="D571" s="10" t="s">
        <v>1582</v>
      </c>
      <c r="E571" s="9">
        <v>1</v>
      </c>
      <c r="F571" s="9">
        <v>70</v>
      </c>
      <c r="G571" s="8">
        <f>F571/600</f>
        <v>0.11666666666666667</v>
      </c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0" t="s">
        <v>2914</v>
      </c>
      <c r="B572" s="9">
        <v>5</v>
      </c>
      <c r="C572" s="21" t="s">
        <v>1585</v>
      </c>
      <c r="D572" s="10" t="s">
        <v>1584</v>
      </c>
      <c r="E572" s="9">
        <v>1</v>
      </c>
      <c r="F572" s="9">
        <v>60</v>
      </c>
      <c r="G572" s="8">
        <f>F572/600</f>
        <v>0.1</v>
      </c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0"/>
      <c r="B573" s="12"/>
      <c r="C573" s="21" t="s">
        <v>1596</v>
      </c>
      <c r="D573" s="10" t="s">
        <v>1384</v>
      </c>
      <c r="E573" s="9">
        <v>1</v>
      </c>
      <c r="F573" s="9">
        <v>300</v>
      </c>
      <c r="G573" s="8">
        <f>F573/600</f>
        <v>0.5</v>
      </c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0"/>
      <c r="B574" s="12"/>
      <c r="C574" s="21" t="s">
        <v>1602</v>
      </c>
      <c r="D574" s="10" t="s">
        <v>1380</v>
      </c>
      <c r="E574" s="9">
        <v>1</v>
      </c>
      <c r="F574" s="9">
        <v>120</v>
      </c>
      <c r="G574" s="8">
        <f>F574/600</f>
        <v>0.2</v>
      </c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0"/>
      <c r="B575" s="12"/>
      <c r="C575" s="21" t="s">
        <v>1588</v>
      </c>
      <c r="D575" s="10" t="s">
        <v>1587</v>
      </c>
      <c r="E575" s="9">
        <v>1</v>
      </c>
      <c r="F575" s="9">
        <v>50</v>
      </c>
      <c r="G575" s="8">
        <f>F575/600</f>
        <v>8.3333333333333329E-2</v>
      </c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0"/>
      <c r="B576" s="12"/>
      <c r="C576" s="21" t="s">
        <v>1583</v>
      </c>
      <c r="D576" s="10" t="s">
        <v>1582</v>
      </c>
      <c r="E576" s="9">
        <v>1</v>
      </c>
      <c r="F576" s="9">
        <v>70</v>
      </c>
      <c r="G576" s="8">
        <f>F576/600</f>
        <v>0.11666666666666667</v>
      </c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0" t="s">
        <v>2913</v>
      </c>
      <c r="B577" s="9">
        <v>5</v>
      </c>
      <c r="C577" s="21" t="s">
        <v>1585</v>
      </c>
      <c r="D577" s="10" t="s">
        <v>1584</v>
      </c>
      <c r="E577" s="9">
        <v>1</v>
      </c>
      <c r="F577" s="9">
        <v>60</v>
      </c>
      <c r="G577" s="8">
        <f>F577/600</f>
        <v>0.1</v>
      </c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0"/>
      <c r="B578" s="12"/>
      <c r="C578" s="21" t="s">
        <v>1596</v>
      </c>
      <c r="D578" s="10" t="s">
        <v>1384</v>
      </c>
      <c r="E578" s="9">
        <v>1</v>
      </c>
      <c r="F578" s="9">
        <v>300</v>
      </c>
      <c r="G578" s="8">
        <f>F578/600</f>
        <v>0.5</v>
      </c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0"/>
      <c r="B579" s="12"/>
      <c r="C579" s="21" t="s">
        <v>1595</v>
      </c>
      <c r="D579" s="10" t="s">
        <v>1378</v>
      </c>
      <c r="E579" s="9">
        <v>1</v>
      </c>
      <c r="F579" s="9">
        <v>120</v>
      </c>
      <c r="G579" s="8">
        <f>F579/600</f>
        <v>0.2</v>
      </c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0"/>
      <c r="B580" s="12"/>
      <c r="C580" s="21" t="s">
        <v>1581</v>
      </c>
      <c r="D580" s="10" t="s">
        <v>1580</v>
      </c>
      <c r="E580" s="9">
        <v>1</v>
      </c>
      <c r="F580" s="9">
        <v>50</v>
      </c>
      <c r="G580" s="8">
        <f>F580/600</f>
        <v>8.3333333333333329E-2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0"/>
      <c r="B581" s="12"/>
      <c r="C581" s="21" t="s">
        <v>1583</v>
      </c>
      <c r="D581" s="10" t="s">
        <v>1582</v>
      </c>
      <c r="E581" s="9">
        <v>1</v>
      </c>
      <c r="F581" s="9">
        <v>70</v>
      </c>
      <c r="G581" s="8">
        <f>F581/600</f>
        <v>0.11666666666666667</v>
      </c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0" t="s">
        <v>2912</v>
      </c>
      <c r="B582" s="9">
        <v>5</v>
      </c>
      <c r="C582" s="21" t="s">
        <v>1585</v>
      </c>
      <c r="D582" s="10" t="s">
        <v>1584</v>
      </c>
      <c r="E582" s="9">
        <v>1</v>
      </c>
      <c r="F582" s="9">
        <v>60</v>
      </c>
      <c r="G582" s="8">
        <f>F582/600</f>
        <v>0.1</v>
      </c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0"/>
      <c r="B583" s="12"/>
      <c r="C583" s="21" t="s">
        <v>1583</v>
      </c>
      <c r="D583" s="10" t="s">
        <v>1582</v>
      </c>
      <c r="E583" s="9">
        <v>1</v>
      </c>
      <c r="F583" s="9">
        <v>300</v>
      </c>
      <c r="G583" s="8">
        <f>F583/600</f>
        <v>0.5</v>
      </c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0"/>
      <c r="B584" s="12"/>
      <c r="C584" s="21" t="s">
        <v>1593</v>
      </c>
      <c r="D584" s="10" t="s">
        <v>1592</v>
      </c>
      <c r="E584" s="9">
        <v>1</v>
      </c>
      <c r="F584" s="9">
        <v>120</v>
      </c>
      <c r="G584" s="8">
        <f>F584/600</f>
        <v>0.2</v>
      </c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0"/>
      <c r="B585" s="12"/>
      <c r="C585" s="21">
        <v>4714781020800</v>
      </c>
      <c r="D585" s="10" t="s">
        <v>1319</v>
      </c>
      <c r="E585" s="9">
        <v>1</v>
      </c>
      <c r="F585" s="9">
        <v>50</v>
      </c>
      <c r="G585" s="8">
        <f>F585/600</f>
        <v>8.3333333333333329E-2</v>
      </c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0"/>
      <c r="B586" s="12"/>
      <c r="C586" s="21">
        <v>4714781020824</v>
      </c>
      <c r="D586" s="10" t="s">
        <v>1391</v>
      </c>
      <c r="E586" s="9">
        <v>1</v>
      </c>
      <c r="F586" s="9">
        <v>70</v>
      </c>
      <c r="G586" s="8">
        <f>F586/600</f>
        <v>0.11666666666666667</v>
      </c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0" t="s">
        <v>2911</v>
      </c>
      <c r="B587" s="9">
        <v>5</v>
      </c>
      <c r="C587" s="21" t="s">
        <v>1585</v>
      </c>
      <c r="D587" s="10" t="s">
        <v>1584</v>
      </c>
      <c r="E587" s="9">
        <v>1</v>
      </c>
      <c r="F587" s="9">
        <v>60</v>
      </c>
      <c r="G587" s="8">
        <f>F587/600</f>
        <v>0.1</v>
      </c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0"/>
      <c r="B588" s="12"/>
      <c r="C588" s="21" t="s">
        <v>1583</v>
      </c>
      <c r="D588" s="10" t="s">
        <v>1582</v>
      </c>
      <c r="E588" s="9">
        <v>1</v>
      </c>
      <c r="F588" s="9">
        <v>300</v>
      </c>
      <c r="G588" s="8">
        <f>F588/600</f>
        <v>0.5</v>
      </c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0"/>
      <c r="B589" s="12"/>
      <c r="C589" s="21" t="s">
        <v>1588</v>
      </c>
      <c r="D589" s="10" t="s">
        <v>1587</v>
      </c>
      <c r="E589" s="9">
        <v>1</v>
      </c>
      <c r="F589" s="9">
        <v>120</v>
      </c>
      <c r="G589" s="8">
        <f>F589/600</f>
        <v>0.2</v>
      </c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0"/>
      <c r="B590" s="12"/>
      <c r="C590" s="21">
        <v>4714781020817</v>
      </c>
      <c r="D590" s="10" t="s">
        <v>1317</v>
      </c>
      <c r="E590" s="9">
        <v>1</v>
      </c>
      <c r="F590" s="9">
        <v>50</v>
      </c>
      <c r="G590" s="8">
        <f>F590/600</f>
        <v>8.3333333333333329E-2</v>
      </c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0"/>
      <c r="B591" s="12"/>
      <c r="C591" s="21" t="s">
        <v>1579</v>
      </c>
      <c r="D591" s="10" t="s">
        <v>1389</v>
      </c>
      <c r="E591" s="9">
        <v>1</v>
      </c>
      <c r="F591" s="9">
        <v>70</v>
      </c>
      <c r="G591" s="8">
        <f>F591/600</f>
        <v>0.11666666666666667</v>
      </c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0" t="s">
        <v>2910</v>
      </c>
      <c r="B592" s="9">
        <v>5</v>
      </c>
      <c r="C592" s="21" t="s">
        <v>1585</v>
      </c>
      <c r="D592" s="10" t="s">
        <v>1584</v>
      </c>
      <c r="E592" s="9">
        <v>1</v>
      </c>
      <c r="F592" s="9">
        <v>60</v>
      </c>
      <c r="G592" s="8">
        <f>F592/600</f>
        <v>0.1</v>
      </c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0"/>
      <c r="B593" s="12"/>
      <c r="C593" s="21" t="s">
        <v>1583</v>
      </c>
      <c r="D593" s="10" t="s">
        <v>1582</v>
      </c>
      <c r="E593" s="9">
        <v>1</v>
      </c>
      <c r="F593" s="9">
        <v>300</v>
      </c>
      <c r="G593" s="8">
        <f>F593/600</f>
        <v>0.5</v>
      </c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0"/>
      <c r="B594" s="12"/>
      <c r="C594" s="21" t="s">
        <v>1581</v>
      </c>
      <c r="D594" s="10" t="s">
        <v>1580</v>
      </c>
      <c r="E594" s="9">
        <v>1</v>
      </c>
      <c r="F594" s="9">
        <v>120</v>
      </c>
      <c r="G594" s="8">
        <f>F594/600</f>
        <v>0.2</v>
      </c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0"/>
      <c r="B595" s="12"/>
      <c r="C595" s="21">
        <v>4714781020817</v>
      </c>
      <c r="D595" s="10" t="s">
        <v>1317</v>
      </c>
      <c r="E595" s="9">
        <v>1</v>
      </c>
      <c r="F595" s="9">
        <v>50</v>
      </c>
      <c r="G595" s="8">
        <f>F595/600</f>
        <v>8.3333333333333329E-2</v>
      </c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0"/>
      <c r="B596" s="12"/>
      <c r="C596" s="21" t="s">
        <v>1579</v>
      </c>
      <c r="D596" s="10" t="s">
        <v>1389</v>
      </c>
      <c r="E596" s="9">
        <v>1</v>
      </c>
      <c r="F596" s="9">
        <v>70</v>
      </c>
      <c r="G596" s="8">
        <f>F596/600</f>
        <v>0.11666666666666667</v>
      </c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0" t="s">
        <v>2909</v>
      </c>
      <c r="B597" s="9">
        <v>1</v>
      </c>
      <c r="C597" s="23" t="s">
        <v>1510</v>
      </c>
      <c r="D597" s="12" t="s">
        <v>2190</v>
      </c>
      <c r="E597" s="9">
        <v>4</v>
      </c>
      <c r="F597" s="9">
        <v>1160</v>
      </c>
      <c r="G597" s="8">
        <f>F597/1160</f>
        <v>1</v>
      </c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0" t="s">
        <v>2908</v>
      </c>
      <c r="B598" s="9">
        <v>1</v>
      </c>
      <c r="C598" s="23" t="s">
        <v>1506</v>
      </c>
      <c r="D598" s="12" t="s">
        <v>2188</v>
      </c>
      <c r="E598" s="9">
        <v>4</v>
      </c>
      <c r="F598" s="9">
        <v>1160</v>
      </c>
      <c r="G598" s="8">
        <f>F598/1160</f>
        <v>1</v>
      </c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0" t="s">
        <v>2907</v>
      </c>
      <c r="B599" s="9">
        <v>1</v>
      </c>
      <c r="C599" s="23" t="s">
        <v>1508</v>
      </c>
      <c r="D599" s="12" t="s">
        <v>2186</v>
      </c>
      <c r="E599" s="9">
        <v>4</v>
      </c>
      <c r="F599" s="9">
        <v>1160</v>
      </c>
      <c r="G599" s="8">
        <f>F599/1160</f>
        <v>1</v>
      </c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0" t="s">
        <v>2906</v>
      </c>
      <c r="B600" s="9">
        <v>1</v>
      </c>
      <c r="C600" s="23" t="s">
        <v>1531</v>
      </c>
      <c r="D600" s="12" t="s">
        <v>2194</v>
      </c>
      <c r="E600" s="9">
        <v>4</v>
      </c>
      <c r="F600" s="9">
        <v>1160</v>
      </c>
      <c r="G600" s="8">
        <f>F600/1160</f>
        <v>1</v>
      </c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0" t="s">
        <v>2905</v>
      </c>
      <c r="B601" s="9">
        <v>4</v>
      </c>
      <c r="C601" s="23" t="s">
        <v>1510</v>
      </c>
      <c r="D601" s="12" t="s">
        <v>2190</v>
      </c>
      <c r="E601" s="9">
        <v>1</v>
      </c>
      <c r="F601" s="9">
        <v>290</v>
      </c>
      <c r="G601" s="8">
        <f>F601/1160</f>
        <v>0.25</v>
      </c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0"/>
      <c r="B602" s="12"/>
      <c r="C602" s="23" t="s">
        <v>1506</v>
      </c>
      <c r="D602" s="12" t="s">
        <v>2188</v>
      </c>
      <c r="E602" s="9">
        <v>1</v>
      </c>
      <c r="F602" s="9">
        <v>290</v>
      </c>
      <c r="G602" s="8">
        <f>F602/1160</f>
        <v>0.25</v>
      </c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0"/>
      <c r="B603" s="12"/>
      <c r="C603" s="23" t="s">
        <v>1508</v>
      </c>
      <c r="D603" s="12" t="s">
        <v>2186</v>
      </c>
      <c r="E603" s="9">
        <v>1</v>
      </c>
      <c r="F603" s="9">
        <v>290</v>
      </c>
      <c r="G603" s="8">
        <f>F603/1160</f>
        <v>0.25</v>
      </c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0"/>
      <c r="B604" s="12"/>
      <c r="C604" s="23" t="s">
        <v>1531</v>
      </c>
      <c r="D604" s="12" t="s">
        <v>2194</v>
      </c>
      <c r="E604" s="9">
        <v>1</v>
      </c>
      <c r="F604" s="9">
        <v>290</v>
      </c>
      <c r="G604" s="8">
        <f>F604/1160</f>
        <v>0.25</v>
      </c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0" t="s">
        <v>2904</v>
      </c>
      <c r="B605" s="9">
        <v>2</v>
      </c>
      <c r="C605" s="21">
        <v>4719880900091</v>
      </c>
      <c r="D605" s="10" t="s">
        <v>920</v>
      </c>
      <c r="E605" s="9">
        <v>1</v>
      </c>
      <c r="F605" s="9">
        <v>269</v>
      </c>
      <c r="G605" s="8">
        <f>F605/399</f>
        <v>0.67418546365914789</v>
      </c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0"/>
      <c r="B606" s="9"/>
      <c r="C606" s="21">
        <v>4719880900060</v>
      </c>
      <c r="D606" s="10" t="s">
        <v>2903</v>
      </c>
      <c r="E606" s="9">
        <v>1</v>
      </c>
      <c r="F606" s="9">
        <v>130</v>
      </c>
      <c r="G606" s="8">
        <f>F606/399</f>
        <v>0.32581453634085211</v>
      </c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0" t="s">
        <v>2902</v>
      </c>
      <c r="B607" s="9">
        <v>3</v>
      </c>
      <c r="C607" s="21">
        <v>4714781020558</v>
      </c>
      <c r="D607" s="10" t="s">
        <v>1370</v>
      </c>
      <c r="E607" s="9">
        <v>2</v>
      </c>
      <c r="F607" s="9">
        <v>296</v>
      </c>
      <c r="G607" s="8">
        <f>F607/890</f>
        <v>0.33258426966292137</v>
      </c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0"/>
      <c r="B608" s="9"/>
      <c r="C608" s="21">
        <v>4714781020503</v>
      </c>
      <c r="D608" s="10" t="s">
        <v>1372</v>
      </c>
      <c r="E608" s="9">
        <v>2</v>
      </c>
      <c r="F608" s="9">
        <v>296</v>
      </c>
      <c r="G608" s="8">
        <f>F608/890</f>
        <v>0.33258426966292137</v>
      </c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0"/>
      <c r="B609" s="9"/>
      <c r="C609" s="21">
        <v>4714781020466</v>
      </c>
      <c r="D609" s="10" t="s">
        <v>1374</v>
      </c>
      <c r="E609" s="9">
        <v>2</v>
      </c>
      <c r="F609" s="9">
        <v>298</v>
      </c>
      <c r="G609" s="8">
        <f>F609/890</f>
        <v>0.33483146067415731</v>
      </c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0" t="s">
        <v>2901</v>
      </c>
      <c r="B610" s="9">
        <v>1</v>
      </c>
      <c r="C610" s="21">
        <v>4714781020558</v>
      </c>
      <c r="D610" s="10" t="s">
        <v>1370</v>
      </c>
      <c r="E610" s="9">
        <v>6</v>
      </c>
      <c r="F610" s="9">
        <v>890</v>
      </c>
      <c r="G610" s="8">
        <f>F610/890</f>
        <v>1</v>
      </c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0" t="s">
        <v>2900</v>
      </c>
      <c r="B611" s="9">
        <v>1</v>
      </c>
      <c r="C611" s="21">
        <v>4714781020503</v>
      </c>
      <c r="D611" s="10" t="s">
        <v>1372</v>
      </c>
      <c r="E611" s="9">
        <v>6</v>
      </c>
      <c r="F611" s="9">
        <v>890</v>
      </c>
      <c r="G611" s="8">
        <f>F611/890</f>
        <v>1</v>
      </c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0" t="s">
        <v>2899</v>
      </c>
      <c r="B612" s="9">
        <v>1</v>
      </c>
      <c r="C612" s="21">
        <v>4714781020466</v>
      </c>
      <c r="D612" s="10" t="s">
        <v>1374</v>
      </c>
      <c r="E612" s="9">
        <v>6</v>
      </c>
      <c r="F612" s="9">
        <v>890</v>
      </c>
      <c r="G612" s="8">
        <f>F612/890</f>
        <v>1</v>
      </c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0" t="s">
        <v>2898</v>
      </c>
      <c r="B613" s="9">
        <v>2</v>
      </c>
      <c r="C613" s="21">
        <v>4714781020503</v>
      </c>
      <c r="D613" s="10" t="s">
        <v>1372</v>
      </c>
      <c r="E613" s="9">
        <v>3</v>
      </c>
      <c r="F613" s="9">
        <v>445</v>
      </c>
      <c r="G613" s="8">
        <f>F613/890</f>
        <v>0.5</v>
      </c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0"/>
      <c r="B614" s="9"/>
      <c r="C614" s="21">
        <v>4714781020466</v>
      </c>
      <c r="D614" s="10" t="s">
        <v>1374</v>
      </c>
      <c r="E614" s="9">
        <v>3</v>
      </c>
      <c r="F614" s="9">
        <v>445</v>
      </c>
      <c r="G614" s="8">
        <f>F614/890</f>
        <v>0.5</v>
      </c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0" t="s">
        <v>2897</v>
      </c>
      <c r="B615" s="9">
        <v>2</v>
      </c>
      <c r="C615" s="21">
        <v>4714781020503</v>
      </c>
      <c r="D615" s="10" t="s">
        <v>1372</v>
      </c>
      <c r="E615" s="9">
        <v>3</v>
      </c>
      <c r="F615" s="9">
        <v>445</v>
      </c>
      <c r="G615" s="8">
        <f>F615/890</f>
        <v>0.5</v>
      </c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0"/>
      <c r="B616" s="9"/>
      <c r="C616" s="21">
        <v>4714781020558</v>
      </c>
      <c r="D616" s="10" t="s">
        <v>1370</v>
      </c>
      <c r="E616" s="9">
        <v>3</v>
      </c>
      <c r="F616" s="9">
        <v>445</v>
      </c>
      <c r="G616" s="8">
        <f>F616/890</f>
        <v>0.5</v>
      </c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0" t="s">
        <v>2896</v>
      </c>
      <c r="B617" s="9">
        <v>2</v>
      </c>
      <c r="C617" s="21">
        <v>4714781020466</v>
      </c>
      <c r="D617" s="10" t="s">
        <v>1374</v>
      </c>
      <c r="E617" s="9">
        <v>3</v>
      </c>
      <c r="F617" s="9">
        <v>445</v>
      </c>
      <c r="G617" s="8">
        <f>F617/890</f>
        <v>0.5</v>
      </c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0"/>
      <c r="B618" s="9"/>
      <c r="C618" s="21">
        <v>4714781020558</v>
      </c>
      <c r="D618" s="10" t="s">
        <v>1370</v>
      </c>
      <c r="E618" s="9">
        <v>3</v>
      </c>
      <c r="F618" s="9">
        <v>445</v>
      </c>
      <c r="G618" s="8">
        <f>F618/890</f>
        <v>0.5</v>
      </c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0" t="s">
        <v>2895</v>
      </c>
      <c r="B619" s="9">
        <v>3</v>
      </c>
      <c r="C619" s="6">
        <v>4714781021609</v>
      </c>
      <c r="D619" s="12" t="s">
        <v>1454</v>
      </c>
      <c r="E619" s="9">
        <v>2</v>
      </c>
      <c r="F619" s="9">
        <v>260</v>
      </c>
      <c r="G619" s="8">
        <f>F619/780</f>
        <v>0.33333333333333331</v>
      </c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0"/>
      <c r="B620" s="12"/>
      <c r="C620" s="23">
        <v>4714781021012</v>
      </c>
      <c r="D620" s="12" t="s">
        <v>1703</v>
      </c>
      <c r="E620" s="9">
        <v>2</v>
      </c>
      <c r="F620" s="9">
        <v>260</v>
      </c>
      <c r="G620" s="8">
        <f>F620/780</f>
        <v>0.33333333333333331</v>
      </c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0"/>
      <c r="B621" s="12"/>
      <c r="C621" s="23">
        <v>4714781021029</v>
      </c>
      <c r="D621" s="12" t="s">
        <v>1452</v>
      </c>
      <c r="E621" s="9">
        <v>2</v>
      </c>
      <c r="F621" s="9">
        <v>260</v>
      </c>
      <c r="G621" s="8">
        <f>F621/780</f>
        <v>0.33333333333333331</v>
      </c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0" t="s">
        <v>2894</v>
      </c>
      <c r="B622" s="9">
        <v>1</v>
      </c>
      <c r="C622" s="6">
        <v>4714781021609</v>
      </c>
      <c r="D622" s="12" t="s">
        <v>1454</v>
      </c>
      <c r="E622" s="9">
        <v>6</v>
      </c>
      <c r="F622" s="9">
        <v>780</v>
      </c>
      <c r="G622" s="8">
        <f>F622/780</f>
        <v>1</v>
      </c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0" t="s">
        <v>2893</v>
      </c>
      <c r="B623" s="9">
        <v>1</v>
      </c>
      <c r="C623" s="23">
        <v>4714781021012</v>
      </c>
      <c r="D623" s="12" t="s">
        <v>1703</v>
      </c>
      <c r="E623" s="9">
        <v>6</v>
      </c>
      <c r="F623" s="9">
        <v>780</v>
      </c>
      <c r="G623" s="8">
        <f>F623/780</f>
        <v>1</v>
      </c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0" t="s">
        <v>2892</v>
      </c>
      <c r="B624" s="9">
        <v>1</v>
      </c>
      <c r="C624" s="23">
        <v>4714781021029</v>
      </c>
      <c r="D624" s="12" t="s">
        <v>1452</v>
      </c>
      <c r="E624" s="9">
        <v>6</v>
      </c>
      <c r="F624" s="9">
        <v>780</v>
      </c>
      <c r="G624" s="8">
        <f>F624/780</f>
        <v>1</v>
      </c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0" t="s">
        <v>2891</v>
      </c>
      <c r="B625" s="9">
        <v>2</v>
      </c>
      <c r="C625" s="23">
        <v>4714781021029</v>
      </c>
      <c r="D625" s="12" t="s">
        <v>1452</v>
      </c>
      <c r="E625" s="9">
        <v>3</v>
      </c>
      <c r="F625" s="9">
        <v>390</v>
      </c>
      <c r="G625" s="8">
        <f>F625/780</f>
        <v>0.5</v>
      </c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0"/>
      <c r="B626" s="12"/>
      <c r="C626" s="23">
        <v>4714781021012</v>
      </c>
      <c r="D626" s="12" t="s">
        <v>1703</v>
      </c>
      <c r="E626" s="9">
        <v>3</v>
      </c>
      <c r="F626" s="9">
        <v>390</v>
      </c>
      <c r="G626" s="8">
        <f>F626/780</f>
        <v>0.5</v>
      </c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0" t="s">
        <v>2890</v>
      </c>
      <c r="B627" s="9">
        <v>2</v>
      </c>
      <c r="C627" s="23">
        <v>4714781021029</v>
      </c>
      <c r="D627" s="12" t="s">
        <v>1452</v>
      </c>
      <c r="E627" s="9">
        <v>3</v>
      </c>
      <c r="F627" s="9">
        <v>390</v>
      </c>
      <c r="G627" s="8">
        <f>F627/780</f>
        <v>0.5</v>
      </c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0"/>
      <c r="B628" s="12"/>
      <c r="C628" s="6">
        <v>4714781021609</v>
      </c>
      <c r="D628" s="12" t="s">
        <v>1454</v>
      </c>
      <c r="E628" s="9">
        <v>3</v>
      </c>
      <c r="F628" s="9">
        <v>390</v>
      </c>
      <c r="G628" s="8">
        <f>F628/780</f>
        <v>0.5</v>
      </c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0" t="s">
        <v>2889</v>
      </c>
      <c r="B629" s="9">
        <v>2</v>
      </c>
      <c r="C629" s="23">
        <v>4714781021012</v>
      </c>
      <c r="D629" s="12" t="s">
        <v>1703</v>
      </c>
      <c r="E629" s="9">
        <v>3</v>
      </c>
      <c r="F629" s="9">
        <v>390</v>
      </c>
      <c r="G629" s="8">
        <f>F629/780</f>
        <v>0.5</v>
      </c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0"/>
      <c r="B630" s="12"/>
      <c r="C630" s="6">
        <v>4714781021609</v>
      </c>
      <c r="D630" s="12" t="s">
        <v>1454</v>
      </c>
      <c r="E630" s="9">
        <v>3</v>
      </c>
      <c r="F630" s="9">
        <v>390</v>
      </c>
      <c r="G630" s="8">
        <f>F630/780</f>
        <v>0.5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0" t="s">
        <v>2888</v>
      </c>
      <c r="B631" s="9">
        <v>6</v>
      </c>
      <c r="C631" s="23">
        <v>4714781021029</v>
      </c>
      <c r="D631" s="12" t="s">
        <v>1452</v>
      </c>
      <c r="E631" s="9">
        <v>1</v>
      </c>
      <c r="F631" s="9">
        <v>133</v>
      </c>
      <c r="G631" s="8">
        <f>F631/820</f>
        <v>0.16219512195121952</v>
      </c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0"/>
      <c r="B632" s="12"/>
      <c r="C632" s="23">
        <v>4714781021012</v>
      </c>
      <c r="D632" s="12" t="s">
        <v>1703</v>
      </c>
      <c r="E632" s="9">
        <v>1</v>
      </c>
      <c r="F632" s="9">
        <v>133</v>
      </c>
      <c r="G632" s="8">
        <f>F632/820</f>
        <v>0.16219512195121952</v>
      </c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0"/>
      <c r="B633" s="12"/>
      <c r="C633" s="6">
        <v>4714781021609</v>
      </c>
      <c r="D633" s="12" t="s">
        <v>1454</v>
      </c>
      <c r="E633" s="9">
        <v>1</v>
      </c>
      <c r="F633" s="9">
        <v>134</v>
      </c>
      <c r="G633" s="8">
        <f>F633/820</f>
        <v>0.16341463414634147</v>
      </c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0"/>
      <c r="B634" s="12"/>
      <c r="C634" s="21">
        <v>4714781020466</v>
      </c>
      <c r="D634" s="12" t="s">
        <v>1374</v>
      </c>
      <c r="E634" s="9">
        <v>1</v>
      </c>
      <c r="F634" s="9">
        <v>140</v>
      </c>
      <c r="G634" s="8">
        <f>F634/820</f>
        <v>0.17073170731707318</v>
      </c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0"/>
      <c r="B635" s="12"/>
      <c r="C635" s="21">
        <v>4714781020503</v>
      </c>
      <c r="D635" s="12" t="s">
        <v>1372</v>
      </c>
      <c r="E635" s="9">
        <v>1</v>
      </c>
      <c r="F635" s="9">
        <v>140</v>
      </c>
      <c r="G635" s="8">
        <f>F635/820</f>
        <v>0.17073170731707318</v>
      </c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0"/>
      <c r="B636" s="12"/>
      <c r="C636" s="21">
        <v>4714781020558</v>
      </c>
      <c r="D636" s="12" t="s">
        <v>1370</v>
      </c>
      <c r="E636" s="9">
        <v>1</v>
      </c>
      <c r="F636" s="9">
        <v>140</v>
      </c>
      <c r="G636" s="8">
        <f>F636/820</f>
        <v>0.17073170731707318</v>
      </c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0" t="s">
        <v>2887</v>
      </c>
      <c r="B637" s="9">
        <v>2</v>
      </c>
      <c r="C637" s="23">
        <v>4714781021029</v>
      </c>
      <c r="D637" s="12" t="s">
        <v>1452</v>
      </c>
      <c r="E637" s="9">
        <v>3</v>
      </c>
      <c r="F637" s="9">
        <v>400</v>
      </c>
      <c r="G637" s="8">
        <f>F637/820</f>
        <v>0.48780487804878048</v>
      </c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0"/>
      <c r="B638" s="12"/>
      <c r="C638" s="21">
        <v>4714781020558</v>
      </c>
      <c r="D638" s="12" t="s">
        <v>1370</v>
      </c>
      <c r="E638" s="9">
        <v>3</v>
      </c>
      <c r="F638" s="9">
        <v>420</v>
      </c>
      <c r="G638" s="8">
        <f>F638/820</f>
        <v>0.51219512195121952</v>
      </c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0" t="s">
        <v>2886</v>
      </c>
      <c r="B639" s="9">
        <v>2</v>
      </c>
      <c r="C639" s="23">
        <v>4714781021029</v>
      </c>
      <c r="D639" s="12" t="s">
        <v>1452</v>
      </c>
      <c r="E639" s="9">
        <v>3</v>
      </c>
      <c r="F639" s="9">
        <v>400</v>
      </c>
      <c r="G639" s="8">
        <f>F639/820</f>
        <v>0.48780487804878048</v>
      </c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0"/>
      <c r="B640" s="12"/>
      <c r="C640" s="21">
        <v>4714781020466</v>
      </c>
      <c r="D640" s="12" t="s">
        <v>1374</v>
      </c>
      <c r="E640" s="9">
        <v>3</v>
      </c>
      <c r="F640" s="9">
        <v>420</v>
      </c>
      <c r="G640" s="8">
        <f>F640/820</f>
        <v>0.51219512195121952</v>
      </c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0" t="s">
        <v>2885</v>
      </c>
      <c r="B641" s="9">
        <v>2</v>
      </c>
      <c r="C641" s="23">
        <v>4714781021029</v>
      </c>
      <c r="D641" s="12" t="s">
        <v>1452</v>
      </c>
      <c r="E641" s="9">
        <v>3</v>
      </c>
      <c r="F641" s="9">
        <v>400</v>
      </c>
      <c r="G641" s="8">
        <f>F641/820</f>
        <v>0.48780487804878048</v>
      </c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0"/>
      <c r="B642" s="12"/>
      <c r="C642" s="21">
        <v>4714781020503</v>
      </c>
      <c r="D642" s="12" t="s">
        <v>1372</v>
      </c>
      <c r="E642" s="9">
        <v>3</v>
      </c>
      <c r="F642" s="9">
        <v>420</v>
      </c>
      <c r="G642" s="8">
        <f>F642/820</f>
        <v>0.51219512195121952</v>
      </c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0" t="s">
        <v>2884</v>
      </c>
      <c r="B643" s="9">
        <v>2</v>
      </c>
      <c r="C643" s="23">
        <v>4714781021012</v>
      </c>
      <c r="D643" s="12" t="s">
        <v>1703</v>
      </c>
      <c r="E643" s="9">
        <v>3</v>
      </c>
      <c r="F643" s="9">
        <v>400</v>
      </c>
      <c r="G643" s="8">
        <f>F643/820</f>
        <v>0.48780487804878048</v>
      </c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0"/>
      <c r="B644" s="12"/>
      <c r="C644" s="21">
        <v>4714781020558</v>
      </c>
      <c r="D644" s="12" t="s">
        <v>1370</v>
      </c>
      <c r="E644" s="9">
        <v>3</v>
      </c>
      <c r="F644" s="9">
        <v>420</v>
      </c>
      <c r="G644" s="8">
        <f>F644/820</f>
        <v>0.51219512195121952</v>
      </c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0" t="s">
        <v>2883</v>
      </c>
      <c r="B645" s="9">
        <v>2</v>
      </c>
      <c r="C645" s="23">
        <v>4714781021012</v>
      </c>
      <c r="D645" s="12" t="s">
        <v>1703</v>
      </c>
      <c r="E645" s="9">
        <v>3</v>
      </c>
      <c r="F645" s="9">
        <v>400</v>
      </c>
      <c r="G645" s="8">
        <f>F645/820</f>
        <v>0.48780487804878048</v>
      </c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0"/>
      <c r="B646" s="12"/>
      <c r="C646" s="21">
        <v>4714781020466</v>
      </c>
      <c r="D646" s="12" t="s">
        <v>1374</v>
      </c>
      <c r="E646" s="9">
        <v>3</v>
      </c>
      <c r="F646" s="9">
        <v>420</v>
      </c>
      <c r="G646" s="8">
        <f>F646/820</f>
        <v>0.51219512195121952</v>
      </c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0" t="s">
        <v>2882</v>
      </c>
      <c r="B647" s="9">
        <v>2</v>
      </c>
      <c r="C647" s="23">
        <v>4714781021012</v>
      </c>
      <c r="D647" s="12" t="s">
        <v>1703</v>
      </c>
      <c r="E647" s="9">
        <v>3</v>
      </c>
      <c r="F647" s="9">
        <v>400</v>
      </c>
      <c r="G647" s="8">
        <f>F647/820</f>
        <v>0.48780487804878048</v>
      </c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0"/>
      <c r="B648" s="12"/>
      <c r="C648" s="21">
        <v>4714781020503</v>
      </c>
      <c r="D648" s="12" t="s">
        <v>1372</v>
      </c>
      <c r="E648" s="9">
        <v>3</v>
      </c>
      <c r="F648" s="9">
        <v>420</v>
      </c>
      <c r="G648" s="8">
        <f>F648/820</f>
        <v>0.51219512195121952</v>
      </c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0" t="s">
        <v>2881</v>
      </c>
      <c r="B649" s="9">
        <v>2</v>
      </c>
      <c r="C649" s="6">
        <v>4714781021609</v>
      </c>
      <c r="D649" s="12" t="s">
        <v>1454</v>
      </c>
      <c r="E649" s="9">
        <v>3</v>
      </c>
      <c r="F649" s="9">
        <v>400</v>
      </c>
      <c r="G649" s="8">
        <f>F649/820</f>
        <v>0.48780487804878048</v>
      </c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0"/>
      <c r="B650" s="12"/>
      <c r="C650" s="21">
        <v>4714781020558</v>
      </c>
      <c r="D650" s="12" t="s">
        <v>1370</v>
      </c>
      <c r="E650" s="9">
        <v>3</v>
      </c>
      <c r="F650" s="9">
        <v>420</v>
      </c>
      <c r="G650" s="8">
        <f>F650/820</f>
        <v>0.51219512195121952</v>
      </c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0" t="s">
        <v>2880</v>
      </c>
      <c r="B651" s="9">
        <v>2</v>
      </c>
      <c r="C651" s="6">
        <v>4714781021609</v>
      </c>
      <c r="D651" s="12" t="s">
        <v>1454</v>
      </c>
      <c r="E651" s="9">
        <v>3</v>
      </c>
      <c r="F651" s="9">
        <v>400</v>
      </c>
      <c r="G651" s="8">
        <f>F651/820</f>
        <v>0.48780487804878048</v>
      </c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0"/>
      <c r="B652" s="12"/>
      <c r="C652" s="21">
        <v>4714781020466</v>
      </c>
      <c r="D652" s="12" t="s">
        <v>1374</v>
      </c>
      <c r="E652" s="9">
        <v>3</v>
      </c>
      <c r="F652" s="9">
        <v>420</v>
      </c>
      <c r="G652" s="8">
        <f>F652/820</f>
        <v>0.51219512195121952</v>
      </c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0" t="s">
        <v>2879</v>
      </c>
      <c r="B653" s="9">
        <v>2</v>
      </c>
      <c r="C653" s="6">
        <v>4714781021609</v>
      </c>
      <c r="D653" s="12" t="s">
        <v>1454</v>
      </c>
      <c r="E653" s="9">
        <v>3</v>
      </c>
      <c r="F653" s="9">
        <v>400</v>
      </c>
      <c r="G653" s="8">
        <f>F653/820</f>
        <v>0.48780487804878048</v>
      </c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0"/>
      <c r="B654" s="9"/>
      <c r="C654" s="21">
        <v>4714781020503</v>
      </c>
      <c r="D654" s="12" t="s">
        <v>1372</v>
      </c>
      <c r="E654" s="9">
        <v>3</v>
      </c>
      <c r="F654" s="9">
        <v>420</v>
      </c>
      <c r="G654" s="8">
        <f>F654/820</f>
        <v>0.51219512195121952</v>
      </c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0" t="s">
        <v>2878</v>
      </c>
      <c r="B655" s="9">
        <v>2</v>
      </c>
      <c r="C655" s="23">
        <v>4714781021777</v>
      </c>
      <c r="D655" s="12" t="s">
        <v>1522</v>
      </c>
      <c r="E655" s="9">
        <v>2</v>
      </c>
      <c r="F655" s="9">
        <v>750</v>
      </c>
      <c r="G655" s="8">
        <f>F655/1320</f>
        <v>0.56818181818181823</v>
      </c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0"/>
      <c r="B656" s="9"/>
      <c r="C656" s="23" t="s">
        <v>1510</v>
      </c>
      <c r="D656" s="12" t="s">
        <v>2190</v>
      </c>
      <c r="E656" s="9">
        <v>2</v>
      </c>
      <c r="F656" s="9">
        <v>570</v>
      </c>
      <c r="G656" s="8">
        <f>F656/1320</f>
        <v>0.43181818181818182</v>
      </c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0" t="s">
        <v>2877</v>
      </c>
      <c r="B657" s="9">
        <v>2</v>
      </c>
      <c r="C657" s="23">
        <v>4714781021777</v>
      </c>
      <c r="D657" s="12" t="s">
        <v>1522</v>
      </c>
      <c r="E657" s="9">
        <v>2</v>
      </c>
      <c r="F657" s="9">
        <v>750</v>
      </c>
      <c r="G657" s="8">
        <f>F657/1320</f>
        <v>0.56818181818181823</v>
      </c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0"/>
      <c r="B658" s="9"/>
      <c r="C658" s="23" t="s">
        <v>1506</v>
      </c>
      <c r="D658" s="12" t="s">
        <v>2188</v>
      </c>
      <c r="E658" s="9">
        <v>2</v>
      </c>
      <c r="F658" s="9">
        <v>570</v>
      </c>
      <c r="G658" s="8">
        <f>F658/1320</f>
        <v>0.43181818181818182</v>
      </c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0" t="s">
        <v>2876</v>
      </c>
      <c r="B659" s="9">
        <v>2</v>
      </c>
      <c r="C659" s="23">
        <v>4714781021777</v>
      </c>
      <c r="D659" s="12" t="s">
        <v>1522</v>
      </c>
      <c r="E659" s="9">
        <v>2</v>
      </c>
      <c r="F659" s="9">
        <v>750</v>
      </c>
      <c r="G659" s="8">
        <f>F659/1320</f>
        <v>0.56818181818181823</v>
      </c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0"/>
      <c r="B660" s="9"/>
      <c r="C660" s="23" t="s">
        <v>1508</v>
      </c>
      <c r="D660" s="12" t="s">
        <v>2186</v>
      </c>
      <c r="E660" s="9">
        <v>2</v>
      </c>
      <c r="F660" s="9">
        <v>570</v>
      </c>
      <c r="G660" s="8">
        <f>F660/1320</f>
        <v>0.43181818181818182</v>
      </c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0" t="s">
        <v>2875</v>
      </c>
      <c r="B661" s="9">
        <v>2</v>
      </c>
      <c r="C661" s="23">
        <v>4714781021777</v>
      </c>
      <c r="D661" s="12" t="s">
        <v>1522</v>
      </c>
      <c r="E661" s="9">
        <v>2</v>
      </c>
      <c r="F661" s="9">
        <v>750</v>
      </c>
      <c r="G661" s="8">
        <f>F661/1320</f>
        <v>0.56818181818181823</v>
      </c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0"/>
      <c r="B662" s="9"/>
      <c r="C662" s="23" t="s">
        <v>1531</v>
      </c>
      <c r="D662" s="12" t="s">
        <v>2194</v>
      </c>
      <c r="E662" s="9">
        <v>2</v>
      </c>
      <c r="F662" s="9">
        <v>570</v>
      </c>
      <c r="G662" s="8">
        <f>F662/1320</f>
        <v>0.43181818181818182</v>
      </c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0" t="s">
        <v>2874</v>
      </c>
      <c r="B663" s="9">
        <v>3</v>
      </c>
      <c r="C663" s="23">
        <v>4714781021777</v>
      </c>
      <c r="D663" s="12" t="s">
        <v>1522</v>
      </c>
      <c r="E663" s="9">
        <v>2</v>
      </c>
      <c r="F663" s="9">
        <v>750</v>
      </c>
      <c r="G663" s="8">
        <f>F663/1320</f>
        <v>0.56818181818181823</v>
      </c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0"/>
      <c r="B664" s="9"/>
      <c r="C664" s="23" t="s">
        <v>1510</v>
      </c>
      <c r="D664" s="12" t="s">
        <v>2190</v>
      </c>
      <c r="E664" s="9">
        <v>1</v>
      </c>
      <c r="F664" s="9">
        <v>285</v>
      </c>
      <c r="G664" s="8">
        <f>F664/1320</f>
        <v>0.21590909090909091</v>
      </c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0"/>
      <c r="B665" s="9"/>
      <c r="C665" s="23" t="s">
        <v>1531</v>
      </c>
      <c r="D665" s="12" t="s">
        <v>2194</v>
      </c>
      <c r="E665" s="9">
        <v>1</v>
      </c>
      <c r="F665" s="9">
        <v>285</v>
      </c>
      <c r="G665" s="8">
        <f>F665/1320</f>
        <v>0.21590909090909091</v>
      </c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0" t="s">
        <v>2873</v>
      </c>
      <c r="B666" s="9">
        <v>3</v>
      </c>
      <c r="C666" s="23">
        <v>4714781021777</v>
      </c>
      <c r="D666" s="12" t="s">
        <v>1522</v>
      </c>
      <c r="E666" s="9">
        <v>2</v>
      </c>
      <c r="F666" s="9">
        <v>750</v>
      </c>
      <c r="G666" s="8">
        <f>F666/1320</f>
        <v>0.56818181818181823</v>
      </c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0"/>
      <c r="B667" s="9"/>
      <c r="C667" s="23" t="s">
        <v>1531</v>
      </c>
      <c r="D667" s="12" t="s">
        <v>2194</v>
      </c>
      <c r="E667" s="9">
        <v>1</v>
      </c>
      <c r="F667" s="9">
        <v>285</v>
      </c>
      <c r="G667" s="8">
        <f>F667/1320</f>
        <v>0.21590909090909091</v>
      </c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0"/>
      <c r="B668" s="9"/>
      <c r="C668" s="23" t="s">
        <v>1508</v>
      </c>
      <c r="D668" s="12" t="s">
        <v>2186</v>
      </c>
      <c r="E668" s="9">
        <v>1</v>
      </c>
      <c r="F668" s="9">
        <v>285</v>
      </c>
      <c r="G668" s="8">
        <f>F668/1320</f>
        <v>0.21590909090909091</v>
      </c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0" t="s">
        <v>2872</v>
      </c>
      <c r="B669" s="9">
        <v>3</v>
      </c>
      <c r="C669" s="23">
        <v>4714781021777</v>
      </c>
      <c r="D669" s="12" t="s">
        <v>1522</v>
      </c>
      <c r="E669" s="9">
        <v>2</v>
      </c>
      <c r="F669" s="9">
        <v>750</v>
      </c>
      <c r="G669" s="8">
        <f>F669/1320</f>
        <v>0.56818181818181823</v>
      </c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0"/>
      <c r="B670" s="9"/>
      <c r="C670" s="23" t="s">
        <v>1531</v>
      </c>
      <c r="D670" s="12" t="s">
        <v>2194</v>
      </c>
      <c r="E670" s="9">
        <v>1</v>
      </c>
      <c r="F670" s="9">
        <v>285</v>
      </c>
      <c r="G670" s="8">
        <f>F670/1320</f>
        <v>0.21590909090909091</v>
      </c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0"/>
      <c r="B671" s="9"/>
      <c r="C671" s="23" t="s">
        <v>1506</v>
      </c>
      <c r="D671" s="12" t="s">
        <v>2188</v>
      </c>
      <c r="E671" s="9">
        <v>1</v>
      </c>
      <c r="F671" s="9">
        <v>285</v>
      </c>
      <c r="G671" s="8">
        <f>F671/1320</f>
        <v>0.21590909090909091</v>
      </c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0" t="s">
        <v>2871</v>
      </c>
      <c r="B672" s="9">
        <v>3</v>
      </c>
      <c r="C672" s="23">
        <v>4714781021777</v>
      </c>
      <c r="D672" s="12" t="s">
        <v>1522</v>
      </c>
      <c r="E672" s="9">
        <v>2</v>
      </c>
      <c r="F672" s="9">
        <v>750</v>
      </c>
      <c r="G672" s="8">
        <f>F672/1320</f>
        <v>0.56818181818181823</v>
      </c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0"/>
      <c r="B673" s="9"/>
      <c r="C673" s="23" t="s">
        <v>1510</v>
      </c>
      <c r="D673" s="12" t="s">
        <v>2190</v>
      </c>
      <c r="E673" s="9">
        <v>1</v>
      </c>
      <c r="F673" s="9">
        <v>285</v>
      </c>
      <c r="G673" s="8">
        <f>F673/1320</f>
        <v>0.21590909090909091</v>
      </c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0"/>
      <c r="B674" s="9"/>
      <c r="C674" s="23" t="s">
        <v>1506</v>
      </c>
      <c r="D674" s="12" t="s">
        <v>2188</v>
      </c>
      <c r="E674" s="9">
        <v>1</v>
      </c>
      <c r="F674" s="9">
        <v>285</v>
      </c>
      <c r="G674" s="8">
        <f>F674/1320</f>
        <v>0.21590909090909091</v>
      </c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0" t="s">
        <v>2870</v>
      </c>
      <c r="B675" s="9">
        <v>3</v>
      </c>
      <c r="C675" s="23">
        <v>4714781021777</v>
      </c>
      <c r="D675" s="12" t="s">
        <v>1522</v>
      </c>
      <c r="E675" s="9">
        <v>2</v>
      </c>
      <c r="F675" s="9">
        <v>750</v>
      </c>
      <c r="G675" s="8">
        <f>F675/1320</f>
        <v>0.56818181818181823</v>
      </c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0"/>
      <c r="B676" s="9"/>
      <c r="C676" s="23" t="s">
        <v>1510</v>
      </c>
      <c r="D676" s="12" t="s">
        <v>2190</v>
      </c>
      <c r="E676" s="9">
        <v>1</v>
      </c>
      <c r="F676" s="9">
        <v>285</v>
      </c>
      <c r="G676" s="8">
        <f>F676/1320</f>
        <v>0.21590909090909091</v>
      </c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0"/>
      <c r="B677" s="9"/>
      <c r="C677" s="23" t="s">
        <v>1508</v>
      </c>
      <c r="D677" s="12" t="s">
        <v>2186</v>
      </c>
      <c r="E677" s="9">
        <v>1</v>
      </c>
      <c r="F677" s="9">
        <v>285</v>
      </c>
      <c r="G677" s="8">
        <f>F677/1320</f>
        <v>0.21590909090909091</v>
      </c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0" t="s">
        <v>2869</v>
      </c>
      <c r="B678" s="9">
        <v>3</v>
      </c>
      <c r="C678" s="23">
        <v>4714781021777</v>
      </c>
      <c r="D678" s="12" t="s">
        <v>1522</v>
      </c>
      <c r="E678" s="9">
        <v>2</v>
      </c>
      <c r="F678" s="9">
        <v>750</v>
      </c>
      <c r="G678" s="8">
        <f>F678/1320</f>
        <v>0.56818181818181823</v>
      </c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0"/>
      <c r="B679" s="9"/>
      <c r="C679" s="23" t="s">
        <v>1508</v>
      </c>
      <c r="D679" s="12" t="s">
        <v>2186</v>
      </c>
      <c r="E679" s="9">
        <v>1</v>
      </c>
      <c r="F679" s="9">
        <v>285</v>
      </c>
      <c r="G679" s="8">
        <f>F679/1320</f>
        <v>0.21590909090909091</v>
      </c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0"/>
      <c r="B680" s="9"/>
      <c r="C680" s="23" t="s">
        <v>1506</v>
      </c>
      <c r="D680" s="12" t="s">
        <v>2188</v>
      </c>
      <c r="E680" s="9">
        <v>1</v>
      </c>
      <c r="F680" s="9">
        <v>285</v>
      </c>
      <c r="G680" s="8">
        <f>F680/1320</f>
        <v>0.21590909090909091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0" t="s">
        <v>2868</v>
      </c>
      <c r="B681" s="9">
        <v>1</v>
      </c>
      <c r="C681" s="21">
        <v>4714781020794</v>
      </c>
      <c r="D681" s="10" t="s">
        <v>1320</v>
      </c>
      <c r="E681" s="9">
        <v>2</v>
      </c>
      <c r="F681" s="9">
        <v>230</v>
      </c>
      <c r="G681" s="8">
        <f>F681/230</f>
        <v>1</v>
      </c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0" t="s">
        <v>2867</v>
      </c>
      <c r="B682" s="9">
        <v>1</v>
      </c>
      <c r="C682" s="21">
        <v>4714781020800</v>
      </c>
      <c r="D682" s="10" t="s">
        <v>1319</v>
      </c>
      <c r="E682" s="9">
        <v>2</v>
      </c>
      <c r="F682" s="9">
        <v>230</v>
      </c>
      <c r="G682" s="8">
        <f>F682/230</f>
        <v>1</v>
      </c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0" t="s">
        <v>2866</v>
      </c>
      <c r="B683" s="9">
        <v>1</v>
      </c>
      <c r="C683" s="21">
        <v>4714781020817</v>
      </c>
      <c r="D683" s="10" t="s">
        <v>1317</v>
      </c>
      <c r="E683" s="9">
        <v>2</v>
      </c>
      <c r="F683" s="9">
        <v>230</v>
      </c>
      <c r="G683" s="8">
        <f>F683/230</f>
        <v>1</v>
      </c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0" t="s">
        <v>2865</v>
      </c>
      <c r="B684" s="9">
        <v>2</v>
      </c>
      <c r="C684" s="21">
        <v>4714781020794</v>
      </c>
      <c r="D684" s="10" t="s">
        <v>1320</v>
      </c>
      <c r="E684" s="9">
        <v>1</v>
      </c>
      <c r="F684" s="9">
        <v>115</v>
      </c>
      <c r="G684" s="8">
        <f>F684/230</f>
        <v>0.5</v>
      </c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0"/>
      <c r="B685" s="10"/>
      <c r="C685" s="21">
        <v>4714781020800</v>
      </c>
      <c r="D685" s="10" t="s">
        <v>1319</v>
      </c>
      <c r="E685" s="9">
        <v>1</v>
      </c>
      <c r="F685" s="9">
        <v>115</v>
      </c>
      <c r="G685" s="8">
        <f>F685/230</f>
        <v>0.5</v>
      </c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0" t="s">
        <v>2864</v>
      </c>
      <c r="B686" s="9">
        <v>2</v>
      </c>
      <c r="C686" s="21">
        <v>4714781020794</v>
      </c>
      <c r="D686" s="10" t="s">
        <v>1320</v>
      </c>
      <c r="E686" s="9">
        <v>1</v>
      </c>
      <c r="F686" s="9">
        <v>115</v>
      </c>
      <c r="G686" s="8">
        <f>F686/230</f>
        <v>0.5</v>
      </c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0"/>
      <c r="B687" s="10"/>
      <c r="C687" s="21">
        <v>4714781020817</v>
      </c>
      <c r="D687" s="10" t="s">
        <v>1317</v>
      </c>
      <c r="E687" s="9">
        <v>1</v>
      </c>
      <c r="F687" s="9">
        <v>115</v>
      </c>
      <c r="G687" s="8">
        <f>F687/230</f>
        <v>0.5</v>
      </c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0" t="s">
        <v>2863</v>
      </c>
      <c r="B688" s="9">
        <v>2</v>
      </c>
      <c r="C688" s="21">
        <v>4714781020800</v>
      </c>
      <c r="D688" s="10" t="s">
        <v>1319</v>
      </c>
      <c r="E688" s="9">
        <v>1</v>
      </c>
      <c r="F688" s="9">
        <v>115</v>
      </c>
      <c r="G688" s="8">
        <f>F688/230</f>
        <v>0.5</v>
      </c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0"/>
      <c r="B689" s="10"/>
      <c r="C689" s="21">
        <v>4714781020817</v>
      </c>
      <c r="D689" s="10" t="s">
        <v>1317</v>
      </c>
      <c r="E689" s="9">
        <v>1</v>
      </c>
      <c r="F689" s="9">
        <v>115</v>
      </c>
      <c r="G689" s="8">
        <f>F689/230</f>
        <v>0.5</v>
      </c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0" t="s">
        <v>2862</v>
      </c>
      <c r="B690" s="9">
        <v>1</v>
      </c>
      <c r="C690" s="21">
        <v>4714781020770</v>
      </c>
      <c r="D690" s="10" t="s">
        <v>1380</v>
      </c>
      <c r="E690" s="9">
        <v>2</v>
      </c>
      <c r="F690" s="9">
        <v>270</v>
      </c>
      <c r="G690" s="8">
        <f>F690/270</f>
        <v>1</v>
      </c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0" t="s">
        <v>2861</v>
      </c>
      <c r="B691" s="9">
        <v>1</v>
      </c>
      <c r="C691" s="21">
        <v>4714781020848</v>
      </c>
      <c r="D691" s="10" t="s">
        <v>1382</v>
      </c>
      <c r="E691" s="9">
        <v>2</v>
      </c>
      <c r="F691" s="9">
        <v>650</v>
      </c>
      <c r="G691" s="8">
        <f>F691/650</f>
        <v>1</v>
      </c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0" t="s">
        <v>2860</v>
      </c>
      <c r="B692" s="9">
        <v>1</v>
      </c>
      <c r="C692" s="21" t="s">
        <v>1596</v>
      </c>
      <c r="D692" s="10" t="s">
        <v>1384</v>
      </c>
      <c r="E692" s="9">
        <v>2</v>
      </c>
      <c r="F692" s="9">
        <v>650</v>
      </c>
      <c r="G692" s="8">
        <f>F692/650</f>
        <v>1</v>
      </c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0" t="s">
        <v>2859</v>
      </c>
      <c r="B693" s="9">
        <v>2</v>
      </c>
      <c r="C693" s="21">
        <v>4714781020848</v>
      </c>
      <c r="D693" s="10" t="s">
        <v>1382</v>
      </c>
      <c r="E693" s="9">
        <v>1</v>
      </c>
      <c r="F693" s="9">
        <v>325</v>
      </c>
      <c r="G693" s="8">
        <f>F693/650</f>
        <v>0.5</v>
      </c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0"/>
      <c r="B694" s="10"/>
      <c r="C694" s="21" t="s">
        <v>1596</v>
      </c>
      <c r="D694" s="10" t="s">
        <v>1384</v>
      </c>
      <c r="E694" s="9">
        <v>1</v>
      </c>
      <c r="F694" s="9">
        <v>325</v>
      </c>
      <c r="G694" s="8">
        <f>F694/650</f>
        <v>0.5</v>
      </c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0" t="s">
        <v>2858</v>
      </c>
      <c r="B695" s="9">
        <v>1</v>
      </c>
      <c r="C695" s="21">
        <v>4714781020824</v>
      </c>
      <c r="D695" s="10" t="s">
        <v>1391</v>
      </c>
      <c r="E695" s="9">
        <v>2</v>
      </c>
      <c r="F695" s="9">
        <v>650</v>
      </c>
      <c r="G695" s="8">
        <f>F695/650</f>
        <v>1</v>
      </c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0" t="s">
        <v>2857</v>
      </c>
      <c r="B696" s="9">
        <v>1</v>
      </c>
      <c r="C696" s="21">
        <v>4714781020831</v>
      </c>
      <c r="D696" s="10" t="s">
        <v>1389</v>
      </c>
      <c r="E696" s="9">
        <v>2</v>
      </c>
      <c r="F696" s="9">
        <v>650</v>
      </c>
      <c r="G696" s="8">
        <f>F696/650</f>
        <v>1</v>
      </c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0" t="s">
        <v>2856</v>
      </c>
      <c r="B697" s="9">
        <v>2</v>
      </c>
      <c r="C697" s="21">
        <v>4714781020824</v>
      </c>
      <c r="D697" s="10" t="s">
        <v>1391</v>
      </c>
      <c r="E697" s="9">
        <v>1</v>
      </c>
      <c r="F697" s="9">
        <v>325</v>
      </c>
      <c r="G697" s="8">
        <f>F697/650</f>
        <v>0.5</v>
      </c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0"/>
      <c r="B698" s="10"/>
      <c r="C698" s="21">
        <v>4714781020831</v>
      </c>
      <c r="D698" s="10" t="s">
        <v>1389</v>
      </c>
      <c r="E698" s="9">
        <v>1</v>
      </c>
      <c r="F698" s="9">
        <v>325</v>
      </c>
      <c r="G698" s="8">
        <f>F698/650</f>
        <v>0.5</v>
      </c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0" t="s">
        <v>2855</v>
      </c>
      <c r="B699" s="9">
        <v>2</v>
      </c>
      <c r="C699" s="21">
        <v>4714781020848</v>
      </c>
      <c r="D699" s="10" t="s">
        <v>1382</v>
      </c>
      <c r="E699" s="9">
        <v>1</v>
      </c>
      <c r="F699" s="9">
        <v>325</v>
      </c>
      <c r="G699" s="8">
        <f>F699/650</f>
        <v>0.5</v>
      </c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0"/>
      <c r="B700" s="10"/>
      <c r="C700" s="21">
        <v>4714781020824</v>
      </c>
      <c r="D700" s="10" t="s">
        <v>1391</v>
      </c>
      <c r="E700" s="9">
        <v>1</v>
      </c>
      <c r="F700" s="9">
        <v>325</v>
      </c>
      <c r="G700" s="8">
        <f>F700/650</f>
        <v>0.5</v>
      </c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0" t="s">
        <v>2854</v>
      </c>
      <c r="B701" s="9">
        <v>2</v>
      </c>
      <c r="C701" s="21">
        <v>4714781020848</v>
      </c>
      <c r="D701" s="10" t="s">
        <v>1382</v>
      </c>
      <c r="E701" s="9">
        <v>1</v>
      </c>
      <c r="F701" s="9">
        <v>325</v>
      </c>
      <c r="G701" s="8">
        <f>F701/650</f>
        <v>0.5</v>
      </c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0"/>
      <c r="B702" s="10"/>
      <c r="C702" s="21">
        <v>4714781020831</v>
      </c>
      <c r="D702" s="10" t="s">
        <v>1389</v>
      </c>
      <c r="E702" s="9">
        <v>1</v>
      </c>
      <c r="F702" s="9">
        <v>325</v>
      </c>
      <c r="G702" s="8">
        <f>F702/650</f>
        <v>0.5</v>
      </c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0" t="s">
        <v>2853</v>
      </c>
      <c r="B703" s="9">
        <v>2</v>
      </c>
      <c r="C703" s="21" t="s">
        <v>1596</v>
      </c>
      <c r="D703" s="10" t="s">
        <v>1384</v>
      </c>
      <c r="E703" s="9">
        <v>1</v>
      </c>
      <c r="F703" s="9">
        <v>325</v>
      </c>
      <c r="G703" s="8">
        <f>F703/650</f>
        <v>0.5</v>
      </c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0"/>
      <c r="B704" s="10"/>
      <c r="C704" s="21">
        <v>4714781020824</v>
      </c>
      <c r="D704" s="10" t="s">
        <v>1391</v>
      </c>
      <c r="E704" s="9">
        <v>1</v>
      </c>
      <c r="F704" s="9">
        <v>325</v>
      </c>
      <c r="G704" s="8">
        <f>F704/650</f>
        <v>0.5</v>
      </c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0" t="s">
        <v>2852</v>
      </c>
      <c r="B705" s="9">
        <v>2</v>
      </c>
      <c r="C705" s="21" t="s">
        <v>1596</v>
      </c>
      <c r="D705" s="10" t="s">
        <v>1384</v>
      </c>
      <c r="E705" s="9">
        <v>1</v>
      </c>
      <c r="F705" s="9">
        <v>325</v>
      </c>
      <c r="G705" s="8">
        <f>F705/650</f>
        <v>0.5</v>
      </c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0"/>
      <c r="B706" s="10"/>
      <c r="C706" s="21">
        <v>4714781020831</v>
      </c>
      <c r="D706" s="10" t="s">
        <v>1389</v>
      </c>
      <c r="E706" s="9">
        <v>1</v>
      </c>
      <c r="F706" s="9">
        <v>325</v>
      </c>
      <c r="G706" s="8">
        <f>F706/650</f>
        <v>0.5</v>
      </c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0" t="s">
        <v>2851</v>
      </c>
      <c r="B707" s="9">
        <v>1</v>
      </c>
      <c r="C707" s="21" t="s">
        <v>1619</v>
      </c>
      <c r="D707" s="10" t="s">
        <v>1376</v>
      </c>
      <c r="E707" s="9">
        <v>4</v>
      </c>
      <c r="F707" s="9">
        <v>550</v>
      </c>
      <c r="G707" s="8">
        <f>F707/550</f>
        <v>1</v>
      </c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0" t="s">
        <v>2850</v>
      </c>
      <c r="B708" s="9">
        <v>5</v>
      </c>
      <c r="C708" s="21" t="s">
        <v>1585</v>
      </c>
      <c r="D708" s="10" t="s">
        <v>1584</v>
      </c>
      <c r="E708" s="9">
        <v>1</v>
      </c>
      <c r="F708" s="9">
        <v>60</v>
      </c>
      <c r="G708" s="8">
        <f>F708/600</f>
        <v>0.1</v>
      </c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0"/>
      <c r="B709" s="12"/>
      <c r="C709" s="21" t="s">
        <v>1596</v>
      </c>
      <c r="D709" s="10" t="s">
        <v>1384</v>
      </c>
      <c r="E709" s="9">
        <v>1</v>
      </c>
      <c r="F709" s="9">
        <v>300</v>
      </c>
      <c r="G709" s="8">
        <f>F709/600</f>
        <v>0.5</v>
      </c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0"/>
      <c r="B710" s="12"/>
      <c r="C710" s="21" t="s">
        <v>1602</v>
      </c>
      <c r="D710" s="10" t="s">
        <v>1380</v>
      </c>
      <c r="E710" s="9">
        <v>1</v>
      </c>
      <c r="F710" s="9">
        <v>120</v>
      </c>
      <c r="G710" s="8">
        <f>F710/600</f>
        <v>0.2</v>
      </c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0"/>
      <c r="B711" s="12"/>
      <c r="C711" s="21" t="s">
        <v>1588</v>
      </c>
      <c r="D711" s="10" t="s">
        <v>1587</v>
      </c>
      <c r="E711" s="9">
        <v>1</v>
      </c>
      <c r="F711" s="9">
        <v>50</v>
      </c>
      <c r="G711" s="8">
        <f>F711/600</f>
        <v>8.3333333333333329E-2</v>
      </c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0"/>
      <c r="B712" s="12"/>
      <c r="C712" s="21" t="s">
        <v>1583</v>
      </c>
      <c r="D712" s="10" t="s">
        <v>1582</v>
      </c>
      <c r="E712" s="9">
        <v>1</v>
      </c>
      <c r="F712" s="9">
        <v>70</v>
      </c>
      <c r="G712" s="8">
        <f>F712/600</f>
        <v>0.11666666666666667</v>
      </c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0" t="s">
        <v>2849</v>
      </c>
      <c r="B713" s="9">
        <v>5</v>
      </c>
      <c r="C713" s="21" t="s">
        <v>1585</v>
      </c>
      <c r="D713" s="10" t="s">
        <v>1584</v>
      </c>
      <c r="E713" s="9">
        <v>1</v>
      </c>
      <c r="F713" s="9">
        <v>60</v>
      </c>
      <c r="G713" s="8">
        <f>F713/600</f>
        <v>0.1</v>
      </c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0"/>
      <c r="B714" s="12"/>
      <c r="C714" s="21" t="s">
        <v>1583</v>
      </c>
      <c r="D714" s="10" t="s">
        <v>1582</v>
      </c>
      <c r="E714" s="9">
        <v>1</v>
      </c>
      <c r="F714" s="9">
        <v>300</v>
      </c>
      <c r="G714" s="8">
        <f>F714/600</f>
        <v>0.5</v>
      </c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0"/>
      <c r="B715" s="12"/>
      <c r="C715" s="21" t="s">
        <v>1593</v>
      </c>
      <c r="D715" s="10" t="s">
        <v>1592</v>
      </c>
      <c r="E715" s="9">
        <v>1</v>
      </c>
      <c r="F715" s="9">
        <v>120</v>
      </c>
      <c r="G715" s="8">
        <f>F715/600</f>
        <v>0.2</v>
      </c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0"/>
      <c r="B716" s="12"/>
      <c r="C716" s="21">
        <v>4714781020800</v>
      </c>
      <c r="D716" s="10" t="s">
        <v>1319</v>
      </c>
      <c r="E716" s="9">
        <v>1</v>
      </c>
      <c r="F716" s="9">
        <v>50</v>
      </c>
      <c r="G716" s="8">
        <f>F716/600</f>
        <v>8.3333333333333329E-2</v>
      </c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0"/>
      <c r="B717" s="12"/>
      <c r="C717" s="21">
        <v>4714781020824</v>
      </c>
      <c r="D717" s="10" t="s">
        <v>1391</v>
      </c>
      <c r="E717" s="9">
        <v>1</v>
      </c>
      <c r="F717" s="9">
        <v>70</v>
      </c>
      <c r="G717" s="8">
        <f>F717/600</f>
        <v>0.11666666666666667</v>
      </c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0" t="s">
        <v>2848</v>
      </c>
      <c r="B718" s="9">
        <v>5</v>
      </c>
      <c r="C718" s="21" t="s">
        <v>1585</v>
      </c>
      <c r="D718" s="10" t="s">
        <v>1584</v>
      </c>
      <c r="E718" s="9">
        <v>1</v>
      </c>
      <c r="F718" s="9">
        <v>60</v>
      </c>
      <c r="G718" s="8">
        <f>F718/600</f>
        <v>0.1</v>
      </c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0"/>
      <c r="B719" s="12"/>
      <c r="C719" s="21" t="s">
        <v>1583</v>
      </c>
      <c r="D719" s="10" t="s">
        <v>1582</v>
      </c>
      <c r="E719" s="9">
        <v>1</v>
      </c>
      <c r="F719" s="9">
        <v>300</v>
      </c>
      <c r="G719" s="8">
        <f>F719/600</f>
        <v>0.5</v>
      </c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0"/>
      <c r="B720" s="12"/>
      <c r="C720" s="21" t="s">
        <v>1588</v>
      </c>
      <c r="D720" s="10" t="s">
        <v>1587</v>
      </c>
      <c r="E720" s="9">
        <v>1</v>
      </c>
      <c r="F720" s="9">
        <v>120</v>
      </c>
      <c r="G720" s="8">
        <f>F720/600</f>
        <v>0.2</v>
      </c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0"/>
      <c r="B721" s="12"/>
      <c r="C721" s="21">
        <v>4714781020817</v>
      </c>
      <c r="D721" s="10" t="s">
        <v>1317</v>
      </c>
      <c r="E721" s="9">
        <v>1</v>
      </c>
      <c r="F721" s="9">
        <v>50</v>
      </c>
      <c r="G721" s="8">
        <f>F721/600</f>
        <v>8.3333333333333329E-2</v>
      </c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0"/>
      <c r="B722" s="12"/>
      <c r="C722" s="21" t="s">
        <v>1579</v>
      </c>
      <c r="D722" s="10" t="s">
        <v>1389</v>
      </c>
      <c r="E722" s="9">
        <v>1</v>
      </c>
      <c r="F722" s="9">
        <v>70</v>
      </c>
      <c r="G722" s="8">
        <f>F722/600</f>
        <v>0.11666666666666667</v>
      </c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0" t="s">
        <v>2847</v>
      </c>
      <c r="B723" s="9">
        <v>5</v>
      </c>
      <c r="C723" s="21" t="s">
        <v>1585</v>
      </c>
      <c r="D723" s="10" t="s">
        <v>1584</v>
      </c>
      <c r="E723" s="9">
        <v>1</v>
      </c>
      <c r="F723" s="9">
        <v>60</v>
      </c>
      <c r="G723" s="8">
        <f>F723/600</f>
        <v>0.1</v>
      </c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0"/>
      <c r="B724" s="12"/>
      <c r="C724" s="21" t="s">
        <v>1583</v>
      </c>
      <c r="D724" s="10" t="s">
        <v>1582</v>
      </c>
      <c r="E724" s="9">
        <v>1</v>
      </c>
      <c r="F724" s="9">
        <v>300</v>
      </c>
      <c r="G724" s="8">
        <f>F724/600</f>
        <v>0.5</v>
      </c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0"/>
      <c r="B725" s="12"/>
      <c r="C725" s="21" t="s">
        <v>1581</v>
      </c>
      <c r="D725" s="10" t="s">
        <v>1580</v>
      </c>
      <c r="E725" s="9">
        <v>1</v>
      </c>
      <c r="F725" s="9">
        <v>120</v>
      </c>
      <c r="G725" s="8">
        <f>F725/600</f>
        <v>0.2</v>
      </c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0"/>
      <c r="B726" s="12"/>
      <c r="C726" s="21">
        <v>4714781020817</v>
      </c>
      <c r="D726" s="10" t="s">
        <v>1317</v>
      </c>
      <c r="E726" s="9">
        <v>1</v>
      </c>
      <c r="F726" s="9">
        <v>50</v>
      </c>
      <c r="G726" s="8">
        <f>F726/600</f>
        <v>8.3333333333333329E-2</v>
      </c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0"/>
      <c r="B727" s="12"/>
      <c r="C727" s="21" t="s">
        <v>1579</v>
      </c>
      <c r="D727" s="10" t="s">
        <v>1389</v>
      </c>
      <c r="E727" s="9">
        <v>1</v>
      </c>
      <c r="F727" s="9">
        <v>70</v>
      </c>
      <c r="G727" s="8">
        <f>F727/600</f>
        <v>0.11666666666666667</v>
      </c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0" t="s">
        <v>2846</v>
      </c>
      <c r="B728" s="9">
        <v>7</v>
      </c>
      <c r="C728" s="23">
        <v>4714781021029</v>
      </c>
      <c r="D728" s="12" t="s">
        <v>1452</v>
      </c>
      <c r="E728" s="9">
        <v>1</v>
      </c>
      <c r="F728" s="9">
        <v>130</v>
      </c>
      <c r="G728" s="8">
        <f>F728/1100</f>
        <v>0.11818181818181818</v>
      </c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0"/>
      <c r="B729" s="9"/>
      <c r="C729" s="23">
        <v>4714781021012</v>
      </c>
      <c r="D729" s="12" t="s">
        <v>1703</v>
      </c>
      <c r="E729" s="9">
        <v>1</v>
      </c>
      <c r="F729" s="9">
        <v>130</v>
      </c>
      <c r="G729" s="8">
        <f>F729/1100</f>
        <v>0.11818181818181818</v>
      </c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0"/>
      <c r="B730" s="9"/>
      <c r="C730" s="6">
        <v>4714781021609</v>
      </c>
      <c r="D730" s="12" t="s">
        <v>1454</v>
      </c>
      <c r="E730" s="9">
        <v>1</v>
      </c>
      <c r="F730" s="9">
        <v>130</v>
      </c>
      <c r="G730" s="8">
        <f>F730/1100</f>
        <v>0.11818181818181818</v>
      </c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0"/>
      <c r="B731" s="9"/>
      <c r="C731" s="21">
        <v>4714781020466</v>
      </c>
      <c r="D731" s="12" t="s">
        <v>1374</v>
      </c>
      <c r="E731" s="9">
        <v>1</v>
      </c>
      <c r="F731" s="9">
        <v>145</v>
      </c>
      <c r="G731" s="8">
        <f>F731/1100</f>
        <v>0.13181818181818181</v>
      </c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0"/>
      <c r="B732" s="9"/>
      <c r="C732" s="21">
        <v>4714781020503</v>
      </c>
      <c r="D732" s="12" t="s">
        <v>1372</v>
      </c>
      <c r="E732" s="9">
        <v>1</v>
      </c>
      <c r="F732" s="9">
        <v>145</v>
      </c>
      <c r="G732" s="8">
        <f>F732/1100</f>
        <v>0.13181818181818181</v>
      </c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0"/>
      <c r="B733" s="9"/>
      <c r="C733" s="21">
        <v>4714781020558</v>
      </c>
      <c r="D733" s="12" t="s">
        <v>1370</v>
      </c>
      <c r="E733" s="9">
        <v>1</v>
      </c>
      <c r="F733" s="9">
        <v>145</v>
      </c>
      <c r="G733" s="8">
        <f>F733/1100</f>
        <v>0.13181818181818181</v>
      </c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0"/>
      <c r="B734" s="9"/>
      <c r="C734" s="23" t="s">
        <v>1531</v>
      </c>
      <c r="D734" s="12" t="s">
        <v>2194</v>
      </c>
      <c r="E734" s="9">
        <v>1</v>
      </c>
      <c r="F734" s="9">
        <v>275</v>
      </c>
      <c r="G734" s="8">
        <f>F734/1100</f>
        <v>0.25</v>
      </c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0" t="s">
        <v>2845</v>
      </c>
      <c r="B735" s="9">
        <v>7</v>
      </c>
      <c r="C735" s="23">
        <v>4714781021029</v>
      </c>
      <c r="D735" s="12" t="s">
        <v>1452</v>
      </c>
      <c r="E735" s="9">
        <v>1</v>
      </c>
      <c r="F735" s="9">
        <v>130</v>
      </c>
      <c r="G735" s="8">
        <f>F735/1100</f>
        <v>0.11818181818181818</v>
      </c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0"/>
      <c r="B736" s="9"/>
      <c r="C736" s="23">
        <v>4714781021012</v>
      </c>
      <c r="D736" s="12" t="s">
        <v>1703</v>
      </c>
      <c r="E736" s="9">
        <v>1</v>
      </c>
      <c r="F736" s="9">
        <v>130</v>
      </c>
      <c r="G736" s="8">
        <f>F736/1100</f>
        <v>0.11818181818181818</v>
      </c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0"/>
      <c r="B737" s="9"/>
      <c r="C737" s="6">
        <v>4714781021609</v>
      </c>
      <c r="D737" s="12" t="s">
        <v>1454</v>
      </c>
      <c r="E737" s="9">
        <v>1</v>
      </c>
      <c r="F737" s="9">
        <v>130</v>
      </c>
      <c r="G737" s="8">
        <f>F737/1100</f>
        <v>0.11818181818181818</v>
      </c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0"/>
      <c r="B738" s="9"/>
      <c r="C738" s="21">
        <v>4714781020466</v>
      </c>
      <c r="D738" s="12" t="s">
        <v>1374</v>
      </c>
      <c r="E738" s="9">
        <v>1</v>
      </c>
      <c r="F738" s="9">
        <v>145</v>
      </c>
      <c r="G738" s="8">
        <f>F738/1100</f>
        <v>0.13181818181818181</v>
      </c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0"/>
      <c r="B739" s="9"/>
      <c r="C739" s="21">
        <v>4714781020503</v>
      </c>
      <c r="D739" s="12" t="s">
        <v>1372</v>
      </c>
      <c r="E739" s="9">
        <v>1</v>
      </c>
      <c r="F739" s="9">
        <v>145</v>
      </c>
      <c r="G739" s="8">
        <f>F739/1100</f>
        <v>0.13181818181818181</v>
      </c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0"/>
      <c r="B740" s="9"/>
      <c r="C740" s="21">
        <v>4714781020558</v>
      </c>
      <c r="D740" s="12" t="s">
        <v>1370</v>
      </c>
      <c r="E740" s="9">
        <v>1</v>
      </c>
      <c r="F740" s="9">
        <v>145</v>
      </c>
      <c r="G740" s="8">
        <f>F740/1100</f>
        <v>0.13181818181818181</v>
      </c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0"/>
      <c r="B741" s="9"/>
      <c r="C741" s="23" t="s">
        <v>1510</v>
      </c>
      <c r="D741" s="12" t="s">
        <v>2190</v>
      </c>
      <c r="E741" s="9">
        <v>1</v>
      </c>
      <c r="F741" s="9">
        <v>275</v>
      </c>
      <c r="G741" s="8">
        <f>F741/1100</f>
        <v>0.25</v>
      </c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 t="s">
        <v>2844</v>
      </c>
      <c r="B742" s="9">
        <v>7</v>
      </c>
      <c r="C742" s="23">
        <v>4714781021029</v>
      </c>
      <c r="D742" s="12" t="s">
        <v>1452</v>
      </c>
      <c r="E742" s="9">
        <v>1</v>
      </c>
      <c r="F742" s="9">
        <v>130</v>
      </c>
      <c r="G742" s="8">
        <f>F742/1100</f>
        <v>0.11818181818181818</v>
      </c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0"/>
      <c r="B743" s="9"/>
      <c r="C743" s="23">
        <v>4714781021012</v>
      </c>
      <c r="D743" s="12" t="s">
        <v>1703</v>
      </c>
      <c r="E743" s="9">
        <v>1</v>
      </c>
      <c r="F743" s="9">
        <v>130</v>
      </c>
      <c r="G743" s="8">
        <f>F743/1100</f>
        <v>0.11818181818181818</v>
      </c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0"/>
      <c r="B744" s="9"/>
      <c r="C744" s="6">
        <v>4714781021609</v>
      </c>
      <c r="D744" s="12" t="s">
        <v>1454</v>
      </c>
      <c r="E744" s="9">
        <v>1</v>
      </c>
      <c r="F744" s="9">
        <v>130</v>
      </c>
      <c r="G744" s="8">
        <f>F744/1100</f>
        <v>0.11818181818181818</v>
      </c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0"/>
      <c r="B745" s="9"/>
      <c r="C745" s="21">
        <v>4714781020466</v>
      </c>
      <c r="D745" s="12" t="s">
        <v>1374</v>
      </c>
      <c r="E745" s="9">
        <v>1</v>
      </c>
      <c r="F745" s="9">
        <v>145</v>
      </c>
      <c r="G745" s="8">
        <f>F745/1100</f>
        <v>0.13181818181818181</v>
      </c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0"/>
      <c r="B746" s="9"/>
      <c r="C746" s="21">
        <v>4714781020503</v>
      </c>
      <c r="D746" s="12" t="s">
        <v>1372</v>
      </c>
      <c r="E746" s="9">
        <v>1</v>
      </c>
      <c r="F746" s="9">
        <v>145</v>
      </c>
      <c r="G746" s="8">
        <f>F746/1100</f>
        <v>0.13181818181818181</v>
      </c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0"/>
      <c r="B747" s="9"/>
      <c r="C747" s="21">
        <v>4714781020558</v>
      </c>
      <c r="D747" s="12" t="s">
        <v>1370</v>
      </c>
      <c r="E747" s="9">
        <v>1</v>
      </c>
      <c r="F747" s="9">
        <v>145</v>
      </c>
      <c r="G747" s="8">
        <f>F747/1100</f>
        <v>0.13181818181818181</v>
      </c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0"/>
      <c r="B748" s="9"/>
      <c r="C748" s="23" t="s">
        <v>1506</v>
      </c>
      <c r="D748" s="12" t="s">
        <v>2188</v>
      </c>
      <c r="E748" s="9">
        <v>1</v>
      </c>
      <c r="F748" s="9">
        <v>275</v>
      </c>
      <c r="G748" s="8">
        <f>F748/1100</f>
        <v>0.25</v>
      </c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0" t="s">
        <v>2843</v>
      </c>
      <c r="B749" s="9">
        <v>7</v>
      </c>
      <c r="C749" s="23">
        <v>4714781021029</v>
      </c>
      <c r="D749" s="12" t="s">
        <v>1452</v>
      </c>
      <c r="E749" s="9">
        <v>1</v>
      </c>
      <c r="F749" s="9">
        <v>130</v>
      </c>
      <c r="G749" s="8">
        <f>F749/1100</f>
        <v>0.11818181818181818</v>
      </c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0"/>
      <c r="B750" s="9"/>
      <c r="C750" s="23">
        <v>4714781021012</v>
      </c>
      <c r="D750" s="12" t="s">
        <v>1703</v>
      </c>
      <c r="E750" s="9">
        <v>1</v>
      </c>
      <c r="F750" s="9">
        <v>130</v>
      </c>
      <c r="G750" s="8">
        <f>F750/1100</f>
        <v>0.11818181818181818</v>
      </c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0"/>
      <c r="B751" s="9"/>
      <c r="C751" s="6">
        <v>4714781021609</v>
      </c>
      <c r="D751" s="12" t="s">
        <v>1454</v>
      </c>
      <c r="E751" s="9">
        <v>1</v>
      </c>
      <c r="F751" s="9">
        <v>130</v>
      </c>
      <c r="G751" s="8">
        <f>F751/1100</f>
        <v>0.11818181818181818</v>
      </c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0"/>
      <c r="B752" s="9"/>
      <c r="C752" s="21">
        <v>4714781020466</v>
      </c>
      <c r="D752" s="12" t="s">
        <v>1374</v>
      </c>
      <c r="E752" s="9">
        <v>1</v>
      </c>
      <c r="F752" s="9">
        <v>145</v>
      </c>
      <c r="G752" s="8">
        <f>F752/1100</f>
        <v>0.13181818181818181</v>
      </c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0"/>
      <c r="B753" s="9"/>
      <c r="C753" s="21">
        <v>4714781020503</v>
      </c>
      <c r="D753" s="12" t="s">
        <v>1372</v>
      </c>
      <c r="E753" s="9">
        <v>1</v>
      </c>
      <c r="F753" s="9">
        <v>145</v>
      </c>
      <c r="G753" s="8">
        <f>F753/1100</f>
        <v>0.13181818181818181</v>
      </c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0"/>
      <c r="B754" s="9"/>
      <c r="C754" s="21">
        <v>4714781020558</v>
      </c>
      <c r="D754" s="12" t="s">
        <v>1370</v>
      </c>
      <c r="E754" s="9">
        <v>1</v>
      </c>
      <c r="F754" s="9">
        <v>145</v>
      </c>
      <c r="G754" s="8">
        <f>F754/1100</f>
        <v>0.13181818181818181</v>
      </c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0"/>
      <c r="B755" s="9"/>
      <c r="C755" s="23" t="s">
        <v>1508</v>
      </c>
      <c r="D755" s="12" t="s">
        <v>2186</v>
      </c>
      <c r="E755" s="9">
        <v>1</v>
      </c>
      <c r="F755" s="9">
        <v>275</v>
      </c>
      <c r="G755" s="8">
        <f>F755/1100</f>
        <v>0.25</v>
      </c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0" t="s">
        <v>2842</v>
      </c>
      <c r="B756" s="9">
        <v>4</v>
      </c>
      <c r="C756" s="23" t="s">
        <v>1510</v>
      </c>
      <c r="D756" s="12" t="s">
        <v>2190</v>
      </c>
      <c r="E756" s="9">
        <v>1</v>
      </c>
      <c r="F756" s="9">
        <v>290</v>
      </c>
      <c r="G756" s="8">
        <f>F756/1160</f>
        <v>0.25</v>
      </c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0"/>
      <c r="B757" s="12"/>
      <c r="C757" s="23" t="s">
        <v>1506</v>
      </c>
      <c r="D757" s="12" t="s">
        <v>2188</v>
      </c>
      <c r="E757" s="9">
        <v>1</v>
      </c>
      <c r="F757" s="9">
        <v>290</v>
      </c>
      <c r="G757" s="8">
        <f>F757/1160</f>
        <v>0.25</v>
      </c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0"/>
      <c r="B758" s="12"/>
      <c r="C758" s="23" t="s">
        <v>1508</v>
      </c>
      <c r="D758" s="12" t="s">
        <v>2186</v>
      </c>
      <c r="E758" s="9">
        <v>1</v>
      </c>
      <c r="F758" s="9">
        <v>290</v>
      </c>
      <c r="G758" s="8">
        <f>F758/1160</f>
        <v>0.25</v>
      </c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0"/>
      <c r="B759" s="12"/>
      <c r="C759" s="23" t="s">
        <v>1531</v>
      </c>
      <c r="D759" s="12" t="s">
        <v>2194</v>
      </c>
      <c r="E759" s="9">
        <v>1</v>
      </c>
      <c r="F759" s="9">
        <v>290</v>
      </c>
      <c r="G759" s="8">
        <f>F759/1160</f>
        <v>0.25</v>
      </c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0" t="s">
        <v>2841</v>
      </c>
      <c r="B760" s="9">
        <v>1</v>
      </c>
      <c r="C760" s="23" t="s">
        <v>1531</v>
      </c>
      <c r="D760" s="12" t="s">
        <v>2194</v>
      </c>
      <c r="E760" s="9">
        <v>4</v>
      </c>
      <c r="F760" s="9">
        <v>1160</v>
      </c>
      <c r="G760" s="8">
        <f>F760/1160</f>
        <v>1</v>
      </c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0" t="s">
        <v>2840</v>
      </c>
      <c r="B761" s="9">
        <v>1</v>
      </c>
      <c r="C761" s="23" t="s">
        <v>1508</v>
      </c>
      <c r="D761" s="12" t="s">
        <v>2186</v>
      </c>
      <c r="E761" s="9">
        <v>4</v>
      </c>
      <c r="F761" s="9">
        <v>1160</v>
      </c>
      <c r="G761" s="8">
        <f>F761/1160</f>
        <v>1</v>
      </c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0" t="s">
        <v>2839</v>
      </c>
      <c r="B762" s="9">
        <v>1</v>
      </c>
      <c r="C762" s="23" t="s">
        <v>1510</v>
      </c>
      <c r="D762" s="12" t="s">
        <v>2190</v>
      </c>
      <c r="E762" s="9">
        <v>4</v>
      </c>
      <c r="F762" s="9">
        <v>1160</v>
      </c>
      <c r="G762" s="8">
        <f>F762/1160</f>
        <v>1</v>
      </c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0" t="s">
        <v>2838</v>
      </c>
      <c r="B763" s="9">
        <v>1</v>
      </c>
      <c r="C763" s="23" t="s">
        <v>1506</v>
      </c>
      <c r="D763" s="12" t="s">
        <v>2188</v>
      </c>
      <c r="E763" s="9">
        <v>4</v>
      </c>
      <c r="F763" s="9">
        <v>1160</v>
      </c>
      <c r="G763" s="8">
        <f>F763/1160</f>
        <v>1</v>
      </c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0" t="s">
        <v>2837</v>
      </c>
      <c r="B764" s="10">
        <v>2</v>
      </c>
      <c r="C764" s="21">
        <v>4714781020466</v>
      </c>
      <c r="D764" s="10" t="s">
        <v>1374</v>
      </c>
      <c r="E764" s="9">
        <v>2</v>
      </c>
      <c r="F764" s="9">
        <v>290</v>
      </c>
      <c r="G764" s="8">
        <f>F764/580</f>
        <v>0.5</v>
      </c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0"/>
      <c r="B765" s="10"/>
      <c r="C765" s="21">
        <v>4714781020282</v>
      </c>
      <c r="D765" s="10" t="s">
        <v>275</v>
      </c>
      <c r="E765" s="9">
        <v>1</v>
      </c>
      <c r="F765" s="9">
        <v>290</v>
      </c>
      <c r="G765" s="8">
        <f>F765/580</f>
        <v>0.5</v>
      </c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0" t="s">
        <v>2836</v>
      </c>
      <c r="B766" s="10">
        <v>2</v>
      </c>
      <c r="C766" s="21">
        <v>4714781020466</v>
      </c>
      <c r="D766" s="10" t="s">
        <v>1374</v>
      </c>
      <c r="E766" s="9">
        <v>2</v>
      </c>
      <c r="F766" s="9">
        <v>290</v>
      </c>
      <c r="G766" s="8">
        <f>F766/580</f>
        <v>0.5</v>
      </c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0"/>
      <c r="B767" s="10"/>
      <c r="C767" s="21" t="s">
        <v>1645</v>
      </c>
      <c r="D767" s="10" t="s">
        <v>373</v>
      </c>
      <c r="E767" s="9">
        <v>1</v>
      </c>
      <c r="F767" s="9">
        <v>290</v>
      </c>
      <c r="G767" s="8">
        <f>F767/580</f>
        <v>0.5</v>
      </c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0" t="s">
        <v>2835</v>
      </c>
      <c r="B768" s="10">
        <v>2</v>
      </c>
      <c r="C768" s="21">
        <v>4714781020466</v>
      </c>
      <c r="D768" s="10" t="s">
        <v>1374</v>
      </c>
      <c r="E768" s="9">
        <v>2</v>
      </c>
      <c r="F768" s="9">
        <v>290</v>
      </c>
      <c r="G768" s="8">
        <f>F768/580</f>
        <v>0.5</v>
      </c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0"/>
      <c r="B769" s="10"/>
      <c r="C769" s="21" t="s">
        <v>1643</v>
      </c>
      <c r="D769" s="10" t="s">
        <v>264</v>
      </c>
      <c r="E769" s="9">
        <v>1</v>
      </c>
      <c r="F769" s="9">
        <v>290</v>
      </c>
      <c r="G769" s="8">
        <f>F769/580</f>
        <v>0.5</v>
      </c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0" t="s">
        <v>2834</v>
      </c>
      <c r="B770" s="10">
        <v>2</v>
      </c>
      <c r="C770" s="21">
        <v>4714781020466</v>
      </c>
      <c r="D770" s="10" t="s">
        <v>1374</v>
      </c>
      <c r="E770" s="9">
        <v>2</v>
      </c>
      <c r="F770" s="9">
        <v>290</v>
      </c>
      <c r="G770" s="8">
        <f>F770/580</f>
        <v>0.5</v>
      </c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0"/>
      <c r="B771" s="10"/>
      <c r="C771" s="21" t="s">
        <v>1641</v>
      </c>
      <c r="D771" s="10" t="s">
        <v>359</v>
      </c>
      <c r="E771" s="9">
        <v>1</v>
      </c>
      <c r="F771" s="9">
        <v>290</v>
      </c>
      <c r="G771" s="8">
        <f>F771/580</f>
        <v>0.5</v>
      </c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0" t="s">
        <v>2833</v>
      </c>
      <c r="B772" s="10">
        <v>2</v>
      </c>
      <c r="C772" s="21">
        <v>4714781020503</v>
      </c>
      <c r="D772" s="10" t="s">
        <v>1372</v>
      </c>
      <c r="E772" s="9">
        <v>2</v>
      </c>
      <c r="F772" s="9">
        <v>290</v>
      </c>
      <c r="G772" s="8">
        <f>F772/580</f>
        <v>0.5</v>
      </c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0"/>
      <c r="B773" s="10"/>
      <c r="C773" s="21">
        <v>4714781020282</v>
      </c>
      <c r="D773" s="10" t="s">
        <v>275</v>
      </c>
      <c r="E773" s="9">
        <v>1</v>
      </c>
      <c r="F773" s="9">
        <v>290</v>
      </c>
      <c r="G773" s="8">
        <f>F773/580</f>
        <v>0.5</v>
      </c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0" t="s">
        <v>2832</v>
      </c>
      <c r="B774" s="10">
        <v>2</v>
      </c>
      <c r="C774" s="21">
        <v>4714781020503</v>
      </c>
      <c r="D774" s="10" t="s">
        <v>1372</v>
      </c>
      <c r="E774" s="9">
        <v>2</v>
      </c>
      <c r="F774" s="9">
        <v>290</v>
      </c>
      <c r="G774" s="8">
        <f>F774/580</f>
        <v>0.5</v>
      </c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0"/>
      <c r="B775" s="10"/>
      <c r="C775" s="21" t="s">
        <v>1645</v>
      </c>
      <c r="D775" s="10" t="s">
        <v>373</v>
      </c>
      <c r="E775" s="9">
        <v>1</v>
      </c>
      <c r="F775" s="9">
        <v>290</v>
      </c>
      <c r="G775" s="8">
        <f>F775/580</f>
        <v>0.5</v>
      </c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0" t="s">
        <v>2831</v>
      </c>
      <c r="B776" s="10">
        <v>2</v>
      </c>
      <c r="C776" s="21">
        <v>4714781020503</v>
      </c>
      <c r="D776" s="10" t="s">
        <v>1372</v>
      </c>
      <c r="E776" s="9">
        <v>2</v>
      </c>
      <c r="F776" s="9">
        <v>290</v>
      </c>
      <c r="G776" s="8">
        <f>F776/580</f>
        <v>0.5</v>
      </c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0"/>
      <c r="B777" s="10"/>
      <c r="C777" s="21" t="s">
        <v>1643</v>
      </c>
      <c r="D777" s="10" t="s">
        <v>264</v>
      </c>
      <c r="E777" s="9">
        <v>1</v>
      </c>
      <c r="F777" s="9">
        <v>290</v>
      </c>
      <c r="G777" s="8">
        <f>F777/580</f>
        <v>0.5</v>
      </c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0" t="s">
        <v>2830</v>
      </c>
      <c r="B778" s="10">
        <v>2</v>
      </c>
      <c r="C778" s="21">
        <v>4714781020503</v>
      </c>
      <c r="D778" s="10" t="s">
        <v>1372</v>
      </c>
      <c r="E778" s="9">
        <v>2</v>
      </c>
      <c r="F778" s="9">
        <v>290</v>
      </c>
      <c r="G778" s="8">
        <f>F778/580</f>
        <v>0.5</v>
      </c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0"/>
      <c r="B779" s="10"/>
      <c r="C779" s="21" t="s">
        <v>1641</v>
      </c>
      <c r="D779" s="10" t="s">
        <v>359</v>
      </c>
      <c r="E779" s="9">
        <v>1</v>
      </c>
      <c r="F779" s="9">
        <v>290</v>
      </c>
      <c r="G779" s="8">
        <f>F779/580</f>
        <v>0.5</v>
      </c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0" t="s">
        <v>2829</v>
      </c>
      <c r="B780" s="10">
        <v>2</v>
      </c>
      <c r="C780" s="21">
        <v>4714781020558</v>
      </c>
      <c r="D780" s="10" t="s">
        <v>1370</v>
      </c>
      <c r="E780" s="9">
        <v>2</v>
      </c>
      <c r="F780" s="9">
        <v>290</v>
      </c>
      <c r="G780" s="8">
        <f>F780/580</f>
        <v>0.5</v>
      </c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0"/>
      <c r="B781" s="10"/>
      <c r="C781" s="21">
        <v>4714781020282</v>
      </c>
      <c r="D781" s="10" t="s">
        <v>275</v>
      </c>
      <c r="E781" s="9">
        <v>1</v>
      </c>
      <c r="F781" s="9">
        <v>290</v>
      </c>
      <c r="G781" s="8">
        <f>F781/580</f>
        <v>0.5</v>
      </c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0" t="s">
        <v>2828</v>
      </c>
      <c r="B782" s="10">
        <v>2</v>
      </c>
      <c r="C782" s="21">
        <v>4714781020558</v>
      </c>
      <c r="D782" s="10" t="s">
        <v>1370</v>
      </c>
      <c r="E782" s="9">
        <v>2</v>
      </c>
      <c r="F782" s="9">
        <v>290</v>
      </c>
      <c r="G782" s="8">
        <f>F782/580</f>
        <v>0.5</v>
      </c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0"/>
      <c r="B783" s="10"/>
      <c r="C783" s="21" t="s">
        <v>1645</v>
      </c>
      <c r="D783" s="10" t="s">
        <v>373</v>
      </c>
      <c r="E783" s="9">
        <v>1</v>
      </c>
      <c r="F783" s="9">
        <v>290</v>
      </c>
      <c r="G783" s="8">
        <f>F783/580</f>
        <v>0.5</v>
      </c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0" t="s">
        <v>2827</v>
      </c>
      <c r="B784" s="10">
        <v>2</v>
      </c>
      <c r="C784" s="21">
        <v>4714781020558</v>
      </c>
      <c r="D784" s="10" t="s">
        <v>1370</v>
      </c>
      <c r="E784" s="9">
        <v>2</v>
      </c>
      <c r="F784" s="9">
        <v>290</v>
      </c>
      <c r="G784" s="8">
        <f>F784/580</f>
        <v>0.5</v>
      </c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0"/>
      <c r="B785" s="10"/>
      <c r="C785" s="21" t="s">
        <v>1643</v>
      </c>
      <c r="D785" s="10" t="s">
        <v>264</v>
      </c>
      <c r="E785" s="9">
        <v>1</v>
      </c>
      <c r="F785" s="9">
        <v>290</v>
      </c>
      <c r="G785" s="8">
        <f>F785/580</f>
        <v>0.5</v>
      </c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0" t="s">
        <v>2826</v>
      </c>
      <c r="B786" s="10">
        <v>2</v>
      </c>
      <c r="C786" s="21">
        <v>4714781020558</v>
      </c>
      <c r="D786" s="10" t="s">
        <v>1370</v>
      </c>
      <c r="E786" s="9">
        <v>2</v>
      </c>
      <c r="F786" s="9">
        <v>290</v>
      </c>
      <c r="G786" s="8">
        <f>F786/580</f>
        <v>0.5</v>
      </c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0"/>
      <c r="B787" s="10"/>
      <c r="C787" s="21" t="s">
        <v>1641</v>
      </c>
      <c r="D787" s="10" t="s">
        <v>359</v>
      </c>
      <c r="E787" s="9">
        <v>1</v>
      </c>
      <c r="F787" s="9">
        <v>290</v>
      </c>
      <c r="G787" s="8">
        <f>F787/580</f>
        <v>0.5</v>
      </c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0" t="s">
        <v>2825</v>
      </c>
      <c r="B788" s="9">
        <v>3</v>
      </c>
      <c r="C788" s="21">
        <v>4714781020558</v>
      </c>
      <c r="D788" s="10" t="s">
        <v>1370</v>
      </c>
      <c r="E788" s="9">
        <v>2</v>
      </c>
      <c r="F788" s="9">
        <v>296</v>
      </c>
      <c r="G788" s="8">
        <f>F788/890</f>
        <v>0.33258426966292137</v>
      </c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0"/>
      <c r="B789" s="9"/>
      <c r="C789" s="21">
        <v>4714781020503</v>
      </c>
      <c r="D789" s="10" t="s">
        <v>1372</v>
      </c>
      <c r="E789" s="9">
        <v>2</v>
      </c>
      <c r="F789" s="9">
        <v>296</v>
      </c>
      <c r="G789" s="8">
        <f>F789/890</f>
        <v>0.33258426966292137</v>
      </c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0"/>
      <c r="B790" s="9"/>
      <c r="C790" s="21">
        <v>4714781020466</v>
      </c>
      <c r="D790" s="10" t="s">
        <v>1374</v>
      </c>
      <c r="E790" s="9">
        <v>2</v>
      </c>
      <c r="F790" s="9">
        <v>298</v>
      </c>
      <c r="G790" s="8">
        <f>F790/890</f>
        <v>0.33483146067415731</v>
      </c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0" t="s">
        <v>2824</v>
      </c>
      <c r="B791" s="9">
        <v>1</v>
      </c>
      <c r="C791" s="21">
        <v>4714781020558</v>
      </c>
      <c r="D791" s="10" t="s">
        <v>1370</v>
      </c>
      <c r="E791" s="9">
        <v>6</v>
      </c>
      <c r="F791" s="9">
        <v>890</v>
      </c>
      <c r="G791" s="8">
        <f>F791/890</f>
        <v>1</v>
      </c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0" t="s">
        <v>2823</v>
      </c>
      <c r="B792" s="9">
        <v>1</v>
      </c>
      <c r="C792" s="21">
        <v>4714781020503</v>
      </c>
      <c r="D792" s="10" t="s">
        <v>1372</v>
      </c>
      <c r="E792" s="9">
        <v>6</v>
      </c>
      <c r="F792" s="9">
        <v>890</v>
      </c>
      <c r="G792" s="8">
        <f>F792/890</f>
        <v>1</v>
      </c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0" t="s">
        <v>2822</v>
      </c>
      <c r="B793" s="9">
        <v>1</v>
      </c>
      <c r="C793" s="21">
        <v>4714781020466</v>
      </c>
      <c r="D793" s="10" t="s">
        <v>1374</v>
      </c>
      <c r="E793" s="9">
        <v>6</v>
      </c>
      <c r="F793" s="9">
        <v>890</v>
      </c>
      <c r="G793" s="8">
        <f>F793/890</f>
        <v>1</v>
      </c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0" t="s">
        <v>2821</v>
      </c>
      <c r="B794" s="9">
        <v>2</v>
      </c>
      <c r="C794" s="21">
        <v>4714781020503</v>
      </c>
      <c r="D794" s="10" t="s">
        <v>1372</v>
      </c>
      <c r="E794" s="9">
        <v>3</v>
      </c>
      <c r="F794" s="9">
        <v>445</v>
      </c>
      <c r="G794" s="8">
        <f>F794/890</f>
        <v>0.5</v>
      </c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0"/>
      <c r="B795" s="9"/>
      <c r="C795" s="21">
        <v>4714781020466</v>
      </c>
      <c r="D795" s="10" t="s">
        <v>1374</v>
      </c>
      <c r="E795" s="9">
        <v>3</v>
      </c>
      <c r="F795" s="9">
        <v>445</v>
      </c>
      <c r="G795" s="8">
        <f>F795/890</f>
        <v>0.5</v>
      </c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0" t="s">
        <v>2820</v>
      </c>
      <c r="B796" s="9">
        <v>2</v>
      </c>
      <c r="C796" s="21">
        <v>4714781020503</v>
      </c>
      <c r="D796" s="10" t="s">
        <v>1372</v>
      </c>
      <c r="E796" s="9">
        <v>3</v>
      </c>
      <c r="F796" s="9">
        <v>445</v>
      </c>
      <c r="G796" s="8">
        <f>F796/890</f>
        <v>0.5</v>
      </c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0"/>
      <c r="B797" s="9"/>
      <c r="C797" s="21">
        <v>4714781020558</v>
      </c>
      <c r="D797" s="10" t="s">
        <v>1370</v>
      </c>
      <c r="E797" s="9">
        <v>3</v>
      </c>
      <c r="F797" s="9">
        <v>445</v>
      </c>
      <c r="G797" s="8">
        <f>F797/890</f>
        <v>0.5</v>
      </c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0" t="s">
        <v>2819</v>
      </c>
      <c r="B798" s="9">
        <v>2</v>
      </c>
      <c r="C798" s="21">
        <v>4714781020466</v>
      </c>
      <c r="D798" s="10" t="s">
        <v>1374</v>
      </c>
      <c r="E798" s="9">
        <v>3</v>
      </c>
      <c r="F798" s="9">
        <v>445</v>
      </c>
      <c r="G798" s="8">
        <f>F798/890</f>
        <v>0.5</v>
      </c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0"/>
      <c r="B799" s="9"/>
      <c r="C799" s="21">
        <v>4714781020558</v>
      </c>
      <c r="D799" s="10" t="s">
        <v>1370</v>
      </c>
      <c r="E799" s="9">
        <v>3</v>
      </c>
      <c r="F799" s="9">
        <v>445</v>
      </c>
      <c r="G799" s="8">
        <f>F799/890</f>
        <v>0.5</v>
      </c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0" t="s">
        <v>2818</v>
      </c>
      <c r="B800" s="9">
        <v>2</v>
      </c>
      <c r="C800" s="23">
        <v>4714781021777</v>
      </c>
      <c r="D800" s="12" t="s">
        <v>1522</v>
      </c>
      <c r="E800" s="9">
        <v>2</v>
      </c>
      <c r="F800" s="9">
        <v>750</v>
      </c>
      <c r="G800" s="8">
        <f>F800/1320</f>
        <v>0.56818181818181823</v>
      </c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0"/>
      <c r="B801" s="9"/>
      <c r="C801" s="23" t="s">
        <v>1510</v>
      </c>
      <c r="D801" s="12" t="s">
        <v>2190</v>
      </c>
      <c r="E801" s="9">
        <v>2</v>
      </c>
      <c r="F801" s="9">
        <v>570</v>
      </c>
      <c r="G801" s="8">
        <f>F801/1320</f>
        <v>0.43181818181818182</v>
      </c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0" t="s">
        <v>2817</v>
      </c>
      <c r="B802" s="9">
        <v>2</v>
      </c>
      <c r="C802" s="23">
        <v>4714781021777</v>
      </c>
      <c r="D802" s="12" t="s">
        <v>1522</v>
      </c>
      <c r="E802" s="9">
        <v>2</v>
      </c>
      <c r="F802" s="9">
        <v>750</v>
      </c>
      <c r="G802" s="8">
        <f>F802/1320</f>
        <v>0.56818181818181823</v>
      </c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0"/>
      <c r="B803" s="9"/>
      <c r="C803" s="23" t="s">
        <v>1506</v>
      </c>
      <c r="D803" s="12" t="s">
        <v>2188</v>
      </c>
      <c r="E803" s="9">
        <v>2</v>
      </c>
      <c r="F803" s="9">
        <v>570</v>
      </c>
      <c r="G803" s="8">
        <f>F803/1320</f>
        <v>0.43181818181818182</v>
      </c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0" t="s">
        <v>2816</v>
      </c>
      <c r="B804" s="9">
        <v>2</v>
      </c>
      <c r="C804" s="23">
        <v>4714781021777</v>
      </c>
      <c r="D804" s="12" t="s">
        <v>1522</v>
      </c>
      <c r="E804" s="9">
        <v>2</v>
      </c>
      <c r="F804" s="9">
        <v>750</v>
      </c>
      <c r="G804" s="8">
        <f>F804/1320</f>
        <v>0.56818181818181823</v>
      </c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0"/>
      <c r="B805" s="9"/>
      <c r="C805" s="23" t="s">
        <v>1508</v>
      </c>
      <c r="D805" s="12" t="s">
        <v>2186</v>
      </c>
      <c r="E805" s="9">
        <v>2</v>
      </c>
      <c r="F805" s="9">
        <v>570</v>
      </c>
      <c r="G805" s="8">
        <f>F805/1320</f>
        <v>0.43181818181818182</v>
      </c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0" t="s">
        <v>2815</v>
      </c>
      <c r="B806" s="9">
        <v>2</v>
      </c>
      <c r="C806" s="23">
        <v>4714781021777</v>
      </c>
      <c r="D806" s="12" t="s">
        <v>1522</v>
      </c>
      <c r="E806" s="9">
        <v>2</v>
      </c>
      <c r="F806" s="9">
        <v>750</v>
      </c>
      <c r="G806" s="8">
        <f>F806/1320</f>
        <v>0.56818181818181823</v>
      </c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0"/>
      <c r="B807" s="9"/>
      <c r="C807" s="23" t="s">
        <v>1531</v>
      </c>
      <c r="D807" s="12" t="s">
        <v>2194</v>
      </c>
      <c r="E807" s="9">
        <v>2</v>
      </c>
      <c r="F807" s="9">
        <v>570</v>
      </c>
      <c r="G807" s="8">
        <f>F807/1320</f>
        <v>0.43181818181818182</v>
      </c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0" t="s">
        <v>2814</v>
      </c>
      <c r="B808" s="9">
        <v>3</v>
      </c>
      <c r="C808" s="23">
        <v>4714781021777</v>
      </c>
      <c r="D808" s="12" t="s">
        <v>1522</v>
      </c>
      <c r="E808" s="9">
        <v>2</v>
      </c>
      <c r="F808" s="9">
        <v>750</v>
      </c>
      <c r="G808" s="8">
        <f>F808/1320</f>
        <v>0.56818181818181823</v>
      </c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0"/>
      <c r="B809" s="9"/>
      <c r="C809" s="23" t="s">
        <v>1510</v>
      </c>
      <c r="D809" s="12" t="s">
        <v>2190</v>
      </c>
      <c r="E809" s="9">
        <v>1</v>
      </c>
      <c r="F809" s="9">
        <v>285</v>
      </c>
      <c r="G809" s="8">
        <f>F809/1320</f>
        <v>0.21590909090909091</v>
      </c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0"/>
      <c r="B810" s="9"/>
      <c r="C810" s="23" t="s">
        <v>1531</v>
      </c>
      <c r="D810" s="12" t="s">
        <v>2194</v>
      </c>
      <c r="E810" s="9">
        <v>1</v>
      </c>
      <c r="F810" s="9">
        <v>285</v>
      </c>
      <c r="G810" s="8">
        <f>F810/1320</f>
        <v>0.21590909090909091</v>
      </c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0" t="s">
        <v>2813</v>
      </c>
      <c r="B811" s="9">
        <v>3</v>
      </c>
      <c r="C811" s="23">
        <v>4714781021777</v>
      </c>
      <c r="D811" s="12" t="s">
        <v>1522</v>
      </c>
      <c r="E811" s="9">
        <v>2</v>
      </c>
      <c r="F811" s="9">
        <v>750</v>
      </c>
      <c r="G811" s="8">
        <f>F811/1320</f>
        <v>0.56818181818181823</v>
      </c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0"/>
      <c r="B812" s="9"/>
      <c r="C812" s="23" t="s">
        <v>1531</v>
      </c>
      <c r="D812" s="12" t="s">
        <v>2194</v>
      </c>
      <c r="E812" s="9">
        <v>1</v>
      </c>
      <c r="F812" s="9">
        <v>285</v>
      </c>
      <c r="G812" s="8">
        <f>F812/1320</f>
        <v>0.21590909090909091</v>
      </c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0"/>
      <c r="B813" s="9"/>
      <c r="C813" s="23" t="s">
        <v>1508</v>
      </c>
      <c r="D813" s="12" t="s">
        <v>2186</v>
      </c>
      <c r="E813" s="9">
        <v>1</v>
      </c>
      <c r="F813" s="9">
        <v>285</v>
      </c>
      <c r="G813" s="8">
        <f>F813/1320</f>
        <v>0.21590909090909091</v>
      </c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0" t="s">
        <v>2812</v>
      </c>
      <c r="B814" s="9">
        <v>3</v>
      </c>
      <c r="C814" s="23">
        <v>4714781021777</v>
      </c>
      <c r="D814" s="12" t="s">
        <v>1522</v>
      </c>
      <c r="E814" s="9">
        <v>2</v>
      </c>
      <c r="F814" s="9">
        <v>750</v>
      </c>
      <c r="G814" s="8">
        <f>F814/1320</f>
        <v>0.56818181818181823</v>
      </c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0"/>
      <c r="B815" s="9"/>
      <c r="C815" s="23" t="s">
        <v>1531</v>
      </c>
      <c r="D815" s="12" t="s">
        <v>2194</v>
      </c>
      <c r="E815" s="9">
        <v>1</v>
      </c>
      <c r="F815" s="9">
        <v>285</v>
      </c>
      <c r="G815" s="8">
        <f>F815/1320</f>
        <v>0.21590909090909091</v>
      </c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0"/>
      <c r="B816" s="9"/>
      <c r="C816" s="23" t="s">
        <v>1506</v>
      </c>
      <c r="D816" s="12" t="s">
        <v>2188</v>
      </c>
      <c r="E816" s="9">
        <v>1</v>
      </c>
      <c r="F816" s="9">
        <v>285</v>
      </c>
      <c r="G816" s="8">
        <f>F816/1320</f>
        <v>0.21590909090909091</v>
      </c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0" t="s">
        <v>2811</v>
      </c>
      <c r="B817" s="9">
        <v>3</v>
      </c>
      <c r="C817" s="23">
        <v>4714781021777</v>
      </c>
      <c r="D817" s="12" t="s">
        <v>1522</v>
      </c>
      <c r="E817" s="9">
        <v>2</v>
      </c>
      <c r="F817" s="9">
        <v>750</v>
      </c>
      <c r="G817" s="8">
        <f>F817/1320</f>
        <v>0.56818181818181823</v>
      </c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0"/>
      <c r="B818" s="9"/>
      <c r="C818" s="23" t="s">
        <v>1510</v>
      </c>
      <c r="D818" s="12" t="s">
        <v>2190</v>
      </c>
      <c r="E818" s="9">
        <v>1</v>
      </c>
      <c r="F818" s="9">
        <v>285</v>
      </c>
      <c r="G818" s="8">
        <f>F818/1320</f>
        <v>0.21590909090909091</v>
      </c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0"/>
      <c r="B819" s="9"/>
      <c r="C819" s="23" t="s">
        <v>1506</v>
      </c>
      <c r="D819" s="12" t="s">
        <v>2188</v>
      </c>
      <c r="E819" s="9">
        <v>1</v>
      </c>
      <c r="F819" s="9">
        <v>285</v>
      </c>
      <c r="G819" s="8">
        <f>F819/1320</f>
        <v>0.21590909090909091</v>
      </c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0" t="s">
        <v>2810</v>
      </c>
      <c r="B820" s="9">
        <v>3</v>
      </c>
      <c r="C820" s="23">
        <v>4714781021777</v>
      </c>
      <c r="D820" s="12" t="s">
        <v>1522</v>
      </c>
      <c r="E820" s="9">
        <v>2</v>
      </c>
      <c r="F820" s="9">
        <v>750</v>
      </c>
      <c r="G820" s="8">
        <f>F820/1320</f>
        <v>0.56818181818181823</v>
      </c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0"/>
      <c r="B821" s="9"/>
      <c r="C821" s="23" t="s">
        <v>1510</v>
      </c>
      <c r="D821" s="12" t="s">
        <v>2190</v>
      </c>
      <c r="E821" s="9">
        <v>1</v>
      </c>
      <c r="F821" s="9">
        <v>285</v>
      </c>
      <c r="G821" s="8">
        <f>F821/1320</f>
        <v>0.21590909090909091</v>
      </c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0"/>
      <c r="B822" s="9"/>
      <c r="C822" s="23" t="s">
        <v>1508</v>
      </c>
      <c r="D822" s="12" t="s">
        <v>2186</v>
      </c>
      <c r="E822" s="9">
        <v>1</v>
      </c>
      <c r="F822" s="9">
        <v>285</v>
      </c>
      <c r="G822" s="8">
        <f>F822/1320</f>
        <v>0.21590909090909091</v>
      </c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0" t="s">
        <v>2809</v>
      </c>
      <c r="B823" s="9">
        <v>3</v>
      </c>
      <c r="C823" s="23">
        <v>4714781021777</v>
      </c>
      <c r="D823" s="12" t="s">
        <v>1522</v>
      </c>
      <c r="E823" s="9">
        <v>2</v>
      </c>
      <c r="F823" s="9">
        <v>750</v>
      </c>
      <c r="G823" s="8">
        <f>F823/1320</f>
        <v>0.56818181818181823</v>
      </c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0"/>
      <c r="B824" s="9"/>
      <c r="C824" s="23" t="s">
        <v>1508</v>
      </c>
      <c r="D824" s="12" t="s">
        <v>2186</v>
      </c>
      <c r="E824" s="9">
        <v>1</v>
      </c>
      <c r="F824" s="9">
        <v>285</v>
      </c>
      <c r="G824" s="8">
        <f>F824/1320</f>
        <v>0.21590909090909091</v>
      </c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0"/>
      <c r="B825" s="9"/>
      <c r="C825" s="23" t="s">
        <v>1506</v>
      </c>
      <c r="D825" s="12" t="s">
        <v>2188</v>
      </c>
      <c r="E825" s="9">
        <v>1</v>
      </c>
      <c r="F825" s="9">
        <v>285</v>
      </c>
      <c r="G825" s="8">
        <f>F825/1320</f>
        <v>0.21590909090909091</v>
      </c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0" t="s">
        <v>2808</v>
      </c>
      <c r="B826" s="9">
        <v>1</v>
      </c>
      <c r="C826" s="21">
        <v>4714781020794</v>
      </c>
      <c r="D826" s="10" t="s">
        <v>1320</v>
      </c>
      <c r="E826" s="9">
        <v>2</v>
      </c>
      <c r="F826" s="9">
        <v>230</v>
      </c>
      <c r="G826" s="8">
        <f>F826/230</f>
        <v>1</v>
      </c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0" t="s">
        <v>2807</v>
      </c>
      <c r="B827" s="9">
        <v>1</v>
      </c>
      <c r="C827" s="21">
        <v>4714781020800</v>
      </c>
      <c r="D827" s="10" t="s">
        <v>1319</v>
      </c>
      <c r="E827" s="9">
        <v>2</v>
      </c>
      <c r="F827" s="9">
        <v>230</v>
      </c>
      <c r="G827" s="8">
        <f>F827/230</f>
        <v>1</v>
      </c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0" t="s">
        <v>2806</v>
      </c>
      <c r="B828" s="9">
        <v>1</v>
      </c>
      <c r="C828" s="21">
        <v>4714781020817</v>
      </c>
      <c r="D828" s="10" t="s">
        <v>1317</v>
      </c>
      <c r="E828" s="9">
        <v>2</v>
      </c>
      <c r="F828" s="9">
        <v>230</v>
      </c>
      <c r="G828" s="8">
        <f>F828/230</f>
        <v>1</v>
      </c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0" t="s">
        <v>2805</v>
      </c>
      <c r="B829" s="9">
        <v>2</v>
      </c>
      <c r="C829" s="21">
        <v>4714781020794</v>
      </c>
      <c r="D829" s="10" t="s">
        <v>1320</v>
      </c>
      <c r="E829" s="9">
        <v>1</v>
      </c>
      <c r="F829" s="9">
        <v>115</v>
      </c>
      <c r="G829" s="8">
        <f>F829/230</f>
        <v>0.5</v>
      </c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0"/>
      <c r="B830" s="10"/>
      <c r="C830" s="21">
        <v>4714781020800</v>
      </c>
      <c r="D830" s="10" t="s">
        <v>1319</v>
      </c>
      <c r="E830" s="9">
        <v>1</v>
      </c>
      <c r="F830" s="9">
        <v>115</v>
      </c>
      <c r="G830" s="8">
        <f>F830/230</f>
        <v>0.5</v>
      </c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0" t="s">
        <v>2804</v>
      </c>
      <c r="B831" s="9">
        <v>2</v>
      </c>
      <c r="C831" s="21">
        <v>4714781020794</v>
      </c>
      <c r="D831" s="10" t="s">
        <v>1320</v>
      </c>
      <c r="E831" s="9">
        <v>1</v>
      </c>
      <c r="F831" s="9">
        <v>115</v>
      </c>
      <c r="G831" s="8">
        <f>F831/230</f>
        <v>0.5</v>
      </c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0"/>
      <c r="B832" s="10"/>
      <c r="C832" s="21">
        <v>4714781020817</v>
      </c>
      <c r="D832" s="10" t="s">
        <v>1317</v>
      </c>
      <c r="E832" s="9">
        <v>1</v>
      </c>
      <c r="F832" s="9">
        <v>115</v>
      </c>
      <c r="G832" s="8">
        <f>F832/230</f>
        <v>0.5</v>
      </c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0" t="s">
        <v>2803</v>
      </c>
      <c r="B833" s="9">
        <v>2</v>
      </c>
      <c r="C833" s="21">
        <v>4714781020800</v>
      </c>
      <c r="D833" s="10" t="s">
        <v>1319</v>
      </c>
      <c r="E833" s="9">
        <v>1</v>
      </c>
      <c r="F833" s="9">
        <v>115</v>
      </c>
      <c r="G833" s="8">
        <f>F833/230</f>
        <v>0.5</v>
      </c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0"/>
      <c r="B834" s="10"/>
      <c r="C834" s="21">
        <v>4714781020817</v>
      </c>
      <c r="D834" s="10" t="s">
        <v>1317</v>
      </c>
      <c r="E834" s="9">
        <v>1</v>
      </c>
      <c r="F834" s="9">
        <v>115</v>
      </c>
      <c r="G834" s="8">
        <f>F834/230</f>
        <v>0.5</v>
      </c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0" t="s">
        <v>2802</v>
      </c>
      <c r="B835" s="9">
        <v>1</v>
      </c>
      <c r="C835" s="21">
        <v>4714781020770</v>
      </c>
      <c r="D835" s="10" t="s">
        <v>1380</v>
      </c>
      <c r="E835" s="9">
        <v>2</v>
      </c>
      <c r="F835" s="9">
        <v>270</v>
      </c>
      <c r="G835" s="8">
        <f>F835/270</f>
        <v>1</v>
      </c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0" t="s">
        <v>2801</v>
      </c>
      <c r="B836" s="9">
        <v>1</v>
      </c>
      <c r="C836" s="21">
        <v>4714781020787</v>
      </c>
      <c r="D836" s="10" t="s">
        <v>1378</v>
      </c>
      <c r="E836" s="9">
        <v>2</v>
      </c>
      <c r="F836" s="9">
        <v>270</v>
      </c>
      <c r="G836" s="8">
        <f>F836/270</f>
        <v>1</v>
      </c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0" t="s">
        <v>2800</v>
      </c>
      <c r="B837" s="9">
        <v>2</v>
      </c>
      <c r="C837" s="21">
        <v>4714781020770</v>
      </c>
      <c r="D837" s="10" t="s">
        <v>1380</v>
      </c>
      <c r="E837" s="9">
        <v>1</v>
      </c>
      <c r="F837" s="9">
        <v>135</v>
      </c>
      <c r="G837" s="8">
        <f>F837/270</f>
        <v>0.5</v>
      </c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0"/>
      <c r="B838" s="10"/>
      <c r="C838" s="21">
        <v>4714781020787</v>
      </c>
      <c r="D838" s="10" t="s">
        <v>1378</v>
      </c>
      <c r="E838" s="9">
        <v>1</v>
      </c>
      <c r="F838" s="9">
        <v>135</v>
      </c>
      <c r="G838" s="8">
        <f>F838/270</f>
        <v>0.5</v>
      </c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0" t="s">
        <v>2799</v>
      </c>
      <c r="B839" s="9">
        <v>1</v>
      </c>
      <c r="C839" s="21">
        <v>4714781020848</v>
      </c>
      <c r="D839" s="10" t="s">
        <v>1382</v>
      </c>
      <c r="E839" s="9">
        <v>2</v>
      </c>
      <c r="F839" s="9">
        <v>650</v>
      </c>
      <c r="G839" s="8">
        <f>F839/650</f>
        <v>1</v>
      </c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0" t="s">
        <v>2798</v>
      </c>
      <c r="B840" s="9">
        <v>1</v>
      </c>
      <c r="C840" s="21" t="s">
        <v>1596</v>
      </c>
      <c r="D840" s="10" t="s">
        <v>1384</v>
      </c>
      <c r="E840" s="9">
        <v>2</v>
      </c>
      <c r="F840" s="9">
        <v>650</v>
      </c>
      <c r="G840" s="8">
        <f>F840/650</f>
        <v>1</v>
      </c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0" t="s">
        <v>2797</v>
      </c>
      <c r="B841" s="9">
        <v>2</v>
      </c>
      <c r="C841" s="21">
        <v>4714781020848</v>
      </c>
      <c r="D841" s="10" t="s">
        <v>1382</v>
      </c>
      <c r="E841" s="9">
        <v>1</v>
      </c>
      <c r="F841" s="9">
        <v>325</v>
      </c>
      <c r="G841" s="8">
        <f>F841/650</f>
        <v>0.5</v>
      </c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0"/>
      <c r="B842" s="10"/>
      <c r="C842" s="21" t="s">
        <v>1596</v>
      </c>
      <c r="D842" s="10" t="s">
        <v>1384</v>
      </c>
      <c r="E842" s="9">
        <v>1</v>
      </c>
      <c r="F842" s="9">
        <v>325</v>
      </c>
      <c r="G842" s="8">
        <f>F842/650</f>
        <v>0.5</v>
      </c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0" t="s">
        <v>2796</v>
      </c>
      <c r="B843" s="9">
        <v>1</v>
      </c>
      <c r="C843" s="21">
        <v>4714781020824</v>
      </c>
      <c r="D843" s="10" t="s">
        <v>1391</v>
      </c>
      <c r="E843" s="9">
        <v>2</v>
      </c>
      <c r="F843" s="9">
        <v>650</v>
      </c>
      <c r="G843" s="8">
        <f>F843/650</f>
        <v>1</v>
      </c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0" t="s">
        <v>2795</v>
      </c>
      <c r="B844" s="9">
        <v>1</v>
      </c>
      <c r="C844" s="21">
        <v>4714781020831</v>
      </c>
      <c r="D844" s="10" t="s">
        <v>1389</v>
      </c>
      <c r="E844" s="9">
        <v>2</v>
      </c>
      <c r="F844" s="9">
        <v>650</v>
      </c>
      <c r="G844" s="8">
        <f>F844/650</f>
        <v>1</v>
      </c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0" t="s">
        <v>2794</v>
      </c>
      <c r="B845" s="9">
        <v>2</v>
      </c>
      <c r="C845" s="21">
        <v>4714781020824</v>
      </c>
      <c r="D845" s="10" t="s">
        <v>1391</v>
      </c>
      <c r="E845" s="9">
        <v>1</v>
      </c>
      <c r="F845" s="9">
        <v>325</v>
      </c>
      <c r="G845" s="8">
        <f>F845/650</f>
        <v>0.5</v>
      </c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0"/>
      <c r="B846" s="10"/>
      <c r="C846" s="21">
        <v>4714781020831</v>
      </c>
      <c r="D846" s="10" t="s">
        <v>1389</v>
      </c>
      <c r="E846" s="9">
        <v>1</v>
      </c>
      <c r="F846" s="9">
        <v>325</v>
      </c>
      <c r="G846" s="8">
        <f>F846/650</f>
        <v>0.5</v>
      </c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0" t="s">
        <v>2793</v>
      </c>
      <c r="B847" s="9">
        <v>2</v>
      </c>
      <c r="C847" s="21">
        <v>4714781020848</v>
      </c>
      <c r="D847" s="10" t="s">
        <v>1382</v>
      </c>
      <c r="E847" s="9">
        <v>1</v>
      </c>
      <c r="F847" s="9">
        <v>325</v>
      </c>
      <c r="G847" s="8">
        <f>F847/650</f>
        <v>0.5</v>
      </c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0"/>
      <c r="B848" s="10"/>
      <c r="C848" s="21">
        <v>4714781020824</v>
      </c>
      <c r="D848" s="10" t="s">
        <v>1391</v>
      </c>
      <c r="E848" s="9">
        <v>1</v>
      </c>
      <c r="F848" s="9">
        <v>325</v>
      </c>
      <c r="G848" s="8">
        <f>F848/650</f>
        <v>0.5</v>
      </c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0" t="s">
        <v>2792</v>
      </c>
      <c r="B849" s="9">
        <v>2</v>
      </c>
      <c r="C849" s="21">
        <v>4714781020848</v>
      </c>
      <c r="D849" s="10" t="s">
        <v>1382</v>
      </c>
      <c r="E849" s="9">
        <v>1</v>
      </c>
      <c r="F849" s="9">
        <v>325</v>
      </c>
      <c r="G849" s="8">
        <f>F849/650</f>
        <v>0.5</v>
      </c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0"/>
      <c r="B850" s="10"/>
      <c r="C850" s="21">
        <v>4714781020831</v>
      </c>
      <c r="D850" s="10" t="s">
        <v>1389</v>
      </c>
      <c r="E850" s="9">
        <v>1</v>
      </c>
      <c r="F850" s="9">
        <v>325</v>
      </c>
      <c r="G850" s="8">
        <f>F850/650</f>
        <v>0.5</v>
      </c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0" t="s">
        <v>2791</v>
      </c>
      <c r="B851" s="9">
        <v>2</v>
      </c>
      <c r="C851" s="21" t="s">
        <v>1596</v>
      </c>
      <c r="D851" s="10" t="s">
        <v>1384</v>
      </c>
      <c r="E851" s="9">
        <v>1</v>
      </c>
      <c r="F851" s="9">
        <v>325</v>
      </c>
      <c r="G851" s="8">
        <f>F851/650</f>
        <v>0.5</v>
      </c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0"/>
      <c r="B852" s="10"/>
      <c r="C852" s="21">
        <v>4714781020824</v>
      </c>
      <c r="D852" s="10" t="s">
        <v>1391</v>
      </c>
      <c r="E852" s="9">
        <v>1</v>
      </c>
      <c r="F852" s="9">
        <v>325</v>
      </c>
      <c r="G852" s="8">
        <f>F852/650</f>
        <v>0.5</v>
      </c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0" t="s">
        <v>2790</v>
      </c>
      <c r="B853" s="9">
        <v>2</v>
      </c>
      <c r="C853" s="21" t="s">
        <v>1596</v>
      </c>
      <c r="D853" s="10" t="s">
        <v>1384</v>
      </c>
      <c r="E853" s="9">
        <v>1</v>
      </c>
      <c r="F853" s="9">
        <v>325</v>
      </c>
      <c r="G853" s="8">
        <f>F853/650</f>
        <v>0.5</v>
      </c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0"/>
      <c r="B854" s="10"/>
      <c r="C854" s="21">
        <v>4714781020831</v>
      </c>
      <c r="D854" s="10" t="s">
        <v>1389</v>
      </c>
      <c r="E854" s="9">
        <v>1</v>
      </c>
      <c r="F854" s="9">
        <v>325</v>
      </c>
      <c r="G854" s="8">
        <f>F854/650</f>
        <v>0.5</v>
      </c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0" t="s">
        <v>2789</v>
      </c>
      <c r="B855" s="9">
        <v>1</v>
      </c>
      <c r="C855" s="21" t="s">
        <v>1619</v>
      </c>
      <c r="D855" s="10" t="s">
        <v>1376</v>
      </c>
      <c r="E855" s="9">
        <v>4</v>
      </c>
      <c r="F855" s="9">
        <v>550</v>
      </c>
      <c r="G855" s="8">
        <f>F855/550</f>
        <v>1</v>
      </c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0" t="s">
        <v>2788</v>
      </c>
      <c r="B856" s="9">
        <v>3</v>
      </c>
      <c r="C856" s="21">
        <v>4714781021227</v>
      </c>
      <c r="D856" s="10" t="s">
        <v>2137</v>
      </c>
      <c r="E856" s="9">
        <v>2</v>
      </c>
      <c r="F856" s="9">
        <v>118</v>
      </c>
      <c r="G856" s="8">
        <f>F856/414</f>
        <v>0.28502415458937197</v>
      </c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0"/>
      <c r="B857" s="10"/>
      <c r="C857" s="21">
        <v>4714781021234</v>
      </c>
      <c r="D857" s="10" t="s">
        <v>2135</v>
      </c>
      <c r="E857" s="9">
        <v>2</v>
      </c>
      <c r="F857" s="9">
        <v>118</v>
      </c>
      <c r="G857" s="8">
        <f>F857/414</f>
        <v>0.28502415458937197</v>
      </c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0"/>
      <c r="B858" s="10"/>
      <c r="C858" s="21">
        <v>4714781021241</v>
      </c>
      <c r="D858" s="10" t="s">
        <v>2133</v>
      </c>
      <c r="E858" s="9">
        <v>3</v>
      </c>
      <c r="F858" s="9">
        <v>178</v>
      </c>
      <c r="G858" s="8">
        <f>F858/414</f>
        <v>0.42995169082125606</v>
      </c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0" t="s">
        <v>2787</v>
      </c>
      <c r="B859" s="9">
        <v>3</v>
      </c>
      <c r="C859" s="21">
        <v>4714781021227</v>
      </c>
      <c r="D859" s="10" t="s">
        <v>2137</v>
      </c>
      <c r="E859" s="9">
        <v>3</v>
      </c>
      <c r="F859" s="9">
        <v>177</v>
      </c>
      <c r="G859" s="8">
        <f>F859/414</f>
        <v>0.42753623188405798</v>
      </c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0"/>
      <c r="B860" s="10"/>
      <c r="C860" s="21">
        <v>4714781021234</v>
      </c>
      <c r="D860" s="10" t="s">
        <v>2135</v>
      </c>
      <c r="E860" s="9">
        <v>3</v>
      </c>
      <c r="F860" s="9">
        <v>177</v>
      </c>
      <c r="G860" s="8">
        <f>F860/414</f>
        <v>0.42753623188405798</v>
      </c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0"/>
      <c r="B861" s="10"/>
      <c r="C861" s="21">
        <v>4714781021241</v>
      </c>
      <c r="D861" s="10" t="s">
        <v>2133</v>
      </c>
      <c r="E861" s="9">
        <v>1</v>
      </c>
      <c r="F861" s="9">
        <v>60</v>
      </c>
      <c r="G861" s="8">
        <f>F861/414</f>
        <v>0.14492753623188406</v>
      </c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0" t="s">
        <v>2786</v>
      </c>
      <c r="B862" s="9">
        <v>2</v>
      </c>
      <c r="C862" s="21">
        <v>4714781021227</v>
      </c>
      <c r="D862" s="10" t="s">
        <v>2137</v>
      </c>
      <c r="E862" s="9">
        <v>3</v>
      </c>
      <c r="F862" s="9">
        <v>177</v>
      </c>
      <c r="G862" s="8">
        <f>F862/414</f>
        <v>0.42753623188405798</v>
      </c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0"/>
      <c r="B863" s="10"/>
      <c r="C863" s="21">
        <v>4714781021241</v>
      </c>
      <c r="D863" s="10" t="s">
        <v>2133</v>
      </c>
      <c r="E863" s="9">
        <v>4</v>
      </c>
      <c r="F863" s="9">
        <v>237</v>
      </c>
      <c r="G863" s="8">
        <f>F863/414</f>
        <v>0.57246376811594202</v>
      </c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0" t="s">
        <v>2785</v>
      </c>
      <c r="B864" s="9">
        <v>2</v>
      </c>
      <c r="C864" s="21">
        <v>4714781021234</v>
      </c>
      <c r="D864" s="10" t="s">
        <v>2135</v>
      </c>
      <c r="E864" s="9">
        <v>3</v>
      </c>
      <c r="F864" s="9">
        <v>177</v>
      </c>
      <c r="G864" s="8">
        <f>F864/414</f>
        <v>0.42753623188405798</v>
      </c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0"/>
      <c r="B865" s="10"/>
      <c r="C865" s="21">
        <v>4714781021241</v>
      </c>
      <c r="D865" s="10" t="s">
        <v>2133</v>
      </c>
      <c r="E865" s="9">
        <v>4</v>
      </c>
      <c r="F865" s="9">
        <v>237</v>
      </c>
      <c r="G865" s="8">
        <f>F865/414</f>
        <v>0.57246376811594202</v>
      </c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0" t="s">
        <v>2784</v>
      </c>
      <c r="B866" s="9">
        <v>2</v>
      </c>
      <c r="C866" s="21">
        <v>4714781021227</v>
      </c>
      <c r="D866" s="10" t="s">
        <v>2137</v>
      </c>
      <c r="E866" s="9">
        <v>6</v>
      </c>
      <c r="F866" s="9">
        <v>354</v>
      </c>
      <c r="G866" s="8">
        <f>F866/414</f>
        <v>0.85507246376811596</v>
      </c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0"/>
      <c r="B867" s="10"/>
      <c r="C867" s="21">
        <v>4714781021241</v>
      </c>
      <c r="D867" s="10" t="s">
        <v>2133</v>
      </c>
      <c r="E867" s="9">
        <v>1</v>
      </c>
      <c r="F867" s="9">
        <v>60</v>
      </c>
      <c r="G867" s="8">
        <f>F867/414</f>
        <v>0.14492753623188406</v>
      </c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0" t="s">
        <v>2783</v>
      </c>
      <c r="B868" s="9">
        <v>2</v>
      </c>
      <c r="C868" s="21">
        <v>4714781021234</v>
      </c>
      <c r="D868" s="10" t="s">
        <v>2135</v>
      </c>
      <c r="E868" s="9">
        <v>6</v>
      </c>
      <c r="F868" s="9">
        <v>354</v>
      </c>
      <c r="G868" s="8">
        <f>F868/414</f>
        <v>0.85507246376811596</v>
      </c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0"/>
      <c r="B869" s="10"/>
      <c r="C869" s="21">
        <v>4714781021241</v>
      </c>
      <c r="D869" s="10" t="s">
        <v>2133</v>
      </c>
      <c r="E869" s="9">
        <v>1</v>
      </c>
      <c r="F869" s="9">
        <v>60</v>
      </c>
      <c r="G869" s="8">
        <f>F869/414</f>
        <v>0.14492753623188406</v>
      </c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0" t="s">
        <v>2782</v>
      </c>
      <c r="B870" s="9">
        <v>1</v>
      </c>
      <c r="C870" s="21">
        <v>4714781021241</v>
      </c>
      <c r="D870" s="10" t="s">
        <v>2133</v>
      </c>
      <c r="E870" s="9">
        <v>7</v>
      </c>
      <c r="F870" s="9">
        <v>414</v>
      </c>
      <c r="G870" s="8">
        <f>F870/414</f>
        <v>1</v>
      </c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0" t="s">
        <v>2781</v>
      </c>
      <c r="B871" s="9">
        <v>1</v>
      </c>
      <c r="C871" s="21" t="s">
        <v>2367</v>
      </c>
      <c r="D871" s="10" t="s">
        <v>2366</v>
      </c>
      <c r="E871" s="9">
        <v>6</v>
      </c>
      <c r="F871" s="9">
        <v>495</v>
      </c>
      <c r="G871" s="8">
        <f>F871/495</f>
        <v>1</v>
      </c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0" t="s">
        <v>2780</v>
      </c>
      <c r="B872" s="12">
        <v>3</v>
      </c>
      <c r="C872" s="23" t="s">
        <v>1512</v>
      </c>
      <c r="D872" s="12" t="s">
        <v>1511</v>
      </c>
      <c r="E872" s="17">
        <v>1</v>
      </c>
      <c r="F872" s="9">
        <v>145</v>
      </c>
      <c r="G872" s="8">
        <f>F872/435</f>
        <v>0.33333333333333331</v>
      </c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0"/>
      <c r="B873" s="12"/>
      <c r="C873" s="23" t="s">
        <v>1517</v>
      </c>
      <c r="D873" s="12" t="s">
        <v>1516</v>
      </c>
      <c r="E873" s="17">
        <v>1</v>
      </c>
      <c r="F873" s="9">
        <v>145</v>
      </c>
      <c r="G873" s="8">
        <f>F873/435</f>
        <v>0.33333333333333331</v>
      </c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0"/>
      <c r="B874" s="12"/>
      <c r="C874" s="23" t="s">
        <v>1514</v>
      </c>
      <c r="D874" s="12" t="s">
        <v>1513</v>
      </c>
      <c r="E874" s="17">
        <v>1</v>
      </c>
      <c r="F874" s="9">
        <v>145</v>
      </c>
      <c r="G874" s="8">
        <f>F874/435</f>
        <v>0.33333333333333331</v>
      </c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0" t="s">
        <v>2779</v>
      </c>
      <c r="B875" s="12">
        <v>1</v>
      </c>
      <c r="C875" s="23" t="s">
        <v>1514</v>
      </c>
      <c r="D875" s="12" t="s">
        <v>1513</v>
      </c>
      <c r="E875" s="17">
        <v>3</v>
      </c>
      <c r="F875" s="9">
        <v>435</v>
      </c>
      <c r="G875" s="8">
        <f>F875/435</f>
        <v>1</v>
      </c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0" t="s">
        <v>2778</v>
      </c>
      <c r="B876" s="12">
        <v>1</v>
      </c>
      <c r="C876" s="23" t="s">
        <v>1517</v>
      </c>
      <c r="D876" s="12" t="s">
        <v>1516</v>
      </c>
      <c r="E876" s="17">
        <v>3</v>
      </c>
      <c r="F876" s="9">
        <v>435</v>
      </c>
      <c r="G876" s="8">
        <f>F876/435</f>
        <v>1</v>
      </c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0" t="s">
        <v>2777</v>
      </c>
      <c r="B877" s="12">
        <v>1</v>
      </c>
      <c r="C877" s="23" t="s">
        <v>1512</v>
      </c>
      <c r="D877" s="12" t="s">
        <v>1511</v>
      </c>
      <c r="E877" s="17">
        <v>3</v>
      </c>
      <c r="F877" s="9">
        <v>435</v>
      </c>
      <c r="G877" s="8">
        <f>F877/435</f>
        <v>1</v>
      </c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0" t="s">
        <v>2776</v>
      </c>
      <c r="B878" s="12">
        <v>2</v>
      </c>
      <c r="C878" s="23" t="s">
        <v>1517</v>
      </c>
      <c r="D878" s="12" t="s">
        <v>1516</v>
      </c>
      <c r="E878" s="17">
        <v>2</v>
      </c>
      <c r="F878" s="9">
        <v>290</v>
      </c>
      <c r="G878" s="8">
        <f>F878/435</f>
        <v>0.66666666666666663</v>
      </c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0"/>
      <c r="B879" s="12"/>
      <c r="C879" s="23" t="s">
        <v>1512</v>
      </c>
      <c r="D879" s="12" t="s">
        <v>1511</v>
      </c>
      <c r="E879" s="17">
        <v>1</v>
      </c>
      <c r="F879" s="9">
        <v>145</v>
      </c>
      <c r="G879" s="8">
        <f>F879/435</f>
        <v>0.33333333333333331</v>
      </c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0" t="s">
        <v>2775</v>
      </c>
      <c r="B880" s="12">
        <v>2</v>
      </c>
      <c r="C880" s="23" t="s">
        <v>1517</v>
      </c>
      <c r="D880" s="12" t="s">
        <v>1516</v>
      </c>
      <c r="E880" s="17">
        <v>2</v>
      </c>
      <c r="F880" s="9">
        <v>290</v>
      </c>
      <c r="G880" s="8">
        <f>F880/435</f>
        <v>0.66666666666666663</v>
      </c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0"/>
      <c r="B881" s="12"/>
      <c r="C881" s="23" t="s">
        <v>1514</v>
      </c>
      <c r="D881" s="12" t="s">
        <v>1513</v>
      </c>
      <c r="E881" s="17">
        <v>1</v>
      </c>
      <c r="F881" s="9">
        <v>145</v>
      </c>
      <c r="G881" s="8">
        <f>F881/435</f>
        <v>0.33333333333333331</v>
      </c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0" t="s">
        <v>2774</v>
      </c>
      <c r="B882" s="12">
        <v>2</v>
      </c>
      <c r="C882" s="23" t="s">
        <v>1512</v>
      </c>
      <c r="D882" s="12" t="s">
        <v>1511</v>
      </c>
      <c r="E882" s="17">
        <v>2</v>
      </c>
      <c r="F882" s="9">
        <v>290</v>
      </c>
      <c r="G882" s="8">
        <f>F882/435</f>
        <v>0.66666666666666663</v>
      </c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0"/>
      <c r="B883" s="12"/>
      <c r="C883" s="23" t="s">
        <v>1517</v>
      </c>
      <c r="D883" s="12" t="s">
        <v>1516</v>
      </c>
      <c r="E883" s="17">
        <v>1</v>
      </c>
      <c r="F883" s="9">
        <v>145</v>
      </c>
      <c r="G883" s="8">
        <f>F883/435</f>
        <v>0.33333333333333331</v>
      </c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0" t="s">
        <v>2773</v>
      </c>
      <c r="B884" s="12">
        <v>2</v>
      </c>
      <c r="C884" s="23" t="s">
        <v>1512</v>
      </c>
      <c r="D884" s="12" t="s">
        <v>1511</v>
      </c>
      <c r="E884" s="17">
        <v>2</v>
      </c>
      <c r="F884" s="9">
        <v>290</v>
      </c>
      <c r="G884" s="8">
        <f>F884/435</f>
        <v>0.66666666666666663</v>
      </c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0"/>
      <c r="B885" s="12"/>
      <c r="C885" s="23" t="s">
        <v>1514</v>
      </c>
      <c r="D885" s="12" t="s">
        <v>1513</v>
      </c>
      <c r="E885" s="17">
        <v>1</v>
      </c>
      <c r="F885" s="9">
        <v>145</v>
      </c>
      <c r="G885" s="8">
        <f>F885/435</f>
        <v>0.33333333333333331</v>
      </c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0" t="s">
        <v>2772</v>
      </c>
      <c r="B886" s="12">
        <v>2</v>
      </c>
      <c r="C886" s="23" t="s">
        <v>1514</v>
      </c>
      <c r="D886" s="12" t="s">
        <v>1513</v>
      </c>
      <c r="E886" s="17">
        <v>2</v>
      </c>
      <c r="F886" s="9">
        <v>290</v>
      </c>
      <c r="G886" s="8">
        <f>F886/435</f>
        <v>0.66666666666666663</v>
      </c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0"/>
      <c r="B887" s="12"/>
      <c r="C887" s="23" t="s">
        <v>1517</v>
      </c>
      <c r="D887" s="12" t="s">
        <v>1516</v>
      </c>
      <c r="E887" s="17">
        <v>1</v>
      </c>
      <c r="F887" s="9">
        <v>145</v>
      </c>
      <c r="G887" s="8">
        <f>F887/435</f>
        <v>0.33333333333333331</v>
      </c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0" t="s">
        <v>2771</v>
      </c>
      <c r="B888" s="12">
        <v>2</v>
      </c>
      <c r="C888" s="23" t="s">
        <v>1514</v>
      </c>
      <c r="D888" s="12" t="s">
        <v>1513</v>
      </c>
      <c r="E888" s="17">
        <v>2</v>
      </c>
      <c r="F888" s="9">
        <v>290</v>
      </c>
      <c r="G888" s="8">
        <f>F888/435</f>
        <v>0.66666666666666663</v>
      </c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0"/>
      <c r="B889" s="12"/>
      <c r="C889" s="23" t="s">
        <v>1512</v>
      </c>
      <c r="D889" s="12" t="s">
        <v>1511</v>
      </c>
      <c r="E889" s="17">
        <v>1</v>
      </c>
      <c r="F889" s="9">
        <v>145</v>
      </c>
      <c r="G889" s="8">
        <f>F889/435</f>
        <v>0.33333333333333331</v>
      </c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0" t="s">
        <v>2770</v>
      </c>
      <c r="B890" s="9">
        <v>3</v>
      </c>
      <c r="C890" s="21">
        <v>4714781020558</v>
      </c>
      <c r="D890" s="10" t="s">
        <v>1370</v>
      </c>
      <c r="E890" s="9">
        <v>2</v>
      </c>
      <c r="F890" s="9">
        <v>296</v>
      </c>
      <c r="G890" s="8">
        <f>F890/890</f>
        <v>0.33258426966292137</v>
      </c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0"/>
      <c r="B891" s="9"/>
      <c r="C891" s="21">
        <v>4714781020503</v>
      </c>
      <c r="D891" s="10" t="s">
        <v>1372</v>
      </c>
      <c r="E891" s="9">
        <v>2</v>
      </c>
      <c r="F891" s="9">
        <v>296</v>
      </c>
      <c r="G891" s="8">
        <f>F891/890</f>
        <v>0.33258426966292137</v>
      </c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0"/>
      <c r="B892" s="9"/>
      <c r="C892" s="21">
        <v>4714781020466</v>
      </c>
      <c r="D892" s="10" t="s">
        <v>1374</v>
      </c>
      <c r="E892" s="9">
        <v>2</v>
      </c>
      <c r="F892" s="9">
        <v>298</v>
      </c>
      <c r="G892" s="8">
        <f>F892/890</f>
        <v>0.33483146067415731</v>
      </c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0" t="s">
        <v>2769</v>
      </c>
      <c r="B893" s="9">
        <v>1</v>
      </c>
      <c r="C893" s="21">
        <v>4714781020558</v>
      </c>
      <c r="D893" s="10" t="s">
        <v>1370</v>
      </c>
      <c r="E893" s="9">
        <v>6</v>
      </c>
      <c r="F893" s="9">
        <v>890</v>
      </c>
      <c r="G893" s="8">
        <f>F893/890</f>
        <v>1</v>
      </c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0" t="s">
        <v>2768</v>
      </c>
      <c r="B894" s="9">
        <v>1</v>
      </c>
      <c r="C894" s="21">
        <v>4714781020503</v>
      </c>
      <c r="D894" s="10" t="s">
        <v>1372</v>
      </c>
      <c r="E894" s="9">
        <v>6</v>
      </c>
      <c r="F894" s="9">
        <v>890</v>
      </c>
      <c r="G894" s="8">
        <f>F894/890</f>
        <v>1</v>
      </c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0" t="s">
        <v>2767</v>
      </c>
      <c r="B895" s="9">
        <v>1</v>
      </c>
      <c r="C895" s="21">
        <v>4714781020466</v>
      </c>
      <c r="D895" s="10" t="s">
        <v>1374</v>
      </c>
      <c r="E895" s="9">
        <v>6</v>
      </c>
      <c r="F895" s="9">
        <v>890</v>
      </c>
      <c r="G895" s="8">
        <f>F895/890</f>
        <v>1</v>
      </c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0" t="s">
        <v>2766</v>
      </c>
      <c r="B896" s="9">
        <v>2</v>
      </c>
      <c r="C896" s="21">
        <v>4714781020503</v>
      </c>
      <c r="D896" s="10" t="s">
        <v>1372</v>
      </c>
      <c r="E896" s="9">
        <v>3</v>
      </c>
      <c r="F896" s="9">
        <v>445</v>
      </c>
      <c r="G896" s="8">
        <f>F896/890</f>
        <v>0.5</v>
      </c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0"/>
      <c r="B897" s="9"/>
      <c r="C897" s="21">
        <v>4714781020466</v>
      </c>
      <c r="D897" s="10" t="s">
        <v>1374</v>
      </c>
      <c r="E897" s="9">
        <v>3</v>
      </c>
      <c r="F897" s="9">
        <v>445</v>
      </c>
      <c r="G897" s="8">
        <f>F897/890</f>
        <v>0.5</v>
      </c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0" t="s">
        <v>2765</v>
      </c>
      <c r="B898" s="9">
        <v>2</v>
      </c>
      <c r="C898" s="21">
        <v>4714781020503</v>
      </c>
      <c r="D898" s="10" t="s">
        <v>1372</v>
      </c>
      <c r="E898" s="9">
        <v>3</v>
      </c>
      <c r="F898" s="9">
        <v>445</v>
      </c>
      <c r="G898" s="8">
        <f>F898/890</f>
        <v>0.5</v>
      </c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0"/>
      <c r="B899" s="9"/>
      <c r="C899" s="21">
        <v>4714781020558</v>
      </c>
      <c r="D899" s="10" t="s">
        <v>1370</v>
      </c>
      <c r="E899" s="9">
        <v>3</v>
      </c>
      <c r="F899" s="9">
        <v>445</v>
      </c>
      <c r="G899" s="8">
        <f>F899/890</f>
        <v>0.5</v>
      </c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0" t="s">
        <v>2764</v>
      </c>
      <c r="B900" s="9">
        <v>2</v>
      </c>
      <c r="C900" s="21">
        <v>4714781020466</v>
      </c>
      <c r="D900" s="10" t="s">
        <v>1374</v>
      </c>
      <c r="E900" s="9">
        <v>3</v>
      </c>
      <c r="F900" s="9">
        <v>445</v>
      </c>
      <c r="G900" s="8">
        <f>F900/890</f>
        <v>0.5</v>
      </c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0"/>
      <c r="B901" s="9"/>
      <c r="C901" s="21">
        <v>4714781020558</v>
      </c>
      <c r="D901" s="10" t="s">
        <v>1370</v>
      </c>
      <c r="E901" s="9">
        <v>3</v>
      </c>
      <c r="F901" s="9">
        <v>445</v>
      </c>
      <c r="G901" s="8">
        <f>F901/890</f>
        <v>0.5</v>
      </c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0" t="s">
        <v>2763</v>
      </c>
      <c r="B902" s="10">
        <v>3</v>
      </c>
      <c r="C902" s="6">
        <v>4714781021609</v>
      </c>
      <c r="D902" s="12" t="s">
        <v>1454</v>
      </c>
      <c r="E902" s="9">
        <v>1</v>
      </c>
      <c r="F902" s="9">
        <v>126</v>
      </c>
      <c r="G902" s="8">
        <f>F902/380</f>
        <v>0.33157894736842103</v>
      </c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0"/>
      <c r="B903" s="10"/>
      <c r="C903" s="23">
        <v>4714781021012</v>
      </c>
      <c r="D903" s="12" t="s">
        <v>1703</v>
      </c>
      <c r="E903" s="9">
        <v>1</v>
      </c>
      <c r="F903" s="9">
        <v>127</v>
      </c>
      <c r="G903" s="8">
        <f>F903/380</f>
        <v>0.33421052631578946</v>
      </c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0"/>
      <c r="B904" s="10"/>
      <c r="C904" s="23">
        <v>4714781021029</v>
      </c>
      <c r="D904" s="12" t="s">
        <v>1452</v>
      </c>
      <c r="E904" s="9">
        <v>1</v>
      </c>
      <c r="F904" s="9">
        <v>127</v>
      </c>
      <c r="G904" s="8">
        <f>F904/380</f>
        <v>0.33421052631578946</v>
      </c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0" t="s">
        <v>2762</v>
      </c>
      <c r="B905" s="10">
        <v>1</v>
      </c>
      <c r="C905" s="6">
        <v>4714781021609</v>
      </c>
      <c r="D905" s="12" t="s">
        <v>1454</v>
      </c>
      <c r="E905" s="9">
        <v>3</v>
      </c>
      <c r="F905" s="9">
        <v>380</v>
      </c>
      <c r="G905" s="8">
        <f>F905/380</f>
        <v>1</v>
      </c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0" t="s">
        <v>2761</v>
      </c>
      <c r="B906" s="10">
        <v>1</v>
      </c>
      <c r="C906" s="23">
        <v>4714781021012</v>
      </c>
      <c r="D906" s="12" t="s">
        <v>1703</v>
      </c>
      <c r="E906" s="9">
        <v>3</v>
      </c>
      <c r="F906" s="9">
        <v>380</v>
      </c>
      <c r="G906" s="8">
        <f>F906/380</f>
        <v>1</v>
      </c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0" t="s">
        <v>2760</v>
      </c>
      <c r="B907" s="10">
        <v>1</v>
      </c>
      <c r="C907" s="23">
        <v>4714781021029</v>
      </c>
      <c r="D907" s="12" t="s">
        <v>1452</v>
      </c>
      <c r="E907" s="9">
        <v>3</v>
      </c>
      <c r="F907" s="9">
        <v>380</v>
      </c>
      <c r="G907" s="8">
        <f>F907/380</f>
        <v>1</v>
      </c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0" t="s">
        <v>2759</v>
      </c>
      <c r="B908" s="9">
        <v>2</v>
      </c>
      <c r="C908" s="23">
        <v>4714781021012</v>
      </c>
      <c r="D908" s="12" t="s">
        <v>2070</v>
      </c>
      <c r="E908" s="9">
        <v>1</v>
      </c>
      <c r="F908" s="9">
        <v>126</v>
      </c>
      <c r="G908" s="8">
        <f>F908/380</f>
        <v>0.33157894736842103</v>
      </c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0"/>
      <c r="B909" s="12"/>
      <c r="C909" s="23">
        <v>4714781021029</v>
      </c>
      <c r="D909" s="12" t="s">
        <v>2072</v>
      </c>
      <c r="E909" s="9">
        <v>2</v>
      </c>
      <c r="F909" s="9">
        <v>254</v>
      </c>
      <c r="G909" s="8">
        <f>F909/380</f>
        <v>0.66842105263157892</v>
      </c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0" t="s">
        <v>2758</v>
      </c>
      <c r="B910" s="9">
        <v>2</v>
      </c>
      <c r="C910" s="23">
        <v>4714781021029</v>
      </c>
      <c r="D910" s="12" t="s">
        <v>2072</v>
      </c>
      <c r="E910" s="9">
        <v>2</v>
      </c>
      <c r="F910" s="9">
        <v>254</v>
      </c>
      <c r="G910" s="8">
        <f>F910/380</f>
        <v>0.66842105263157892</v>
      </c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0"/>
      <c r="B911" s="12"/>
      <c r="C911" s="6">
        <v>4714781021609</v>
      </c>
      <c r="D911" s="12" t="s">
        <v>1454</v>
      </c>
      <c r="E911" s="9">
        <v>1</v>
      </c>
      <c r="F911" s="9">
        <v>126</v>
      </c>
      <c r="G911" s="8">
        <f>F911/380</f>
        <v>0.33157894736842103</v>
      </c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0" t="s">
        <v>2757</v>
      </c>
      <c r="B912" s="9">
        <v>2</v>
      </c>
      <c r="C912" s="23">
        <v>4714781021012</v>
      </c>
      <c r="D912" s="12" t="s">
        <v>2070</v>
      </c>
      <c r="E912" s="9">
        <v>2</v>
      </c>
      <c r="F912" s="9">
        <v>254</v>
      </c>
      <c r="G912" s="8">
        <f>F912/380</f>
        <v>0.66842105263157892</v>
      </c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0"/>
      <c r="B913" s="12"/>
      <c r="C913" s="23">
        <v>4714781021029</v>
      </c>
      <c r="D913" s="12" t="s">
        <v>2072</v>
      </c>
      <c r="E913" s="9">
        <v>1</v>
      </c>
      <c r="F913" s="9">
        <v>126</v>
      </c>
      <c r="G913" s="8">
        <f>F913/380</f>
        <v>0.33157894736842103</v>
      </c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0" t="s">
        <v>2756</v>
      </c>
      <c r="B914" s="9">
        <v>2</v>
      </c>
      <c r="C914" s="23">
        <v>4714781021012</v>
      </c>
      <c r="D914" s="12" t="s">
        <v>2070</v>
      </c>
      <c r="E914" s="9">
        <v>2</v>
      </c>
      <c r="F914" s="9">
        <v>254</v>
      </c>
      <c r="G914" s="8">
        <f>F914/380</f>
        <v>0.66842105263157892</v>
      </c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0"/>
      <c r="B915" s="12"/>
      <c r="C915" s="6">
        <v>4714781021609</v>
      </c>
      <c r="D915" s="12" t="s">
        <v>1454</v>
      </c>
      <c r="E915" s="9">
        <v>1</v>
      </c>
      <c r="F915" s="9">
        <v>126</v>
      </c>
      <c r="G915" s="8">
        <f>F915/380</f>
        <v>0.33157894736842103</v>
      </c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0" t="s">
        <v>2755</v>
      </c>
      <c r="B916" s="9">
        <v>2</v>
      </c>
      <c r="C916" s="6">
        <v>4714781021609</v>
      </c>
      <c r="D916" s="12" t="s">
        <v>1454</v>
      </c>
      <c r="E916" s="9">
        <v>2</v>
      </c>
      <c r="F916" s="9">
        <v>254</v>
      </c>
      <c r="G916" s="8">
        <f>F916/380</f>
        <v>0.66842105263157892</v>
      </c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0"/>
      <c r="B917" s="12"/>
      <c r="C917" s="23">
        <v>4714781021029</v>
      </c>
      <c r="D917" s="12" t="s">
        <v>2072</v>
      </c>
      <c r="E917" s="9">
        <v>1</v>
      </c>
      <c r="F917" s="9">
        <v>126</v>
      </c>
      <c r="G917" s="8">
        <f>F917/380</f>
        <v>0.33157894736842103</v>
      </c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0" t="s">
        <v>2754</v>
      </c>
      <c r="B918" s="9">
        <v>2</v>
      </c>
      <c r="C918" s="6">
        <v>4714781021609</v>
      </c>
      <c r="D918" s="12" t="s">
        <v>1454</v>
      </c>
      <c r="E918" s="9">
        <v>2</v>
      </c>
      <c r="F918" s="9">
        <v>254</v>
      </c>
      <c r="G918" s="8">
        <f>F918/380</f>
        <v>0.66842105263157892</v>
      </c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0"/>
      <c r="B919" s="12"/>
      <c r="C919" s="23">
        <v>4714781021012</v>
      </c>
      <c r="D919" s="12" t="s">
        <v>2070</v>
      </c>
      <c r="E919" s="9">
        <v>1</v>
      </c>
      <c r="F919" s="9">
        <v>126</v>
      </c>
      <c r="G919" s="8">
        <f>F919/380</f>
        <v>0.33157894736842103</v>
      </c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0" t="s">
        <v>2753</v>
      </c>
      <c r="B920" s="9">
        <v>3</v>
      </c>
      <c r="C920" s="6">
        <v>4714781021609</v>
      </c>
      <c r="D920" s="12" t="s">
        <v>1454</v>
      </c>
      <c r="E920" s="9">
        <v>2</v>
      </c>
      <c r="F920" s="9">
        <v>260</v>
      </c>
      <c r="G920" s="8">
        <f>F920/780</f>
        <v>0.33333333333333331</v>
      </c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0"/>
      <c r="B921" s="12"/>
      <c r="C921" s="23">
        <v>4714781021012</v>
      </c>
      <c r="D921" s="12" t="s">
        <v>1703</v>
      </c>
      <c r="E921" s="9">
        <v>2</v>
      </c>
      <c r="F921" s="9">
        <v>260</v>
      </c>
      <c r="G921" s="8">
        <f>F921/780</f>
        <v>0.33333333333333331</v>
      </c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0"/>
      <c r="B922" s="12"/>
      <c r="C922" s="23">
        <v>4714781021029</v>
      </c>
      <c r="D922" s="12" t="s">
        <v>1452</v>
      </c>
      <c r="E922" s="9">
        <v>2</v>
      </c>
      <c r="F922" s="9">
        <v>260</v>
      </c>
      <c r="G922" s="8">
        <f>F922/780</f>
        <v>0.33333333333333331</v>
      </c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0" t="s">
        <v>2752</v>
      </c>
      <c r="B923" s="9">
        <v>1</v>
      </c>
      <c r="C923" s="6">
        <v>4714781021609</v>
      </c>
      <c r="D923" s="12" t="s">
        <v>1454</v>
      </c>
      <c r="E923" s="9">
        <v>6</v>
      </c>
      <c r="F923" s="9">
        <v>780</v>
      </c>
      <c r="G923" s="8">
        <f>F923/780</f>
        <v>1</v>
      </c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0" t="s">
        <v>2751</v>
      </c>
      <c r="B924" s="9">
        <v>1</v>
      </c>
      <c r="C924" s="23">
        <v>4714781021012</v>
      </c>
      <c r="D924" s="12" t="s">
        <v>1703</v>
      </c>
      <c r="E924" s="9">
        <v>6</v>
      </c>
      <c r="F924" s="9">
        <v>780</v>
      </c>
      <c r="G924" s="8">
        <f>F924/780</f>
        <v>1</v>
      </c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0" t="s">
        <v>2750</v>
      </c>
      <c r="B925" s="9">
        <v>1</v>
      </c>
      <c r="C925" s="23">
        <v>4714781021029</v>
      </c>
      <c r="D925" s="12" t="s">
        <v>1452</v>
      </c>
      <c r="E925" s="9">
        <v>6</v>
      </c>
      <c r="F925" s="9">
        <v>780</v>
      </c>
      <c r="G925" s="8">
        <f>F925/780</f>
        <v>1</v>
      </c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0" t="s">
        <v>2749</v>
      </c>
      <c r="B926" s="9">
        <v>2</v>
      </c>
      <c r="C926" s="23">
        <v>4714781021029</v>
      </c>
      <c r="D926" s="12" t="s">
        <v>1452</v>
      </c>
      <c r="E926" s="9">
        <v>3</v>
      </c>
      <c r="F926" s="9">
        <v>390</v>
      </c>
      <c r="G926" s="8">
        <f>F926/780</f>
        <v>0.5</v>
      </c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0"/>
      <c r="B927" s="12"/>
      <c r="C927" s="23">
        <v>4714781021012</v>
      </c>
      <c r="D927" s="12" t="s">
        <v>1703</v>
      </c>
      <c r="E927" s="9">
        <v>3</v>
      </c>
      <c r="F927" s="9">
        <v>390</v>
      </c>
      <c r="G927" s="8">
        <f>F927/780</f>
        <v>0.5</v>
      </c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0" t="s">
        <v>2748</v>
      </c>
      <c r="B928" s="9">
        <v>2</v>
      </c>
      <c r="C928" s="23">
        <v>4714781021029</v>
      </c>
      <c r="D928" s="12" t="s">
        <v>1452</v>
      </c>
      <c r="E928" s="9">
        <v>3</v>
      </c>
      <c r="F928" s="9">
        <v>390</v>
      </c>
      <c r="G928" s="8">
        <f>F928/780</f>
        <v>0.5</v>
      </c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0"/>
      <c r="B929" s="12"/>
      <c r="C929" s="6">
        <v>4714781021609</v>
      </c>
      <c r="D929" s="12" t="s">
        <v>1454</v>
      </c>
      <c r="E929" s="9">
        <v>3</v>
      </c>
      <c r="F929" s="9">
        <v>390</v>
      </c>
      <c r="G929" s="8">
        <f>F929/780</f>
        <v>0.5</v>
      </c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0" t="s">
        <v>2747</v>
      </c>
      <c r="B930" s="9">
        <v>2</v>
      </c>
      <c r="C930" s="23">
        <v>4714781021012</v>
      </c>
      <c r="D930" s="12" t="s">
        <v>1703</v>
      </c>
      <c r="E930" s="9">
        <v>3</v>
      </c>
      <c r="F930" s="9">
        <v>390</v>
      </c>
      <c r="G930" s="8">
        <f>F930/780</f>
        <v>0.5</v>
      </c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0"/>
      <c r="B931" s="12"/>
      <c r="C931" s="6">
        <v>4714781021609</v>
      </c>
      <c r="D931" s="12" t="s">
        <v>1454</v>
      </c>
      <c r="E931" s="9">
        <v>3</v>
      </c>
      <c r="F931" s="9">
        <v>390</v>
      </c>
      <c r="G931" s="8">
        <f>F931/780</f>
        <v>0.5</v>
      </c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0" t="s">
        <v>2746</v>
      </c>
      <c r="B932" s="9">
        <v>6</v>
      </c>
      <c r="C932" s="23">
        <v>4714781021029</v>
      </c>
      <c r="D932" s="12" t="s">
        <v>1452</v>
      </c>
      <c r="E932" s="9">
        <v>1</v>
      </c>
      <c r="F932" s="9">
        <v>133</v>
      </c>
      <c r="G932" s="8">
        <f>F932/820</f>
        <v>0.16219512195121952</v>
      </c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0"/>
      <c r="B933" s="12"/>
      <c r="C933" s="23">
        <v>4714781021012</v>
      </c>
      <c r="D933" s="12" t="s">
        <v>1703</v>
      </c>
      <c r="E933" s="9">
        <v>1</v>
      </c>
      <c r="F933" s="9">
        <v>133</v>
      </c>
      <c r="G933" s="8">
        <f>F933/820</f>
        <v>0.16219512195121952</v>
      </c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0"/>
      <c r="B934" s="12"/>
      <c r="C934" s="6">
        <v>4714781021609</v>
      </c>
      <c r="D934" s="12" t="s">
        <v>1454</v>
      </c>
      <c r="E934" s="9">
        <v>1</v>
      </c>
      <c r="F934" s="9">
        <v>134</v>
      </c>
      <c r="G934" s="8">
        <f>F934/820</f>
        <v>0.16341463414634147</v>
      </c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0"/>
      <c r="B935" s="12"/>
      <c r="C935" s="21">
        <v>4714781020466</v>
      </c>
      <c r="D935" s="12" t="s">
        <v>1374</v>
      </c>
      <c r="E935" s="9">
        <v>1</v>
      </c>
      <c r="F935" s="9">
        <v>140</v>
      </c>
      <c r="G935" s="8">
        <f>F935/820</f>
        <v>0.17073170731707318</v>
      </c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0"/>
      <c r="B936" s="12"/>
      <c r="C936" s="21">
        <v>4714781020503</v>
      </c>
      <c r="D936" s="12" t="s">
        <v>1372</v>
      </c>
      <c r="E936" s="9">
        <v>1</v>
      </c>
      <c r="F936" s="9">
        <v>140</v>
      </c>
      <c r="G936" s="8">
        <f>F936/820</f>
        <v>0.17073170731707318</v>
      </c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0"/>
      <c r="B937" s="12"/>
      <c r="C937" s="21">
        <v>4714781020558</v>
      </c>
      <c r="D937" s="12" t="s">
        <v>1370</v>
      </c>
      <c r="E937" s="9">
        <v>1</v>
      </c>
      <c r="F937" s="9">
        <v>140</v>
      </c>
      <c r="G937" s="8">
        <f>F937/820</f>
        <v>0.17073170731707318</v>
      </c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0" t="s">
        <v>2745</v>
      </c>
      <c r="B938" s="9">
        <v>2</v>
      </c>
      <c r="C938" s="23">
        <v>4714781021029</v>
      </c>
      <c r="D938" s="12" t="s">
        <v>1452</v>
      </c>
      <c r="E938" s="9">
        <v>3</v>
      </c>
      <c r="F938" s="9">
        <v>400</v>
      </c>
      <c r="G938" s="8">
        <f>F938/820</f>
        <v>0.48780487804878048</v>
      </c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0"/>
      <c r="B939" s="12"/>
      <c r="C939" s="21">
        <v>4714781020558</v>
      </c>
      <c r="D939" s="12" t="s">
        <v>1370</v>
      </c>
      <c r="E939" s="9">
        <v>3</v>
      </c>
      <c r="F939" s="9">
        <v>420</v>
      </c>
      <c r="G939" s="8">
        <f>F939/820</f>
        <v>0.51219512195121952</v>
      </c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0" t="s">
        <v>2744</v>
      </c>
      <c r="B940" s="9">
        <v>2</v>
      </c>
      <c r="C940" s="23">
        <v>4714781021029</v>
      </c>
      <c r="D940" s="12" t="s">
        <v>1452</v>
      </c>
      <c r="E940" s="9">
        <v>3</v>
      </c>
      <c r="F940" s="9">
        <v>400</v>
      </c>
      <c r="G940" s="8">
        <f>F940/820</f>
        <v>0.48780487804878048</v>
      </c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0"/>
      <c r="B941" s="12"/>
      <c r="C941" s="21">
        <v>4714781020466</v>
      </c>
      <c r="D941" s="12" t="s">
        <v>1374</v>
      </c>
      <c r="E941" s="9">
        <v>3</v>
      </c>
      <c r="F941" s="9">
        <v>420</v>
      </c>
      <c r="G941" s="8">
        <f>F941/820</f>
        <v>0.51219512195121952</v>
      </c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0" t="s">
        <v>2743</v>
      </c>
      <c r="B942" s="9">
        <v>2</v>
      </c>
      <c r="C942" s="23">
        <v>4714781021029</v>
      </c>
      <c r="D942" s="12" t="s">
        <v>1452</v>
      </c>
      <c r="E942" s="9">
        <v>3</v>
      </c>
      <c r="F942" s="9">
        <v>400</v>
      </c>
      <c r="G942" s="8">
        <f>F942/820</f>
        <v>0.48780487804878048</v>
      </c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0"/>
      <c r="B943" s="12"/>
      <c r="C943" s="21">
        <v>4714781020503</v>
      </c>
      <c r="D943" s="12" t="s">
        <v>1372</v>
      </c>
      <c r="E943" s="9">
        <v>3</v>
      </c>
      <c r="F943" s="9">
        <v>420</v>
      </c>
      <c r="G943" s="8">
        <f>F943/820</f>
        <v>0.51219512195121952</v>
      </c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0" t="s">
        <v>2742</v>
      </c>
      <c r="B944" s="9">
        <v>2</v>
      </c>
      <c r="C944" s="23">
        <v>4714781021012</v>
      </c>
      <c r="D944" s="12" t="s">
        <v>1703</v>
      </c>
      <c r="E944" s="9">
        <v>3</v>
      </c>
      <c r="F944" s="9">
        <v>400</v>
      </c>
      <c r="G944" s="8">
        <f>F944/820</f>
        <v>0.48780487804878048</v>
      </c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0"/>
      <c r="B945" s="12"/>
      <c r="C945" s="21">
        <v>4714781020558</v>
      </c>
      <c r="D945" s="12" t="s">
        <v>1370</v>
      </c>
      <c r="E945" s="9">
        <v>3</v>
      </c>
      <c r="F945" s="9">
        <v>420</v>
      </c>
      <c r="G945" s="8">
        <f>F945/820</f>
        <v>0.51219512195121952</v>
      </c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0" t="s">
        <v>2741</v>
      </c>
      <c r="B946" s="9">
        <v>2</v>
      </c>
      <c r="C946" s="23">
        <v>4714781021012</v>
      </c>
      <c r="D946" s="12" t="s">
        <v>1703</v>
      </c>
      <c r="E946" s="9">
        <v>3</v>
      </c>
      <c r="F946" s="9">
        <v>400</v>
      </c>
      <c r="G946" s="8">
        <f>F946/820</f>
        <v>0.48780487804878048</v>
      </c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0"/>
      <c r="B947" s="12"/>
      <c r="C947" s="21">
        <v>4714781020466</v>
      </c>
      <c r="D947" s="12" t="s">
        <v>1374</v>
      </c>
      <c r="E947" s="9">
        <v>3</v>
      </c>
      <c r="F947" s="9">
        <v>420</v>
      </c>
      <c r="G947" s="8">
        <f>F947/820</f>
        <v>0.51219512195121952</v>
      </c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0" t="s">
        <v>2740</v>
      </c>
      <c r="B948" s="9">
        <v>2</v>
      </c>
      <c r="C948" s="23">
        <v>4714781021012</v>
      </c>
      <c r="D948" s="12" t="s">
        <v>1703</v>
      </c>
      <c r="E948" s="9">
        <v>3</v>
      </c>
      <c r="F948" s="9">
        <v>400</v>
      </c>
      <c r="G948" s="8">
        <f>F948/820</f>
        <v>0.48780487804878048</v>
      </c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0"/>
      <c r="B949" s="12"/>
      <c r="C949" s="21">
        <v>4714781020503</v>
      </c>
      <c r="D949" s="12" t="s">
        <v>1372</v>
      </c>
      <c r="E949" s="9">
        <v>3</v>
      </c>
      <c r="F949" s="9">
        <v>420</v>
      </c>
      <c r="G949" s="8">
        <f>F949/820</f>
        <v>0.51219512195121952</v>
      </c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0" t="s">
        <v>2739</v>
      </c>
      <c r="B950" s="9">
        <v>2</v>
      </c>
      <c r="C950" s="6">
        <v>4714781021609</v>
      </c>
      <c r="D950" s="12" t="s">
        <v>1454</v>
      </c>
      <c r="E950" s="9">
        <v>3</v>
      </c>
      <c r="F950" s="9">
        <v>400</v>
      </c>
      <c r="G950" s="8">
        <f>F950/820</f>
        <v>0.48780487804878048</v>
      </c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0"/>
      <c r="B951" s="12"/>
      <c r="C951" s="21">
        <v>4714781020558</v>
      </c>
      <c r="D951" s="12" t="s">
        <v>1370</v>
      </c>
      <c r="E951" s="9">
        <v>3</v>
      </c>
      <c r="F951" s="9">
        <v>420</v>
      </c>
      <c r="G951" s="8">
        <f>F951/820</f>
        <v>0.51219512195121952</v>
      </c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0" t="s">
        <v>2738</v>
      </c>
      <c r="B952" s="9">
        <v>2</v>
      </c>
      <c r="C952" s="6">
        <v>4714781021609</v>
      </c>
      <c r="D952" s="12" t="s">
        <v>1454</v>
      </c>
      <c r="E952" s="9">
        <v>3</v>
      </c>
      <c r="F952" s="9">
        <v>400</v>
      </c>
      <c r="G952" s="8">
        <f>F952/820</f>
        <v>0.48780487804878048</v>
      </c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0"/>
      <c r="B953" s="12"/>
      <c r="C953" s="21">
        <v>4714781020466</v>
      </c>
      <c r="D953" s="12" t="s">
        <v>1374</v>
      </c>
      <c r="E953" s="9">
        <v>3</v>
      </c>
      <c r="F953" s="9">
        <v>420</v>
      </c>
      <c r="G953" s="8">
        <f>F953/820</f>
        <v>0.51219512195121952</v>
      </c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0" t="s">
        <v>2737</v>
      </c>
      <c r="B954" s="9">
        <v>2</v>
      </c>
      <c r="C954" s="6">
        <v>4714781021609</v>
      </c>
      <c r="D954" s="12" t="s">
        <v>1454</v>
      </c>
      <c r="E954" s="9">
        <v>3</v>
      </c>
      <c r="F954" s="9">
        <v>400</v>
      </c>
      <c r="G954" s="8">
        <f>F954/820</f>
        <v>0.48780487804878048</v>
      </c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0"/>
      <c r="B955" s="9"/>
      <c r="C955" s="21">
        <v>4714781020503</v>
      </c>
      <c r="D955" s="12" t="s">
        <v>1372</v>
      </c>
      <c r="E955" s="9">
        <v>3</v>
      </c>
      <c r="F955" s="9">
        <v>420</v>
      </c>
      <c r="G955" s="8">
        <f>F955/820</f>
        <v>0.51219512195121952</v>
      </c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0" t="s">
        <v>2736</v>
      </c>
      <c r="B956" s="9">
        <v>2</v>
      </c>
      <c r="C956" s="23">
        <v>4714781021777</v>
      </c>
      <c r="D956" s="12" t="s">
        <v>1522</v>
      </c>
      <c r="E956" s="9">
        <v>2</v>
      </c>
      <c r="F956" s="9">
        <v>750</v>
      </c>
      <c r="G956" s="8">
        <f>F956/1320</f>
        <v>0.56818181818181823</v>
      </c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0"/>
      <c r="B957" s="9"/>
      <c r="C957" s="23" t="s">
        <v>1510</v>
      </c>
      <c r="D957" s="12" t="s">
        <v>2190</v>
      </c>
      <c r="E957" s="9">
        <v>2</v>
      </c>
      <c r="F957" s="9">
        <v>570</v>
      </c>
      <c r="G957" s="8">
        <f>F957/1320</f>
        <v>0.43181818181818182</v>
      </c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0" t="s">
        <v>2735</v>
      </c>
      <c r="B958" s="9">
        <v>2</v>
      </c>
      <c r="C958" s="23">
        <v>4714781021777</v>
      </c>
      <c r="D958" s="12" t="s">
        <v>1522</v>
      </c>
      <c r="E958" s="9">
        <v>2</v>
      </c>
      <c r="F958" s="9">
        <v>750</v>
      </c>
      <c r="G958" s="8">
        <f>F958/1320</f>
        <v>0.56818181818181823</v>
      </c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0"/>
      <c r="B959" s="9"/>
      <c r="C959" s="23" t="s">
        <v>1506</v>
      </c>
      <c r="D959" s="12" t="s">
        <v>2188</v>
      </c>
      <c r="E959" s="9">
        <v>2</v>
      </c>
      <c r="F959" s="9">
        <v>570</v>
      </c>
      <c r="G959" s="8">
        <f>F959/1320</f>
        <v>0.43181818181818182</v>
      </c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0" t="s">
        <v>2734</v>
      </c>
      <c r="B960" s="9">
        <v>2</v>
      </c>
      <c r="C960" s="23">
        <v>4714781021777</v>
      </c>
      <c r="D960" s="12" t="s">
        <v>1522</v>
      </c>
      <c r="E960" s="9">
        <v>2</v>
      </c>
      <c r="F960" s="9">
        <v>750</v>
      </c>
      <c r="G960" s="8">
        <f>F960/1320</f>
        <v>0.56818181818181823</v>
      </c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0"/>
      <c r="B961" s="9"/>
      <c r="C961" s="23" t="s">
        <v>1508</v>
      </c>
      <c r="D961" s="12" t="s">
        <v>2186</v>
      </c>
      <c r="E961" s="9">
        <v>2</v>
      </c>
      <c r="F961" s="9">
        <v>570</v>
      </c>
      <c r="G961" s="8">
        <f>F961/1320</f>
        <v>0.43181818181818182</v>
      </c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0" t="s">
        <v>2733</v>
      </c>
      <c r="B962" s="9">
        <v>2</v>
      </c>
      <c r="C962" s="23">
        <v>4714781021777</v>
      </c>
      <c r="D962" s="12" t="s">
        <v>1522</v>
      </c>
      <c r="E962" s="9">
        <v>2</v>
      </c>
      <c r="F962" s="9">
        <v>750</v>
      </c>
      <c r="G962" s="8">
        <f>F962/1320</f>
        <v>0.56818181818181823</v>
      </c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10"/>
      <c r="B963" s="9"/>
      <c r="C963" s="23" t="s">
        <v>1531</v>
      </c>
      <c r="D963" s="12" t="s">
        <v>2194</v>
      </c>
      <c r="E963" s="9">
        <v>2</v>
      </c>
      <c r="F963" s="9">
        <v>570</v>
      </c>
      <c r="G963" s="8">
        <f>F963/1320</f>
        <v>0.43181818181818182</v>
      </c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10" t="s">
        <v>2732</v>
      </c>
      <c r="B964" s="9">
        <v>3</v>
      </c>
      <c r="C964" s="23">
        <v>4714781021777</v>
      </c>
      <c r="D964" s="12" t="s">
        <v>1522</v>
      </c>
      <c r="E964" s="9">
        <v>2</v>
      </c>
      <c r="F964" s="9">
        <v>750</v>
      </c>
      <c r="G964" s="8">
        <f>F964/1320</f>
        <v>0.56818181818181823</v>
      </c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10"/>
      <c r="B965" s="9"/>
      <c r="C965" s="23" t="s">
        <v>1510</v>
      </c>
      <c r="D965" s="12" t="s">
        <v>2190</v>
      </c>
      <c r="E965" s="9">
        <v>1</v>
      </c>
      <c r="F965" s="9">
        <v>285</v>
      </c>
      <c r="G965" s="8">
        <f>F965/1320</f>
        <v>0.21590909090909091</v>
      </c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10"/>
      <c r="B966" s="9"/>
      <c r="C966" s="23" t="s">
        <v>1531</v>
      </c>
      <c r="D966" s="12" t="s">
        <v>2194</v>
      </c>
      <c r="E966" s="9">
        <v>1</v>
      </c>
      <c r="F966" s="9">
        <v>285</v>
      </c>
      <c r="G966" s="8">
        <f>F966/1320</f>
        <v>0.21590909090909091</v>
      </c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10" t="s">
        <v>2731</v>
      </c>
      <c r="B967" s="9">
        <v>3</v>
      </c>
      <c r="C967" s="23">
        <v>4714781021777</v>
      </c>
      <c r="D967" s="12" t="s">
        <v>1522</v>
      </c>
      <c r="E967" s="9">
        <v>2</v>
      </c>
      <c r="F967" s="9">
        <v>750</v>
      </c>
      <c r="G967" s="8">
        <f>F967/1320</f>
        <v>0.56818181818181823</v>
      </c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10"/>
      <c r="B968" s="9"/>
      <c r="C968" s="23" t="s">
        <v>1531</v>
      </c>
      <c r="D968" s="12" t="s">
        <v>2194</v>
      </c>
      <c r="E968" s="9">
        <v>1</v>
      </c>
      <c r="F968" s="9">
        <v>285</v>
      </c>
      <c r="G968" s="8">
        <f>F968/1320</f>
        <v>0.21590909090909091</v>
      </c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10"/>
      <c r="B969" s="9"/>
      <c r="C969" s="23" t="s">
        <v>1508</v>
      </c>
      <c r="D969" s="12" t="s">
        <v>2186</v>
      </c>
      <c r="E969" s="9">
        <v>1</v>
      </c>
      <c r="F969" s="9">
        <v>285</v>
      </c>
      <c r="G969" s="8">
        <f>F969/1320</f>
        <v>0.21590909090909091</v>
      </c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10" t="s">
        <v>2730</v>
      </c>
      <c r="B970" s="9">
        <v>3</v>
      </c>
      <c r="C970" s="23">
        <v>4714781021777</v>
      </c>
      <c r="D970" s="12" t="s">
        <v>1522</v>
      </c>
      <c r="E970" s="9">
        <v>2</v>
      </c>
      <c r="F970" s="9">
        <v>750</v>
      </c>
      <c r="G970" s="8">
        <f>F970/1320</f>
        <v>0.56818181818181823</v>
      </c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10"/>
      <c r="B971" s="9"/>
      <c r="C971" s="23" t="s">
        <v>1531</v>
      </c>
      <c r="D971" s="12" t="s">
        <v>2194</v>
      </c>
      <c r="E971" s="9">
        <v>1</v>
      </c>
      <c r="F971" s="9">
        <v>285</v>
      </c>
      <c r="G971" s="8">
        <f>F971/1320</f>
        <v>0.21590909090909091</v>
      </c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10"/>
      <c r="B972" s="9"/>
      <c r="C972" s="23" t="s">
        <v>1506</v>
      </c>
      <c r="D972" s="12" t="s">
        <v>2188</v>
      </c>
      <c r="E972" s="9">
        <v>1</v>
      </c>
      <c r="F972" s="9">
        <v>285</v>
      </c>
      <c r="G972" s="8">
        <f>F972/1320</f>
        <v>0.21590909090909091</v>
      </c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10" t="s">
        <v>2729</v>
      </c>
      <c r="B973" s="9">
        <v>3</v>
      </c>
      <c r="C973" s="23">
        <v>4714781021777</v>
      </c>
      <c r="D973" s="12" t="s">
        <v>1522</v>
      </c>
      <c r="E973" s="9">
        <v>2</v>
      </c>
      <c r="F973" s="9">
        <v>750</v>
      </c>
      <c r="G973" s="8">
        <f>F973/1320</f>
        <v>0.56818181818181823</v>
      </c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10"/>
      <c r="B974" s="9"/>
      <c r="C974" s="23" t="s">
        <v>1510</v>
      </c>
      <c r="D974" s="12" t="s">
        <v>2190</v>
      </c>
      <c r="E974" s="9">
        <v>1</v>
      </c>
      <c r="F974" s="9">
        <v>285</v>
      </c>
      <c r="G974" s="8">
        <f>F974/1320</f>
        <v>0.21590909090909091</v>
      </c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10"/>
      <c r="B975" s="9"/>
      <c r="C975" s="23" t="s">
        <v>1506</v>
      </c>
      <c r="D975" s="12" t="s">
        <v>2188</v>
      </c>
      <c r="E975" s="9">
        <v>1</v>
      </c>
      <c r="F975" s="9">
        <v>285</v>
      </c>
      <c r="G975" s="8">
        <f>F975/1320</f>
        <v>0.21590909090909091</v>
      </c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10" t="s">
        <v>2728</v>
      </c>
      <c r="B976" s="9">
        <v>3</v>
      </c>
      <c r="C976" s="23">
        <v>4714781021777</v>
      </c>
      <c r="D976" s="12" t="s">
        <v>1522</v>
      </c>
      <c r="E976" s="9">
        <v>2</v>
      </c>
      <c r="F976" s="9">
        <v>750</v>
      </c>
      <c r="G976" s="8">
        <f>F976/1320</f>
        <v>0.56818181818181823</v>
      </c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10"/>
      <c r="B977" s="9"/>
      <c r="C977" s="23" t="s">
        <v>1510</v>
      </c>
      <c r="D977" s="12" t="s">
        <v>2190</v>
      </c>
      <c r="E977" s="9">
        <v>1</v>
      </c>
      <c r="F977" s="9">
        <v>285</v>
      </c>
      <c r="G977" s="8">
        <f>F977/1320</f>
        <v>0.21590909090909091</v>
      </c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10"/>
      <c r="B978" s="9"/>
      <c r="C978" s="23" t="s">
        <v>1508</v>
      </c>
      <c r="D978" s="12" t="s">
        <v>2186</v>
      </c>
      <c r="E978" s="9">
        <v>1</v>
      </c>
      <c r="F978" s="9">
        <v>285</v>
      </c>
      <c r="G978" s="8">
        <f>F978/1320</f>
        <v>0.21590909090909091</v>
      </c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10" t="s">
        <v>2727</v>
      </c>
      <c r="B979" s="9">
        <v>3</v>
      </c>
      <c r="C979" s="23">
        <v>4714781021777</v>
      </c>
      <c r="D979" s="12" t="s">
        <v>1522</v>
      </c>
      <c r="E979" s="9">
        <v>2</v>
      </c>
      <c r="F979" s="9">
        <v>750</v>
      </c>
      <c r="G979" s="8">
        <f>F979/1320</f>
        <v>0.56818181818181823</v>
      </c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10"/>
      <c r="B980" s="9"/>
      <c r="C980" s="23" t="s">
        <v>1508</v>
      </c>
      <c r="D980" s="12" t="s">
        <v>2186</v>
      </c>
      <c r="E980" s="9">
        <v>1</v>
      </c>
      <c r="F980" s="9">
        <v>285</v>
      </c>
      <c r="G980" s="8">
        <f>F980/1320</f>
        <v>0.21590909090909091</v>
      </c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10"/>
      <c r="B981" s="9"/>
      <c r="C981" s="23" t="s">
        <v>1506</v>
      </c>
      <c r="D981" s="12" t="s">
        <v>2188</v>
      </c>
      <c r="E981" s="9">
        <v>1</v>
      </c>
      <c r="F981" s="9">
        <v>285</v>
      </c>
      <c r="G981" s="8">
        <f>F981/1320</f>
        <v>0.21590909090909091</v>
      </c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10" t="s">
        <v>2726</v>
      </c>
      <c r="B982" s="9">
        <v>1</v>
      </c>
      <c r="C982" s="21">
        <v>4714781020794</v>
      </c>
      <c r="D982" s="10" t="s">
        <v>1320</v>
      </c>
      <c r="E982" s="9">
        <v>2</v>
      </c>
      <c r="F982" s="9">
        <v>230</v>
      </c>
      <c r="G982" s="8">
        <f>F982/230</f>
        <v>1</v>
      </c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10" t="s">
        <v>2725</v>
      </c>
      <c r="B983" s="9">
        <v>1</v>
      </c>
      <c r="C983" s="21">
        <v>4714781020800</v>
      </c>
      <c r="D983" s="10" t="s">
        <v>1319</v>
      </c>
      <c r="E983" s="9">
        <v>2</v>
      </c>
      <c r="F983" s="9">
        <v>230</v>
      </c>
      <c r="G983" s="8">
        <f>F983/230</f>
        <v>1</v>
      </c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10" t="s">
        <v>2724</v>
      </c>
      <c r="B984" s="9">
        <v>1</v>
      </c>
      <c r="C984" s="21">
        <v>4714781020817</v>
      </c>
      <c r="D984" s="10" t="s">
        <v>1317</v>
      </c>
      <c r="E984" s="9">
        <v>2</v>
      </c>
      <c r="F984" s="9">
        <v>230</v>
      </c>
      <c r="G984" s="8">
        <f>F984/230</f>
        <v>1</v>
      </c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10" t="s">
        <v>2723</v>
      </c>
      <c r="B985" s="9">
        <v>2</v>
      </c>
      <c r="C985" s="21">
        <v>4714781020794</v>
      </c>
      <c r="D985" s="10" t="s">
        <v>1320</v>
      </c>
      <c r="E985" s="9">
        <v>1</v>
      </c>
      <c r="F985" s="9">
        <v>115</v>
      </c>
      <c r="G985" s="8">
        <f>F985/230</f>
        <v>0.5</v>
      </c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10"/>
      <c r="B986" s="10"/>
      <c r="C986" s="21">
        <v>4714781020800</v>
      </c>
      <c r="D986" s="10" t="s">
        <v>1319</v>
      </c>
      <c r="E986" s="9">
        <v>1</v>
      </c>
      <c r="F986" s="9">
        <v>115</v>
      </c>
      <c r="G986" s="8">
        <f>F986/230</f>
        <v>0.5</v>
      </c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10" t="s">
        <v>2722</v>
      </c>
      <c r="B987" s="9">
        <v>2</v>
      </c>
      <c r="C987" s="21">
        <v>4714781020794</v>
      </c>
      <c r="D987" s="10" t="s">
        <v>1320</v>
      </c>
      <c r="E987" s="9">
        <v>1</v>
      </c>
      <c r="F987" s="9">
        <v>115</v>
      </c>
      <c r="G987" s="8">
        <f>F987/230</f>
        <v>0.5</v>
      </c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10"/>
      <c r="B988" s="10"/>
      <c r="C988" s="21">
        <v>4714781020817</v>
      </c>
      <c r="D988" s="10" t="s">
        <v>1317</v>
      </c>
      <c r="E988" s="9">
        <v>1</v>
      </c>
      <c r="F988" s="9">
        <v>115</v>
      </c>
      <c r="G988" s="8">
        <f>F988/230</f>
        <v>0.5</v>
      </c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10" t="s">
        <v>2721</v>
      </c>
      <c r="B989" s="9">
        <v>2</v>
      </c>
      <c r="C989" s="21">
        <v>4714781020800</v>
      </c>
      <c r="D989" s="10" t="s">
        <v>1319</v>
      </c>
      <c r="E989" s="9">
        <v>1</v>
      </c>
      <c r="F989" s="9">
        <v>115</v>
      </c>
      <c r="G989" s="8">
        <f>F989/230</f>
        <v>0.5</v>
      </c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10"/>
      <c r="B990" s="10"/>
      <c r="C990" s="21">
        <v>4714781020817</v>
      </c>
      <c r="D990" s="10" t="s">
        <v>1317</v>
      </c>
      <c r="E990" s="9">
        <v>1</v>
      </c>
      <c r="F990" s="9">
        <v>115</v>
      </c>
      <c r="G990" s="8">
        <f>F990/230</f>
        <v>0.5</v>
      </c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10" t="s">
        <v>2720</v>
      </c>
      <c r="B991" s="9">
        <v>1</v>
      </c>
      <c r="C991" s="21">
        <v>4714781020770</v>
      </c>
      <c r="D991" s="10" t="s">
        <v>1380</v>
      </c>
      <c r="E991" s="9">
        <v>2</v>
      </c>
      <c r="F991" s="9">
        <v>270</v>
      </c>
      <c r="G991" s="8">
        <f>F991/270</f>
        <v>1</v>
      </c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10" t="s">
        <v>2719</v>
      </c>
      <c r="B992" s="9">
        <v>1</v>
      </c>
      <c r="C992" s="21">
        <v>4714781020787</v>
      </c>
      <c r="D992" s="10" t="s">
        <v>1378</v>
      </c>
      <c r="E992" s="9">
        <v>2</v>
      </c>
      <c r="F992" s="9">
        <v>270</v>
      </c>
      <c r="G992" s="8">
        <f>F992/270</f>
        <v>1</v>
      </c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10" t="s">
        <v>2718</v>
      </c>
      <c r="B993" s="9">
        <v>2</v>
      </c>
      <c r="C993" s="21">
        <v>4714781020770</v>
      </c>
      <c r="D993" s="10" t="s">
        <v>1380</v>
      </c>
      <c r="E993" s="9">
        <v>1</v>
      </c>
      <c r="F993" s="9">
        <v>135</v>
      </c>
      <c r="G993" s="8">
        <f>F993/270</f>
        <v>0.5</v>
      </c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10"/>
      <c r="B994" s="10"/>
      <c r="C994" s="21">
        <v>4714781020787</v>
      </c>
      <c r="D994" s="10" t="s">
        <v>1378</v>
      </c>
      <c r="E994" s="9">
        <v>1</v>
      </c>
      <c r="F994" s="9">
        <v>135</v>
      </c>
      <c r="G994" s="8">
        <f>F994/270</f>
        <v>0.5</v>
      </c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10" t="s">
        <v>2717</v>
      </c>
      <c r="B995" s="9">
        <v>1</v>
      </c>
      <c r="C995" s="21" t="s">
        <v>1596</v>
      </c>
      <c r="D995" s="10" t="s">
        <v>1384</v>
      </c>
      <c r="E995" s="9">
        <v>2</v>
      </c>
      <c r="F995" s="9">
        <v>650</v>
      </c>
      <c r="G995" s="8">
        <f>F995/650</f>
        <v>1</v>
      </c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10" t="s">
        <v>2716</v>
      </c>
      <c r="B996" s="9">
        <v>1</v>
      </c>
      <c r="C996" s="21">
        <v>4714781020824</v>
      </c>
      <c r="D996" s="10" t="s">
        <v>1391</v>
      </c>
      <c r="E996" s="9">
        <v>2</v>
      </c>
      <c r="F996" s="9">
        <v>650</v>
      </c>
      <c r="G996" s="8">
        <f>F996/650</f>
        <v>1</v>
      </c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10" t="s">
        <v>2715</v>
      </c>
      <c r="B997" s="9">
        <v>1</v>
      </c>
      <c r="C997" s="21">
        <v>4714781020831</v>
      </c>
      <c r="D997" s="10" t="s">
        <v>1389</v>
      </c>
      <c r="E997" s="9">
        <v>2</v>
      </c>
      <c r="F997" s="9">
        <v>650</v>
      </c>
      <c r="G997" s="8">
        <f>F997/650</f>
        <v>1</v>
      </c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10" t="s">
        <v>2714</v>
      </c>
      <c r="B998" s="9">
        <v>2</v>
      </c>
      <c r="C998" s="21">
        <v>4714781020824</v>
      </c>
      <c r="D998" s="10" t="s">
        <v>1391</v>
      </c>
      <c r="E998" s="9">
        <v>1</v>
      </c>
      <c r="F998" s="9">
        <v>325</v>
      </c>
      <c r="G998" s="8">
        <f>F998/650</f>
        <v>0.5</v>
      </c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10"/>
      <c r="B999" s="10"/>
      <c r="C999" s="21">
        <v>4714781020831</v>
      </c>
      <c r="D999" s="10" t="s">
        <v>1389</v>
      </c>
      <c r="E999" s="9">
        <v>1</v>
      </c>
      <c r="F999" s="9">
        <v>325</v>
      </c>
      <c r="G999" s="8">
        <f>F999/650</f>
        <v>0.5</v>
      </c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10" t="s">
        <v>2713</v>
      </c>
      <c r="B1000" s="9">
        <v>2</v>
      </c>
      <c r="C1000" s="21" t="s">
        <v>1596</v>
      </c>
      <c r="D1000" s="10" t="s">
        <v>1384</v>
      </c>
      <c r="E1000" s="9">
        <v>1</v>
      </c>
      <c r="F1000" s="9">
        <v>325</v>
      </c>
      <c r="G1000" s="8">
        <f>F1000/650</f>
        <v>0.5</v>
      </c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5.75" customHeight="1">
      <c r="A1001" s="10"/>
      <c r="B1001" s="10"/>
      <c r="C1001" s="21">
        <v>4714781020824</v>
      </c>
      <c r="D1001" s="10" t="s">
        <v>1391</v>
      </c>
      <c r="E1001" s="9">
        <v>1</v>
      </c>
      <c r="F1001" s="9">
        <v>325</v>
      </c>
      <c r="G1001" s="8">
        <f>F1001/650</f>
        <v>0.5</v>
      </c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5.75" customHeight="1">
      <c r="A1002" s="10" t="s">
        <v>2712</v>
      </c>
      <c r="B1002" s="9">
        <v>2</v>
      </c>
      <c r="C1002" s="21" t="s">
        <v>1596</v>
      </c>
      <c r="D1002" s="10" t="s">
        <v>1384</v>
      </c>
      <c r="E1002" s="9">
        <v>1</v>
      </c>
      <c r="F1002" s="9">
        <v>325</v>
      </c>
      <c r="G1002" s="8">
        <f>F1002/650</f>
        <v>0.5</v>
      </c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5.75" customHeight="1">
      <c r="A1003" s="10"/>
      <c r="B1003" s="10"/>
      <c r="C1003" s="21">
        <v>4714781020831</v>
      </c>
      <c r="D1003" s="10" t="s">
        <v>1389</v>
      </c>
      <c r="E1003" s="9">
        <v>1</v>
      </c>
      <c r="F1003" s="9">
        <v>325</v>
      </c>
      <c r="G1003" s="8">
        <f>F1003/650</f>
        <v>0.5</v>
      </c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5.75" customHeight="1">
      <c r="A1004" s="10" t="s">
        <v>2711</v>
      </c>
      <c r="B1004" s="9">
        <v>1</v>
      </c>
      <c r="C1004" s="21" t="s">
        <v>1619</v>
      </c>
      <c r="D1004" s="10" t="s">
        <v>1376</v>
      </c>
      <c r="E1004" s="9">
        <v>4</v>
      </c>
      <c r="F1004" s="9">
        <v>550</v>
      </c>
      <c r="G1004" s="8">
        <f>F1004/550</f>
        <v>1</v>
      </c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5.75" customHeight="1">
      <c r="A1005" s="10" t="s">
        <v>2710</v>
      </c>
      <c r="B1005" s="9">
        <v>5</v>
      </c>
      <c r="C1005" s="21" t="s">
        <v>1585</v>
      </c>
      <c r="D1005" s="10" t="s">
        <v>1584</v>
      </c>
      <c r="E1005" s="9">
        <v>1</v>
      </c>
      <c r="F1005" s="9">
        <v>60</v>
      </c>
      <c r="G1005" s="8">
        <f>F1005/600</f>
        <v>0.1</v>
      </c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5.75" customHeight="1">
      <c r="A1006" s="10"/>
      <c r="B1006" s="12"/>
      <c r="C1006" s="21" t="s">
        <v>1598</v>
      </c>
      <c r="D1006" s="10" t="s">
        <v>1382</v>
      </c>
      <c r="E1006" s="9">
        <v>1</v>
      </c>
      <c r="F1006" s="9">
        <v>300</v>
      </c>
      <c r="G1006" s="8">
        <f>F1006/600</f>
        <v>0.5</v>
      </c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15.75" customHeight="1">
      <c r="A1007" s="10"/>
      <c r="B1007" s="12"/>
      <c r="C1007" s="21" t="s">
        <v>1595</v>
      </c>
      <c r="D1007" s="10" t="s">
        <v>1378</v>
      </c>
      <c r="E1007" s="9">
        <v>1</v>
      </c>
      <c r="F1007" s="9">
        <v>120</v>
      </c>
      <c r="G1007" s="8">
        <f>F1007/600</f>
        <v>0.2</v>
      </c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15.75" customHeight="1">
      <c r="A1008" s="10"/>
      <c r="B1008" s="12"/>
      <c r="C1008" s="21" t="s">
        <v>1593</v>
      </c>
      <c r="D1008" s="10" t="s">
        <v>1592</v>
      </c>
      <c r="E1008" s="9">
        <v>1</v>
      </c>
      <c r="F1008" s="9">
        <v>50</v>
      </c>
      <c r="G1008" s="8">
        <f>F1008/600</f>
        <v>8.3333333333333329E-2</v>
      </c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5.75" customHeight="1">
      <c r="A1009" s="10"/>
      <c r="B1009" s="12"/>
      <c r="C1009" s="21" t="s">
        <v>1583</v>
      </c>
      <c r="D1009" s="10" t="s">
        <v>1582</v>
      </c>
      <c r="E1009" s="9">
        <v>1</v>
      </c>
      <c r="F1009" s="9">
        <v>70</v>
      </c>
      <c r="G1009" s="8">
        <f>F1009/600</f>
        <v>0.11666666666666667</v>
      </c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5.75" customHeight="1">
      <c r="A1010" s="10" t="s">
        <v>2709</v>
      </c>
      <c r="B1010" s="9">
        <v>5</v>
      </c>
      <c r="C1010" s="21" t="s">
        <v>1585</v>
      </c>
      <c r="D1010" s="10" t="s">
        <v>1584</v>
      </c>
      <c r="E1010" s="9">
        <v>1</v>
      </c>
      <c r="F1010" s="9">
        <v>60</v>
      </c>
      <c r="G1010" s="8">
        <f>F1010/600</f>
        <v>0.1</v>
      </c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5.75" customHeight="1">
      <c r="A1011" s="10"/>
      <c r="B1011" s="12"/>
      <c r="C1011" s="21" t="s">
        <v>1596</v>
      </c>
      <c r="D1011" s="10" t="s">
        <v>1384</v>
      </c>
      <c r="E1011" s="9">
        <v>1</v>
      </c>
      <c r="F1011" s="9">
        <v>300</v>
      </c>
      <c r="G1011" s="8">
        <f>F1011/600</f>
        <v>0.5</v>
      </c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5.75" customHeight="1">
      <c r="A1012" s="10"/>
      <c r="B1012" s="12"/>
      <c r="C1012" s="21" t="s">
        <v>1602</v>
      </c>
      <c r="D1012" s="10" t="s">
        <v>1380</v>
      </c>
      <c r="E1012" s="9">
        <v>1</v>
      </c>
      <c r="F1012" s="9">
        <v>120</v>
      </c>
      <c r="G1012" s="8">
        <f>F1012/600</f>
        <v>0.2</v>
      </c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5.75" customHeight="1">
      <c r="A1013" s="10"/>
      <c r="B1013" s="12"/>
      <c r="C1013" s="21" t="s">
        <v>1588</v>
      </c>
      <c r="D1013" s="10" t="s">
        <v>1587</v>
      </c>
      <c r="E1013" s="9">
        <v>1</v>
      </c>
      <c r="F1013" s="9">
        <v>50</v>
      </c>
      <c r="G1013" s="8">
        <f>F1013/600</f>
        <v>8.3333333333333329E-2</v>
      </c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5.75" customHeight="1">
      <c r="A1014" s="10"/>
      <c r="B1014" s="12"/>
      <c r="C1014" s="21" t="s">
        <v>1583</v>
      </c>
      <c r="D1014" s="10" t="s">
        <v>1582</v>
      </c>
      <c r="E1014" s="9">
        <v>1</v>
      </c>
      <c r="F1014" s="9">
        <v>70</v>
      </c>
      <c r="G1014" s="8">
        <f>F1014/600</f>
        <v>0.11666666666666667</v>
      </c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5.75" customHeight="1">
      <c r="A1015" s="10" t="s">
        <v>2708</v>
      </c>
      <c r="B1015" s="9">
        <v>5</v>
      </c>
      <c r="C1015" s="21" t="s">
        <v>1585</v>
      </c>
      <c r="D1015" s="10" t="s">
        <v>1584</v>
      </c>
      <c r="E1015" s="9">
        <v>1</v>
      </c>
      <c r="F1015" s="9">
        <v>60</v>
      </c>
      <c r="G1015" s="8">
        <f>F1015/600</f>
        <v>0.1</v>
      </c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5.75" customHeight="1">
      <c r="A1016" s="10"/>
      <c r="B1016" s="12"/>
      <c r="C1016" s="21" t="s">
        <v>1596</v>
      </c>
      <c r="D1016" s="10" t="s">
        <v>1384</v>
      </c>
      <c r="E1016" s="9">
        <v>1</v>
      </c>
      <c r="F1016" s="9">
        <v>300</v>
      </c>
      <c r="G1016" s="8">
        <f>F1016/600</f>
        <v>0.5</v>
      </c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 ht="15.75" customHeight="1">
      <c r="A1017" s="10"/>
      <c r="B1017" s="12"/>
      <c r="C1017" s="21" t="s">
        <v>1595</v>
      </c>
      <c r="D1017" s="10" t="s">
        <v>1378</v>
      </c>
      <c r="E1017" s="9">
        <v>1</v>
      </c>
      <c r="F1017" s="9">
        <v>120</v>
      </c>
      <c r="G1017" s="8">
        <f>F1017/600</f>
        <v>0.2</v>
      </c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5.75" customHeight="1">
      <c r="A1018" s="10"/>
      <c r="B1018" s="12"/>
      <c r="C1018" s="21" t="s">
        <v>1581</v>
      </c>
      <c r="D1018" s="10" t="s">
        <v>1580</v>
      </c>
      <c r="E1018" s="9">
        <v>1</v>
      </c>
      <c r="F1018" s="9">
        <v>50</v>
      </c>
      <c r="G1018" s="8">
        <f>F1018/600</f>
        <v>8.3333333333333329E-2</v>
      </c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5.75" customHeight="1">
      <c r="A1019" s="10"/>
      <c r="B1019" s="12"/>
      <c r="C1019" s="21" t="s">
        <v>1583</v>
      </c>
      <c r="D1019" s="10" t="s">
        <v>1582</v>
      </c>
      <c r="E1019" s="9">
        <v>1</v>
      </c>
      <c r="F1019" s="9">
        <v>70</v>
      </c>
      <c r="G1019" s="8">
        <f>F1019/600</f>
        <v>0.11666666666666667</v>
      </c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5.75" customHeight="1">
      <c r="A1020" s="10" t="s">
        <v>2707</v>
      </c>
      <c r="B1020" s="9">
        <v>5</v>
      </c>
      <c r="C1020" s="21" t="s">
        <v>1585</v>
      </c>
      <c r="D1020" s="10" t="s">
        <v>1584</v>
      </c>
      <c r="E1020" s="9">
        <v>1</v>
      </c>
      <c r="F1020" s="9">
        <v>60</v>
      </c>
      <c r="G1020" s="8">
        <f>F1020/600</f>
        <v>0.1</v>
      </c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5.75" customHeight="1">
      <c r="A1021" s="10"/>
      <c r="B1021" s="12"/>
      <c r="C1021" s="21" t="s">
        <v>1583</v>
      </c>
      <c r="D1021" s="10" t="s">
        <v>1582</v>
      </c>
      <c r="E1021" s="9">
        <v>1</v>
      </c>
      <c r="F1021" s="9">
        <v>300</v>
      </c>
      <c r="G1021" s="8">
        <f>F1021/600</f>
        <v>0.5</v>
      </c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5.75" customHeight="1">
      <c r="A1022" s="10"/>
      <c r="B1022" s="12"/>
      <c r="C1022" s="21" t="s">
        <v>1593</v>
      </c>
      <c r="D1022" s="10" t="s">
        <v>1592</v>
      </c>
      <c r="E1022" s="9">
        <v>1</v>
      </c>
      <c r="F1022" s="9">
        <v>120</v>
      </c>
      <c r="G1022" s="8">
        <f>F1022/600</f>
        <v>0.2</v>
      </c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5.75" customHeight="1">
      <c r="A1023" s="10"/>
      <c r="B1023" s="12"/>
      <c r="C1023" s="21">
        <v>4714781020800</v>
      </c>
      <c r="D1023" s="10" t="s">
        <v>1319</v>
      </c>
      <c r="E1023" s="9">
        <v>1</v>
      </c>
      <c r="F1023" s="9">
        <v>50</v>
      </c>
      <c r="G1023" s="8">
        <f>F1023/600</f>
        <v>8.3333333333333329E-2</v>
      </c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5.75" customHeight="1">
      <c r="A1024" s="10"/>
      <c r="B1024" s="12"/>
      <c r="C1024" s="21">
        <v>4714781020824</v>
      </c>
      <c r="D1024" s="10" t="s">
        <v>1391</v>
      </c>
      <c r="E1024" s="9">
        <v>1</v>
      </c>
      <c r="F1024" s="9">
        <v>70</v>
      </c>
      <c r="G1024" s="8">
        <f>F1024/600</f>
        <v>0.11666666666666667</v>
      </c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5.75" customHeight="1">
      <c r="A1025" s="10" t="s">
        <v>2706</v>
      </c>
      <c r="B1025" s="9">
        <v>5</v>
      </c>
      <c r="C1025" s="21" t="s">
        <v>1585</v>
      </c>
      <c r="D1025" s="10" t="s">
        <v>1584</v>
      </c>
      <c r="E1025" s="9">
        <v>1</v>
      </c>
      <c r="F1025" s="9">
        <v>60</v>
      </c>
      <c r="G1025" s="8">
        <f>F1025/600</f>
        <v>0.1</v>
      </c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5.75" customHeight="1">
      <c r="A1026" s="10"/>
      <c r="B1026" s="12"/>
      <c r="C1026" s="21" t="s">
        <v>1583</v>
      </c>
      <c r="D1026" s="10" t="s">
        <v>1582</v>
      </c>
      <c r="E1026" s="9">
        <v>1</v>
      </c>
      <c r="F1026" s="9">
        <v>300</v>
      </c>
      <c r="G1026" s="8">
        <f>F1026/600</f>
        <v>0.5</v>
      </c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5.75" customHeight="1">
      <c r="A1027" s="10"/>
      <c r="B1027" s="12"/>
      <c r="C1027" s="21" t="s">
        <v>1588</v>
      </c>
      <c r="D1027" s="10" t="s">
        <v>1587</v>
      </c>
      <c r="E1027" s="9">
        <v>1</v>
      </c>
      <c r="F1027" s="9">
        <v>120</v>
      </c>
      <c r="G1027" s="8">
        <f>F1027/600</f>
        <v>0.2</v>
      </c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 ht="15.75" customHeight="1">
      <c r="A1028" s="10"/>
      <c r="B1028" s="12"/>
      <c r="C1028" s="21">
        <v>4714781020817</v>
      </c>
      <c r="D1028" s="10" t="s">
        <v>1317</v>
      </c>
      <c r="E1028" s="9">
        <v>1</v>
      </c>
      <c r="F1028" s="9">
        <v>50</v>
      </c>
      <c r="G1028" s="8">
        <f>F1028/600</f>
        <v>8.3333333333333329E-2</v>
      </c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 ht="15.75" customHeight="1">
      <c r="A1029" s="10"/>
      <c r="B1029" s="12"/>
      <c r="C1029" s="21" t="s">
        <v>1579</v>
      </c>
      <c r="D1029" s="10" t="s">
        <v>1389</v>
      </c>
      <c r="E1029" s="9">
        <v>1</v>
      </c>
      <c r="F1029" s="9">
        <v>70</v>
      </c>
      <c r="G1029" s="8">
        <f>F1029/600</f>
        <v>0.11666666666666667</v>
      </c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spans="1:26" ht="15.75" customHeight="1">
      <c r="A1030" s="10" t="s">
        <v>2705</v>
      </c>
      <c r="B1030" s="9">
        <v>5</v>
      </c>
      <c r="C1030" s="21" t="s">
        <v>1585</v>
      </c>
      <c r="D1030" s="10" t="s">
        <v>1584</v>
      </c>
      <c r="E1030" s="9">
        <v>1</v>
      </c>
      <c r="F1030" s="9">
        <v>60</v>
      </c>
      <c r="G1030" s="8">
        <f>F1030/600</f>
        <v>0.1</v>
      </c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 ht="15.75" customHeight="1">
      <c r="A1031" s="10"/>
      <c r="B1031" s="12"/>
      <c r="C1031" s="21" t="s">
        <v>1583</v>
      </c>
      <c r="D1031" s="10" t="s">
        <v>1582</v>
      </c>
      <c r="E1031" s="9">
        <v>1</v>
      </c>
      <c r="F1031" s="9">
        <v>300</v>
      </c>
      <c r="G1031" s="8">
        <f>F1031/600</f>
        <v>0.5</v>
      </c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spans="1:26" ht="15.75" customHeight="1">
      <c r="A1032" s="10"/>
      <c r="B1032" s="12"/>
      <c r="C1032" s="21" t="s">
        <v>1581</v>
      </c>
      <c r="D1032" s="10" t="s">
        <v>1580</v>
      </c>
      <c r="E1032" s="9">
        <v>1</v>
      </c>
      <c r="F1032" s="9">
        <v>120</v>
      </c>
      <c r="G1032" s="8">
        <f>F1032/600</f>
        <v>0.2</v>
      </c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26" ht="15.75" customHeight="1">
      <c r="A1033" s="10"/>
      <c r="B1033" s="12"/>
      <c r="C1033" s="21">
        <v>4714781020817</v>
      </c>
      <c r="D1033" s="10" t="s">
        <v>1317</v>
      </c>
      <c r="E1033" s="9">
        <v>1</v>
      </c>
      <c r="F1033" s="9">
        <v>50</v>
      </c>
      <c r="G1033" s="8">
        <f>F1033/600</f>
        <v>8.3333333333333329E-2</v>
      </c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spans="1:26" ht="15.75" customHeight="1">
      <c r="A1034" s="10"/>
      <c r="B1034" s="12"/>
      <c r="C1034" s="21" t="s">
        <v>1579</v>
      </c>
      <c r="D1034" s="10" t="s">
        <v>1389</v>
      </c>
      <c r="E1034" s="9">
        <v>1</v>
      </c>
      <c r="F1034" s="9">
        <v>70</v>
      </c>
      <c r="G1034" s="8">
        <f>F1034/600</f>
        <v>0.11666666666666667</v>
      </c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5.75" customHeight="1">
      <c r="A1035" s="10" t="s">
        <v>2704</v>
      </c>
      <c r="B1035" s="9">
        <v>1</v>
      </c>
      <c r="C1035" s="23" t="s">
        <v>1510</v>
      </c>
      <c r="D1035" s="12" t="s">
        <v>2190</v>
      </c>
      <c r="E1035" s="9">
        <v>4</v>
      </c>
      <c r="F1035" s="9">
        <v>1160</v>
      </c>
      <c r="G1035" s="8">
        <f>F1035/1160</f>
        <v>1</v>
      </c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5.75" customHeight="1">
      <c r="A1036" s="10" t="s">
        <v>2703</v>
      </c>
      <c r="B1036" s="9">
        <v>1</v>
      </c>
      <c r="C1036" s="23" t="s">
        <v>1506</v>
      </c>
      <c r="D1036" s="12" t="s">
        <v>2188</v>
      </c>
      <c r="E1036" s="9">
        <v>4</v>
      </c>
      <c r="F1036" s="9">
        <v>1160</v>
      </c>
      <c r="G1036" s="8">
        <f>F1036/1160</f>
        <v>1</v>
      </c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5.75" customHeight="1">
      <c r="A1037" s="10" t="s">
        <v>2702</v>
      </c>
      <c r="B1037" s="9">
        <v>1</v>
      </c>
      <c r="C1037" s="23" t="s">
        <v>1508</v>
      </c>
      <c r="D1037" s="12" t="s">
        <v>2186</v>
      </c>
      <c r="E1037" s="9">
        <v>4</v>
      </c>
      <c r="F1037" s="9">
        <v>1160</v>
      </c>
      <c r="G1037" s="8">
        <f>F1037/1160</f>
        <v>1</v>
      </c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5.75" customHeight="1">
      <c r="A1038" s="10" t="s">
        <v>2701</v>
      </c>
      <c r="B1038" s="9">
        <v>1</v>
      </c>
      <c r="C1038" s="23" t="s">
        <v>1531</v>
      </c>
      <c r="D1038" s="12" t="s">
        <v>2194</v>
      </c>
      <c r="E1038" s="9">
        <v>4</v>
      </c>
      <c r="F1038" s="9">
        <v>1160</v>
      </c>
      <c r="G1038" s="8">
        <f>F1038/1160</f>
        <v>1</v>
      </c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5.75" customHeight="1">
      <c r="A1039" s="10" t="s">
        <v>2700</v>
      </c>
      <c r="B1039" s="9">
        <v>4</v>
      </c>
      <c r="C1039" s="23" t="s">
        <v>1510</v>
      </c>
      <c r="D1039" s="12" t="s">
        <v>2190</v>
      </c>
      <c r="E1039" s="9">
        <v>1</v>
      </c>
      <c r="F1039" s="9">
        <v>290</v>
      </c>
      <c r="G1039" s="8">
        <f>F1039/1160</f>
        <v>0.25</v>
      </c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5.75" customHeight="1">
      <c r="A1040" s="10"/>
      <c r="B1040" s="12"/>
      <c r="C1040" s="23" t="s">
        <v>1506</v>
      </c>
      <c r="D1040" s="12" t="s">
        <v>2188</v>
      </c>
      <c r="E1040" s="9">
        <v>1</v>
      </c>
      <c r="F1040" s="9">
        <v>290</v>
      </c>
      <c r="G1040" s="8">
        <f>F1040/1160</f>
        <v>0.25</v>
      </c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spans="1:26" ht="15.75" customHeight="1">
      <c r="A1041" s="10"/>
      <c r="B1041" s="12"/>
      <c r="C1041" s="23" t="s">
        <v>1508</v>
      </c>
      <c r="D1041" s="12" t="s">
        <v>2186</v>
      </c>
      <c r="E1041" s="9">
        <v>1</v>
      </c>
      <c r="F1041" s="9">
        <v>290</v>
      </c>
      <c r="G1041" s="8">
        <f>F1041/1160</f>
        <v>0.25</v>
      </c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5.75" customHeight="1">
      <c r="A1042" s="10"/>
      <c r="B1042" s="12"/>
      <c r="C1042" s="23" t="s">
        <v>1531</v>
      </c>
      <c r="D1042" s="12" t="s">
        <v>2194</v>
      </c>
      <c r="E1042" s="9">
        <v>1</v>
      </c>
      <c r="F1042" s="9">
        <v>290</v>
      </c>
      <c r="G1042" s="8">
        <f>F1042/1160</f>
        <v>0.25</v>
      </c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5.75" customHeight="1">
      <c r="A1043" s="10" t="s">
        <v>2699</v>
      </c>
      <c r="B1043" s="9">
        <v>3</v>
      </c>
      <c r="C1043" s="21">
        <v>4714781021227</v>
      </c>
      <c r="D1043" s="10" t="s">
        <v>2137</v>
      </c>
      <c r="E1043" s="9">
        <v>2</v>
      </c>
      <c r="F1043" s="9">
        <v>118</v>
      </c>
      <c r="G1043" s="8">
        <f>F1043/414</f>
        <v>0.28502415458937197</v>
      </c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5.75" customHeight="1">
      <c r="A1044" s="10"/>
      <c r="B1044" s="10"/>
      <c r="C1044" s="21">
        <v>4714781021234</v>
      </c>
      <c r="D1044" s="10" t="s">
        <v>2135</v>
      </c>
      <c r="E1044" s="9">
        <v>2</v>
      </c>
      <c r="F1044" s="9">
        <v>118</v>
      </c>
      <c r="G1044" s="8">
        <f>F1044/414</f>
        <v>0.28502415458937197</v>
      </c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5.75" customHeight="1">
      <c r="A1045" s="10"/>
      <c r="B1045" s="10"/>
      <c r="C1045" s="21">
        <v>4714781021241</v>
      </c>
      <c r="D1045" s="10" t="s">
        <v>2133</v>
      </c>
      <c r="E1045" s="9">
        <v>3</v>
      </c>
      <c r="F1045" s="9">
        <v>178</v>
      </c>
      <c r="G1045" s="8">
        <f>F1045/414</f>
        <v>0.42995169082125606</v>
      </c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5.75" customHeight="1">
      <c r="A1046" s="10" t="s">
        <v>2698</v>
      </c>
      <c r="B1046" s="9">
        <v>3</v>
      </c>
      <c r="C1046" s="21">
        <v>4714781021227</v>
      </c>
      <c r="D1046" s="10" t="s">
        <v>2137</v>
      </c>
      <c r="E1046" s="9">
        <v>3</v>
      </c>
      <c r="F1046" s="9">
        <v>177</v>
      </c>
      <c r="G1046" s="8">
        <f>F1046/414</f>
        <v>0.42753623188405798</v>
      </c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5.75" customHeight="1">
      <c r="A1047" s="10"/>
      <c r="B1047" s="10"/>
      <c r="C1047" s="21">
        <v>4714781021234</v>
      </c>
      <c r="D1047" s="10" t="s">
        <v>2135</v>
      </c>
      <c r="E1047" s="9">
        <v>3</v>
      </c>
      <c r="F1047" s="9">
        <v>177</v>
      </c>
      <c r="G1047" s="8">
        <f>F1047/414</f>
        <v>0.42753623188405798</v>
      </c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spans="1:26" ht="15.75" customHeight="1">
      <c r="A1048" s="10"/>
      <c r="B1048" s="10"/>
      <c r="C1048" s="21">
        <v>4714781021241</v>
      </c>
      <c r="D1048" s="10" t="s">
        <v>2133</v>
      </c>
      <c r="E1048" s="9">
        <v>1</v>
      </c>
      <c r="F1048" s="9">
        <v>60</v>
      </c>
      <c r="G1048" s="8">
        <f>F1048/414</f>
        <v>0.14492753623188406</v>
      </c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spans="1:26" ht="15.75" customHeight="1">
      <c r="A1049" s="10" t="s">
        <v>2697</v>
      </c>
      <c r="B1049" s="9">
        <v>2</v>
      </c>
      <c r="C1049" s="21">
        <v>4714781021227</v>
      </c>
      <c r="D1049" s="10" t="s">
        <v>2137</v>
      </c>
      <c r="E1049" s="9">
        <v>3</v>
      </c>
      <c r="F1049" s="9">
        <v>177</v>
      </c>
      <c r="G1049" s="8">
        <f>F1049/414</f>
        <v>0.42753623188405798</v>
      </c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spans="1:26" ht="15.75" customHeight="1">
      <c r="A1050" s="10"/>
      <c r="B1050" s="10"/>
      <c r="C1050" s="21">
        <v>4714781021241</v>
      </c>
      <c r="D1050" s="10" t="s">
        <v>2133</v>
      </c>
      <c r="E1050" s="9">
        <v>4</v>
      </c>
      <c r="F1050" s="9">
        <v>237</v>
      </c>
      <c r="G1050" s="8">
        <f>F1050/414</f>
        <v>0.57246376811594202</v>
      </c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spans="1:26" ht="15.75" customHeight="1">
      <c r="A1051" s="10" t="s">
        <v>2696</v>
      </c>
      <c r="B1051" s="9">
        <v>2</v>
      </c>
      <c r="C1051" s="21">
        <v>4714781021234</v>
      </c>
      <c r="D1051" s="10" t="s">
        <v>2135</v>
      </c>
      <c r="E1051" s="9">
        <v>3</v>
      </c>
      <c r="F1051" s="9">
        <v>177</v>
      </c>
      <c r="G1051" s="8">
        <f>F1051/414</f>
        <v>0.42753623188405798</v>
      </c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spans="1:26" ht="15.75" customHeight="1">
      <c r="A1052" s="10"/>
      <c r="B1052" s="10"/>
      <c r="C1052" s="21">
        <v>4714781021241</v>
      </c>
      <c r="D1052" s="10" t="s">
        <v>2133</v>
      </c>
      <c r="E1052" s="9">
        <v>4</v>
      </c>
      <c r="F1052" s="9">
        <v>237</v>
      </c>
      <c r="G1052" s="8">
        <f>F1052/414</f>
        <v>0.57246376811594202</v>
      </c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spans="1:26" ht="15.75" customHeight="1">
      <c r="A1053" s="10" t="s">
        <v>2695</v>
      </c>
      <c r="B1053" s="9">
        <v>2</v>
      </c>
      <c r="C1053" s="21">
        <v>4714781021227</v>
      </c>
      <c r="D1053" s="10" t="s">
        <v>2137</v>
      </c>
      <c r="E1053" s="9">
        <v>6</v>
      </c>
      <c r="F1053" s="9">
        <v>354</v>
      </c>
      <c r="G1053" s="8">
        <f>F1053/414</f>
        <v>0.85507246376811596</v>
      </c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spans="1:26" ht="15.75" customHeight="1">
      <c r="A1054" s="10"/>
      <c r="B1054" s="10"/>
      <c r="C1054" s="21">
        <v>4714781021241</v>
      </c>
      <c r="D1054" s="10" t="s">
        <v>2133</v>
      </c>
      <c r="E1054" s="9">
        <v>1</v>
      </c>
      <c r="F1054" s="9">
        <v>60</v>
      </c>
      <c r="G1054" s="8">
        <f>F1054/414</f>
        <v>0.14492753623188406</v>
      </c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26" ht="15.75" customHeight="1">
      <c r="A1055" s="10" t="s">
        <v>2694</v>
      </c>
      <c r="B1055" s="9">
        <v>2</v>
      </c>
      <c r="C1055" s="21">
        <v>4714781021234</v>
      </c>
      <c r="D1055" s="10" t="s">
        <v>2135</v>
      </c>
      <c r="E1055" s="9">
        <v>6</v>
      </c>
      <c r="F1055" s="9">
        <v>354</v>
      </c>
      <c r="G1055" s="8">
        <f>F1055/414</f>
        <v>0.85507246376811596</v>
      </c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spans="1:26" ht="15.75" customHeight="1">
      <c r="A1056" s="10"/>
      <c r="B1056" s="10"/>
      <c r="C1056" s="21">
        <v>4714781021241</v>
      </c>
      <c r="D1056" s="10" t="s">
        <v>2133</v>
      </c>
      <c r="E1056" s="9">
        <v>1</v>
      </c>
      <c r="F1056" s="9">
        <v>60</v>
      </c>
      <c r="G1056" s="8">
        <f>F1056/414</f>
        <v>0.14492753623188406</v>
      </c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spans="1:26" ht="15.75" customHeight="1">
      <c r="A1057" s="10" t="s">
        <v>2693</v>
      </c>
      <c r="B1057" s="9">
        <v>1</v>
      </c>
      <c r="C1057" s="21">
        <v>4714781021241</v>
      </c>
      <c r="D1057" s="10" t="s">
        <v>2133</v>
      </c>
      <c r="E1057" s="9">
        <v>7</v>
      </c>
      <c r="F1057" s="9">
        <v>414</v>
      </c>
      <c r="G1057" s="8">
        <f>F1057/414</f>
        <v>1</v>
      </c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spans="1:26" ht="15.75" customHeight="1">
      <c r="A1058" s="10" t="s">
        <v>2692</v>
      </c>
      <c r="B1058" s="9">
        <v>3</v>
      </c>
      <c r="C1058" s="21">
        <v>4714781020558</v>
      </c>
      <c r="D1058" s="10" t="s">
        <v>1370</v>
      </c>
      <c r="E1058" s="9">
        <v>2</v>
      </c>
      <c r="F1058" s="9">
        <v>296</v>
      </c>
      <c r="G1058" s="8">
        <f>F1058/890</f>
        <v>0.33258426966292137</v>
      </c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spans="1:26" ht="15.75" customHeight="1">
      <c r="A1059" s="10"/>
      <c r="B1059" s="9"/>
      <c r="C1059" s="21">
        <v>4714781020503</v>
      </c>
      <c r="D1059" s="10" t="s">
        <v>1372</v>
      </c>
      <c r="E1059" s="9">
        <v>2</v>
      </c>
      <c r="F1059" s="9">
        <v>296</v>
      </c>
      <c r="G1059" s="8">
        <f>F1059/890</f>
        <v>0.33258426966292137</v>
      </c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spans="1:26" ht="15.75" customHeight="1">
      <c r="A1060" s="10"/>
      <c r="B1060" s="9"/>
      <c r="C1060" s="21">
        <v>4714781020466</v>
      </c>
      <c r="D1060" s="10" t="s">
        <v>1374</v>
      </c>
      <c r="E1060" s="9">
        <v>2</v>
      </c>
      <c r="F1060" s="9">
        <v>298</v>
      </c>
      <c r="G1060" s="8">
        <f>F1060/890</f>
        <v>0.33483146067415731</v>
      </c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5.75" customHeight="1">
      <c r="A1061" s="10" t="s">
        <v>2691</v>
      </c>
      <c r="B1061" s="9">
        <v>1</v>
      </c>
      <c r="C1061" s="21">
        <v>4714781020558</v>
      </c>
      <c r="D1061" s="10" t="s">
        <v>1370</v>
      </c>
      <c r="E1061" s="9">
        <v>6</v>
      </c>
      <c r="F1061" s="9">
        <v>890</v>
      </c>
      <c r="G1061" s="8">
        <f>F1061/890</f>
        <v>1</v>
      </c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5.75" customHeight="1">
      <c r="A1062" s="10" t="s">
        <v>2690</v>
      </c>
      <c r="B1062" s="9">
        <v>1</v>
      </c>
      <c r="C1062" s="21">
        <v>4714781020503</v>
      </c>
      <c r="D1062" s="10" t="s">
        <v>1372</v>
      </c>
      <c r="E1062" s="9">
        <v>6</v>
      </c>
      <c r="F1062" s="9">
        <v>890</v>
      </c>
      <c r="G1062" s="8">
        <f>F1062/890</f>
        <v>1</v>
      </c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5.75" customHeight="1">
      <c r="A1063" s="10" t="s">
        <v>2689</v>
      </c>
      <c r="B1063" s="9">
        <v>1</v>
      </c>
      <c r="C1063" s="21">
        <v>4714781020466</v>
      </c>
      <c r="D1063" s="10" t="s">
        <v>1374</v>
      </c>
      <c r="E1063" s="9">
        <v>6</v>
      </c>
      <c r="F1063" s="9">
        <v>890</v>
      </c>
      <c r="G1063" s="8">
        <f>F1063/890</f>
        <v>1</v>
      </c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15.75" customHeight="1">
      <c r="A1064" s="10" t="s">
        <v>2688</v>
      </c>
      <c r="B1064" s="9">
        <v>2</v>
      </c>
      <c r="C1064" s="21">
        <v>4714781020503</v>
      </c>
      <c r="D1064" s="10" t="s">
        <v>1372</v>
      </c>
      <c r="E1064" s="9">
        <v>3</v>
      </c>
      <c r="F1064" s="9">
        <v>445</v>
      </c>
      <c r="G1064" s="8">
        <f>F1064/890</f>
        <v>0.5</v>
      </c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5.75" customHeight="1">
      <c r="A1065" s="10"/>
      <c r="B1065" s="9"/>
      <c r="C1065" s="21">
        <v>4714781020466</v>
      </c>
      <c r="D1065" s="10" t="s">
        <v>1374</v>
      </c>
      <c r="E1065" s="9">
        <v>3</v>
      </c>
      <c r="F1065" s="9">
        <v>445</v>
      </c>
      <c r="G1065" s="8">
        <f>F1065/890</f>
        <v>0.5</v>
      </c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5.75" customHeight="1">
      <c r="A1066" s="10" t="s">
        <v>2687</v>
      </c>
      <c r="B1066" s="9">
        <v>2</v>
      </c>
      <c r="C1066" s="21">
        <v>4714781020503</v>
      </c>
      <c r="D1066" s="10" t="s">
        <v>1372</v>
      </c>
      <c r="E1066" s="9">
        <v>3</v>
      </c>
      <c r="F1066" s="9">
        <v>445</v>
      </c>
      <c r="G1066" s="8">
        <f>F1066/890</f>
        <v>0.5</v>
      </c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5.75" customHeight="1">
      <c r="A1067" s="10"/>
      <c r="B1067" s="9"/>
      <c r="C1067" s="21">
        <v>4714781020558</v>
      </c>
      <c r="D1067" s="10" t="s">
        <v>1370</v>
      </c>
      <c r="E1067" s="9">
        <v>3</v>
      </c>
      <c r="F1067" s="9">
        <v>445</v>
      </c>
      <c r="G1067" s="8">
        <f>F1067/890</f>
        <v>0.5</v>
      </c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spans="1:26" ht="15.75" customHeight="1">
      <c r="A1068" s="10" t="s">
        <v>2686</v>
      </c>
      <c r="B1068" s="9">
        <v>2</v>
      </c>
      <c r="C1068" s="21">
        <v>4714781020466</v>
      </c>
      <c r="D1068" s="10" t="s">
        <v>1374</v>
      </c>
      <c r="E1068" s="9">
        <v>3</v>
      </c>
      <c r="F1068" s="9">
        <v>445</v>
      </c>
      <c r="G1068" s="8">
        <f>F1068/890</f>
        <v>0.5</v>
      </c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5.75" customHeight="1">
      <c r="A1069" s="10"/>
      <c r="B1069" s="9"/>
      <c r="C1069" s="21">
        <v>4714781020558</v>
      </c>
      <c r="D1069" s="10" t="s">
        <v>1370</v>
      </c>
      <c r="E1069" s="9">
        <v>3</v>
      </c>
      <c r="F1069" s="9">
        <v>445</v>
      </c>
      <c r="G1069" s="8">
        <f>F1069/890</f>
        <v>0.5</v>
      </c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5.75" customHeight="1">
      <c r="A1070" s="10" t="s">
        <v>2685</v>
      </c>
      <c r="B1070" s="9">
        <v>3</v>
      </c>
      <c r="C1070" s="6">
        <v>4714781021609</v>
      </c>
      <c r="D1070" s="12" t="s">
        <v>1454</v>
      </c>
      <c r="E1070" s="9">
        <v>2</v>
      </c>
      <c r="F1070" s="9">
        <v>260</v>
      </c>
      <c r="G1070" s="8">
        <f>F1070/780</f>
        <v>0.33333333333333331</v>
      </c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5.75" customHeight="1">
      <c r="A1071" s="10"/>
      <c r="B1071" s="12"/>
      <c r="C1071" s="23">
        <v>4714781021012</v>
      </c>
      <c r="D1071" s="12" t="s">
        <v>1703</v>
      </c>
      <c r="E1071" s="9">
        <v>2</v>
      </c>
      <c r="F1071" s="9">
        <v>260</v>
      </c>
      <c r="G1071" s="8">
        <f>F1071/780</f>
        <v>0.33333333333333331</v>
      </c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5.75" customHeight="1">
      <c r="A1072" s="10"/>
      <c r="B1072" s="12"/>
      <c r="C1072" s="23">
        <v>4714781021029</v>
      </c>
      <c r="D1072" s="12" t="s">
        <v>1452</v>
      </c>
      <c r="E1072" s="9">
        <v>2</v>
      </c>
      <c r="F1072" s="9">
        <v>260</v>
      </c>
      <c r="G1072" s="8">
        <f>F1072/780</f>
        <v>0.33333333333333331</v>
      </c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5.75" customHeight="1">
      <c r="A1073" s="10" t="s">
        <v>2684</v>
      </c>
      <c r="B1073" s="9">
        <v>1</v>
      </c>
      <c r="C1073" s="6">
        <v>4714781021609</v>
      </c>
      <c r="D1073" s="12" t="s">
        <v>1454</v>
      </c>
      <c r="E1073" s="9">
        <v>6</v>
      </c>
      <c r="F1073" s="9">
        <v>780</v>
      </c>
      <c r="G1073" s="8">
        <f>F1073/780</f>
        <v>1</v>
      </c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5.75" customHeight="1">
      <c r="A1074" s="10" t="s">
        <v>2683</v>
      </c>
      <c r="B1074" s="9">
        <v>1</v>
      </c>
      <c r="C1074" s="23">
        <v>4714781021012</v>
      </c>
      <c r="D1074" s="12" t="s">
        <v>1703</v>
      </c>
      <c r="E1074" s="9">
        <v>6</v>
      </c>
      <c r="F1074" s="9">
        <v>780</v>
      </c>
      <c r="G1074" s="8">
        <f>F1074/780</f>
        <v>1</v>
      </c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5.75" customHeight="1">
      <c r="A1075" s="10" t="s">
        <v>2682</v>
      </c>
      <c r="B1075" s="9">
        <v>1</v>
      </c>
      <c r="C1075" s="23">
        <v>4714781021029</v>
      </c>
      <c r="D1075" s="12" t="s">
        <v>1452</v>
      </c>
      <c r="E1075" s="9">
        <v>6</v>
      </c>
      <c r="F1075" s="9">
        <v>780</v>
      </c>
      <c r="G1075" s="8">
        <f>F1075/780</f>
        <v>1</v>
      </c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5.75" customHeight="1">
      <c r="A1076" s="10" t="s">
        <v>2681</v>
      </c>
      <c r="B1076" s="9">
        <v>2</v>
      </c>
      <c r="C1076" s="23">
        <v>4714781021029</v>
      </c>
      <c r="D1076" s="12" t="s">
        <v>1452</v>
      </c>
      <c r="E1076" s="9">
        <v>3</v>
      </c>
      <c r="F1076" s="9">
        <v>390</v>
      </c>
      <c r="G1076" s="8">
        <f>F1076/780</f>
        <v>0.5</v>
      </c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5.75" customHeight="1">
      <c r="A1077" s="10"/>
      <c r="B1077" s="12"/>
      <c r="C1077" s="23">
        <v>4714781021012</v>
      </c>
      <c r="D1077" s="12" t="s">
        <v>1703</v>
      </c>
      <c r="E1077" s="9">
        <v>3</v>
      </c>
      <c r="F1077" s="9">
        <v>390</v>
      </c>
      <c r="G1077" s="8">
        <f>F1077/780</f>
        <v>0.5</v>
      </c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5.75" customHeight="1">
      <c r="A1078" s="10" t="s">
        <v>2680</v>
      </c>
      <c r="B1078" s="9">
        <v>2</v>
      </c>
      <c r="C1078" s="23">
        <v>4714781021029</v>
      </c>
      <c r="D1078" s="12" t="s">
        <v>1452</v>
      </c>
      <c r="E1078" s="9">
        <v>3</v>
      </c>
      <c r="F1078" s="9">
        <v>390</v>
      </c>
      <c r="G1078" s="8">
        <f>F1078/780</f>
        <v>0.5</v>
      </c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spans="1:26" ht="15.75" customHeight="1">
      <c r="A1079" s="10"/>
      <c r="B1079" s="12"/>
      <c r="C1079" s="6">
        <v>4714781021609</v>
      </c>
      <c r="D1079" s="12" t="s">
        <v>1454</v>
      </c>
      <c r="E1079" s="9">
        <v>3</v>
      </c>
      <c r="F1079" s="9">
        <v>390</v>
      </c>
      <c r="G1079" s="8">
        <f>F1079/780</f>
        <v>0.5</v>
      </c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5.75" customHeight="1">
      <c r="A1080" s="10" t="s">
        <v>2679</v>
      </c>
      <c r="B1080" s="9">
        <v>2</v>
      </c>
      <c r="C1080" s="23">
        <v>4714781021012</v>
      </c>
      <c r="D1080" s="12" t="s">
        <v>1703</v>
      </c>
      <c r="E1080" s="9">
        <v>3</v>
      </c>
      <c r="F1080" s="9">
        <v>390</v>
      </c>
      <c r="G1080" s="8">
        <f>F1080/780</f>
        <v>0.5</v>
      </c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spans="1:26" ht="15.75" customHeight="1">
      <c r="A1081" s="10"/>
      <c r="B1081" s="12"/>
      <c r="C1081" s="6">
        <v>4714781021609</v>
      </c>
      <c r="D1081" s="12" t="s">
        <v>1454</v>
      </c>
      <c r="E1081" s="9">
        <v>3</v>
      </c>
      <c r="F1081" s="9">
        <v>390</v>
      </c>
      <c r="G1081" s="8">
        <f>F1081/780</f>
        <v>0.5</v>
      </c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5.75" customHeight="1">
      <c r="A1082" s="10" t="s">
        <v>2678</v>
      </c>
      <c r="B1082" s="9">
        <v>6</v>
      </c>
      <c r="C1082" s="23">
        <v>4714781021029</v>
      </c>
      <c r="D1082" s="12" t="s">
        <v>1452</v>
      </c>
      <c r="E1082" s="9">
        <v>1</v>
      </c>
      <c r="F1082" s="9">
        <v>133</v>
      </c>
      <c r="G1082" s="8">
        <f>F1082/820</f>
        <v>0.16219512195121952</v>
      </c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5.75" customHeight="1">
      <c r="A1083" s="10"/>
      <c r="B1083" s="12"/>
      <c r="C1083" s="23">
        <v>4714781021012</v>
      </c>
      <c r="D1083" s="12" t="s">
        <v>1703</v>
      </c>
      <c r="E1083" s="9">
        <v>1</v>
      </c>
      <c r="F1083" s="9">
        <v>133</v>
      </c>
      <c r="G1083" s="8">
        <f>F1083/820</f>
        <v>0.16219512195121952</v>
      </c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5.75" customHeight="1">
      <c r="A1084" s="10"/>
      <c r="B1084" s="12"/>
      <c r="C1084" s="6">
        <v>4714781021609</v>
      </c>
      <c r="D1084" s="12" t="s">
        <v>1454</v>
      </c>
      <c r="E1084" s="9">
        <v>1</v>
      </c>
      <c r="F1084" s="9">
        <v>134</v>
      </c>
      <c r="G1084" s="8">
        <f>F1084/820</f>
        <v>0.16341463414634147</v>
      </c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5.75" customHeight="1">
      <c r="A1085" s="10"/>
      <c r="B1085" s="12"/>
      <c r="C1085" s="21">
        <v>4714781020466</v>
      </c>
      <c r="D1085" s="12" t="s">
        <v>1374</v>
      </c>
      <c r="E1085" s="9">
        <v>1</v>
      </c>
      <c r="F1085" s="9">
        <v>140</v>
      </c>
      <c r="G1085" s="8">
        <f>F1085/820</f>
        <v>0.17073170731707318</v>
      </c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5.75" customHeight="1">
      <c r="A1086" s="10"/>
      <c r="B1086" s="12"/>
      <c r="C1086" s="21">
        <v>4714781020503</v>
      </c>
      <c r="D1086" s="12" t="s">
        <v>1372</v>
      </c>
      <c r="E1086" s="9">
        <v>1</v>
      </c>
      <c r="F1086" s="9">
        <v>140</v>
      </c>
      <c r="G1086" s="8">
        <f>F1086/820</f>
        <v>0.17073170731707318</v>
      </c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5.75" customHeight="1">
      <c r="A1087" s="10"/>
      <c r="B1087" s="12"/>
      <c r="C1087" s="21">
        <v>4714781020558</v>
      </c>
      <c r="D1087" s="12" t="s">
        <v>1370</v>
      </c>
      <c r="E1087" s="9">
        <v>1</v>
      </c>
      <c r="F1087" s="9">
        <v>140</v>
      </c>
      <c r="G1087" s="8">
        <f>F1087/820</f>
        <v>0.17073170731707318</v>
      </c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5.75" customHeight="1">
      <c r="A1088" s="10" t="s">
        <v>2677</v>
      </c>
      <c r="B1088" s="9">
        <v>2</v>
      </c>
      <c r="C1088" s="23">
        <v>4714781021029</v>
      </c>
      <c r="D1088" s="12" t="s">
        <v>1452</v>
      </c>
      <c r="E1088" s="9">
        <v>3</v>
      </c>
      <c r="F1088" s="9">
        <v>400</v>
      </c>
      <c r="G1088" s="8">
        <f>F1088/820</f>
        <v>0.48780487804878048</v>
      </c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5.75" customHeight="1">
      <c r="A1089" s="10"/>
      <c r="B1089" s="12"/>
      <c r="C1089" s="21">
        <v>4714781020558</v>
      </c>
      <c r="D1089" s="12" t="s">
        <v>1370</v>
      </c>
      <c r="E1089" s="9">
        <v>3</v>
      </c>
      <c r="F1089" s="9">
        <v>420</v>
      </c>
      <c r="G1089" s="8">
        <f>F1089/820</f>
        <v>0.51219512195121952</v>
      </c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5.75" customHeight="1">
      <c r="A1090" s="10" t="s">
        <v>2676</v>
      </c>
      <c r="B1090" s="9">
        <v>2</v>
      </c>
      <c r="C1090" s="23">
        <v>4714781021029</v>
      </c>
      <c r="D1090" s="12" t="s">
        <v>1452</v>
      </c>
      <c r="E1090" s="9">
        <v>3</v>
      </c>
      <c r="F1090" s="9">
        <v>400</v>
      </c>
      <c r="G1090" s="8">
        <f>F1090/820</f>
        <v>0.48780487804878048</v>
      </c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5.75" customHeight="1">
      <c r="A1091" s="10"/>
      <c r="B1091" s="12"/>
      <c r="C1091" s="21">
        <v>4714781020466</v>
      </c>
      <c r="D1091" s="12" t="s">
        <v>1374</v>
      </c>
      <c r="E1091" s="9">
        <v>3</v>
      </c>
      <c r="F1091" s="9">
        <v>420</v>
      </c>
      <c r="G1091" s="8">
        <f>F1091/820</f>
        <v>0.51219512195121952</v>
      </c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spans="1:26" ht="15.75" customHeight="1">
      <c r="A1092" s="10" t="s">
        <v>2675</v>
      </c>
      <c r="B1092" s="9">
        <v>2</v>
      </c>
      <c r="C1092" s="23">
        <v>4714781021029</v>
      </c>
      <c r="D1092" s="12" t="s">
        <v>1452</v>
      </c>
      <c r="E1092" s="9">
        <v>3</v>
      </c>
      <c r="F1092" s="9">
        <v>400</v>
      </c>
      <c r="G1092" s="8">
        <f>F1092/820</f>
        <v>0.48780487804878048</v>
      </c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5.75" customHeight="1">
      <c r="A1093" s="10"/>
      <c r="B1093" s="12"/>
      <c r="C1093" s="21">
        <v>4714781020503</v>
      </c>
      <c r="D1093" s="12" t="s">
        <v>1372</v>
      </c>
      <c r="E1093" s="9">
        <v>3</v>
      </c>
      <c r="F1093" s="9">
        <v>420</v>
      </c>
      <c r="G1093" s="8">
        <f>F1093/820</f>
        <v>0.51219512195121952</v>
      </c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5.75" customHeight="1">
      <c r="A1094" s="10" t="s">
        <v>2674</v>
      </c>
      <c r="B1094" s="9">
        <v>2</v>
      </c>
      <c r="C1094" s="23">
        <v>4714781021012</v>
      </c>
      <c r="D1094" s="12" t="s">
        <v>1703</v>
      </c>
      <c r="E1094" s="9">
        <v>3</v>
      </c>
      <c r="F1094" s="9">
        <v>400</v>
      </c>
      <c r="G1094" s="8">
        <f>F1094/820</f>
        <v>0.48780487804878048</v>
      </c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5.75" customHeight="1">
      <c r="A1095" s="10"/>
      <c r="B1095" s="12"/>
      <c r="C1095" s="21">
        <v>4714781020558</v>
      </c>
      <c r="D1095" s="12" t="s">
        <v>1370</v>
      </c>
      <c r="E1095" s="9">
        <v>3</v>
      </c>
      <c r="F1095" s="9">
        <v>420</v>
      </c>
      <c r="G1095" s="8">
        <f>F1095/820</f>
        <v>0.51219512195121952</v>
      </c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5.75" customHeight="1">
      <c r="A1096" s="10" t="s">
        <v>2673</v>
      </c>
      <c r="B1096" s="9">
        <v>2</v>
      </c>
      <c r="C1096" s="23">
        <v>4714781021012</v>
      </c>
      <c r="D1096" s="12" t="s">
        <v>1703</v>
      </c>
      <c r="E1096" s="9">
        <v>3</v>
      </c>
      <c r="F1096" s="9">
        <v>400</v>
      </c>
      <c r="G1096" s="8">
        <f>F1096/820</f>
        <v>0.48780487804878048</v>
      </c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spans="1:26" ht="15.75" customHeight="1">
      <c r="A1097" s="10"/>
      <c r="B1097" s="12"/>
      <c r="C1097" s="21">
        <v>4714781020466</v>
      </c>
      <c r="D1097" s="12" t="s">
        <v>1374</v>
      </c>
      <c r="E1097" s="9">
        <v>3</v>
      </c>
      <c r="F1097" s="9">
        <v>420</v>
      </c>
      <c r="G1097" s="8">
        <f>F1097/820</f>
        <v>0.51219512195121952</v>
      </c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5.75" customHeight="1">
      <c r="A1098" s="10" t="s">
        <v>2672</v>
      </c>
      <c r="B1098" s="9">
        <v>2</v>
      </c>
      <c r="C1098" s="23">
        <v>4714781021012</v>
      </c>
      <c r="D1098" s="12" t="s">
        <v>1703</v>
      </c>
      <c r="E1098" s="9">
        <v>3</v>
      </c>
      <c r="F1098" s="9">
        <v>400</v>
      </c>
      <c r="G1098" s="8">
        <f>F1098/820</f>
        <v>0.48780487804878048</v>
      </c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spans="1:26" ht="15.75" customHeight="1">
      <c r="A1099" s="10"/>
      <c r="B1099" s="12"/>
      <c r="C1099" s="21">
        <v>4714781020503</v>
      </c>
      <c r="D1099" s="12" t="s">
        <v>1372</v>
      </c>
      <c r="E1099" s="9">
        <v>3</v>
      </c>
      <c r="F1099" s="9">
        <v>420</v>
      </c>
      <c r="G1099" s="8">
        <f>F1099/820</f>
        <v>0.51219512195121952</v>
      </c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spans="1:26" ht="15.75" customHeight="1">
      <c r="A1100" s="10" t="s">
        <v>2671</v>
      </c>
      <c r="B1100" s="9">
        <v>2</v>
      </c>
      <c r="C1100" s="6">
        <v>4714781021609</v>
      </c>
      <c r="D1100" s="12" t="s">
        <v>1454</v>
      </c>
      <c r="E1100" s="9">
        <v>3</v>
      </c>
      <c r="F1100" s="9">
        <v>400</v>
      </c>
      <c r="G1100" s="8">
        <f>F1100/820</f>
        <v>0.48780487804878048</v>
      </c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5.75" customHeight="1">
      <c r="A1101" s="10"/>
      <c r="B1101" s="12"/>
      <c r="C1101" s="21">
        <v>4714781020558</v>
      </c>
      <c r="D1101" s="12" t="s">
        <v>1370</v>
      </c>
      <c r="E1101" s="9">
        <v>3</v>
      </c>
      <c r="F1101" s="9">
        <v>420</v>
      </c>
      <c r="G1101" s="8">
        <f>F1101/820</f>
        <v>0.51219512195121952</v>
      </c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5.75" customHeight="1">
      <c r="A1102" s="10" t="s">
        <v>2670</v>
      </c>
      <c r="B1102" s="9">
        <v>2</v>
      </c>
      <c r="C1102" s="6">
        <v>4714781021609</v>
      </c>
      <c r="D1102" s="12" t="s">
        <v>1454</v>
      </c>
      <c r="E1102" s="9">
        <v>3</v>
      </c>
      <c r="F1102" s="9">
        <v>400</v>
      </c>
      <c r="G1102" s="8">
        <f>F1102/820</f>
        <v>0.48780487804878048</v>
      </c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5.75" customHeight="1">
      <c r="A1103" s="10"/>
      <c r="B1103" s="12"/>
      <c r="C1103" s="21">
        <v>4714781020466</v>
      </c>
      <c r="D1103" s="12" t="s">
        <v>1374</v>
      </c>
      <c r="E1103" s="9">
        <v>3</v>
      </c>
      <c r="F1103" s="9">
        <v>420</v>
      </c>
      <c r="G1103" s="8">
        <f>F1103/820</f>
        <v>0.51219512195121952</v>
      </c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5.75" customHeight="1">
      <c r="A1104" s="10" t="s">
        <v>2669</v>
      </c>
      <c r="B1104" s="9">
        <v>2</v>
      </c>
      <c r="C1104" s="6">
        <v>4714781021609</v>
      </c>
      <c r="D1104" s="12" t="s">
        <v>1454</v>
      </c>
      <c r="E1104" s="9">
        <v>3</v>
      </c>
      <c r="F1104" s="9">
        <v>400</v>
      </c>
      <c r="G1104" s="8">
        <f>F1104/820</f>
        <v>0.48780487804878048</v>
      </c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spans="1:26" ht="15.75" customHeight="1">
      <c r="A1105" s="10"/>
      <c r="B1105" s="9"/>
      <c r="C1105" s="21">
        <v>4714781020503</v>
      </c>
      <c r="D1105" s="12" t="s">
        <v>1372</v>
      </c>
      <c r="E1105" s="9">
        <v>3</v>
      </c>
      <c r="F1105" s="9">
        <v>420</v>
      </c>
      <c r="G1105" s="8">
        <f>F1105/820</f>
        <v>0.51219512195121952</v>
      </c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5.75" customHeight="1">
      <c r="A1106" s="10" t="s">
        <v>2668</v>
      </c>
      <c r="B1106" s="9">
        <v>2</v>
      </c>
      <c r="C1106" s="23">
        <v>4714781021777</v>
      </c>
      <c r="D1106" s="12" t="s">
        <v>1522</v>
      </c>
      <c r="E1106" s="9">
        <v>2</v>
      </c>
      <c r="F1106" s="9">
        <v>750</v>
      </c>
      <c r="G1106" s="8">
        <f>F1106/1320</f>
        <v>0.56818181818181823</v>
      </c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spans="1:26" ht="15.75" customHeight="1">
      <c r="A1107" s="10"/>
      <c r="B1107" s="9"/>
      <c r="C1107" s="23" t="s">
        <v>1510</v>
      </c>
      <c r="D1107" s="12" t="s">
        <v>2190</v>
      </c>
      <c r="E1107" s="9">
        <v>2</v>
      </c>
      <c r="F1107" s="9">
        <v>570</v>
      </c>
      <c r="G1107" s="8">
        <f>F1107/1320</f>
        <v>0.43181818181818182</v>
      </c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5.75" customHeight="1">
      <c r="A1108" s="10" t="s">
        <v>2667</v>
      </c>
      <c r="B1108" s="9">
        <v>2</v>
      </c>
      <c r="C1108" s="23">
        <v>4714781021777</v>
      </c>
      <c r="D1108" s="12" t="s">
        <v>1522</v>
      </c>
      <c r="E1108" s="9">
        <v>2</v>
      </c>
      <c r="F1108" s="9">
        <v>750</v>
      </c>
      <c r="G1108" s="8">
        <f>F1108/1320</f>
        <v>0.56818181818181823</v>
      </c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5.75" customHeight="1">
      <c r="A1109" s="10"/>
      <c r="B1109" s="9"/>
      <c r="C1109" s="23" t="s">
        <v>1506</v>
      </c>
      <c r="D1109" s="12" t="s">
        <v>2188</v>
      </c>
      <c r="E1109" s="9">
        <v>2</v>
      </c>
      <c r="F1109" s="9">
        <v>570</v>
      </c>
      <c r="G1109" s="8">
        <f>F1109/1320</f>
        <v>0.43181818181818182</v>
      </c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5.75" customHeight="1">
      <c r="A1110" s="10" t="s">
        <v>2666</v>
      </c>
      <c r="B1110" s="9">
        <v>2</v>
      </c>
      <c r="C1110" s="23">
        <v>4714781021777</v>
      </c>
      <c r="D1110" s="12" t="s">
        <v>1522</v>
      </c>
      <c r="E1110" s="9">
        <v>2</v>
      </c>
      <c r="F1110" s="9">
        <v>750</v>
      </c>
      <c r="G1110" s="8">
        <f>F1110/1320</f>
        <v>0.56818181818181823</v>
      </c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5.75" customHeight="1">
      <c r="A1111" s="10"/>
      <c r="B1111" s="9"/>
      <c r="C1111" s="23" t="s">
        <v>1508</v>
      </c>
      <c r="D1111" s="12" t="s">
        <v>2186</v>
      </c>
      <c r="E1111" s="9">
        <v>2</v>
      </c>
      <c r="F1111" s="9">
        <v>570</v>
      </c>
      <c r="G1111" s="8">
        <f>F1111/1320</f>
        <v>0.43181818181818182</v>
      </c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5.75" customHeight="1">
      <c r="A1112" s="10" t="s">
        <v>2665</v>
      </c>
      <c r="B1112" s="9">
        <v>2</v>
      </c>
      <c r="C1112" s="23">
        <v>4714781021777</v>
      </c>
      <c r="D1112" s="12" t="s">
        <v>1522</v>
      </c>
      <c r="E1112" s="9">
        <v>2</v>
      </c>
      <c r="F1112" s="9">
        <v>750</v>
      </c>
      <c r="G1112" s="8">
        <f>F1112/1320</f>
        <v>0.56818181818181823</v>
      </c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5.75" customHeight="1">
      <c r="A1113" s="10"/>
      <c r="B1113" s="9"/>
      <c r="C1113" s="23" t="s">
        <v>1531</v>
      </c>
      <c r="D1113" s="12" t="s">
        <v>2194</v>
      </c>
      <c r="E1113" s="9">
        <v>2</v>
      </c>
      <c r="F1113" s="9">
        <v>570</v>
      </c>
      <c r="G1113" s="8">
        <f>F1113/1320</f>
        <v>0.43181818181818182</v>
      </c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5.75" customHeight="1">
      <c r="A1114" s="10" t="s">
        <v>2664</v>
      </c>
      <c r="B1114" s="9">
        <v>3</v>
      </c>
      <c r="C1114" s="23">
        <v>4714781021777</v>
      </c>
      <c r="D1114" s="12" t="s">
        <v>1522</v>
      </c>
      <c r="E1114" s="9">
        <v>2</v>
      </c>
      <c r="F1114" s="9">
        <v>750</v>
      </c>
      <c r="G1114" s="8">
        <f>F1114/1320</f>
        <v>0.56818181818181823</v>
      </c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5.75" customHeight="1">
      <c r="A1115" s="10"/>
      <c r="B1115" s="9"/>
      <c r="C1115" s="23" t="s">
        <v>1510</v>
      </c>
      <c r="D1115" s="12" t="s">
        <v>2190</v>
      </c>
      <c r="E1115" s="9">
        <v>1</v>
      </c>
      <c r="F1115" s="9">
        <v>285</v>
      </c>
      <c r="G1115" s="8">
        <f>F1115/1320</f>
        <v>0.21590909090909091</v>
      </c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5.75" customHeight="1">
      <c r="A1116" s="10"/>
      <c r="B1116" s="9"/>
      <c r="C1116" s="23" t="s">
        <v>1531</v>
      </c>
      <c r="D1116" s="12" t="s">
        <v>2194</v>
      </c>
      <c r="E1116" s="9">
        <v>1</v>
      </c>
      <c r="F1116" s="9">
        <v>285</v>
      </c>
      <c r="G1116" s="8">
        <f>F1116/1320</f>
        <v>0.21590909090909091</v>
      </c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5.75" customHeight="1">
      <c r="A1117" s="10" t="s">
        <v>2663</v>
      </c>
      <c r="B1117" s="9">
        <v>3</v>
      </c>
      <c r="C1117" s="23">
        <v>4714781021777</v>
      </c>
      <c r="D1117" s="12" t="s">
        <v>1522</v>
      </c>
      <c r="E1117" s="9">
        <v>2</v>
      </c>
      <c r="F1117" s="9">
        <v>750</v>
      </c>
      <c r="G1117" s="8">
        <f>F1117/1320</f>
        <v>0.56818181818181823</v>
      </c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spans="1:26" ht="15.75" customHeight="1">
      <c r="A1118" s="10"/>
      <c r="B1118" s="9"/>
      <c r="C1118" s="23" t="s">
        <v>1531</v>
      </c>
      <c r="D1118" s="12" t="s">
        <v>2194</v>
      </c>
      <c r="E1118" s="9">
        <v>1</v>
      </c>
      <c r="F1118" s="9">
        <v>285</v>
      </c>
      <c r="G1118" s="8">
        <f>F1118/1320</f>
        <v>0.21590909090909091</v>
      </c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5.75" customHeight="1">
      <c r="A1119" s="10"/>
      <c r="B1119" s="9"/>
      <c r="C1119" s="23" t="s">
        <v>1508</v>
      </c>
      <c r="D1119" s="12" t="s">
        <v>2186</v>
      </c>
      <c r="E1119" s="9">
        <v>1</v>
      </c>
      <c r="F1119" s="9">
        <v>285</v>
      </c>
      <c r="G1119" s="8">
        <f>F1119/1320</f>
        <v>0.21590909090909091</v>
      </c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spans="1:26" ht="15.75" customHeight="1">
      <c r="A1120" s="10" t="s">
        <v>2662</v>
      </c>
      <c r="B1120" s="9">
        <v>3</v>
      </c>
      <c r="C1120" s="23">
        <v>4714781021777</v>
      </c>
      <c r="D1120" s="12" t="s">
        <v>1522</v>
      </c>
      <c r="E1120" s="9">
        <v>2</v>
      </c>
      <c r="F1120" s="9">
        <v>750</v>
      </c>
      <c r="G1120" s="8">
        <f>F1120/1320</f>
        <v>0.56818181818181823</v>
      </c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5.75" customHeight="1">
      <c r="A1121" s="10"/>
      <c r="B1121" s="9"/>
      <c r="C1121" s="23" t="s">
        <v>1531</v>
      </c>
      <c r="D1121" s="12" t="s">
        <v>2194</v>
      </c>
      <c r="E1121" s="9">
        <v>1</v>
      </c>
      <c r="F1121" s="9">
        <v>285</v>
      </c>
      <c r="G1121" s="8">
        <f>F1121/1320</f>
        <v>0.21590909090909091</v>
      </c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spans="1:26" ht="15.75" customHeight="1">
      <c r="A1122" s="10"/>
      <c r="B1122" s="9"/>
      <c r="C1122" s="23" t="s">
        <v>1506</v>
      </c>
      <c r="D1122" s="12" t="s">
        <v>2188</v>
      </c>
      <c r="E1122" s="9">
        <v>1</v>
      </c>
      <c r="F1122" s="9">
        <v>285</v>
      </c>
      <c r="G1122" s="8">
        <f>F1122/1320</f>
        <v>0.21590909090909091</v>
      </c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spans="1:26" ht="15.75" customHeight="1">
      <c r="A1123" s="10" t="s">
        <v>2661</v>
      </c>
      <c r="B1123" s="9">
        <v>3</v>
      </c>
      <c r="C1123" s="23">
        <v>4714781021777</v>
      </c>
      <c r="D1123" s="12" t="s">
        <v>1522</v>
      </c>
      <c r="E1123" s="9">
        <v>2</v>
      </c>
      <c r="F1123" s="9">
        <v>750</v>
      </c>
      <c r="G1123" s="8">
        <f>F1123/1320</f>
        <v>0.56818181818181823</v>
      </c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spans="1:26" ht="15.75" customHeight="1">
      <c r="A1124" s="10"/>
      <c r="B1124" s="9"/>
      <c r="C1124" s="23" t="s">
        <v>1510</v>
      </c>
      <c r="D1124" s="12" t="s">
        <v>2190</v>
      </c>
      <c r="E1124" s="9">
        <v>1</v>
      </c>
      <c r="F1124" s="9">
        <v>285</v>
      </c>
      <c r="G1124" s="8">
        <f>F1124/1320</f>
        <v>0.21590909090909091</v>
      </c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5.75" customHeight="1">
      <c r="A1125" s="10"/>
      <c r="B1125" s="9"/>
      <c r="C1125" s="23" t="s">
        <v>1506</v>
      </c>
      <c r="D1125" s="12" t="s">
        <v>2188</v>
      </c>
      <c r="E1125" s="9">
        <v>1</v>
      </c>
      <c r="F1125" s="9">
        <v>285</v>
      </c>
      <c r="G1125" s="8">
        <f>F1125/1320</f>
        <v>0.21590909090909091</v>
      </c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5.75" customHeight="1">
      <c r="A1126" s="10" t="s">
        <v>2660</v>
      </c>
      <c r="B1126" s="9">
        <v>3</v>
      </c>
      <c r="C1126" s="23">
        <v>4714781021777</v>
      </c>
      <c r="D1126" s="12" t="s">
        <v>1522</v>
      </c>
      <c r="E1126" s="9">
        <v>2</v>
      </c>
      <c r="F1126" s="9">
        <v>750</v>
      </c>
      <c r="G1126" s="8">
        <f>F1126/1320</f>
        <v>0.56818181818181823</v>
      </c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spans="1:26" ht="15.75" customHeight="1">
      <c r="A1127" s="10"/>
      <c r="B1127" s="9"/>
      <c r="C1127" s="23" t="s">
        <v>1510</v>
      </c>
      <c r="D1127" s="12" t="s">
        <v>2190</v>
      </c>
      <c r="E1127" s="9">
        <v>1</v>
      </c>
      <c r="F1127" s="9">
        <v>285</v>
      </c>
      <c r="G1127" s="8">
        <f>F1127/1320</f>
        <v>0.21590909090909091</v>
      </c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spans="1:26" ht="15.75" customHeight="1">
      <c r="A1128" s="10"/>
      <c r="B1128" s="9"/>
      <c r="C1128" s="23" t="s">
        <v>1508</v>
      </c>
      <c r="D1128" s="12" t="s">
        <v>2186</v>
      </c>
      <c r="E1128" s="9">
        <v>1</v>
      </c>
      <c r="F1128" s="9">
        <v>285</v>
      </c>
      <c r="G1128" s="8">
        <f>F1128/1320</f>
        <v>0.21590909090909091</v>
      </c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spans="1:26" ht="15.75" customHeight="1">
      <c r="A1129" s="10" t="s">
        <v>2659</v>
      </c>
      <c r="B1129" s="9">
        <v>3</v>
      </c>
      <c r="C1129" s="23">
        <v>4714781021777</v>
      </c>
      <c r="D1129" s="12" t="s">
        <v>1522</v>
      </c>
      <c r="E1129" s="9">
        <v>2</v>
      </c>
      <c r="F1129" s="9">
        <v>750</v>
      </c>
      <c r="G1129" s="8">
        <f>F1129/1320</f>
        <v>0.56818181818181823</v>
      </c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spans="1:26" ht="15.75" customHeight="1">
      <c r="A1130" s="10"/>
      <c r="B1130" s="9"/>
      <c r="C1130" s="23" t="s">
        <v>1508</v>
      </c>
      <c r="D1130" s="12" t="s">
        <v>2186</v>
      </c>
      <c r="E1130" s="9">
        <v>1</v>
      </c>
      <c r="F1130" s="9">
        <v>285</v>
      </c>
      <c r="G1130" s="8">
        <f>F1130/1320</f>
        <v>0.21590909090909091</v>
      </c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spans="1:26" ht="15.75" customHeight="1">
      <c r="A1131" s="10"/>
      <c r="B1131" s="9"/>
      <c r="C1131" s="23" t="s">
        <v>1506</v>
      </c>
      <c r="D1131" s="12" t="s">
        <v>2188</v>
      </c>
      <c r="E1131" s="9">
        <v>1</v>
      </c>
      <c r="F1131" s="9">
        <v>285</v>
      </c>
      <c r="G1131" s="8">
        <f>F1131/1320</f>
        <v>0.21590909090909091</v>
      </c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spans="1:26" ht="15.75" customHeight="1">
      <c r="A1132" s="10" t="s">
        <v>2658</v>
      </c>
      <c r="B1132" s="9">
        <v>1</v>
      </c>
      <c r="C1132" s="21">
        <v>4714781020794</v>
      </c>
      <c r="D1132" s="10" t="s">
        <v>1320</v>
      </c>
      <c r="E1132" s="9">
        <v>2</v>
      </c>
      <c r="F1132" s="9">
        <v>230</v>
      </c>
      <c r="G1132" s="8">
        <f>F1132/230</f>
        <v>1</v>
      </c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spans="1:26" ht="15.75" customHeight="1">
      <c r="A1133" s="10" t="s">
        <v>2657</v>
      </c>
      <c r="B1133" s="9">
        <v>1</v>
      </c>
      <c r="C1133" s="21">
        <v>4714781020800</v>
      </c>
      <c r="D1133" s="10" t="s">
        <v>1319</v>
      </c>
      <c r="E1133" s="9">
        <v>2</v>
      </c>
      <c r="F1133" s="9">
        <v>230</v>
      </c>
      <c r="G1133" s="8">
        <f>F1133/230</f>
        <v>1</v>
      </c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spans="1:26" ht="15.75" customHeight="1">
      <c r="A1134" s="10" t="s">
        <v>2656</v>
      </c>
      <c r="B1134" s="9">
        <v>1</v>
      </c>
      <c r="C1134" s="21">
        <v>4714781020817</v>
      </c>
      <c r="D1134" s="10" t="s">
        <v>1317</v>
      </c>
      <c r="E1134" s="9">
        <v>2</v>
      </c>
      <c r="F1134" s="9">
        <v>230</v>
      </c>
      <c r="G1134" s="8">
        <f>F1134/230</f>
        <v>1</v>
      </c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26" ht="15.75" customHeight="1">
      <c r="A1135" s="10" t="s">
        <v>2655</v>
      </c>
      <c r="B1135" s="9">
        <v>2</v>
      </c>
      <c r="C1135" s="21">
        <v>4714781020794</v>
      </c>
      <c r="D1135" s="10" t="s">
        <v>1320</v>
      </c>
      <c r="E1135" s="9">
        <v>1</v>
      </c>
      <c r="F1135" s="9">
        <v>115</v>
      </c>
      <c r="G1135" s="8">
        <f>F1135/230</f>
        <v>0.5</v>
      </c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ht="15.75" customHeight="1">
      <c r="A1136" s="10"/>
      <c r="B1136" s="10"/>
      <c r="C1136" s="21">
        <v>4714781020800</v>
      </c>
      <c r="D1136" s="10" t="s">
        <v>1319</v>
      </c>
      <c r="E1136" s="9">
        <v>1</v>
      </c>
      <c r="F1136" s="9">
        <v>115</v>
      </c>
      <c r="G1136" s="8">
        <f>F1136/230</f>
        <v>0.5</v>
      </c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spans="1:26" ht="15.75" customHeight="1">
      <c r="A1137" s="10" t="s">
        <v>2654</v>
      </c>
      <c r="B1137" s="9">
        <v>2</v>
      </c>
      <c r="C1137" s="21">
        <v>4714781020794</v>
      </c>
      <c r="D1137" s="10" t="s">
        <v>1320</v>
      </c>
      <c r="E1137" s="9">
        <v>1</v>
      </c>
      <c r="F1137" s="9">
        <v>115</v>
      </c>
      <c r="G1137" s="8">
        <f>F1137/230</f>
        <v>0.5</v>
      </c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spans="1:26" ht="15.75" customHeight="1">
      <c r="A1138" s="10"/>
      <c r="B1138" s="10"/>
      <c r="C1138" s="21">
        <v>4714781020817</v>
      </c>
      <c r="D1138" s="10" t="s">
        <v>1317</v>
      </c>
      <c r="E1138" s="9">
        <v>1</v>
      </c>
      <c r="F1138" s="9">
        <v>115</v>
      </c>
      <c r="G1138" s="8">
        <f>F1138/230</f>
        <v>0.5</v>
      </c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spans="1:26" ht="15.75" customHeight="1">
      <c r="A1139" s="10" t="s">
        <v>2653</v>
      </c>
      <c r="B1139" s="9">
        <v>2</v>
      </c>
      <c r="C1139" s="21">
        <v>4714781020800</v>
      </c>
      <c r="D1139" s="10" t="s">
        <v>1319</v>
      </c>
      <c r="E1139" s="9">
        <v>1</v>
      </c>
      <c r="F1139" s="9">
        <v>115</v>
      </c>
      <c r="G1139" s="8">
        <f>F1139/230</f>
        <v>0.5</v>
      </c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spans="1:26" ht="15.75" customHeight="1">
      <c r="A1140" s="10"/>
      <c r="B1140" s="10"/>
      <c r="C1140" s="21">
        <v>4714781020817</v>
      </c>
      <c r="D1140" s="10" t="s">
        <v>1317</v>
      </c>
      <c r="E1140" s="9">
        <v>1</v>
      </c>
      <c r="F1140" s="9">
        <v>115</v>
      </c>
      <c r="G1140" s="8">
        <f>F1140/230</f>
        <v>0.5</v>
      </c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ht="15.75" customHeight="1">
      <c r="A1141" s="10" t="s">
        <v>2652</v>
      </c>
      <c r="B1141" s="9">
        <v>1</v>
      </c>
      <c r="C1141" s="21">
        <v>4714781020770</v>
      </c>
      <c r="D1141" s="10" t="s">
        <v>1380</v>
      </c>
      <c r="E1141" s="9">
        <v>2</v>
      </c>
      <c r="F1141" s="9">
        <v>270</v>
      </c>
      <c r="G1141" s="8">
        <f>F1141/270</f>
        <v>1</v>
      </c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ht="15.75" customHeight="1">
      <c r="A1142" s="10" t="s">
        <v>2651</v>
      </c>
      <c r="B1142" s="9">
        <v>1</v>
      </c>
      <c r="C1142" s="21">
        <v>4714781020787</v>
      </c>
      <c r="D1142" s="10" t="s">
        <v>1378</v>
      </c>
      <c r="E1142" s="9">
        <v>2</v>
      </c>
      <c r="F1142" s="9">
        <v>270</v>
      </c>
      <c r="G1142" s="8">
        <f>F1142/270</f>
        <v>1</v>
      </c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spans="1:26" ht="15.75" customHeight="1">
      <c r="A1143" s="10" t="s">
        <v>2650</v>
      </c>
      <c r="B1143" s="9">
        <v>2</v>
      </c>
      <c r="C1143" s="21">
        <v>4714781020770</v>
      </c>
      <c r="D1143" s="10" t="s">
        <v>1380</v>
      </c>
      <c r="E1143" s="9">
        <v>1</v>
      </c>
      <c r="F1143" s="9">
        <v>135</v>
      </c>
      <c r="G1143" s="8">
        <f>F1143/270</f>
        <v>0.5</v>
      </c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spans="1:26" ht="15.75" customHeight="1">
      <c r="A1144" s="10"/>
      <c r="B1144" s="10"/>
      <c r="C1144" s="21">
        <v>4714781020787</v>
      </c>
      <c r="D1144" s="10" t="s">
        <v>1378</v>
      </c>
      <c r="E1144" s="9">
        <v>1</v>
      </c>
      <c r="F1144" s="9">
        <v>135</v>
      </c>
      <c r="G1144" s="8">
        <f>F1144/270</f>
        <v>0.5</v>
      </c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spans="1:26" ht="15.75" customHeight="1">
      <c r="A1145" s="10" t="s">
        <v>2649</v>
      </c>
      <c r="B1145" s="9">
        <v>1</v>
      </c>
      <c r="C1145" s="21">
        <v>4714781020848</v>
      </c>
      <c r="D1145" s="10" t="s">
        <v>1382</v>
      </c>
      <c r="E1145" s="9">
        <v>2</v>
      </c>
      <c r="F1145" s="9">
        <v>650</v>
      </c>
      <c r="G1145" s="8">
        <f>F1145/650</f>
        <v>1</v>
      </c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spans="1:26" ht="15.75" customHeight="1">
      <c r="A1146" s="10" t="s">
        <v>2648</v>
      </c>
      <c r="B1146" s="9">
        <v>1</v>
      </c>
      <c r="C1146" s="21" t="s">
        <v>1596</v>
      </c>
      <c r="D1146" s="10" t="s">
        <v>1384</v>
      </c>
      <c r="E1146" s="9">
        <v>2</v>
      </c>
      <c r="F1146" s="9">
        <v>650</v>
      </c>
      <c r="G1146" s="8">
        <f>F1146/650</f>
        <v>1</v>
      </c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spans="1:26" ht="15.75" customHeight="1">
      <c r="A1147" s="10" t="s">
        <v>2647</v>
      </c>
      <c r="B1147" s="9">
        <v>2</v>
      </c>
      <c r="C1147" s="21">
        <v>4714781020848</v>
      </c>
      <c r="D1147" s="10" t="s">
        <v>1382</v>
      </c>
      <c r="E1147" s="9">
        <v>1</v>
      </c>
      <c r="F1147" s="9">
        <v>325</v>
      </c>
      <c r="G1147" s="8">
        <f>F1147/650</f>
        <v>0.5</v>
      </c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spans="1:26" ht="15.75" customHeight="1">
      <c r="A1148" s="10"/>
      <c r="B1148" s="10"/>
      <c r="C1148" s="21" t="s">
        <v>1596</v>
      </c>
      <c r="D1148" s="10" t="s">
        <v>1384</v>
      </c>
      <c r="E1148" s="9">
        <v>1</v>
      </c>
      <c r="F1148" s="9">
        <v>325</v>
      </c>
      <c r="G1148" s="8">
        <f>F1148/650</f>
        <v>0.5</v>
      </c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spans="1:26" ht="15.75" customHeight="1">
      <c r="A1149" s="10" t="s">
        <v>2646</v>
      </c>
      <c r="B1149" s="9">
        <v>1</v>
      </c>
      <c r="C1149" s="21">
        <v>4714781020824</v>
      </c>
      <c r="D1149" s="10" t="s">
        <v>1391</v>
      </c>
      <c r="E1149" s="9">
        <v>2</v>
      </c>
      <c r="F1149" s="9">
        <v>650</v>
      </c>
      <c r="G1149" s="8">
        <f>F1149/650</f>
        <v>1</v>
      </c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spans="1:26" ht="15.75" customHeight="1">
      <c r="A1150" s="10" t="s">
        <v>2645</v>
      </c>
      <c r="B1150" s="9">
        <v>1</v>
      </c>
      <c r="C1150" s="21">
        <v>4714781020831</v>
      </c>
      <c r="D1150" s="10" t="s">
        <v>1389</v>
      </c>
      <c r="E1150" s="9">
        <v>2</v>
      </c>
      <c r="F1150" s="9">
        <v>650</v>
      </c>
      <c r="G1150" s="8">
        <f>F1150/650</f>
        <v>1</v>
      </c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spans="1:26" ht="15.75" customHeight="1">
      <c r="A1151" s="10" t="s">
        <v>2644</v>
      </c>
      <c r="B1151" s="9">
        <v>2</v>
      </c>
      <c r="C1151" s="21">
        <v>4714781020824</v>
      </c>
      <c r="D1151" s="10" t="s">
        <v>1391</v>
      </c>
      <c r="E1151" s="9">
        <v>1</v>
      </c>
      <c r="F1151" s="9">
        <v>325</v>
      </c>
      <c r="G1151" s="8">
        <f>F1151/650</f>
        <v>0.5</v>
      </c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spans="1:26" ht="15.75" customHeight="1">
      <c r="A1152" s="10"/>
      <c r="B1152" s="10"/>
      <c r="C1152" s="21">
        <v>4714781020831</v>
      </c>
      <c r="D1152" s="10" t="s">
        <v>1389</v>
      </c>
      <c r="E1152" s="9">
        <v>1</v>
      </c>
      <c r="F1152" s="9">
        <v>325</v>
      </c>
      <c r="G1152" s="8">
        <f>F1152/650</f>
        <v>0.5</v>
      </c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spans="1:26" ht="15.75" customHeight="1">
      <c r="A1153" s="10" t="s">
        <v>2643</v>
      </c>
      <c r="B1153" s="9">
        <v>2</v>
      </c>
      <c r="C1153" s="21">
        <v>4714781020848</v>
      </c>
      <c r="D1153" s="10" t="s">
        <v>1382</v>
      </c>
      <c r="E1153" s="9">
        <v>1</v>
      </c>
      <c r="F1153" s="9">
        <v>325</v>
      </c>
      <c r="G1153" s="8">
        <f>F1153/650</f>
        <v>0.5</v>
      </c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spans="1:26" ht="15.75" customHeight="1">
      <c r="A1154" s="10"/>
      <c r="B1154" s="10"/>
      <c r="C1154" s="21">
        <v>4714781020824</v>
      </c>
      <c r="D1154" s="10" t="s">
        <v>1391</v>
      </c>
      <c r="E1154" s="9">
        <v>1</v>
      </c>
      <c r="F1154" s="9">
        <v>325</v>
      </c>
      <c r="G1154" s="8">
        <f>F1154/650</f>
        <v>0.5</v>
      </c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spans="1:26" ht="15.75" customHeight="1">
      <c r="A1155" s="10" t="s">
        <v>2642</v>
      </c>
      <c r="B1155" s="9">
        <v>2</v>
      </c>
      <c r="C1155" s="21">
        <v>4714781020848</v>
      </c>
      <c r="D1155" s="10" t="s">
        <v>1382</v>
      </c>
      <c r="E1155" s="9">
        <v>1</v>
      </c>
      <c r="F1155" s="9">
        <v>325</v>
      </c>
      <c r="G1155" s="8">
        <f>F1155/650</f>
        <v>0.5</v>
      </c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spans="1:26" ht="15.75" customHeight="1">
      <c r="A1156" s="10"/>
      <c r="B1156" s="10"/>
      <c r="C1156" s="21">
        <v>4714781020831</v>
      </c>
      <c r="D1156" s="10" t="s">
        <v>1389</v>
      </c>
      <c r="E1156" s="9">
        <v>1</v>
      </c>
      <c r="F1156" s="9">
        <v>325</v>
      </c>
      <c r="G1156" s="8">
        <f>F1156/650</f>
        <v>0.5</v>
      </c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spans="1:26" ht="15.75" customHeight="1">
      <c r="A1157" s="10" t="s">
        <v>2641</v>
      </c>
      <c r="B1157" s="9">
        <v>2</v>
      </c>
      <c r="C1157" s="21" t="s">
        <v>1596</v>
      </c>
      <c r="D1157" s="10" t="s">
        <v>1384</v>
      </c>
      <c r="E1157" s="9">
        <v>1</v>
      </c>
      <c r="F1157" s="9">
        <v>325</v>
      </c>
      <c r="G1157" s="8">
        <f>F1157/650</f>
        <v>0.5</v>
      </c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spans="1:26" ht="15.75" customHeight="1">
      <c r="A1158" s="10"/>
      <c r="B1158" s="10"/>
      <c r="C1158" s="21">
        <v>4714781020824</v>
      </c>
      <c r="D1158" s="10" t="s">
        <v>1391</v>
      </c>
      <c r="E1158" s="9">
        <v>1</v>
      </c>
      <c r="F1158" s="9">
        <v>325</v>
      </c>
      <c r="G1158" s="8">
        <f>F1158/650</f>
        <v>0.5</v>
      </c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spans="1:26" ht="15.75" customHeight="1">
      <c r="A1159" s="10" t="s">
        <v>2640</v>
      </c>
      <c r="B1159" s="9">
        <v>2</v>
      </c>
      <c r="C1159" s="21" t="s">
        <v>1596</v>
      </c>
      <c r="D1159" s="10" t="s">
        <v>1384</v>
      </c>
      <c r="E1159" s="9">
        <v>1</v>
      </c>
      <c r="F1159" s="9">
        <v>325</v>
      </c>
      <c r="G1159" s="8">
        <f>F1159/650</f>
        <v>0.5</v>
      </c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spans="1:26" ht="15.75" customHeight="1">
      <c r="A1160" s="10"/>
      <c r="B1160" s="10"/>
      <c r="C1160" s="21">
        <v>4714781020831</v>
      </c>
      <c r="D1160" s="10" t="s">
        <v>1389</v>
      </c>
      <c r="E1160" s="9">
        <v>1</v>
      </c>
      <c r="F1160" s="9">
        <v>325</v>
      </c>
      <c r="G1160" s="8">
        <f>F1160/650</f>
        <v>0.5</v>
      </c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ht="15.75" customHeight="1">
      <c r="A1161" s="10" t="s">
        <v>2639</v>
      </c>
      <c r="B1161" s="9">
        <v>1</v>
      </c>
      <c r="C1161" s="21" t="s">
        <v>1619</v>
      </c>
      <c r="D1161" s="10" t="s">
        <v>1376</v>
      </c>
      <c r="E1161" s="9">
        <v>4</v>
      </c>
      <c r="F1161" s="9">
        <v>550</v>
      </c>
      <c r="G1161" s="8">
        <f>F1161/550</f>
        <v>1</v>
      </c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26" ht="15.75" customHeight="1">
      <c r="A1162" s="10" t="s">
        <v>2638</v>
      </c>
      <c r="B1162" s="9">
        <v>5</v>
      </c>
      <c r="C1162" s="21" t="s">
        <v>1585</v>
      </c>
      <c r="D1162" s="10" t="s">
        <v>1584</v>
      </c>
      <c r="E1162" s="9">
        <v>1</v>
      </c>
      <c r="F1162" s="9">
        <v>60</v>
      </c>
      <c r="G1162" s="8">
        <f>F1162/600</f>
        <v>0.1</v>
      </c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spans="1:26" ht="15.75" customHeight="1">
      <c r="A1163" s="10"/>
      <c r="B1163" s="12"/>
      <c r="C1163" s="21" t="s">
        <v>1598</v>
      </c>
      <c r="D1163" s="10" t="s">
        <v>1382</v>
      </c>
      <c r="E1163" s="9">
        <v>1</v>
      </c>
      <c r="F1163" s="9">
        <v>300</v>
      </c>
      <c r="G1163" s="8">
        <f>F1163/600</f>
        <v>0.5</v>
      </c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spans="1:26" ht="15.75" customHeight="1">
      <c r="A1164" s="10"/>
      <c r="B1164" s="12"/>
      <c r="C1164" s="21" t="s">
        <v>1595</v>
      </c>
      <c r="D1164" s="10" t="s">
        <v>1378</v>
      </c>
      <c r="E1164" s="9">
        <v>1</v>
      </c>
      <c r="F1164" s="9">
        <v>120</v>
      </c>
      <c r="G1164" s="8">
        <f>F1164/600</f>
        <v>0.2</v>
      </c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spans="1:26" ht="15.75" customHeight="1">
      <c r="A1165" s="10"/>
      <c r="B1165" s="12"/>
      <c r="C1165" s="21" t="s">
        <v>1593</v>
      </c>
      <c r="D1165" s="10" t="s">
        <v>1592</v>
      </c>
      <c r="E1165" s="9">
        <v>1</v>
      </c>
      <c r="F1165" s="9">
        <v>50</v>
      </c>
      <c r="G1165" s="8">
        <f>F1165/600</f>
        <v>8.3333333333333329E-2</v>
      </c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ht="15.75" customHeight="1">
      <c r="A1166" s="10"/>
      <c r="B1166" s="12"/>
      <c r="C1166" s="21" t="s">
        <v>1583</v>
      </c>
      <c r="D1166" s="10" t="s">
        <v>1582</v>
      </c>
      <c r="E1166" s="9">
        <v>1</v>
      </c>
      <c r="F1166" s="9">
        <v>70</v>
      </c>
      <c r="G1166" s="8">
        <f>F1166/600</f>
        <v>0.11666666666666667</v>
      </c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spans="1:26" ht="15.75" customHeight="1">
      <c r="A1167" s="10" t="s">
        <v>2637</v>
      </c>
      <c r="B1167" s="9">
        <v>5</v>
      </c>
      <c r="C1167" s="21" t="s">
        <v>1585</v>
      </c>
      <c r="D1167" s="10" t="s">
        <v>1584</v>
      </c>
      <c r="E1167" s="9">
        <v>1</v>
      </c>
      <c r="F1167" s="9">
        <v>60</v>
      </c>
      <c r="G1167" s="8">
        <f>F1167/600</f>
        <v>0.1</v>
      </c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spans="1:26" ht="15.75" customHeight="1">
      <c r="A1168" s="10"/>
      <c r="B1168" s="12"/>
      <c r="C1168" s="21" t="s">
        <v>1596</v>
      </c>
      <c r="D1168" s="10" t="s">
        <v>1384</v>
      </c>
      <c r="E1168" s="9">
        <v>1</v>
      </c>
      <c r="F1168" s="9">
        <v>300</v>
      </c>
      <c r="G1168" s="8">
        <f>F1168/600</f>
        <v>0.5</v>
      </c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spans="1:26" ht="15.75" customHeight="1">
      <c r="A1169" s="10"/>
      <c r="B1169" s="12"/>
      <c r="C1169" s="21" t="s">
        <v>1602</v>
      </c>
      <c r="D1169" s="10" t="s">
        <v>1380</v>
      </c>
      <c r="E1169" s="9">
        <v>1</v>
      </c>
      <c r="F1169" s="9">
        <v>120</v>
      </c>
      <c r="G1169" s="8">
        <f>F1169/600</f>
        <v>0.2</v>
      </c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spans="1:26" ht="15.75" customHeight="1">
      <c r="A1170" s="10"/>
      <c r="B1170" s="12"/>
      <c r="C1170" s="21" t="s">
        <v>1588</v>
      </c>
      <c r="D1170" s="10" t="s">
        <v>1587</v>
      </c>
      <c r="E1170" s="9">
        <v>1</v>
      </c>
      <c r="F1170" s="9">
        <v>50</v>
      </c>
      <c r="G1170" s="8">
        <f>F1170/600</f>
        <v>8.3333333333333329E-2</v>
      </c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spans="1:26" ht="15.75" customHeight="1">
      <c r="A1171" s="10"/>
      <c r="B1171" s="12"/>
      <c r="C1171" s="21" t="s">
        <v>1583</v>
      </c>
      <c r="D1171" s="10" t="s">
        <v>1582</v>
      </c>
      <c r="E1171" s="9">
        <v>1</v>
      </c>
      <c r="F1171" s="9">
        <v>70</v>
      </c>
      <c r="G1171" s="8">
        <f>F1171/600</f>
        <v>0.11666666666666667</v>
      </c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spans="1:26" ht="15.75" customHeight="1">
      <c r="A1172" s="10" t="s">
        <v>2636</v>
      </c>
      <c r="B1172" s="9">
        <v>5</v>
      </c>
      <c r="C1172" s="21" t="s">
        <v>1585</v>
      </c>
      <c r="D1172" s="10" t="s">
        <v>1584</v>
      </c>
      <c r="E1172" s="9">
        <v>1</v>
      </c>
      <c r="F1172" s="9">
        <v>60</v>
      </c>
      <c r="G1172" s="8">
        <f>F1172/600</f>
        <v>0.1</v>
      </c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spans="1:26" ht="15.75" customHeight="1">
      <c r="A1173" s="10"/>
      <c r="B1173" s="12"/>
      <c r="C1173" s="21" t="s">
        <v>1596</v>
      </c>
      <c r="D1173" s="10" t="s">
        <v>1384</v>
      </c>
      <c r="E1173" s="9">
        <v>1</v>
      </c>
      <c r="F1173" s="9">
        <v>300</v>
      </c>
      <c r="G1173" s="8">
        <f>F1173/600</f>
        <v>0.5</v>
      </c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spans="1:26" ht="15.75" customHeight="1">
      <c r="A1174" s="10"/>
      <c r="B1174" s="12"/>
      <c r="C1174" s="21" t="s">
        <v>1595</v>
      </c>
      <c r="D1174" s="10" t="s">
        <v>1378</v>
      </c>
      <c r="E1174" s="9">
        <v>1</v>
      </c>
      <c r="F1174" s="9">
        <v>120</v>
      </c>
      <c r="G1174" s="8">
        <f>F1174/600</f>
        <v>0.2</v>
      </c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spans="1:26" ht="15.75" customHeight="1">
      <c r="A1175" s="10"/>
      <c r="B1175" s="12"/>
      <c r="C1175" s="21" t="s">
        <v>1581</v>
      </c>
      <c r="D1175" s="10" t="s">
        <v>1580</v>
      </c>
      <c r="E1175" s="9">
        <v>1</v>
      </c>
      <c r="F1175" s="9">
        <v>50</v>
      </c>
      <c r="G1175" s="8">
        <f>F1175/600</f>
        <v>8.3333333333333329E-2</v>
      </c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spans="1:26" ht="15.75" customHeight="1">
      <c r="A1176" s="10"/>
      <c r="B1176" s="12"/>
      <c r="C1176" s="21" t="s">
        <v>1583</v>
      </c>
      <c r="D1176" s="10" t="s">
        <v>1582</v>
      </c>
      <c r="E1176" s="9">
        <v>1</v>
      </c>
      <c r="F1176" s="9">
        <v>70</v>
      </c>
      <c r="G1176" s="8">
        <f>F1176/600</f>
        <v>0.11666666666666667</v>
      </c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spans="1:26" ht="15.75" customHeight="1">
      <c r="A1177" s="10" t="s">
        <v>2635</v>
      </c>
      <c r="B1177" s="9">
        <v>5</v>
      </c>
      <c r="C1177" s="21" t="s">
        <v>1585</v>
      </c>
      <c r="D1177" s="10" t="s">
        <v>1584</v>
      </c>
      <c r="E1177" s="9">
        <v>1</v>
      </c>
      <c r="F1177" s="9">
        <v>60</v>
      </c>
      <c r="G1177" s="8">
        <f>F1177/600</f>
        <v>0.1</v>
      </c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spans="1:26" ht="15.75" customHeight="1">
      <c r="A1178" s="10"/>
      <c r="B1178" s="12"/>
      <c r="C1178" s="21" t="s">
        <v>1583</v>
      </c>
      <c r="D1178" s="10" t="s">
        <v>1582</v>
      </c>
      <c r="E1178" s="9">
        <v>1</v>
      </c>
      <c r="F1178" s="9">
        <v>300</v>
      </c>
      <c r="G1178" s="8">
        <f>F1178/600</f>
        <v>0.5</v>
      </c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spans="1:26" ht="15.75" customHeight="1">
      <c r="A1179" s="10"/>
      <c r="B1179" s="12"/>
      <c r="C1179" s="21" t="s">
        <v>1593</v>
      </c>
      <c r="D1179" s="10" t="s">
        <v>1592</v>
      </c>
      <c r="E1179" s="9">
        <v>1</v>
      </c>
      <c r="F1179" s="9">
        <v>120</v>
      </c>
      <c r="G1179" s="8">
        <f>F1179/600</f>
        <v>0.2</v>
      </c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spans="1:26" ht="15.75" customHeight="1">
      <c r="A1180" s="10"/>
      <c r="B1180" s="12"/>
      <c r="C1180" s="21">
        <v>4714781020800</v>
      </c>
      <c r="D1180" s="10" t="s">
        <v>1319</v>
      </c>
      <c r="E1180" s="9">
        <v>1</v>
      </c>
      <c r="F1180" s="9">
        <v>50</v>
      </c>
      <c r="G1180" s="8">
        <f>F1180/600</f>
        <v>8.3333333333333329E-2</v>
      </c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spans="1:26" ht="15.75" customHeight="1">
      <c r="A1181" s="10"/>
      <c r="B1181" s="12"/>
      <c r="C1181" s="21">
        <v>4714781020824</v>
      </c>
      <c r="D1181" s="10" t="s">
        <v>1391</v>
      </c>
      <c r="E1181" s="9">
        <v>1</v>
      </c>
      <c r="F1181" s="9">
        <v>70</v>
      </c>
      <c r="G1181" s="8">
        <f>F1181/600</f>
        <v>0.11666666666666667</v>
      </c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spans="1:26" ht="15.75" customHeight="1">
      <c r="A1182" s="10" t="s">
        <v>2634</v>
      </c>
      <c r="B1182" s="10">
        <v>5</v>
      </c>
      <c r="C1182" s="21" t="s">
        <v>1585</v>
      </c>
      <c r="D1182" s="10" t="s">
        <v>1584</v>
      </c>
      <c r="E1182" s="9">
        <v>1</v>
      </c>
      <c r="F1182" s="9">
        <v>60</v>
      </c>
      <c r="G1182" s="8">
        <f>F1182/600</f>
        <v>0.1</v>
      </c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spans="1:26" ht="15.75" customHeight="1">
      <c r="A1183" s="10"/>
      <c r="B1183" s="12"/>
      <c r="C1183" s="21" t="s">
        <v>1583</v>
      </c>
      <c r="D1183" s="10" t="s">
        <v>1582</v>
      </c>
      <c r="E1183" s="9">
        <v>1</v>
      </c>
      <c r="F1183" s="9">
        <v>300</v>
      </c>
      <c r="G1183" s="8">
        <f>F1183/600</f>
        <v>0.5</v>
      </c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spans="1:26" ht="15.75" customHeight="1">
      <c r="A1184" s="10"/>
      <c r="B1184" s="12"/>
      <c r="C1184" s="21" t="s">
        <v>1588</v>
      </c>
      <c r="D1184" s="10" t="s">
        <v>1587</v>
      </c>
      <c r="E1184" s="9">
        <v>1</v>
      </c>
      <c r="F1184" s="9">
        <v>120</v>
      </c>
      <c r="G1184" s="8">
        <f>F1184/600</f>
        <v>0.2</v>
      </c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spans="1:26" ht="15.75" customHeight="1">
      <c r="A1185" s="10"/>
      <c r="B1185" s="12"/>
      <c r="C1185" s="21">
        <v>4714781020817</v>
      </c>
      <c r="D1185" s="10" t="s">
        <v>1317</v>
      </c>
      <c r="E1185" s="9">
        <v>1</v>
      </c>
      <c r="F1185" s="9">
        <v>50</v>
      </c>
      <c r="G1185" s="8">
        <f>F1185/600</f>
        <v>8.3333333333333329E-2</v>
      </c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26" ht="15.75" customHeight="1">
      <c r="A1186" s="10"/>
      <c r="B1186" s="12"/>
      <c r="C1186" s="21" t="s">
        <v>1579</v>
      </c>
      <c r="D1186" s="10" t="s">
        <v>1389</v>
      </c>
      <c r="E1186" s="9">
        <v>1</v>
      </c>
      <c r="F1186" s="9">
        <v>70</v>
      </c>
      <c r="G1186" s="8">
        <f>F1186/600</f>
        <v>0.11666666666666667</v>
      </c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spans="1:26" ht="15.75" customHeight="1">
      <c r="A1187" s="10" t="s">
        <v>2633</v>
      </c>
      <c r="B1187" s="9">
        <v>5</v>
      </c>
      <c r="C1187" s="21" t="s">
        <v>1585</v>
      </c>
      <c r="D1187" s="10" t="s">
        <v>1584</v>
      </c>
      <c r="E1187" s="9">
        <v>1</v>
      </c>
      <c r="F1187" s="9">
        <v>60</v>
      </c>
      <c r="G1187" s="8">
        <f>F1187/600</f>
        <v>0.1</v>
      </c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spans="1:26" ht="15.75" customHeight="1">
      <c r="A1188" s="10"/>
      <c r="B1188" s="12"/>
      <c r="C1188" s="21" t="s">
        <v>1583</v>
      </c>
      <c r="D1188" s="10" t="s">
        <v>1582</v>
      </c>
      <c r="E1188" s="9">
        <v>1</v>
      </c>
      <c r="F1188" s="9">
        <v>300</v>
      </c>
      <c r="G1188" s="8">
        <f>F1188/600</f>
        <v>0.5</v>
      </c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spans="1:26" ht="15.75" customHeight="1">
      <c r="A1189" s="10"/>
      <c r="B1189" s="12"/>
      <c r="C1189" s="21" t="s">
        <v>1581</v>
      </c>
      <c r="D1189" s="10" t="s">
        <v>1580</v>
      </c>
      <c r="E1189" s="9">
        <v>1</v>
      </c>
      <c r="F1189" s="9">
        <v>120</v>
      </c>
      <c r="G1189" s="8">
        <f>F1189/600</f>
        <v>0.2</v>
      </c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spans="1:26" ht="15.75" customHeight="1">
      <c r="A1190" s="10"/>
      <c r="B1190" s="12"/>
      <c r="C1190" s="21">
        <v>4714781020817</v>
      </c>
      <c r="D1190" s="10" t="s">
        <v>1317</v>
      </c>
      <c r="E1190" s="9">
        <v>1</v>
      </c>
      <c r="F1190" s="9">
        <v>50</v>
      </c>
      <c r="G1190" s="8">
        <f>F1190/600</f>
        <v>8.3333333333333329E-2</v>
      </c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spans="1:26" ht="15.75" customHeight="1">
      <c r="A1191" s="10"/>
      <c r="B1191" s="12"/>
      <c r="C1191" s="21" t="s">
        <v>1579</v>
      </c>
      <c r="D1191" s="10" t="s">
        <v>1389</v>
      </c>
      <c r="E1191" s="9">
        <v>1</v>
      </c>
      <c r="F1191" s="9">
        <v>70</v>
      </c>
      <c r="G1191" s="8">
        <f>F1191/600</f>
        <v>0.11666666666666667</v>
      </c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spans="1:26" ht="15.75" customHeight="1">
      <c r="A1192" s="10" t="s">
        <v>2632</v>
      </c>
      <c r="B1192" s="9">
        <v>3</v>
      </c>
      <c r="C1192" s="23">
        <v>4714781021777</v>
      </c>
      <c r="D1192" s="12" t="s">
        <v>1522</v>
      </c>
      <c r="E1192" s="9">
        <v>1</v>
      </c>
      <c r="F1192" s="9">
        <v>350</v>
      </c>
      <c r="G1192" s="8">
        <f>F1192/690</f>
        <v>0.50724637681159424</v>
      </c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spans="1:26" ht="15.75" customHeight="1">
      <c r="A1193" s="10"/>
      <c r="B1193" s="9"/>
      <c r="C1193" s="23" t="s">
        <v>2628</v>
      </c>
      <c r="D1193" s="12" t="s">
        <v>1871</v>
      </c>
      <c r="E1193" s="9">
        <v>1</v>
      </c>
      <c r="F1193" s="9">
        <v>80</v>
      </c>
      <c r="G1193" s="8">
        <f>F1193/690</f>
        <v>0.11594202898550725</v>
      </c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spans="1:26" ht="15.75" customHeight="1">
      <c r="A1194" s="10"/>
      <c r="B1194" s="9"/>
      <c r="C1194" s="23" t="s">
        <v>1531</v>
      </c>
      <c r="D1194" s="12" t="s">
        <v>2194</v>
      </c>
      <c r="E1194" s="9">
        <v>1</v>
      </c>
      <c r="F1194" s="9">
        <v>260</v>
      </c>
      <c r="G1194" s="8">
        <f>F1194/690</f>
        <v>0.37681159420289856</v>
      </c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spans="1:26" ht="15.75" customHeight="1">
      <c r="A1195" s="10" t="s">
        <v>2631</v>
      </c>
      <c r="B1195" s="9">
        <v>3</v>
      </c>
      <c r="C1195" s="23" t="s">
        <v>1510</v>
      </c>
      <c r="D1195" s="12" t="s">
        <v>2190</v>
      </c>
      <c r="E1195" s="9">
        <v>1</v>
      </c>
      <c r="F1195" s="9">
        <v>350</v>
      </c>
      <c r="G1195" s="8">
        <f>F1195/690</f>
        <v>0.50724637681159424</v>
      </c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spans="1:26" ht="15.75" customHeight="1">
      <c r="A1196" s="10"/>
      <c r="B1196" s="9"/>
      <c r="C1196" s="23">
        <v>4714781021777</v>
      </c>
      <c r="D1196" s="12" t="s">
        <v>1522</v>
      </c>
      <c r="E1196" s="9">
        <v>1</v>
      </c>
      <c r="F1196" s="9">
        <v>80</v>
      </c>
      <c r="G1196" s="8">
        <f>F1196/690</f>
        <v>0.11594202898550725</v>
      </c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spans="1:26" ht="15.75" customHeight="1">
      <c r="A1197" s="10"/>
      <c r="B1197" s="9"/>
      <c r="C1197" s="23" t="s">
        <v>2628</v>
      </c>
      <c r="D1197" s="12" t="s">
        <v>1871</v>
      </c>
      <c r="E1197" s="9">
        <v>1</v>
      </c>
      <c r="F1197" s="9">
        <v>260</v>
      </c>
      <c r="G1197" s="8">
        <f>F1197/690</f>
        <v>0.37681159420289856</v>
      </c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spans="1:26" ht="15.75" customHeight="1">
      <c r="A1198" s="10" t="s">
        <v>2630</v>
      </c>
      <c r="B1198" s="9">
        <v>3</v>
      </c>
      <c r="C1198" s="23" t="s">
        <v>1506</v>
      </c>
      <c r="D1198" s="12" t="s">
        <v>2188</v>
      </c>
      <c r="E1198" s="9">
        <v>1</v>
      </c>
      <c r="F1198" s="9">
        <v>350</v>
      </c>
      <c r="G1198" s="8">
        <f>F1198/690</f>
        <v>0.50724637681159424</v>
      </c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spans="1:26" ht="15.75" customHeight="1">
      <c r="A1199" s="10"/>
      <c r="B1199" s="9"/>
      <c r="C1199" s="23">
        <v>4714781021777</v>
      </c>
      <c r="D1199" s="12" t="s">
        <v>1522</v>
      </c>
      <c r="E1199" s="9">
        <v>1</v>
      </c>
      <c r="F1199" s="9">
        <v>80</v>
      </c>
      <c r="G1199" s="8">
        <f>F1199/690</f>
        <v>0.11594202898550725</v>
      </c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spans="1:26" ht="15.75" customHeight="1">
      <c r="A1200" s="10"/>
      <c r="B1200" s="9"/>
      <c r="C1200" s="23" t="s">
        <v>2628</v>
      </c>
      <c r="D1200" s="12" t="s">
        <v>1871</v>
      </c>
      <c r="E1200" s="9">
        <v>1</v>
      </c>
      <c r="F1200" s="9">
        <v>260</v>
      </c>
      <c r="G1200" s="8">
        <f>F1200/690</f>
        <v>0.37681159420289856</v>
      </c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spans="1:26" ht="15.75" customHeight="1">
      <c r="A1201" s="10" t="s">
        <v>2629</v>
      </c>
      <c r="B1201" s="9">
        <v>3</v>
      </c>
      <c r="C1201" s="23" t="s">
        <v>1508</v>
      </c>
      <c r="D1201" s="12" t="s">
        <v>2186</v>
      </c>
      <c r="E1201" s="9">
        <v>1</v>
      </c>
      <c r="F1201" s="9">
        <v>350</v>
      </c>
      <c r="G1201" s="8">
        <f>F1201/690</f>
        <v>0.50724637681159424</v>
      </c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spans="1:26" ht="15.75" customHeight="1">
      <c r="A1202" s="10"/>
      <c r="B1202" s="9"/>
      <c r="C1202" s="23">
        <v>4714781021777</v>
      </c>
      <c r="D1202" s="12" t="s">
        <v>1522</v>
      </c>
      <c r="E1202" s="9">
        <v>1</v>
      </c>
      <c r="F1202" s="9">
        <v>80</v>
      </c>
      <c r="G1202" s="8">
        <f>F1202/690</f>
        <v>0.11594202898550725</v>
      </c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spans="1:26" ht="15.75" customHeight="1">
      <c r="A1203" s="10"/>
      <c r="B1203" s="9"/>
      <c r="C1203" s="23" t="s">
        <v>2628</v>
      </c>
      <c r="D1203" s="12" t="s">
        <v>1871</v>
      </c>
      <c r="E1203" s="9">
        <v>1</v>
      </c>
      <c r="F1203" s="9">
        <v>260</v>
      </c>
      <c r="G1203" s="8">
        <f>F1203/690</f>
        <v>0.37681159420289856</v>
      </c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spans="1:26" ht="15.75" customHeight="1">
      <c r="A1204" s="10" t="s">
        <v>2627</v>
      </c>
      <c r="B1204" s="9">
        <v>2</v>
      </c>
      <c r="C1204" s="23" t="s">
        <v>1531</v>
      </c>
      <c r="D1204" s="12" t="s">
        <v>2194</v>
      </c>
      <c r="E1204" s="9">
        <v>1</v>
      </c>
      <c r="F1204" s="9">
        <v>290</v>
      </c>
      <c r="G1204" s="8">
        <f>F1204/450</f>
        <v>0.64444444444444449</v>
      </c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spans="1:26" ht="15.75" customHeight="1">
      <c r="A1205" s="10"/>
      <c r="B1205" s="9"/>
      <c r="C1205" s="21">
        <v>4714781020466</v>
      </c>
      <c r="D1205" s="10" t="s">
        <v>1374</v>
      </c>
      <c r="E1205" s="9">
        <v>1</v>
      </c>
      <c r="F1205" s="9">
        <v>160</v>
      </c>
      <c r="G1205" s="8">
        <f>F1205/450</f>
        <v>0.35555555555555557</v>
      </c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spans="1:26" ht="15.75" customHeight="1">
      <c r="A1206" s="10" t="s">
        <v>2626</v>
      </c>
      <c r="B1206" s="9">
        <v>2</v>
      </c>
      <c r="C1206" s="23" t="s">
        <v>1531</v>
      </c>
      <c r="D1206" s="12" t="s">
        <v>2194</v>
      </c>
      <c r="E1206" s="9">
        <v>1</v>
      </c>
      <c r="F1206" s="9">
        <v>290</v>
      </c>
      <c r="G1206" s="8">
        <f>F1206/450</f>
        <v>0.64444444444444449</v>
      </c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spans="1:26" ht="15.75" customHeight="1">
      <c r="A1207" s="10"/>
      <c r="B1207" s="9"/>
      <c r="C1207" s="21">
        <v>4714781020558</v>
      </c>
      <c r="D1207" s="10" t="s">
        <v>1370</v>
      </c>
      <c r="E1207" s="9">
        <v>1</v>
      </c>
      <c r="F1207" s="9">
        <v>160</v>
      </c>
      <c r="G1207" s="8">
        <f>F1207/450</f>
        <v>0.35555555555555557</v>
      </c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spans="1:26" ht="15.75" customHeight="1">
      <c r="A1208" s="10" t="s">
        <v>2625</v>
      </c>
      <c r="B1208" s="9">
        <v>2</v>
      </c>
      <c r="C1208" s="23" t="s">
        <v>1531</v>
      </c>
      <c r="D1208" s="12" t="s">
        <v>2194</v>
      </c>
      <c r="E1208" s="9">
        <v>1</v>
      </c>
      <c r="F1208" s="9">
        <v>290</v>
      </c>
      <c r="G1208" s="8">
        <f>F1208/450</f>
        <v>0.64444444444444449</v>
      </c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spans="1:26" ht="15.75" customHeight="1">
      <c r="A1209" s="10"/>
      <c r="B1209" s="9"/>
      <c r="C1209" s="21">
        <v>4714781020503</v>
      </c>
      <c r="D1209" s="10" t="s">
        <v>1372</v>
      </c>
      <c r="E1209" s="9">
        <v>1</v>
      </c>
      <c r="F1209" s="9">
        <v>160</v>
      </c>
      <c r="G1209" s="8">
        <f>F1209/450</f>
        <v>0.35555555555555557</v>
      </c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spans="1:26" ht="15.75" customHeight="1">
      <c r="A1210" s="10" t="s">
        <v>2624</v>
      </c>
      <c r="B1210" s="9">
        <v>2</v>
      </c>
      <c r="C1210" s="23" t="s">
        <v>1510</v>
      </c>
      <c r="D1210" s="12" t="s">
        <v>2190</v>
      </c>
      <c r="E1210" s="9">
        <v>1</v>
      </c>
      <c r="F1210" s="9">
        <v>290</v>
      </c>
      <c r="G1210" s="8">
        <f>F1210/450</f>
        <v>0.64444444444444449</v>
      </c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spans="1:26" ht="15.75" customHeight="1">
      <c r="A1211" s="10"/>
      <c r="B1211" s="9"/>
      <c r="C1211" s="21">
        <v>4714781020466</v>
      </c>
      <c r="D1211" s="10" t="s">
        <v>1374</v>
      </c>
      <c r="E1211" s="9">
        <v>1</v>
      </c>
      <c r="F1211" s="9">
        <v>160</v>
      </c>
      <c r="G1211" s="8">
        <f>F1211/450</f>
        <v>0.35555555555555557</v>
      </c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spans="1:26" ht="15.75" customHeight="1">
      <c r="A1212" s="10" t="s">
        <v>2623</v>
      </c>
      <c r="B1212" s="9">
        <v>2</v>
      </c>
      <c r="C1212" s="23" t="s">
        <v>1510</v>
      </c>
      <c r="D1212" s="12" t="s">
        <v>2190</v>
      </c>
      <c r="E1212" s="9">
        <v>1</v>
      </c>
      <c r="F1212" s="9">
        <v>290</v>
      </c>
      <c r="G1212" s="8">
        <f>F1212/450</f>
        <v>0.64444444444444449</v>
      </c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spans="1:26" ht="15.75" customHeight="1">
      <c r="B1213" s="9"/>
      <c r="C1213" s="21">
        <v>4714781020558</v>
      </c>
      <c r="D1213" s="10" t="s">
        <v>1370</v>
      </c>
      <c r="E1213" s="9">
        <v>1</v>
      </c>
      <c r="F1213" s="9">
        <v>160</v>
      </c>
      <c r="G1213" s="8">
        <f>F1213/450</f>
        <v>0.35555555555555557</v>
      </c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spans="1:26" ht="15.75" customHeight="1">
      <c r="A1214" s="10" t="s">
        <v>2622</v>
      </c>
      <c r="B1214" s="9">
        <v>2</v>
      </c>
      <c r="C1214" s="23" t="s">
        <v>1510</v>
      </c>
      <c r="D1214" s="12" t="s">
        <v>2190</v>
      </c>
      <c r="E1214" s="9">
        <v>1</v>
      </c>
      <c r="F1214" s="9">
        <v>290</v>
      </c>
      <c r="G1214" s="8">
        <f>F1214/450</f>
        <v>0.64444444444444449</v>
      </c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spans="1:26" ht="15.75" customHeight="1">
      <c r="B1215" s="9"/>
      <c r="C1215" s="21">
        <v>4714781020503</v>
      </c>
      <c r="D1215" s="10" t="s">
        <v>1372</v>
      </c>
      <c r="E1215" s="9">
        <v>1</v>
      </c>
      <c r="F1215" s="9">
        <v>160</v>
      </c>
      <c r="G1215" s="8">
        <f>F1215/450</f>
        <v>0.35555555555555557</v>
      </c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spans="1:26" ht="15.75" customHeight="1">
      <c r="A1216" s="10" t="s">
        <v>2621</v>
      </c>
      <c r="B1216" s="9">
        <v>2</v>
      </c>
      <c r="C1216" s="23" t="s">
        <v>1506</v>
      </c>
      <c r="D1216" s="12" t="s">
        <v>2188</v>
      </c>
      <c r="E1216" s="9">
        <v>1</v>
      </c>
      <c r="F1216" s="9">
        <v>290</v>
      </c>
      <c r="G1216" s="8">
        <f>F1216/450</f>
        <v>0.64444444444444449</v>
      </c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spans="1:26" ht="15.75" customHeight="1">
      <c r="A1217" s="10"/>
      <c r="B1217" s="9"/>
      <c r="C1217" s="21">
        <v>4714781020466</v>
      </c>
      <c r="D1217" s="10" t="s">
        <v>1374</v>
      </c>
      <c r="E1217" s="9">
        <v>1</v>
      </c>
      <c r="F1217" s="9">
        <v>160</v>
      </c>
      <c r="G1217" s="8">
        <f>F1217/450</f>
        <v>0.35555555555555557</v>
      </c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spans="1:26" ht="15.75" customHeight="1">
      <c r="A1218" s="10" t="s">
        <v>2620</v>
      </c>
      <c r="B1218" s="9">
        <v>2</v>
      </c>
      <c r="C1218" s="23" t="s">
        <v>1506</v>
      </c>
      <c r="D1218" s="12" t="s">
        <v>2188</v>
      </c>
      <c r="E1218" s="9">
        <v>1</v>
      </c>
      <c r="F1218" s="9">
        <v>290</v>
      </c>
      <c r="G1218" s="8">
        <f>F1218/450</f>
        <v>0.64444444444444449</v>
      </c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spans="1:26" ht="15.75" customHeight="1">
      <c r="A1219" s="10"/>
      <c r="B1219" s="9"/>
      <c r="C1219" s="21">
        <v>4714781020558</v>
      </c>
      <c r="D1219" s="10" t="s">
        <v>1370</v>
      </c>
      <c r="E1219" s="9">
        <v>1</v>
      </c>
      <c r="F1219" s="9">
        <v>160</v>
      </c>
      <c r="G1219" s="8">
        <f>F1219/450</f>
        <v>0.35555555555555557</v>
      </c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spans="1:26" ht="15.75" customHeight="1">
      <c r="A1220" s="10" t="s">
        <v>2619</v>
      </c>
      <c r="B1220" s="9">
        <v>2</v>
      </c>
      <c r="C1220" s="23" t="s">
        <v>1506</v>
      </c>
      <c r="D1220" s="12" t="s">
        <v>2188</v>
      </c>
      <c r="E1220" s="9">
        <v>1</v>
      </c>
      <c r="F1220" s="9">
        <v>290</v>
      </c>
      <c r="G1220" s="8">
        <f>F1220/450</f>
        <v>0.64444444444444449</v>
      </c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spans="1:26" ht="15.75" customHeight="1">
      <c r="A1221" s="10"/>
      <c r="B1221" s="9"/>
      <c r="C1221" s="21">
        <v>4714781020503</v>
      </c>
      <c r="D1221" s="10" t="s">
        <v>1372</v>
      </c>
      <c r="E1221" s="9">
        <v>1</v>
      </c>
      <c r="F1221" s="9">
        <v>160</v>
      </c>
      <c r="G1221" s="8">
        <f>F1221/450</f>
        <v>0.35555555555555557</v>
      </c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spans="1:26" ht="15.75" customHeight="1">
      <c r="A1222" s="10" t="s">
        <v>2618</v>
      </c>
      <c r="B1222" s="9">
        <v>2</v>
      </c>
      <c r="C1222" s="23" t="s">
        <v>1508</v>
      </c>
      <c r="D1222" s="12" t="s">
        <v>2186</v>
      </c>
      <c r="E1222" s="9">
        <v>1</v>
      </c>
      <c r="F1222" s="9">
        <v>290</v>
      </c>
      <c r="G1222" s="8">
        <f>F1222/450</f>
        <v>0.64444444444444449</v>
      </c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spans="1:26" ht="15.75" customHeight="1">
      <c r="A1223" s="10"/>
      <c r="B1223" s="9"/>
      <c r="C1223" s="21">
        <v>4714781020466</v>
      </c>
      <c r="D1223" s="10" t="s">
        <v>1374</v>
      </c>
      <c r="E1223" s="9">
        <v>1</v>
      </c>
      <c r="F1223" s="9">
        <v>160</v>
      </c>
      <c r="G1223" s="8">
        <f>F1223/450</f>
        <v>0.35555555555555557</v>
      </c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spans="1:26" ht="15.75" customHeight="1">
      <c r="A1224" s="10" t="s">
        <v>2617</v>
      </c>
      <c r="B1224" s="9">
        <v>2</v>
      </c>
      <c r="C1224" s="23" t="s">
        <v>1508</v>
      </c>
      <c r="D1224" s="12" t="s">
        <v>2186</v>
      </c>
      <c r="E1224" s="9">
        <v>1</v>
      </c>
      <c r="F1224" s="9">
        <v>290</v>
      </c>
      <c r="G1224" s="8">
        <f>F1224/450</f>
        <v>0.64444444444444449</v>
      </c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spans="1:26" ht="15.75" customHeight="1">
      <c r="A1225" s="10"/>
      <c r="B1225" s="9"/>
      <c r="C1225" s="21">
        <v>4714781020558</v>
      </c>
      <c r="D1225" s="10" t="s">
        <v>1370</v>
      </c>
      <c r="E1225" s="9">
        <v>1</v>
      </c>
      <c r="F1225" s="9">
        <v>160</v>
      </c>
      <c r="G1225" s="8">
        <f>F1225/450</f>
        <v>0.35555555555555557</v>
      </c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spans="1:26" ht="15.75" customHeight="1">
      <c r="A1226" s="10" t="s">
        <v>2616</v>
      </c>
      <c r="B1226" s="9">
        <v>2</v>
      </c>
      <c r="C1226" s="23" t="s">
        <v>1508</v>
      </c>
      <c r="D1226" s="12" t="s">
        <v>2186</v>
      </c>
      <c r="E1226" s="9">
        <v>1</v>
      </c>
      <c r="F1226" s="9">
        <v>290</v>
      </c>
      <c r="G1226" s="8">
        <f>F1226/450</f>
        <v>0.64444444444444449</v>
      </c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spans="1:26" ht="15.75" customHeight="1">
      <c r="A1227" s="10"/>
      <c r="B1227" s="9"/>
      <c r="C1227" s="21">
        <v>4714781020503</v>
      </c>
      <c r="D1227" s="10" t="s">
        <v>1372</v>
      </c>
      <c r="E1227" s="9">
        <v>1</v>
      </c>
      <c r="F1227" s="9">
        <v>160</v>
      </c>
      <c r="G1227" s="8">
        <f>F1227/450</f>
        <v>0.35555555555555557</v>
      </c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spans="1:26" ht="15.75" customHeight="1">
      <c r="A1228" s="10" t="s">
        <v>2615</v>
      </c>
      <c r="B1228" s="9">
        <v>2</v>
      </c>
      <c r="C1228" s="23" t="s">
        <v>1531</v>
      </c>
      <c r="D1228" s="12" t="s">
        <v>2194</v>
      </c>
      <c r="E1228" s="9">
        <v>1</v>
      </c>
      <c r="F1228" s="9">
        <v>290</v>
      </c>
      <c r="G1228" s="8">
        <f>F1228/430</f>
        <v>0.67441860465116277</v>
      </c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spans="1:26" ht="15.75" customHeight="1">
      <c r="A1229" s="10"/>
      <c r="B1229" s="9"/>
      <c r="C1229" s="23">
        <v>4714781021012</v>
      </c>
      <c r="D1229" s="12" t="s">
        <v>1703</v>
      </c>
      <c r="E1229" s="9">
        <v>1</v>
      </c>
      <c r="F1229" s="9">
        <v>140</v>
      </c>
      <c r="G1229" s="8">
        <f>F1229/430</f>
        <v>0.32558139534883723</v>
      </c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spans="1:26" ht="15.75" customHeight="1">
      <c r="A1230" s="10" t="s">
        <v>2614</v>
      </c>
      <c r="B1230" s="9">
        <v>2</v>
      </c>
      <c r="C1230" s="23" t="s">
        <v>1531</v>
      </c>
      <c r="D1230" s="12" t="s">
        <v>2194</v>
      </c>
      <c r="E1230" s="9">
        <v>1</v>
      </c>
      <c r="F1230" s="9">
        <v>290</v>
      </c>
      <c r="G1230" s="8">
        <f>F1230/430</f>
        <v>0.67441860465116277</v>
      </c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spans="1:26" ht="15.75" customHeight="1">
      <c r="A1231" s="10"/>
      <c r="B1231" s="9"/>
      <c r="C1231" s="23">
        <v>4714781021029</v>
      </c>
      <c r="D1231" s="12" t="s">
        <v>1452</v>
      </c>
      <c r="E1231" s="9">
        <v>1</v>
      </c>
      <c r="F1231" s="9">
        <v>140</v>
      </c>
      <c r="G1231" s="8">
        <f>F1231/430</f>
        <v>0.32558139534883723</v>
      </c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spans="1:26" ht="15.75" customHeight="1">
      <c r="A1232" s="10" t="s">
        <v>2613</v>
      </c>
      <c r="B1232" s="9">
        <v>2</v>
      </c>
      <c r="C1232" s="23" t="s">
        <v>1531</v>
      </c>
      <c r="D1232" s="12" t="s">
        <v>2194</v>
      </c>
      <c r="E1232" s="9">
        <v>1</v>
      </c>
      <c r="F1232" s="9">
        <v>290</v>
      </c>
      <c r="G1232" s="8">
        <f>F1232/430</f>
        <v>0.67441860465116277</v>
      </c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spans="1:26" ht="15.75" customHeight="1">
      <c r="A1233" s="10"/>
      <c r="B1233" s="9"/>
      <c r="C1233" s="6">
        <v>4714781021609</v>
      </c>
      <c r="D1233" s="12" t="s">
        <v>1454</v>
      </c>
      <c r="E1233" s="9">
        <v>1</v>
      </c>
      <c r="F1233" s="9">
        <v>140</v>
      </c>
      <c r="G1233" s="8">
        <f>F1233/430</f>
        <v>0.32558139534883723</v>
      </c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spans="1:26" ht="15.75" customHeight="1">
      <c r="A1234" s="10" t="s">
        <v>2612</v>
      </c>
      <c r="B1234" s="9">
        <v>2</v>
      </c>
      <c r="C1234" s="23" t="s">
        <v>1510</v>
      </c>
      <c r="D1234" s="12" t="s">
        <v>2190</v>
      </c>
      <c r="E1234" s="9">
        <v>1</v>
      </c>
      <c r="F1234" s="9">
        <v>290</v>
      </c>
      <c r="G1234" s="8">
        <f>F1234/430</f>
        <v>0.67441860465116277</v>
      </c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spans="1:26" ht="15.75" customHeight="1">
      <c r="A1235" s="10"/>
      <c r="B1235" s="9"/>
      <c r="C1235" s="23">
        <v>4714781021012</v>
      </c>
      <c r="D1235" s="12" t="s">
        <v>1703</v>
      </c>
      <c r="E1235" s="9">
        <v>1</v>
      </c>
      <c r="F1235" s="9">
        <v>140</v>
      </c>
      <c r="G1235" s="8">
        <f>F1235/430</f>
        <v>0.32558139534883723</v>
      </c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spans="1:26" ht="15.75" customHeight="1">
      <c r="A1236" s="10" t="s">
        <v>2611</v>
      </c>
      <c r="B1236" s="9">
        <v>2</v>
      </c>
      <c r="C1236" s="23" t="s">
        <v>1510</v>
      </c>
      <c r="D1236" s="12" t="s">
        <v>2190</v>
      </c>
      <c r="E1236" s="9">
        <v>1</v>
      </c>
      <c r="F1236" s="9">
        <v>290</v>
      </c>
      <c r="G1236" s="8">
        <f>F1236/430</f>
        <v>0.67441860465116277</v>
      </c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spans="1:26" ht="15.75" customHeight="1">
      <c r="B1237" s="9"/>
      <c r="C1237" s="23">
        <v>4714781021029</v>
      </c>
      <c r="D1237" s="12" t="s">
        <v>1452</v>
      </c>
      <c r="E1237" s="9">
        <v>1</v>
      </c>
      <c r="F1237" s="9">
        <v>140</v>
      </c>
      <c r="G1237" s="8">
        <f>F1237/430</f>
        <v>0.32558139534883723</v>
      </c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spans="1:26" ht="15.75" customHeight="1">
      <c r="A1238" s="10" t="s">
        <v>2610</v>
      </c>
      <c r="B1238" s="9">
        <v>2</v>
      </c>
      <c r="C1238" s="23" t="s">
        <v>1510</v>
      </c>
      <c r="D1238" s="12" t="s">
        <v>2190</v>
      </c>
      <c r="E1238" s="9">
        <v>1</v>
      </c>
      <c r="F1238" s="9">
        <v>290</v>
      </c>
      <c r="G1238" s="8">
        <f>F1238/430</f>
        <v>0.67441860465116277</v>
      </c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spans="1:26" ht="15.75" customHeight="1">
      <c r="B1239" s="9"/>
      <c r="C1239" s="6">
        <v>4714781021609</v>
      </c>
      <c r="D1239" s="12" t="s">
        <v>1454</v>
      </c>
      <c r="E1239" s="9">
        <v>1</v>
      </c>
      <c r="F1239" s="9">
        <v>140</v>
      </c>
      <c r="G1239" s="8">
        <f>F1239/430</f>
        <v>0.32558139534883723</v>
      </c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spans="1:26" ht="15.75" customHeight="1">
      <c r="A1240" s="10" t="s">
        <v>2609</v>
      </c>
      <c r="B1240" s="9">
        <v>2</v>
      </c>
      <c r="C1240" s="23" t="s">
        <v>1506</v>
      </c>
      <c r="D1240" s="12" t="s">
        <v>2188</v>
      </c>
      <c r="E1240" s="9">
        <v>1</v>
      </c>
      <c r="F1240" s="9">
        <v>290</v>
      </c>
      <c r="G1240" s="8">
        <f>F1240/430</f>
        <v>0.67441860465116277</v>
      </c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spans="1:26" ht="15.75" customHeight="1">
      <c r="A1241" s="10"/>
      <c r="B1241" s="9"/>
      <c r="C1241" s="23">
        <v>4714781021012</v>
      </c>
      <c r="D1241" s="12" t="s">
        <v>1703</v>
      </c>
      <c r="E1241" s="9">
        <v>1</v>
      </c>
      <c r="F1241" s="9">
        <v>140</v>
      </c>
      <c r="G1241" s="8">
        <f>F1241/430</f>
        <v>0.32558139534883723</v>
      </c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spans="1:26" ht="15.75" customHeight="1">
      <c r="A1242" s="10" t="s">
        <v>2608</v>
      </c>
      <c r="B1242" s="9">
        <v>2</v>
      </c>
      <c r="C1242" s="23" t="s">
        <v>1506</v>
      </c>
      <c r="D1242" s="12" t="s">
        <v>2188</v>
      </c>
      <c r="E1242" s="9">
        <v>1</v>
      </c>
      <c r="F1242" s="9">
        <v>290</v>
      </c>
      <c r="G1242" s="8">
        <f>F1242/430</f>
        <v>0.67441860465116277</v>
      </c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spans="1:26" ht="15.75" customHeight="1">
      <c r="A1243" s="10"/>
      <c r="B1243" s="9"/>
      <c r="C1243" s="23">
        <v>4714781021029</v>
      </c>
      <c r="D1243" s="12" t="s">
        <v>1452</v>
      </c>
      <c r="E1243" s="9">
        <v>1</v>
      </c>
      <c r="F1243" s="9">
        <v>140</v>
      </c>
      <c r="G1243" s="8">
        <f>F1243/430</f>
        <v>0.32558139534883723</v>
      </c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spans="1:26" ht="15.75" customHeight="1">
      <c r="A1244" s="10" t="s">
        <v>2607</v>
      </c>
      <c r="B1244" s="9">
        <v>2</v>
      </c>
      <c r="C1244" s="23" t="s">
        <v>1506</v>
      </c>
      <c r="D1244" s="12" t="s">
        <v>2188</v>
      </c>
      <c r="E1244" s="9">
        <v>1</v>
      </c>
      <c r="F1244" s="9">
        <v>290</v>
      </c>
      <c r="G1244" s="8">
        <f>F1244/430</f>
        <v>0.67441860465116277</v>
      </c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spans="1:26" ht="15.75" customHeight="1">
      <c r="A1245" s="10"/>
      <c r="B1245" s="9"/>
      <c r="C1245" s="6">
        <v>4714781021609</v>
      </c>
      <c r="D1245" s="12" t="s">
        <v>1454</v>
      </c>
      <c r="E1245" s="9">
        <v>1</v>
      </c>
      <c r="F1245" s="9">
        <v>140</v>
      </c>
      <c r="G1245" s="8">
        <f>F1245/430</f>
        <v>0.32558139534883723</v>
      </c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spans="1:26" ht="15.75" customHeight="1">
      <c r="A1246" s="10" t="s">
        <v>2606</v>
      </c>
      <c r="B1246" s="9">
        <v>2</v>
      </c>
      <c r="C1246" s="23" t="s">
        <v>1508</v>
      </c>
      <c r="D1246" s="12" t="s">
        <v>2186</v>
      </c>
      <c r="E1246" s="9">
        <v>1</v>
      </c>
      <c r="F1246" s="9">
        <v>290</v>
      </c>
      <c r="G1246" s="8">
        <f>F1246/430</f>
        <v>0.67441860465116277</v>
      </c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spans="1:26" ht="15.75" customHeight="1">
      <c r="A1247" s="10"/>
      <c r="B1247" s="9"/>
      <c r="C1247" s="23">
        <v>4714781021012</v>
      </c>
      <c r="D1247" s="12" t="s">
        <v>1703</v>
      </c>
      <c r="E1247" s="9">
        <v>1</v>
      </c>
      <c r="F1247" s="9">
        <v>140</v>
      </c>
      <c r="G1247" s="8">
        <f>F1247/430</f>
        <v>0.32558139534883723</v>
      </c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spans="1:26" ht="15.75" customHeight="1">
      <c r="A1248" s="10" t="s">
        <v>2605</v>
      </c>
      <c r="B1248" s="9">
        <v>2</v>
      </c>
      <c r="C1248" s="23" t="s">
        <v>1508</v>
      </c>
      <c r="D1248" s="12" t="s">
        <v>2186</v>
      </c>
      <c r="E1248" s="9">
        <v>1</v>
      </c>
      <c r="F1248" s="9">
        <v>290</v>
      </c>
      <c r="G1248" s="8">
        <f>F1248/430</f>
        <v>0.67441860465116277</v>
      </c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spans="1:26" ht="15.75" customHeight="1">
      <c r="A1249" s="10"/>
      <c r="B1249" s="9"/>
      <c r="C1249" s="23">
        <v>4714781021029</v>
      </c>
      <c r="D1249" s="12" t="s">
        <v>1452</v>
      </c>
      <c r="E1249" s="9">
        <v>1</v>
      </c>
      <c r="F1249" s="9">
        <v>140</v>
      </c>
      <c r="G1249" s="8">
        <f>F1249/430</f>
        <v>0.32558139534883723</v>
      </c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spans="1:26" ht="15.75" customHeight="1">
      <c r="A1250" s="10" t="s">
        <v>2604</v>
      </c>
      <c r="B1250" s="9">
        <v>2</v>
      </c>
      <c r="C1250" s="23" t="s">
        <v>1508</v>
      </c>
      <c r="D1250" s="12" t="s">
        <v>2186</v>
      </c>
      <c r="E1250" s="9">
        <v>1</v>
      </c>
      <c r="F1250" s="9">
        <v>290</v>
      </c>
      <c r="G1250" s="8">
        <f>F1250/430</f>
        <v>0.67441860465116277</v>
      </c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spans="1:26" ht="15.75" customHeight="1">
      <c r="A1251" s="10"/>
      <c r="B1251" s="9"/>
      <c r="C1251" s="6">
        <v>4714781021609</v>
      </c>
      <c r="D1251" s="12" t="s">
        <v>1454</v>
      </c>
      <c r="E1251" s="9">
        <v>1</v>
      </c>
      <c r="F1251" s="9">
        <v>140</v>
      </c>
      <c r="G1251" s="8">
        <f>F1251/430</f>
        <v>0.32558139534883723</v>
      </c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spans="1:26" ht="15.75" customHeight="1">
      <c r="A1252" s="10" t="s">
        <v>2603</v>
      </c>
      <c r="B1252" s="9">
        <v>3</v>
      </c>
      <c r="C1252" s="23" t="s">
        <v>1531</v>
      </c>
      <c r="D1252" s="12" t="s">
        <v>2194</v>
      </c>
      <c r="E1252" s="9">
        <v>1</v>
      </c>
      <c r="F1252" s="9">
        <v>290</v>
      </c>
      <c r="G1252" s="8">
        <f>F1252/550</f>
        <v>0.52727272727272723</v>
      </c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spans="1:26" ht="15.75" customHeight="1">
      <c r="A1253" s="10"/>
      <c r="B1253" s="9"/>
      <c r="C1253" s="21" t="s">
        <v>1619</v>
      </c>
      <c r="D1253" s="10" t="s">
        <v>1376</v>
      </c>
      <c r="E1253" s="9">
        <v>1</v>
      </c>
      <c r="F1253" s="9">
        <v>130</v>
      </c>
      <c r="G1253" s="8">
        <f>F1253/550</f>
        <v>0.23636363636363636</v>
      </c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spans="1:26" ht="15.75" customHeight="1">
      <c r="A1254" s="10"/>
      <c r="B1254" s="9"/>
      <c r="C1254" s="21">
        <v>4714781020770</v>
      </c>
      <c r="D1254" s="10" t="s">
        <v>1380</v>
      </c>
      <c r="E1254" s="9">
        <v>1</v>
      </c>
      <c r="F1254" s="9">
        <v>130</v>
      </c>
      <c r="G1254" s="8">
        <f>F1254/550</f>
        <v>0.23636363636363636</v>
      </c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spans="1:26" ht="15.75" customHeight="1">
      <c r="A1255" s="10" t="s">
        <v>2602</v>
      </c>
      <c r="B1255" s="9">
        <v>3</v>
      </c>
      <c r="C1255" s="23" t="s">
        <v>1510</v>
      </c>
      <c r="D1255" s="12" t="s">
        <v>2190</v>
      </c>
      <c r="E1255" s="9">
        <v>1</v>
      </c>
      <c r="F1255" s="9">
        <v>290</v>
      </c>
      <c r="G1255" s="8">
        <f>F1255/550</f>
        <v>0.52727272727272723</v>
      </c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spans="1:26" ht="15.75" customHeight="1">
      <c r="A1256" s="10"/>
      <c r="B1256" s="9"/>
      <c r="C1256" s="21" t="s">
        <v>1619</v>
      </c>
      <c r="D1256" s="10" t="s">
        <v>1376</v>
      </c>
      <c r="E1256" s="9">
        <v>1</v>
      </c>
      <c r="F1256" s="9">
        <v>130</v>
      </c>
      <c r="G1256" s="8">
        <f>F1256/550</f>
        <v>0.23636363636363636</v>
      </c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spans="1:26" ht="15.75" customHeight="1">
      <c r="A1257" s="10"/>
      <c r="B1257" s="9"/>
      <c r="C1257" s="21">
        <v>4714781020770</v>
      </c>
      <c r="D1257" s="10" t="s">
        <v>1380</v>
      </c>
      <c r="E1257" s="9">
        <v>1</v>
      </c>
      <c r="F1257" s="9">
        <v>130</v>
      </c>
      <c r="G1257" s="8">
        <f>F1257/550</f>
        <v>0.23636363636363636</v>
      </c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spans="1:26" ht="15.75" customHeight="1">
      <c r="A1258" s="10" t="s">
        <v>2601</v>
      </c>
      <c r="B1258" s="9">
        <v>3</v>
      </c>
      <c r="C1258" s="23" t="s">
        <v>1506</v>
      </c>
      <c r="D1258" s="12" t="s">
        <v>2188</v>
      </c>
      <c r="E1258" s="9">
        <v>1</v>
      </c>
      <c r="F1258" s="9">
        <v>290</v>
      </c>
      <c r="G1258" s="8">
        <f>F1258/550</f>
        <v>0.52727272727272723</v>
      </c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spans="1:26" ht="15.75" customHeight="1">
      <c r="A1259" s="10"/>
      <c r="B1259" s="9"/>
      <c r="C1259" s="21" t="s">
        <v>1619</v>
      </c>
      <c r="D1259" s="10" t="s">
        <v>1376</v>
      </c>
      <c r="E1259" s="9">
        <v>1</v>
      </c>
      <c r="F1259" s="9">
        <v>130</v>
      </c>
      <c r="G1259" s="8">
        <f>F1259/550</f>
        <v>0.23636363636363636</v>
      </c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spans="1:26" ht="15.75" customHeight="1">
      <c r="A1260" s="10"/>
      <c r="B1260" s="9"/>
      <c r="C1260" s="21">
        <v>4714781020770</v>
      </c>
      <c r="D1260" s="10" t="s">
        <v>1380</v>
      </c>
      <c r="E1260" s="9">
        <v>1</v>
      </c>
      <c r="F1260" s="9">
        <v>130</v>
      </c>
      <c r="G1260" s="8">
        <f>F1260/550</f>
        <v>0.23636363636363636</v>
      </c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spans="1:26" ht="15.75" customHeight="1">
      <c r="A1261" s="10" t="s">
        <v>2600</v>
      </c>
      <c r="B1261" s="9">
        <v>3</v>
      </c>
      <c r="C1261" s="23" t="s">
        <v>1508</v>
      </c>
      <c r="D1261" s="12" t="s">
        <v>2186</v>
      </c>
      <c r="E1261" s="9">
        <v>1</v>
      </c>
      <c r="F1261" s="9">
        <v>290</v>
      </c>
      <c r="G1261" s="8">
        <f>F1261/550</f>
        <v>0.52727272727272723</v>
      </c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spans="1:26" ht="15.75" customHeight="1">
      <c r="A1262" s="10"/>
      <c r="B1262" s="9"/>
      <c r="C1262" s="21" t="s">
        <v>1619</v>
      </c>
      <c r="D1262" s="10" t="s">
        <v>1376</v>
      </c>
      <c r="E1262" s="9">
        <v>1</v>
      </c>
      <c r="F1262" s="9">
        <v>130</v>
      </c>
      <c r="G1262" s="8">
        <f>F1262/550</f>
        <v>0.23636363636363636</v>
      </c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spans="1:26" ht="15.75" customHeight="1">
      <c r="A1263" s="10"/>
      <c r="B1263" s="9"/>
      <c r="C1263" s="21">
        <v>4714781020770</v>
      </c>
      <c r="D1263" s="10" t="s">
        <v>1380</v>
      </c>
      <c r="E1263" s="9">
        <v>1</v>
      </c>
      <c r="F1263" s="9">
        <v>130</v>
      </c>
      <c r="G1263" s="8">
        <f>F1263/550</f>
        <v>0.23636363636363636</v>
      </c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spans="1:26" ht="15.75" customHeight="1">
      <c r="A1264" s="10" t="s">
        <v>2599</v>
      </c>
      <c r="B1264" s="9">
        <v>3</v>
      </c>
      <c r="C1264" s="23" t="s">
        <v>1531</v>
      </c>
      <c r="D1264" s="12" t="s">
        <v>2194</v>
      </c>
      <c r="E1264" s="9">
        <v>1</v>
      </c>
      <c r="F1264" s="9">
        <v>290</v>
      </c>
      <c r="G1264" s="8">
        <f>F1264/550</f>
        <v>0.52727272727272723</v>
      </c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spans="1:26" ht="15.75" customHeight="1">
      <c r="A1265" s="10"/>
      <c r="B1265" s="9"/>
      <c r="C1265" s="21" t="s">
        <v>1619</v>
      </c>
      <c r="D1265" s="10" t="s">
        <v>1376</v>
      </c>
      <c r="E1265" s="9">
        <v>1</v>
      </c>
      <c r="F1265" s="9">
        <v>130</v>
      </c>
      <c r="G1265" s="8">
        <f>F1265/550</f>
        <v>0.23636363636363636</v>
      </c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spans="1:26" ht="15.75" customHeight="1">
      <c r="A1266" s="10"/>
      <c r="B1266" s="9"/>
      <c r="C1266" s="21">
        <v>4714781020787</v>
      </c>
      <c r="D1266" s="10" t="s">
        <v>1378</v>
      </c>
      <c r="E1266" s="9">
        <v>1</v>
      </c>
      <c r="F1266" s="9">
        <v>130</v>
      </c>
      <c r="G1266" s="8">
        <f>F1266/550</f>
        <v>0.23636363636363636</v>
      </c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spans="1:26" ht="15.75" customHeight="1">
      <c r="A1267" s="10" t="s">
        <v>2598</v>
      </c>
      <c r="B1267" s="9">
        <v>3</v>
      </c>
      <c r="C1267" s="23" t="s">
        <v>1510</v>
      </c>
      <c r="D1267" s="12" t="s">
        <v>2190</v>
      </c>
      <c r="E1267" s="9">
        <v>1</v>
      </c>
      <c r="F1267" s="9">
        <v>290</v>
      </c>
      <c r="G1267" s="8">
        <f>F1267/550</f>
        <v>0.52727272727272723</v>
      </c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spans="1:26" ht="15.75" customHeight="1">
      <c r="A1268" s="10"/>
      <c r="B1268" s="9"/>
      <c r="C1268" s="21" t="s">
        <v>1619</v>
      </c>
      <c r="D1268" s="10" t="s">
        <v>1376</v>
      </c>
      <c r="E1268" s="9">
        <v>1</v>
      </c>
      <c r="F1268" s="9">
        <v>130</v>
      </c>
      <c r="G1268" s="8">
        <f>F1268/550</f>
        <v>0.23636363636363636</v>
      </c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spans="1:26" ht="15.75" customHeight="1">
      <c r="A1269" s="10"/>
      <c r="B1269" s="9"/>
      <c r="C1269" s="21">
        <v>4714781020787</v>
      </c>
      <c r="D1269" s="10" t="s">
        <v>1378</v>
      </c>
      <c r="E1269" s="9">
        <v>1</v>
      </c>
      <c r="F1269" s="9">
        <v>130</v>
      </c>
      <c r="G1269" s="8">
        <f>F1269/550</f>
        <v>0.23636363636363636</v>
      </c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spans="1:26" ht="15.75" customHeight="1">
      <c r="A1270" s="10" t="s">
        <v>2597</v>
      </c>
      <c r="B1270" s="9">
        <v>3</v>
      </c>
      <c r="C1270" s="23" t="s">
        <v>1506</v>
      </c>
      <c r="D1270" s="12" t="s">
        <v>2188</v>
      </c>
      <c r="E1270" s="9">
        <v>1</v>
      </c>
      <c r="F1270" s="9">
        <v>290</v>
      </c>
      <c r="G1270" s="8">
        <f>F1270/550</f>
        <v>0.52727272727272723</v>
      </c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spans="1:26" ht="15.75" customHeight="1">
      <c r="A1271" s="10"/>
      <c r="B1271" s="9"/>
      <c r="C1271" s="21" t="s">
        <v>1619</v>
      </c>
      <c r="D1271" s="10" t="s">
        <v>1376</v>
      </c>
      <c r="E1271" s="9">
        <v>1</v>
      </c>
      <c r="F1271" s="9">
        <v>130</v>
      </c>
      <c r="G1271" s="8">
        <f>F1271/550</f>
        <v>0.23636363636363636</v>
      </c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spans="1:26" ht="15.75" customHeight="1">
      <c r="A1272" s="10"/>
      <c r="B1272" s="9"/>
      <c r="C1272" s="21">
        <v>4714781020787</v>
      </c>
      <c r="D1272" s="10" t="s">
        <v>1378</v>
      </c>
      <c r="E1272" s="9">
        <v>1</v>
      </c>
      <c r="F1272" s="9">
        <v>130</v>
      </c>
      <c r="G1272" s="8">
        <f>F1272/550</f>
        <v>0.23636363636363636</v>
      </c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spans="1:26" ht="15.75" customHeight="1">
      <c r="A1273" s="10" t="s">
        <v>2596</v>
      </c>
      <c r="B1273" s="9">
        <v>3</v>
      </c>
      <c r="C1273" s="23" t="s">
        <v>1508</v>
      </c>
      <c r="D1273" s="12" t="s">
        <v>2186</v>
      </c>
      <c r="E1273" s="9">
        <v>1</v>
      </c>
      <c r="F1273" s="9">
        <v>290</v>
      </c>
      <c r="G1273" s="8">
        <f>F1273/550</f>
        <v>0.52727272727272723</v>
      </c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spans="1:26" ht="15.75" customHeight="1">
      <c r="A1274" s="10"/>
      <c r="B1274" s="9"/>
      <c r="C1274" s="21" t="s">
        <v>1619</v>
      </c>
      <c r="D1274" s="10" t="s">
        <v>1376</v>
      </c>
      <c r="E1274" s="9">
        <v>1</v>
      </c>
      <c r="F1274" s="9">
        <v>130</v>
      </c>
      <c r="G1274" s="8">
        <f>F1274/550</f>
        <v>0.23636363636363636</v>
      </c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 spans="1:26" ht="15.75" customHeight="1">
      <c r="A1275" s="10"/>
      <c r="B1275" s="9"/>
      <c r="C1275" s="21">
        <v>4714781020787</v>
      </c>
      <c r="D1275" s="10" t="s">
        <v>1378</v>
      </c>
      <c r="E1275" s="9">
        <v>1</v>
      </c>
      <c r="F1275" s="9">
        <v>130</v>
      </c>
      <c r="G1275" s="8">
        <f>F1275/550</f>
        <v>0.23636363636363636</v>
      </c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 spans="1:26" ht="15.75" customHeight="1">
      <c r="A1276" s="10" t="s">
        <v>2595</v>
      </c>
      <c r="B1276" s="9">
        <v>3</v>
      </c>
      <c r="C1276" s="6">
        <v>4714781021609</v>
      </c>
      <c r="D1276" s="12" t="s">
        <v>1454</v>
      </c>
      <c r="E1276" s="9">
        <v>2</v>
      </c>
      <c r="F1276" s="9">
        <v>260</v>
      </c>
      <c r="G1276" s="8">
        <f>F1276/780</f>
        <v>0.33333333333333331</v>
      </c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 spans="1:26" ht="15.75" customHeight="1">
      <c r="A1277" s="10"/>
      <c r="B1277" s="12"/>
      <c r="C1277" s="23">
        <v>4714781021012</v>
      </c>
      <c r="D1277" s="12" t="s">
        <v>1703</v>
      </c>
      <c r="E1277" s="9">
        <v>2</v>
      </c>
      <c r="F1277" s="9">
        <v>260</v>
      </c>
      <c r="G1277" s="8">
        <f>F1277/780</f>
        <v>0.33333333333333331</v>
      </c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 spans="1:26" ht="15.75" customHeight="1">
      <c r="A1278" s="10"/>
      <c r="B1278" s="12"/>
      <c r="C1278" s="23">
        <v>4714781021029</v>
      </c>
      <c r="D1278" s="12" t="s">
        <v>1452</v>
      </c>
      <c r="E1278" s="9">
        <v>2</v>
      </c>
      <c r="F1278" s="9">
        <v>260</v>
      </c>
      <c r="G1278" s="8">
        <f>F1278/780</f>
        <v>0.33333333333333331</v>
      </c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 spans="1:26" ht="15.75" customHeight="1">
      <c r="A1279" s="10" t="s">
        <v>2594</v>
      </c>
      <c r="B1279" s="9">
        <v>1</v>
      </c>
      <c r="C1279" s="6">
        <v>4714781021609</v>
      </c>
      <c r="D1279" s="12" t="s">
        <v>1454</v>
      </c>
      <c r="E1279" s="9">
        <v>6</v>
      </c>
      <c r="F1279" s="9">
        <v>780</v>
      </c>
      <c r="G1279" s="8">
        <f>F1279/780</f>
        <v>1</v>
      </c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 spans="1:26" ht="15.75" customHeight="1">
      <c r="A1280" s="10" t="s">
        <v>2593</v>
      </c>
      <c r="B1280" s="9">
        <v>1</v>
      </c>
      <c r="C1280" s="23">
        <v>4714781021012</v>
      </c>
      <c r="D1280" s="12" t="s">
        <v>1703</v>
      </c>
      <c r="E1280" s="9">
        <v>6</v>
      </c>
      <c r="F1280" s="9">
        <v>780</v>
      </c>
      <c r="G1280" s="8">
        <f>F1280/780</f>
        <v>1</v>
      </c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 spans="1:26" ht="15.75" customHeight="1">
      <c r="A1281" s="10" t="s">
        <v>2592</v>
      </c>
      <c r="B1281" s="9">
        <v>1</v>
      </c>
      <c r="C1281" s="23">
        <v>4714781021029</v>
      </c>
      <c r="D1281" s="12" t="s">
        <v>1452</v>
      </c>
      <c r="E1281" s="9">
        <v>6</v>
      </c>
      <c r="F1281" s="9">
        <v>780</v>
      </c>
      <c r="G1281" s="8">
        <f>F1281/780</f>
        <v>1</v>
      </c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 spans="1:26" ht="15.75" customHeight="1">
      <c r="A1282" s="10" t="s">
        <v>2591</v>
      </c>
      <c r="B1282" s="9">
        <v>2</v>
      </c>
      <c r="C1282" s="23">
        <v>4714781021029</v>
      </c>
      <c r="D1282" s="12" t="s">
        <v>1452</v>
      </c>
      <c r="E1282" s="9">
        <v>3</v>
      </c>
      <c r="F1282" s="9">
        <v>390</v>
      </c>
      <c r="G1282" s="8">
        <f>F1282/780</f>
        <v>0.5</v>
      </c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 spans="1:26" ht="15.75" customHeight="1">
      <c r="A1283" s="10"/>
      <c r="B1283" s="12"/>
      <c r="C1283" s="23">
        <v>4714781021012</v>
      </c>
      <c r="D1283" s="12" t="s">
        <v>1703</v>
      </c>
      <c r="E1283" s="9">
        <v>3</v>
      </c>
      <c r="F1283" s="9">
        <v>390</v>
      </c>
      <c r="G1283" s="8">
        <f>F1283/780</f>
        <v>0.5</v>
      </c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 spans="1:26" ht="15.75" customHeight="1">
      <c r="A1284" s="10" t="s">
        <v>2590</v>
      </c>
      <c r="B1284" s="9">
        <v>2</v>
      </c>
      <c r="C1284" s="23">
        <v>4714781021029</v>
      </c>
      <c r="D1284" s="12" t="s">
        <v>1452</v>
      </c>
      <c r="E1284" s="9">
        <v>3</v>
      </c>
      <c r="F1284" s="9">
        <v>390</v>
      </c>
      <c r="G1284" s="8">
        <f>F1284/780</f>
        <v>0.5</v>
      </c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 spans="1:26" ht="15.75" customHeight="1">
      <c r="A1285" s="10"/>
      <c r="B1285" s="12"/>
      <c r="C1285" s="6">
        <v>4714781021609</v>
      </c>
      <c r="D1285" s="12" t="s">
        <v>1454</v>
      </c>
      <c r="E1285" s="9">
        <v>3</v>
      </c>
      <c r="F1285" s="9">
        <v>390</v>
      </c>
      <c r="G1285" s="8">
        <f>F1285/780</f>
        <v>0.5</v>
      </c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 spans="1:26" ht="15.75" customHeight="1">
      <c r="A1286" s="10" t="s">
        <v>2589</v>
      </c>
      <c r="B1286" s="9">
        <v>2</v>
      </c>
      <c r="C1286" s="23">
        <v>4714781021012</v>
      </c>
      <c r="D1286" s="12" t="s">
        <v>1703</v>
      </c>
      <c r="E1286" s="9">
        <v>3</v>
      </c>
      <c r="F1286" s="9">
        <v>390</v>
      </c>
      <c r="G1286" s="8">
        <f>F1286/780</f>
        <v>0.5</v>
      </c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 spans="1:26" ht="15.75" customHeight="1">
      <c r="A1287" s="10"/>
      <c r="B1287" s="12"/>
      <c r="C1287" s="6">
        <v>4714781021609</v>
      </c>
      <c r="D1287" s="12" t="s">
        <v>1454</v>
      </c>
      <c r="E1287" s="9">
        <v>3</v>
      </c>
      <c r="F1287" s="9">
        <v>390</v>
      </c>
      <c r="G1287" s="8">
        <f>F1287/780</f>
        <v>0.5</v>
      </c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 spans="1:26" ht="15.75" customHeight="1">
      <c r="A1288" s="10" t="s">
        <v>2588</v>
      </c>
      <c r="B1288" s="9">
        <v>2</v>
      </c>
      <c r="C1288" s="23">
        <v>4714781021777</v>
      </c>
      <c r="D1288" s="12" t="s">
        <v>1522</v>
      </c>
      <c r="E1288" s="9">
        <v>2</v>
      </c>
      <c r="F1288" s="9">
        <v>750</v>
      </c>
      <c r="G1288" s="8">
        <f>F1288/1320</f>
        <v>0.56818181818181823</v>
      </c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 spans="1:26" ht="15.75" customHeight="1">
      <c r="A1289" s="10"/>
      <c r="B1289" s="9"/>
      <c r="C1289" s="23" t="s">
        <v>1510</v>
      </c>
      <c r="D1289" s="12" t="s">
        <v>2190</v>
      </c>
      <c r="E1289" s="9">
        <v>2</v>
      </c>
      <c r="F1289" s="9">
        <v>570</v>
      </c>
      <c r="G1289" s="8">
        <f>F1289/1320</f>
        <v>0.43181818181818182</v>
      </c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 spans="1:26" ht="15.75" customHeight="1">
      <c r="A1290" s="10" t="s">
        <v>2587</v>
      </c>
      <c r="B1290" s="9">
        <v>2</v>
      </c>
      <c r="C1290" s="23">
        <v>4714781021777</v>
      </c>
      <c r="D1290" s="12" t="s">
        <v>1522</v>
      </c>
      <c r="E1290" s="9">
        <v>2</v>
      </c>
      <c r="F1290" s="9">
        <v>750</v>
      </c>
      <c r="G1290" s="8">
        <f>F1290/1320</f>
        <v>0.56818181818181823</v>
      </c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 spans="1:26" ht="15.75" customHeight="1">
      <c r="A1291" s="10"/>
      <c r="B1291" s="9"/>
      <c r="C1291" s="23" t="s">
        <v>1506</v>
      </c>
      <c r="D1291" s="12" t="s">
        <v>2188</v>
      </c>
      <c r="E1291" s="9">
        <v>2</v>
      </c>
      <c r="F1291" s="9">
        <v>570</v>
      </c>
      <c r="G1291" s="8">
        <f>F1291/1320</f>
        <v>0.43181818181818182</v>
      </c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 spans="1:26" ht="15.75" customHeight="1">
      <c r="A1292" s="10" t="s">
        <v>2586</v>
      </c>
      <c r="B1292" s="9">
        <v>2</v>
      </c>
      <c r="C1292" s="23">
        <v>4714781021777</v>
      </c>
      <c r="D1292" s="12" t="s">
        <v>1522</v>
      </c>
      <c r="E1292" s="9">
        <v>2</v>
      </c>
      <c r="F1292" s="9">
        <v>750</v>
      </c>
      <c r="G1292" s="8">
        <f>F1292/1320</f>
        <v>0.56818181818181823</v>
      </c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 spans="1:26" ht="15.75" customHeight="1">
      <c r="A1293" s="10"/>
      <c r="B1293" s="9"/>
      <c r="C1293" s="23" t="s">
        <v>1508</v>
      </c>
      <c r="D1293" s="12" t="s">
        <v>2186</v>
      </c>
      <c r="E1293" s="9">
        <v>2</v>
      </c>
      <c r="F1293" s="9">
        <v>570</v>
      </c>
      <c r="G1293" s="8">
        <f>F1293/1320</f>
        <v>0.43181818181818182</v>
      </c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 spans="1:26" ht="15.75" customHeight="1">
      <c r="A1294" s="10" t="s">
        <v>2585</v>
      </c>
      <c r="B1294" s="9">
        <v>2</v>
      </c>
      <c r="C1294" s="23">
        <v>4714781021777</v>
      </c>
      <c r="D1294" s="12" t="s">
        <v>1522</v>
      </c>
      <c r="E1294" s="9">
        <v>2</v>
      </c>
      <c r="F1294" s="9">
        <v>750</v>
      </c>
      <c r="G1294" s="8">
        <f>F1294/1320</f>
        <v>0.56818181818181823</v>
      </c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 spans="1:26" ht="15.75" customHeight="1">
      <c r="A1295" s="10"/>
      <c r="B1295" s="9"/>
      <c r="C1295" s="23" t="s">
        <v>1531</v>
      </c>
      <c r="D1295" s="12" t="s">
        <v>2194</v>
      </c>
      <c r="E1295" s="9">
        <v>2</v>
      </c>
      <c r="F1295" s="9">
        <v>570</v>
      </c>
      <c r="G1295" s="8">
        <f>F1295/1320</f>
        <v>0.43181818181818182</v>
      </c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 spans="1:26" ht="15.75" customHeight="1">
      <c r="A1296" s="10" t="s">
        <v>2584</v>
      </c>
      <c r="B1296" s="9">
        <v>3</v>
      </c>
      <c r="C1296" s="23">
        <v>4714781021777</v>
      </c>
      <c r="D1296" s="12" t="s">
        <v>1522</v>
      </c>
      <c r="E1296" s="9">
        <v>2</v>
      </c>
      <c r="F1296" s="9">
        <v>750</v>
      </c>
      <c r="G1296" s="8">
        <f>F1296/1320</f>
        <v>0.56818181818181823</v>
      </c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 spans="1:26" ht="15.75" customHeight="1">
      <c r="A1297" s="10"/>
      <c r="B1297" s="9"/>
      <c r="C1297" s="23" t="s">
        <v>1510</v>
      </c>
      <c r="D1297" s="12" t="s">
        <v>2190</v>
      </c>
      <c r="E1297" s="9">
        <v>1</v>
      </c>
      <c r="F1297" s="9">
        <v>285</v>
      </c>
      <c r="G1297" s="8">
        <f>F1297/1320</f>
        <v>0.21590909090909091</v>
      </c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 spans="1:26" ht="15.75" customHeight="1">
      <c r="A1298" s="10"/>
      <c r="B1298" s="9"/>
      <c r="C1298" s="23" t="s">
        <v>1531</v>
      </c>
      <c r="D1298" s="12" t="s">
        <v>2194</v>
      </c>
      <c r="E1298" s="9">
        <v>1</v>
      </c>
      <c r="F1298" s="9">
        <v>285</v>
      </c>
      <c r="G1298" s="8">
        <f>F1298/1320</f>
        <v>0.21590909090909091</v>
      </c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 spans="1:26" ht="15.75" customHeight="1">
      <c r="A1299" s="10" t="s">
        <v>2583</v>
      </c>
      <c r="B1299" s="9">
        <v>3</v>
      </c>
      <c r="C1299" s="23">
        <v>4714781021777</v>
      </c>
      <c r="D1299" s="12" t="s">
        <v>1522</v>
      </c>
      <c r="E1299" s="9">
        <v>2</v>
      </c>
      <c r="F1299" s="9">
        <v>750</v>
      </c>
      <c r="G1299" s="8">
        <f>F1299/1320</f>
        <v>0.56818181818181823</v>
      </c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 spans="1:26" ht="15.75" customHeight="1">
      <c r="A1300" s="10"/>
      <c r="B1300" s="9"/>
      <c r="C1300" s="23" t="s">
        <v>1531</v>
      </c>
      <c r="D1300" s="12" t="s">
        <v>2194</v>
      </c>
      <c r="E1300" s="9">
        <v>1</v>
      </c>
      <c r="F1300" s="9">
        <v>285</v>
      </c>
      <c r="G1300" s="8">
        <f>F1300/1320</f>
        <v>0.21590909090909091</v>
      </c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 spans="1:26" ht="15.75" customHeight="1">
      <c r="A1301" s="10"/>
      <c r="B1301" s="9"/>
      <c r="C1301" s="23" t="s">
        <v>1508</v>
      </c>
      <c r="D1301" s="12" t="s">
        <v>2186</v>
      </c>
      <c r="E1301" s="9">
        <v>1</v>
      </c>
      <c r="F1301" s="9">
        <v>285</v>
      </c>
      <c r="G1301" s="8">
        <f>F1301/1320</f>
        <v>0.21590909090909091</v>
      </c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 spans="1:26" ht="15.75" customHeight="1">
      <c r="A1302" s="10" t="s">
        <v>2582</v>
      </c>
      <c r="B1302" s="9">
        <v>3</v>
      </c>
      <c r="C1302" s="23">
        <v>4714781021777</v>
      </c>
      <c r="D1302" s="12" t="s">
        <v>1522</v>
      </c>
      <c r="E1302" s="9">
        <v>2</v>
      </c>
      <c r="F1302" s="9">
        <v>750</v>
      </c>
      <c r="G1302" s="8">
        <f>F1302/1320</f>
        <v>0.56818181818181823</v>
      </c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 spans="1:26" ht="15.75" customHeight="1">
      <c r="A1303" s="10"/>
      <c r="B1303" s="9"/>
      <c r="C1303" s="23" t="s">
        <v>1531</v>
      </c>
      <c r="D1303" s="12" t="s">
        <v>2194</v>
      </c>
      <c r="E1303" s="9">
        <v>1</v>
      </c>
      <c r="F1303" s="9">
        <v>285</v>
      </c>
      <c r="G1303" s="8">
        <f>F1303/1320</f>
        <v>0.21590909090909091</v>
      </c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 spans="1:26" ht="15.75" customHeight="1">
      <c r="A1304" s="10"/>
      <c r="B1304" s="9"/>
      <c r="C1304" s="23" t="s">
        <v>1506</v>
      </c>
      <c r="D1304" s="12" t="s">
        <v>2188</v>
      </c>
      <c r="E1304" s="9">
        <v>1</v>
      </c>
      <c r="F1304" s="9">
        <v>285</v>
      </c>
      <c r="G1304" s="8">
        <f>F1304/1320</f>
        <v>0.21590909090909091</v>
      </c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 spans="1:26" ht="15.75" customHeight="1">
      <c r="A1305" s="10" t="s">
        <v>2581</v>
      </c>
      <c r="B1305" s="9">
        <v>3</v>
      </c>
      <c r="C1305" s="23">
        <v>4714781021777</v>
      </c>
      <c r="D1305" s="12" t="s">
        <v>1522</v>
      </c>
      <c r="E1305" s="9">
        <v>2</v>
      </c>
      <c r="F1305" s="9">
        <v>750</v>
      </c>
      <c r="G1305" s="8">
        <f>F1305/1320</f>
        <v>0.56818181818181823</v>
      </c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 spans="1:26" ht="15.75" customHeight="1">
      <c r="A1306" s="10"/>
      <c r="B1306" s="9"/>
      <c r="C1306" s="23" t="s">
        <v>1510</v>
      </c>
      <c r="D1306" s="12" t="s">
        <v>2190</v>
      </c>
      <c r="E1306" s="9">
        <v>1</v>
      </c>
      <c r="F1306" s="9">
        <v>285</v>
      </c>
      <c r="G1306" s="8">
        <f>F1306/1320</f>
        <v>0.21590909090909091</v>
      </c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 spans="1:26" ht="15.75" customHeight="1">
      <c r="A1307" s="10"/>
      <c r="B1307" s="9"/>
      <c r="C1307" s="23" t="s">
        <v>1506</v>
      </c>
      <c r="D1307" s="12" t="s">
        <v>2188</v>
      </c>
      <c r="E1307" s="9">
        <v>1</v>
      </c>
      <c r="F1307" s="9">
        <v>285</v>
      </c>
      <c r="G1307" s="8">
        <f>F1307/1320</f>
        <v>0.21590909090909091</v>
      </c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 spans="1:26" ht="15.75" customHeight="1">
      <c r="A1308" s="10" t="s">
        <v>2580</v>
      </c>
      <c r="B1308" s="9">
        <v>3</v>
      </c>
      <c r="C1308" s="23">
        <v>4714781021777</v>
      </c>
      <c r="D1308" s="12" t="s">
        <v>1522</v>
      </c>
      <c r="E1308" s="9">
        <v>2</v>
      </c>
      <c r="F1308" s="9">
        <v>750</v>
      </c>
      <c r="G1308" s="8">
        <f>F1308/1320</f>
        <v>0.56818181818181823</v>
      </c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 spans="1:26" ht="15.75" customHeight="1">
      <c r="A1309" s="10"/>
      <c r="B1309" s="9"/>
      <c r="C1309" s="23" t="s">
        <v>1510</v>
      </c>
      <c r="D1309" s="12" t="s">
        <v>2190</v>
      </c>
      <c r="E1309" s="9">
        <v>1</v>
      </c>
      <c r="F1309" s="9">
        <v>285</v>
      </c>
      <c r="G1309" s="8">
        <f>F1309/1320</f>
        <v>0.21590909090909091</v>
      </c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 spans="1:26" ht="15.75" customHeight="1">
      <c r="A1310" s="10"/>
      <c r="B1310" s="9"/>
      <c r="C1310" s="23" t="s">
        <v>1508</v>
      </c>
      <c r="D1310" s="12" t="s">
        <v>2186</v>
      </c>
      <c r="E1310" s="9">
        <v>1</v>
      </c>
      <c r="F1310" s="9">
        <v>285</v>
      </c>
      <c r="G1310" s="8">
        <f>F1310/1320</f>
        <v>0.21590909090909091</v>
      </c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 spans="1:26" ht="15.75" customHeight="1">
      <c r="A1311" s="10" t="s">
        <v>2579</v>
      </c>
      <c r="B1311" s="9">
        <v>3</v>
      </c>
      <c r="C1311" s="23">
        <v>4714781021777</v>
      </c>
      <c r="D1311" s="12" t="s">
        <v>1522</v>
      </c>
      <c r="E1311" s="9">
        <v>2</v>
      </c>
      <c r="F1311" s="9">
        <v>750</v>
      </c>
      <c r="G1311" s="8">
        <f>F1311/1320</f>
        <v>0.56818181818181823</v>
      </c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 spans="1:26" ht="15.75" customHeight="1">
      <c r="A1312" s="10"/>
      <c r="B1312" s="9"/>
      <c r="C1312" s="23" t="s">
        <v>1508</v>
      </c>
      <c r="D1312" s="12" t="s">
        <v>2186</v>
      </c>
      <c r="E1312" s="9">
        <v>1</v>
      </c>
      <c r="F1312" s="9">
        <v>285</v>
      </c>
      <c r="G1312" s="8">
        <f>F1312/1320</f>
        <v>0.21590909090909091</v>
      </c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 spans="1:26" ht="15.75" customHeight="1">
      <c r="A1313" s="10"/>
      <c r="B1313" s="9"/>
      <c r="C1313" s="23" t="s">
        <v>1506</v>
      </c>
      <c r="D1313" s="12" t="s">
        <v>2188</v>
      </c>
      <c r="E1313" s="9">
        <v>1</v>
      </c>
      <c r="F1313" s="9">
        <v>285</v>
      </c>
      <c r="G1313" s="8">
        <f>F1313/1320</f>
        <v>0.21590909090909091</v>
      </c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 spans="1:26" ht="15.75" customHeight="1">
      <c r="A1314" s="10" t="s">
        <v>2578</v>
      </c>
      <c r="B1314" s="9">
        <v>1</v>
      </c>
      <c r="C1314" s="21">
        <v>4714781020794</v>
      </c>
      <c r="D1314" s="10" t="s">
        <v>1320</v>
      </c>
      <c r="E1314" s="9">
        <v>2</v>
      </c>
      <c r="F1314" s="9">
        <v>230</v>
      </c>
      <c r="G1314" s="8">
        <f>F1314/230</f>
        <v>1</v>
      </c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 spans="1:26" ht="15.75" customHeight="1">
      <c r="A1315" s="10" t="s">
        <v>2577</v>
      </c>
      <c r="B1315" s="9">
        <v>1</v>
      </c>
      <c r="C1315" s="21">
        <v>4714781020800</v>
      </c>
      <c r="D1315" s="10" t="s">
        <v>1319</v>
      </c>
      <c r="E1315" s="9">
        <v>2</v>
      </c>
      <c r="F1315" s="9">
        <v>230</v>
      </c>
      <c r="G1315" s="8">
        <f>F1315/230</f>
        <v>1</v>
      </c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 spans="1:26" ht="15.75" customHeight="1">
      <c r="A1316" s="10" t="s">
        <v>2576</v>
      </c>
      <c r="B1316" s="9">
        <v>1</v>
      </c>
      <c r="C1316" s="21">
        <v>4714781020817</v>
      </c>
      <c r="D1316" s="10" t="s">
        <v>1317</v>
      </c>
      <c r="E1316" s="9">
        <v>2</v>
      </c>
      <c r="F1316" s="9">
        <v>230</v>
      </c>
      <c r="G1316" s="8">
        <f>F1316/230</f>
        <v>1</v>
      </c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 spans="1:26" ht="15.75" customHeight="1">
      <c r="A1317" s="10" t="s">
        <v>2575</v>
      </c>
      <c r="B1317" s="9">
        <v>2</v>
      </c>
      <c r="C1317" s="21">
        <v>4714781020794</v>
      </c>
      <c r="D1317" s="10" t="s">
        <v>1320</v>
      </c>
      <c r="E1317" s="9">
        <v>1</v>
      </c>
      <c r="F1317" s="9">
        <v>115</v>
      </c>
      <c r="G1317" s="8">
        <f>F1317/230</f>
        <v>0.5</v>
      </c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 spans="1:26" ht="15.75" customHeight="1">
      <c r="A1318" s="10"/>
      <c r="B1318" s="10"/>
      <c r="C1318" s="21">
        <v>4714781020800</v>
      </c>
      <c r="D1318" s="10" t="s">
        <v>1319</v>
      </c>
      <c r="E1318" s="9">
        <v>1</v>
      </c>
      <c r="F1318" s="9">
        <v>115</v>
      </c>
      <c r="G1318" s="8">
        <f>F1318/230</f>
        <v>0.5</v>
      </c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 spans="1:26" ht="15.75" customHeight="1">
      <c r="A1319" s="10" t="s">
        <v>2574</v>
      </c>
      <c r="B1319" s="9">
        <v>2</v>
      </c>
      <c r="C1319" s="21">
        <v>4714781020794</v>
      </c>
      <c r="D1319" s="10" t="s">
        <v>1320</v>
      </c>
      <c r="E1319" s="9">
        <v>1</v>
      </c>
      <c r="F1319" s="9">
        <v>115</v>
      </c>
      <c r="G1319" s="8">
        <f>F1319/230</f>
        <v>0.5</v>
      </c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 spans="1:26" ht="15.75" customHeight="1">
      <c r="A1320" s="10"/>
      <c r="B1320" s="10"/>
      <c r="C1320" s="21">
        <v>4714781020817</v>
      </c>
      <c r="D1320" s="10" t="s">
        <v>1317</v>
      </c>
      <c r="E1320" s="9">
        <v>1</v>
      </c>
      <c r="F1320" s="9">
        <v>115</v>
      </c>
      <c r="G1320" s="8">
        <f>F1320/230</f>
        <v>0.5</v>
      </c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 spans="1:26" ht="15.75" customHeight="1">
      <c r="A1321" s="10" t="s">
        <v>2573</v>
      </c>
      <c r="B1321" s="9">
        <v>2</v>
      </c>
      <c r="C1321" s="21">
        <v>4714781020800</v>
      </c>
      <c r="D1321" s="10" t="s">
        <v>1319</v>
      </c>
      <c r="E1321" s="9">
        <v>1</v>
      </c>
      <c r="F1321" s="9">
        <v>115</v>
      </c>
      <c r="G1321" s="8">
        <f>F1321/230</f>
        <v>0.5</v>
      </c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 spans="1:26" ht="15.75" customHeight="1">
      <c r="A1322" s="10"/>
      <c r="B1322" s="10"/>
      <c r="C1322" s="21">
        <v>4714781020817</v>
      </c>
      <c r="D1322" s="10" t="s">
        <v>1317</v>
      </c>
      <c r="E1322" s="9">
        <v>1</v>
      </c>
      <c r="F1322" s="9">
        <v>115</v>
      </c>
      <c r="G1322" s="8">
        <f>F1322/230</f>
        <v>0.5</v>
      </c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 spans="1:26" ht="15.75" customHeight="1">
      <c r="A1323" s="10" t="s">
        <v>2572</v>
      </c>
      <c r="B1323" s="9">
        <v>1</v>
      </c>
      <c r="C1323" s="21">
        <v>4714781020770</v>
      </c>
      <c r="D1323" s="10" t="s">
        <v>1380</v>
      </c>
      <c r="E1323" s="9">
        <v>2</v>
      </c>
      <c r="F1323" s="9">
        <v>270</v>
      </c>
      <c r="G1323" s="8">
        <f>F1323/270</f>
        <v>1</v>
      </c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 spans="1:26" ht="15.75" customHeight="1">
      <c r="A1324" s="10" t="s">
        <v>2571</v>
      </c>
      <c r="B1324" s="9">
        <v>1</v>
      </c>
      <c r="C1324" s="21">
        <v>4714781020787</v>
      </c>
      <c r="D1324" s="10" t="s">
        <v>1378</v>
      </c>
      <c r="E1324" s="9">
        <v>2</v>
      </c>
      <c r="F1324" s="9">
        <v>270</v>
      </c>
      <c r="G1324" s="8">
        <f>F1324/270</f>
        <v>1</v>
      </c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 spans="1:26" ht="15.75" customHeight="1">
      <c r="A1325" s="10" t="s">
        <v>2570</v>
      </c>
      <c r="B1325" s="9">
        <v>2</v>
      </c>
      <c r="C1325" s="21">
        <v>4714781020770</v>
      </c>
      <c r="D1325" s="10" t="s">
        <v>1380</v>
      </c>
      <c r="E1325" s="9">
        <v>1</v>
      </c>
      <c r="F1325" s="9">
        <v>135</v>
      </c>
      <c r="G1325" s="8">
        <f>F1325/270</f>
        <v>0.5</v>
      </c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 spans="1:26" ht="15.75" customHeight="1">
      <c r="A1326" s="10"/>
      <c r="B1326" s="10"/>
      <c r="C1326" s="21">
        <v>4714781020787</v>
      </c>
      <c r="D1326" s="10" t="s">
        <v>1378</v>
      </c>
      <c r="E1326" s="9">
        <v>1</v>
      </c>
      <c r="F1326" s="9">
        <v>135</v>
      </c>
      <c r="G1326" s="8">
        <f>F1326/270</f>
        <v>0.5</v>
      </c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 spans="1:26" ht="15.75" customHeight="1">
      <c r="A1327" s="10" t="s">
        <v>2569</v>
      </c>
      <c r="B1327" s="9">
        <v>1</v>
      </c>
      <c r="C1327" s="21">
        <v>4714781020848</v>
      </c>
      <c r="D1327" s="10" t="s">
        <v>1382</v>
      </c>
      <c r="E1327" s="9">
        <v>2</v>
      </c>
      <c r="F1327" s="9">
        <v>650</v>
      </c>
      <c r="G1327" s="8">
        <f>F1327/650</f>
        <v>1</v>
      </c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 spans="1:26" ht="15.75" customHeight="1">
      <c r="A1328" s="10" t="s">
        <v>2568</v>
      </c>
      <c r="B1328" s="9">
        <v>1</v>
      </c>
      <c r="C1328" s="21" t="s">
        <v>1596</v>
      </c>
      <c r="D1328" s="10" t="s">
        <v>1384</v>
      </c>
      <c r="E1328" s="9">
        <v>2</v>
      </c>
      <c r="F1328" s="9">
        <v>650</v>
      </c>
      <c r="G1328" s="8">
        <f>F1328/650</f>
        <v>1</v>
      </c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 spans="1:26" ht="15.75" customHeight="1">
      <c r="A1329" s="10" t="s">
        <v>2567</v>
      </c>
      <c r="B1329" s="9">
        <v>2</v>
      </c>
      <c r="C1329" s="21">
        <v>4714781020848</v>
      </c>
      <c r="D1329" s="10" t="s">
        <v>1382</v>
      </c>
      <c r="E1329" s="9">
        <v>1</v>
      </c>
      <c r="F1329" s="9">
        <v>325</v>
      </c>
      <c r="G1329" s="8">
        <f>F1329/650</f>
        <v>0.5</v>
      </c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 spans="1:26" ht="15.75" customHeight="1">
      <c r="A1330" s="10"/>
      <c r="B1330" s="10"/>
      <c r="C1330" s="21" t="s">
        <v>1596</v>
      </c>
      <c r="D1330" s="10" t="s">
        <v>1384</v>
      </c>
      <c r="E1330" s="9">
        <v>1</v>
      </c>
      <c r="F1330" s="9">
        <v>325</v>
      </c>
      <c r="G1330" s="8">
        <f>F1330/650</f>
        <v>0.5</v>
      </c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 spans="1:26" ht="15.75" customHeight="1">
      <c r="A1331" s="10" t="s">
        <v>2566</v>
      </c>
      <c r="B1331" s="9">
        <v>1</v>
      </c>
      <c r="C1331" s="21">
        <v>4714781020824</v>
      </c>
      <c r="D1331" s="10" t="s">
        <v>1391</v>
      </c>
      <c r="E1331" s="9">
        <v>2</v>
      </c>
      <c r="F1331" s="9">
        <v>650</v>
      </c>
      <c r="G1331" s="8">
        <f>F1331/650</f>
        <v>1</v>
      </c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 spans="1:26" ht="15.75" customHeight="1">
      <c r="A1332" s="10" t="s">
        <v>2565</v>
      </c>
      <c r="B1332" s="9">
        <v>1</v>
      </c>
      <c r="C1332" s="21">
        <v>4714781020831</v>
      </c>
      <c r="D1332" s="10" t="s">
        <v>1389</v>
      </c>
      <c r="E1332" s="9">
        <v>2</v>
      </c>
      <c r="F1332" s="9">
        <v>650</v>
      </c>
      <c r="G1332" s="8">
        <f>F1332/650</f>
        <v>1</v>
      </c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 spans="1:26" ht="15.75" customHeight="1">
      <c r="A1333" s="10" t="s">
        <v>2564</v>
      </c>
      <c r="B1333" s="9">
        <v>2</v>
      </c>
      <c r="C1333" s="21">
        <v>4714781020824</v>
      </c>
      <c r="D1333" s="10" t="s">
        <v>1391</v>
      </c>
      <c r="E1333" s="9">
        <v>1</v>
      </c>
      <c r="F1333" s="9">
        <v>325</v>
      </c>
      <c r="G1333" s="8">
        <f>F1333/650</f>
        <v>0.5</v>
      </c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 spans="1:26" ht="15.75" customHeight="1">
      <c r="A1334" s="10"/>
      <c r="B1334" s="10"/>
      <c r="C1334" s="21">
        <v>4714781020831</v>
      </c>
      <c r="D1334" s="10" t="s">
        <v>1389</v>
      </c>
      <c r="E1334" s="9">
        <v>1</v>
      </c>
      <c r="F1334" s="9">
        <v>325</v>
      </c>
      <c r="G1334" s="8">
        <f>F1334/650</f>
        <v>0.5</v>
      </c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 spans="1:26" ht="15.75" customHeight="1">
      <c r="A1335" s="10" t="s">
        <v>2563</v>
      </c>
      <c r="B1335" s="9">
        <v>2</v>
      </c>
      <c r="C1335" s="21">
        <v>4714781020848</v>
      </c>
      <c r="D1335" s="10" t="s">
        <v>1382</v>
      </c>
      <c r="E1335" s="9">
        <v>1</v>
      </c>
      <c r="F1335" s="9">
        <v>325</v>
      </c>
      <c r="G1335" s="8">
        <f>F1335/650</f>
        <v>0.5</v>
      </c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 spans="1:26" ht="15.75" customHeight="1">
      <c r="A1336" s="10"/>
      <c r="B1336" s="10"/>
      <c r="C1336" s="21">
        <v>4714781020824</v>
      </c>
      <c r="D1336" s="10" t="s">
        <v>1391</v>
      </c>
      <c r="E1336" s="9">
        <v>1</v>
      </c>
      <c r="F1336" s="9">
        <v>325</v>
      </c>
      <c r="G1336" s="8">
        <f>F1336/650</f>
        <v>0.5</v>
      </c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 spans="1:26" ht="15.75" customHeight="1">
      <c r="A1337" s="10" t="s">
        <v>2562</v>
      </c>
      <c r="B1337" s="9">
        <v>2</v>
      </c>
      <c r="C1337" s="21">
        <v>4714781020848</v>
      </c>
      <c r="D1337" s="10" t="s">
        <v>1382</v>
      </c>
      <c r="E1337" s="9">
        <v>1</v>
      </c>
      <c r="F1337" s="9">
        <v>325</v>
      </c>
      <c r="G1337" s="8">
        <f>F1337/650</f>
        <v>0.5</v>
      </c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 spans="1:26" ht="15.75" customHeight="1">
      <c r="A1338" s="10"/>
      <c r="B1338" s="10"/>
      <c r="C1338" s="21">
        <v>4714781020831</v>
      </c>
      <c r="D1338" s="10" t="s">
        <v>1389</v>
      </c>
      <c r="E1338" s="9">
        <v>1</v>
      </c>
      <c r="F1338" s="9">
        <v>325</v>
      </c>
      <c r="G1338" s="8">
        <f>F1338/650</f>
        <v>0.5</v>
      </c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 spans="1:26" ht="15.75" customHeight="1">
      <c r="A1339" s="10" t="s">
        <v>2561</v>
      </c>
      <c r="B1339" s="9">
        <v>2</v>
      </c>
      <c r="C1339" s="21" t="s">
        <v>1596</v>
      </c>
      <c r="D1339" s="10" t="s">
        <v>1384</v>
      </c>
      <c r="E1339" s="9">
        <v>1</v>
      </c>
      <c r="F1339" s="9">
        <v>325</v>
      </c>
      <c r="G1339" s="8">
        <f>F1339/650</f>
        <v>0.5</v>
      </c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 spans="1:26" ht="15.75" customHeight="1">
      <c r="A1340" s="10"/>
      <c r="B1340" s="10"/>
      <c r="C1340" s="21">
        <v>4714781020824</v>
      </c>
      <c r="D1340" s="10" t="s">
        <v>1391</v>
      </c>
      <c r="E1340" s="9">
        <v>1</v>
      </c>
      <c r="F1340" s="9">
        <v>325</v>
      </c>
      <c r="G1340" s="8">
        <f>F1340/650</f>
        <v>0.5</v>
      </c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 spans="1:26" ht="15.75" customHeight="1">
      <c r="A1341" s="10" t="s">
        <v>2560</v>
      </c>
      <c r="B1341" s="9">
        <v>2</v>
      </c>
      <c r="C1341" s="21" t="s">
        <v>1596</v>
      </c>
      <c r="D1341" s="10" t="s">
        <v>1384</v>
      </c>
      <c r="E1341" s="9">
        <v>1</v>
      </c>
      <c r="F1341" s="9">
        <v>325</v>
      </c>
      <c r="G1341" s="8">
        <f>F1341/650</f>
        <v>0.5</v>
      </c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 spans="1:26" ht="15.75" customHeight="1">
      <c r="A1342" s="10"/>
      <c r="B1342" s="10"/>
      <c r="C1342" s="21">
        <v>4714781020831</v>
      </c>
      <c r="D1342" s="10" t="s">
        <v>1389</v>
      </c>
      <c r="E1342" s="9">
        <v>1</v>
      </c>
      <c r="F1342" s="9">
        <v>325</v>
      </c>
      <c r="G1342" s="8">
        <f>F1342/650</f>
        <v>0.5</v>
      </c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 spans="1:26" ht="15.75" customHeight="1">
      <c r="A1343" s="10" t="s">
        <v>2559</v>
      </c>
      <c r="B1343" s="9">
        <v>1</v>
      </c>
      <c r="C1343" s="21" t="s">
        <v>1619</v>
      </c>
      <c r="D1343" s="10" t="s">
        <v>1376</v>
      </c>
      <c r="E1343" s="9">
        <v>4</v>
      </c>
      <c r="F1343" s="9">
        <v>550</v>
      </c>
      <c r="G1343" s="8">
        <f>F1343/550</f>
        <v>1</v>
      </c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 spans="1:26" ht="15.75" customHeight="1">
      <c r="A1344" s="10" t="s">
        <v>2558</v>
      </c>
      <c r="B1344" s="9">
        <v>5</v>
      </c>
      <c r="C1344" s="21" t="s">
        <v>1585</v>
      </c>
      <c r="D1344" s="10" t="s">
        <v>1584</v>
      </c>
      <c r="E1344" s="9">
        <v>1</v>
      </c>
      <c r="F1344" s="9">
        <v>60</v>
      </c>
      <c r="G1344" s="8">
        <f>F1344/600</f>
        <v>0.1</v>
      </c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 spans="1:26" ht="15.75" customHeight="1">
      <c r="A1345" s="10"/>
      <c r="B1345" s="12"/>
      <c r="C1345" s="21" t="s">
        <v>1598</v>
      </c>
      <c r="D1345" s="10" t="s">
        <v>1382</v>
      </c>
      <c r="E1345" s="9">
        <v>1</v>
      </c>
      <c r="F1345" s="9">
        <v>300</v>
      </c>
      <c r="G1345" s="8">
        <f>F1345/600</f>
        <v>0.5</v>
      </c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 spans="1:26" ht="15.75" customHeight="1">
      <c r="A1346" s="10"/>
      <c r="B1346" s="12"/>
      <c r="C1346" s="21" t="s">
        <v>1595</v>
      </c>
      <c r="D1346" s="10" t="s">
        <v>1378</v>
      </c>
      <c r="E1346" s="9">
        <v>1</v>
      </c>
      <c r="F1346" s="9">
        <v>120</v>
      </c>
      <c r="G1346" s="8">
        <f>F1346/600</f>
        <v>0.2</v>
      </c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 spans="1:26" ht="15.75" customHeight="1">
      <c r="A1347" s="10"/>
      <c r="B1347" s="12"/>
      <c r="C1347" s="21" t="s">
        <v>1593</v>
      </c>
      <c r="D1347" s="10" t="s">
        <v>1592</v>
      </c>
      <c r="E1347" s="9">
        <v>1</v>
      </c>
      <c r="F1347" s="9">
        <v>50</v>
      </c>
      <c r="G1347" s="8">
        <f>F1347/600</f>
        <v>8.3333333333333329E-2</v>
      </c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 spans="1:26" ht="15.75" customHeight="1">
      <c r="A1348" s="10"/>
      <c r="B1348" s="12"/>
      <c r="C1348" s="21" t="s">
        <v>1583</v>
      </c>
      <c r="D1348" s="10" t="s">
        <v>1582</v>
      </c>
      <c r="E1348" s="9">
        <v>1</v>
      </c>
      <c r="F1348" s="9">
        <v>70</v>
      </c>
      <c r="G1348" s="8">
        <f>F1348/600</f>
        <v>0.11666666666666667</v>
      </c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 spans="1:26" ht="15.75" customHeight="1">
      <c r="A1349" s="10" t="s">
        <v>2557</v>
      </c>
      <c r="B1349" s="9">
        <v>5</v>
      </c>
      <c r="C1349" s="21" t="s">
        <v>1585</v>
      </c>
      <c r="D1349" s="10" t="s">
        <v>1584</v>
      </c>
      <c r="E1349" s="9">
        <v>1</v>
      </c>
      <c r="F1349" s="9">
        <v>60</v>
      </c>
      <c r="G1349" s="8">
        <f>F1349/600</f>
        <v>0.1</v>
      </c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 spans="1:26" ht="15.75" customHeight="1">
      <c r="A1350" s="10"/>
      <c r="B1350" s="12"/>
      <c r="C1350" s="21" t="s">
        <v>1596</v>
      </c>
      <c r="D1350" s="10" t="s">
        <v>1384</v>
      </c>
      <c r="E1350" s="9">
        <v>1</v>
      </c>
      <c r="F1350" s="9">
        <v>300</v>
      </c>
      <c r="G1350" s="8">
        <f>F1350/600</f>
        <v>0.5</v>
      </c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 spans="1:26" ht="15.75" customHeight="1">
      <c r="A1351" s="10"/>
      <c r="B1351" s="12"/>
      <c r="C1351" s="21" t="s">
        <v>1602</v>
      </c>
      <c r="D1351" s="10" t="s">
        <v>1380</v>
      </c>
      <c r="E1351" s="9">
        <v>1</v>
      </c>
      <c r="F1351" s="9">
        <v>120</v>
      </c>
      <c r="G1351" s="8">
        <f>F1351/600</f>
        <v>0.2</v>
      </c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 spans="1:26" ht="15.75" customHeight="1">
      <c r="A1352" s="10"/>
      <c r="B1352" s="12"/>
      <c r="C1352" s="21" t="s">
        <v>1588</v>
      </c>
      <c r="D1352" s="10" t="s">
        <v>1587</v>
      </c>
      <c r="E1352" s="9">
        <v>1</v>
      </c>
      <c r="F1352" s="9">
        <v>50</v>
      </c>
      <c r="G1352" s="8">
        <f>F1352/600</f>
        <v>8.3333333333333329E-2</v>
      </c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 spans="1:26" ht="15.75" customHeight="1">
      <c r="A1353" s="10"/>
      <c r="B1353" s="12"/>
      <c r="C1353" s="21" t="s">
        <v>1583</v>
      </c>
      <c r="D1353" s="10" t="s">
        <v>1582</v>
      </c>
      <c r="E1353" s="9">
        <v>1</v>
      </c>
      <c r="F1353" s="9">
        <v>70</v>
      </c>
      <c r="G1353" s="8">
        <f>F1353/600</f>
        <v>0.11666666666666667</v>
      </c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 spans="1:26" ht="15.75" customHeight="1">
      <c r="A1354" s="10" t="s">
        <v>2556</v>
      </c>
      <c r="B1354" s="9">
        <v>5</v>
      </c>
      <c r="C1354" s="21" t="s">
        <v>1585</v>
      </c>
      <c r="D1354" s="10" t="s">
        <v>1584</v>
      </c>
      <c r="E1354" s="9">
        <v>1</v>
      </c>
      <c r="F1354" s="9">
        <v>60</v>
      </c>
      <c r="G1354" s="8">
        <f>F1354/600</f>
        <v>0.1</v>
      </c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 spans="1:26" ht="15.75" customHeight="1">
      <c r="A1355" s="10"/>
      <c r="B1355" s="12"/>
      <c r="C1355" s="21" t="s">
        <v>1596</v>
      </c>
      <c r="D1355" s="10" t="s">
        <v>1384</v>
      </c>
      <c r="E1355" s="9">
        <v>1</v>
      </c>
      <c r="F1355" s="9">
        <v>300</v>
      </c>
      <c r="G1355" s="8">
        <f>F1355/600</f>
        <v>0.5</v>
      </c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 spans="1:26" ht="15.75" customHeight="1">
      <c r="A1356" s="10"/>
      <c r="B1356" s="12"/>
      <c r="C1356" s="21" t="s">
        <v>1595</v>
      </c>
      <c r="D1356" s="10" t="s">
        <v>1378</v>
      </c>
      <c r="E1356" s="9">
        <v>1</v>
      </c>
      <c r="F1356" s="9">
        <v>120</v>
      </c>
      <c r="G1356" s="8">
        <f>F1356/600</f>
        <v>0.2</v>
      </c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 spans="1:26" ht="15.75" customHeight="1">
      <c r="A1357" s="10"/>
      <c r="B1357" s="12"/>
      <c r="C1357" s="21" t="s">
        <v>1581</v>
      </c>
      <c r="D1357" s="10" t="s">
        <v>1580</v>
      </c>
      <c r="E1357" s="9">
        <v>1</v>
      </c>
      <c r="F1357" s="9">
        <v>50</v>
      </c>
      <c r="G1357" s="8">
        <f>F1357/600</f>
        <v>8.3333333333333329E-2</v>
      </c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 spans="1:26" ht="15.75" customHeight="1">
      <c r="A1358" s="10"/>
      <c r="B1358" s="12"/>
      <c r="C1358" s="21" t="s">
        <v>1583</v>
      </c>
      <c r="D1358" s="10" t="s">
        <v>1582</v>
      </c>
      <c r="E1358" s="9">
        <v>1</v>
      </c>
      <c r="F1358" s="9">
        <v>70</v>
      </c>
      <c r="G1358" s="8">
        <f>F1358/600</f>
        <v>0.11666666666666667</v>
      </c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 spans="1:26" ht="15.75" customHeight="1">
      <c r="A1359" s="10" t="s">
        <v>2555</v>
      </c>
      <c r="B1359" s="9">
        <v>5</v>
      </c>
      <c r="C1359" s="21" t="s">
        <v>1585</v>
      </c>
      <c r="D1359" s="10" t="s">
        <v>1584</v>
      </c>
      <c r="E1359" s="9">
        <v>1</v>
      </c>
      <c r="F1359" s="9">
        <v>60</v>
      </c>
      <c r="G1359" s="8">
        <f>F1359/600</f>
        <v>0.1</v>
      </c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 spans="1:26" ht="15.75" customHeight="1">
      <c r="A1360" s="10"/>
      <c r="B1360" s="12"/>
      <c r="C1360" s="21" t="s">
        <v>1583</v>
      </c>
      <c r="D1360" s="10" t="s">
        <v>1582</v>
      </c>
      <c r="E1360" s="9">
        <v>1</v>
      </c>
      <c r="F1360" s="9">
        <v>300</v>
      </c>
      <c r="G1360" s="8">
        <f>F1360/600</f>
        <v>0.5</v>
      </c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 spans="1:26" ht="15.75" customHeight="1">
      <c r="A1361" s="10"/>
      <c r="B1361" s="12"/>
      <c r="C1361" s="21" t="s">
        <v>1593</v>
      </c>
      <c r="D1361" s="10" t="s">
        <v>1592</v>
      </c>
      <c r="E1361" s="9">
        <v>1</v>
      </c>
      <c r="F1361" s="9">
        <v>120</v>
      </c>
      <c r="G1361" s="8">
        <f>F1361/600</f>
        <v>0.2</v>
      </c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 spans="1:26" ht="15.75" customHeight="1">
      <c r="A1362" s="10"/>
      <c r="B1362" s="12"/>
      <c r="C1362" s="21">
        <v>4714781020800</v>
      </c>
      <c r="D1362" s="10" t="s">
        <v>1319</v>
      </c>
      <c r="E1362" s="9">
        <v>1</v>
      </c>
      <c r="F1362" s="9">
        <v>50</v>
      </c>
      <c r="G1362" s="8">
        <f>F1362/600</f>
        <v>8.3333333333333329E-2</v>
      </c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 spans="1:26" ht="15.75" customHeight="1">
      <c r="A1363" s="10"/>
      <c r="B1363" s="12"/>
      <c r="C1363" s="21">
        <v>4714781020824</v>
      </c>
      <c r="D1363" s="10" t="s">
        <v>1391</v>
      </c>
      <c r="E1363" s="9">
        <v>1</v>
      </c>
      <c r="F1363" s="9">
        <v>70</v>
      </c>
      <c r="G1363" s="8">
        <f>F1363/600</f>
        <v>0.11666666666666667</v>
      </c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 spans="1:26" ht="15.75" customHeight="1">
      <c r="A1364" s="10" t="s">
        <v>2554</v>
      </c>
      <c r="B1364" s="9">
        <v>5</v>
      </c>
      <c r="C1364" s="21" t="s">
        <v>1585</v>
      </c>
      <c r="D1364" s="10" t="s">
        <v>1584</v>
      </c>
      <c r="E1364" s="9">
        <v>1</v>
      </c>
      <c r="F1364" s="9">
        <v>60</v>
      </c>
      <c r="G1364" s="8">
        <f>F1364/600</f>
        <v>0.1</v>
      </c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 spans="1:26" ht="15.75" customHeight="1">
      <c r="A1365" s="10"/>
      <c r="B1365" s="12"/>
      <c r="C1365" s="21" t="s">
        <v>1583</v>
      </c>
      <c r="D1365" s="10" t="s">
        <v>1582</v>
      </c>
      <c r="E1365" s="9">
        <v>1</v>
      </c>
      <c r="F1365" s="9">
        <v>300</v>
      </c>
      <c r="G1365" s="8">
        <f>F1365/600</f>
        <v>0.5</v>
      </c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 spans="1:26" ht="15.75" customHeight="1">
      <c r="A1366" s="10"/>
      <c r="B1366" s="12"/>
      <c r="C1366" s="21" t="s">
        <v>1588</v>
      </c>
      <c r="D1366" s="10" t="s">
        <v>1587</v>
      </c>
      <c r="E1366" s="9">
        <v>1</v>
      </c>
      <c r="F1366" s="9">
        <v>120</v>
      </c>
      <c r="G1366" s="8">
        <f>F1366/600</f>
        <v>0.2</v>
      </c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 spans="1:26" ht="15.75" customHeight="1">
      <c r="A1367" s="10"/>
      <c r="B1367" s="12"/>
      <c r="C1367" s="21">
        <v>4714781020817</v>
      </c>
      <c r="D1367" s="10" t="s">
        <v>1317</v>
      </c>
      <c r="E1367" s="9">
        <v>1</v>
      </c>
      <c r="F1367" s="9">
        <v>50</v>
      </c>
      <c r="G1367" s="8">
        <f>F1367/600</f>
        <v>8.3333333333333329E-2</v>
      </c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 spans="1:26" ht="15.75" customHeight="1">
      <c r="A1368" s="10"/>
      <c r="B1368" s="12"/>
      <c r="C1368" s="21" t="s">
        <v>1579</v>
      </c>
      <c r="D1368" s="10" t="s">
        <v>1389</v>
      </c>
      <c r="E1368" s="9">
        <v>1</v>
      </c>
      <c r="F1368" s="9">
        <v>70</v>
      </c>
      <c r="G1368" s="8">
        <f>F1368/600</f>
        <v>0.11666666666666667</v>
      </c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 spans="1:26" ht="15.75" customHeight="1">
      <c r="A1369" s="10" t="s">
        <v>2553</v>
      </c>
      <c r="B1369" s="9">
        <v>5</v>
      </c>
      <c r="C1369" s="21" t="s">
        <v>1585</v>
      </c>
      <c r="D1369" s="10" t="s">
        <v>1584</v>
      </c>
      <c r="E1369" s="9">
        <v>1</v>
      </c>
      <c r="F1369" s="9">
        <v>60</v>
      </c>
      <c r="G1369" s="8">
        <f>F1369/600</f>
        <v>0.1</v>
      </c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 spans="1:26" ht="15.75" customHeight="1">
      <c r="A1370" s="10"/>
      <c r="B1370" s="12"/>
      <c r="C1370" s="21" t="s">
        <v>1583</v>
      </c>
      <c r="D1370" s="10" t="s">
        <v>1582</v>
      </c>
      <c r="E1370" s="9">
        <v>1</v>
      </c>
      <c r="F1370" s="9">
        <v>300</v>
      </c>
      <c r="G1370" s="8">
        <f>F1370/600</f>
        <v>0.5</v>
      </c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 spans="1:26" ht="15.75" customHeight="1">
      <c r="A1371" s="10"/>
      <c r="B1371" s="12"/>
      <c r="C1371" s="21" t="s">
        <v>1581</v>
      </c>
      <c r="D1371" s="10" t="s">
        <v>1580</v>
      </c>
      <c r="E1371" s="9">
        <v>1</v>
      </c>
      <c r="F1371" s="9">
        <v>120</v>
      </c>
      <c r="G1371" s="8">
        <f>F1371/600</f>
        <v>0.2</v>
      </c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 spans="1:26" ht="15.75" customHeight="1">
      <c r="A1372" s="10"/>
      <c r="B1372" s="12"/>
      <c r="C1372" s="21">
        <v>4714781020817</v>
      </c>
      <c r="D1372" s="10" t="s">
        <v>1317</v>
      </c>
      <c r="E1372" s="9">
        <v>1</v>
      </c>
      <c r="F1372" s="9">
        <v>50</v>
      </c>
      <c r="G1372" s="8">
        <f>F1372/600</f>
        <v>8.3333333333333329E-2</v>
      </c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 spans="1:26" ht="15.75" customHeight="1">
      <c r="A1373" s="10"/>
      <c r="B1373" s="12"/>
      <c r="C1373" s="21" t="s">
        <v>1579</v>
      </c>
      <c r="D1373" s="10" t="s">
        <v>1389</v>
      </c>
      <c r="E1373" s="9">
        <v>1</v>
      </c>
      <c r="F1373" s="9">
        <v>70</v>
      </c>
      <c r="G1373" s="8">
        <f>F1373/600</f>
        <v>0.11666666666666667</v>
      </c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 spans="1:26" ht="15.75" customHeight="1">
      <c r="A1374" s="10" t="s">
        <v>2552</v>
      </c>
      <c r="B1374" s="10">
        <v>1</v>
      </c>
      <c r="C1374" s="23" t="s">
        <v>2551</v>
      </c>
      <c r="D1374" s="12" t="s">
        <v>2550</v>
      </c>
      <c r="E1374" s="9">
        <v>2</v>
      </c>
      <c r="F1374" s="9">
        <v>220</v>
      </c>
      <c r="G1374" s="8">
        <f>F1374/220</f>
        <v>1</v>
      </c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 spans="1:26" ht="15.75" customHeight="1">
      <c r="A1375" s="10" t="s">
        <v>2549</v>
      </c>
      <c r="B1375" s="10">
        <v>2</v>
      </c>
      <c r="C1375" s="23" t="s">
        <v>1508</v>
      </c>
      <c r="D1375" s="12" t="s">
        <v>2186</v>
      </c>
      <c r="E1375" s="9">
        <v>2</v>
      </c>
      <c r="F1375" s="9">
        <v>580</v>
      </c>
      <c r="G1375" s="8">
        <f>F1375/1160</f>
        <v>0.5</v>
      </c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 spans="1:26" ht="15.75" customHeight="1">
      <c r="A1376" s="10"/>
      <c r="B1376" s="10"/>
      <c r="C1376" s="23" t="s">
        <v>1506</v>
      </c>
      <c r="D1376" s="12" t="s">
        <v>2188</v>
      </c>
      <c r="E1376" s="9">
        <v>2</v>
      </c>
      <c r="F1376" s="9">
        <v>580</v>
      </c>
      <c r="G1376" s="8">
        <f>F1376/1160</f>
        <v>0.5</v>
      </c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 spans="1:26" ht="15.75" customHeight="1">
      <c r="A1377" s="10" t="s">
        <v>2548</v>
      </c>
      <c r="B1377" s="10">
        <v>1</v>
      </c>
      <c r="C1377" s="6">
        <v>4714781021609</v>
      </c>
      <c r="D1377" s="12" t="s">
        <v>1454</v>
      </c>
      <c r="E1377" s="9">
        <v>1</v>
      </c>
      <c r="F1377" s="9">
        <v>70</v>
      </c>
      <c r="G1377" s="8">
        <f>F1377/70</f>
        <v>1</v>
      </c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 spans="1:26" ht="15.75" customHeight="1">
      <c r="A1378" s="10" t="s">
        <v>2547</v>
      </c>
      <c r="B1378" s="10">
        <v>1</v>
      </c>
      <c r="C1378" s="23">
        <v>4714781021012</v>
      </c>
      <c r="D1378" s="12" t="s">
        <v>1703</v>
      </c>
      <c r="E1378" s="9">
        <v>1</v>
      </c>
      <c r="F1378" s="9">
        <v>70</v>
      </c>
      <c r="G1378" s="8">
        <f>F1378/70</f>
        <v>1</v>
      </c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 spans="1:26" ht="15.75" customHeight="1">
      <c r="A1379" s="10" t="s">
        <v>2546</v>
      </c>
      <c r="B1379" s="10">
        <v>1</v>
      </c>
      <c r="C1379" s="23">
        <v>4714781021029</v>
      </c>
      <c r="D1379" s="12" t="s">
        <v>1452</v>
      </c>
      <c r="E1379" s="9">
        <v>1</v>
      </c>
      <c r="F1379" s="9">
        <v>70</v>
      </c>
      <c r="G1379" s="8">
        <f>F1379/70</f>
        <v>1</v>
      </c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 spans="1:26" ht="15.75" customHeight="1">
      <c r="A1380" s="10" t="s">
        <v>2545</v>
      </c>
      <c r="B1380" s="10">
        <v>1</v>
      </c>
      <c r="C1380" s="21">
        <v>4714781020466</v>
      </c>
      <c r="D1380" s="12" t="s">
        <v>1374</v>
      </c>
      <c r="E1380" s="9">
        <v>1</v>
      </c>
      <c r="F1380" s="9">
        <v>80</v>
      </c>
      <c r="G1380" s="8">
        <f>F1380/80</f>
        <v>1</v>
      </c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 spans="1:26" ht="15.75" customHeight="1">
      <c r="A1381" s="10" t="s">
        <v>2544</v>
      </c>
      <c r="B1381" s="10">
        <v>1</v>
      </c>
      <c r="C1381" s="21">
        <v>4714781020503</v>
      </c>
      <c r="D1381" s="12" t="s">
        <v>1372</v>
      </c>
      <c r="E1381" s="9">
        <v>1</v>
      </c>
      <c r="F1381" s="9">
        <v>80</v>
      </c>
      <c r="G1381" s="8">
        <f>F1381/70</f>
        <v>1.1428571428571428</v>
      </c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 spans="1:26" ht="15.75" customHeight="1">
      <c r="A1382" s="10" t="s">
        <v>2543</v>
      </c>
      <c r="B1382" s="10">
        <v>1</v>
      </c>
      <c r="C1382" s="21">
        <v>4714781020558</v>
      </c>
      <c r="D1382" s="12" t="s">
        <v>1370</v>
      </c>
      <c r="E1382" s="9">
        <v>1</v>
      </c>
      <c r="F1382" s="9">
        <v>80</v>
      </c>
      <c r="G1382" s="8">
        <f>F1382/70</f>
        <v>1.1428571428571428</v>
      </c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 spans="1:26" ht="15.75" customHeight="1">
      <c r="A1383" s="10" t="s">
        <v>2542</v>
      </c>
      <c r="B1383" s="10">
        <v>2</v>
      </c>
      <c r="C1383" s="23" t="s">
        <v>1905</v>
      </c>
      <c r="D1383" s="12" t="s">
        <v>1904</v>
      </c>
      <c r="E1383" s="9">
        <v>1</v>
      </c>
      <c r="F1383" s="9">
        <v>220</v>
      </c>
      <c r="G1383" s="8">
        <f>F1383/250</f>
        <v>0.88</v>
      </c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 spans="1:26" ht="15.75" customHeight="1">
      <c r="A1384" s="10"/>
      <c r="B1384" s="10"/>
      <c r="C1384" s="23">
        <v>4714781021029</v>
      </c>
      <c r="D1384" s="12" t="s">
        <v>1452</v>
      </c>
      <c r="E1384" s="9">
        <v>1</v>
      </c>
      <c r="F1384" s="9">
        <v>30</v>
      </c>
      <c r="G1384" s="8">
        <f>F1384/250</f>
        <v>0.12</v>
      </c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 spans="1:26" ht="15.75" customHeight="1">
      <c r="A1385" s="10" t="s">
        <v>2541</v>
      </c>
      <c r="B1385" s="10">
        <v>10</v>
      </c>
      <c r="C1385" s="23">
        <v>4714781021029</v>
      </c>
      <c r="D1385" s="12" t="s">
        <v>1452</v>
      </c>
      <c r="E1385" s="9">
        <v>1</v>
      </c>
      <c r="F1385" s="9">
        <v>125</v>
      </c>
      <c r="G1385" s="8">
        <f>F1385/1599</f>
        <v>7.8173858661663542E-2</v>
      </c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 spans="1:26" ht="15.75" customHeight="1">
      <c r="A1386" s="10"/>
      <c r="B1386" s="10"/>
      <c r="C1386" s="6">
        <v>4714781021593</v>
      </c>
      <c r="D1386" s="12" t="s">
        <v>1453</v>
      </c>
      <c r="E1386" s="9">
        <v>1</v>
      </c>
      <c r="F1386" s="9">
        <v>125</v>
      </c>
      <c r="G1386" s="8">
        <f>F1386/1599</f>
        <v>7.8173858661663542E-2</v>
      </c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 spans="1:26" ht="15.75" customHeight="1">
      <c r="A1387" s="10"/>
      <c r="B1387" s="10"/>
      <c r="C1387" s="6">
        <v>4714781021609</v>
      </c>
      <c r="D1387" s="12" t="s">
        <v>1454</v>
      </c>
      <c r="E1387" s="9">
        <v>1</v>
      </c>
      <c r="F1387" s="9">
        <v>125</v>
      </c>
      <c r="G1387" s="8">
        <f>F1387/1599</f>
        <v>7.8173858661663542E-2</v>
      </c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 spans="1:26" ht="15.75" customHeight="1">
      <c r="A1388" s="10"/>
      <c r="B1388" s="10"/>
      <c r="C1388" s="21">
        <v>4714781020466</v>
      </c>
      <c r="D1388" s="12" t="s">
        <v>1374</v>
      </c>
      <c r="E1388" s="9">
        <v>1</v>
      </c>
      <c r="F1388" s="9">
        <v>135</v>
      </c>
      <c r="G1388" s="8">
        <f>F1388/1599</f>
        <v>8.4427767354596617E-2</v>
      </c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 spans="1:26" ht="15.75" customHeight="1">
      <c r="A1389" s="10"/>
      <c r="B1389" s="10"/>
      <c r="C1389" s="21">
        <v>4714781020503</v>
      </c>
      <c r="D1389" s="12" t="s">
        <v>1372</v>
      </c>
      <c r="E1389" s="9">
        <v>1</v>
      </c>
      <c r="F1389" s="9">
        <v>135</v>
      </c>
      <c r="G1389" s="8">
        <f>F1389/1599</f>
        <v>8.4427767354596617E-2</v>
      </c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 spans="1:26" ht="15.75" customHeight="1">
      <c r="A1390" s="10"/>
      <c r="B1390" s="10"/>
      <c r="C1390" s="21">
        <v>4714781020558</v>
      </c>
      <c r="D1390" s="12" t="s">
        <v>1370</v>
      </c>
      <c r="E1390" s="9">
        <v>1</v>
      </c>
      <c r="F1390" s="9">
        <v>135</v>
      </c>
      <c r="G1390" s="8">
        <f>F1390/1599</f>
        <v>8.4427767354596617E-2</v>
      </c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 spans="1:26" ht="15.75" customHeight="1">
      <c r="A1391" s="10"/>
      <c r="B1391" s="10"/>
      <c r="C1391" s="21">
        <v>4714781020787</v>
      </c>
      <c r="D1391" s="10" t="s">
        <v>1378</v>
      </c>
      <c r="E1391" s="9">
        <v>1</v>
      </c>
      <c r="F1391" s="9">
        <v>125</v>
      </c>
      <c r="G1391" s="8">
        <f>F1391/1599</f>
        <v>7.8173858661663542E-2</v>
      </c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 spans="1:26" ht="15.75" customHeight="1">
      <c r="A1392" s="10"/>
      <c r="B1392" s="10"/>
      <c r="C1392" s="21" t="s">
        <v>1619</v>
      </c>
      <c r="D1392" s="10" t="s">
        <v>1376</v>
      </c>
      <c r="E1392" s="9">
        <v>1</v>
      </c>
      <c r="F1392" s="9">
        <v>114</v>
      </c>
      <c r="G1392" s="8">
        <f>F1392/1599</f>
        <v>7.1294559099437146E-2</v>
      </c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 spans="1:26" ht="15.75" customHeight="1">
      <c r="A1393" s="10"/>
      <c r="B1393" s="10"/>
      <c r="C1393" s="23" t="s">
        <v>1531</v>
      </c>
      <c r="D1393" s="12" t="s">
        <v>2194</v>
      </c>
      <c r="E1393" s="9">
        <v>1</v>
      </c>
      <c r="F1393" s="9">
        <v>290</v>
      </c>
      <c r="G1393" s="8">
        <f>F1393/1599</f>
        <v>0.18136335209505941</v>
      </c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 spans="1:26" ht="15.75" customHeight="1">
      <c r="A1394" s="10"/>
      <c r="B1394" s="10"/>
      <c r="C1394" s="23" t="s">
        <v>1508</v>
      </c>
      <c r="D1394" s="12" t="s">
        <v>2186</v>
      </c>
      <c r="E1394" s="9">
        <v>1</v>
      </c>
      <c r="F1394" s="9">
        <v>290</v>
      </c>
      <c r="G1394" s="8">
        <f>F1394/1599</f>
        <v>0.18136335209505941</v>
      </c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 spans="1:26" ht="15.75" customHeight="1">
      <c r="A1395" s="10" t="s">
        <v>2540</v>
      </c>
      <c r="B1395" s="10">
        <v>10</v>
      </c>
      <c r="C1395" s="23">
        <v>4714781021029</v>
      </c>
      <c r="D1395" s="12" t="s">
        <v>1452</v>
      </c>
      <c r="E1395" s="9">
        <v>1</v>
      </c>
      <c r="F1395" s="9">
        <v>125</v>
      </c>
      <c r="G1395" s="8">
        <f>F1395/1599</f>
        <v>7.8173858661663542E-2</v>
      </c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 spans="1:26" ht="15.75" customHeight="1">
      <c r="A1396" s="10"/>
      <c r="B1396" s="10"/>
      <c r="C1396" s="6">
        <v>4714781021593</v>
      </c>
      <c r="D1396" s="12" t="s">
        <v>1453</v>
      </c>
      <c r="E1396" s="9">
        <v>1</v>
      </c>
      <c r="F1396" s="9">
        <v>125</v>
      </c>
      <c r="G1396" s="8">
        <f>F1396/1599</f>
        <v>7.8173858661663542E-2</v>
      </c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 spans="1:26" ht="15.75" customHeight="1">
      <c r="A1397" s="10"/>
      <c r="B1397" s="10"/>
      <c r="C1397" s="6">
        <v>4714781021609</v>
      </c>
      <c r="D1397" s="12" t="s">
        <v>1454</v>
      </c>
      <c r="E1397" s="9">
        <v>1</v>
      </c>
      <c r="F1397" s="9">
        <v>125</v>
      </c>
      <c r="G1397" s="8">
        <f>F1397/1599</f>
        <v>7.8173858661663542E-2</v>
      </c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 spans="1:26" ht="15.75" customHeight="1">
      <c r="A1398" s="10"/>
      <c r="B1398" s="10"/>
      <c r="C1398" s="21">
        <v>4714781020466</v>
      </c>
      <c r="D1398" s="12" t="s">
        <v>1374</v>
      </c>
      <c r="E1398" s="9">
        <v>1</v>
      </c>
      <c r="F1398" s="9">
        <v>135</v>
      </c>
      <c r="G1398" s="8">
        <f>F1398/1599</f>
        <v>8.4427767354596617E-2</v>
      </c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 spans="1:26" ht="15.75" customHeight="1">
      <c r="A1399" s="10"/>
      <c r="B1399" s="10"/>
      <c r="C1399" s="21">
        <v>4714781020503</v>
      </c>
      <c r="D1399" s="12" t="s">
        <v>1372</v>
      </c>
      <c r="E1399" s="9">
        <v>1</v>
      </c>
      <c r="F1399" s="9">
        <v>135</v>
      </c>
      <c r="G1399" s="8">
        <f>F1399/1599</f>
        <v>8.4427767354596617E-2</v>
      </c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 spans="1:26" ht="15.75" customHeight="1">
      <c r="A1400" s="10"/>
      <c r="B1400" s="10"/>
      <c r="C1400" s="21">
        <v>4714781020558</v>
      </c>
      <c r="D1400" s="12" t="s">
        <v>1370</v>
      </c>
      <c r="E1400" s="9">
        <v>1</v>
      </c>
      <c r="F1400" s="9">
        <v>135</v>
      </c>
      <c r="G1400" s="8">
        <f>F1400/1599</f>
        <v>8.4427767354596617E-2</v>
      </c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 spans="1:26" ht="15.75" customHeight="1">
      <c r="A1401" s="10"/>
      <c r="B1401" s="10"/>
      <c r="C1401" s="21">
        <v>4714781020800</v>
      </c>
      <c r="D1401" s="10" t="s">
        <v>1319</v>
      </c>
      <c r="E1401" s="9">
        <v>1</v>
      </c>
      <c r="F1401" s="9">
        <v>125</v>
      </c>
      <c r="G1401" s="8">
        <f>F1401/1599</f>
        <v>7.8173858661663542E-2</v>
      </c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 spans="1:26" ht="15.75" customHeight="1">
      <c r="A1402" s="10"/>
      <c r="B1402" s="10"/>
      <c r="C1402" s="21" t="s">
        <v>1619</v>
      </c>
      <c r="D1402" s="10" t="s">
        <v>1376</v>
      </c>
      <c r="E1402" s="9">
        <v>1</v>
      </c>
      <c r="F1402" s="9">
        <v>114</v>
      </c>
      <c r="G1402" s="8">
        <f>F1402/1599</f>
        <v>7.1294559099437146E-2</v>
      </c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 spans="1:26" ht="15.75" customHeight="1">
      <c r="A1403" s="10"/>
      <c r="B1403" s="10"/>
      <c r="C1403" s="23" t="s">
        <v>1531</v>
      </c>
      <c r="D1403" s="12" t="s">
        <v>2194</v>
      </c>
      <c r="E1403" s="9">
        <v>1</v>
      </c>
      <c r="F1403" s="9">
        <v>290</v>
      </c>
      <c r="G1403" s="8">
        <f>F1403/1599</f>
        <v>0.18136335209505941</v>
      </c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 spans="1:26" ht="15.75" customHeight="1">
      <c r="A1404" s="10"/>
      <c r="B1404" s="10"/>
      <c r="C1404" s="23" t="s">
        <v>1508</v>
      </c>
      <c r="D1404" s="12" t="s">
        <v>2186</v>
      </c>
      <c r="E1404" s="9">
        <v>1</v>
      </c>
      <c r="F1404" s="9">
        <v>290</v>
      </c>
      <c r="G1404" s="8">
        <f>F1404/1599</f>
        <v>0.18136335209505941</v>
      </c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 spans="1:26" ht="15.75" customHeight="1">
      <c r="A1405" s="10" t="s">
        <v>2539</v>
      </c>
      <c r="B1405" s="9">
        <v>3</v>
      </c>
      <c r="C1405" s="21">
        <v>4714781020558</v>
      </c>
      <c r="D1405" s="10" t="s">
        <v>1370</v>
      </c>
      <c r="E1405" s="9">
        <v>2</v>
      </c>
      <c r="F1405" s="9">
        <v>296</v>
      </c>
      <c r="G1405" s="8">
        <f>F1405/890</f>
        <v>0.33258426966292137</v>
      </c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 spans="1:26" ht="15.75" customHeight="1">
      <c r="A1406" s="10"/>
      <c r="B1406" s="9"/>
      <c r="C1406" s="21">
        <v>4714781020503</v>
      </c>
      <c r="D1406" s="10" t="s">
        <v>1372</v>
      </c>
      <c r="E1406" s="9">
        <v>2</v>
      </c>
      <c r="F1406" s="9">
        <v>296</v>
      </c>
      <c r="G1406" s="8">
        <f>F1406/890</f>
        <v>0.33258426966292137</v>
      </c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 spans="1:26" ht="15.75" customHeight="1">
      <c r="A1407" s="10"/>
      <c r="B1407" s="9"/>
      <c r="C1407" s="21">
        <v>4714781020466</v>
      </c>
      <c r="D1407" s="10" t="s">
        <v>1374</v>
      </c>
      <c r="E1407" s="9">
        <v>2</v>
      </c>
      <c r="F1407" s="9">
        <v>298</v>
      </c>
      <c r="G1407" s="8">
        <f>F1407/890</f>
        <v>0.33483146067415731</v>
      </c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 spans="1:26" ht="15.75" customHeight="1">
      <c r="A1408" s="10" t="s">
        <v>2538</v>
      </c>
      <c r="B1408" s="9">
        <v>1</v>
      </c>
      <c r="C1408" s="21">
        <v>4714781020558</v>
      </c>
      <c r="D1408" s="10" t="s">
        <v>1370</v>
      </c>
      <c r="E1408" s="9">
        <v>6</v>
      </c>
      <c r="F1408" s="9">
        <v>890</v>
      </c>
      <c r="G1408" s="8">
        <f>F1408/890</f>
        <v>1</v>
      </c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 spans="1:26" ht="15.75" customHeight="1">
      <c r="A1409" s="10" t="s">
        <v>2537</v>
      </c>
      <c r="B1409" s="9">
        <v>1</v>
      </c>
      <c r="C1409" s="21">
        <v>4714781020503</v>
      </c>
      <c r="D1409" s="10" t="s">
        <v>1372</v>
      </c>
      <c r="E1409" s="9">
        <v>6</v>
      </c>
      <c r="F1409" s="9">
        <v>890</v>
      </c>
      <c r="G1409" s="8">
        <f>F1409/890</f>
        <v>1</v>
      </c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 spans="1:26" ht="15.75" customHeight="1">
      <c r="A1410" s="10" t="s">
        <v>2536</v>
      </c>
      <c r="B1410" s="9">
        <v>1</v>
      </c>
      <c r="C1410" s="21">
        <v>4714781020466</v>
      </c>
      <c r="D1410" s="10" t="s">
        <v>1374</v>
      </c>
      <c r="E1410" s="9">
        <v>6</v>
      </c>
      <c r="F1410" s="9">
        <v>890</v>
      </c>
      <c r="G1410" s="8">
        <f>F1410/890</f>
        <v>1</v>
      </c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 spans="1:26" ht="15.75" customHeight="1">
      <c r="A1411" s="10" t="s">
        <v>2535</v>
      </c>
      <c r="B1411" s="9">
        <v>2</v>
      </c>
      <c r="C1411" s="21">
        <v>4714781020503</v>
      </c>
      <c r="D1411" s="10" t="s">
        <v>1372</v>
      </c>
      <c r="E1411" s="9">
        <v>3</v>
      </c>
      <c r="F1411" s="9">
        <v>445</v>
      </c>
      <c r="G1411" s="8">
        <f>F1411/890</f>
        <v>0.5</v>
      </c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 spans="1:26" ht="15.75" customHeight="1">
      <c r="A1412" s="10"/>
      <c r="B1412" s="9"/>
      <c r="C1412" s="21">
        <v>4714781020466</v>
      </c>
      <c r="D1412" s="10" t="s">
        <v>1374</v>
      </c>
      <c r="E1412" s="9">
        <v>3</v>
      </c>
      <c r="F1412" s="9">
        <v>445</v>
      </c>
      <c r="G1412" s="8">
        <f>F1412/890</f>
        <v>0.5</v>
      </c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 spans="1:26" ht="15.75" customHeight="1">
      <c r="A1413" s="10" t="s">
        <v>2534</v>
      </c>
      <c r="B1413" s="9">
        <v>2</v>
      </c>
      <c r="C1413" s="21">
        <v>4714781020503</v>
      </c>
      <c r="D1413" s="10" t="s">
        <v>1372</v>
      </c>
      <c r="E1413" s="9">
        <v>3</v>
      </c>
      <c r="F1413" s="9">
        <v>445</v>
      </c>
      <c r="G1413" s="8">
        <f>F1413/890</f>
        <v>0.5</v>
      </c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 spans="1:26" ht="15.75" customHeight="1">
      <c r="A1414" s="10"/>
      <c r="B1414" s="9"/>
      <c r="C1414" s="21">
        <v>4714781020558</v>
      </c>
      <c r="D1414" s="10" t="s">
        <v>1370</v>
      </c>
      <c r="E1414" s="9">
        <v>3</v>
      </c>
      <c r="F1414" s="9">
        <v>445</v>
      </c>
      <c r="G1414" s="8">
        <f>F1414/890</f>
        <v>0.5</v>
      </c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 spans="1:26" ht="15.75" customHeight="1">
      <c r="A1415" s="10" t="s">
        <v>2533</v>
      </c>
      <c r="B1415" s="9">
        <v>2</v>
      </c>
      <c r="C1415" s="21">
        <v>4714781020466</v>
      </c>
      <c r="D1415" s="10" t="s">
        <v>1374</v>
      </c>
      <c r="E1415" s="9">
        <v>3</v>
      </c>
      <c r="F1415" s="9">
        <v>445</v>
      </c>
      <c r="G1415" s="8">
        <f>F1415/890</f>
        <v>0.5</v>
      </c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 spans="1:26" ht="15.75" customHeight="1">
      <c r="A1416" s="10"/>
      <c r="B1416" s="9"/>
      <c r="C1416" s="21">
        <v>4714781020558</v>
      </c>
      <c r="D1416" s="10" t="s">
        <v>1370</v>
      </c>
      <c r="E1416" s="9">
        <v>3</v>
      </c>
      <c r="F1416" s="9">
        <v>445</v>
      </c>
      <c r="G1416" s="8">
        <f>F1416/890</f>
        <v>0.5</v>
      </c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 spans="1:26" ht="15.75" customHeight="1">
      <c r="A1417" s="10" t="s">
        <v>2532</v>
      </c>
      <c r="B1417" s="9">
        <v>3</v>
      </c>
      <c r="C1417" s="6">
        <v>4714781021609</v>
      </c>
      <c r="D1417" s="12" t="s">
        <v>1454</v>
      </c>
      <c r="E1417" s="9">
        <v>2</v>
      </c>
      <c r="F1417" s="9">
        <v>260</v>
      </c>
      <c r="G1417" s="8">
        <f>F1417/780</f>
        <v>0.33333333333333331</v>
      </c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 spans="1:26" ht="15.75" customHeight="1">
      <c r="A1418" s="10"/>
      <c r="B1418" s="12"/>
      <c r="C1418" s="6">
        <v>4714781021593</v>
      </c>
      <c r="D1418" s="12" t="s">
        <v>1453</v>
      </c>
      <c r="E1418" s="9">
        <v>2</v>
      </c>
      <c r="F1418" s="9">
        <v>260</v>
      </c>
      <c r="G1418" s="8">
        <f>F1418/780</f>
        <v>0.33333333333333331</v>
      </c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 spans="1:26" ht="15.75" customHeight="1">
      <c r="A1419" s="10"/>
      <c r="B1419" s="12"/>
      <c r="C1419" s="23">
        <v>4714781021029</v>
      </c>
      <c r="D1419" s="12" t="s">
        <v>1452</v>
      </c>
      <c r="E1419" s="9">
        <v>2</v>
      </c>
      <c r="F1419" s="9">
        <v>260</v>
      </c>
      <c r="G1419" s="8">
        <f>F1419/780</f>
        <v>0.33333333333333331</v>
      </c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 spans="1:26" ht="15.75" customHeight="1">
      <c r="A1420" s="10" t="s">
        <v>2531</v>
      </c>
      <c r="B1420" s="9">
        <v>1</v>
      </c>
      <c r="C1420" s="6">
        <v>4714781021609</v>
      </c>
      <c r="D1420" s="12" t="s">
        <v>1454</v>
      </c>
      <c r="E1420" s="9">
        <v>6</v>
      </c>
      <c r="F1420" s="9">
        <v>780</v>
      </c>
      <c r="G1420" s="8">
        <f>F1420/780</f>
        <v>1</v>
      </c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 spans="1:26" ht="15.75" customHeight="1">
      <c r="A1421" s="10" t="s">
        <v>2530</v>
      </c>
      <c r="B1421" s="9">
        <v>1</v>
      </c>
      <c r="C1421" s="6">
        <v>4714781021593</v>
      </c>
      <c r="D1421" s="12" t="s">
        <v>1453</v>
      </c>
      <c r="E1421" s="9">
        <v>6</v>
      </c>
      <c r="F1421" s="9">
        <v>780</v>
      </c>
      <c r="G1421" s="8">
        <f>F1421/780</f>
        <v>1</v>
      </c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 spans="1:26" ht="15.75" customHeight="1">
      <c r="A1422" s="10" t="s">
        <v>2529</v>
      </c>
      <c r="B1422" s="9">
        <v>1</v>
      </c>
      <c r="C1422" s="23">
        <v>4714781021029</v>
      </c>
      <c r="D1422" s="12" t="s">
        <v>1452</v>
      </c>
      <c r="E1422" s="9">
        <v>6</v>
      </c>
      <c r="F1422" s="9">
        <v>780</v>
      </c>
      <c r="G1422" s="8">
        <f>F1422/780</f>
        <v>1</v>
      </c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 spans="1:26" ht="15.75" customHeight="1">
      <c r="A1423" s="10" t="s">
        <v>2528</v>
      </c>
      <c r="B1423" s="9">
        <v>2</v>
      </c>
      <c r="C1423" s="23">
        <v>4714781021029</v>
      </c>
      <c r="D1423" s="12" t="s">
        <v>1452</v>
      </c>
      <c r="E1423" s="9">
        <v>3</v>
      </c>
      <c r="F1423" s="9">
        <v>390</v>
      </c>
      <c r="G1423" s="8">
        <f>F1423/780</f>
        <v>0.5</v>
      </c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 spans="1:26" ht="15.75" customHeight="1">
      <c r="A1424" s="10"/>
      <c r="B1424" s="12"/>
      <c r="C1424" s="6">
        <v>4714781021593</v>
      </c>
      <c r="D1424" s="12" t="s">
        <v>1453</v>
      </c>
      <c r="E1424" s="9">
        <v>3</v>
      </c>
      <c r="F1424" s="9">
        <v>390</v>
      </c>
      <c r="G1424" s="8">
        <f>F1424/780</f>
        <v>0.5</v>
      </c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 spans="1:26" ht="15.75" customHeight="1">
      <c r="A1425" s="10" t="s">
        <v>2527</v>
      </c>
      <c r="B1425" s="9">
        <v>2</v>
      </c>
      <c r="C1425" s="23">
        <v>4714781021029</v>
      </c>
      <c r="D1425" s="12" t="s">
        <v>1452</v>
      </c>
      <c r="E1425" s="9">
        <v>3</v>
      </c>
      <c r="F1425" s="9">
        <v>390</v>
      </c>
      <c r="G1425" s="8">
        <f>F1425/780</f>
        <v>0.5</v>
      </c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 spans="1:26" ht="15.75" customHeight="1">
      <c r="A1426" s="10"/>
      <c r="B1426" s="12"/>
      <c r="C1426" s="6">
        <v>4714781021609</v>
      </c>
      <c r="D1426" s="12" t="s">
        <v>1454</v>
      </c>
      <c r="E1426" s="9">
        <v>3</v>
      </c>
      <c r="F1426" s="9">
        <v>390</v>
      </c>
      <c r="G1426" s="8">
        <f>F1426/780</f>
        <v>0.5</v>
      </c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 spans="1:26" ht="15.75" customHeight="1">
      <c r="A1427" s="10" t="s">
        <v>2526</v>
      </c>
      <c r="B1427" s="9">
        <v>2</v>
      </c>
      <c r="C1427" s="6">
        <v>4714781021593</v>
      </c>
      <c r="D1427" s="12" t="s">
        <v>1453</v>
      </c>
      <c r="E1427" s="9">
        <v>3</v>
      </c>
      <c r="F1427" s="9">
        <v>390</v>
      </c>
      <c r="G1427" s="8">
        <f>F1427/780</f>
        <v>0.5</v>
      </c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 spans="1:26" ht="15.75" customHeight="1">
      <c r="A1428" s="10"/>
      <c r="B1428" s="12"/>
      <c r="C1428" s="6">
        <v>4714781021609</v>
      </c>
      <c r="D1428" s="12" t="s">
        <v>1454</v>
      </c>
      <c r="E1428" s="9">
        <v>3</v>
      </c>
      <c r="F1428" s="9">
        <v>390</v>
      </c>
      <c r="G1428" s="8">
        <f>F1428/780</f>
        <v>0.5</v>
      </c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 spans="1:26" ht="15.75" customHeight="1">
      <c r="A1429" s="10" t="s">
        <v>2525</v>
      </c>
      <c r="B1429" s="9">
        <v>6</v>
      </c>
      <c r="C1429" s="23">
        <v>4714781021029</v>
      </c>
      <c r="D1429" s="12" t="s">
        <v>1452</v>
      </c>
      <c r="E1429" s="9">
        <v>1</v>
      </c>
      <c r="F1429" s="9">
        <v>133</v>
      </c>
      <c r="G1429" s="8">
        <f>F1429/820</f>
        <v>0.16219512195121952</v>
      </c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 spans="1:26" ht="15.75" customHeight="1">
      <c r="A1430" s="10"/>
      <c r="B1430" s="12"/>
      <c r="C1430" s="6">
        <v>4714781021593</v>
      </c>
      <c r="D1430" s="12" t="s">
        <v>1453</v>
      </c>
      <c r="E1430" s="9">
        <v>1</v>
      </c>
      <c r="F1430" s="9">
        <v>133</v>
      </c>
      <c r="G1430" s="8">
        <f>F1430/820</f>
        <v>0.16219512195121952</v>
      </c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 spans="1:26" ht="15.75" customHeight="1">
      <c r="A1431" s="10"/>
      <c r="B1431" s="12"/>
      <c r="C1431" s="6">
        <v>4714781021609</v>
      </c>
      <c r="D1431" s="12" t="s">
        <v>1454</v>
      </c>
      <c r="E1431" s="9">
        <v>1</v>
      </c>
      <c r="F1431" s="9">
        <v>134</v>
      </c>
      <c r="G1431" s="8">
        <f>F1431/820</f>
        <v>0.16341463414634147</v>
      </c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 spans="1:26" ht="15.75" customHeight="1">
      <c r="A1432" s="10"/>
      <c r="B1432" s="12"/>
      <c r="C1432" s="21">
        <v>4714781020466</v>
      </c>
      <c r="D1432" s="12" t="s">
        <v>1374</v>
      </c>
      <c r="E1432" s="9">
        <v>1</v>
      </c>
      <c r="F1432" s="9">
        <v>140</v>
      </c>
      <c r="G1432" s="8">
        <f>F1432/820</f>
        <v>0.17073170731707318</v>
      </c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 spans="1:26" ht="15.75" customHeight="1">
      <c r="A1433" s="10"/>
      <c r="B1433" s="12"/>
      <c r="C1433" s="21">
        <v>4714781020503</v>
      </c>
      <c r="D1433" s="12" t="s">
        <v>1372</v>
      </c>
      <c r="E1433" s="9">
        <v>1</v>
      </c>
      <c r="F1433" s="9">
        <v>140</v>
      </c>
      <c r="G1433" s="8">
        <f>F1433/820</f>
        <v>0.17073170731707318</v>
      </c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 spans="1:26" ht="15.75" customHeight="1">
      <c r="A1434" s="10"/>
      <c r="B1434" s="12"/>
      <c r="C1434" s="21">
        <v>4714781020558</v>
      </c>
      <c r="D1434" s="12" t="s">
        <v>1370</v>
      </c>
      <c r="E1434" s="9">
        <v>1</v>
      </c>
      <c r="F1434" s="9">
        <v>140</v>
      </c>
      <c r="G1434" s="8">
        <f>F1434/820</f>
        <v>0.17073170731707318</v>
      </c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 spans="1:26" ht="15.75" customHeight="1">
      <c r="A1435" s="10" t="s">
        <v>2524</v>
      </c>
      <c r="B1435" s="9">
        <v>2</v>
      </c>
      <c r="C1435" s="23">
        <v>4714781021029</v>
      </c>
      <c r="D1435" s="12" t="s">
        <v>1452</v>
      </c>
      <c r="E1435" s="9">
        <v>3</v>
      </c>
      <c r="F1435" s="9">
        <v>400</v>
      </c>
      <c r="G1435" s="8">
        <f>F1435/820</f>
        <v>0.48780487804878048</v>
      </c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 spans="1:26" ht="15.75" customHeight="1">
      <c r="A1436" s="10"/>
      <c r="B1436" s="12"/>
      <c r="C1436" s="21">
        <v>4714781020558</v>
      </c>
      <c r="D1436" s="12" t="s">
        <v>1370</v>
      </c>
      <c r="E1436" s="9">
        <v>3</v>
      </c>
      <c r="F1436" s="9">
        <v>420</v>
      </c>
      <c r="G1436" s="8">
        <f>F1436/820</f>
        <v>0.51219512195121952</v>
      </c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 spans="1:26" ht="15.75" customHeight="1">
      <c r="A1437" s="10" t="s">
        <v>2523</v>
      </c>
      <c r="B1437" s="9">
        <v>2</v>
      </c>
      <c r="C1437" s="23">
        <v>4714781021029</v>
      </c>
      <c r="D1437" s="12" t="s">
        <v>1452</v>
      </c>
      <c r="E1437" s="9">
        <v>3</v>
      </c>
      <c r="F1437" s="9">
        <v>400</v>
      </c>
      <c r="G1437" s="8">
        <f>F1437/820</f>
        <v>0.48780487804878048</v>
      </c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 spans="1:26" ht="15.75" customHeight="1">
      <c r="A1438" s="10"/>
      <c r="B1438" s="12"/>
      <c r="C1438" s="21">
        <v>4714781020466</v>
      </c>
      <c r="D1438" s="12" t="s">
        <v>1374</v>
      </c>
      <c r="E1438" s="9">
        <v>3</v>
      </c>
      <c r="F1438" s="9">
        <v>420</v>
      </c>
      <c r="G1438" s="8">
        <f>F1438/820</f>
        <v>0.51219512195121952</v>
      </c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 spans="1:26" ht="15.75" customHeight="1">
      <c r="A1439" s="10" t="s">
        <v>2522</v>
      </c>
      <c r="B1439" s="9">
        <v>2</v>
      </c>
      <c r="C1439" s="23">
        <v>4714781021029</v>
      </c>
      <c r="D1439" s="12" t="s">
        <v>1452</v>
      </c>
      <c r="E1439" s="9">
        <v>3</v>
      </c>
      <c r="F1439" s="9">
        <v>400</v>
      </c>
      <c r="G1439" s="8">
        <f>F1439/820</f>
        <v>0.48780487804878048</v>
      </c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 spans="1:26" ht="15.75" customHeight="1">
      <c r="A1440" s="10"/>
      <c r="B1440" s="12"/>
      <c r="C1440" s="21">
        <v>4714781020503</v>
      </c>
      <c r="D1440" s="12" t="s">
        <v>1372</v>
      </c>
      <c r="E1440" s="9">
        <v>3</v>
      </c>
      <c r="F1440" s="9">
        <v>420</v>
      </c>
      <c r="G1440" s="8">
        <f>F1440/820</f>
        <v>0.51219512195121952</v>
      </c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 spans="1:26" ht="15.75" customHeight="1">
      <c r="A1441" s="10" t="s">
        <v>2521</v>
      </c>
      <c r="B1441" s="9">
        <v>2</v>
      </c>
      <c r="C1441" s="6">
        <v>4714781021593</v>
      </c>
      <c r="D1441" s="12" t="s">
        <v>1453</v>
      </c>
      <c r="E1441" s="9">
        <v>3</v>
      </c>
      <c r="F1441" s="9">
        <v>400</v>
      </c>
      <c r="G1441" s="8">
        <f>F1441/820</f>
        <v>0.48780487804878048</v>
      </c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 spans="1:26" ht="15.75" customHeight="1">
      <c r="A1442" s="10"/>
      <c r="B1442" s="12"/>
      <c r="C1442" s="21">
        <v>4714781020558</v>
      </c>
      <c r="D1442" s="12" t="s">
        <v>1370</v>
      </c>
      <c r="E1442" s="9">
        <v>3</v>
      </c>
      <c r="F1442" s="9">
        <v>420</v>
      </c>
      <c r="G1442" s="8">
        <f>F1442/820</f>
        <v>0.51219512195121952</v>
      </c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 spans="1:26" ht="15.75" customHeight="1">
      <c r="A1443" s="10" t="s">
        <v>2520</v>
      </c>
      <c r="B1443" s="9">
        <v>2</v>
      </c>
      <c r="C1443" s="6">
        <v>4714781021593</v>
      </c>
      <c r="D1443" s="12" t="s">
        <v>1453</v>
      </c>
      <c r="E1443" s="9">
        <v>3</v>
      </c>
      <c r="F1443" s="9">
        <v>400</v>
      </c>
      <c r="G1443" s="8">
        <f>F1443/820</f>
        <v>0.48780487804878048</v>
      </c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 spans="1:26" ht="15.75" customHeight="1">
      <c r="A1444" s="10"/>
      <c r="B1444" s="12"/>
      <c r="C1444" s="21">
        <v>4714781020466</v>
      </c>
      <c r="D1444" s="12" t="s">
        <v>1374</v>
      </c>
      <c r="E1444" s="9">
        <v>3</v>
      </c>
      <c r="F1444" s="9">
        <v>420</v>
      </c>
      <c r="G1444" s="8">
        <f>F1444/820</f>
        <v>0.51219512195121952</v>
      </c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 spans="1:26" ht="15.75" customHeight="1">
      <c r="A1445" s="10" t="s">
        <v>2519</v>
      </c>
      <c r="B1445" s="9">
        <v>2</v>
      </c>
      <c r="C1445" s="6">
        <v>4714781021593</v>
      </c>
      <c r="D1445" s="12" t="s">
        <v>1453</v>
      </c>
      <c r="E1445" s="9">
        <v>3</v>
      </c>
      <c r="F1445" s="9">
        <v>400</v>
      </c>
      <c r="G1445" s="8">
        <f>F1445/820</f>
        <v>0.48780487804878048</v>
      </c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 spans="1:26" ht="15.75" customHeight="1">
      <c r="A1446" s="10"/>
      <c r="B1446" s="12"/>
      <c r="C1446" s="21">
        <v>4714781020503</v>
      </c>
      <c r="D1446" s="12" t="s">
        <v>1372</v>
      </c>
      <c r="E1446" s="9">
        <v>3</v>
      </c>
      <c r="F1446" s="9">
        <v>420</v>
      </c>
      <c r="G1446" s="8">
        <f>F1446/820</f>
        <v>0.51219512195121952</v>
      </c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 spans="1:26" ht="15.75" customHeight="1">
      <c r="A1447" s="10" t="s">
        <v>2518</v>
      </c>
      <c r="B1447" s="9">
        <v>2</v>
      </c>
      <c r="C1447" s="6">
        <v>4714781021609</v>
      </c>
      <c r="D1447" s="12" t="s">
        <v>1454</v>
      </c>
      <c r="E1447" s="9">
        <v>3</v>
      </c>
      <c r="F1447" s="9">
        <v>400</v>
      </c>
      <c r="G1447" s="8">
        <f>F1447/820</f>
        <v>0.48780487804878048</v>
      </c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 spans="1:26" ht="15.75" customHeight="1">
      <c r="A1448" s="10"/>
      <c r="B1448" s="12"/>
      <c r="C1448" s="21">
        <v>4714781020558</v>
      </c>
      <c r="D1448" s="12" t="s">
        <v>1370</v>
      </c>
      <c r="E1448" s="9">
        <v>3</v>
      </c>
      <c r="F1448" s="9">
        <v>420</v>
      </c>
      <c r="G1448" s="8">
        <f>F1448/820</f>
        <v>0.51219512195121952</v>
      </c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 spans="1:26" ht="15.75" customHeight="1">
      <c r="A1449" s="10" t="s">
        <v>2517</v>
      </c>
      <c r="B1449" s="9">
        <v>2</v>
      </c>
      <c r="C1449" s="6">
        <v>4714781021609</v>
      </c>
      <c r="D1449" s="12" t="s">
        <v>1454</v>
      </c>
      <c r="E1449" s="9">
        <v>3</v>
      </c>
      <c r="F1449" s="9">
        <v>400</v>
      </c>
      <c r="G1449" s="8">
        <f>F1449/820</f>
        <v>0.48780487804878048</v>
      </c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 spans="1:26" ht="15.75" customHeight="1">
      <c r="A1450" s="10"/>
      <c r="B1450" s="12"/>
      <c r="C1450" s="21">
        <v>4714781020466</v>
      </c>
      <c r="D1450" s="12" t="s">
        <v>1374</v>
      </c>
      <c r="E1450" s="9">
        <v>3</v>
      </c>
      <c r="F1450" s="9">
        <v>420</v>
      </c>
      <c r="G1450" s="8">
        <f>F1450/820</f>
        <v>0.51219512195121952</v>
      </c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 spans="1:26" ht="15.75" customHeight="1">
      <c r="A1451" s="10" t="s">
        <v>2516</v>
      </c>
      <c r="B1451" s="9">
        <v>2</v>
      </c>
      <c r="C1451" s="6">
        <v>4714781021609</v>
      </c>
      <c r="D1451" s="12" t="s">
        <v>1454</v>
      </c>
      <c r="E1451" s="9">
        <v>3</v>
      </c>
      <c r="F1451" s="9">
        <v>400</v>
      </c>
      <c r="G1451" s="8">
        <f>F1451/820</f>
        <v>0.48780487804878048</v>
      </c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 spans="1:26" ht="15.75" customHeight="1">
      <c r="A1452" s="10"/>
      <c r="B1452" s="9"/>
      <c r="C1452" s="21">
        <v>4714781020503</v>
      </c>
      <c r="D1452" s="12" t="s">
        <v>1372</v>
      </c>
      <c r="E1452" s="9">
        <v>3</v>
      </c>
      <c r="F1452" s="9">
        <v>420</v>
      </c>
      <c r="G1452" s="8">
        <f>F1452/820</f>
        <v>0.51219512195121952</v>
      </c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 spans="1:26" ht="15.75" customHeight="1">
      <c r="A1453" s="10" t="s">
        <v>2515</v>
      </c>
      <c r="B1453" s="9">
        <v>2</v>
      </c>
      <c r="C1453" s="23">
        <v>4714781021777</v>
      </c>
      <c r="D1453" s="12" t="s">
        <v>1522</v>
      </c>
      <c r="E1453" s="9">
        <v>2</v>
      </c>
      <c r="F1453" s="9">
        <v>750</v>
      </c>
      <c r="G1453" s="8">
        <f>F1453/1320</f>
        <v>0.56818181818181823</v>
      </c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 spans="1:26" ht="15.75" customHeight="1">
      <c r="A1454" s="10"/>
      <c r="B1454" s="9"/>
      <c r="C1454" s="23" t="s">
        <v>1510</v>
      </c>
      <c r="D1454" s="12" t="s">
        <v>2190</v>
      </c>
      <c r="E1454" s="9">
        <v>2</v>
      </c>
      <c r="F1454" s="9">
        <v>570</v>
      </c>
      <c r="G1454" s="8">
        <f>F1454/1320</f>
        <v>0.43181818181818182</v>
      </c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 spans="1:26" ht="15.75" customHeight="1">
      <c r="A1455" s="10" t="s">
        <v>2514</v>
      </c>
      <c r="B1455" s="9">
        <v>2</v>
      </c>
      <c r="C1455" s="23">
        <v>4714781021777</v>
      </c>
      <c r="D1455" s="12" t="s">
        <v>1522</v>
      </c>
      <c r="E1455" s="9">
        <v>2</v>
      </c>
      <c r="F1455" s="9">
        <v>750</v>
      </c>
      <c r="G1455" s="8">
        <f>F1455/1320</f>
        <v>0.56818181818181823</v>
      </c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 spans="1:26" ht="15.75" customHeight="1">
      <c r="A1456" s="10"/>
      <c r="B1456" s="9"/>
      <c r="C1456" s="23" t="s">
        <v>1506</v>
      </c>
      <c r="D1456" s="12" t="s">
        <v>2188</v>
      </c>
      <c r="E1456" s="9">
        <v>2</v>
      </c>
      <c r="F1456" s="9">
        <v>570</v>
      </c>
      <c r="G1456" s="8">
        <f>F1456/1320</f>
        <v>0.43181818181818182</v>
      </c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 spans="1:26" ht="15.75" customHeight="1">
      <c r="A1457" s="10" t="s">
        <v>2513</v>
      </c>
      <c r="B1457" s="9">
        <v>2</v>
      </c>
      <c r="C1457" s="23">
        <v>4714781021777</v>
      </c>
      <c r="D1457" s="12" t="s">
        <v>1522</v>
      </c>
      <c r="E1457" s="9">
        <v>2</v>
      </c>
      <c r="F1457" s="9">
        <v>750</v>
      </c>
      <c r="G1457" s="8">
        <f>F1457/1320</f>
        <v>0.56818181818181823</v>
      </c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 spans="1:26" ht="15.75" customHeight="1">
      <c r="A1458" s="10"/>
      <c r="B1458" s="9"/>
      <c r="C1458" s="23" t="s">
        <v>1508</v>
      </c>
      <c r="D1458" s="12" t="s">
        <v>2186</v>
      </c>
      <c r="E1458" s="9">
        <v>2</v>
      </c>
      <c r="F1458" s="9">
        <v>570</v>
      </c>
      <c r="G1458" s="8">
        <f>F1458/1320</f>
        <v>0.43181818181818182</v>
      </c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 spans="1:26" ht="15.75" customHeight="1">
      <c r="A1459" s="10" t="s">
        <v>2512</v>
      </c>
      <c r="B1459" s="9">
        <v>2</v>
      </c>
      <c r="C1459" s="23">
        <v>4714781021777</v>
      </c>
      <c r="D1459" s="12" t="s">
        <v>1522</v>
      </c>
      <c r="E1459" s="9">
        <v>2</v>
      </c>
      <c r="F1459" s="9">
        <v>750</v>
      </c>
      <c r="G1459" s="8">
        <f>F1459/1320</f>
        <v>0.56818181818181823</v>
      </c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 spans="1:26" ht="15.75" customHeight="1">
      <c r="A1460" s="10"/>
      <c r="B1460" s="9"/>
      <c r="C1460" s="23" t="s">
        <v>1531</v>
      </c>
      <c r="D1460" s="12" t="s">
        <v>2194</v>
      </c>
      <c r="E1460" s="9">
        <v>2</v>
      </c>
      <c r="F1460" s="9">
        <v>570</v>
      </c>
      <c r="G1460" s="8">
        <f>F1460/1320</f>
        <v>0.43181818181818182</v>
      </c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 spans="1:26" ht="15.75" customHeight="1">
      <c r="A1461" s="10" t="s">
        <v>2511</v>
      </c>
      <c r="B1461" s="9">
        <v>3</v>
      </c>
      <c r="C1461" s="23">
        <v>4714781021777</v>
      </c>
      <c r="D1461" s="12" t="s">
        <v>1522</v>
      </c>
      <c r="E1461" s="9">
        <v>2</v>
      </c>
      <c r="F1461" s="9">
        <v>750</v>
      </c>
      <c r="G1461" s="8">
        <f>F1461/1320</f>
        <v>0.56818181818181823</v>
      </c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 spans="1:26" ht="15.75" customHeight="1">
      <c r="A1462" s="10"/>
      <c r="B1462" s="9"/>
      <c r="C1462" s="23" t="s">
        <v>1510</v>
      </c>
      <c r="D1462" s="12" t="s">
        <v>2190</v>
      </c>
      <c r="E1462" s="9">
        <v>1</v>
      </c>
      <c r="F1462" s="9">
        <v>285</v>
      </c>
      <c r="G1462" s="8">
        <f>F1462/1320</f>
        <v>0.21590909090909091</v>
      </c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 spans="1:26" ht="15.75" customHeight="1">
      <c r="A1463" s="10"/>
      <c r="B1463" s="9"/>
      <c r="C1463" s="23" t="s">
        <v>1531</v>
      </c>
      <c r="D1463" s="12" t="s">
        <v>2194</v>
      </c>
      <c r="E1463" s="9">
        <v>1</v>
      </c>
      <c r="F1463" s="9">
        <v>285</v>
      </c>
      <c r="G1463" s="8">
        <f>F1463/1320</f>
        <v>0.21590909090909091</v>
      </c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 spans="1:26" ht="15.75" customHeight="1">
      <c r="A1464" s="12" t="s">
        <v>2510</v>
      </c>
      <c r="B1464" s="9">
        <v>3</v>
      </c>
      <c r="C1464" s="23">
        <v>4714781021777</v>
      </c>
      <c r="D1464" s="12" t="s">
        <v>1522</v>
      </c>
      <c r="E1464" s="9">
        <v>2</v>
      </c>
      <c r="F1464" s="9">
        <v>750</v>
      </c>
      <c r="G1464" s="8">
        <f>F1464/1320</f>
        <v>0.56818181818181823</v>
      </c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 spans="1:26" ht="15.75" customHeight="1">
      <c r="A1465" s="10"/>
      <c r="B1465" s="9"/>
      <c r="C1465" s="23" t="s">
        <v>1531</v>
      </c>
      <c r="D1465" s="12" t="s">
        <v>2194</v>
      </c>
      <c r="E1465" s="9">
        <v>1</v>
      </c>
      <c r="F1465" s="9">
        <v>285</v>
      </c>
      <c r="G1465" s="8">
        <f>F1465/1320</f>
        <v>0.21590909090909091</v>
      </c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 spans="1:26" ht="15.75" customHeight="1">
      <c r="A1466" s="10"/>
      <c r="B1466" s="9"/>
      <c r="C1466" s="23" t="s">
        <v>1508</v>
      </c>
      <c r="D1466" s="12" t="s">
        <v>2186</v>
      </c>
      <c r="E1466" s="9">
        <v>1</v>
      </c>
      <c r="F1466" s="9">
        <v>285</v>
      </c>
      <c r="G1466" s="8">
        <f>F1466/1320</f>
        <v>0.21590909090909091</v>
      </c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 spans="1:26" ht="15.75" customHeight="1">
      <c r="A1467" s="10" t="s">
        <v>2509</v>
      </c>
      <c r="B1467" s="9">
        <v>3</v>
      </c>
      <c r="C1467" s="23">
        <v>4714781021777</v>
      </c>
      <c r="D1467" s="12" t="s">
        <v>1522</v>
      </c>
      <c r="E1467" s="9">
        <v>2</v>
      </c>
      <c r="F1467" s="9">
        <v>750</v>
      </c>
      <c r="G1467" s="8">
        <f>F1467/1320</f>
        <v>0.56818181818181823</v>
      </c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 spans="1:26" ht="15.75" customHeight="1">
      <c r="A1468" s="10"/>
      <c r="B1468" s="9"/>
      <c r="C1468" s="23" t="s">
        <v>1531</v>
      </c>
      <c r="D1468" s="12" t="s">
        <v>2194</v>
      </c>
      <c r="E1468" s="9">
        <v>1</v>
      </c>
      <c r="F1468" s="9">
        <v>285</v>
      </c>
      <c r="G1468" s="8">
        <f>F1468/1320</f>
        <v>0.21590909090909091</v>
      </c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 spans="1:26" ht="15.75" customHeight="1">
      <c r="A1469" s="10"/>
      <c r="B1469" s="9"/>
      <c r="C1469" s="23" t="s">
        <v>1506</v>
      </c>
      <c r="D1469" s="12" t="s">
        <v>2188</v>
      </c>
      <c r="E1469" s="9">
        <v>1</v>
      </c>
      <c r="F1469" s="9">
        <v>285</v>
      </c>
      <c r="G1469" s="8">
        <f>F1469/1320</f>
        <v>0.21590909090909091</v>
      </c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 spans="1:26" ht="15.75" customHeight="1">
      <c r="A1470" s="10" t="s">
        <v>2508</v>
      </c>
      <c r="B1470" s="9">
        <v>3</v>
      </c>
      <c r="C1470" s="23">
        <v>4714781021777</v>
      </c>
      <c r="D1470" s="12" t="s">
        <v>1522</v>
      </c>
      <c r="E1470" s="9">
        <v>2</v>
      </c>
      <c r="F1470" s="9">
        <v>750</v>
      </c>
      <c r="G1470" s="8">
        <f>F1470/1320</f>
        <v>0.56818181818181823</v>
      </c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 spans="1:26" ht="15.75" customHeight="1">
      <c r="A1471" s="10"/>
      <c r="B1471" s="9"/>
      <c r="C1471" s="23" t="s">
        <v>1510</v>
      </c>
      <c r="D1471" s="12" t="s">
        <v>2190</v>
      </c>
      <c r="E1471" s="9">
        <v>1</v>
      </c>
      <c r="F1471" s="9">
        <v>285</v>
      </c>
      <c r="G1471" s="8">
        <f>F1471/1320</f>
        <v>0.21590909090909091</v>
      </c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 spans="1:26" ht="15.75" customHeight="1">
      <c r="A1472" s="10"/>
      <c r="B1472" s="9"/>
      <c r="C1472" s="23" t="s">
        <v>1506</v>
      </c>
      <c r="D1472" s="12" t="s">
        <v>2188</v>
      </c>
      <c r="E1472" s="9">
        <v>1</v>
      </c>
      <c r="F1472" s="9">
        <v>285</v>
      </c>
      <c r="G1472" s="8">
        <f>F1472/1320</f>
        <v>0.21590909090909091</v>
      </c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 spans="1:26" ht="15.75" customHeight="1">
      <c r="A1473" s="10" t="s">
        <v>2507</v>
      </c>
      <c r="B1473" s="9">
        <v>3</v>
      </c>
      <c r="C1473" s="23">
        <v>4714781021777</v>
      </c>
      <c r="D1473" s="12" t="s">
        <v>1522</v>
      </c>
      <c r="E1473" s="9">
        <v>2</v>
      </c>
      <c r="F1473" s="9">
        <v>750</v>
      </c>
      <c r="G1473" s="8">
        <f>F1473/1320</f>
        <v>0.56818181818181823</v>
      </c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 spans="1:26" ht="15.75" customHeight="1">
      <c r="A1474" s="10"/>
      <c r="B1474" s="9"/>
      <c r="C1474" s="23" t="s">
        <v>1510</v>
      </c>
      <c r="D1474" s="12" t="s">
        <v>2190</v>
      </c>
      <c r="E1474" s="9">
        <v>1</v>
      </c>
      <c r="F1474" s="9">
        <v>285</v>
      </c>
      <c r="G1474" s="8">
        <f>F1474/1320</f>
        <v>0.21590909090909091</v>
      </c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 spans="1:26" ht="15.75" customHeight="1">
      <c r="A1475" s="10"/>
      <c r="B1475" s="9"/>
      <c r="C1475" s="23" t="s">
        <v>1508</v>
      </c>
      <c r="D1475" s="12" t="s">
        <v>2186</v>
      </c>
      <c r="E1475" s="9">
        <v>1</v>
      </c>
      <c r="F1475" s="9">
        <v>285</v>
      </c>
      <c r="G1475" s="8">
        <f>F1475/1320</f>
        <v>0.21590909090909091</v>
      </c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 spans="1:26" ht="15.75" customHeight="1">
      <c r="A1476" s="10" t="s">
        <v>2506</v>
      </c>
      <c r="B1476" s="9">
        <v>3</v>
      </c>
      <c r="C1476" s="23">
        <v>4714781021777</v>
      </c>
      <c r="D1476" s="12" t="s">
        <v>1522</v>
      </c>
      <c r="E1476" s="9">
        <v>2</v>
      </c>
      <c r="F1476" s="9">
        <v>750</v>
      </c>
      <c r="G1476" s="8">
        <f>F1476/1320</f>
        <v>0.56818181818181823</v>
      </c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 spans="1:26" ht="15.75" customHeight="1">
      <c r="A1477" s="10"/>
      <c r="B1477" s="9"/>
      <c r="C1477" s="23" t="s">
        <v>1508</v>
      </c>
      <c r="D1477" s="12" t="s">
        <v>2186</v>
      </c>
      <c r="E1477" s="9">
        <v>1</v>
      </c>
      <c r="F1477" s="9">
        <v>285</v>
      </c>
      <c r="G1477" s="8">
        <f>F1477/1320</f>
        <v>0.21590909090909091</v>
      </c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 spans="1:26" ht="15.75" customHeight="1">
      <c r="A1478" s="10"/>
      <c r="B1478" s="9"/>
      <c r="C1478" s="23" t="s">
        <v>1506</v>
      </c>
      <c r="D1478" s="12" t="s">
        <v>2188</v>
      </c>
      <c r="E1478" s="9">
        <v>1</v>
      </c>
      <c r="F1478" s="9">
        <v>285</v>
      </c>
      <c r="G1478" s="8">
        <f>F1478/1320</f>
        <v>0.21590909090909091</v>
      </c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 spans="1:26" ht="15.75" customHeight="1">
      <c r="A1479" s="10" t="s">
        <v>2505</v>
      </c>
      <c r="B1479" s="9">
        <v>1</v>
      </c>
      <c r="C1479" s="21">
        <v>4714781020794</v>
      </c>
      <c r="D1479" s="10" t="s">
        <v>1320</v>
      </c>
      <c r="E1479" s="9">
        <v>2</v>
      </c>
      <c r="F1479" s="9">
        <v>230</v>
      </c>
      <c r="G1479" s="8">
        <f>F1479/230</f>
        <v>1</v>
      </c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 spans="1:26" ht="15.75" customHeight="1">
      <c r="A1480" s="10" t="s">
        <v>2504</v>
      </c>
      <c r="B1480" s="9">
        <v>1</v>
      </c>
      <c r="C1480" s="21">
        <v>4714781020800</v>
      </c>
      <c r="D1480" s="10" t="s">
        <v>1319</v>
      </c>
      <c r="E1480" s="9">
        <v>2</v>
      </c>
      <c r="F1480" s="9">
        <v>230</v>
      </c>
      <c r="G1480" s="8">
        <f>F1480/230</f>
        <v>1</v>
      </c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 spans="1:26" ht="15.75" customHeight="1">
      <c r="A1481" s="10" t="s">
        <v>2503</v>
      </c>
      <c r="B1481" s="9">
        <v>1</v>
      </c>
      <c r="C1481" s="21">
        <v>4714781020817</v>
      </c>
      <c r="D1481" s="10" t="s">
        <v>1317</v>
      </c>
      <c r="E1481" s="9">
        <v>2</v>
      </c>
      <c r="F1481" s="9">
        <v>230</v>
      </c>
      <c r="G1481" s="8">
        <f>F1481/230</f>
        <v>1</v>
      </c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 spans="1:26" ht="15.75" customHeight="1">
      <c r="A1482" s="10" t="s">
        <v>2502</v>
      </c>
      <c r="B1482" s="9">
        <v>2</v>
      </c>
      <c r="C1482" s="21">
        <v>4714781020794</v>
      </c>
      <c r="D1482" s="10" t="s">
        <v>1320</v>
      </c>
      <c r="E1482" s="9">
        <v>1</v>
      </c>
      <c r="F1482" s="9">
        <v>115</v>
      </c>
      <c r="G1482" s="8">
        <f>F1482/230</f>
        <v>0.5</v>
      </c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 spans="1:26" ht="15.75" customHeight="1">
      <c r="A1483" s="10"/>
      <c r="B1483" s="10"/>
      <c r="C1483" s="21">
        <v>4714781020800</v>
      </c>
      <c r="D1483" s="10" t="s">
        <v>1319</v>
      </c>
      <c r="E1483" s="9">
        <v>1</v>
      </c>
      <c r="F1483" s="9">
        <v>115</v>
      </c>
      <c r="G1483" s="8">
        <f>F1483/230</f>
        <v>0.5</v>
      </c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 spans="1:26" ht="15.75" customHeight="1">
      <c r="A1484" s="10" t="s">
        <v>2501</v>
      </c>
      <c r="B1484" s="9">
        <v>2</v>
      </c>
      <c r="C1484" s="21">
        <v>4714781020794</v>
      </c>
      <c r="D1484" s="10" t="s">
        <v>1320</v>
      </c>
      <c r="E1484" s="9">
        <v>1</v>
      </c>
      <c r="F1484" s="9">
        <v>115</v>
      </c>
      <c r="G1484" s="8">
        <f>F1484/230</f>
        <v>0.5</v>
      </c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 spans="1:26" ht="15.75" customHeight="1">
      <c r="A1485" s="10"/>
      <c r="B1485" s="10"/>
      <c r="C1485" s="21">
        <v>4714781020817</v>
      </c>
      <c r="D1485" s="10" t="s">
        <v>1317</v>
      </c>
      <c r="E1485" s="9">
        <v>1</v>
      </c>
      <c r="F1485" s="9">
        <v>115</v>
      </c>
      <c r="G1485" s="8">
        <f>F1485/230</f>
        <v>0.5</v>
      </c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 spans="1:26" ht="15.75" customHeight="1">
      <c r="A1486" s="10" t="s">
        <v>2500</v>
      </c>
      <c r="B1486" s="9">
        <v>2</v>
      </c>
      <c r="C1486" s="21">
        <v>4714781020800</v>
      </c>
      <c r="D1486" s="10" t="s">
        <v>1319</v>
      </c>
      <c r="E1486" s="9">
        <v>1</v>
      </c>
      <c r="F1486" s="9">
        <v>115</v>
      </c>
      <c r="G1486" s="8">
        <f>F1486/230</f>
        <v>0.5</v>
      </c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 spans="1:26" ht="15.75" customHeight="1">
      <c r="A1487" s="10"/>
      <c r="B1487" s="10"/>
      <c r="C1487" s="21">
        <v>4714781020817</v>
      </c>
      <c r="D1487" s="10" t="s">
        <v>1317</v>
      </c>
      <c r="E1487" s="9">
        <v>1</v>
      </c>
      <c r="F1487" s="9">
        <v>115</v>
      </c>
      <c r="G1487" s="8">
        <f>F1487/230</f>
        <v>0.5</v>
      </c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 spans="1:26" ht="15.75" customHeight="1">
      <c r="A1488" s="10" t="s">
        <v>2499</v>
      </c>
      <c r="B1488" s="9">
        <v>1</v>
      </c>
      <c r="C1488" s="21">
        <v>4714781020770</v>
      </c>
      <c r="D1488" s="10" t="s">
        <v>1380</v>
      </c>
      <c r="E1488" s="9">
        <v>2</v>
      </c>
      <c r="F1488" s="9">
        <v>270</v>
      </c>
      <c r="G1488" s="8">
        <f>F1488/270</f>
        <v>1</v>
      </c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 spans="1:26" ht="15.75" customHeight="1">
      <c r="A1489" s="10" t="s">
        <v>2498</v>
      </c>
      <c r="B1489" s="9">
        <v>1</v>
      </c>
      <c r="C1489" s="21">
        <v>4714781020787</v>
      </c>
      <c r="D1489" s="10" t="s">
        <v>1378</v>
      </c>
      <c r="E1489" s="9">
        <v>2</v>
      </c>
      <c r="F1489" s="9">
        <v>270</v>
      </c>
      <c r="G1489" s="8">
        <f>F1489/270</f>
        <v>1</v>
      </c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 spans="1:26" ht="15.75" customHeight="1">
      <c r="A1490" s="10" t="s">
        <v>2497</v>
      </c>
      <c r="B1490" s="9">
        <v>2</v>
      </c>
      <c r="C1490" s="21">
        <v>4714781020770</v>
      </c>
      <c r="D1490" s="10" t="s">
        <v>1380</v>
      </c>
      <c r="E1490" s="9">
        <v>1</v>
      </c>
      <c r="F1490" s="9">
        <v>135</v>
      </c>
      <c r="G1490" s="8">
        <f>F1490/270</f>
        <v>0.5</v>
      </c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 spans="1:26" ht="15.75" customHeight="1">
      <c r="A1491" s="10"/>
      <c r="B1491" s="10"/>
      <c r="C1491" s="21">
        <v>4714781020787</v>
      </c>
      <c r="D1491" s="10" t="s">
        <v>1378</v>
      </c>
      <c r="E1491" s="9">
        <v>1</v>
      </c>
      <c r="F1491" s="9">
        <v>135</v>
      </c>
      <c r="G1491" s="8">
        <f>F1491/270</f>
        <v>0.5</v>
      </c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 spans="1:26" ht="15.75" customHeight="1">
      <c r="A1492" s="10" t="s">
        <v>2496</v>
      </c>
      <c r="B1492" s="9">
        <v>1</v>
      </c>
      <c r="C1492" s="21">
        <v>4714781020848</v>
      </c>
      <c r="D1492" s="10" t="s">
        <v>1382</v>
      </c>
      <c r="E1492" s="9">
        <v>2</v>
      </c>
      <c r="F1492" s="9">
        <v>650</v>
      </c>
      <c r="G1492" s="8">
        <f>F1492/650</f>
        <v>1</v>
      </c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 spans="1:26" ht="15.75" customHeight="1">
      <c r="A1493" s="10" t="s">
        <v>2495</v>
      </c>
      <c r="B1493" s="9">
        <v>1</v>
      </c>
      <c r="C1493" s="21" t="s">
        <v>1596</v>
      </c>
      <c r="D1493" s="10" t="s">
        <v>1384</v>
      </c>
      <c r="E1493" s="9">
        <v>2</v>
      </c>
      <c r="F1493" s="9">
        <v>650</v>
      </c>
      <c r="G1493" s="8">
        <f>F1493/650</f>
        <v>1</v>
      </c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 spans="1:26" ht="15.75" customHeight="1">
      <c r="A1494" s="10" t="s">
        <v>2494</v>
      </c>
      <c r="B1494" s="9">
        <v>2</v>
      </c>
      <c r="C1494" s="21">
        <v>4714781020848</v>
      </c>
      <c r="D1494" s="10" t="s">
        <v>1382</v>
      </c>
      <c r="E1494" s="9">
        <v>1</v>
      </c>
      <c r="F1494" s="9">
        <v>325</v>
      </c>
      <c r="G1494" s="8">
        <f>F1494/650</f>
        <v>0.5</v>
      </c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 spans="1:26" ht="15.75" customHeight="1">
      <c r="A1495" s="10"/>
      <c r="B1495" s="10"/>
      <c r="C1495" s="21" t="s">
        <v>1596</v>
      </c>
      <c r="D1495" s="10" t="s">
        <v>1384</v>
      </c>
      <c r="E1495" s="9">
        <v>1</v>
      </c>
      <c r="F1495" s="9">
        <v>325</v>
      </c>
      <c r="G1495" s="8">
        <f>F1495/650</f>
        <v>0.5</v>
      </c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 spans="1:26" ht="15.75" customHeight="1">
      <c r="A1496" s="10" t="s">
        <v>2493</v>
      </c>
      <c r="B1496" s="9">
        <v>1</v>
      </c>
      <c r="C1496" s="21">
        <v>4714781020824</v>
      </c>
      <c r="D1496" s="10" t="s">
        <v>1391</v>
      </c>
      <c r="E1496" s="9">
        <v>2</v>
      </c>
      <c r="F1496" s="9">
        <v>650</v>
      </c>
      <c r="G1496" s="8">
        <f>F1496/650</f>
        <v>1</v>
      </c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 spans="1:26" ht="15.75" customHeight="1">
      <c r="A1497" s="10" t="s">
        <v>2492</v>
      </c>
      <c r="B1497" s="9">
        <v>1</v>
      </c>
      <c r="C1497" s="21">
        <v>4714781020831</v>
      </c>
      <c r="D1497" s="10" t="s">
        <v>1389</v>
      </c>
      <c r="E1497" s="9">
        <v>2</v>
      </c>
      <c r="F1497" s="9">
        <v>650</v>
      </c>
      <c r="G1497" s="8">
        <f>F1497/650</f>
        <v>1</v>
      </c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 spans="1:26" ht="15.75" customHeight="1">
      <c r="A1498" s="10" t="s">
        <v>2491</v>
      </c>
      <c r="B1498" s="9">
        <v>2</v>
      </c>
      <c r="C1498" s="21">
        <v>4714781020824</v>
      </c>
      <c r="D1498" s="10" t="s">
        <v>1391</v>
      </c>
      <c r="E1498" s="9">
        <v>1</v>
      </c>
      <c r="F1498" s="9">
        <v>325</v>
      </c>
      <c r="G1498" s="8">
        <f>F1498/650</f>
        <v>0.5</v>
      </c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 spans="1:26" ht="15.75" customHeight="1">
      <c r="A1499" s="10"/>
      <c r="B1499" s="10"/>
      <c r="C1499" s="21">
        <v>4714781020831</v>
      </c>
      <c r="D1499" s="10" t="s">
        <v>1389</v>
      </c>
      <c r="E1499" s="9">
        <v>1</v>
      </c>
      <c r="F1499" s="9">
        <v>325</v>
      </c>
      <c r="G1499" s="8">
        <f>F1499/650</f>
        <v>0.5</v>
      </c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 spans="1:26" ht="15.75" customHeight="1">
      <c r="A1500" s="10" t="s">
        <v>2490</v>
      </c>
      <c r="B1500" s="9">
        <v>2</v>
      </c>
      <c r="C1500" s="21">
        <v>4714781020848</v>
      </c>
      <c r="D1500" s="10" t="s">
        <v>1382</v>
      </c>
      <c r="E1500" s="9">
        <v>1</v>
      </c>
      <c r="F1500" s="9">
        <v>325</v>
      </c>
      <c r="G1500" s="8">
        <f>F1500/650</f>
        <v>0.5</v>
      </c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 spans="1:26" ht="15.75" customHeight="1">
      <c r="A1501" s="10"/>
      <c r="B1501" s="10"/>
      <c r="C1501" s="21">
        <v>4714781020824</v>
      </c>
      <c r="D1501" s="10" t="s">
        <v>1391</v>
      </c>
      <c r="E1501" s="9">
        <v>1</v>
      </c>
      <c r="F1501" s="9">
        <v>325</v>
      </c>
      <c r="G1501" s="8">
        <f>F1501/650</f>
        <v>0.5</v>
      </c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 spans="1:26" ht="15.75" customHeight="1">
      <c r="A1502" s="10" t="s">
        <v>2489</v>
      </c>
      <c r="B1502" s="9">
        <v>2</v>
      </c>
      <c r="C1502" s="21">
        <v>4714781020848</v>
      </c>
      <c r="D1502" s="10" t="s">
        <v>1382</v>
      </c>
      <c r="E1502" s="9">
        <v>1</v>
      </c>
      <c r="F1502" s="9">
        <v>325</v>
      </c>
      <c r="G1502" s="8">
        <f>F1502/650</f>
        <v>0.5</v>
      </c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 spans="1:26" ht="15.75" customHeight="1">
      <c r="A1503" s="10"/>
      <c r="B1503" s="10"/>
      <c r="C1503" s="21">
        <v>4714781020831</v>
      </c>
      <c r="D1503" s="10" t="s">
        <v>1389</v>
      </c>
      <c r="E1503" s="9">
        <v>1</v>
      </c>
      <c r="F1503" s="9">
        <v>325</v>
      </c>
      <c r="G1503" s="8">
        <f>F1503/650</f>
        <v>0.5</v>
      </c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 spans="1:26" ht="15.75" customHeight="1">
      <c r="A1504" s="10" t="s">
        <v>2488</v>
      </c>
      <c r="B1504" s="9">
        <v>2</v>
      </c>
      <c r="C1504" s="21" t="s">
        <v>1596</v>
      </c>
      <c r="D1504" s="10" t="s">
        <v>1384</v>
      </c>
      <c r="E1504" s="9">
        <v>1</v>
      </c>
      <c r="F1504" s="9">
        <v>325</v>
      </c>
      <c r="G1504" s="8">
        <f>F1504/650</f>
        <v>0.5</v>
      </c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 spans="1:26" ht="15.75" customHeight="1">
      <c r="A1505" s="10"/>
      <c r="B1505" s="10"/>
      <c r="C1505" s="21">
        <v>4714781020824</v>
      </c>
      <c r="D1505" s="10" t="s">
        <v>1391</v>
      </c>
      <c r="E1505" s="9">
        <v>1</v>
      </c>
      <c r="F1505" s="9">
        <v>325</v>
      </c>
      <c r="G1505" s="8">
        <f>F1505/650</f>
        <v>0.5</v>
      </c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 spans="1:26" ht="15.75" customHeight="1">
      <c r="A1506" s="10" t="s">
        <v>2487</v>
      </c>
      <c r="B1506" s="9">
        <v>2</v>
      </c>
      <c r="C1506" s="21" t="s">
        <v>1596</v>
      </c>
      <c r="D1506" s="10" t="s">
        <v>1384</v>
      </c>
      <c r="E1506" s="9">
        <v>1</v>
      </c>
      <c r="F1506" s="9">
        <v>325</v>
      </c>
      <c r="G1506" s="8">
        <f>F1506/650</f>
        <v>0.5</v>
      </c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 spans="1:26" ht="15.75" customHeight="1">
      <c r="A1507" s="10"/>
      <c r="B1507" s="10"/>
      <c r="C1507" s="21">
        <v>4714781020831</v>
      </c>
      <c r="D1507" s="10" t="s">
        <v>1389</v>
      </c>
      <c r="E1507" s="9">
        <v>1</v>
      </c>
      <c r="F1507" s="9">
        <v>325</v>
      </c>
      <c r="G1507" s="8">
        <f>F1507/650</f>
        <v>0.5</v>
      </c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 spans="1:26" ht="15.75" customHeight="1">
      <c r="A1508" s="10" t="s">
        <v>2486</v>
      </c>
      <c r="B1508" s="9">
        <v>1</v>
      </c>
      <c r="C1508" s="21" t="s">
        <v>1619</v>
      </c>
      <c r="D1508" s="10" t="s">
        <v>1376</v>
      </c>
      <c r="E1508" s="9">
        <v>4</v>
      </c>
      <c r="F1508" s="9">
        <v>550</v>
      </c>
      <c r="G1508" s="8">
        <f>F1508/550</f>
        <v>1</v>
      </c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 spans="1:26" ht="15.75" customHeight="1">
      <c r="A1509" s="10" t="s">
        <v>2485</v>
      </c>
      <c r="B1509" s="9">
        <v>5</v>
      </c>
      <c r="C1509" s="21" t="s">
        <v>1585</v>
      </c>
      <c r="D1509" s="10" t="s">
        <v>1584</v>
      </c>
      <c r="E1509" s="9">
        <v>1</v>
      </c>
      <c r="F1509" s="9">
        <v>60</v>
      </c>
      <c r="G1509" s="8">
        <f>F1509/600</f>
        <v>0.1</v>
      </c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 spans="1:26" ht="15.75" customHeight="1">
      <c r="A1510" s="10"/>
      <c r="B1510" s="12"/>
      <c r="C1510" s="21" t="s">
        <v>1598</v>
      </c>
      <c r="D1510" s="10" t="s">
        <v>1382</v>
      </c>
      <c r="E1510" s="9">
        <v>1</v>
      </c>
      <c r="F1510" s="9">
        <v>300</v>
      </c>
      <c r="G1510" s="8">
        <f>F1510/600</f>
        <v>0.5</v>
      </c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 spans="1:26" ht="15.75" customHeight="1">
      <c r="A1511" s="10"/>
      <c r="B1511" s="12"/>
      <c r="C1511" s="21" t="s">
        <v>1595</v>
      </c>
      <c r="D1511" s="10" t="s">
        <v>1378</v>
      </c>
      <c r="E1511" s="9">
        <v>1</v>
      </c>
      <c r="F1511" s="9">
        <v>120</v>
      </c>
      <c r="G1511" s="8">
        <f>F1511/600</f>
        <v>0.2</v>
      </c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 spans="1:26" ht="15.75" customHeight="1">
      <c r="A1512" s="10"/>
      <c r="B1512" s="12"/>
      <c r="C1512" s="21" t="s">
        <v>1593</v>
      </c>
      <c r="D1512" s="10" t="s">
        <v>1592</v>
      </c>
      <c r="E1512" s="9">
        <v>1</v>
      </c>
      <c r="F1512" s="9">
        <v>50</v>
      </c>
      <c r="G1512" s="8">
        <f>F1512/600</f>
        <v>8.3333333333333329E-2</v>
      </c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 spans="1:26" ht="15.75" customHeight="1">
      <c r="A1513" s="10"/>
      <c r="B1513" s="12"/>
      <c r="C1513" s="21" t="s">
        <v>1583</v>
      </c>
      <c r="D1513" s="10" t="s">
        <v>1582</v>
      </c>
      <c r="E1513" s="9">
        <v>1</v>
      </c>
      <c r="F1513" s="9">
        <v>70</v>
      </c>
      <c r="G1513" s="8">
        <f>F1513/600</f>
        <v>0.11666666666666667</v>
      </c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 spans="1:26" ht="15.75" customHeight="1">
      <c r="A1514" s="10" t="s">
        <v>2484</v>
      </c>
      <c r="B1514" s="9">
        <v>5</v>
      </c>
      <c r="C1514" s="21" t="s">
        <v>1585</v>
      </c>
      <c r="D1514" s="10" t="s">
        <v>1584</v>
      </c>
      <c r="E1514" s="9">
        <v>1</v>
      </c>
      <c r="F1514" s="9">
        <v>60</v>
      </c>
      <c r="G1514" s="8">
        <f>F1514/600</f>
        <v>0.1</v>
      </c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 spans="1:26" ht="15.75" customHeight="1">
      <c r="A1515" s="10"/>
      <c r="B1515" s="12"/>
      <c r="C1515" s="21" t="s">
        <v>1596</v>
      </c>
      <c r="D1515" s="10" t="s">
        <v>1384</v>
      </c>
      <c r="E1515" s="9">
        <v>1</v>
      </c>
      <c r="F1515" s="9">
        <v>300</v>
      </c>
      <c r="G1515" s="8">
        <f>F1515/600</f>
        <v>0.5</v>
      </c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 spans="1:26" ht="15.75" customHeight="1">
      <c r="A1516" s="10"/>
      <c r="B1516" s="12"/>
      <c r="C1516" s="21" t="s">
        <v>1602</v>
      </c>
      <c r="D1516" s="10" t="s">
        <v>1380</v>
      </c>
      <c r="E1516" s="9">
        <v>1</v>
      </c>
      <c r="F1516" s="9">
        <v>120</v>
      </c>
      <c r="G1516" s="8">
        <f>F1516/600</f>
        <v>0.2</v>
      </c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 spans="1:26" ht="15.75" customHeight="1">
      <c r="A1517" s="10"/>
      <c r="B1517" s="12"/>
      <c r="C1517" s="21" t="s">
        <v>1588</v>
      </c>
      <c r="D1517" s="10" t="s">
        <v>1587</v>
      </c>
      <c r="E1517" s="9">
        <v>1</v>
      </c>
      <c r="F1517" s="9">
        <v>50</v>
      </c>
      <c r="G1517" s="8">
        <f>F1517/600</f>
        <v>8.3333333333333329E-2</v>
      </c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 spans="1:26" ht="15.75" customHeight="1">
      <c r="A1518" s="10"/>
      <c r="B1518" s="12"/>
      <c r="C1518" s="21" t="s">
        <v>1583</v>
      </c>
      <c r="D1518" s="10" t="s">
        <v>1582</v>
      </c>
      <c r="E1518" s="9">
        <v>1</v>
      </c>
      <c r="F1518" s="9">
        <v>70</v>
      </c>
      <c r="G1518" s="8">
        <f>F1518/600</f>
        <v>0.11666666666666667</v>
      </c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 spans="1:26" ht="15.75" customHeight="1">
      <c r="A1519" s="10" t="s">
        <v>2483</v>
      </c>
      <c r="B1519" s="9">
        <v>5</v>
      </c>
      <c r="C1519" s="21" t="s">
        <v>1585</v>
      </c>
      <c r="D1519" s="10" t="s">
        <v>1584</v>
      </c>
      <c r="E1519" s="9">
        <v>1</v>
      </c>
      <c r="F1519" s="9">
        <v>60</v>
      </c>
      <c r="G1519" s="8">
        <f>F1519/600</f>
        <v>0.1</v>
      </c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 spans="1:26" ht="15.75" customHeight="1">
      <c r="A1520" s="10"/>
      <c r="B1520" s="12"/>
      <c r="C1520" s="21" t="s">
        <v>1596</v>
      </c>
      <c r="D1520" s="10" t="s">
        <v>1384</v>
      </c>
      <c r="E1520" s="9">
        <v>1</v>
      </c>
      <c r="F1520" s="9">
        <v>300</v>
      </c>
      <c r="G1520" s="8">
        <f>F1520/600</f>
        <v>0.5</v>
      </c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 spans="1:26" ht="15.75" customHeight="1">
      <c r="A1521" s="10"/>
      <c r="B1521" s="12"/>
      <c r="C1521" s="21" t="s">
        <v>1595</v>
      </c>
      <c r="D1521" s="10" t="s">
        <v>1378</v>
      </c>
      <c r="E1521" s="9">
        <v>1</v>
      </c>
      <c r="F1521" s="9">
        <v>120</v>
      </c>
      <c r="G1521" s="8">
        <f>F1521/600</f>
        <v>0.2</v>
      </c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 spans="1:26" ht="15.75" customHeight="1">
      <c r="A1522" s="10"/>
      <c r="B1522" s="12"/>
      <c r="C1522" s="21" t="s">
        <v>1581</v>
      </c>
      <c r="D1522" s="10" t="s">
        <v>1580</v>
      </c>
      <c r="E1522" s="9">
        <v>1</v>
      </c>
      <c r="F1522" s="9">
        <v>50</v>
      </c>
      <c r="G1522" s="8">
        <f>F1522/600</f>
        <v>8.3333333333333329E-2</v>
      </c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 spans="1:26" ht="15.75" customHeight="1">
      <c r="A1523" s="10"/>
      <c r="B1523" s="12"/>
      <c r="C1523" s="21" t="s">
        <v>1583</v>
      </c>
      <c r="D1523" s="10" t="s">
        <v>1582</v>
      </c>
      <c r="E1523" s="9">
        <v>1</v>
      </c>
      <c r="F1523" s="9">
        <v>70</v>
      </c>
      <c r="G1523" s="8">
        <f>F1523/600</f>
        <v>0.11666666666666667</v>
      </c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 spans="1:26" ht="15.75" customHeight="1">
      <c r="A1524" s="12" t="s">
        <v>2482</v>
      </c>
      <c r="B1524" s="9">
        <v>5</v>
      </c>
      <c r="C1524" s="21" t="s">
        <v>1585</v>
      </c>
      <c r="D1524" s="10" t="s">
        <v>1584</v>
      </c>
      <c r="E1524" s="9">
        <v>1</v>
      </c>
      <c r="F1524" s="9">
        <v>60</v>
      </c>
      <c r="G1524" s="8">
        <f>F1524/600</f>
        <v>0.1</v>
      </c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 spans="1:26" ht="15.75" customHeight="1">
      <c r="A1525" s="10"/>
      <c r="B1525" s="12"/>
      <c r="C1525" s="21" t="s">
        <v>1583</v>
      </c>
      <c r="D1525" s="10" t="s">
        <v>1582</v>
      </c>
      <c r="E1525" s="9">
        <v>1</v>
      </c>
      <c r="F1525" s="9">
        <v>300</v>
      </c>
      <c r="G1525" s="8">
        <f>F1525/600</f>
        <v>0.5</v>
      </c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 spans="1:26" ht="15.75" customHeight="1">
      <c r="A1526" s="10"/>
      <c r="B1526" s="12"/>
      <c r="C1526" s="21" t="s">
        <v>1593</v>
      </c>
      <c r="D1526" s="10" t="s">
        <v>1592</v>
      </c>
      <c r="E1526" s="9">
        <v>1</v>
      </c>
      <c r="F1526" s="9">
        <v>120</v>
      </c>
      <c r="G1526" s="8">
        <f>F1526/600</f>
        <v>0.2</v>
      </c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 spans="1:26" ht="15.75" customHeight="1">
      <c r="A1527" s="10"/>
      <c r="B1527" s="12"/>
      <c r="C1527" s="21">
        <v>4714781020800</v>
      </c>
      <c r="D1527" s="10" t="s">
        <v>1319</v>
      </c>
      <c r="E1527" s="9">
        <v>1</v>
      </c>
      <c r="F1527" s="9">
        <v>50</v>
      </c>
      <c r="G1527" s="8">
        <f>F1527/600</f>
        <v>8.3333333333333329E-2</v>
      </c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 spans="1:26" ht="15.75" customHeight="1">
      <c r="A1528" s="10"/>
      <c r="B1528" s="12"/>
      <c r="C1528" s="21">
        <v>4714781020824</v>
      </c>
      <c r="D1528" s="10" t="s">
        <v>1391</v>
      </c>
      <c r="E1528" s="9">
        <v>1</v>
      </c>
      <c r="F1528" s="9">
        <v>70</v>
      </c>
      <c r="G1528" s="8">
        <f>F1528/600</f>
        <v>0.11666666666666667</v>
      </c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 spans="1:26" ht="15.75" customHeight="1">
      <c r="A1529" s="10" t="s">
        <v>2481</v>
      </c>
      <c r="B1529" s="10">
        <v>5</v>
      </c>
      <c r="C1529" s="21" t="s">
        <v>1585</v>
      </c>
      <c r="D1529" s="10" t="s">
        <v>1584</v>
      </c>
      <c r="E1529" s="9">
        <v>1</v>
      </c>
      <c r="F1529" s="9">
        <v>60</v>
      </c>
      <c r="G1529" s="8">
        <f>F1529/600</f>
        <v>0.1</v>
      </c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 spans="1:26" ht="15.75" customHeight="1">
      <c r="A1530" s="10"/>
      <c r="B1530" s="12"/>
      <c r="C1530" s="21" t="s">
        <v>1583</v>
      </c>
      <c r="D1530" s="10" t="s">
        <v>1582</v>
      </c>
      <c r="E1530" s="9">
        <v>1</v>
      </c>
      <c r="F1530" s="9">
        <v>300</v>
      </c>
      <c r="G1530" s="8">
        <f>F1530/600</f>
        <v>0.5</v>
      </c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 spans="1:26" ht="15.75" customHeight="1">
      <c r="A1531" s="10"/>
      <c r="B1531" s="12"/>
      <c r="C1531" s="21" t="s">
        <v>1588</v>
      </c>
      <c r="D1531" s="10" t="s">
        <v>1587</v>
      </c>
      <c r="E1531" s="9">
        <v>1</v>
      </c>
      <c r="F1531" s="9">
        <v>120</v>
      </c>
      <c r="G1531" s="8">
        <f>F1531/600</f>
        <v>0.2</v>
      </c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 spans="1:26" ht="15.75" customHeight="1">
      <c r="A1532" s="10"/>
      <c r="B1532" s="12"/>
      <c r="C1532" s="21">
        <v>4714781020817</v>
      </c>
      <c r="D1532" s="10" t="s">
        <v>1317</v>
      </c>
      <c r="E1532" s="9">
        <v>1</v>
      </c>
      <c r="F1532" s="9">
        <v>50</v>
      </c>
      <c r="G1532" s="8">
        <f>F1532/600</f>
        <v>8.3333333333333329E-2</v>
      </c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 spans="1:26" ht="15.75" customHeight="1">
      <c r="A1533" s="10"/>
      <c r="B1533" s="12"/>
      <c r="C1533" s="21" t="s">
        <v>1579</v>
      </c>
      <c r="D1533" s="10" t="s">
        <v>1389</v>
      </c>
      <c r="E1533" s="9">
        <v>1</v>
      </c>
      <c r="F1533" s="9">
        <v>70</v>
      </c>
      <c r="G1533" s="8">
        <f>F1533/600</f>
        <v>0.11666666666666667</v>
      </c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 spans="1:26" ht="15.75" customHeight="1">
      <c r="A1534" s="10" t="s">
        <v>2480</v>
      </c>
      <c r="B1534" s="9">
        <v>5</v>
      </c>
      <c r="C1534" s="21" t="s">
        <v>1585</v>
      </c>
      <c r="D1534" s="10" t="s">
        <v>1584</v>
      </c>
      <c r="E1534" s="9">
        <v>1</v>
      </c>
      <c r="F1534" s="9">
        <v>60</v>
      </c>
      <c r="G1534" s="8">
        <f>F1534/600</f>
        <v>0.1</v>
      </c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 spans="1:26" ht="15.75" customHeight="1">
      <c r="A1535" s="10"/>
      <c r="B1535" s="12"/>
      <c r="C1535" s="21" t="s">
        <v>1583</v>
      </c>
      <c r="D1535" s="10" t="s">
        <v>1582</v>
      </c>
      <c r="E1535" s="9">
        <v>1</v>
      </c>
      <c r="F1535" s="9">
        <v>300</v>
      </c>
      <c r="G1535" s="8">
        <f>F1535/600</f>
        <v>0.5</v>
      </c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 spans="1:26" ht="15.75" customHeight="1">
      <c r="A1536" s="10"/>
      <c r="B1536" s="12"/>
      <c r="C1536" s="21" t="s">
        <v>1581</v>
      </c>
      <c r="D1536" s="10" t="s">
        <v>1580</v>
      </c>
      <c r="E1536" s="9">
        <v>1</v>
      </c>
      <c r="F1536" s="9">
        <v>120</v>
      </c>
      <c r="G1536" s="8">
        <f>F1536/600</f>
        <v>0.2</v>
      </c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 spans="1:26" ht="15.75" customHeight="1">
      <c r="A1537" s="10"/>
      <c r="B1537" s="12"/>
      <c r="C1537" s="21">
        <v>4714781020817</v>
      </c>
      <c r="D1537" s="10" t="s">
        <v>1317</v>
      </c>
      <c r="E1537" s="9">
        <v>1</v>
      </c>
      <c r="F1537" s="9">
        <v>50</v>
      </c>
      <c r="G1537" s="8">
        <f>F1537/600</f>
        <v>8.3333333333333329E-2</v>
      </c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 spans="1:26" ht="15.75" customHeight="1">
      <c r="A1538" s="10"/>
      <c r="B1538" s="12"/>
      <c r="C1538" s="21" t="s">
        <v>1579</v>
      </c>
      <c r="D1538" s="10" t="s">
        <v>1389</v>
      </c>
      <c r="E1538" s="9">
        <v>1</v>
      </c>
      <c r="F1538" s="9">
        <v>70</v>
      </c>
      <c r="G1538" s="8">
        <f>F1538/600</f>
        <v>0.11666666666666667</v>
      </c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 spans="1:26" ht="15.75" customHeight="1">
      <c r="A1539" s="10" t="s">
        <v>2479</v>
      </c>
      <c r="B1539" s="10">
        <v>1</v>
      </c>
      <c r="C1539" s="23" t="s">
        <v>1510</v>
      </c>
      <c r="D1539" s="12" t="s">
        <v>2190</v>
      </c>
      <c r="E1539" s="9">
        <v>4</v>
      </c>
      <c r="F1539" s="9">
        <v>1160</v>
      </c>
      <c r="G1539" s="8">
        <f>F1539/1160</f>
        <v>1</v>
      </c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 spans="1:26" ht="15.75" customHeight="1">
      <c r="A1540" s="10" t="s">
        <v>2478</v>
      </c>
      <c r="B1540" s="10">
        <v>1</v>
      </c>
      <c r="C1540" s="23" t="s">
        <v>1506</v>
      </c>
      <c r="D1540" s="12" t="s">
        <v>2188</v>
      </c>
      <c r="E1540" s="9">
        <v>4</v>
      </c>
      <c r="F1540" s="9">
        <v>1160</v>
      </c>
      <c r="G1540" s="8">
        <f>F1540/1160</f>
        <v>1</v>
      </c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 spans="1:26" ht="15.75" customHeight="1">
      <c r="A1541" s="10" t="s">
        <v>2477</v>
      </c>
      <c r="B1541" s="10">
        <v>1</v>
      </c>
      <c r="C1541" s="23" t="s">
        <v>1508</v>
      </c>
      <c r="D1541" s="12" t="s">
        <v>2186</v>
      </c>
      <c r="E1541" s="9">
        <v>4</v>
      </c>
      <c r="F1541" s="9">
        <v>1160</v>
      </c>
      <c r="G1541" s="8">
        <f>F1541/1160</f>
        <v>1</v>
      </c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 spans="1:26" ht="15.75" customHeight="1">
      <c r="A1542" s="10" t="s">
        <v>2476</v>
      </c>
      <c r="B1542" s="10">
        <v>1</v>
      </c>
      <c r="C1542" s="23" t="s">
        <v>1531</v>
      </c>
      <c r="D1542" s="12" t="s">
        <v>2194</v>
      </c>
      <c r="E1542" s="9">
        <v>4</v>
      </c>
      <c r="F1542" s="9">
        <v>1160</v>
      </c>
      <c r="G1542" s="8">
        <f>F1542/1160</f>
        <v>1</v>
      </c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 spans="1:26" ht="15.75" customHeight="1">
      <c r="A1543" s="10" t="s">
        <v>2475</v>
      </c>
      <c r="B1543" s="10">
        <v>4</v>
      </c>
      <c r="C1543" s="23" t="s">
        <v>1510</v>
      </c>
      <c r="D1543" s="12" t="s">
        <v>2190</v>
      </c>
      <c r="E1543" s="9">
        <v>1</v>
      </c>
      <c r="F1543" s="9">
        <v>290</v>
      </c>
      <c r="G1543" s="8">
        <f>F1543/1160</f>
        <v>0.25</v>
      </c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 spans="1:26" ht="15.75" customHeight="1">
      <c r="A1544" s="10"/>
      <c r="B1544" s="10"/>
      <c r="C1544" s="23" t="s">
        <v>1506</v>
      </c>
      <c r="D1544" s="12" t="s">
        <v>2188</v>
      </c>
      <c r="E1544" s="9">
        <v>1</v>
      </c>
      <c r="F1544" s="9">
        <v>290</v>
      </c>
      <c r="G1544" s="8">
        <f>F1544/1160</f>
        <v>0.25</v>
      </c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 spans="1:26" ht="15.75" customHeight="1">
      <c r="A1545" s="10"/>
      <c r="B1545" s="10"/>
      <c r="C1545" s="23" t="s">
        <v>1508</v>
      </c>
      <c r="D1545" s="12" t="s">
        <v>2186</v>
      </c>
      <c r="E1545" s="9">
        <v>1</v>
      </c>
      <c r="F1545" s="9">
        <v>290</v>
      </c>
      <c r="G1545" s="8">
        <f>F1545/1160</f>
        <v>0.25</v>
      </c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 spans="1:26" ht="15.75" customHeight="1">
      <c r="A1546" s="10"/>
      <c r="B1546" s="10"/>
      <c r="C1546" s="23" t="s">
        <v>1531</v>
      </c>
      <c r="D1546" s="12" t="s">
        <v>2194</v>
      </c>
      <c r="E1546" s="9">
        <v>1</v>
      </c>
      <c r="F1546" s="9">
        <v>290</v>
      </c>
      <c r="G1546" s="8">
        <f>F1546/1160</f>
        <v>0.25</v>
      </c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 spans="1:26" ht="15.75" customHeight="1">
      <c r="A1547" s="10" t="s">
        <v>2474</v>
      </c>
      <c r="B1547" s="10">
        <v>3</v>
      </c>
      <c r="C1547" s="21">
        <v>4714781021227</v>
      </c>
      <c r="D1547" s="10" t="s">
        <v>2137</v>
      </c>
      <c r="E1547" s="9">
        <v>2</v>
      </c>
      <c r="F1547" s="9">
        <v>118</v>
      </c>
      <c r="G1547" s="8">
        <f>F1547/414</f>
        <v>0.28502415458937197</v>
      </c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 spans="1:26" ht="15.75" customHeight="1">
      <c r="A1548" s="10"/>
      <c r="B1548" s="10"/>
      <c r="C1548" s="21">
        <v>4714781021234</v>
      </c>
      <c r="D1548" s="10" t="s">
        <v>2135</v>
      </c>
      <c r="E1548" s="9">
        <v>2</v>
      </c>
      <c r="F1548" s="9">
        <v>118</v>
      </c>
      <c r="G1548" s="8">
        <f>F1548/414</f>
        <v>0.28502415458937197</v>
      </c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 spans="1:26" ht="15.75" customHeight="1">
      <c r="A1549" s="10"/>
      <c r="B1549" s="10"/>
      <c r="C1549" s="21">
        <v>4714781021241</v>
      </c>
      <c r="D1549" s="10" t="s">
        <v>2133</v>
      </c>
      <c r="E1549" s="9">
        <v>3</v>
      </c>
      <c r="F1549" s="9">
        <v>178</v>
      </c>
      <c r="G1549" s="8">
        <f>F1549/414</f>
        <v>0.42995169082125606</v>
      </c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 spans="1:26" ht="15.75" customHeight="1">
      <c r="A1550" s="10" t="s">
        <v>2473</v>
      </c>
      <c r="B1550" s="10">
        <v>3</v>
      </c>
      <c r="C1550" s="21">
        <v>4714781021227</v>
      </c>
      <c r="D1550" s="10" t="s">
        <v>2137</v>
      </c>
      <c r="E1550" s="9">
        <v>3</v>
      </c>
      <c r="F1550" s="9">
        <v>177</v>
      </c>
      <c r="G1550" s="8">
        <f>F1550/414</f>
        <v>0.42753623188405798</v>
      </c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 spans="1:26" ht="15.75" customHeight="1">
      <c r="A1551" s="10"/>
      <c r="B1551" s="10"/>
      <c r="C1551" s="21">
        <v>4714781021234</v>
      </c>
      <c r="D1551" s="10" t="s">
        <v>2135</v>
      </c>
      <c r="E1551" s="9">
        <v>3</v>
      </c>
      <c r="F1551" s="9">
        <v>177</v>
      </c>
      <c r="G1551" s="8">
        <f>F1551/414</f>
        <v>0.42753623188405798</v>
      </c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 spans="1:26" ht="15.75" customHeight="1">
      <c r="A1552" s="10"/>
      <c r="B1552" s="10"/>
      <c r="C1552" s="21">
        <v>4714781021241</v>
      </c>
      <c r="D1552" s="10" t="s">
        <v>2133</v>
      </c>
      <c r="E1552" s="9">
        <v>1</v>
      </c>
      <c r="F1552" s="9">
        <v>60</v>
      </c>
      <c r="G1552" s="8">
        <f>F1552/414</f>
        <v>0.14492753623188406</v>
      </c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 spans="1:26" ht="15.75" customHeight="1">
      <c r="A1553" s="10" t="s">
        <v>2472</v>
      </c>
      <c r="B1553" s="10">
        <v>2</v>
      </c>
      <c r="C1553" s="21">
        <v>4714781021227</v>
      </c>
      <c r="D1553" s="10" t="s">
        <v>2137</v>
      </c>
      <c r="E1553" s="9">
        <v>3</v>
      </c>
      <c r="F1553" s="9">
        <v>177</v>
      </c>
      <c r="G1553" s="8">
        <f>F1553/414</f>
        <v>0.42753623188405798</v>
      </c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 spans="1:26" ht="15.75" customHeight="1">
      <c r="A1554" s="10"/>
      <c r="B1554" s="10"/>
      <c r="C1554" s="21">
        <v>4714781021241</v>
      </c>
      <c r="D1554" s="10" t="s">
        <v>2133</v>
      </c>
      <c r="E1554" s="9">
        <v>4</v>
      </c>
      <c r="F1554" s="9">
        <v>237</v>
      </c>
      <c r="G1554" s="8">
        <f>F1554/414</f>
        <v>0.57246376811594202</v>
      </c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 spans="1:26" ht="15.75" customHeight="1">
      <c r="A1555" s="10" t="s">
        <v>2471</v>
      </c>
      <c r="B1555" s="10">
        <v>2</v>
      </c>
      <c r="C1555" s="21">
        <v>4714781021234</v>
      </c>
      <c r="D1555" s="10" t="s">
        <v>2135</v>
      </c>
      <c r="E1555" s="9">
        <v>3</v>
      </c>
      <c r="F1555" s="9">
        <v>177</v>
      </c>
      <c r="G1555" s="8">
        <f>F1555/414</f>
        <v>0.42753623188405798</v>
      </c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 spans="1:26" ht="15.75" customHeight="1">
      <c r="A1556" s="10"/>
      <c r="B1556" s="10"/>
      <c r="C1556" s="21">
        <v>4714781021241</v>
      </c>
      <c r="D1556" s="10" t="s">
        <v>2133</v>
      </c>
      <c r="E1556" s="9">
        <v>4</v>
      </c>
      <c r="F1556" s="9">
        <v>237</v>
      </c>
      <c r="G1556" s="8">
        <f>F1556/414</f>
        <v>0.57246376811594202</v>
      </c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 spans="1:26" ht="15.75" customHeight="1">
      <c r="A1557" s="10" t="s">
        <v>2470</v>
      </c>
      <c r="B1557" s="10">
        <v>2</v>
      </c>
      <c r="C1557" s="21">
        <v>4714781021227</v>
      </c>
      <c r="D1557" s="10" t="s">
        <v>2137</v>
      </c>
      <c r="E1557" s="9">
        <v>6</v>
      </c>
      <c r="F1557" s="9">
        <v>354</v>
      </c>
      <c r="G1557" s="8">
        <f>F1557/414</f>
        <v>0.85507246376811596</v>
      </c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 spans="1:26" ht="15.75" customHeight="1">
      <c r="A1558" s="10"/>
      <c r="B1558" s="10"/>
      <c r="C1558" s="21">
        <v>4714781021241</v>
      </c>
      <c r="D1558" s="10" t="s">
        <v>2133</v>
      </c>
      <c r="E1558" s="9">
        <v>1</v>
      </c>
      <c r="F1558" s="9">
        <v>60</v>
      </c>
      <c r="G1558" s="8">
        <f>F1558/414</f>
        <v>0.14492753623188406</v>
      </c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 spans="1:26" ht="15.75" customHeight="1">
      <c r="A1559" s="10" t="s">
        <v>2469</v>
      </c>
      <c r="B1559" s="10">
        <v>2</v>
      </c>
      <c r="C1559" s="21">
        <v>4714781021234</v>
      </c>
      <c r="D1559" s="10" t="s">
        <v>2135</v>
      </c>
      <c r="E1559" s="9">
        <v>6</v>
      </c>
      <c r="F1559" s="9">
        <v>354</v>
      </c>
      <c r="G1559" s="8">
        <f>F1559/414</f>
        <v>0.85507246376811596</v>
      </c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 spans="1:26" ht="15.75" customHeight="1">
      <c r="A1560" s="10"/>
      <c r="B1560" s="10"/>
      <c r="C1560" s="21">
        <v>4714781021241</v>
      </c>
      <c r="D1560" s="10" t="s">
        <v>2133</v>
      </c>
      <c r="E1560" s="9">
        <v>1</v>
      </c>
      <c r="F1560" s="9">
        <v>60</v>
      </c>
      <c r="G1560" s="8">
        <f>F1560/414</f>
        <v>0.14492753623188406</v>
      </c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 spans="1:26" ht="15.75" customHeight="1">
      <c r="A1561" s="10" t="s">
        <v>2468</v>
      </c>
      <c r="B1561" s="10">
        <v>1</v>
      </c>
      <c r="C1561" s="21">
        <v>4714781021241</v>
      </c>
      <c r="D1561" s="10" t="s">
        <v>2133</v>
      </c>
      <c r="E1561" s="9">
        <v>7</v>
      </c>
      <c r="F1561" s="9">
        <v>414</v>
      </c>
      <c r="G1561" s="8">
        <f>F1561/414</f>
        <v>1</v>
      </c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 spans="1:26" ht="15.75" customHeight="1">
      <c r="A1562" s="10" t="s">
        <v>2467</v>
      </c>
      <c r="B1562" s="10">
        <v>1</v>
      </c>
      <c r="C1562" s="21" t="s">
        <v>2367</v>
      </c>
      <c r="D1562" s="10" t="s">
        <v>2366</v>
      </c>
      <c r="E1562" s="9">
        <v>6</v>
      </c>
      <c r="F1562" s="9">
        <v>495</v>
      </c>
      <c r="G1562" s="8">
        <f>F1562/495</f>
        <v>1</v>
      </c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 spans="1:26" ht="15.75" customHeight="1">
      <c r="A1563" s="10" t="s">
        <v>2466</v>
      </c>
      <c r="B1563" s="10">
        <v>5</v>
      </c>
      <c r="C1563" s="21" t="s">
        <v>1585</v>
      </c>
      <c r="D1563" s="10" t="s">
        <v>1584</v>
      </c>
      <c r="E1563" s="9">
        <v>1</v>
      </c>
      <c r="F1563" s="9">
        <v>60</v>
      </c>
      <c r="G1563" s="8">
        <f>F1563/600</f>
        <v>0.1</v>
      </c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 spans="1:26" ht="15.75" customHeight="1">
      <c r="A1564" s="10"/>
      <c r="B1564" s="12"/>
      <c r="C1564" s="21" t="s">
        <v>1596</v>
      </c>
      <c r="D1564" s="10" t="s">
        <v>1384</v>
      </c>
      <c r="E1564" s="9">
        <v>1</v>
      </c>
      <c r="F1564" s="9">
        <v>300</v>
      </c>
      <c r="G1564" s="8">
        <f>F1564/600</f>
        <v>0.5</v>
      </c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 spans="1:26" ht="15.75" customHeight="1">
      <c r="A1565" s="10"/>
      <c r="B1565" s="12"/>
      <c r="C1565" s="21" t="s">
        <v>1602</v>
      </c>
      <c r="D1565" s="10" t="s">
        <v>1380</v>
      </c>
      <c r="E1565" s="9">
        <v>1</v>
      </c>
      <c r="F1565" s="9">
        <v>120</v>
      </c>
      <c r="G1565" s="8">
        <f>F1565/600</f>
        <v>0.2</v>
      </c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 spans="1:26" ht="15.75" customHeight="1">
      <c r="A1566" s="10"/>
      <c r="B1566" s="12"/>
      <c r="C1566" s="21" t="s">
        <v>1588</v>
      </c>
      <c r="D1566" s="10" t="s">
        <v>1587</v>
      </c>
      <c r="E1566" s="9">
        <v>1</v>
      </c>
      <c r="F1566" s="9">
        <v>50</v>
      </c>
      <c r="G1566" s="8">
        <f>F1566/600</f>
        <v>8.3333333333333329E-2</v>
      </c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 spans="1:26" ht="15.75" customHeight="1">
      <c r="A1567" s="10"/>
      <c r="B1567" s="12"/>
      <c r="C1567" s="21" t="s">
        <v>1583</v>
      </c>
      <c r="D1567" s="10" t="s">
        <v>1582</v>
      </c>
      <c r="E1567" s="9">
        <v>1</v>
      </c>
      <c r="F1567" s="9">
        <v>70</v>
      </c>
      <c r="G1567" s="8">
        <f>F1567/600</f>
        <v>0.11666666666666667</v>
      </c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 spans="1:26" ht="15.75" customHeight="1">
      <c r="A1568" s="10" t="s">
        <v>2465</v>
      </c>
      <c r="B1568" s="13">
        <v>5</v>
      </c>
      <c r="C1568" s="21" t="s">
        <v>1585</v>
      </c>
      <c r="D1568" s="10" t="s">
        <v>1584</v>
      </c>
      <c r="E1568" s="9">
        <v>1</v>
      </c>
      <c r="F1568" s="9">
        <v>60</v>
      </c>
      <c r="G1568" s="8">
        <f>F1568/600</f>
        <v>0.1</v>
      </c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 spans="1:26" ht="15.75" customHeight="1">
      <c r="A1569" s="10"/>
      <c r="B1569" s="13"/>
      <c r="C1569" s="21" t="s">
        <v>1583</v>
      </c>
      <c r="D1569" s="10" t="s">
        <v>1582</v>
      </c>
      <c r="E1569" s="9">
        <v>1</v>
      </c>
      <c r="F1569" s="9">
        <v>300</v>
      </c>
      <c r="G1569" s="8">
        <f>F1569/600</f>
        <v>0.5</v>
      </c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 spans="1:26" ht="15.75" customHeight="1">
      <c r="A1570" s="10"/>
      <c r="B1570" s="13"/>
      <c r="C1570" s="21" t="s">
        <v>1588</v>
      </c>
      <c r="D1570" s="10" t="s">
        <v>1587</v>
      </c>
      <c r="E1570" s="9">
        <v>1</v>
      </c>
      <c r="F1570" s="9">
        <v>120</v>
      </c>
      <c r="G1570" s="8">
        <f>F1570/600</f>
        <v>0.2</v>
      </c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 spans="1:26" ht="15.75" customHeight="1">
      <c r="A1571" s="10"/>
      <c r="B1571" s="13"/>
      <c r="C1571" s="21">
        <v>4714781020817</v>
      </c>
      <c r="D1571" s="10" t="s">
        <v>1317</v>
      </c>
      <c r="E1571" s="9">
        <v>1</v>
      </c>
      <c r="F1571" s="9">
        <v>50</v>
      </c>
      <c r="G1571" s="8">
        <f>F1571/600</f>
        <v>8.3333333333333329E-2</v>
      </c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 spans="1:26" ht="15.75" customHeight="1">
      <c r="A1572" s="10"/>
      <c r="B1572" s="13"/>
      <c r="C1572" s="21" t="s">
        <v>1579</v>
      </c>
      <c r="D1572" s="10" t="s">
        <v>1389</v>
      </c>
      <c r="E1572" s="9">
        <v>1</v>
      </c>
      <c r="F1572" s="9">
        <v>70</v>
      </c>
      <c r="G1572" s="8">
        <f>F1572/600</f>
        <v>0.11666666666666667</v>
      </c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 spans="1:26" ht="15.75" customHeight="1">
      <c r="A1573" s="10" t="s">
        <v>2464</v>
      </c>
      <c r="B1573" s="10">
        <v>5</v>
      </c>
      <c r="C1573" s="21" t="s">
        <v>1585</v>
      </c>
      <c r="D1573" s="10" t="s">
        <v>1584</v>
      </c>
      <c r="E1573" s="9">
        <v>1</v>
      </c>
      <c r="F1573" s="9">
        <v>100</v>
      </c>
      <c r="G1573" s="8">
        <f>F1573/690</f>
        <v>0.14492753623188406</v>
      </c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 spans="1:26" ht="15.75" customHeight="1">
      <c r="A1574" s="12"/>
      <c r="B1574" s="12"/>
      <c r="C1574" s="21" t="s">
        <v>1596</v>
      </c>
      <c r="D1574" s="10" t="s">
        <v>1384</v>
      </c>
      <c r="E1574" s="9">
        <v>1</v>
      </c>
      <c r="F1574" s="9">
        <v>320</v>
      </c>
      <c r="G1574" s="8">
        <f>F1574/690</f>
        <v>0.46376811594202899</v>
      </c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 spans="1:26" ht="15.75" customHeight="1">
      <c r="A1575" s="12"/>
      <c r="B1575" s="12"/>
      <c r="C1575" s="21" t="s">
        <v>1602</v>
      </c>
      <c r="D1575" s="10" t="s">
        <v>1380</v>
      </c>
      <c r="E1575" s="9">
        <v>1</v>
      </c>
      <c r="F1575" s="9">
        <v>120</v>
      </c>
      <c r="G1575" s="8">
        <f>F1575/690</f>
        <v>0.17391304347826086</v>
      </c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 spans="1:26" ht="15.75" customHeight="1">
      <c r="A1576" s="12"/>
      <c r="B1576" s="12"/>
      <c r="C1576" s="21" t="s">
        <v>1588</v>
      </c>
      <c r="D1576" s="10" t="s">
        <v>1587</v>
      </c>
      <c r="E1576" s="9">
        <v>1</v>
      </c>
      <c r="F1576" s="9">
        <v>50</v>
      </c>
      <c r="G1576" s="8">
        <f>F1576/690</f>
        <v>7.2463768115942032E-2</v>
      </c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 spans="1:26" ht="15.75" customHeight="1">
      <c r="A1577" s="12"/>
      <c r="B1577" s="12"/>
      <c r="C1577" s="21" t="s">
        <v>1583</v>
      </c>
      <c r="D1577" s="10" t="s">
        <v>1582</v>
      </c>
      <c r="E1577" s="9">
        <v>1</v>
      </c>
      <c r="F1577" s="9">
        <v>100</v>
      </c>
      <c r="G1577" s="8">
        <f>F1577/690</f>
        <v>0.14492753623188406</v>
      </c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 spans="1:26" ht="15.75" customHeight="1">
      <c r="A1578" s="7" t="s">
        <v>2463</v>
      </c>
      <c r="B1578" s="13">
        <v>5</v>
      </c>
      <c r="C1578" s="11" t="s">
        <v>1585</v>
      </c>
      <c r="D1578" s="10" t="s">
        <v>1584</v>
      </c>
      <c r="E1578" s="9">
        <v>1</v>
      </c>
      <c r="F1578" s="9">
        <v>100</v>
      </c>
      <c r="G1578" s="8">
        <f>F1578/690</f>
        <v>0.14492753623188406</v>
      </c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 spans="1:26" ht="15.75" customHeight="1">
      <c r="A1579" s="7"/>
      <c r="B1579" s="13"/>
      <c r="C1579" s="21" t="s">
        <v>1583</v>
      </c>
      <c r="D1579" s="10" t="s">
        <v>1582</v>
      </c>
      <c r="E1579" s="9">
        <v>1</v>
      </c>
      <c r="F1579" s="9">
        <v>100</v>
      </c>
      <c r="G1579" s="8">
        <f>F1579/1300</f>
        <v>7.6923076923076927E-2</v>
      </c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 spans="1:26" ht="15.75" customHeight="1">
      <c r="A1580" s="7"/>
      <c r="B1580" s="13"/>
      <c r="C1580" s="11" t="s">
        <v>1588</v>
      </c>
      <c r="D1580" s="10" t="s">
        <v>1587</v>
      </c>
      <c r="E1580" s="9">
        <v>1</v>
      </c>
      <c r="F1580" s="9">
        <v>50</v>
      </c>
      <c r="G1580" s="8">
        <f>F1580/1300</f>
        <v>3.8461538461538464E-2</v>
      </c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 spans="1:26" ht="15.75" customHeight="1">
      <c r="A1581" s="7"/>
      <c r="B1581" s="13"/>
      <c r="C1581" s="11">
        <v>4714781020817</v>
      </c>
      <c r="D1581" s="10" t="s">
        <v>1317</v>
      </c>
      <c r="E1581" s="9">
        <v>1</v>
      </c>
      <c r="F1581" s="9">
        <v>120</v>
      </c>
      <c r="G1581" s="8">
        <f>F1581/690</f>
        <v>0.17391304347826086</v>
      </c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 spans="1:26" ht="15.75" customHeight="1">
      <c r="A1582" s="7"/>
      <c r="B1582" s="13"/>
      <c r="C1582" s="11" t="s">
        <v>1579</v>
      </c>
      <c r="D1582" s="10" t="s">
        <v>1389</v>
      </c>
      <c r="E1582" s="9">
        <v>1</v>
      </c>
      <c r="F1582" s="9">
        <v>320</v>
      </c>
      <c r="G1582" s="8">
        <f>F1582/690</f>
        <v>0.46376811594202899</v>
      </c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 spans="1:26" ht="15.75" customHeight="1">
      <c r="A1583" s="7" t="s">
        <v>2462</v>
      </c>
      <c r="B1583" s="9">
        <v>1</v>
      </c>
      <c r="C1583" s="23" t="s">
        <v>1510</v>
      </c>
      <c r="D1583" s="12" t="s">
        <v>2190</v>
      </c>
      <c r="E1583" s="9">
        <v>2</v>
      </c>
      <c r="F1583" s="9">
        <v>580</v>
      </c>
      <c r="G1583" s="8">
        <f>F1583/580</f>
        <v>1</v>
      </c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 spans="1:26" ht="15.75" customHeight="1">
      <c r="A1584" s="7" t="s">
        <v>2461</v>
      </c>
      <c r="B1584" s="9">
        <v>1</v>
      </c>
      <c r="C1584" s="23" t="s">
        <v>1506</v>
      </c>
      <c r="D1584" s="12" t="s">
        <v>2188</v>
      </c>
      <c r="E1584" s="9">
        <v>2</v>
      </c>
      <c r="F1584" s="9">
        <v>580</v>
      </c>
      <c r="G1584" s="8">
        <f>F1584/580</f>
        <v>1</v>
      </c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 spans="1:26" ht="15.75" customHeight="1">
      <c r="A1585" s="7" t="s">
        <v>2460</v>
      </c>
      <c r="B1585" s="9">
        <v>1</v>
      </c>
      <c r="C1585" s="23" t="s">
        <v>1508</v>
      </c>
      <c r="D1585" s="12" t="s">
        <v>2186</v>
      </c>
      <c r="E1585" s="9">
        <v>2</v>
      </c>
      <c r="F1585" s="9">
        <v>580</v>
      </c>
      <c r="G1585" s="8">
        <f>F1585/580</f>
        <v>1</v>
      </c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 spans="1:26" ht="15.75" customHeight="1">
      <c r="A1586" s="7" t="s">
        <v>2459</v>
      </c>
      <c r="B1586" s="9">
        <v>1</v>
      </c>
      <c r="C1586" s="23" t="s">
        <v>1531</v>
      </c>
      <c r="D1586" s="12" t="s">
        <v>2194</v>
      </c>
      <c r="E1586" s="9">
        <v>2</v>
      </c>
      <c r="F1586" s="9">
        <v>580</v>
      </c>
      <c r="G1586" s="8">
        <f>F1586/580</f>
        <v>1</v>
      </c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 spans="1:26" ht="15.75" customHeight="1">
      <c r="A1587" s="7" t="s">
        <v>2458</v>
      </c>
      <c r="B1587" s="9">
        <v>2</v>
      </c>
      <c r="C1587" s="23" t="s">
        <v>1510</v>
      </c>
      <c r="D1587" s="12" t="s">
        <v>2190</v>
      </c>
      <c r="E1587" s="9">
        <v>1</v>
      </c>
      <c r="F1587" s="9">
        <v>290</v>
      </c>
      <c r="G1587" s="8">
        <f>F1587/580</f>
        <v>0.5</v>
      </c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 spans="1:26" ht="15.75" customHeight="1">
      <c r="A1588" s="7"/>
      <c r="B1588" s="9"/>
      <c r="C1588" s="23" t="s">
        <v>1531</v>
      </c>
      <c r="D1588" s="12" t="s">
        <v>2194</v>
      </c>
      <c r="E1588" s="9">
        <v>1</v>
      </c>
      <c r="F1588" s="9">
        <v>290</v>
      </c>
      <c r="G1588" s="8">
        <f>F1588/580</f>
        <v>0.5</v>
      </c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 spans="1:26" ht="15.75" customHeight="1">
      <c r="A1589" s="7" t="s">
        <v>2457</v>
      </c>
      <c r="B1589" s="9">
        <v>2</v>
      </c>
      <c r="C1589" s="23" t="s">
        <v>1531</v>
      </c>
      <c r="D1589" s="12" t="s">
        <v>2194</v>
      </c>
      <c r="E1589" s="9">
        <v>1</v>
      </c>
      <c r="F1589" s="9">
        <v>290</v>
      </c>
      <c r="G1589" s="8">
        <f>F1589/580</f>
        <v>0.5</v>
      </c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 spans="1:26" ht="15.75" customHeight="1">
      <c r="A1590" s="7"/>
      <c r="B1590" s="9"/>
      <c r="C1590" s="23" t="s">
        <v>1508</v>
      </c>
      <c r="D1590" s="12" t="s">
        <v>2186</v>
      </c>
      <c r="E1590" s="9">
        <v>1</v>
      </c>
      <c r="F1590" s="9">
        <v>290</v>
      </c>
      <c r="G1590" s="8">
        <f>F1590/580</f>
        <v>0.5</v>
      </c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 spans="1:26" ht="15.75" customHeight="1">
      <c r="A1591" s="7" t="s">
        <v>2456</v>
      </c>
      <c r="B1591" s="9">
        <v>2</v>
      </c>
      <c r="C1591" s="23" t="s">
        <v>1531</v>
      </c>
      <c r="D1591" s="12" t="s">
        <v>2194</v>
      </c>
      <c r="E1591" s="9">
        <v>1</v>
      </c>
      <c r="F1591" s="9">
        <v>290</v>
      </c>
      <c r="G1591" s="8">
        <f>F1591/580</f>
        <v>0.5</v>
      </c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 spans="1:26" ht="15.75" customHeight="1">
      <c r="A1592" s="7"/>
      <c r="B1592" s="9"/>
      <c r="C1592" s="23" t="s">
        <v>1506</v>
      </c>
      <c r="D1592" s="12" t="s">
        <v>2188</v>
      </c>
      <c r="E1592" s="9">
        <v>1</v>
      </c>
      <c r="F1592" s="9">
        <v>290</v>
      </c>
      <c r="G1592" s="8">
        <f>F1592/580</f>
        <v>0.5</v>
      </c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 spans="1:26" ht="15.75" customHeight="1">
      <c r="A1593" s="7" t="s">
        <v>2455</v>
      </c>
      <c r="B1593" s="9">
        <v>2</v>
      </c>
      <c r="C1593" s="23" t="s">
        <v>1510</v>
      </c>
      <c r="D1593" s="12" t="s">
        <v>2190</v>
      </c>
      <c r="E1593" s="9">
        <v>1</v>
      </c>
      <c r="F1593" s="9">
        <v>290</v>
      </c>
      <c r="G1593" s="8">
        <f>F1593/580</f>
        <v>0.5</v>
      </c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 spans="1:26" ht="15.75" customHeight="1">
      <c r="A1594" s="7"/>
      <c r="B1594" s="9"/>
      <c r="C1594" s="23" t="s">
        <v>1506</v>
      </c>
      <c r="D1594" s="12" t="s">
        <v>2188</v>
      </c>
      <c r="E1594" s="9">
        <v>1</v>
      </c>
      <c r="F1594" s="9">
        <v>290</v>
      </c>
      <c r="G1594" s="8">
        <f>F1594/580</f>
        <v>0.5</v>
      </c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 spans="1:26" ht="15.75" customHeight="1">
      <c r="A1595" s="7" t="s">
        <v>2454</v>
      </c>
      <c r="B1595" s="9">
        <v>2</v>
      </c>
      <c r="C1595" s="23" t="s">
        <v>1510</v>
      </c>
      <c r="D1595" s="12" t="s">
        <v>2190</v>
      </c>
      <c r="E1595" s="9">
        <v>1</v>
      </c>
      <c r="F1595" s="9">
        <v>290</v>
      </c>
      <c r="G1595" s="8">
        <f>F1595/580</f>
        <v>0.5</v>
      </c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 spans="1:26" ht="15.75" customHeight="1">
      <c r="A1596" s="7"/>
      <c r="B1596" s="9"/>
      <c r="C1596" s="23" t="s">
        <v>1508</v>
      </c>
      <c r="D1596" s="12" t="s">
        <v>2186</v>
      </c>
      <c r="E1596" s="9">
        <v>1</v>
      </c>
      <c r="F1596" s="9">
        <v>290</v>
      </c>
      <c r="G1596" s="8">
        <f>F1596/580</f>
        <v>0.5</v>
      </c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 spans="1:26" ht="15.75" customHeight="1">
      <c r="A1597" s="7" t="s">
        <v>2453</v>
      </c>
      <c r="B1597" s="9">
        <v>2</v>
      </c>
      <c r="C1597" s="23" t="s">
        <v>1508</v>
      </c>
      <c r="D1597" s="12" t="s">
        <v>2186</v>
      </c>
      <c r="E1597" s="9">
        <v>1</v>
      </c>
      <c r="F1597" s="9">
        <v>290</v>
      </c>
      <c r="G1597" s="8">
        <f>F1597/580</f>
        <v>0.5</v>
      </c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 spans="1:26" ht="15.75" customHeight="1">
      <c r="A1598" s="7"/>
      <c r="B1598" s="9"/>
      <c r="C1598" s="23" t="s">
        <v>1506</v>
      </c>
      <c r="D1598" s="12" t="s">
        <v>2188</v>
      </c>
      <c r="E1598" s="9">
        <v>1</v>
      </c>
      <c r="F1598" s="9">
        <v>290</v>
      </c>
      <c r="G1598" s="8">
        <f>F1598/580</f>
        <v>0.5</v>
      </c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 spans="1:26" ht="15.75" customHeight="1">
      <c r="A1599" s="7" t="s">
        <v>2452</v>
      </c>
      <c r="B1599" s="9">
        <v>3</v>
      </c>
      <c r="C1599" s="21">
        <v>4714781020558</v>
      </c>
      <c r="D1599" s="10" t="s">
        <v>1370</v>
      </c>
      <c r="E1599" s="9">
        <v>2</v>
      </c>
      <c r="F1599" s="9">
        <v>296</v>
      </c>
      <c r="G1599" s="8">
        <f>F1599/890</f>
        <v>0.33258426966292137</v>
      </c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 spans="1:26" ht="15.75" customHeight="1">
      <c r="A1600" s="7"/>
      <c r="B1600" s="9"/>
      <c r="C1600" s="21">
        <v>4714781020503</v>
      </c>
      <c r="D1600" s="10" t="s">
        <v>1372</v>
      </c>
      <c r="E1600" s="9">
        <v>2</v>
      </c>
      <c r="F1600" s="9">
        <v>296</v>
      </c>
      <c r="G1600" s="8">
        <f>F1600/890</f>
        <v>0.33258426966292137</v>
      </c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 spans="1:26" ht="15.75" customHeight="1">
      <c r="A1601" s="7"/>
      <c r="B1601" s="9"/>
      <c r="C1601" s="21">
        <v>4714781020466</v>
      </c>
      <c r="D1601" s="10" t="s">
        <v>1374</v>
      </c>
      <c r="E1601" s="9">
        <v>2</v>
      </c>
      <c r="F1601" s="9">
        <v>298</v>
      </c>
      <c r="G1601" s="8">
        <f>F1601/890</f>
        <v>0.33483146067415731</v>
      </c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 spans="1:26" ht="15.75" customHeight="1">
      <c r="A1602" s="7" t="s">
        <v>2451</v>
      </c>
      <c r="B1602" s="9">
        <v>1</v>
      </c>
      <c r="C1602" s="21">
        <v>4714781020558</v>
      </c>
      <c r="D1602" s="10" t="s">
        <v>1370</v>
      </c>
      <c r="E1602" s="9">
        <v>6</v>
      </c>
      <c r="F1602" s="9">
        <v>890</v>
      </c>
      <c r="G1602" s="8">
        <f>F1602/890</f>
        <v>1</v>
      </c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 spans="1:26" ht="15.75" customHeight="1">
      <c r="A1603" s="7" t="s">
        <v>2450</v>
      </c>
      <c r="B1603" s="9">
        <v>1</v>
      </c>
      <c r="C1603" s="21">
        <v>4714781020503</v>
      </c>
      <c r="D1603" s="10" t="s">
        <v>1372</v>
      </c>
      <c r="E1603" s="9">
        <v>6</v>
      </c>
      <c r="F1603" s="9">
        <v>890</v>
      </c>
      <c r="G1603" s="8">
        <f>F1603/890</f>
        <v>1</v>
      </c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 spans="1:26" ht="15.75" customHeight="1">
      <c r="A1604" s="7" t="s">
        <v>2449</v>
      </c>
      <c r="B1604" s="9">
        <v>1</v>
      </c>
      <c r="C1604" s="21">
        <v>4714781020466</v>
      </c>
      <c r="D1604" s="10" t="s">
        <v>1374</v>
      </c>
      <c r="E1604" s="9">
        <v>6</v>
      </c>
      <c r="F1604" s="9">
        <v>890</v>
      </c>
      <c r="G1604" s="8">
        <f>F1604/890</f>
        <v>1</v>
      </c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 spans="1:26" ht="15.75" customHeight="1">
      <c r="A1605" s="7" t="s">
        <v>2448</v>
      </c>
      <c r="B1605" s="9">
        <v>2</v>
      </c>
      <c r="C1605" s="21">
        <v>4714781020503</v>
      </c>
      <c r="D1605" s="10" t="s">
        <v>1372</v>
      </c>
      <c r="E1605" s="9">
        <v>3</v>
      </c>
      <c r="F1605" s="9">
        <v>445</v>
      </c>
      <c r="G1605" s="8">
        <f>F1605/890</f>
        <v>0.5</v>
      </c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 spans="1:26" ht="15.75" customHeight="1">
      <c r="A1606" s="7"/>
      <c r="B1606" s="9"/>
      <c r="C1606" s="21">
        <v>4714781020466</v>
      </c>
      <c r="D1606" s="10" t="s">
        <v>1374</v>
      </c>
      <c r="E1606" s="9">
        <v>3</v>
      </c>
      <c r="F1606" s="9">
        <v>445</v>
      </c>
      <c r="G1606" s="8">
        <f>F1606/890</f>
        <v>0.5</v>
      </c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 spans="1:26" ht="15.75" customHeight="1">
      <c r="A1607" s="7" t="s">
        <v>2447</v>
      </c>
      <c r="B1607" s="9">
        <v>2</v>
      </c>
      <c r="C1607" s="21">
        <v>4714781020503</v>
      </c>
      <c r="D1607" s="10" t="s">
        <v>1372</v>
      </c>
      <c r="E1607" s="9">
        <v>3</v>
      </c>
      <c r="F1607" s="9">
        <v>445</v>
      </c>
      <c r="G1607" s="8">
        <f>F1607/890</f>
        <v>0.5</v>
      </c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 spans="1:26" ht="15.75" customHeight="1">
      <c r="A1608" s="7"/>
      <c r="B1608" s="9"/>
      <c r="C1608" s="21">
        <v>4714781020558</v>
      </c>
      <c r="D1608" s="10" t="s">
        <v>1370</v>
      </c>
      <c r="E1608" s="9">
        <v>3</v>
      </c>
      <c r="F1608" s="9">
        <v>445</v>
      </c>
      <c r="G1608" s="8">
        <f>F1608/890</f>
        <v>0.5</v>
      </c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 spans="1:26" ht="15.75" customHeight="1">
      <c r="A1609" s="7" t="s">
        <v>2446</v>
      </c>
      <c r="B1609" s="9">
        <v>2</v>
      </c>
      <c r="C1609" s="21">
        <v>4714781020466</v>
      </c>
      <c r="D1609" s="10" t="s">
        <v>1374</v>
      </c>
      <c r="E1609" s="9">
        <v>3</v>
      </c>
      <c r="F1609" s="9">
        <v>445</v>
      </c>
      <c r="G1609" s="8">
        <f>F1609/890</f>
        <v>0.5</v>
      </c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 spans="1:26" ht="15.75" customHeight="1">
      <c r="A1610" s="7"/>
      <c r="B1610" s="9"/>
      <c r="C1610" s="21">
        <v>4714781020558</v>
      </c>
      <c r="D1610" s="10" t="s">
        <v>1370</v>
      </c>
      <c r="E1610" s="9">
        <v>3</v>
      </c>
      <c r="F1610" s="9">
        <v>445</v>
      </c>
      <c r="G1610" s="8">
        <f>F1610/890</f>
        <v>0.5</v>
      </c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 spans="1:26" ht="15.75" customHeight="1">
      <c r="A1611" s="7" t="s">
        <v>2445</v>
      </c>
      <c r="B1611" s="9">
        <v>3</v>
      </c>
      <c r="C1611" s="6">
        <v>4714781021609</v>
      </c>
      <c r="D1611" s="12" t="s">
        <v>1454</v>
      </c>
      <c r="E1611" s="9">
        <v>2</v>
      </c>
      <c r="F1611" s="9">
        <v>260</v>
      </c>
      <c r="G1611" s="8">
        <f>F1611/780</f>
        <v>0.33333333333333331</v>
      </c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 spans="1:26" ht="15.75" customHeight="1">
      <c r="A1612" s="7"/>
      <c r="B1612" s="12"/>
      <c r="C1612" s="23">
        <v>4714781021012</v>
      </c>
      <c r="D1612" s="12" t="s">
        <v>1703</v>
      </c>
      <c r="E1612" s="9">
        <v>2</v>
      </c>
      <c r="F1612" s="9">
        <v>260</v>
      </c>
      <c r="G1612" s="8">
        <f>F1612/780</f>
        <v>0.33333333333333331</v>
      </c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 spans="1:26" ht="15.75" customHeight="1">
      <c r="A1613" s="7"/>
      <c r="B1613" s="12"/>
      <c r="C1613" s="23">
        <v>4714781021029</v>
      </c>
      <c r="D1613" s="12" t="s">
        <v>1452</v>
      </c>
      <c r="E1613" s="9">
        <v>2</v>
      </c>
      <c r="F1613" s="9">
        <v>260</v>
      </c>
      <c r="G1613" s="8">
        <f>F1613/780</f>
        <v>0.33333333333333331</v>
      </c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 spans="1:26" ht="15.75" customHeight="1">
      <c r="A1614" s="7" t="s">
        <v>2444</v>
      </c>
      <c r="B1614" s="9">
        <v>1</v>
      </c>
      <c r="C1614" s="6">
        <v>4714781021609</v>
      </c>
      <c r="D1614" s="12" t="s">
        <v>1454</v>
      </c>
      <c r="E1614" s="9">
        <v>6</v>
      </c>
      <c r="F1614" s="9">
        <v>780</v>
      </c>
      <c r="G1614" s="8">
        <f>F1614/780</f>
        <v>1</v>
      </c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 spans="1:26" ht="15.75" customHeight="1">
      <c r="A1615" s="7" t="s">
        <v>2443</v>
      </c>
      <c r="B1615" s="9">
        <v>1</v>
      </c>
      <c r="C1615" s="23">
        <v>4714781021012</v>
      </c>
      <c r="D1615" s="12" t="s">
        <v>1703</v>
      </c>
      <c r="E1615" s="9">
        <v>6</v>
      </c>
      <c r="F1615" s="9">
        <v>780</v>
      </c>
      <c r="G1615" s="8">
        <f>F1615/780</f>
        <v>1</v>
      </c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 spans="1:26" ht="15.75" customHeight="1">
      <c r="A1616" s="7" t="s">
        <v>2442</v>
      </c>
      <c r="B1616" s="9">
        <v>1</v>
      </c>
      <c r="C1616" s="23">
        <v>4714781021029</v>
      </c>
      <c r="D1616" s="12" t="s">
        <v>1452</v>
      </c>
      <c r="E1616" s="9">
        <v>6</v>
      </c>
      <c r="F1616" s="9">
        <v>780</v>
      </c>
      <c r="G1616" s="8">
        <f>F1616/780</f>
        <v>1</v>
      </c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 spans="1:26" ht="15.75" customHeight="1">
      <c r="A1617" s="7" t="s">
        <v>2441</v>
      </c>
      <c r="B1617" s="9">
        <v>2</v>
      </c>
      <c r="C1617" s="23">
        <v>4714781021029</v>
      </c>
      <c r="D1617" s="12" t="s">
        <v>1452</v>
      </c>
      <c r="E1617" s="9">
        <v>3</v>
      </c>
      <c r="F1617" s="9">
        <v>390</v>
      </c>
      <c r="G1617" s="8">
        <f>F1617/780</f>
        <v>0.5</v>
      </c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 spans="1:26" ht="15.75" customHeight="1">
      <c r="A1618" s="7"/>
      <c r="B1618" s="12"/>
      <c r="C1618" s="23">
        <v>4714781021012</v>
      </c>
      <c r="D1618" s="12" t="s">
        <v>1703</v>
      </c>
      <c r="E1618" s="9">
        <v>3</v>
      </c>
      <c r="F1618" s="9">
        <v>390</v>
      </c>
      <c r="G1618" s="8">
        <f>F1618/780</f>
        <v>0.5</v>
      </c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 spans="1:26" ht="15.75" customHeight="1">
      <c r="A1619" s="7" t="s">
        <v>2440</v>
      </c>
      <c r="B1619" s="9">
        <v>2</v>
      </c>
      <c r="C1619" s="23">
        <v>4714781021029</v>
      </c>
      <c r="D1619" s="12" t="s">
        <v>1452</v>
      </c>
      <c r="E1619" s="9">
        <v>3</v>
      </c>
      <c r="F1619" s="9">
        <v>390</v>
      </c>
      <c r="G1619" s="8">
        <f>F1619/780</f>
        <v>0.5</v>
      </c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 spans="1:26" ht="15.75" customHeight="1">
      <c r="A1620" s="7"/>
      <c r="B1620" s="12"/>
      <c r="C1620" s="6">
        <v>4714781021609</v>
      </c>
      <c r="D1620" s="12" t="s">
        <v>1454</v>
      </c>
      <c r="E1620" s="9">
        <v>3</v>
      </c>
      <c r="F1620" s="9">
        <v>390</v>
      </c>
      <c r="G1620" s="8">
        <f>F1620/780</f>
        <v>0.5</v>
      </c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 spans="1:26" ht="15.75" customHeight="1">
      <c r="A1621" s="7" t="s">
        <v>2439</v>
      </c>
      <c r="B1621" s="9">
        <v>2</v>
      </c>
      <c r="C1621" s="23">
        <v>4714781021012</v>
      </c>
      <c r="D1621" s="12" t="s">
        <v>1703</v>
      </c>
      <c r="E1621" s="9">
        <v>3</v>
      </c>
      <c r="F1621" s="9">
        <v>390</v>
      </c>
      <c r="G1621" s="8">
        <f>F1621/780</f>
        <v>0.5</v>
      </c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 spans="1:26" ht="15.75" customHeight="1">
      <c r="A1622" s="7"/>
      <c r="B1622" s="12"/>
      <c r="C1622" s="6">
        <v>4714781021609</v>
      </c>
      <c r="D1622" s="12" t="s">
        <v>1454</v>
      </c>
      <c r="E1622" s="9">
        <v>3</v>
      </c>
      <c r="F1622" s="9">
        <v>390</v>
      </c>
      <c r="G1622" s="8">
        <f>F1622/780</f>
        <v>0.5</v>
      </c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 spans="1:26" ht="15.75" customHeight="1">
      <c r="A1623" s="7" t="s">
        <v>2438</v>
      </c>
      <c r="B1623" s="9">
        <v>6</v>
      </c>
      <c r="C1623" s="23">
        <v>4714781021029</v>
      </c>
      <c r="D1623" s="12" t="s">
        <v>1452</v>
      </c>
      <c r="E1623" s="9">
        <v>1</v>
      </c>
      <c r="F1623" s="9">
        <v>133</v>
      </c>
      <c r="G1623" s="8">
        <f>F1623/820</f>
        <v>0.16219512195121952</v>
      </c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 spans="1:26" ht="15.75" customHeight="1">
      <c r="A1624" s="7"/>
      <c r="B1624" s="12"/>
      <c r="C1624" s="23">
        <v>4714781021012</v>
      </c>
      <c r="D1624" s="12" t="s">
        <v>1703</v>
      </c>
      <c r="E1624" s="9">
        <v>1</v>
      </c>
      <c r="F1624" s="9">
        <v>133</v>
      </c>
      <c r="G1624" s="8">
        <f>F1624/820</f>
        <v>0.16219512195121952</v>
      </c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 spans="1:26" ht="15.75" customHeight="1">
      <c r="A1625" s="7"/>
      <c r="B1625" s="12"/>
      <c r="C1625" s="6">
        <v>4714781021609</v>
      </c>
      <c r="D1625" s="12" t="s">
        <v>1454</v>
      </c>
      <c r="E1625" s="9">
        <v>1</v>
      </c>
      <c r="F1625" s="9">
        <v>134</v>
      </c>
      <c r="G1625" s="8">
        <f>F1625/820</f>
        <v>0.16341463414634147</v>
      </c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 spans="1:26" ht="15.75" customHeight="1">
      <c r="A1626" s="7"/>
      <c r="B1626" s="12"/>
      <c r="C1626" s="21">
        <v>4714781020466</v>
      </c>
      <c r="D1626" s="12" t="s">
        <v>1374</v>
      </c>
      <c r="E1626" s="9">
        <v>1</v>
      </c>
      <c r="F1626" s="9">
        <v>140</v>
      </c>
      <c r="G1626" s="8">
        <f>F1626/820</f>
        <v>0.17073170731707318</v>
      </c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 spans="1:26" ht="15.75" customHeight="1">
      <c r="A1627" s="7"/>
      <c r="B1627" s="12"/>
      <c r="C1627" s="21">
        <v>4714781020503</v>
      </c>
      <c r="D1627" s="12" t="s">
        <v>1372</v>
      </c>
      <c r="E1627" s="9">
        <v>1</v>
      </c>
      <c r="F1627" s="9">
        <v>140</v>
      </c>
      <c r="G1627" s="8">
        <f>F1627/820</f>
        <v>0.17073170731707318</v>
      </c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 spans="1:26" ht="15.75" customHeight="1">
      <c r="A1628" s="7"/>
      <c r="B1628" s="12"/>
      <c r="C1628" s="21">
        <v>4714781020558</v>
      </c>
      <c r="D1628" s="12" t="s">
        <v>1370</v>
      </c>
      <c r="E1628" s="9">
        <v>1</v>
      </c>
      <c r="F1628" s="9">
        <v>140</v>
      </c>
      <c r="G1628" s="8">
        <f>F1628/820</f>
        <v>0.17073170731707318</v>
      </c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 spans="1:26" ht="15.75" customHeight="1">
      <c r="A1629" s="7" t="s">
        <v>2437</v>
      </c>
      <c r="B1629" s="9">
        <v>2</v>
      </c>
      <c r="C1629" s="23">
        <v>4714781021029</v>
      </c>
      <c r="D1629" s="12" t="s">
        <v>1452</v>
      </c>
      <c r="E1629" s="9">
        <v>3</v>
      </c>
      <c r="F1629" s="9">
        <v>400</v>
      </c>
      <c r="G1629" s="8">
        <f>F1629/820</f>
        <v>0.48780487804878048</v>
      </c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 spans="1:26" ht="15.75" customHeight="1">
      <c r="A1630" s="7"/>
      <c r="B1630" s="12"/>
      <c r="C1630" s="21">
        <v>4714781020558</v>
      </c>
      <c r="D1630" s="12" t="s">
        <v>1370</v>
      </c>
      <c r="E1630" s="9">
        <v>3</v>
      </c>
      <c r="F1630" s="9">
        <v>420</v>
      </c>
      <c r="G1630" s="8">
        <f>F1630/820</f>
        <v>0.51219512195121952</v>
      </c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 spans="1:26" ht="15.75" customHeight="1">
      <c r="A1631" s="7" t="s">
        <v>2436</v>
      </c>
      <c r="B1631" s="9">
        <v>2</v>
      </c>
      <c r="C1631" s="23">
        <v>4714781021029</v>
      </c>
      <c r="D1631" s="12" t="s">
        <v>1452</v>
      </c>
      <c r="E1631" s="9">
        <v>3</v>
      </c>
      <c r="F1631" s="9">
        <v>400</v>
      </c>
      <c r="G1631" s="8">
        <f>F1631/820</f>
        <v>0.48780487804878048</v>
      </c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 spans="1:26" ht="15.75" customHeight="1">
      <c r="A1632" s="7"/>
      <c r="B1632" s="12"/>
      <c r="C1632" s="21">
        <v>4714781020466</v>
      </c>
      <c r="D1632" s="12" t="s">
        <v>1374</v>
      </c>
      <c r="E1632" s="9">
        <v>3</v>
      </c>
      <c r="F1632" s="9">
        <v>420</v>
      </c>
      <c r="G1632" s="8">
        <f>F1632/820</f>
        <v>0.51219512195121952</v>
      </c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 spans="1:26" ht="15.75" customHeight="1">
      <c r="A1633" s="7" t="s">
        <v>2435</v>
      </c>
      <c r="B1633" s="9">
        <v>2</v>
      </c>
      <c r="C1633" s="23">
        <v>4714781021029</v>
      </c>
      <c r="D1633" s="12" t="s">
        <v>1452</v>
      </c>
      <c r="E1633" s="9">
        <v>3</v>
      </c>
      <c r="F1633" s="9">
        <v>400</v>
      </c>
      <c r="G1633" s="8">
        <f>F1633/820</f>
        <v>0.48780487804878048</v>
      </c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 spans="1:26" ht="15.75" customHeight="1">
      <c r="A1634" s="7"/>
      <c r="B1634" s="12"/>
      <c r="C1634" s="21">
        <v>4714781020503</v>
      </c>
      <c r="D1634" s="12" t="s">
        <v>1372</v>
      </c>
      <c r="E1634" s="9">
        <v>3</v>
      </c>
      <c r="F1634" s="9">
        <v>420</v>
      </c>
      <c r="G1634" s="8">
        <f>F1634/820</f>
        <v>0.51219512195121952</v>
      </c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 spans="1:26" ht="15.75" customHeight="1">
      <c r="A1635" s="7" t="s">
        <v>2434</v>
      </c>
      <c r="B1635" s="9">
        <v>2</v>
      </c>
      <c r="C1635" s="23">
        <v>4714781021012</v>
      </c>
      <c r="D1635" s="12" t="s">
        <v>1703</v>
      </c>
      <c r="E1635" s="9">
        <v>3</v>
      </c>
      <c r="F1635" s="9">
        <v>400</v>
      </c>
      <c r="G1635" s="8">
        <f>F1635/820</f>
        <v>0.48780487804878048</v>
      </c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 spans="1:26" ht="15.75" customHeight="1">
      <c r="A1636" s="7"/>
      <c r="B1636" s="12"/>
      <c r="C1636" s="21">
        <v>4714781020558</v>
      </c>
      <c r="D1636" s="12" t="s">
        <v>1370</v>
      </c>
      <c r="E1636" s="9">
        <v>3</v>
      </c>
      <c r="F1636" s="9">
        <v>420</v>
      </c>
      <c r="G1636" s="8">
        <f>F1636/820</f>
        <v>0.51219512195121952</v>
      </c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 spans="1:26" ht="15.75" customHeight="1">
      <c r="A1637" s="7" t="s">
        <v>2433</v>
      </c>
      <c r="B1637" s="9">
        <v>2</v>
      </c>
      <c r="C1637" s="23">
        <v>4714781021012</v>
      </c>
      <c r="D1637" s="12" t="s">
        <v>1703</v>
      </c>
      <c r="E1637" s="9">
        <v>3</v>
      </c>
      <c r="F1637" s="9">
        <v>400</v>
      </c>
      <c r="G1637" s="8">
        <f>F1637/820</f>
        <v>0.48780487804878048</v>
      </c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 spans="1:26" ht="15.75" customHeight="1">
      <c r="A1638" s="7"/>
      <c r="B1638" s="12"/>
      <c r="C1638" s="21">
        <v>4714781020466</v>
      </c>
      <c r="D1638" s="12" t="s">
        <v>1374</v>
      </c>
      <c r="E1638" s="9">
        <v>3</v>
      </c>
      <c r="F1638" s="9">
        <v>420</v>
      </c>
      <c r="G1638" s="8">
        <f>F1638/820</f>
        <v>0.51219512195121952</v>
      </c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 spans="1:26" ht="15.75" customHeight="1">
      <c r="A1639" s="7" t="s">
        <v>2432</v>
      </c>
      <c r="B1639" s="9">
        <v>2</v>
      </c>
      <c r="C1639" s="23">
        <v>4714781021012</v>
      </c>
      <c r="D1639" s="12" t="s">
        <v>1703</v>
      </c>
      <c r="E1639" s="9">
        <v>3</v>
      </c>
      <c r="F1639" s="9">
        <v>400</v>
      </c>
      <c r="G1639" s="8">
        <f>F1639/820</f>
        <v>0.48780487804878048</v>
      </c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 spans="1:26" ht="15.75" customHeight="1">
      <c r="A1640" s="7"/>
      <c r="B1640" s="12"/>
      <c r="C1640" s="21">
        <v>4714781020503</v>
      </c>
      <c r="D1640" s="12" t="s">
        <v>1372</v>
      </c>
      <c r="E1640" s="9">
        <v>3</v>
      </c>
      <c r="F1640" s="9">
        <v>420</v>
      </c>
      <c r="G1640" s="8">
        <f>F1640/820</f>
        <v>0.51219512195121952</v>
      </c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 spans="1:26" ht="15.75" customHeight="1">
      <c r="A1641" s="7" t="s">
        <v>2431</v>
      </c>
      <c r="B1641" s="9">
        <v>2</v>
      </c>
      <c r="C1641" s="6">
        <v>4714781021609</v>
      </c>
      <c r="D1641" s="12" t="s">
        <v>1454</v>
      </c>
      <c r="E1641" s="9">
        <v>3</v>
      </c>
      <c r="F1641" s="9">
        <v>400</v>
      </c>
      <c r="G1641" s="8">
        <f>F1641/820</f>
        <v>0.48780487804878048</v>
      </c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 spans="1:26" ht="15.75" customHeight="1">
      <c r="A1642" s="7"/>
      <c r="B1642" s="12"/>
      <c r="C1642" s="21">
        <v>4714781020558</v>
      </c>
      <c r="D1642" s="12" t="s">
        <v>1370</v>
      </c>
      <c r="E1642" s="9">
        <v>3</v>
      </c>
      <c r="F1642" s="9">
        <v>420</v>
      </c>
      <c r="G1642" s="8">
        <f>F1642/820</f>
        <v>0.51219512195121952</v>
      </c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 spans="1:26" ht="15.75" customHeight="1">
      <c r="A1643" s="7" t="s">
        <v>2430</v>
      </c>
      <c r="B1643" s="9">
        <v>2</v>
      </c>
      <c r="C1643" s="6">
        <v>4714781021609</v>
      </c>
      <c r="D1643" s="12" t="s">
        <v>1454</v>
      </c>
      <c r="E1643" s="9">
        <v>3</v>
      </c>
      <c r="F1643" s="9">
        <v>400</v>
      </c>
      <c r="G1643" s="8">
        <f>F1643/820</f>
        <v>0.48780487804878048</v>
      </c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 spans="1:26" ht="15.75" customHeight="1">
      <c r="A1644" s="7"/>
      <c r="B1644" s="12"/>
      <c r="C1644" s="21">
        <v>4714781020466</v>
      </c>
      <c r="D1644" s="12" t="s">
        <v>1374</v>
      </c>
      <c r="E1644" s="9">
        <v>3</v>
      </c>
      <c r="F1644" s="9">
        <v>420</v>
      </c>
      <c r="G1644" s="8">
        <f>F1644/820</f>
        <v>0.51219512195121952</v>
      </c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 spans="1:26" ht="15.75" customHeight="1">
      <c r="A1645" s="7" t="s">
        <v>2429</v>
      </c>
      <c r="B1645" s="9">
        <v>2</v>
      </c>
      <c r="C1645" s="6">
        <v>4714781021609</v>
      </c>
      <c r="D1645" s="12" t="s">
        <v>1454</v>
      </c>
      <c r="E1645" s="9">
        <v>3</v>
      </c>
      <c r="F1645" s="9">
        <v>400</v>
      </c>
      <c r="G1645" s="8">
        <f>F1645/820</f>
        <v>0.48780487804878048</v>
      </c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 spans="1:26" ht="15.75" customHeight="1">
      <c r="A1646" s="7"/>
      <c r="B1646" s="9"/>
      <c r="C1646" s="21">
        <v>4714781020503</v>
      </c>
      <c r="D1646" s="12" t="s">
        <v>1372</v>
      </c>
      <c r="E1646" s="9">
        <v>3</v>
      </c>
      <c r="F1646" s="9">
        <v>420</v>
      </c>
      <c r="G1646" s="8">
        <f>F1646/820</f>
        <v>0.51219512195121952</v>
      </c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 spans="1:26" ht="15.75" customHeight="1">
      <c r="A1647" s="7" t="s">
        <v>2428</v>
      </c>
      <c r="B1647" s="9">
        <v>2</v>
      </c>
      <c r="C1647" s="23">
        <v>4714781021777</v>
      </c>
      <c r="D1647" s="12" t="s">
        <v>1522</v>
      </c>
      <c r="E1647" s="9">
        <v>2</v>
      </c>
      <c r="F1647" s="9">
        <v>750</v>
      </c>
      <c r="G1647" s="8">
        <f>F1647/1320</f>
        <v>0.56818181818181823</v>
      </c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 spans="1:26" ht="15.75" customHeight="1">
      <c r="A1648" s="7"/>
      <c r="B1648" s="9"/>
      <c r="C1648" s="23" t="s">
        <v>1510</v>
      </c>
      <c r="D1648" s="12" t="s">
        <v>2190</v>
      </c>
      <c r="E1648" s="9">
        <v>2</v>
      </c>
      <c r="F1648" s="9">
        <v>570</v>
      </c>
      <c r="G1648" s="8">
        <f>F1648/1320</f>
        <v>0.43181818181818182</v>
      </c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 spans="1:26" ht="15.75" customHeight="1">
      <c r="A1649" s="7" t="s">
        <v>2427</v>
      </c>
      <c r="B1649" s="9">
        <v>2</v>
      </c>
      <c r="C1649" s="23">
        <v>4714781021777</v>
      </c>
      <c r="D1649" s="12" t="s">
        <v>1522</v>
      </c>
      <c r="E1649" s="9">
        <v>2</v>
      </c>
      <c r="F1649" s="9">
        <v>750</v>
      </c>
      <c r="G1649" s="8">
        <f>F1649/1320</f>
        <v>0.56818181818181823</v>
      </c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 spans="1:26" ht="15.75" customHeight="1">
      <c r="A1650" s="7"/>
      <c r="B1650" s="9"/>
      <c r="C1650" s="23" t="s">
        <v>1506</v>
      </c>
      <c r="D1650" s="12" t="s">
        <v>2188</v>
      </c>
      <c r="E1650" s="9">
        <v>2</v>
      </c>
      <c r="F1650" s="9">
        <v>570</v>
      </c>
      <c r="G1650" s="8">
        <f>F1650/1320</f>
        <v>0.43181818181818182</v>
      </c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 spans="1:26" ht="15.75" customHeight="1">
      <c r="A1651" s="7" t="s">
        <v>2426</v>
      </c>
      <c r="B1651" s="9">
        <v>2</v>
      </c>
      <c r="C1651" s="23">
        <v>4714781021777</v>
      </c>
      <c r="D1651" s="12" t="s">
        <v>1522</v>
      </c>
      <c r="E1651" s="9">
        <v>2</v>
      </c>
      <c r="F1651" s="9">
        <v>750</v>
      </c>
      <c r="G1651" s="8">
        <f>F1651/1320</f>
        <v>0.56818181818181823</v>
      </c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 spans="1:26" ht="15.75" customHeight="1">
      <c r="A1652" s="7"/>
      <c r="B1652" s="9"/>
      <c r="C1652" s="23" t="s">
        <v>1508</v>
      </c>
      <c r="D1652" s="12" t="s">
        <v>2186</v>
      </c>
      <c r="E1652" s="9">
        <v>2</v>
      </c>
      <c r="F1652" s="9">
        <v>570</v>
      </c>
      <c r="G1652" s="8">
        <f>F1652/1320</f>
        <v>0.43181818181818182</v>
      </c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 spans="1:26" ht="15.75" customHeight="1">
      <c r="A1653" s="7" t="s">
        <v>2425</v>
      </c>
      <c r="B1653" s="9">
        <v>2</v>
      </c>
      <c r="C1653" s="23">
        <v>4714781021777</v>
      </c>
      <c r="D1653" s="12" t="s">
        <v>1522</v>
      </c>
      <c r="E1653" s="9">
        <v>2</v>
      </c>
      <c r="F1653" s="9">
        <v>750</v>
      </c>
      <c r="G1653" s="8">
        <f>F1653/1320</f>
        <v>0.56818181818181823</v>
      </c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 spans="1:26" ht="15.75" customHeight="1">
      <c r="A1654" s="7"/>
      <c r="B1654" s="9"/>
      <c r="C1654" s="23" t="s">
        <v>1531</v>
      </c>
      <c r="D1654" s="12" t="s">
        <v>2194</v>
      </c>
      <c r="E1654" s="9">
        <v>2</v>
      </c>
      <c r="F1654" s="9">
        <v>570</v>
      </c>
      <c r="G1654" s="8">
        <f>F1654/1320</f>
        <v>0.43181818181818182</v>
      </c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 spans="1:26" ht="15.75" customHeight="1">
      <c r="A1655" s="7" t="s">
        <v>2424</v>
      </c>
      <c r="B1655" s="9">
        <v>3</v>
      </c>
      <c r="C1655" s="23">
        <v>4714781021777</v>
      </c>
      <c r="D1655" s="12" t="s">
        <v>1522</v>
      </c>
      <c r="E1655" s="9">
        <v>2</v>
      </c>
      <c r="F1655" s="9">
        <v>750</v>
      </c>
      <c r="G1655" s="8">
        <f>F1655/1320</f>
        <v>0.56818181818181823</v>
      </c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 spans="1:26" ht="15.75" customHeight="1">
      <c r="A1656" s="7"/>
      <c r="B1656" s="9"/>
      <c r="C1656" s="23" t="s">
        <v>1510</v>
      </c>
      <c r="D1656" s="12" t="s">
        <v>2190</v>
      </c>
      <c r="E1656" s="9">
        <v>1</v>
      </c>
      <c r="F1656" s="9">
        <v>285</v>
      </c>
      <c r="G1656" s="8">
        <f>F1656/1320</f>
        <v>0.21590909090909091</v>
      </c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 spans="1:26" ht="15.75" customHeight="1">
      <c r="A1657" s="7"/>
      <c r="B1657" s="9"/>
      <c r="C1657" s="23" t="s">
        <v>1531</v>
      </c>
      <c r="D1657" s="12" t="s">
        <v>2194</v>
      </c>
      <c r="E1657" s="9">
        <v>1</v>
      </c>
      <c r="F1657" s="9">
        <v>285</v>
      </c>
      <c r="G1657" s="8">
        <f>F1657/1320</f>
        <v>0.21590909090909091</v>
      </c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 spans="1:26" ht="15.75" customHeight="1">
      <c r="A1658" s="7" t="s">
        <v>2423</v>
      </c>
      <c r="B1658" s="9">
        <v>3</v>
      </c>
      <c r="C1658" s="23">
        <v>4714781021777</v>
      </c>
      <c r="D1658" s="12" t="s">
        <v>1522</v>
      </c>
      <c r="E1658" s="9">
        <v>2</v>
      </c>
      <c r="F1658" s="9">
        <v>750</v>
      </c>
      <c r="G1658" s="8">
        <f>F1658/1320</f>
        <v>0.56818181818181823</v>
      </c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 spans="1:26" ht="15.75" customHeight="1">
      <c r="A1659" s="7"/>
      <c r="B1659" s="9"/>
      <c r="C1659" s="23" t="s">
        <v>1531</v>
      </c>
      <c r="D1659" s="12" t="s">
        <v>2194</v>
      </c>
      <c r="E1659" s="9">
        <v>1</v>
      </c>
      <c r="F1659" s="9">
        <v>285</v>
      </c>
      <c r="G1659" s="8">
        <f>F1659/1320</f>
        <v>0.21590909090909091</v>
      </c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 spans="1:26" ht="15.75" customHeight="1">
      <c r="A1660" s="7"/>
      <c r="B1660" s="9"/>
      <c r="C1660" s="23" t="s">
        <v>1508</v>
      </c>
      <c r="D1660" s="12" t="s">
        <v>2186</v>
      </c>
      <c r="E1660" s="9">
        <v>1</v>
      </c>
      <c r="F1660" s="9">
        <v>285</v>
      </c>
      <c r="G1660" s="8">
        <f>F1660/1320</f>
        <v>0.21590909090909091</v>
      </c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 spans="1:26" ht="15.75" customHeight="1">
      <c r="A1661" s="7" t="s">
        <v>2422</v>
      </c>
      <c r="B1661" s="9">
        <v>3</v>
      </c>
      <c r="C1661" s="23">
        <v>4714781021777</v>
      </c>
      <c r="D1661" s="12" t="s">
        <v>1522</v>
      </c>
      <c r="E1661" s="9">
        <v>2</v>
      </c>
      <c r="F1661" s="9">
        <v>750</v>
      </c>
      <c r="G1661" s="8">
        <f>F1661/1320</f>
        <v>0.56818181818181823</v>
      </c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 spans="1:26" ht="15.75" customHeight="1">
      <c r="A1662" s="7"/>
      <c r="B1662" s="9"/>
      <c r="C1662" s="23" t="s">
        <v>1531</v>
      </c>
      <c r="D1662" s="12" t="s">
        <v>2194</v>
      </c>
      <c r="E1662" s="9">
        <v>1</v>
      </c>
      <c r="F1662" s="9">
        <v>285</v>
      </c>
      <c r="G1662" s="8">
        <f>F1662/1320</f>
        <v>0.21590909090909091</v>
      </c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 spans="1:26" ht="15.75" customHeight="1">
      <c r="A1663" s="7"/>
      <c r="B1663" s="9"/>
      <c r="C1663" s="23" t="s">
        <v>1506</v>
      </c>
      <c r="D1663" s="12" t="s">
        <v>2188</v>
      </c>
      <c r="E1663" s="9">
        <v>1</v>
      </c>
      <c r="F1663" s="9">
        <v>285</v>
      </c>
      <c r="G1663" s="8">
        <f>F1663/1320</f>
        <v>0.21590909090909091</v>
      </c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 spans="1:26" ht="15.75" customHeight="1">
      <c r="A1664" s="7" t="s">
        <v>2421</v>
      </c>
      <c r="B1664" s="9">
        <v>3</v>
      </c>
      <c r="C1664" s="23">
        <v>4714781021777</v>
      </c>
      <c r="D1664" s="12" t="s">
        <v>1522</v>
      </c>
      <c r="E1664" s="9">
        <v>2</v>
      </c>
      <c r="F1664" s="9">
        <v>750</v>
      </c>
      <c r="G1664" s="8">
        <f>F1664/1320</f>
        <v>0.56818181818181823</v>
      </c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 spans="1:26" ht="15.75" customHeight="1">
      <c r="A1665" s="7"/>
      <c r="B1665" s="9"/>
      <c r="C1665" s="23" t="s">
        <v>1510</v>
      </c>
      <c r="D1665" s="12" t="s">
        <v>2190</v>
      </c>
      <c r="E1665" s="9">
        <v>1</v>
      </c>
      <c r="F1665" s="9">
        <v>285</v>
      </c>
      <c r="G1665" s="8">
        <f>F1665/1320</f>
        <v>0.21590909090909091</v>
      </c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 spans="1:26" ht="15.75" customHeight="1">
      <c r="A1666" s="7"/>
      <c r="B1666" s="9"/>
      <c r="C1666" s="23" t="s">
        <v>1506</v>
      </c>
      <c r="D1666" s="12" t="s">
        <v>2188</v>
      </c>
      <c r="E1666" s="9">
        <v>1</v>
      </c>
      <c r="F1666" s="9">
        <v>285</v>
      </c>
      <c r="G1666" s="8">
        <f>F1666/1320</f>
        <v>0.21590909090909091</v>
      </c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 spans="1:26" ht="15.75" customHeight="1">
      <c r="A1667" s="7" t="s">
        <v>2420</v>
      </c>
      <c r="B1667" s="9">
        <v>3</v>
      </c>
      <c r="C1667" s="23">
        <v>4714781021777</v>
      </c>
      <c r="D1667" s="12" t="s">
        <v>1522</v>
      </c>
      <c r="E1667" s="9">
        <v>2</v>
      </c>
      <c r="F1667" s="9">
        <v>750</v>
      </c>
      <c r="G1667" s="8">
        <f>F1667/1320</f>
        <v>0.56818181818181823</v>
      </c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 spans="1:26" ht="15.75" customHeight="1">
      <c r="A1668" s="7"/>
      <c r="B1668" s="9"/>
      <c r="C1668" s="23" t="s">
        <v>1510</v>
      </c>
      <c r="D1668" s="12" t="s">
        <v>2190</v>
      </c>
      <c r="E1668" s="9">
        <v>1</v>
      </c>
      <c r="F1668" s="9">
        <v>285</v>
      </c>
      <c r="G1668" s="8">
        <f>F1668/1320</f>
        <v>0.21590909090909091</v>
      </c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 spans="1:26" ht="15.75" customHeight="1">
      <c r="A1669" s="7"/>
      <c r="B1669" s="9"/>
      <c r="C1669" s="23" t="s">
        <v>1508</v>
      </c>
      <c r="D1669" s="12" t="s">
        <v>2186</v>
      </c>
      <c r="E1669" s="9">
        <v>1</v>
      </c>
      <c r="F1669" s="9">
        <v>285</v>
      </c>
      <c r="G1669" s="8">
        <f>F1669/1320</f>
        <v>0.21590909090909091</v>
      </c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 spans="1:26" ht="15.75" customHeight="1">
      <c r="A1670" s="7" t="s">
        <v>2419</v>
      </c>
      <c r="B1670" s="9">
        <v>3</v>
      </c>
      <c r="C1670" s="23">
        <v>4714781021777</v>
      </c>
      <c r="D1670" s="12" t="s">
        <v>1522</v>
      </c>
      <c r="E1670" s="9">
        <v>2</v>
      </c>
      <c r="F1670" s="9">
        <v>750</v>
      </c>
      <c r="G1670" s="8">
        <f>F1670/1320</f>
        <v>0.56818181818181823</v>
      </c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 spans="1:26" ht="15.75" customHeight="1">
      <c r="A1671" s="7"/>
      <c r="B1671" s="9"/>
      <c r="C1671" s="23" t="s">
        <v>1508</v>
      </c>
      <c r="D1671" s="12" t="s">
        <v>2186</v>
      </c>
      <c r="E1671" s="9">
        <v>1</v>
      </c>
      <c r="F1671" s="9">
        <v>285</v>
      </c>
      <c r="G1671" s="8">
        <f>F1671/1320</f>
        <v>0.21590909090909091</v>
      </c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 spans="1:26" ht="15.75" customHeight="1">
      <c r="A1672" s="7"/>
      <c r="B1672" s="9"/>
      <c r="C1672" s="23" t="s">
        <v>1506</v>
      </c>
      <c r="D1672" s="12" t="s">
        <v>2188</v>
      </c>
      <c r="E1672" s="9">
        <v>1</v>
      </c>
      <c r="F1672" s="9">
        <v>285</v>
      </c>
      <c r="G1672" s="8">
        <f>F1672/1320</f>
        <v>0.21590909090909091</v>
      </c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 spans="1:26" ht="15.75" customHeight="1">
      <c r="A1673" s="7" t="s">
        <v>2418</v>
      </c>
      <c r="B1673" s="9">
        <v>1</v>
      </c>
      <c r="C1673" s="21">
        <v>4714781020794</v>
      </c>
      <c r="D1673" s="10" t="s">
        <v>1320</v>
      </c>
      <c r="E1673" s="9">
        <v>2</v>
      </c>
      <c r="F1673" s="9">
        <v>230</v>
      </c>
      <c r="G1673" s="8">
        <f>F1673/230</f>
        <v>1</v>
      </c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 spans="1:26" ht="15.75" customHeight="1">
      <c r="A1674" s="7" t="s">
        <v>2417</v>
      </c>
      <c r="B1674" s="9">
        <v>1</v>
      </c>
      <c r="C1674" s="21">
        <v>4714781020800</v>
      </c>
      <c r="D1674" s="10" t="s">
        <v>1319</v>
      </c>
      <c r="E1674" s="9">
        <v>2</v>
      </c>
      <c r="F1674" s="9">
        <v>230</v>
      </c>
      <c r="G1674" s="8">
        <f>F1674/230</f>
        <v>1</v>
      </c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 spans="1:26" ht="15.75" customHeight="1">
      <c r="A1675" s="7" t="s">
        <v>2416</v>
      </c>
      <c r="B1675" s="9">
        <v>1</v>
      </c>
      <c r="C1675" s="21">
        <v>4714781020817</v>
      </c>
      <c r="D1675" s="10" t="s">
        <v>1317</v>
      </c>
      <c r="E1675" s="9">
        <v>2</v>
      </c>
      <c r="F1675" s="9">
        <v>230</v>
      </c>
      <c r="G1675" s="8">
        <f>F1675/230</f>
        <v>1</v>
      </c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 spans="1:26" ht="15.75" customHeight="1">
      <c r="A1676" s="7" t="s">
        <v>2415</v>
      </c>
      <c r="B1676" s="9">
        <v>2</v>
      </c>
      <c r="C1676" s="21">
        <v>4714781020794</v>
      </c>
      <c r="D1676" s="10" t="s">
        <v>1320</v>
      </c>
      <c r="E1676" s="9">
        <v>1</v>
      </c>
      <c r="F1676" s="9">
        <v>115</v>
      </c>
      <c r="G1676" s="8">
        <f>F1676/230</f>
        <v>0.5</v>
      </c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 spans="1:26" ht="15.75" customHeight="1">
      <c r="A1677" s="7"/>
      <c r="B1677" s="10"/>
      <c r="C1677" s="21">
        <v>4714781020800</v>
      </c>
      <c r="D1677" s="10" t="s">
        <v>1319</v>
      </c>
      <c r="E1677" s="9">
        <v>1</v>
      </c>
      <c r="F1677" s="9">
        <v>115</v>
      </c>
      <c r="G1677" s="8">
        <f>F1677/230</f>
        <v>0.5</v>
      </c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 spans="1:26" ht="15.75" customHeight="1">
      <c r="A1678" s="7" t="s">
        <v>2414</v>
      </c>
      <c r="B1678" s="9">
        <v>2</v>
      </c>
      <c r="C1678" s="21">
        <v>4714781020794</v>
      </c>
      <c r="D1678" s="10" t="s">
        <v>1320</v>
      </c>
      <c r="E1678" s="9">
        <v>1</v>
      </c>
      <c r="F1678" s="9">
        <v>115</v>
      </c>
      <c r="G1678" s="8">
        <f>F1678/230</f>
        <v>0.5</v>
      </c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 spans="1:26" ht="15.75" customHeight="1">
      <c r="A1679" s="7"/>
      <c r="B1679" s="10"/>
      <c r="C1679" s="21">
        <v>4714781020817</v>
      </c>
      <c r="D1679" s="10" t="s">
        <v>1317</v>
      </c>
      <c r="E1679" s="9">
        <v>1</v>
      </c>
      <c r="F1679" s="9">
        <v>115</v>
      </c>
      <c r="G1679" s="8">
        <f>F1679/230</f>
        <v>0.5</v>
      </c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 spans="1:26" ht="15.75" customHeight="1">
      <c r="A1680" s="7" t="s">
        <v>2413</v>
      </c>
      <c r="B1680" s="9">
        <v>2</v>
      </c>
      <c r="C1680" s="21">
        <v>4714781020800</v>
      </c>
      <c r="D1680" s="10" t="s">
        <v>1319</v>
      </c>
      <c r="E1680" s="9">
        <v>1</v>
      </c>
      <c r="F1680" s="9">
        <v>115</v>
      </c>
      <c r="G1680" s="8">
        <f>F1680/230</f>
        <v>0.5</v>
      </c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 spans="1:26" ht="15.75" customHeight="1">
      <c r="A1681" s="7"/>
      <c r="B1681" s="10"/>
      <c r="C1681" s="21">
        <v>4714781020817</v>
      </c>
      <c r="D1681" s="10" t="s">
        <v>1317</v>
      </c>
      <c r="E1681" s="9">
        <v>1</v>
      </c>
      <c r="F1681" s="9">
        <v>115</v>
      </c>
      <c r="G1681" s="8">
        <f>F1681/230</f>
        <v>0.5</v>
      </c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 spans="1:26" ht="15.75" customHeight="1">
      <c r="A1682" s="7" t="s">
        <v>2412</v>
      </c>
      <c r="B1682" s="9">
        <v>1</v>
      </c>
      <c r="C1682" s="21">
        <v>4714781020770</v>
      </c>
      <c r="D1682" s="10" t="s">
        <v>1380</v>
      </c>
      <c r="E1682" s="9">
        <v>2</v>
      </c>
      <c r="F1682" s="9">
        <v>270</v>
      </c>
      <c r="G1682" s="8">
        <f>F1682/270</f>
        <v>1</v>
      </c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 spans="1:26" ht="15.75" customHeight="1">
      <c r="A1683" s="7" t="s">
        <v>2411</v>
      </c>
      <c r="B1683" s="9">
        <v>1</v>
      </c>
      <c r="C1683" s="21">
        <v>4714781020787</v>
      </c>
      <c r="D1683" s="10" t="s">
        <v>1378</v>
      </c>
      <c r="E1683" s="9">
        <v>2</v>
      </c>
      <c r="F1683" s="9">
        <v>270</v>
      </c>
      <c r="G1683" s="8">
        <f>F1683/270</f>
        <v>1</v>
      </c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 spans="1:26" ht="15.75" customHeight="1">
      <c r="A1684" s="7" t="s">
        <v>2410</v>
      </c>
      <c r="B1684" s="9">
        <v>2</v>
      </c>
      <c r="C1684" s="21">
        <v>4714781020770</v>
      </c>
      <c r="D1684" s="10" t="s">
        <v>1380</v>
      </c>
      <c r="E1684" s="9">
        <v>1</v>
      </c>
      <c r="F1684" s="9">
        <v>135</v>
      </c>
      <c r="G1684" s="8">
        <f>F1684/270</f>
        <v>0.5</v>
      </c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 spans="1:26" ht="15.75" customHeight="1">
      <c r="A1685" s="7"/>
      <c r="B1685" s="10"/>
      <c r="C1685" s="21">
        <v>4714781020787</v>
      </c>
      <c r="D1685" s="10" t="s">
        <v>1378</v>
      </c>
      <c r="E1685" s="9">
        <v>1</v>
      </c>
      <c r="F1685" s="9">
        <v>135</v>
      </c>
      <c r="G1685" s="8">
        <f>F1685/270</f>
        <v>0.5</v>
      </c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 spans="1:26" ht="15.75" customHeight="1">
      <c r="A1686" s="7" t="s">
        <v>2409</v>
      </c>
      <c r="B1686" s="9">
        <v>1</v>
      </c>
      <c r="C1686" s="21">
        <v>4714781020848</v>
      </c>
      <c r="D1686" s="10" t="s">
        <v>1382</v>
      </c>
      <c r="E1686" s="9">
        <v>2</v>
      </c>
      <c r="F1686" s="9">
        <v>650</v>
      </c>
      <c r="G1686" s="8">
        <f>F1686/650</f>
        <v>1</v>
      </c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 spans="1:26" ht="15.75" customHeight="1">
      <c r="A1687" s="7" t="s">
        <v>2408</v>
      </c>
      <c r="B1687" s="9">
        <v>1</v>
      </c>
      <c r="C1687" s="21" t="s">
        <v>1596</v>
      </c>
      <c r="D1687" s="10" t="s">
        <v>1384</v>
      </c>
      <c r="E1687" s="9">
        <v>2</v>
      </c>
      <c r="F1687" s="9">
        <v>650</v>
      </c>
      <c r="G1687" s="8">
        <f>F1687/650</f>
        <v>1</v>
      </c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 spans="1:26" ht="15.75" customHeight="1">
      <c r="A1688" s="7" t="s">
        <v>2407</v>
      </c>
      <c r="B1688" s="9">
        <v>2</v>
      </c>
      <c r="C1688" s="21">
        <v>4714781020848</v>
      </c>
      <c r="D1688" s="10" t="s">
        <v>1382</v>
      </c>
      <c r="E1688" s="9">
        <v>1</v>
      </c>
      <c r="F1688" s="9">
        <v>325</v>
      </c>
      <c r="G1688" s="8">
        <f>F1688/650</f>
        <v>0.5</v>
      </c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 spans="1:26" ht="15.75" customHeight="1">
      <c r="A1689" s="7"/>
      <c r="B1689" s="10"/>
      <c r="C1689" s="21" t="s">
        <v>1596</v>
      </c>
      <c r="D1689" s="10" t="s">
        <v>1384</v>
      </c>
      <c r="E1689" s="9">
        <v>1</v>
      </c>
      <c r="F1689" s="9">
        <v>325</v>
      </c>
      <c r="G1689" s="8">
        <f>F1689/650</f>
        <v>0.5</v>
      </c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 spans="1:26" ht="15.75" customHeight="1">
      <c r="A1690" s="7" t="s">
        <v>2406</v>
      </c>
      <c r="B1690" s="9">
        <v>1</v>
      </c>
      <c r="C1690" s="21">
        <v>4714781020824</v>
      </c>
      <c r="D1690" s="10" t="s">
        <v>1391</v>
      </c>
      <c r="E1690" s="9">
        <v>2</v>
      </c>
      <c r="F1690" s="9">
        <v>650</v>
      </c>
      <c r="G1690" s="8">
        <f>F1690/650</f>
        <v>1</v>
      </c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 spans="1:26" ht="15.75" customHeight="1">
      <c r="A1691" s="7" t="s">
        <v>2405</v>
      </c>
      <c r="B1691" s="9">
        <v>1</v>
      </c>
      <c r="C1691" s="21">
        <v>4714781020831</v>
      </c>
      <c r="D1691" s="10" t="s">
        <v>1389</v>
      </c>
      <c r="E1691" s="9">
        <v>2</v>
      </c>
      <c r="F1691" s="9">
        <v>650</v>
      </c>
      <c r="G1691" s="8">
        <f>F1691/650</f>
        <v>1</v>
      </c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 spans="1:26" ht="15.75" customHeight="1">
      <c r="A1692" s="7" t="s">
        <v>2404</v>
      </c>
      <c r="B1692" s="9">
        <v>2</v>
      </c>
      <c r="C1692" s="21">
        <v>4714781020824</v>
      </c>
      <c r="D1692" s="10" t="s">
        <v>1391</v>
      </c>
      <c r="E1692" s="9">
        <v>1</v>
      </c>
      <c r="F1692" s="9">
        <v>325</v>
      </c>
      <c r="G1692" s="8">
        <f>F1692/650</f>
        <v>0.5</v>
      </c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 spans="1:26" ht="15.75" customHeight="1">
      <c r="A1693" s="7"/>
      <c r="B1693" s="10"/>
      <c r="C1693" s="21">
        <v>4714781020831</v>
      </c>
      <c r="D1693" s="10" t="s">
        <v>1389</v>
      </c>
      <c r="E1693" s="9">
        <v>1</v>
      </c>
      <c r="F1693" s="9">
        <v>325</v>
      </c>
      <c r="G1693" s="8">
        <f>F1693/650</f>
        <v>0.5</v>
      </c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 spans="1:26" ht="15.75" customHeight="1">
      <c r="A1694" s="7" t="s">
        <v>2403</v>
      </c>
      <c r="B1694" s="9">
        <v>2</v>
      </c>
      <c r="C1694" s="21">
        <v>4714781020848</v>
      </c>
      <c r="D1694" s="10" t="s">
        <v>1382</v>
      </c>
      <c r="E1694" s="9">
        <v>1</v>
      </c>
      <c r="F1694" s="9">
        <v>325</v>
      </c>
      <c r="G1694" s="8">
        <f>F1694/650</f>
        <v>0.5</v>
      </c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 spans="1:26" ht="15.75" customHeight="1">
      <c r="A1695" s="7"/>
      <c r="B1695" s="10"/>
      <c r="C1695" s="21">
        <v>4714781020824</v>
      </c>
      <c r="D1695" s="10" t="s">
        <v>1391</v>
      </c>
      <c r="E1695" s="9">
        <v>1</v>
      </c>
      <c r="F1695" s="9">
        <v>325</v>
      </c>
      <c r="G1695" s="8">
        <f>F1695/650</f>
        <v>0.5</v>
      </c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 spans="1:26" ht="15.75" customHeight="1">
      <c r="A1696" s="7" t="s">
        <v>2402</v>
      </c>
      <c r="B1696" s="9">
        <v>2</v>
      </c>
      <c r="C1696" s="21">
        <v>4714781020848</v>
      </c>
      <c r="D1696" s="10" t="s">
        <v>1382</v>
      </c>
      <c r="E1696" s="9">
        <v>1</v>
      </c>
      <c r="F1696" s="9">
        <v>325</v>
      </c>
      <c r="G1696" s="8">
        <f>F1696/650</f>
        <v>0.5</v>
      </c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 spans="1:26" ht="15.75" customHeight="1">
      <c r="A1697" s="7"/>
      <c r="B1697" s="10"/>
      <c r="C1697" s="21">
        <v>4714781020831</v>
      </c>
      <c r="D1697" s="10" t="s">
        <v>1389</v>
      </c>
      <c r="E1697" s="9">
        <v>1</v>
      </c>
      <c r="F1697" s="9">
        <v>325</v>
      </c>
      <c r="G1697" s="8">
        <f>F1697/650</f>
        <v>0.5</v>
      </c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 spans="1:26" ht="15.75" customHeight="1">
      <c r="A1698" s="7" t="s">
        <v>2401</v>
      </c>
      <c r="B1698" s="9">
        <v>2</v>
      </c>
      <c r="C1698" s="21" t="s">
        <v>1596</v>
      </c>
      <c r="D1698" s="10" t="s">
        <v>1384</v>
      </c>
      <c r="E1698" s="9">
        <v>1</v>
      </c>
      <c r="F1698" s="9">
        <v>325</v>
      </c>
      <c r="G1698" s="8">
        <f>F1698/650</f>
        <v>0.5</v>
      </c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 spans="1:26" ht="15.75" customHeight="1">
      <c r="A1699" s="7"/>
      <c r="B1699" s="10"/>
      <c r="C1699" s="21">
        <v>4714781020824</v>
      </c>
      <c r="D1699" s="10" t="s">
        <v>1391</v>
      </c>
      <c r="E1699" s="9">
        <v>1</v>
      </c>
      <c r="F1699" s="9">
        <v>325</v>
      </c>
      <c r="G1699" s="8">
        <f>F1699/650</f>
        <v>0.5</v>
      </c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 spans="1:26" ht="15.75" customHeight="1">
      <c r="A1700" s="7" t="s">
        <v>2400</v>
      </c>
      <c r="B1700" s="9">
        <v>2</v>
      </c>
      <c r="C1700" s="21" t="s">
        <v>1596</v>
      </c>
      <c r="D1700" s="10" t="s">
        <v>1384</v>
      </c>
      <c r="E1700" s="9">
        <v>1</v>
      </c>
      <c r="F1700" s="9">
        <v>325</v>
      </c>
      <c r="G1700" s="8">
        <f>F1700/650</f>
        <v>0.5</v>
      </c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 spans="1:26" ht="15.75" customHeight="1">
      <c r="A1701" s="7"/>
      <c r="B1701" s="10"/>
      <c r="C1701" s="21">
        <v>4714781020831</v>
      </c>
      <c r="D1701" s="10" t="s">
        <v>1389</v>
      </c>
      <c r="E1701" s="9">
        <v>1</v>
      </c>
      <c r="F1701" s="9">
        <v>325</v>
      </c>
      <c r="G1701" s="8">
        <f>F1701/650</f>
        <v>0.5</v>
      </c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 spans="1:26" ht="15.75" customHeight="1">
      <c r="A1702" s="7" t="s">
        <v>2399</v>
      </c>
      <c r="B1702" s="9">
        <v>1</v>
      </c>
      <c r="C1702" s="21" t="s">
        <v>1619</v>
      </c>
      <c r="D1702" s="10" t="s">
        <v>1376</v>
      </c>
      <c r="E1702" s="9">
        <v>4</v>
      </c>
      <c r="F1702" s="9">
        <v>550</v>
      </c>
      <c r="G1702" s="8">
        <f>F1702/550</f>
        <v>1</v>
      </c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 spans="1:26" ht="15.75" customHeight="1">
      <c r="A1703" s="7" t="s">
        <v>2398</v>
      </c>
      <c r="B1703" s="9">
        <v>5</v>
      </c>
      <c r="C1703" s="21" t="s">
        <v>1585</v>
      </c>
      <c r="D1703" s="10" t="s">
        <v>1584</v>
      </c>
      <c r="E1703" s="9">
        <v>1</v>
      </c>
      <c r="F1703" s="9">
        <v>60</v>
      </c>
      <c r="G1703" s="8">
        <f>F1703/600</f>
        <v>0.1</v>
      </c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 spans="1:26" ht="15.75" customHeight="1">
      <c r="A1704" s="7"/>
      <c r="B1704" s="12"/>
      <c r="C1704" s="21" t="s">
        <v>1598</v>
      </c>
      <c r="D1704" s="10" t="s">
        <v>1382</v>
      </c>
      <c r="E1704" s="9">
        <v>1</v>
      </c>
      <c r="F1704" s="9">
        <v>300</v>
      </c>
      <c r="G1704" s="8">
        <f>F1704/600</f>
        <v>0.5</v>
      </c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 spans="1:26" ht="15.75" customHeight="1">
      <c r="A1705" s="7"/>
      <c r="B1705" s="12"/>
      <c r="C1705" s="21" t="s">
        <v>1595</v>
      </c>
      <c r="D1705" s="10" t="s">
        <v>1378</v>
      </c>
      <c r="E1705" s="9">
        <v>1</v>
      </c>
      <c r="F1705" s="9">
        <v>120</v>
      </c>
      <c r="G1705" s="8">
        <f>F1705/600</f>
        <v>0.2</v>
      </c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 spans="1:26" ht="15.75" customHeight="1">
      <c r="A1706" s="7"/>
      <c r="B1706" s="12"/>
      <c r="C1706" s="21" t="s">
        <v>1593</v>
      </c>
      <c r="D1706" s="10" t="s">
        <v>1592</v>
      </c>
      <c r="E1706" s="9">
        <v>1</v>
      </c>
      <c r="F1706" s="9">
        <v>50</v>
      </c>
      <c r="G1706" s="8">
        <f>F1706/600</f>
        <v>8.3333333333333329E-2</v>
      </c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 spans="1:26" ht="15.75" customHeight="1">
      <c r="A1707" s="7"/>
      <c r="B1707" s="12"/>
      <c r="C1707" s="21" t="s">
        <v>1583</v>
      </c>
      <c r="D1707" s="10" t="s">
        <v>1582</v>
      </c>
      <c r="E1707" s="9">
        <v>1</v>
      </c>
      <c r="F1707" s="9">
        <v>70</v>
      </c>
      <c r="G1707" s="8">
        <f>F1707/600</f>
        <v>0.11666666666666667</v>
      </c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 spans="1:26" ht="15.75" customHeight="1">
      <c r="A1708" s="7" t="s">
        <v>2397</v>
      </c>
      <c r="B1708" s="9">
        <v>5</v>
      </c>
      <c r="C1708" s="21" t="s">
        <v>1585</v>
      </c>
      <c r="D1708" s="10" t="s">
        <v>1584</v>
      </c>
      <c r="E1708" s="9">
        <v>1</v>
      </c>
      <c r="F1708" s="9">
        <v>60</v>
      </c>
      <c r="G1708" s="8">
        <f>F1708/600</f>
        <v>0.1</v>
      </c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 spans="1:26" ht="15.75" customHeight="1">
      <c r="A1709" s="7"/>
      <c r="B1709" s="12"/>
      <c r="C1709" s="21" t="s">
        <v>1596</v>
      </c>
      <c r="D1709" s="10" t="s">
        <v>1384</v>
      </c>
      <c r="E1709" s="9">
        <v>1</v>
      </c>
      <c r="F1709" s="9">
        <v>300</v>
      </c>
      <c r="G1709" s="8">
        <f>F1709/600</f>
        <v>0.5</v>
      </c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 spans="1:26" ht="15.75" customHeight="1">
      <c r="A1710" s="7"/>
      <c r="B1710" s="12"/>
      <c r="C1710" s="21" t="s">
        <v>1602</v>
      </c>
      <c r="D1710" s="10" t="s">
        <v>1380</v>
      </c>
      <c r="E1710" s="9">
        <v>1</v>
      </c>
      <c r="F1710" s="9">
        <v>120</v>
      </c>
      <c r="G1710" s="8">
        <f>F1710/600</f>
        <v>0.2</v>
      </c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 spans="1:26" ht="15.75" customHeight="1">
      <c r="A1711" s="7"/>
      <c r="B1711" s="12"/>
      <c r="C1711" s="21" t="s">
        <v>1588</v>
      </c>
      <c r="D1711" s="10" t="s">
        <v>1587</v>
      </c>
      <c r="E1711" s="9">
        <v>1</v>
      </c>
      <c r="F1711" s="9">
        <v>50</v>
      </c>
      <c r="G1711" s="8">
        <f>F1711/600</f>
        <v>8.3333333333333329E-2</v>
      </c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 spans="1:26" ht="15.75" customHeight="1">
      <c r="A1712" s="7"/>
      <c r="B1712" s="12"/>
      <c r="C1712" s="21" t="s">
        <v>1590</v>
      </c>
      <c r="D1712" s="10" t="s">
        <v>1589</v>
      </c>
      <c r="E1712" s="9">
        <v>1</v>
      </c>
      <c r="F1712" s="9">
        <v>70</v>
      </c>
      <c r="G1712" s="8">
        <f>F1712/600</f>
        <v>0.11666666666666667</v>
      </c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 spans="1:26" ht="15.75" customHeight="1">
      <c r="A1713" s="7" t="s">
        <v>2396</v>
      </c>
      <c r="B1713" s="9">
        <v>5</v>
      </c>
      <c r="C1713" s="21" t="s">
        <v>1585</v>
      </c>
      <c r="D1713" s="10" t="s">
        <v>1584</v>
      </c>
      <c r="E1713" s="9">
        <v>1</v>
      </c>
      <c r="F1713" s="9">
        <v>60</v>
      </c>
      <c r="G1713" s="8">
        <f>F1713/600</f>
        <v>0.1</v>
      </c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 spans="1:26" ht="15.75" customHeight="1">
      <c r="A1714" s="7"/>
      <c r="B1714" s="12"/>
      <c r="C1714" s="21" t="s">
        <v>1596</v>
      </c>
      <c r="D1714" s="10" t="s">
        <v>1384</v>
      </c>
      <c r="E1714" s="9">
        <v>1</v>
      </c>
      <c r="F1714" s="9">
        <v>300</v>
      </c>
      <c r="G1714" s="8">
        <f>F1714/600</f>
        <v>0.5</v>
      </c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 spans="1:26" ht="15.75" customHeight="1">
      <c r="A1715" s="7"/>
      <c r="B1715" s="12"/>
      <c r="C1715" s="21" t="s">
        <v>1595</v>
      </c>
      <c r="D1715" s="10" t="s">
        <v>1378</v>
      </c>
      <c r="E1715" s="9">
        <v>1</v>
      </c>
      <c r="F1715" s="9">
        <v>120</v>
      </c>
      <c r="G1715" s="8">
        <f>F1715/600</f>
        <v>0.2</v>
      </c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 spans="1:26" ht="15.75" customHeight="1">
      <c r="A1716" s="7"/>
      <c r="B1716" s="12"/>
      <c r="C1716" s="21" t="s">
        <v>1581</v>
      </c>
      <c r="D1716" s="10" t="s">
        <v>1580</v>
      </c>
      <c r="E1716" s="9">
        <v>1</v>
      </c>
      <c r="F1716" s="9">
        <v>50</v>
      </c>
      <c r="G1716" s="8">
        <f>F1716/600</f>
        <v>8.3333333333333329E-2</v>
      </c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 spans="1:26" ht="15.75" customHeight="1">
      <c r="A1717" s="7"/>
      <c r="B1717" s="12"/>
      <c r="C1717" s="21" t="s">
        <v>1583</v>
      </c>
      <c r="D1717" s="10" t="s">
        <v>1582</v>
      </c>
      <c r="E1717" s="9">
        <v>1</v>
      </c>
      <c r="F1717" s="9">
        <v>70</v>
      </c>
      <c r="G1717" s="8">
        <f>F1717/600</f>
        <v>0.11666666666666667</v>
      </c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 spans="1:26" ht="15.75" customHeight="1">
      <c r="A1718" s="7" t="s">
        <v>2395</v>
      </c>
      <c r="B1718" s="9">
        <v>5</v>
      </c>
      <c r="C1718" s="21" t="s">
        <v>1585</v>
      </c>
      <c r="D1718" s="10" t="s">
        <v>1584</v>
      </c>
      <c r="E1718" s="9">
        <v>1</v>
      </c>
      <c r="F1718" s="9">
        <v>60</v>
      </c>
      <c r="G1718" s="8">
        <f>F1718/600</f>
        <v>0.1</v>
      </c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 spans="1:26" ht="15.75" customHeight="1">
      <c r="A1719" s="7"/>
      <c r="B1719" s="12"/>
      <c r="C1719" s="21" t="s">
        <v>1583</v>
      </c>
      <c r="D1719" s="10" t="s">
        <v>1582</v>
      </c>
      <c r="E1719" s="9">
        <v>1</v>
      </c>
      <c r="F1719" s="9">
        <v>300</v>
      </c>
      <c r="G1719" s="8">
        <f>F1719/600</f>
        <v>0.5</v>
      </c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 spans="1:26" ht="15.75" customHeight="1">
      <c r="A1720" s="7"/>
      <c r="B1720" s="12"/>
      <c r="C1720" s="21" t="s">
        <v>1593</v>
      </c>
      <c r="D1720" s="10" t="s">
        <v>1592</v>
      </c>
      <c r="E1720" s="9">
        <v>1</v>
      </c>
      <c r="F1720" s="9">
        <v>120</v>
      </c>
      <c r="G1720" s="8">
        <f>F1720/600</f>
        <v>0.2</v>
      </c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 spans="1:26" ht="15.75" customHeight="1">
      <c r="A1721" s="7"/>
      <c r="B1721" s="12"/>
      <c r="C1721" s="21">
        <v>4714781020800</v>
      </c>
      <c r="D1721" s="10" t="s">
        <v>1319</v>
      </c>
      <c r="E1721" s="9">
        <v>1</v>
      </c>
      <c r="F1721" s="9">
        <v>50</v>
      </c>
      <c r="G1721" s="8">
        <f>F1721/600</f>
        <v>8.3333333333333329E-2</v>
      </c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 spans="1:26" ht="15.75" customHeight="1">
      <c r="A1722" s="7"/>
      <c r="B1722" s="12"/>
      <c r="C1722" s="21">
        <v>4714781020824</v>
      </c>
      <c r="D1722" s="10" t="s">
        <v>1391</v>
      </c>
      <c r="E1722" s="9">
        <v>1</v>
      </c>
      <c r="F1722" s="9">
        <v>70</v>
      </c>
      <c r="G1722" s="8">
        <f>F1722/600</f>
        <v>0.11666666666666667</v>
      </c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 spans="1:26" ht="15.75" customHeight="1">
      <c r="A1723" s="7" t="s">
        <v>2394</v>
      </c>
      <c r="B1723" s="9">
        <v>5</v>
      </c>
      <c r="C1723" s="21" t="s">
        <v>1585</v>
      </c>
      <c r="D1723" s="10" t="s">
        <v>1584</v>
      </c>
      <c r="E1723" s="9">
        <v>1</v>
      </c>
      <c r="F1723" s="9">
        <v>60</v>
      </c>
      <c r="G1723" s="8">
        <f>F1723/600</f>
        <v>0.1</v>
      </c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 spans="1:26" ht="15.75" customHeight="1">
      <c r="A1724" s="7"/>
      <c r="B1724" s="12"/>
      <c r="C1724" s="21" t="s">
        <v>1590</v>
      </c>
      <c r="D1724" s="10" t="s">
        <v>1589</v>
      </c>
      <c r="E1724" s="9">
        <v>1</v>
      </c>
      <c r="F1724" s="9">
        <v>300</v>
      </c>
      <c r="G1724" s="8">
        <f>F1724/600</f>
        <v>0.5</v>
      </c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 spans="1:26" ht="15.75" customHeight="1">
      <c r="A1725" s="7"/>
      <c r="B1725" s="12"/>
      <c r="C1725" s="21" t="s">
        <v>1588</v>
      </c>
      <c r="D1725" s="10" t="s">
        <v>1587</v>
      </c>
      <c r="E1725" s="9">
        <v>1</v>
      </c>
      <c r="F1725" s="9">
        <v>120</v>
      </c>
      <c r="G1725" s="8">
        <f>F1725/600</f>
        <v>0.2</v>
      </c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 spans="1:26" ht="15.75" customHeight="1">
      <c r="A1726" s="7"/>
      <c r="B1726" s="12"/>
      <c r="C1726" s="21">
        <v>4714781020817</v>
      </c>
      <c r="D1726" s="10" t="s">
        <v>1317</v>
      </c>
      <c r="E1726" s="9">
        <v>1</v>
      </c>
      <c r="F1726" s="9">
        <v>50</v>
      </c>
      <c r="G1726" s="8">
        <f>F1726/600</f>
        <v>8.3333333333333329E-2</v>
      </c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 spans="1:26" ht="15.75" customHeight="1">
      <c r="A1727" s="7"/>
      <c r="B1727" s="12"/>
      <c r="C1727" s="21" t="s">
        <v>1579</v>
      </c>
      <c r="D1727" s="10" t="s">
        <v>1389</v>
      </c>
      <c r="E1727" s="9">
        <v>1</v>
      </c>
      <c r="F1727" s="9">
        <v>70</v>
      </c>
      <c r="G1727" s="8">
        <f>F1727/600</f>
        <v>0.11666666666666667</v>
      </c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 spans="1:26" ht="15.75" customHeight="1">
      <c r="A1728" s="7" t="s">
        <v>2393</v>
      </c>
      <c r="B1728" s="9">
        <v>5</v>
      </c>
      <c r="C1728" s="21" t="s">
        <v>1585</v>
      </c>
      <c r="D1728" s="10" t="s">
        <v>1584</v>
      </c>
      <c r="E1728" s="9">
        <v>1</v>
      </c>
      <c r="F1728" s="9">
        <v>60</v>
      </c>
      <c r="G1728" s="8">
        <f>F1728/600</f>
        <v>0.1</v>
      </c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 spans="1:26" ht="15.75" customHeight="1">
      <c r="A1729" s="7"/>
      <c r="B1729" s="12"/>
      <c r="C1729" s="21" t="s">
        <v>1583</v>
      </c>
      <c r="D1729" s="10" t="s">
        <v>1582</v>
      </c>
      <c r="E1729" s="9">
        <v>1</v>
      </c>
      <c r="F1729" s="9">
        <v>300</v>
      </c>
      <c r="G1729" s="8">
        <f>F1729/600</f>
        <v>0.5</v>
      </c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 spans="1:26" ht="15.75" customHeight="1">
      <c r="A1730" s="7"/>
      <c r="B1730" s="12"/>
      <c r="C1730" s="21" t="s">
        <v>1581</v>
      </c>
      <c r="D1730" s="10" t="s">
        <v>1580</v>
      </c>
      <c r="E1730" s="9">
        <v>1</v>
      </c>
      <c r="F1730" s="9">
        <v>120</v>
      </c>
      <c r="G1730" s="8">
        <f>F1730/600</f>
        <v>0.2</v>
      </c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 spans="1:26" ht="15.75" customHeight="1">
      <c r="A1731" s="7"/>
      <c r="B1731" s="12"/>
      <c r="C1731" s="21">
        <v>4714781020817</v>
      </c>
      <c r="D1731" s="10" t="s">
        <v>1317</v>
      </c>
      <c r="E1731" s="9">
        <v>1</v>
      </c>
      <c r="F1731" s="9">
        <v>50</v>
      </c>
      <c r="G1731" s="8">
        <f>F1731/600</f>
        <v>8.3333333333333329E-2</v>
      </c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 spans="1:26" ht="15.75" customHeight="1">
      <c r="A1732" s="7"/>
      <c r="B1732" s="12"/>
      <c r="C1732" s="21" t="s">
        <v>1579</v>
      </c>
      <c r="D1732" s="10" t="s">
        <v>1389</v>
      </c>
      <c r="E1732" s="9">
        <v>1</v>
      </c>
      <c r="F1732" s="9">
        <v>70</v>
      </c>
      <c r="G1732" s="8">
        <f>F1732/600</f>
        <v>0.11666666666666667</v>
      </c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 spans="1:26" ht="15.75" customHeight="1">
      <c r="A1733" s="7" t="s">
        <v>2392</v>
      </c>
      <c r="B1733" s="9">
        <v>1</v>
      </c>
      <c r="C1733" s="21" t="s">
        <v>1969</v>
      </c>
      <c r="D1733" s="10" t="s">
        <v>2391</v>
      </c>
      <c r="E1733" s="9">
        <v>1</v>
      </c>
      <c r="F1733" s="9">
        <v>209</v>
      </c>
      <c r="G1733" s="8">
        <f>F1733/209</f>
        <v>1</v>
      </c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 spans="1:26" ht="15.75" customHeight="1">
      <c r="A1734" s="7" t="s">
        <v>2390</v>
      </c>
      <c r="B1734" s="9">
        <v>1</v>
      </c>
      <c r="C1734" s="21" t="s">
        <v>1964</v>
      </c>
      <c r="D1734" s="10" t="s">
        <v>2389</v>
      </c>
      <c r="E1734" s="9">
        <v>1</v>
      </c>
      <c r="F1734" s="9">
        <v>209</v>
      </c>
      <c r="G1734" s="8">
        <f>F1734/209</f>
        <v>1</v>
      </c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 spans="1:26" ht="15.75" customHeight="1">
      <c r="A1735" s="7" t="s">
        <v>2388</v>
      </c>
      <c r="B1735" s="9">
        <v>1</v>
      </c>
      <c r="C1735" s="21" t="s">
        <v>2387</v>
      </c>
      <c r="D1735" s="10" t="s">
        <v>2386</v>
      </c>
      <c r="E1735" s="9">
        <v>1</v>
      </c>
      <c r="F1735" s="9">
        <v>209</v>
      </c>
      <c r="G1735" s="8">
        <f>F1735/209</f>
        <v>1</v>
      </c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 spans="1:26" ht="15.75" customHeight="1">
      <c r="A1736" s="7" t="s">
        <v>2385</v>
      </c>
      <c r="B1736" s="9">
        <v>2</v>
      </c>
      <c r="C1736" s="21" t="s">
        <v>2367</v>
      </c>
      <c r="D1736" s="12" t="s">
        <v>2366</v>
      </c>
      <c r="E1736" s="9">
        <v>1</v>
      </c>
      <c r="F1736" s="9">
        <v>89</v>
      </c>
      <c r="G1736" s="8">
        <f>F1736/149</f>
        <v>0.59731543624161076</v>
      </c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 spans="1:26" ht="15.75" customHeight="1">
      <c r="A1737" s="7"/>
      <c r="B1737" s="9"/>
      <c r="C1737" s="21" t="s">
        <v>2384</v>
      </c>
      <c r="D1737" s="10" t="s">
        <v>2137</v>
      </c>
      <c r="E1737" s="9">
        <v>1</v>
      </c>
      <c r="F1737" s="9">
        <v>60</v>
      </c>
      <c r="G1737" s="8">
        <f>F1737/149</f>
        <v>0.40268456375838924</v>
      </c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 spans="1:26" ht="15.75" customHeight="1">
      <c r="A1738" s="7" t="s">
        <v>2383</v>
      </c>
      <c r="B1738" s="9">
        <v>2</v>
      </c>
      <c r="C1738" s="21" t="s">
        <v>2367</v>
      </c>
      <c r="D1738" s="12" t="s">
        <v>2366</v>
      </c>
      <c r="E1738" s="9">
        <v>1</v>
      </c>
      <c r="F1738" s="9">
        <v>89</v>
      </c>
      <c r="G1738" s="8">
        <f>F1738/149</f>
        <v>0.59731543624161076</v>
      </c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 spans="1:26" ht="15.75" customHeight="1">
      <c r="A1739" s="7"/>
      <c r="B1739" s="9"/>
      <c r="C1739" s="21" t="s">
        <v>2382</v>
      </c>
      <c r="D1739" s="10" t="s">
        <v>2135</v>
      </c>
      <c r="E1739" s="9">
        <v>1</v>
      </c>
      <c r="F1739" s="9">
        <v>60</v>
      </c>
      <c r="G1739" s="8">
        <f>F1739/149</f>
        <v>0.40268456375838924</v>
      </c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 spans="1:26" ht="15.75" customHeight="1">
      <c r="A1740" s="7" t="s">
        <v>2381</v>
      </c>
      <c r="B1740" s="9">
        <v>2</v>
      </c>
      <c r="C1740" s="21" t="s">
        <v>2367</v>
      </c>
      <c r="D1740" s="12" t="s">
        <v>2366</v>
      </c>
      <c r="E1740" s="9">
        <v>1</v>
      </c>
      <c r="F1740" s="9">
        <v>89</v>
      </c>
      <c r="G1740" s="8">
        <f>F1740/149</f>
        <v>0.59731543624161076</v>
      </c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 spans="1:26" ht="15.75" customHeight="1">
      <c r="A1741" s="7"/>
      <c r="B1741" s="9"/>
      <c r="C1741" s="21" t="s">
        <v>2380</v>
      </c>
      <c r="D1741" s="10" t="s">
        <v>2133</v>
      </c>
      <c r="E1741" s="9">
        <v>1</v>
      </c>
      <c r="F1741" s="9">
        <v>60</v>
      </c>
      <c r="G1741" s="8">
        <f>F1741/149</f>
        <v>0.40268456375838924</v>
      </c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 spans="1:26" ht="15.75" customHeight="1">
      <c r="A1742" s="7" t="s">
        <v>2379</v>
      </c>
      <c r="B1742" s="9">
        <v>1</v>
      </c>
      <c r="C1742" s="21" t="s">
        <v>1713</v>
      </c>
      <c r="D1742" s="10" t="s">
        <v>1452</v>
      </c>
      <c r="E1742" s="9">
        <v>6</v>
      </c>
      <c r="F1742" s="9">
        <v>790</v>
      </c>
      <c r="G1742" s="8">
        <f>F1742/790</f>
        <v>1</v>
      </c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 spans="1:26" ht="15.75" customHeight="1">
      <c r="A1743" s="7" t="s">
        <v>2378</v>
      </c>
      <c r="B1743" s="9">
        <v>1</v>
      </c>
      <c r="C1743" s="21" t="s">
        <v>1704</v>
      </c>
      <c r="D1743" s="10" t="s">
        <v>1703</v>
      </c>
      <c r="E1743" s="9">
        <v>6</v>
      </c>
      <c r="F1743" s="9">
        <v>790</v>
      </c>
      <c r="G1743" s="8">
        <f>F1743/790</f>
        <v>1</v>
      </c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 spans="1:26" ht="15.75" customHeight="1">
      <c r="A1744" s="7" t="s">
        <v>2377</v>
      </c>
      <c r="B1744" s="9">
        <v>1</v>
      </c>
      <c r="C1744" s="6">
        <v>4714781021609</v>
      </c>
      <c r="D1744" s="12" t="s">
        <v>1454</v>
      </c>
      <c r="E1744" s="9">
        <v>6</v>
      </c>
      <c r="F1744" s="9">
        <v>790</v>
      </c>
      <c r="G1744" s="8">
        <f>F1744/790</f>
        <v>1</v>
      </c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 spans="1:26" ht="15.75" customHeight="1">
      <c r="A1745" s="7" t="s">
        <v>2376</v>
      </c>
      <c r="B1745" s="9">
        <v>2</v>
      </c>
      <c r="C1745" s="21" t="s">
        <v>1713</v>
      </c>
      <c r="D1745" s="10" t="s">
        <v>1452</v>
      </c>
      <c r="E1745" s="9">
        <v>3</v>
      </c>
      <c r="F1745" s="9">
        <v>395</v>
      </c>
      <c r="G1745" s="8">
        <f>F1745/790</f>
        <v>0.5</v>
      </c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 spans="1:26" ht="15.75" customHeight="1">
      <c r="A1746" s="7"/>
      <c r="B1746" s="9"/>
      <c r="C1746" s="21" t="s">
        <v>1704</v>
      </c>
      <c r="D1746" s="10" t="s">
        <v>1703</v>
      </c>
      <c r="E1746" s="9">
        <v>3</v>
      </c>
      <c r="F1746" s="9">
        <v>395</v>
      </c>
      <c r="G1746" s="8">
        <f>F1746/790</f>
        <v>0.5</v>
      </c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 spans="1:26" ht="15.75" customHeight="1">
      <c r="A1747" s="7" t="s">
        <v>2375</v>
      </c>
      <c r="B1747" s="9">
        <v>2</v>
      </c>
      <c r="C1747" s="21" t="s">
        <v>1713</v>
      </c>
      <c r="D1747" s="10" t="s">
        <v>1452</v>
      </c>
      <c r="E1747" s="9">
        <v>3</v>
      </c>
      <c r="F1747" s="9">
        <v>395</v>
      </c>
      <c r="G1747" s="8">
        <f>F1747/790</f>
        <v>0.5</v>
      </c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 spans="1:26" ht="15.75" customHeight="1">
      <c r="A1748" s="7"/>
      <c r="B1748" s="9"/>
      <c r="C1748" s="6">
        <v>4714781021609</v>
      </c>
      <c r="D1748" s="12" t="s">
        <v>1454</v>
      </c>
      <c r="E1748" s="9">
        <v>3</v>
      </c>
      <c r="F1748" s="9">
        <v>395</v>
      </c>
      <c r="G1748" s="8">
        <f>F1748/790</f>
        <v>0.5</v>
      </c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 spans="1:26" ht="15.75" customHeight="1">
      <c r="A1749" s="7" t="s">
        <v>2374</v>
      </c>
      <c r="B1749" s="9">
        <v>2</v>
      </c>
      <c r="C1749" s="21" t="s">
        <v>1704</v>
      </c>
      <c r="D1749" s="10" t="s">
        <v>1703</v>
      </c>
      <c r="E1749" s="9">
        <v>3</v>
      </c>
      <c r="F1749" s="9">
        <v>395</v>
      </c>
      <c r="G1749" s="8">
        <f>F1749/790</f>
        <v>0.5</v>
      </c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 spans="1:26" ht="15.75" customHeight="1">
      <c r="A1750" s="7"/>
      <c r="B1750" s="9"/>
      <c r="C1750" s="6">
        <v>4714781021609</v>
      </c>
      <c r="D1750" s="12" t="s">
        <v>1454</v>
      </c>
      <c r="E1750" s="9">
        <v>3</v>
      </c>
      <c r="F1750" s="9">
        <v>395</v>
      </c>
      <c r="G1750" s="8">
        <f>F1750/790</f>
        <v>0.5</v>
      </c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 spans="1:26" ht="15.75" customHeight="1">
      <c r="A1751" s="7" t="s">
        <v>2373</v>
      </c>
      <c r="B1751" s="9">
        <v>4</v>
      </c>
      <c r="C1751" s="23">
        <v>4714781020282</v>
      </c>
      <c r="D1751" s="12" t="s">
        <v>275</v>
      </c>
      <c r="E1751" s="9">
        <v>1</v>
      </c>
      <c r="F1751" s="9">
        <v>295</v>
      </c>
      <c r="G1751" s="8">
        <f>F1751/1180</f>
        <v>0.25</v>
      </c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 spans="1:26" ht="15.75" customHeight="1">
      <c r="A1752" s="7"/>
      <c r="B1752" s="9"/>
      <c r="C1752" s="23">
        <v>4714781024730</v>
      </c>
      <c r="D1752" s="12" t="s">
        <v>264</v>
      </c>
      <c r="E1752" s="9">
        <v>1</v>
      </c>
      <c r="F1752" s="9">
        <v>295</v>
      </c>
      <c r="G1752" s="8">
        <f>F1752/1180</f>
        <v>0.25</v>
      </c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 spans="1:26" ht="15.75" customHeight="1">
      <c r="A1753" s="7"/>
      <c r="B1753" s="9"/>
      <c r="C1753" s="23">
        <v>4714781024723</v>
      </c>
      <c r="D1753" s="12" t="s">
        <v>359</v>
      </c>
      <c r="E1753" s="9">
        <v>1</v>
      </c>
      <c r="F1753" s="9">
        <v>295</v>
      </c>
      <c r="G1753" s="8">
        <f>F1753/1180</f>
        <v>0.25</v>
      </c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 spans="1:26" ht="15.75" customHeight="1">
      <c r="A1754" s="7"/>
      <c r="B1754" s="9"/>
      <c r="C1754" s="23">
        <v>4714781024716</v>
      </c>
      <c r="D1754" s="12" t="s">
        <v>373</v>
      </c>
      <c r="E1754" s="9">
        <v>1</v>
      </c>
      <c r="F1754" s="9">
        <v>295</v>
      </c>
      <c r="G1754" s="8">
        <f>F1754/1180</f>
        <v>0.25</v>
      </c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 spans="1:26" ht="15.75" customHeight="1">
      <c r="A1755" s="7" t="s">
        <v>2372</v>
      </c>
      <c r="B1755" s="9">
        <v>1</v>
      </c>
      <c r="C1755" s="23">
        <v>4714781020282</v>
      </c>
      <c r="D1755" s="12" t="s">
        <v>275</v>
      </c>
      <c r="E1755" s="9">
        <v>4</v>
      </c>
      <c r="F1755" s="9">
        <v>1180</v>
      </c>
      <c r="G1755" s="8">
        <f>F1755/1180</f>
        <v>1</v>
      </c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 spans="1:26" ht="15.75" customHeight="1">
      <c r="A1756" s="7" t="s">
        <v>2371</v>
      </c>
      <c r="B1756" s="9">
        <v>1</v>
      </c>
      <c r="C1756" s="23">
        <v>4714781024723</v>
      </c>
      <c r="D1756" s="12" t="s">
        <v>359</v>
      </c>
      <c r="E1756" s="9">
        <v>4</v>
      </c>
      <c r="F1756" s="9">
        <v>1180</v>
      </c>
      <c r="G1756" s="8">
        <f>F1756/1180</f>
        <v>1</v>
      </c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 spans="1:26" ht="15.75" customHeight="1">
      <c r="A1757" s="7" t="s">
        <v>2370</v>
      </c>
      <c r="B1757" s="9">
        <v>1</v>
      </c>
      <c r="C1757" s="23">
        <v>4714781024716</v>
      </c>
      <c r="D1757" s="12" t="s">
        <v>373</v>
      </c>
      <c r="E1757" s="9">
        <v>4</v>
      </c>
      <c r="F1757" s="9">
        <v>1180</v>
      </c>
      <c r="G1757" s="8">
        <f>F1757/1180</f>
        <v>1</v>
      </c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 spans="1:26" ht="15.75" customHeight="1">
      <c r="A1758" s="7" t="s">
        <v>2369</v>
      </c>
      <c r="B1758" s="9">
        <v>1</v>
      </c>
      <c r="C1758" s="23">
        <v>4714781024730</v>
      </c>
      <c r="D1758" s="12" t="s">
        <v>264</v>
      </c>
      <c r="E1758" s="9">
        <v>4</v>
      </c>
      <c r="F1758" s="9">
        <v>1180</v>
      </c>
      <c r="G1758" s="8">
        <f>F1758/1180</f>
        <v>1</v>
      </c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 spans="1:26" ht="15.75" customHeight="1">
      <c r="A1759" s="7" t="s">
        <v>2368</v>
      </c>
      <c r="B1759" s="9">
        <v>1</v>
      </c>
      <c r="C1759" s="21" t="s">
        <v>2367</v>
      </c>
      <c r="D1759" s="12" t="s">
        <v>2366</v>
      </c>
      <c r="E1759" s="9">
        <v>6</v>
      </c>
      <c r="F1759" s="9">
        <v>495</v>
      </c>
      <c r="G1759" s="8">
        <f>F1759/495</f>
        <v>1</v>
      </c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 spans="1:26" ht="15.75" customHeight="1">
      <c r="A1760" s="7" t="s">
        <v>2365</v>
      </c>
      <c r="B1760" s="9">
        <v>1</v>
      </c>
      <c r="C1760" s="21" t="s">
        <v>1896</v>
      </c>
      <c r="D1760" s="10" t="s">
        <v>1360</v>
      </c>
      <c r="E1760" s="9">
        <v>2</v>
      </c>
      <c r="F1760" s="9">
        <v>200</v>
      </c>
      <c r="G1760" s="8">
        <f>F1760/200</f>
        <v>1</v>
      </c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 spans="1:26" ht="15.75" customHeight="1">
      <c r="A1761" s="7" t="s">
        <v>2364</v>
      </c>
      <c r="B1761" s="9">
        <v>1</v>
      </c>
      <c r="C1761" s="21" t="s">
        <v>1899</v>
      </c>
      <c r="D1761" s="10" t="s">
        <v>1362</v>
      </c>
      <c r="E1761" s="9">
        <v>2</v>
      </c>
      <c r="F1761" s="9">
        <v>250</v>
      </c>
      <c r="G1761" s="8">
        <f>F1761/250</f>
        <v>1</v>
      </c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 spans="1:26" ht="15.75" customHeight="1">
      <c r="A1762" s="7" t="s">
        <v>2363</v>
      </c>
      <c r="B1762" s="9">
        <v>1</v>
      </c>
      <c r="C1762" s="21" t="s">
        <v>2202</v>
      </c>
      <c r="D1762" s="10" t="s">
        <v>1358</v>
      </c>
      <c r="E1762" s="9">
        <v>2</v>
      </c>
      <c r="F1762" s="9">
        <v>149</v>
      </c>
      <c r="G1762" s="8">
        <f>F1762/149</f>
        <v>1</v>
      </c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 spans="1:26" ht="15.75" customHeight="1">
      <c r="A1763" s="7" t="s">
        <v>2362</v>
      </c>
      <c r="B1763" s="9">
        <v>1</v>
      </c>
      <c r="C1763" s="23" t="s">
        <v>1486</v>
      </c>
      <c r="D1763" s="12" t="s">
        <v>1382</v>
      </c>
      <c r="E1763" s="9">
        <v>2</v>
      </c>
      <c r="F1763" s="9">
        <v>599</v>
      </c>
      <c r="G1763" s="8">
        <f>F1763/599</f>
        <v>1</v>
      </c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 spans="1:26" ht="15.75" customHeight="1">
      <c r="A1764" s="7" t="s">
        <v>2361</v>
      </c>
      <c r="B1764" s="9">
        <v>1</v>
      </c>
      <c r="C1764" s="23" t="s">
        <v>1484</v>
      </c>
      <c r="D1764" s="12" t="s">
        <v>1384</v>
      </c>
      <c r="E1764" s="9">
        <v>2</v>
      </c>
      <c r="F1764" s="9">
        <v>599</v>
      </c>
      <c r="G1764" s="8">
        <f>F1764/599</f>
        <v>1</v>
      </c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 spans="1:26" ht="15.75" customHeight="1">
      <c r="A1765" s="7" t="s">
        <v>2360</v>
      </c>
      <c r="B1765" s="9">
        <v>2</v>
      </c>
      <c r="C1765" s="23" t="s">
        <v>1486</v>
      </c>
      <c r="D1765" s="12" t="s">
        <v>1382</v>
      </c>
      <c r="E1765" s="9">
        <v>1</v>
      </c>
      <c r="F1765" s="9">
        <v>299</v>
      </c>
      <c r="G1765" s="8">
        <f>F1765/599</f>
        <v>0.4991652754590985</v>
      </c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 spans="1:26" ht="15.75" customHeight="1">
      <c r="A1766" s="7"/>
      <c r="B1766" s="9"/>
      <c r="C1766" s="23" t="s">
        <v>1484</v>
      </c>
      <c r="D1766" s="12" t="s">
        <v>1384</v>
      </c>
      <c r="E1766" s="9">
        <v>1</v>
      </c>
      <c r="F1766" s="9">
        <v>300</v>
      </c>
      <c r="G1766" s="8">
        <f>F1766/599</f>
        <v>0.5008347245409015</v>
      </c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 spans="1:26" ht="15.75" customHeight="1">
      <c r="A1767" s="7" t="s">
        <v>2359</v>
      </c>
      <c r="B1767" s="9">
        <v>1</v>
      </c>
      <c r="C1767" s="23" t="s">
        <v>2171</v>
      </c>
      <c r="D1767" s="12" t="s">
        <v>1391</v>
      </c>
      <c r="E1767" s="9">
        <v>2</v>
      </c>
      <c r="F1767" s="9">
        <v>599</v>
      </c>
      <c r="G1767" s="8">
        <f>F1767/599</f>
        <v>1</v>
      </c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 spans="1:26" ht="15.75" customHeight="1">
      <c r="A1768" s="7" t="s">
        <v>2358</v>
      </c>
      <c r="B1768" s="9">
        <v>1</v>
      </c>
      <c r="C1768" s="23" t="s">
        <v>2169</v>
      </c>
      <c r="D1768" s="12" t="s">
        <v>1389</v>
      </c>
      <c r="E1768" s="9">
        <v>2</v>
      </c>
      <c r="F1768" s="9">
        <v>599</v>
      </c>
      <c r="G1768" s="8">
        <f>F1768/599</f>
        <v>1</v>
      </c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 spans="1:26" ht="15.75" customHeight="1">
      <c r="A1769" s="7" t="s">
        <v>2357</v>
      </c>
      <c r="B1769" s="9">
        <v>2</v>
      </c>
      <c r="C1769" s="23" t="s">
        <v>2171</v>
      </c>
      <c r="D1769" s="12" t="s">
        <v>1391</v>
      </c>
      <c r="E1769" s="9">
        <v>1</v>
      </c>
      <c r="F1769" s="9">
        <v>299</v>
      </c>
      <c r="G1769" s="8">
        <f>F1769/599</f>
        <v>0.4991652754590985</v>
      </c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 spans="1:26" ht="15.75" customHeight="1">
      <c r="A1770" s="7"/>
      <c r="B1770" s="9"/>
      <c r="C1770" s="23" t="s">
        <v>2169</v>
      </c>
      <c r="D1770" s="12" t="s">
        <v>1389</v>
      </c>
      <c r="E1770" s="9">
        <v>1</v>
      </c>
      <c r="F1770" s="9">
        <v>300</v>
      </c>
      <c r="G1770" s="8">
        <f>F1770/599</f>
        <v>0.5008347245409015</v>
      </c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 spans="1:26" ht="15.75" customHeight="1">
      <c r="A1771" s="7" t="s">
        <v>2356</v>
      </c>
      <c r="B1771" s="9">
        <v>2</v>
      </c>
      <c r="C1771" s="23" t="s">
        <v>1486</v>
      </c>
      <c r="D1771" s="12" t="s">
        <v>1382</v>
      </c>
      <c r="E1771" s="9">
        <v>1</v>
      </c>
      <c r="F1771" s="9">
        <v>299</v>
      </c>
      <c r="G1771" s="8">
        <f>F1771/599</f>
        <v>0.4991652754590985</v>
      </c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 spans="1:26" ht="15.75" customHeight="1">
      <c r="A1772" s="7"/>
      <c r="B1772" s="9"/>
      <c r="C1772" s="23" t="s">
        <v>2171</v>
      </c>
      <c r="D1772" s="12" t="s">
        <v>1391</v>
      </c>
      <c r="E1772" s="9">
        <v>1</v>
      </c>
      <c r="F1772" s="9">
        <v>300</v>
      </c>
      <c r="G1772" s="8">
        <f>F1772/599</f>
        <v>0.5008347245409015</v>
      </c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 spans="1:26" ht="15.75" customHeight="1">
      <c r="A1773" s="7" t="s">
        <v>2355</v>
      </c>
      <c r="B1773" s="9">
        <v>2</v>
      </c>
      <c r="C1773" s="23" t="s">
        <v>1486</v>
      </c>
      <c r="D1773" s="12" t="s">
        <v>1382</v>
      </c>
      <c r="E1773" s="9">
        <v>1</v>
      </c>
      <c r="F1773" s="9">
        <v>299</v>
      </c>
      <c r="G1773" s="8">
        <f>F1773/599</f>
        <v>0.4991652754590985</v>
      </c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 spans="1:26" ht="15.75" customHeight="1">
      <c r="A1774" s="7"/>
      <c r="B1774" s="9"/>
      <c r="C1774" s="23" t="s">
        <v>2169</v>
      </c>
      <c r="D1774" s="12" t="s">
        <v>1389</v>
      </c>
      <c r="E1774" s="9">
        <v>1</v>
      </c>
      <c r="F1774" s="9">
        <v>300</v>
      </c>
      <c r="G1774" s="8">
        <f>F1774/599</f>
        <v>0.5008347245409015</v>
      </c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 spans="1:26" ht="15.75" customHeight="1">
      <c r="A1775" s="7" t="s">
        <v>2354</v>
      </c>
      <c r="B1775" s="9">
        <v>2</v>
      </c>
      <c r="C1775" s="23" t="s">
        <v>1484</v>
      </c>
      <c r="D1775" s="12" t="s">
        <v>1384</v>
      </c>
      <c r="E1775" s="9">
        <v>1</v>
      </c>
      <c r="F1775" s="9">
        <v>299</v>
      </c>
      <c r="G1775" s="8">
        <f>F1775/599</f>
        <v>0.4991652754590985</v>
      </c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 spans="1:26" ht="15.75" customHeight="1">
      <c r="A1776" s="7"/>
      <c r="B1776" s="9"/>
      <c r="C1776" s="23" t="s">
        <v>2171</v>
      </c>
      <c r="D1776" s="12" t="s">
        <v>1391</v>
      </c>
      <c r="E1776" s="9">
        <v>1</v>
      </c>
      <c r="F1776" s="9">
        <v>300</v>
      </c>
      <c r="G1776" s="8">
        <f>F1776/599</f>
        <v>0.5008347245409015</v>
      </c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 spans="1:26" ht="15.75" customHeight="1">
      <c r="A1777" s="7" t="s">
        <v>2353</v>
      </c>
      <c r="B1777" s="9">
        <v>2</v>
      </c>
      <c r="C1777" s="23" t="s">
        <v>1484</v>
      </c>
      <c r="D1777" s="12" t="s">
        <v>1384</v>
      </c>
      <c r="E1777" s="9">
        <v>1</v>
      </c>
      <c r="F1777" s="9">
        <v>299</v>
      </c>
      <c r="G1777" s="8">
        <f>F1777/599</f>
        <v>0.4991652754590985</v>
      </c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 spans="1:26" ht="15.75" customHeight="1">
      <c r="A1778" s="7"/>
      <c r="B1778" s="9"/>
      <c r="C1778" s="23" t="s">
        <v>2169</v>
      </c>
      <c r="D1778" s="12" t="s">
        <v>1389</v>
      </c>
      <c r="E1778" s="9">
        <v>1</v>
      </c>
      <c r="F1778" s="9">
        <v>300</v>
      </c>
      <c r="G1778" s="8">
        <f>F1778/599</f>
        <v>0.5008347245409015</v>
      </c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 spans="1:26" ht="15.75" customHeight="1">
      <c r="A1779" s="7" t="s">
        <v>2352</v>
      </c>
      <c r="B1779" s="9">
        <v>2</v>
      </c>
      <c r="C1779" s="23" t="s">
        <v>2156</v>
      </c>
      <c r="D1779" s="12" t="s">
        <v>1376</v>
      </c>
      <c r="E1779" s="9">
        <v>1</v>
      </c>
      <c r="F1779" s="9">
        <v>135</v>
      </c>
      <c r="G1779" s="8">
        <f>F1779/269</f>
        <v>0.5018587360594795</v>
      </c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 spans="1:26" ht="15.75" customHeight="1">
      <c r="A1780" s="7"/>
      <c r="B1780" s="9"/>
      <c r="C1780" s="23" t="s">
        <v>1493</v>
      </c>
      <c r="D1780" s="12" t="s">
        <v>1380</v>
      </c>
      <c r="E1780" s="9">
        <v>1</v>
      </c>
      <c r="F1780" s="9">
        <v>134</v>
      </c>
      <c r="G1780" s="8">
        <f>F1780/269</f>
        <v>0.49814126394052044</v>
      </c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 spans="1:26" ht="15.75" customHeight="1">
      <c r="A1781" s="7" t="s">
        <v>2351</v>
      </c>
      <c r="B1781" s="9">
        <v>2</v>
      </c>
      <c r="C1781" s="23" t="s">
        <v>2156</v>
      </c>
      <c r="D1781" s="12" t="s">
        <v>1376</v>
      </c>
      <c r="E1781" s="9">
        <v>1</v>
      </c>
      <c r="F1781" s="9">
        <v>135</v>
      </c>
      <c r="G1781" s="8">
        <f>F1781/269</f>
        <v>0.5018587360594795</v>
      </c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 spans="1:26" ht="15.75" customHeight="1">
      <c r="A1782" s="7"/>
      <c r="B1782" s="9"/>
      <c r="C1782" s="23" t="s">
        <v>1491</v>
      </c>
      <c r="D1782" s="12" t="s">
        <v>1378</v>
      </c>
      <c r="E1782" s="9">
        <v>1</v>
      </c>
      <c r="F1782" s="9">
        <v>134</v>
      </c>
      <c r="G1782" s="8">
        <f>F1782/269</f>
        <v>0.49814126394052044</v>
      </c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 spans="1:26" ht="15.75" customHeight="1">
      <c r="A1783" s="7" t="s">
        <v>2350</v>
      </c>
      <c r="B1783" s="9">
        <v>2</v>
      </c>
      <c r="C1783" s="23" t="s">
        <v>2156</v>
      </c>
      <c r="D1783" s="12" t="s">
        <v>1376</v>
      </c>
      <c r="E1783" s="9">
        <v>1</v>
      </c>
      <c r="F1783" s="9">
        <v>145</v>
      </c>
      <c r="G1783" s="8">
        <f>F1783/269</f>
        <v>0.53903345724907059</v>
      </c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 spans="1:26" ht="15.75" customHeight="1">
      <c r="A1784" s="7"/>
      <c r="B1784" s="9"/>
      <c r="C1784" s="23" t="s">
        <v>2165</v>
      </c>
      <c r="D1784" s="12" t="s">
        <v>1320</v>
      </c>
      <c r="E1784" s="9">
        <v>1</v>
      </c>
      <c r="F1784" s="9">
        <v>124</v>
      </c>
      <c r="G1784" s="8">
        <f>F1784/269</f>
        <v>0.46096654275092935</v>
      </c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 spans="1:26" ht="15.75" customHeight="1">
      <c r="A1785" s="7" t="s">
        <v>2349</v>
      </c>
      <c r="B1785" s="9">
        <v>2</v>
      </c>
      <c r="C1785" s="23" t="s">
        <v>2156</v>
      </c>
      <c r="D1785" s="12" t="s">
        <v>1376</v>
      </c>
      <c r="E1785" s="9">
        <v>1</v>
      </c>
      <c r="F1785" s="9">
        <v>145</v>
      </c>
      <c r="G1785" s="8">
        <f>F1785/269</f>
        <v>0.53903345724907059</v>
      </c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 spans="1:26" ht="15.75" customHeight="1">
      <c r="A1786" s="7"/>
      <c r="B1786" s="9"/>
      <c r="C1786" s="23" t="s">
        <v>2163</v>
      </c>
      <c r="D1786" s="12" t="s">
        <v>1319</v>
      </c>
      <c r="E1786" s="9">
        <v>1</v>
      </c>
      <c r="F1786" s="9">
        <v>124</v>
      </c>
      <c r="G1786" s="8">
        <f>F1786/269</f>
        <v>0.46096654275092935</v>
      </c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 spans="1:26" ht="15.75" customHeight="1">
      <c r="A1787" s="7" t="s">
        <v>2348</v>
      </c>
      <c r="B1787" s="9">
        <v>2</v>
      </c>
      <c r="C1787" s="23" t="s">
        <v>2156</v>
      </c>
      <c r="D1787" s="12" t="s">
        <v>1376</v>
      </c>
      <c r="E1787" s="9">
        <v>1</v>
      </c>
      <c r="F1787" s="9">
        <v>145</v>
      </c>
      <c r="G1787" s="8">
        <f>F1787/269</f>
        <v>0.53903345724907059</v>
      </c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 spans="1:26" ht="15.75" customHeight="1">
      <c r="A1788" s="7"/>
      <c r="B1788" s="9"/>
      <c r="C1788" s="23" t="s">
        <v>2161</v>
      </c>
      <c r="D1788" s="12" t="s">
        <v>1317</v>
      </c>
      <c r="E1788" s="9">
        <v>1</v>
      </c>
      <c r="F1788" s="9">
        <v>124</v>
      </c>
      <c r="G1788" s="8">
        <f>F1788/269</f>
        <v>0.46096654275092935</v>
      </c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 spans="1:26" ht="15.75" customHeight="1">
      <c r="A1789" s="7" t="s">
        <v>2347</v>
      </c>
      <c r="B1789" s="9">
        <v>2</v>
      </c>
      <c r="C1789" s="21" t="s">
        <v>1916</v>
      </c>
      <c r="D1789" s="10" t="s">
        <v>1915</v>
      </c>
      <c r="E1789" s="9">
        <v>3</v>
      </c>
      <c r="F1789" s="9">
        <v>150</v>
      </c>
      <c r="G1789" s="8">
        <f>F1789/748</f>
        <v>0.20053475935828877</v>
      </c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 spans="1:26" ht="15.75" customHeight="1">
      <c r="A1790" s="7"/>
      <c r="B1790" s="9"/>
      <c r="C1790" s="21">
        <v>4714781024723</v>
      </c>
      <c r="D1790" s="10" t="s">
        <v>359</v>
      </c>
      <c r="E1790" s="9">
        <v>2</v>
      </c>
      <c r="F1790" s="9">
        <v>598</v>
      </c>
      <c r="G1790" s="8">
        <f>F1790/748</f>
        <v>0.79946524064171121</v>
      </c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 spans="1:26" ht="15.75" customHeight="1">
      <c r="A1791" s="7" t="s">
        <v>2346</v>
      </c>
      <c r="B1791" s="9">
        <v>2</v>
      </c>
      <c r="C1791" s="21" t="s">
        <v>1916</v>
      </c>
      <c r="D1791" s="10" t="s">
        <v>1915</v>
      </c>
      <c r="E1791" s="9">
        <v>3</v>
      </c>
      <c r="F1791" s="9">
        <v>150</v>
      </c>
      <c r="G1791" s="8">
        <f>F1791/748</f>
        <v>0.20053475935828877</v>
      </c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 spans="1:26" ht="15.75" customHeight="1">
      <c r="A1792" s="7"/>
      <c r="B1792" s="9"/>
      <c r="C1792" s="21">
        <v>4714781024716</v>
      </c>
      <c r="D1792" s="10" t="s">
        <v>373</v>
      </c>
      <c r="E1792" s="9">
        <v>2</v>
      </c>
      <c r="F1792" s="9">
        <v>598</v>
      </c>
      <c r="G1792" s="8">
        <f>F1792/748</f>
        <v>0.79946524064171121</v>
      </c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 spans="1:26" ht="15.75" customHeight="1">
      <c r="A1793" s="7" t="s">
        <v>2345</v>
      </c>
      <c r="B1793" s="9">
        <v>2</v>
      </c>
      <c r="C1793" s="21" t="s">
        <v>1916</v>
      </c>
      <c r="D1793" s="10" t="s">
        <v>1915</v>
      </c>
      <c r="E1793" s="9">
        <v>3</v>
      </c>
      <c r="F1793" s="9">
        <v>150</v>
      </c>
      <c r="G1793" s="8">
        <f>F1793/748</f>
        <v>0.20053475935828877</v>
      </c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 spans="1:26" ht="15.75" customHeight="1">
      <c r="A1794" s="7"/>
      <c r="B1794" s="9"/>
      <c r="C1794" s="21" t="s">
        <v>1643</v>
      </c>
      <c r="D1794" s="10" t="s">
        <v>264</v>
      </c>
      <c r="E1794" s="9">
        <v>2</v>
      </c>
      <c r="F1794" s="9">
        <v>598</v>
      </c>
      <c r="G1794" s="8">
        <f>F1794/748</f>
        <v>0.79946524064171121</v>
      </c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 spans="1:26" ht="15.75" customHeight="1">
      <c r="A1795" s="7" t="s">
        <v>2344</v>
      </c>
      <c r="B1795" s="9">
        <v>2</v>
      </c>
      <c r="C1795" s="21" t="s">
        <v>1916</v>
      </c>
      <c r="D1795" s="10" t="s">
        <v>1915</v>
      </c>
      <c r="E1795" s="9">
        <v>3</v>
      </c>
      <c r="F1795" s="9">
        <v>150</v>
      </c>
      <c r="G1795" s="8">
        <f>F1795/748</f>
        <v>0.20053475935828877</v>
      </c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 spans="1:26" ht="15.75" customHeight="1">
      <c r="A1796" s="7"/>
      <c r="B1796" s="9"/>
      <c r="C1796" s="21" t="s">
        <v>1873</v>
      </c>
      <c r="D1796" s="10" t="s">
        <v>275</v>
      </c>
      <c r="E1796" s="9">
        <v>2</v>
      </c>
      <c r="F1796" s="9">
        <v>598</v>
      </c>
      <c r="G1796" s="8">
        <f>F1796/748</f>
        <v>0.79946524064171121</v>
      </c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 spans="1:26" ht="15.75" customHeight="1">
      <c r="A1797" s="7" t="s">
        <v>2343</v>
      </c>
      <c r="B1797" s="9">
        <v>3</v>
      </c>
      <c r="C1797" s="21" t="s">
        <v>1916</v>
      </c>
      <c r="D1797" s="10" t="s">
        <v>1915</v>
      </c>
      <c r="E1797" s="9">
        <v>3</v>
      </c>
      <c r="F1797" s="9">
        <v>150</v>
      </c>
      <c r="G1797" s="8">
        <f>F1797/748</f>
        <v>0.20053475935828877</v>
      </c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 spans="1:26" ht="15.75" customHeight="1">
      <c r="A1798" s="7"/>
      <c r="B1798" s="9"/>
      <c r="C1798" s="21" t="s">
        <v>1873</v>
      </c>
      <c r="D1798" s="10" t="s">
        <v>275</v>
      </c>
      <c r="E1798" s="9">
        <v>1</v>
      </c>
      <c r="F1798" s="9">
        <v>299</v>
      </c>
      <c r="G1798" s="8">
        <f>F1798/748</f>
        <v>0.3997326203208556</v>
      </c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 spans="1:26" ht="15.75" customHeight="1">
      <c r="A1799" s="7"/>
      <c r="B1799" s="9"/>
      <c r="C1799" s="21">
        <v>4714781024723</v>
      </c>
      <c r="D1799" s="10" t="s">
        <v>359</v>
      </c>
      <c r="E1799" s="9">
        <v>1</v>
      </c>
      <c r="F1799" s="9">
        <v>299</v>
      </c>
      <c r="G1799" s="8">
        <f>F1799/748</f>
        <v>0.3997326203208556</v>
      </c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 spans="1:26" ht="15.75" customHeight="1">
      <c r="A1800" s="7" t="s">
        <v>2342</v>
      </c>
      <c r="B1800" s="9">
        <v>3</v>
      </c>
      <c r="C1800" s="21" t="s">
        <v>1916</v>
      </c>
      <c r="D1800" s="10" t="s">
        <v>1915</v>
      </c>
      <c r="E1800" s="9">
        <v>3</v>
      </c>
      <c r="F1800" s="9">
        <v>150</v>
      </c>
      <c r="G1800" s="8">
        <f>F1800/748</f>
        <v>0.20053475935828877</v>
      </c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 spans="1:26" ht="15.75" customHeight="1">
      <c r="A1801" s="7"/>
      <c r="B1801" s="9"/>
      <c r="C1801" s="21" t="s">
        <v>1873</v>
      </c>
      <c r="D1801" s="10" t="s">
        <v>275</v>
      </c>
      <c r="E1801" s="9">
        <v>1</v>
      </c>
      <c r="F1801" s="9">
        <v>299</v>
      </c>
      <c r="G1801" s="8">
        <f>F1801/748</f>
        <v>0.3997326203208556</v>
      </c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 spans="1:26" ht="15.75" customHeight="1">
      <c r="A1802" s="7"/>
      <c r="B1802" s="9"/>
      <c r="C1802" s="21" t="s">
        <v>1643</v>
      </c>
      <c r="D1802" s="10" t="s">
        <v>264</v>
      </c>
      <c r="E1802" s="9">
        <v>1</v>
      </c>
      <c r="F1802" s="9">
        <v>299</v>
      </c>
      <c r="G1802" s="8">
        <f>F1802/748</f>
        <v>0.3997326203208556</v>
      </c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 spans="1:26" ht="15.75" customHeight="1">
      <c r="A1803" s="7" t="s">
        <v>2341</v>
      </c>
      <c r="B1803" s="9">
        <v>3</v>
      </c>
      <c r="C1803" s="21" t="s">
        <v>1916</v>
      </c>
      <c r="D1803" s="10" t="s">
        <v>1915</v>
      </c>
      <c r="E1803" s="9">
        <v>3</v>
      </c>
      <c r="F1803" s="9">
        <v>150</v>
      </c>
      <c r="G1803" s="8">
        <f>F1803/748</f>
        <v>0.20053475935828877</v>
      </c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 spans="1:26" ht="15.75" customHeight="1">
      <c r="A1804" s="7"/>
      <c r="B1804" s="9"/>
      <c r="C1804" s="21" t="s">
        <v>1873</v>
      </c>
      <c r="D1804" s="10" t="s">
        <v>275</v>
      </c>
      <c r="E1804" s="9">
        <v>1</v>
      </c>
      <c r="F1804" s="9">
        <v>299</v>
      </c>
      <c r="G1804" s="8">
        <f>F1804/748</f>
        <v>0.3997326203208556</v>
      </c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 spans="1:26" ht="15.75" customHeight="1">
      <c r="A1805" s="7"/>
      <c r="B1805" s="9"/>
      <c r="C1805" s="21">
        <v>4714781024716</v>
      </c>
      <c r="D1805" s="10" t="s">
        <v>373</v>
      </c>
      <c r="E1805" s="9">
        <v>1</v>
      </c>
      <c r="F1805" s="9">
        <v>299</v>
      </c>
      <c r="G1805" s="8">
        <f>F1805/748</f>
        <v>0.3997326203208556</v>
      </c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 spans="1:26" ht="15.75" customHeight="1">
      <c r="A1806" s="7" t="s">
        <v>2340</v>
      </c>
      <c r="B1806" s="9">
        <v>3</v>
      </c>
      <c r="C1806" s="21" t="s">
        <v>1916</v>
      </c>
      <c r="D1806" s="10" t="s">
        <v>1915</v>
      </c>
      <c r="E1806" s="9">
        <v>3</v>
      </c>
      <c r="F1806" s="9">
        <v>150</v>
      </c>
      <c r="G1806" s="8">
        <f>F1806/748</f>
        <v>0.20053475935828877</v>
      </c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 spans="1:26" ht="15.75" customHeight="1">
      <c r="A1807" s="7"/>
      <c r="B1807" s="9"/>
      <c r="C1807" s="21">
        <v>4714781024723</v>
      </c>
      <c r="D1807" s="10" t="s">
        <v>359</v>
      </c>
      <c r="E1807" s="9">
        <v>1</v>
      </c>
      <c r="F1807" s="9">
        <v>299</v>
      </c>
      <c r="G1807" s="8">
        <f>F1807/748</f>
        <v>0.3997326203208556</v>
      </c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 spans="1:26" ht="15.75" customHeight="1">
      <c r="A1808" s="7"/>
      <c r="B1808" s="9"/>
      <c r="C1808" s="21">
        <v>4714781024716</v>
      </c>
      <c r="D1808" s="10" t="s">
        <v>373</v>
      </c>
      <c r="E1808" s="9">
        <v>1</v>
      </c>
      <c r="F1808" s="9">
        <v>299</v>
      </c>
      <c r="G1808" s="8">
        <f>F1808/748</f>
        <v>0.3997326203208556</v>
      </c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 spans="1:26" ht="15.75" customHeight="1">
      <c r="A1809" s="7" t="s">
        <v>2339</v>
      </c>
      <c r="B1809" s="9">
        <v>3</v>
      </c>
      <c r="C1809" s="21" t="s">
        <v>1916</v>
      </c>
      <c r="D1809" s="10" t="s">
        <v>1915</v>
      </c>
      <c r="E1809" s="9">
        <v>3</v>
      </c>
      <c r="F1809" s="9">
        <v>150</v>
      </c>
      <c r="G1809" s="8">
        <f>F1809/748</f>
        <v>0.20053475935828877</v>
      </c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 spans="1:26" ht="15.75" customHeight="1">
      <c r="A1810" s="7"/>
      <c r="B1810" s="9"/>
      <c r="C1810" s="21">
        <v>4714781024723</v>
      </c>
      <c r="D1810" s="10" t="s">
        <v>359</v>
      </c>
      <c r="E1810" s="9">
        <v>1</v>
      </c>
      <c r="F1810" s="9">
        <v>299</v>
      </c>
      <c r="G1810" s="8">
        <f>F1810/748</f>
        <v>0.3997326203208556</v>
      </c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 spans="1:26" ht="15.75" customHeight="1">
      <c r="A1811" s="7"/>
      <c r="B1811" s="9"/>
      <c r="C1811" s="21" t="s">
        <v>1643</v>
      </c>
      <c r="D1811" s="10" t="s">
        <v>264</v>
      </c>
      <c r="E1811" s="9">
        <v>1</v>
      </c>
      <c r="F1811" s="9">
        <v>299</v>
      </c>
      <c r="G1811" s="8">
        <f>F1811/748</f>
        <v>0.3997326203208556</v>
      </c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 spans="1:26" ht="15.75" customHeight="1">
      <c r="A1812" s="7" t="s">
        <v>2338</v>
      </c>
      <c r="B1812" s="9">
        <v>3</v>
      </c>
      <c r="C1812" s="21" t="s">
        <v>1916</v>
      </c>
      <c r="D1812" s="10" t="s">
        <v>1915</v>
      </c>
      <c r="E1812" s="9">
        <v>3</v>
      </c>
      <c r="F1812" s="9">
        <v>150</v>
      </c>
      <c r="G1812" s="8">
        <f>F1812/748</f>
        <v>0.20053475935828877</v>
      </c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 spans="1:26" ht="15.75" customHeight="1">
      <c r="A1813" s="7"/>
      <c r="B1813" s="9"/>
      <c r="C1813" s="21">
        <v>4714781024716</v>
      </c>
      <c r="D1813" s="10" t="s">
        <v>373</v>
      </c>
      <c r="E1813" s="9">
        <v>1</v>
      </c>
      <c r="F1813" s="9">
        <v>299</v>
      </c>
      <c r="G1813" s="8">
        <f>F1813/748</f>
        <v>0.3997326203208556</v>
      </c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 spans="1:26" ht="15.75" customHeight="1">
      <c r="A1814" s="7"/>
      <c r="B1814" s="9"/>
      <c r="C1814" s="21" t="s">
        <v>1643</v>
      </c>
      <c r="D1814" s="10" t="s">
        <v>264</v>
      </c>
      <c r="E1814" s="9">
        <v>1</v>
      </c>
      <c r="F1814" s="9">
        <v>299</v>
      </c>
      <c r="G1814" s="8">
        <f>F1814/748</f>
        <v>0.3997326203208556</v>
      </c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 spans="1:26" ht="15.75" customHeight="1">
      <c r="A1815" s="7" t="s">
        <v>2337</v>
      </c>
      <c r="B1815" s="9">
        <v>1</v>
      </c>
      <c r="C1815" s="21" t="s">
        <v>1916</v>
      </c>
      <c r="D1815" s="10" t="s">
        <v>1915</v>
      </c>
      <c r="E1815" s="9">
        <v>3</v>
      </c>
      <c r="F1815" s="9">
        <v>168</v>
      </c>
      <c r="G1815" s="8">
        <f>F1815/168</f>
        <v>1</v>
      </c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 spans="1:26" ht="15.75" customHeight="1">
      <c r="A1816" s="7" t="s">
        <v>2336</v>
      </c>
      <c r="B1816" s="9">
        <v>3</v>
      </c>
      <c r="C1816" s="21">
        <v>4714781020558</v>
      </c>
      <c r="D1816" s="10" t="s">
        <v>1370</v>
      </c>
      <c r="E1816" s="9">
        <v>1</v>
      </c>
      <c r="F1816" s="9">
        <v>150</v>
      </c>
      <c r="G1816" s="8">
        <f>F1816/450</f>
        <v>0.33333333333333331</v>
      </c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 spans="1:26" ht="15.75" customHeight="1">
      <c r="A1817" s="7"/>
      <c r="B1817" s="9"/>
      <c r="C1817" s="21">
        <v>4714781020503</v>
      </c>
      <c r="D1817" s="10" t="s">
        <v>1372</v>
      </c>
      <c r="E1817" s="9">
        <v>1</v>
      </c>
      <c r="F1817" s="9">
        <v>150</v>
      </c>
      <c r="G1817" s="8">
        <f>F1817/450</f>
        <v>0.33333333333333331</v>
      </c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 spans="1:26" ht="15.75" customHeight="1">
      <c r="A1818" s="7"/>
      <c r="B1818" s="9"/>
      <c r="C1818" s="21" t="s">
        <v>1916</v>
      </c>
      <c r="D1818" s="10" t="s">
        <v>1915</v>
      </c>
      <c r="E1818" s="9">
        <v>3</v>
      </c>
      <c r="F1818" s="9">
        <v>150</v>
      </c>
      <c r="G1818" s="8">
        <f>F1818/450</f>
        <v>0.33333333333333331</v>
      </c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 spans="1:26" ht="15.75" customHeight="1">
      <c r="A1819" s="7" t="s">
        <v>2335</v>
      </c>
      <c r="B1819" s="9">
        <v>1</v>
      </c>
      <c r="C1819" s="21" t="s">
        <v>1916</v>
      </c>
      <c r="D1819" s="10" t="s">
        <v>1915</v>
      </c>
      <c r="E1819" s="9">
        <v>9</v>
      </c>
      <c r="F1819" s="9">
        <v>450</v>
      </c>
      <c r="G1819" s="8">
        <f>F1819/450</f>
        <v>1</v>
      </c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 spans="1:26" ht="15.75" customHeight="1">
      <c r="A1820" s="7" t="s">
        <v>2334</v>
      </c>
      <c r="B1820" s="9">
        <v>2</v>
      </c>
      <c r="C1820" s="21" t="s">
        <v>1916</v>
      </c>
      <c r="D1820" s="10" t="s">
        <v>1915</v>
      </c>
      <c r="E1820" s="9">
        <v>6</v>
      </c>
      <c r="F1820" s="9">
        <v>300</v>
      </c>
      <c r="G1820" s="8">
        <f>F1820/450</f>
        <v>0.66666666666666663</v>
      </c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 spans="1:26" ht="15.75" customHeight="1">
      <c r="A1821" s="7"/>
      <c r="B1821" s="9"/>
      <c r="C1821" s="21">
        <v>4714781020503</v>
      </c>
      <c r="D1821" s="10" t="s">
        <v>1372</v>
      </c>
      <c r="E1821" s="9">
        <v>1</v>
      </c>
      <c r="F1821" s="9">
        <v>150</v>
      </c>
      <c r="G1821" s="8">
        <f>F1821/450</f>
        <v>0.33333333333333331</v>
      </c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 spans="1:26" ht="15.75" customHeight="1">
      <c r="A1822" s="7" t="s">
        <v>2333</v>
      </c>
      <c r="B1822" s="9">
        <v>2</v>
      </c>
      <c r="C1822" s="21" t="s">
        <v>1916</v>
      </c>
      <c r="D1822" s="10" t="s">
        <v>1915</v>
      </c>
      <c r="E1822" s="9">
        <v>6</v>
      </c>
      <c r="F1822" s="9">
        <v>300</v>
      </c>
      <c r="G1822" s="8">
        <f>F1822/450</f>
        <v>0.66666666666666663</v>
      </c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 spans="1:26" ht="15.75" customHeight="1">
      <c r="A1823" s="7"/>
      <c r="B1823" s="9"/>
      <c r="C1823" s="21">
        <v>4714781020558</v>
      </c>
      <c r="D1823" s="10" t="s">
        <v>1370</v>
      </c>
      <c r="E1823" s="9">
        <v>1</v>
      </c>
      <c r="F1823" s="9">
        <v>150</v>
      </c>
      <c r="G1823" s="8">
        <f>F1823/450</f>
        <v>0.33333333333333331</v>
      </c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 spans="1:26" ht="15.75" customHeight="1">
      <c r="A1824" s="7" t="s">
        <v>2332</v>
      </c>
      <c r="B1824" s="9">
        <v>2</v>
      </c>
      <c r="C1824" s="21" t="s">
        <v>1916</v>
      </c>
      <c r="D1824" s="10" t="s">
        <v>1915</v>
      </c>
      <c r="E1824" s="9">
        <v>3</v>
      </c>
      <c r="F1824" s="9">
        <v>150</v>
      </c>
      <c r="G1824" s="8">
        <f>F1824/450</f>
        <v>0.33333333333333331</v>
      </c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 spans="1:26" ht="15.75" customHeight="1">
      <c r="A1825" s="7"/>
      <c r="B1825" s="9"/>
      <c r="C1825" s="21">
        <v>4714781020558</v>
      </c>
      <c r="D1825" s="10" t="s">
        <v>1370</v>
      </c>
      <c r="E1825" s="9">
        <v>2</v>
      </c>
      <c r="F1825" s="9">
        <v>300</v>
      </c>
      <c r="G1825" s="8">
        <f>F1825/450</f>
        <v>0.66666666666666663</v>
      </c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 spans="1:26" ht="15.75" customHeight="1">
      <c r="A1826" s="7" t="s">
        <v>2331</v>
      </c>
      <c r="B1826" s="9">
        <v>2</v>
      </c>
      <c r="C1826" s="21" t="s">
        <v>1916</v>
      </c>
      <c r="D1826" s="10" t="s">
        <v>1915</v>
      </c>
      <c r="E1826" s="9">
        <v>3</v>
      </c>
      <c r="F1826" s="9">
        <v>150</v>
      </c>
      <c r="G1826" s="8">
        <f>F1826/450</f>
        <v>0.33333333333333331</v>
      </c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 spans="1:26" ht="15.75" customHeight="1">
      <c r="B1827" s="9"/>
      <c r="C1827" s="21">
        <v>4714781020503</v>
      </c>
      <c r="D1827" s="10" t="s">
        <v>1372</v>
      </c>
      <c r="E1827" s="9">
        <v>2</v>
      </c>
      <c r="F1827" s="9">
        <v>300</v>
      </c>
      <c r="G1827" s="8">
        <f>F1827/450</f>
        <v>0.66666666666666663</v>
      </c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 spans="1:26" ht="15.75" customHeight="1">
      <c r="A1828" s="7" t="s">
        <v>2330</v>
      </c>
      <c r="B1828" s="9">
        <v>3</v>
      </c>
      <c r="C1828" s="21">
        <v>4714781020558</v>
      </c>
      <c r="D1828" s="10" t="s">
        <v>1370</v>
      </c>
      <c r="E1828" s="9">
        <v>2</v>
      </c>
      <c r="F1828" s="9">
        <v>296</v>
      </c>
      <c r="G1828" s="8">
        <f>F1828/890</f>
        <v>0.33258426966292137</v>
      </c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 spans="1:26" ht="15.75" customHeight="1">
      <c r="B1829" s="9"/>
      <c r="C1829" s="21">
        <v>4714781020503</v>
      </c>
      <c r="D1829" s="10" t="s">
        <v>1372</v>
      </c>
      <c r="E1829" s="9">
        <v>2</v>
      </c>
      <c r="F1829" s="9">
        <v>296</v>
      </c>
      <c r="G1829" s="8">
        <f>F1829/890</f>
        <v>0.33258426966292137</v>
      </c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 spans="1:26" ht="15.75" customHeight="1">
      <c r="B1830" s="9"/>
      <c r="C1830" s="21">
        <v>4714781020466</v>
      </c>
      <c r="D1830" s="10" t="s">
        <v>1374</v>
      </c>
      <c r="E1830" s="9">
        <v>2</v>
      </c>
      <c r="F1830" s="9">
        <v>298</v>
      </c>
      <c r="G1830" s="8">
        <f>F1830/890</f>
        <v>0.33483146067415731</v>
      </c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 spans="1:26" ht="15.75" customHeight="1">
      <c r="A1831" s="7" t="s">
        <v>2329</v>
      </c>
      <c r="B1831" s="9">
        <v>1</v>
      </c>
      <c r="C1831" s="21">
        <v>4714781020558</v>
      </c>
      <c r="D1831" s="10" t="s">
        <v>1370</v>
      </c>
      <c r="E1831" s="9">
        <v>6</v>
      </c>
      <c r="F1831" s="9">
        <v>890</v>
      </c>
      <c r="G1831" s="8">
        <f>F1831/890</f>
        <v>1</v>
      </c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 spans="1:26" ht="15.75" customHeight="1">
      <c r="A1832" s="7" t="s">
        <v>2328</v>
      </c>
      <c r="B1832" s="9">
        <v>1</v>
      </c>
      <c r="C1832" s="21">
        <v>4714781020503</v>
      </c>
      <c r="D1832" s="10" t="s">
        <v>1372</v>
      </c>
      <c r="E1832" s="9">
        <v>6</v>
      </c>
      <c r="F1832" s="9">
        <v>890</v>
      </c>
      <c r="G1832" s="8">
        <f>F1832/890</f>
        <v>1</v>
      </c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 spans="1:26" ht="15.75" customHeight="1">
      <c r="A1833" s="7" t="s">
        <v>2327</v>
      </c>
      <c r="B1833" s="9">
        <v>1</v>
      </c>
      <c r="C1833" s="21">
        <v>4714781020466</v>
      </c>
      <c r="D1833" s="10" t="s">
        <v>1374</v>
      </c>
      <c r="E1833" s="9">
        <v>6</v>
      </c>
      <c r="F1833" s="9">
        <v>890</v>
      </c>
      <c r="G1833" s="8">
        <f>F1833/890</f>
        <v>1</v>
      </c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 spans="1:26" ht="15.75" customHeight="1">
      <c r="A1834" s="7" t="s">
        <v>2326</v>
      </c>
      <c r="B1834" s="9">
        <v>2</v>
      </c>
      <c r="C1834" s="21">
        <v>4714781020503</v>
      </c>
      <c r="D1834" s="10" t="s">
        <v>1372</v>
      </c>
      <c r="E1834" s="9">
        <v>3</v>
      </c>
      <c r="F1834" s="9">
        <v>445</v>
      </c>
      <c r="G1834" s="8">
        <f>F1834/890</f>
        <v>0.5</v>
      </c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 spans="1:26" ht="15.75" customHeight="1">
      <c r="A1835" s="7"/>
      <c r="B1835" s="9"/>
      <c r="C1835" s="21">
        <v>4714781020466</v>
      </c>
      <c r="D1835" s="10" t="s">
        <v>1374</v>
      </c>
      <c r="E1835" s="9">
        <v>3</v>
      </c>
      <c r="F1835" s="9">
        <v>445</v>
      </c>
      <c r="G1835" s="8">
        <f>F1835/890</f>
        <v>0.5</v>
      </c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 spans="1:26" ht="15.75" customHeight="1">
      <c r="A1836" s="7" t="s">
        <v>2325</v>
      </c>
      <c r="B1836" s="9">
        <v>2</v>
      </c>
      <c r="C1836" s="21">
        <v>4714781020503</v>
      </c>
      <c r="D1836" s="10" t="s">
        <v>1372</v>
      </c>
      <c r="E1836" s="9">
        <v>3</v>
      </c>
      <c r="F1836" s="9">
        <v>445</v>
      </c>
      <c r="G1836" s="8">
        <f>F1836/890</f>
        <v>0.5</v>
      </c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 spans="1:26" ht="15.75" customHeight="1">
      <c r="A1837" s="7"/>
      <c r="B1837" s="9"/>
      <c r="C1837" s="21">
        <v>4714781020558</v>
      </c>
      <c r="D1837" s="10" t="s">
        <v>1370</v>
      </c>
      <c r="E1837" s="9">
        <v>3</v>
      </c>
      <c r="F1837" s="9">
        <v>445</v>
      </c>
      <c r="G1837" s="8">
        <f>F1837/890</f>
        <v>0.5</v>
      </c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 spans="1:26" ht="15.75" customHeight="1">
      <c r="A1838" s="7" t="s">
        <v>2324</v>
      </c>
      <c r="B1838" s="9">
        <v>2</v>
      </c>
      <c r="C1838" s="21">
        <v>4714781020466</v>
      </c>
      <c r="D1838" s="10" t="s">
        <v>1374</v>
      </c>
      <c r="E1838" s="9">
        <v>3</v>
      </c>
      <c r="F1838" s="9">
        <v>445</v>
      </c>
      <c r="G1838" s="8">
        <f>F1838/890</f>
        <v>0.5</v>
      </c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 spans="1:26" ht="15.75" customHeight="1">
      <c r="A1839" s="7"/>
      <c r="B1839" s="9"/>
      <c r="C1839" s="21">
        <v>4714781020558</v>
      </c>
      <c r="D1839" s="10" t="s">
        <v>1370</v>
      </c>
      <c r="E1839" s="9">
        <v>3</v>
      </c>
      <c r="F1839" s="9">
        <v>445</v>
      </c>
      <c r="G1839" s="8">
        <f>F1839/890</f>
        <v>0.5</v>
      </c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 spans="1:26" ht="15.75" customHeight="1">
      <c r="A1840" s="7" t="s">
        <v>2323</v>
      </c>
      <c r="B1840" s="10">
        <v>3</v>
      </c>
      <c r="C1840" s="6">
        <v>4714781021609</v>
      </c>
      <c r="D1840" s="12" t="s">
        <v>1454</v>
      </c>
      <c r="E1840" s="9">
        <v>2</v>
      </c>
      <c r="F1840" s="9">
        <v>260</v>
      </c>
      <c r="G1840" s="8">
        <f>F1840/780</f>
        <v>0.33333333333333331</v>
      </c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 spans="1:26" ht="15.75" customHeight="1">
      <c r="A1841" s="7"/>
      <c r="B1841" s="12"/>
      <c r="C1841" s="23">
        <v>4714781021012</v>
      </c>
      <c r="D1841" s="12" t="s">
        <v>1703</v>
      </c>
      <c r="E1841" s="9">
        <v>2</v>
      </c>
      <c r="F1841" s="9">
        <v>260</v>
      </c>
      <c r="G1841" s="8">
        <f>F1841/780</f>
        <v>0.33333333333333331</v>
      </c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 spans="1:26" ht="15.75" customHeight="1">
      <c r="A1842" s="7"/>
      <c r="B1842" s="12"/>
      <c r="C1842" s="23">
        <v>4714781021029</v>
      </c>
      <c r="D1842" s="12" t="s">
        <v>1452</v>
      </c>
      <c r="E1842" s="9">
        <v>2</v>
      </c>
      <c r="F1842" s="9">
        <v>260</v>
      </c>
      <c r="G1842" s="8">
        <f>F1842/780</f>
        <v>0.33333333333333331</v>
      </c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 spans="1:26" ht="15.75" customHeight="1">
      <c r="A1843" s="7" t="s">
        <v>2322</v>
      </c>
      <c r="B1843" s="10">
        <v>1</v>
      </c>
      <c r="C1843" s="6">
        <v>4714781021609</v>
      </c>
      <c r="D1843" s="12" t="s">
        <v>1454</v>
      </c>
      <c r="E1843" s="9">
        <v>6</v>
      </c>
      <c r="F1843" s="9">
        <v>780</v>
      </c>
      <c r="G1843" s="8">
        <f>F1843/780</f>
        <v>1</v>
      </c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 spans="1:26" ht="15.75" customHeight="1">
      <c r="A1844" s="7" t="s">
        <v>2321</v>
      </c>
      <c r="B1844" s="10">
        <v>1</v>
      </c>
      <c r="C1844" s="23">
        <v>4714781021012</v>
      </c>
      <c r="D1844" s="12" t="s">
        <v>1703</v>
      </c>
      <c r="E1844" s="9">
        <v>6</v>
      </c>
      <c r="F1844" s="9">
        <v>780</v>
      </c>
      <c r="G1844" s="8">
        <f>F1844/780</f>
        <v>1</v>
      </c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 spans="1:26" ht="15.75" customHeight="1">
      <c r="A1845" s="7" t="s">
        <v>2320</v>
      </c>
      <c r="B1845" s="10">
        <v>1</v>
      </c>
      <c r="C1845" s="23">
        <v>4714781021029</v>
      </c>
      <c r="D1845" s="12" t="s">
        <v>1452</v>
      </c>
      <c r="E1845" s="9">
        <v>6</v>
      </c>
      <c r="F1845" s="9">
        <v>780</v>
      </c>
      <c r="G1845" s="8">
        <f>F1845/780</f>
        <v>1</v>
      </c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 spans="1:26" ht="15.75" customHeight="1">
      <c r="A1846" s="7" t="s">
        <v>2319</v>
      </c>
      <c r="B1846" s="10">
        <v>2</v>
      </c>
      <c r="C1846" s="23">
        <v>4714781021029</v>
      </c>
      <c r="D1846" s="12" t="s">
        <v>1452</v>
      </c>
      <c r="E1846" s="9">
        <v>3</v>
      </c>
      <c r="F1846" s="9">
        <v>390</v>
      </c>
      <c r="G1846" s="8">
        <f>F1846/780</f>
        <v>0.5</v>
      </c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 spans="1:26" ht="15.75" customHeight="1">
      <c r="B1847" s="10"/>
      <c r="C1847" s="23">
        <v>4714781021012</v>
      </c>
      <c r="D1847" s="12" t="s">
        <v>1703</v>
      </c>
      <c r="E1847" s="9">
        <v>3</v>
      </c>
      <c r="F1847" s="9">
        <v>390</v>
      </c>
      <c r="G1847" s="8">
        <f>F1847/780</f>
        <v>0.5</v>
      </c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 spans="1:26" ht="15.75" customHeight="1">
      <c r="A1848" s="7" t="s">
        <v>2318</v>
      </c>
      <c r="B1848" s="10">
        <v>2</v>
      </c>
      <c r="C1848" s="23">
        <v>4714781021029</v>
      </c>
      <c r="D1848" s="12" t="s">
        <v>1452</v>
      </c>
      <c r="E1848" s="9">
        <v>3</v>
      </c>
      <c r="F1848" s="9">
        <v>390</v>
      </c>
      <c r="G1848" s="8">
        <f>F1848/780</f>
        <v>0.5</v>
      </c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 spans="1:26" ht="15.75" customHeight="1">
      <c r="A1849" s="7"/>
      <c r="B1849" s="10"/>
      <c r="C1849" s="6">
        <v>4714781021609</v>
      </c>
      <c r="D1849" s="12" t="s">
        <v>1454</v>
      </c>
      <c r="E1849" s="9">
        <v>3</v>
      </c>
      <c r="F1849" s="9">
        <v>390</v>
      </c>
      <c r="G1849" s="8">
        <f>F1849/780</f>
        <v>0.5</v>
      </c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 spans="1:26" ht="15.75" customHeight="1">
      <c r="A1850" s="7" t="s">
        <v>2317</v>
      </c>
      <c r="B1850" s="10">
        <v>2</v>
      </c>
      <c r="C1850" s="23">
        <v>4714781021012</v>
      </c>
      <c r="D1850" s="12" t="s">
        <v>1703</v>
      </c>
      <c r="E1850" s="9">
        <v>3</v>
      </c>
      <c r="F1850" s="9">
        <v>390</v>
      </c>
      <c r="G1850" s="8">
        <f>F1850/780</f>
        <v>0.5</v>
      </c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 spans="1:26" ht="15.75" customHeight="1">
      <c r="A1851" s="7"/>
      <c r="B1851" s="10"/>
      <c r="C1851" s="6">
        <v>4714781021609</v>
      </c>
      <c r="D1851" s="12" t="s">
        <v>1454</v>
      </c>
      <c r="E1851" s="9">
        <v>3</v>
      </c>
      <c r="F1851" s="9">
        <v>390</v>
      </c>
      <c r="G1851" s="8">
        <f>F1851/780</f>
        <v>0.5</v>
      </c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 spans="1:26" ht="15.75" customHeight="1">
      <c r="A1852" s="7" t="s">
        <v>2316</v>
      </c>
      <c r="B1852" s="9">
        <v>6</v>
      </c>
      <c r="C1852" s="23">
        <v>4714781021029</v>
      </c>
      <c r="D1852" s="12" t="s">
        <v>1452</v>
      </c>
      <c r="E1852" s="9">
        <v>1</v>
      </c>
      <c r="F1852" s="9">
        <v>133</v>
      </c>
      <c r="G1852" s="8">
        <f>F1852/820</f>
        <v>0.16219512195121952</v>
      </c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 spans="1:26" ht="15.75" customHeight="1">
      <c r="A1853" s="7"/>
      <c r="B1853" s="12"/>
      <c r="C1853" s="23">
        <v>4714781021012</v>
      </c>
      <c r="D1853" s="12" t="s">
        <v>1703</v>
      </c>
      <c r="E1853" s="9">
        <v>1</v>
      </c>
      <c r="F1853" s="9">
        <v>133</v>
      </c>
      <c r="G1853" s="8">
        <f>F1853/820</f>
        <v>0.16219512195121952</v>
      </c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 spans="1:26" ht="15.75" customHeight="1">
      <c r="A1854" s="7"/>
      <c r="B1854" s="12"/>
      <c r="C1854" s="6">
        <v>4714781021609</v>
      </c>
      <c r="D1854" s="12" t="s">
        <v>1454</v>
      </c>
      <c r="E1854" s="9">
        <v>1</v>
      </c>
      <c r="F1854" s="9">
        <v>134</v>
      </c>
      <c r="G1854" s="8">
        <f>F1854/820</f>
        <v>0.16341463414634147</v>
      </c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 spans="1:26" ht="15.75" customHeight="1">
      <c r="A1855" s="7"/>
      <c r="B1855" s="12"/>
      <c r="C1855" s="21">
        <v>4714781020466</v>
      </c>
      <c r="D1855" s="12" t="s">
        <v>1374</v>
      </c>
      <c r="E1855" s="9">
        <v>1</v>
      </c>
      <c r="F1855" s="9">
        <v>140</v>
      </c>
      <c r="G1855" s="8">
        <f>F1855/820</f>
        <v>0.17073170731707318</v>
      </c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 spans="1:26" ht="15.75" customHeight="1">
      <c r="B1856" s="12"/>
      <c r="C1856" s="21">
        <v>4714781020503</v>
      </c>
      <c r="D1856" s="12" t="s">
        <v>1372</v>
      </c>
      <c r="E1856" s="9">
        <v>1</v>
      </c>
      <c r="F1856" s="9">
        <v>140</v>
      </c>
      <c r="G1856" s="8">
        <f>F1856/820</f>
        <v>0.17073170731707318</v>
      </c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 spans="1:26" ht="15.75" customHeight="1">
      <c r="B1857" s="12"/>
      <c r="C1857" s="21">
        <v>4714781020558</v>
      </c>
      <c r="D1857" s="12" t="s">
        <v>1370</v>
      </c>
      <c r="E1857" s="9">
        <v>1</v>
      </c>
      <c r="F1857" s="9">
        <v>140</v>
      </c>
      <c r="G1857" s="8">
        <f>F1857/820</f>
        <v>0.17073170731707318</v>
      </c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 spans="1:26" ht="15.75" customHeight="1">
      <c r="A1858" s="12" t="s">
        <v>2315</v>
      </c>
      <c r="B1858" s="9">
        <v>2</v>
      </c>
      <c r="C1858" s="23">
        <v>4714781021029</v>
      </c>
      <c r="D1858" s="12" t="s">
        <v>1452</v>
      </c>
      <c r="E1858" s="9">
        <v>3</v>
      </c>
      <c r="F1858" s="9">
        <v>400</v>
      </c>
      <c r="G1858" s="8">
        <f>F1858/820</f>
        <v>0.48780487804878048</v>
      </c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 spans="1:26" ht="15.75" customHeight="1">
      <c r="B1859" s="12"/>
      <c r="C1859" s="21">
        <v>4714781020558</v>
      </c>
      <c r="D1859" s="12" t="s">
        <v>1370</v>
      </c>
      <c r="E1859" s="9">
        <v>3</v>
      </c>
      <c r="F1859" s="9">
        <v>420</v>
      </c>
      <c r="G1859" s="8">
        <f>F1859/820</f>
        <v>0.51219512195121952</v>
      </c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 spans="1:26" ht="15.75" customHeight="1">
      <c r="A1860" s="12" t="s">
        <v>2314</v>
      </c>
      <c r="B1860" s="9">
        <v>2</v>
      </c>
      <c r="C1860" s="23">
        <v>4714781021029</v>
      </c>
      <c r="D1860" s="12" t="s">
        <v>1452</v>
      </c>
      <c r="E1860" s="9">
        <v>3</v>
      </c>
      <c r="F1860" s="9">
        <v>400</v>
      </c>
      <c r="G1860" s="8">
        <f>F1860/820</f>
        <v>0.48780487804878048</v>
      </c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 spans="1:26" ht="15.75" customHeight="1">
      <c r="B1861" s="12"/>
      <c r="C1861" s="21">
        <v>4714781020466</v>
      </c>
      <c r="D1861" s="12" t="s">
        <v>1374</v>
      </c>
      <c r="E1861" s="9">
        <v>3</v>
      </c>
      <c r="F1861" s="9">
        <v>420</v>
      </c>
      <c r="G1861" s="8">
        <f>F1861/820</f>
        <v>0.51219512195121952</v>
      </c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 spans="1:26" ht="15.75" customHeight="1">
      <c r="A1862" s="12" t="s">
        <v>2313</v>
      </c>
      <c r="B1862" s="9">
        <v>2</v>
      </c>
      <c r="C1862" s="23">
        <v>4714781021029</v>
      </c>
      <c r="D1862" s="12" t="s">
        <v>1452</v>
      </c>
      <c r="E1862" s="9">
        <v>3</v>
      </c>
      <c r="F1862" s="9">
        <v>400</v>
      </c>
      <c r="G1862" s="8">
        <f>F1862/820</f>
        <v>0.48780487804878048</v>
      </c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 spans="1:26" ht="15.75" customHeight="1">
      <c r="A1863" s="7"/>
      <c r="B1863" s="12"/>
      <c r="C1863" s="21">
        <v>4714781020503</v>
      </c>
      <c r="D1863" s="12" t="s">
        <v>1372</v>
      </c>
      <c r="E1863" s="9">
        <v>3</v>
      </c>
      <c r="F1863" s="9">
        <v>420</v>
      </c>
      <c r="G1863" s="8">
        <f>F1863/820</f>
        <v>0.51219512195121952</v>
      </c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 spans="1:26" ht="15.75" customHeight="1">
      <c r="A1864" s="7" t="s">
        <v>2312</v>
      </c>
      <c r="B1864" s="9">
        <v>2</v>
      </c>
      <c r="C1864" s="23">
        <v>4714781021012</v>
      </c>
      <c r="D1864" s="12" t="s">
        <v>1703</v>
      </c>
      <c r="E1864" s="9">
        <v>3</v>
      </c>
      <c r="F1864" s="9">
        <v>400</v>
      </c>
      <c r="G1864" s="8">
        <f>F1864/820</f>
        <v>0.48780487804878048</v>
      </c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 spans="1:26" ht="15.75" customHeight="1">
      <c r="A1865" s="7"/>
      <c r="B1865" s="12"/>
      <c r="C1865" s="21">
        <v>4714781020558</v>
      </c>
      <c r="D1865" s="12" t="s">
        <v>1370</v>
      </c>
      <c r="E1865" s="9">
        <v>3</v>
      </c>
      <c r="F1865" s="9">
        <v>420</v>
      </c>
      <c r="G1865" s="8">
        <f>F1865/820</f>
        <v>0.51219512195121952</v>
      </c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 spans="1:26" ht="15.75" customHeight="1">
      <c r="A1866" s="7" t="s">
        <v>2311</v>
      </c>
      <c r="B1866" s="9">
        <v>2</v>
      </c>
      <c r="C1866" s="23">
        <v>4714781021012</v>
      </c>
      <c r="D1866" s="12" t="s">
        <v>1703</v>
      </c>
      <c r="E1866" s="9">
        <v>3</v>
      </c>
      <c r="F1866" s="9">
        <v>400</v>
      </c>
      <c r="G1866" s="8">
        <f>F1866/820</f>
        <v>0.48780487804878048</v>
      </c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 spans="1:26" ht="15.75" customHeight="1">
      <c r="A1867" s="7"/>
      <c r="B1867" s="12"/>
      <c r="C1867" s="21">
        <v>4714781020466</v>
      </c>
      <c r="D1867" s="12" t="s">
        <v>1374</v>
      </c>
      <c r="E1867" s="9">
        <v>3</v>
      </c>
      <c r="F1867" s="9">
        <v>420</v>
      </c>
      <c r="G1867" s="8">
        <f>F1867/820</f>
        <v>0.51219512195121952</v>
      </c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 spans="1:26" ht="15.75" customHeight="1">
      <c r="A1868" s="7" t="s">
        <v>2310</v>
      </c>
      <c r="B1868" s="9">
        <v>2</v>
      </c>
      <c r="C1868" s="23">
        <v>4714781021012</v>
      </c>
      <c r="D1868" s="12" t="s">
        <v>1703</v>
      </c>
      <c r="E1868" s="9">
        <v>3</v>
      </c>
      <c r="F1868" s="9">
        <v>400</v>
      </c>
      <c r="G1868" s="8">
        <f>F1868/820</f>
        <v>0.48780487804878048</v>
      </c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 spans="1:26" ht="15.75" customHeight="1">
      <c r="A1869" s="7"/>
      <c r="B1869" s="12"/>
      <c r="C1869" s="21">
        <v>4714781020503</v>
      </c>
      <c r="D1869" s="12" t="s">
        <v>1372</v>
      </c>
      <c r="E1869" s="9">
        <v>3</v>
      </c>
      <c r="F1869" s="9">
        <v>420</v>
      </c>
      <c r="G1869" s="8">
        <f>F1869/820</f>
        <v>0.51219512195121952</v>
      </c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 spans="1:26" ht="15.75" customHeight="1">
      <c r="A1870" s="7" t="s">
        <v>2309</v>
      </c>
      <c r="B1870" s="9">
        <v>2</v>
      </c>
      <c r="C1870" s="6">
        <v>4714781021609</v>
      </c>
      <c r="D1870" s="12" t="s">
        <v>1454</v>
      </c>
      <c r="E1870" s="9">
        <v>3</v>
      </c>
      <c r="F1870" s="9">
        <v>400</v>
      </c>
      <c r="G1870" s="8">
        <f>F1870/820</f>
        <v>0.48780487804878048</v>
      </c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 spans="1:26" ht="15.75" customHeight="1">
      <c r="A1871" s="7"/>
      <c r="B1871" s="12"/>
      <c r="C1871" s="21">
        <v>4714781020558</v>
      </c>
      <c r="D1871" s="12" t="s">
        <v>1370</v>
      </c>
      <c r="E1871" s="9">
        <v>3</v>
      </c>
      <c r="F1871" s="9">
        <v>420</v>
      </c>
      <c r="G1871" s="8">
        <f>F1871/820</f>
        <v>0.51219512195121952</v>
      </c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 spans="1:26" ht="15.75" customHeight="1">
      <c r="A1872" s="7" t="s">
        <v>2308</v>
      </c>
      <c r="B1872" s="9">
        <v>2</v>
      </c>
      <c r="C1872" s="6">
        <v>4714781021609</v>
      </c>
      <c r="D1872" s="12" t="s">
        <v>1454</v>
      </c>
      <c r="E1872" s="9">
        <v>3</v>
      </c>
      <c r="F1872" s="9">
        <v>400</v>
      </c>
      <c r="G1872" s="8">
        <f>F1872/820</f>
        <v>0.48780487804878048</v>
      </c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 spans="1:26" ht="15.75" customHeight="1">
      <c r="A1873" s="7"/>
      <c r="B1873" s="12"/>
      <c r="C1873" s="21">
        <v>4714781020466</v>
      </c>
      <c r="D1873" s="12" t="s">
        <v>1374</v>
      </c>
      <c r="E1873" s="9">
        <v>3</v>
      </c>
      <c r="F1873" s="9">
        <v>420</v>
      </c>
      <c r="G1873" s="8">
        <f>F1873/820</f>
        <v>0.51219512195121952</v>
      </c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 spans="1:26" ht="15.75" customHeight="1">
      <c r="A1874" s="7" t="s">
        <v>2307</v>
      </c>
      <c r="B1874" s="9">
        <v>2</v>
      </c>
      <c r="C1874" s="6">
        <v>4714781021609</v>
      </c>
      <c r="D1874" s="12" t="s">
        <v>1454</v>
      </c>
      <c r="E1874" s="9">
        <v>3</v>
      </c>
      <c r="F1874" s="9">
        <v>400</v>
      </c>
      <c r="G1874" s="8">
        <f>F1874/820</f>
        <v>0.48780487804878048</v>
      </c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 spans="1:26" ht="15.75" customHeight="1">
      <c r="A1875" s="7"/>
      <c r="B1875" s="9"/>
      <c r="C1875" s="21">
        <v>4714781020503</v>
      </c>
      <c r="D1875" s="12" t="s">
        <v>1372</v>
      </c>
      <c r="E1875" s="9">
        <v>3</v>
      </c>
      <c r="F1875" s="9">
        <v>420</v>
      </c>
      <c r="G1875" s="8">
        <f>F1875/820</f>
        <v>0.51219512195121952</v>
      </c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 spans="1:26" ht="15.75" customHeight="1">
      <c r="A1876" s="7" t="s">
        <v>2306</v>
      </c>
      <c r="B1876" s="9">
        <v>2</v>
      </c>
      <c r="C1876" s="23">
        <v>4714781021777</v>
      </c>
      <c r="D1876" s="12" t="s">
        <v>1522</v>
      </c>
      <c r="E1876" s="9">
        <v>2</v>
      </c>
      <c r="F1876" s="9">
        <v>750</v>
      </c>
      <c r="G1876" s="8">
        <f>F1876/1320</f>
        <v>0.56818181818181823</v>
      </c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 spans="1:26" ht="15.75" customHeight="1">
      <c r="A1877" s="7"/>
      <c r="B1877" s="9"/>
      <c r="C1877" s="23" t="s">
        <v>1510</v>
      </c>
      <c r="D1877" s="12" t="s">
        <v>2190</v>
      </c>
      <c r="E1877" s="9">
        <v>2</v>
      </c>
      <c r="F1877" s="9">
        <v>570</v>
      </c>
      <c r="G1877" s="8">
        <f>F1877/1320</f>
        <v>0.43181818181818182</v>
      </c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 spans="1:26" ht="15.75" customHeight="1">
      <c r="A1878" s="7" t="s">
        <v>2305</v>
      </c>
      <c r="B1878" s="9">
        <v>2</v>
      </c>
      <c r="C1878" s="23">
        <v>4714781021777</v>
      </c>
      <c r="D1878" s="12" t="s">
        <v>1522</v>
      </c>
      <c r="E1878" s="9">
        <v>2</v>
      </c>
      <c r="F1878" s="9">
        <v>750</v>
      </c>
      <c r="G1878" s="8">
        <f>F1878/1320</f>
        <v>0.56818181818181823</v>
      </c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 spans="1:26" ht="15.75" customHeight="1">
      <c r="A1879" s="7"/>
      <c r="B1879" s="9"/>
      <c r="C1879" s="23" t="s">
        <v>1506</v>
      </c>
      <c r="D1879" s="12" t="s">
        <v>2188</v>
      </c>
      <c r="E1879" s="9">
        <v>2</v>
      </c>
      <c r="F1879" s="9">
        <v>570</v>
      </c>
      <c r="G1879" s="8">
        <f>F1879/1320</f>
        <v>0.43181818181818182</v>
      </c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 spans="1:26" ht="15.75" customHeight="1">
      <c r="A1880" s="7" t="s">
        <v>2304</v>
      </c>
      <c r="B1880" s="9">
        <v>2</v>
      </c>
      <c r="C1880" s="23">
        <v>4714781021777</v>
      </c>
      <c r="D1880" s="12" t="s">
        <v>1522</v>
      </c>
      <c r="E1880" s="9">
        <v>2</v>
      </c>
      <c r="F1880" s="9">
        <v>750</v>
      </c>
      <c r="G1880" s="8">
        <f>F1880/1320</f>
        <v>0.56818181818181823</v>
      </c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 spans="1:26" ht="15.75" customHeight="1">
      <c r="A1881" s="7"/>
      <c r="B1881" s="9"/>
      <c r="C1881" s="23" t="s">
        <v>1508</v>
      </c>
      <c r="D1881" s="12" t="s">
        <v>2186</v>
      </c>
      <c r="E1881" s="9">
        <v>2</v>
      </c>
      <c r="F1881" s="9">
        <v>570</v>
      </c>
      <c r="G1881" s="8">
        <f>F1881/1320</f>
        <v>0.43181818181818182</v>
      </c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 spans="1:26" ht="15.75" customHeight="1">
      <c r="A1882" s="7" t="s">
        <v>2303</v>
      </c>
      <c r="B1882" s="9">
        <v>2</v>
      </c>
      <c r="C1882" s="23">
        <v>4714781021777</v>
      </c>
      <c r="D1882" s="12" t="s">
        <v>1522</v>
      </c>
      <c r="E1882" s="9">
        <v>2</v>
      </c>
      <c r="F1882" s="9">
        <v>750</v>
      </c>
      <c r="G1882" s="8">
        <f>F1882/1320</f>
        <v>0.56818181818181823</v>
      </c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 spans="1:26" ht="15.75" customHeight="1">
      <c r="A1883" s="7"/>
      <c r="B1883" s="9"/>
      <c r="C1883" s="23" t="s">
        <v>1531</v>
      </c>
      <c r="D1883" s="12" t="s">
        <v>2194</v>
      </c>
      <c r="E1883" s="9">
        <v>2</v>
      </c>
      <c r="F1883" s="9">
        <v>570</v>
      </c>
      <c r="G1883" s="8">
        <f>F1883/1320</f>
        <v>0.43181818181818182</v>
      </c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 spans="1:26" ht="15.75" customHeight="1">
      <c r="A1884" s="7" t="s">
        <v>2302</v>
      </c>
      <c r="B1884" s="9">
        <v>3</v>
      </c>
      <c r="C1884" s="23">
        <v>4714781021777</v>
      </c>
      <c r="D1884" s="12" t="s">
        <v>1522</v>
      </c>
      <c r="E1884" s="9">
        <v>2</v>
      </c>
      <c r="F1884" s="9">
        <v>750</v>
      </c>
      <c r="G1884" s="8">
        <f>F1884/1320</f>
        <v>0.56818181818181823</v>
      </c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 spans="1:26" ht="15.75" customHeight="1">
      <c r="A1885" s="7"/>
      <c r="B1885" s="9"/>
      <c r="C1885" s="23" t="s">
        <v>1510</v>
      </c>
      <c r="D1885" s="12" t="s">
        <v>2190</v>
      </c>
      <c r="E1885" s="9">
        <v>1</v>
      </c>
      <c r="F1885" s="9">
        <v>285</v>
      </c>
      <c r="G1885" s="8">
        <f>F1885/1320</f>
        <v>0.21590909090909091</v>
      </c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 spans="1:26" ht="15.75" customHeight="1">
      <c r="A1886" s="7"/>
      <c r="B1886" s="9"/>
      <c r="C1886" s="23" t="s">
        <v>1531</v>
      </c>
      <c r="D1886" s="12" t="s">
        <v>2194</v>
      </c>
      <c r="E1886" s="9">
        <v>1</v>
      </c>
      <c r="F1886" s="9">
        <v>285</v>
      </c>
      <c r="G1886" s="8">
        <f>F1886/1320</f>
        <v>0.21590909090909091</v>
      </c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 spans="1:26" ht="15.75" customHeight="1">
      <c r="A1887" s="7" t="s">
        <v>2301</v>
      </c>
      <c r="B1887" s="9">
        <v>3</v>
      </c>
      <c r="C1887" s="23">
        <v>4714781021777</v>
      </c>
      <c r="D1887" s="12" t="s">
        <v>1522</v>
      </c>
      <c r="E1887" s="9">
        <v>2</v>
      </c>
      <c r="F1887" s="9">
        <v>750</v>
      </c>
      <c r="G1887" s="8">
        <f>F1887/1320</f>
        <v>0.56818181818181823</v>
      </c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 spans="1:26" ht="15.75" customHeight="1">
      <c r="A1888" s="7"/>
      <c r="B1888" s="9"/>
      <c r="C1888" s="23" t="s">
        <v>1531</v>
      </c>
      <c r="D1888" s="12" t="s">
        <v>2194</v>
      </c>
      <c r="E1888" s="9">
        <v>1</v>
      </c>
      <c r="F1888" s="9">
        <v>285</v>
      </c>
      <c r="G1888" s="8">
        <f>F1888/1320</f>
        <v>0.21590909090909091</v>
      </c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 spans="1:26" ht="15.75" customHeight="1">
      <c r="A1889" s="7"/>
      <c r="B1889" s="9"/>
      <c r="C1889" s="23" t="s">
        <v>1508</v>
      </c>
      <c r="D1889" s="12" t="s">
        <v>2186</v>
      </c>
      <c r="E1889" s="9">
        <v>1</v>
      </c>
      <c r="F1889" s="9">
        <v>285</v>
      </c>
      <c r="G1889" s="8">
        <f>F1889/1320</f>
        <v>0.21590909090909091</v>
      </c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 spans="1:26" ht="15.75" customHeight="1">
      <c r="A1890" s="7" t="s">
        <v>2300</v>
      </c>
      <c r="B1890" s="9">
        <v>3</v>
      </c>
      <c r="C1890" s="23">
        <v>4714781021777</v>
      </c>
      <c r="D1890" s="12" t="s">
        <v>1522</v>
      </c>
      <c r="E1890" s="9">
        <v>2</v>
      </c>
      <c r="F1890" s="9">
        <v>750</v>
      </c>
      <c r="G1890" s="8">
        <f>F1890/1320</f>
        <v>0.56818181818181823</v>
      </c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 spans="1:26" ht="15.75" customHeight="1">
      <c r="A1891" s="7"/>
      <c r="B1891" s="9"/>
      <c r="C1891" s="23" t="s">
        <v>1531</v>
      </c>
      <c r="D1891" s="12" t="s">
        <v>2194</v>
      </c>
      <c r="E1891" s="9">
        <v>1</v>
      </c>
      <c r="F1891" s="9">
        <v>285</v>
      </c>
      <c r="G1891" s="8">
        <f>F1891/1320</f>
        <v>0.21590909090909091</v>
      </c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 spans="1:26" ht="15.75" customHeight="1">
      <c r="A1892" s="7"/>
      <c r="B1892" s="9"/>
      <c r="C1892" s="23" t="s">
        <v>1506</v>
      </c>
      <c r="D1892" s="12" t="s">
        <v>2188</v>
      </c>
      <c r="E1892" s="9">
        <v>1</v>
      </c>
      <c r="F1892" s="9">
        <v>285</v>
      </c>
      <c r="G1892" s="8">
        <f>F1892/1320</f>
        <v>0.21590909090909091</v>
      </c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 spans="1:26" ht="15.75" customHeight="1">
      <c r="A1893" s="7" t="s">
        <v>2299</v>
      </c>
      <c r="B1893" s="9">
        <v>3</v>
      </c>
      <c r="C1893" s="23">
        <v>4714781021777</v>
      </c>
      <c r="D1893" s="12" t="s">
        <v>1522</v>
      </c>
      <c r="E1893" s="9">
        <v>2</v>
      </c>
      <c r="F1893" s="9">
        <v>750</v>
      </c>
      <c r="G1893" s="8">
        <f>F1893/1320</f>
        <v>0.56818181818181823</v>
      </c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 spans="1:26" ht="15.75" customHeight="1">
      <c r="A1894" s="7"/>
      <c r="B1894" s="9"/>
      <c r="C1894" s="23" t="s">
        <v>1510</v>
      </c>
      <c r="D1894" s="12" t="s">
        <v>2190</v>
      </c>
      <c r="E1894" s="9">
        <v>1</v>
      </c>
      <c r="F1894" s="9">
        <v>285</v>
      </c>
      <c r="G1894" s="8">
        <f>F1894/1320</f>
        <v>0.21590909090909091</v>
      </c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 spans="1:26" ht="15.75" customHeight="1">
      <c r="A1895" s="7"/>
      <c r="B1895" s="9"/>
      <c r="C1895" s="23" t="s">
        <v>1506</v>
      </c>
      <c r="D1895" s="12" t="s">
        <v>2188</v>
      </c>
      <c r="E1895" s="9">
        <v>1</v>
      </c>
      <c r="F1895" s="9">
        <v>285</v>
      </c>
      <c r="G1895" s="8">
        <f>F1895/1320</f>
        <v>0.21590909090909091</v>
      </c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 spans="1:26" ht="15.75" customHeight="1">
      <c r="A1896" s="7" t="s">
        <v>2298</v>
      </c>
      <c r="B1896" s="9">
        <v>3</v>
      </c>
      <c r="C1896" s="23">
        <v>4714781021777</v>
      </c>
      <c r="D1896" s="12" t="s">
        <v>1522</v>
      </c>
      <c r="E1896" s="9">
        <v>2</v>
      </c>
      <c r="F1896" s="9">
        <v>750</v>
      </c>
      <c r="G1896" s="8">
        <f>F1896/1320</f>
        <v>0.56818181818181823</v>
      </c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 spans="1:26" ht="15.75" customHeight="1">
      <c r="A1897" s="7"/>
      <c r="B1897" s="9"/>
      <c r="C1897" s="23" t="s">
        <v>1510</v>
      </c>
      <c r="D1897" s="12" t="s">
        <v>2190</v>
      </c>
      <c r="E1897" s="9">
        <v>1</v>
      </c>
      <c r="F1897" s="9">
        <v>285</v>
      </c>
      <c r="G1897" s="8">
        <f>F1897/1320</f>
        <v>0.21590909090909091</v>
      </c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 spans="1:26" ht="15.75" customHeight="1">
      <c r="A1898" s="7"/>
      <c r="B1898" s="9"/>
      <c r="C1898" s="23" t="s">
        <v>1508</v>
      </c>
      <c r="D1898" s="12" t="s">
        <v>2186</v>
      </c>
      <c r="E1898" s="9">
        <v>1</v>
      </c>
      <c r="F1898" s="9">
        <v>285</v>
      </c>
      <c r="G1898" s="8">
        <f>F1898/1320</f>
        <v>0.21590909090909091</v>
      </c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 spans="1:26" ht="15.75" customHeight="1">
      <c r="A1899" s="7" t="s">
        <v>2297</v>
      </c>
      <c r="B1899" s="9">
        <v>3</v>
      </c>
      <c r="C1899" s="23">
        <v>4714781021777</v>
      </c>
      <c r="D1899" s="12" t="s">
        <v>1522</v>
      </c>
      <c r="E1899" s="9">
        <v>2</v>
      </c>
      <c r="F1899" s="9">
        <v>750</v>
      </c>
      <c r="G1899" s="8">
        <f>F1899/1320</f>
        <v>0.56818181818181823</v>
      </c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 spans="1:26" ht="15.75" customHeight="1">
      <c r="A1900" s="7"/>
      <c r="B1900" s="9"/>
      <c r="C1900" s="23" t="s">
        <v>1508</v>
      </c>
      <c r="D1900" s="12" t="s">
        <v>2186</v>
      </c>
      <c r="E1900" s="9">
        <v>1</v>
      </c>
      <c r="F1900" s="9">
        <v>285</v>
      </c>
      <c r="G1900" s="8">
        <f>F1900/1320</f>
        <v>0.21590909090909091</v>
      </c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 spans="1:26" ht="15.75" customHeight="1">
      <c r="A1901" s="7"/>
      <c r="B1901" s="9"/>
      <c r="C1901" s="23" t="s">
        <v>1506</v>
      </c>
      <c r="D1901" s="12" t="s">
        <v>2188</v>
      </c>
      <c r="E1901" s="9">
        <v>1</v>
      </c>
      <c r="F1901" s="9">
        <v>285</v>
      </c>
      <c r="G1901" s="8">
        <f>F1901/1320</f>
        <v>0.21590909090909091</v>
      </c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 spans="1:26" ht="15.75" customHeight="1">
      <c r="A1902" s="7" t="s">
        <v>2296</v>
      </c>
      <c r="B1902" s="9">
        <v>1</v>
      </c>
      <c r="C1902" s="21">
        <v>4714781020794</v>
      </c>
      <c r="D1902" s="10" t="s">
        <v>1320</v>
      </c>
      <c r="E1902" s="9">
        <v>2</v>
      </c>
      <c r="F1902" s="9">
        <v>230</v>
      </c>
      <c r="G1902" s="8">
        <f>F1902/230</f>
        <v>1</v>
      </c>
      <c r="H1902" s="8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 spans="1:26" ht="15.75" customHeight="1">
      <c r="A1903" s="7" t="s">
        <v>2295</v>
      </c>
      <c r="B1903" s="9">
        <v>1</v>
      </c>
      <c r="C1903" s="21">
        <v>4714781020800</v>
      </c>
      <c r="D1903" s="10" t="s">
        <v>1319</v>
      </c>
      <c r="E1903" s="9">
        <v>2</v>
      </c>
      <c r="F1903" s="9">
        <v>230</v>
      </c>
      <c r="G1903" s="8">
        <f>F1903/230</f>
        <v>1</v>
      </c>
      <c r="H1903" s="8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 spans="1:26" ht="15.75" customHeight="1">
      <c r="A1904" s="7" t="s">
        <v>2294</v>
      </c>
      <c r="B1904" s="9">
        <v>1</v>
      </c>
      <c r="C1904" s="21">
        <v>4714781020817</v>
      </c>
      <c r="D1904" s="10" t="s">
        <v>1317</v>
      </c>
      <c r="E1904" s="9">
        <v>2</v>
      </c>
      <c r="F1904" s="9">
        <v>230</v>
      </c>
      <c r="G1904" s="8">
        <f>F1904/230</f>
        <v>1</v>
      </c>
      <c r="H1904" s="8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 spans="1:26" ht="15.75" customHeight="1">
      <c r="A1905" s="7" t="s">
        <v>2293</v>
      </c>
      <c r="B1905" s="9">
        <v>2</v>
      </c>
      <c r="C1905" s="21">
        <v>4714781020794</v>
      </c>
      <c r="D1905" s="10" t="s">
        <v>1320</v>
      </c>
      <c r="E1905" s="9">
        <v>1</v>
      </c>
      <c r="F1905" s="9">
        <v>115</v>
      </c>
      <c r="G1905" s="8">
        <f>F1905/230</f>
        <v>0.5</v>
      </c>
      <c r="H1905" s="8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 spans="1:26" ht="15.75" customHeight="1">
      <c r="A1906" s="7"/>
      <c r="B1906" s="10"/>
      <c r="C1906" s="21">
        <v>4714781020800</v>
      </c>
      <c r="D1906" s="10" t="s">
        <v>1319</v>
      </c>
      <c r="E1906" s="9">
        <v>1</v>
      </c>
      <c r="F1906" s="9">
        <v>115</v>
      </c>
      <c r="G1906" s="8">
        <f>F1906/230</f>
        <v>0.5</v>
      </c>
      <c r="H1906" s="8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 spans="1:26" ht="15.75" customHeight="1">
      <c r="A1907" s="7" t="s">
        <v>2292</v>
      </c>
      <c r="B1907" s="9">
        <v>2</v>
      </c>
      <c r="C1907" s="21">
        <v>4714781020794</v>
      </c>
      <c r="D1907" s="10" t="s">
        <v>1320</v>
      </c>
      <c r="E1907" s="9">
        <v>1</v>
      </c>
      <c r="F1907" s="9">
        <v>115</v>
      </c>
      <c r="G1907" s="8">
        <f>F1907/230</f>
        <v>0.5</v>
      </c>
      <c r="H1907" s="8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 spans="1:26" ht="15.75" customHeight="1">
      <c r="A1908" s="7"/>
      <c r="B1908" s="10"/>
      <c r="C1908" s="21">
        <v>4714781020817</v>
      </c>
      <c r="D1908" s="10" t="s">
        <v>1317</v>
      </c>
      <c r="E1908" s="9">
        <v>1</v>
      </c>
      <c r="F1908" s="9">
        <v>115</v>
      </c>
      <c r="G1908" s="8">
        <f>F1908/230</f>
        <v>0.5</v>
      </c>
      <c r="H1908" s="8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 spans="1:26" ht="15.75" customHeight="1">
      <c r="A1909" s="7" t="s">
        <v>2291</v>
      </c>
      <c r="B1909" s="9">
        <v>2</v>
      </c>
      <c r="C1909" s="21">
        <v>4714781020800</v>
      </c>
      <c r="D1909" s="10" t="s">
        <v>1319</v>
      </c>
      <c r="E1909" s="9">
        <v>1</v>
      </c>
      <c r="F1909" s="9">
        <v>115</v>
      </c>
      <c r="G1909" s="8">
        <f>F1909/230</f>
        <v>0.5</v>
      </c>
      <c r="H1909" s="8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 spans="1:26" ht="15.75" customHeight="1">
      <c r="A1910" s="7"/>
      <c r="B1910" s="10"/>
      <c r="C1910" s="21">
        <v>4714781020817</v>
      </c>
      <c r="D1910" s="10" t="s">
        <v>1317</v>
      </c>
      <c r="E1910" s="9">
        <v>1</v>
      </c>
      <c r="F1910" s="9">
        <v>115</v>
      </c>
      <c r="G1910" s="8">
        <f>F1910/230</f>
        <v>0.5</v>
      </c>
      <c r="H1910" s="8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 spans="1:26" ht="15.75" customHeight="1">
      <c r="A1911" s="7" t="s">
        <v>2290</v>
      </c>
      <c r="B1911" s="9">
        <v>1</v>
      </c>
      <c r="C1911" s="21">
        <v>4714781020770</v>
      </c>
      <c r="D1911" s="10" t="s">
        <v>1380</v>
      </c>
      <c r="E1911" s="9">
        <v>2</v>
      </c>
      <c r="F1911" s="9">
        <v>270</v>
      </c>
      <c r="G1911" s="8">
        <f>F1911/270</f>
        <v>1</v>
      </c>
      <c r="H1911" s="8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 spans="1:26" ht="15.75" customHeight="1">
      <c r="A1912" s="7" t="s">
        <v>2289</v>
      </c>
      <c r="B1912" s="9">
        <v>1</v>
      </c>
      <c r="C1912" s="21">
        <v>4714781020787</v>
      </c>
      <c r="D1912" s="10" t="s">
        <v>1378</v>
      </c>
      <c r="E1912" s="9">
        <v>2</v>
      </c>
      <c r="F1912" s="9">
        <v>270</v>
      </c>
      <c r="G1912" s="8">
        <f>F1912/270</f>
        <v>1</v>
      </c>
      <c r="H1912" s="8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 spans="1:26" ht="15.75" customHeight="1">
      <c r="A1913" s="7" t="s">
        <v>2288</v>
      </c>
      <c r="B1913" s="9">
        <v>2</v>
      </c>
      <c r="C1913" s="21">
        <v>4714781020770</v>
      </c>
      <c r="D1913" s="10" t="s">
        <v>1380</v>
      </c>
      <c r="E1913" s="9">
        <v>1</v>
      </c>
      <c r="F1913" s="9">
        <v>135</v>
      </c>
      <c r="G1913" s="8">
        <f>F1913/270</f>
        <v>0.5</v>
      </c>
      <c r="H1913" s="8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 spans="1:26" ht="15.75" customHeight="1">
      <c r="A1914" s="7"/>
      <c r="B1914" s="10"/>
      <c r="C1914" s="21">
        <v>4714781020787</v>
      </c>
      <c r="D1914" s="10" t="s">
        <v>1378</v>
      </c>
      <c r="E1914" s="9">
        <v>1</v>
      </c>
      <c r="F1914" s="9">
        <v>135</v>
      </c>
      <c r="G1914" s="8">
        <f>F1914/270</f>
        <v>0.5</v>
      </c>
      <c r="H1914" s="8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 spans="1:26" ht="15.75" customHeight="1">
      <c r="A1915" s="7" t="s">
        <v>2287</v>
      </c>
      <c r="B1915" s="9">
        <v>1</v>
      </c>
      <c r="C1915" s="21">
        <v>4714781020848</v>
      </c>
      <c r="D1915" s="10" t="s">
        <v>1382</v>
      </c>
      <c r="E1915" s="9">
        <v>2</v>
      </c>
      <c r="F1915" s="9">
        <v>650</v>
      </c>
      <c r="G1915" s="8">
        <f>F1915/650</f>
        <v>1</v>
      </c>
      <c r="H1915" s="8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 spans="1:26" ht="15.75" customHeight="1">
      <c r="A1916" s="7" t="s">
        <v>2286</v>
      </c>
      <c r="B1916" s="9">
        <v>1</v>
      </c>
      <c r="C1916" s="21" t="s">
        <v>1596</v>
      </c>
      <c r="D1916" s="10" t="s">
        <v>1384</v>
      </c>
      <c r="E1916" s="9">
        <v>2</v>
      </c>
      <c r="F1916" s="9">
        <v>650</v>
      </c>
      <c r="G1916" s="8">
        <f>F1916/650</f>
        <v>1</v>
      </c>
      <c r="H1916" s="8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 spans="1:26" ht="15.75" customHeight="1">
      <c r="A1917" s="7" t="s">
        <v>2285</v>
      </c>
      <c r="B1917" s="9">
        <v>2</v>
      </c>
      <c r="C1917" s="21">
        <v>4714781020848</v>
      </c>
      <c r="D1917" s="10" t="s">
        <v>1382</v>
      </c>
      <c r="E1917" s="9">
        <v>1</v>
      </c>
      <c r="F1917" s="9">
        <v>325</v>
      </c>
      <c r="G1917" s="8">
        <f>F1917/650</f>
        <v>0.5</v>
      </c>
      <c r="H1917" s="8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 spans="1:26" ht="15.75" customHeight="1">
      <c r="A1918" s="7"/>
      <c r="B1918" s="10"/>
      <c r="C1918" s="21" t="s">
        <v>1596</v>
      </c>
      <c r="D1918" s="10" t="s">
        <v>1384</v>
      </c>
      <c r="E1918" s="9">
        <v>1</v>
      </c>
      <c r="F1918" s="9">
        <v>325</v>
      </c>
      <c r="G1918" s="8">
        <f>F1918/650</f>
        <v>0.5</v>
      </c>
      <c r="H1918" s="8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 spans="1:26" ht="15.75" customHeight="1">
      <c r="A1919" s="7" t="s">
        <v>2284</v>
      </c>
      <c r="B1919" s="9">
        <v>1</v>
      </c>
      <c r="C1919" s="21">
        <v>4714781020824</v>
      </c>
      <c r="D1919" s="10" t="s">
        <v>1391</v>
      </c>
      <c r="E1919" s="9">
        <v>2</v>
      </c>
      <c r="F1919" s="9">
        <v>650</v>
      </c>
      <c r="G1919" s="8">
        <f>F1919/650</f>
        <v>1</v>
      </c>
      <c r="H1919" s="8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 spans="1:26" ht="15.75" customHeight="1">
      <c r="A1920" s="7" t="s">
        <v>2283</v>
      </c>
      <c r="B1920" s="9">
        <v>1</v>
      </c>
      <c r="C1920" s="21">
        <v>4714781020831</v>
      </c>
      <c r="D1920" s="10" t="s">
        <v>1389</v>
      </c>
      <c r="E1920" s="9">
        <v>2</v>
      </c>
      <c r="F1920" s="9">
        <v>650</v>
      </c>
      <c r="G1920" s="8">
        <f>F1920/650</f>
        <v>1</v>
      </c>
      <c r="H1920" s="8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 spans="1:26" ht="15.75" customHeight="1">
      <c r="A1921" s="7" t="s">
        <v>2282</v>
      </c>
      <c r="B1921" s="9">
        <v>2</v>
      </c>
      <c r="C1921" s="21">
        <v>4714781020824</v>
      </c>
      <c r="D1921" s="10" t="s">
        <v>1391</v>
      </c>
      <c r="E1921" s="9">
        <v>1</v>
      </c>
      <c r="F1921" s="9">
        <v>325</v>
      </c>
      <c r="G1921" s="8">
        <f>F1921/650</f>
        <v>0.5</v>
      </c>
      <c r="H1921" s="8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 spans="1:26" ht="15.75" customHeight="1">
      <c r="A1922" s="7"/>
      <c r="B1922" s="10"/>
      <c r="C1922" s="21">
        <v>4714781020831</v>
      </c>
      <c r="D1922" s="10" t="s">
        <v>1389</v>
      </c>
      <c r="E1922" s="9">
        <v>1</v>
      </c>
      <c r="F1922" s="9">
        <v>325</v>
      </c>
      <c r="G1922" s="8">
        <f>F1922/650</f>
        <v>0.5</v>
      </c>
      <c r="H1922" s="8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 spans="1:26" ht="15.75" customHeight="1">
      <c r="A1923" s="7" t="s">
        <v>2281</v>
      </c>
      <c r="B1923" s="9">
        <v>2</v>
      </c>
      <c r="C1923" s="21">
        <v>4714781020848</v>
      </c>
      <c r="D1923" s="10" t="s">
        <v>1382</v>
      </c>
      <c r="E1923" s="9">
        <v>1</v>
      </c>
      <c r="F1923" s="9">
        <v>325</v>
      </c>
      <c r="G1923" s="8">
        <f>F1923/650</f>
        <v>0.5</v>
      </c>
      <c r="H1923" s="8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 spans="1:26" ht="15.75" customHeight="1">
      <c r="A1924" s="7"/>
      <c r="B1924" s="10"/>
      <c r="C1924" s="21">
        <v>4714781020824</v>
      </c>
      <c r="D1924" s="10" t="s">
        <v>1391</v>
      </c>
      <c r="E1924" s="9">
        <v>1</v>
      </c>
      <c r="F1924" s="9">
        <v>325</v>
      </c>
      <c r="G1924" s="8">
        <f>F1924/650</f>
        <v>0.5</v>
      </c>
      <c r="H1924" s="8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 spans="1:26" ht="15.75" customHeight="1">
      <c r="A1925" s="7" t="s">
        <v>2280</v>
      </c>
      <c r="B1925" s="9">
        <v>2</v>
      </c>
      <c r="C1925" s="21">
        <v>4714781020848</v>
      </c>
      <c r="D1925" s="10" t="s">
        <v>1382</v>
      </c>
      <c r="E1925" s="9">
        <v>1</v>
      </c>
      <c r="F1925" s="9">
        <v>325</v>
      </c>
      <c r="G1925" s="8">
        <f>F1925/650</f>
        <v>0.5</v>
      </c>
      <c r="H1925" s="8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 spans="1:26" ht="15.75" customHeight="1">
      <c r="A1926" s="7"/>
      <c r="B1926" s="10"/>
      <c r="C1926" s="21">
        <v>4714781020831</v>
      </c>
      <c r="D1926" s="10" t="s">
        <v>1389</v>
      </c>
      <c r="E1926" s="9">
        <v>1</v>
      </c>
      <c r="F1926" s="9">
        <v>325</v>
      </c>
      <c r="G1926" s="8">
        <f>F1926/650</f>
        <v>0.5</v>
      </c>
      <c r="H1926" s="8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 spans="1:26" ht="15.75" customHeight="1">
      <c r="A1927" s="7" t="s">
        <v>2279</v>
      </c>
      <c r="B1927" s="9">
        <v>2</v>
      </c>
      <c r="C1927" s="21" t="s">
        <v>1596</v>
      </c>
      <c r="D1927" s="10" t="s">
        <v>1384</v>
      </c>
      <c r="E1927" s="9">
        <v>1</v>
      </c>
      <c r="F1927" s="9">
        <v>325</v>
      </c>
      <c r="G1927" s="8">
        <f>F1927/650</f>
        <v>0.5</v>
      </c>
      <c r="H1927" s="8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 spans="1:26" ht="15.75" customHeight="1">
      <c r="A1928" s="7"/>
      <c r="B1928" s="10"/>
      <c r="C1928" s="21">
        <v>4714781020824</v>
      </c>
      <c r="D1928" s="10" t="s">
        <v>1391</v>
      </c>
      <c r="E1928" s="9">
        <v>1</v>
      </c>
      <c r="F1928" s="9">
        <v>325</v>
      </c>
      <c r="G1928" s="8">
        <f>F1928/650</f>
        <v>0.5</v>
      </c>
      <c r="H1928" s="8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 spans="1:26" ht="15.75" customHeight="1">
      <c r="A1929" s="7" t="s">
        <v>2278</v>
      </c>
      <c r="B1929" s="9">
        <v>2</v>
      </c>
      <c r="C1929" s="21" t="s">
        <v>1596</v>
      </c>
      <c r="D1929" s="10" t="s">
        <v>1384</v>
      </c>
      <c r="E1929" s="9">
        <v>1</v>
      </c>
      <c r="F1929" s="9">
        <v>325</v>
      </c>
      <c r="G1929" s="8">
        <f>F1929/650</f>
        <v>0.5</v>
      </c>
      <c r="H1929" s="8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 spans="1:26" ht="15.75" customHeight="1">
      <c r="A1930" s="7"/>
      <c r="B1930" s="10"/>
      <c r="C1930" s="21">
        <v>4714781020831</v>
      </c>
      <c r="D1930" s="10" t="s">
        <v>1389</v>
      </c>
      <c r="E1930" s="9">
        <v>1</v>
      </c>
      <c r="F1930" s="9">
        <v>325</v>
      </c>
      <c r="G1930" s="8">
        <f>F1930/650</f>
        <v>0.5</v>
      </c>
      <c r="H1930" s="8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 spans="1:26" ht="15.75" customHeight="1">
      <c r="A1931" s="7" t="s">
        <v>2277</v>
      </c>
      <c r="B1931" s="9">
        <v>1</v>
      </c>
      <c r="C1931" s="21" t="s">
        <v>1619</v>
      </c>
      <c r="D1931" s="10" t="s">
        <v>1376</v>
      </c>
      <c r="E1931" s="9">
        <v>4</v>
      </c>
      <c r="F1931" s="9">
        <v>550</v>
      </c>
      <c r="G1931" s="8">
        <f>F1931/550</f>
        <v>1</v>
      </c>
      <c r="H1931" s="8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 spans="1:26" ht="15.75" customHeight="1">
      <c r="A1932" s="7" t="s">
        <v>2276</v>
      </c>
      <c r="B1932" s="9">
        <v>3</v>
      </c>
      <c r="C1932" s="21">
        <v>4714781020558</v>
      </c>
      <c r="D1932" s="10" t="s">
        <v>1370</v>
      </c>
      <c r="E1932" s="9">
        <v>1</v>
      </c>
      <c r="F1932" s="9">
        <v>150</v>
      </c>
      <c r="G1932" s="8">
        <f>F1932/450</f>
        <v>0.33333333333333331</v>
      </c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 spans="1:26" ht="15.75" customHeight="1">
      <c r="A1933" s="7"/>
      <c r="B1933" s="9"/>
      <c r="C1933" s="21">
        <v>4714781020503</v>
      </c>
      <c r="D1933" s="10" t="s">
        <v>1372</v>
      </c>
      <c r="E1933" s="9">
        <v>1</v>
      </c>
      <c r="F1933" s="9">
        <v>150</v>
      </c>
      <c r="G1933" s="8">
        <f>F1933/450</f>
        <v>0.33333333333333331</v>
      </c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 spans="1:26" ht="15.75" customHeight="1">
      <c r="A1934" s="7"/>
      <c r="B1934" s="9"/>
      <c r="C1934" s="21">
        <v>4714781020466</v>
      </c>
      <c r="D1934" s="10" t="s">
        <v>1374</v>
      </c>
      <c r="E1934" s="9">
        <v>1</v>
      </c>
      <c r="F1934" s="9">
        <v>150</v>
      </c>
      <c r="G1934" s="8">
        <f>F1934/450</f>
        <v>0.33333333333333331</v>
      </c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 spans="1:26" ht="15.75" customHeight="1">
      <c r="A1935" s="7" t="s">
        <v>2275</v>
      </c>
      <c r="B1935" s="9">
        <v>3</v>
      </c>
      <c r="C1935" s="21">
        <v>4714781020466</v>
      </c>
      <c r="D1935" s="10" t="s">
        <v>1374</v>
      </c>
      <c r="E1935" s="9">
        <v>1</v>
      </c>
      <c r="F1935" s="9">
        <v>145</v>
      </c>
      <c r="G1935" s="8">
        <f>F1935/435</f>
        <v>0.33333333333333331</v>
      </c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 spans="1:26" ht="15.75" customHeight="1">
      <c r="A1936" s="7"/>
      <c r="B1936" s="10"/>
      <c r="C1936" s="21">
        <v>4714781020503</v>
      </c>
      <c r="D1936" s="10" t="s">
        <v>1372</v>
      </c>
      <c r="E1936" s="9">
        <v>1</v>
      </c>
      <c r="F1936" s="9">
        <v>145</v>
      </c>
      <c r="G1936" s="8">
        <f>F1936/435</f>
        <v>0.33333333333333331</v>
      </c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 spans="1:26" ht="15.75" customHeight="1">
      <c r="A1937" s="7"/>
      <c r="B1937" s="10"/>
      <c r="C1937" s="21">
        <v>4714781020558</v>
      </c>
      <c r="D1937" s="10" t="s">
        <v>1370</v>
      </c>
      <c r="E1937" s="9">
        <v>1</v>
      </c>
      <c r="F1937" s="9">
        <v>145</v>
      </c>
      <c r="G1937" s="8">
        <f>F1937/435</f>
        <v>0.33333333333333331</v>
      </c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 spans="1:26" ht="15.75" customHeight="1">
      <c r="A1938" s="7" t="s">
        <v>2274</v>
      </c>
      <c r="B1938" s="9">
        <v>1</v>
      </c>
      <c r="C1938" s="21">
        <v>4714781020558</v>
      </c>
      <c r="D1938" s="10" t="s">
        <v>1370</v>
      </c>
      <c r="E1938" s="9">
        <v>3</v>
      </c>
      <c r="F1938" s="9">
        <v>435</v>
      </c>
      <c r="G1938" s="8">
        <f>F1938/435</f>
        <v>1</v>
      </c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 spans="1:26" ht="15.75" customHeight="1">
      <c r="A1939" s="7" t="s">
        <v>2273</v>
      </c>
      <c r="B1939" s="9">
        <v>1</v>
      </c>
      <c r="C1939" s="21">
        <v>4714781020503</v>
      </c>
      <c r="D1939" s="10" t="s">
        <v>1372</v>
      </c>
      <c r="E1939" s="9">
        <v>3</v>
      </c>
      <c r="F1939" s="9">
        <v>435</v>
      </c>
      <c r="G1939" s="8">
        <f>F1939/435</f>
        <v>1</v>
      </c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 spans="1:26" ht="15.75" customHeight="1">
      <c r="A1940" s="7" t="s">
        <v>2272</v>
      </c>
      <c r="B1940" s="9">
        <v>1</v>
      </c>
      <c r="C1940" s="21">
        <v>4714781020466</v>
      </c>
      <c r="D1940" s="10" t="s">
        <v>1374</v>
      </c>
      <c r="E1940" s="9">
        <v>3</v>
      </c>
      <c r="F1940" s="9">
        <v>435</v>
      </c>
      <c r="G1940" s="8">
        <f>F1940/435</f>
        <v>1</v>
      </c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 spans="1:26" ht="15.75" customHeight="1">
      <c r="A1941" s="7" t="s">
        <v>2271</v>
      </c>
      <c r="B1941" s="9">
        <v>2</v>
      </c>
      <c r="C1941" s="21">
        <v>4714781020503</v>
      </c>
      <c r="D1941" s="10" t="s">
        <v>1372</v>
      </c>
      <c r="E1941" s="9">
        <v>2</v>
      </c>
      <c r="F1941" s="9">
        <v>290</v>
      </c>
      <c r="G1941" s="8">
        <f>F1941/435</f>
        <v>0.66666666666666663</v>
      </c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 spans="1:26" ht="15.75" customHeight="1">
      <c r="A1942" s="7"/>
      <c r="B1942" s="10"/>
      <c r="C1942" s="21">
        <v>4714781020466</v>
      </c>
      <c r="D1942" s="10" t="s">
        <v>1374</v>
      </c>
      <c r="E1942" s="9">
        <v>1</v>
      </c>
      <c r="F1942" s="9">
        <v>145</v>
      </c>
      <c r="G1942" s="8">
        <f>F1942/435</f>
        <v>0.33333333333333331</v>
      </c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 spans="1:26" ht="15.75" customHeight="1">
      <c r="A1943" s="7" t="s">
        <v>2270</v>
      </c>
      <c r="B1943" s="9">
        <v>2</v>
      </c>
      <c r="C1943" s="21">
        <v>4714781020503</v>
      </c>
      <c r="D1943" s="10" t="s">
        <v>1372</v>
      </c>
      <c r="E1943" s="9">
        <v>2</v>
      </c>
      <c r="F1943" s="9">
        <v>290</v>
      </c>
      <c r="G1943" s="8">
        <f>F1943/435</f>
        <v>0.66666666666666663</v>
      </c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 spans="1:26" ht="15.75" customHeight="1">
      <c r="A1944" s="7"/>
      <c r="B1944" s="10"/>
      <c r="C1944" s="21">
        <v>4714781020558</v>
      </c>
      <c r="D1944" s="10" t="s">
        <v>1370</v>
      </c>
      <c r="E1944" s="9">
        <v>1</v>
      </c>
      <c r="F1944" s="9">
        <v>145</v>
      </c>
      <c r="G1944" s="8">
        <f>F1944/435</f>
        <v>0.33333333333333331</v>
      </c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 spans="1:26" ht="15.75" customHeight="1">
      <c r="A1945" s="7" t="s">
        <v>2269</v>
      </c>
      <c r="B1945" s="9">
        <v>2</v>
      </c>
      <c r="C1945" s="21">
        <v>4714781020466</v>
      </c>
      <c r="D1945" s="10" t="s">
        <v>1374</v>
      </c>
      <c r="E1945" s="9">
        <v>2</v>
      </c>
      <c r="F1945" s="9">
        <v>290</v>
      </c>
      <c r="G1945" s="8">
        <f>F1945/435</f>
        <v>0.66666666666666663</v>
      </c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 spans="1:26" ht="15.75" customHeight="1">
      <c r="A1946" s="7"/>
      <c r="B1946" s="10"/>
      <c r="C1946" s="21">
        <v>4714781020503</v>
      </c>
      <c r="D1946" s="10" t="s">
        <v>1372</v>
      </c>
      <c r="E1946" s="9">
        <v>1</v>
      </c>
      <c r="F1946" s="9">
        <v>145</v>
      </c>
      <c r="G1946" s="8">
        <f>F1946/435</f>
        <v>0.33333333333333331</v>
      </c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 spans="1:26" ht="15.75" customHeight="1">
      <c r="A1947" s="7" t="s">
        <v>2268</v>
      </c>
      <c r="B1947" s="9">
        <v>2</v>
      </c>
      <c r="C1947" s="21">
        <v>4714781020466</v>
      </c>
      <c r="D1947" s="10" t="s">
        <v>1374</v>
      </c>
      <c r="E1947" s="9">
        <v>2</v>
      </c>
      <c r="F1947" s="9">
        <v>290</v>
      </c>
      <c r="G1947" s="8">
        <f>F1947/435</f>
        <v>0.66666666666666663</v>
      </c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 spans="1:26" ht="15.75" customHeight="1">
      <c r="A1948" s="7"/>
      <c r="B1948" s="10"/>
      <c r="C1948" s="21">
        <v>4714781020558</v>
      </c>
      <c r="D1948" s="10" t="s">
        <v>1370</v>
      </c>
      <c r="E1948" s="9">
        <v>1</v>
      </c>
      <c r="F1948" s="9">
        <v>145</v>
      </c>
      <c r="G1948" s="8">
        <f>F1948/435</f>
        <v>0.33333333333333331</v>
      </c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 spans="1:26" ht="15.75" customHeight="1">
      <c r="A1949" s="7" t="s">
        <v>2267</v>
      </c>
      <c r="B1949" s="9">
        <v>2</v>
      </c>
      <c r="C1949" s="21">
        <v>4714781020558</v>
      </c>
      <c r="D1949" s="10" t="s">
        <v>1370</v>
      </c>
      <c r="E1949" s="9">
        <v>2</v>
      </c>
      <c r="F1949" s="9">
        <v>290</v>
      </c>
      <c r="G1949" s="8">
        <f>F1949/435</f>
        <v>0.66666666666666663</v>
      </c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 spans="1:26" ht="15.75" customHeight="1">
      <c r="A1950" s="7"/>
      <c r="B1950" s="10"/>
      <c r="C1950" s="21">
        <v>4714781020466</v>
      </c>
      <c r="D1950" s="10" t="s">
        <v>1374</v>
      </c>
      <c r="E1950" s="9">
        <v>1</v>
      </c>
      <c r="F1950" s="9">
        <v>145</v>
      </c>
      <c r="G1950" s="8">
        <f>F1950/435</f>
        <v>0.33333333333333331</v>
      </c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 spans="1:26" ht="15.75" customHeight="1">
      <c r="A1951" s="7" t="s">
        <v>2266</v>
      </c>
      <c r="B1951" s="9">
        <v>2</v>
      </c>
      <c r="C1951" s="21">
        <v>4714781020558</v>
      </c>
      <c r="D1951" s="10" t="s">
        <v>1370</v>
      </c>
      <c r="E1951" s="9">
        <v>2</v>
      </c>
      <c r="F1951" s="9">
        <v>290</v>
      </c>
      <c r="G1951" s="8">
        <f>F1951/435</f>
        <v>0.66666666666666663</v>
      </c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 spans="1:26" ht="15.75" customHeight="1">
      <c r="A1952" s="7"/>
      <c r="B1952" s="10"/>
      <c r="C1952" s="21">
        <v>4714781020503</v>
      </c>
      <c r="D1952" s="10" t="s">
        <v>1372</v>
      </c>
      <c r="E1952" s="9">
        <v>1</v>
      </c>
      <c r="F1952" s="9">
        <v>145</v>
      </c>
      <c r="G1952" s="8">
        <f>F1952/435</f>
        <v>0.33333333333333331</v>
      </c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 spans="1:26" ht="15.75" customHeight="1">
      <c r="A1953" s="7" t="s">
        <v>2265</v>
      </c>
      <c r="B1953" s="9">
        <v>3</v>
      </c>
      <c r="C1953" s="6">
        <v>4714781021609</v>
      </c>
      <c r="D1953" s="12" t="s">
        <v>1454</v>
      </c>
      <c r="E1953" s="9">
        <v>1</v>
      </c>
      <c r="F1953" s="9">
        <v>126</v>
      </c>
      <c r="G1953" s="8">
        <f>F1953/380</f>
        <v>0.33157894736842103</v>
      </c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 spans="1:26" ht="15.75" customHeight="1">
      <c r="A1954" s="7"/>
      <c r="B1954" s="9"/>
      <c r="C1954" s="23">
        <v>4714781021012</v>
      </c>
      <c r="D1954" s="12" t="s">
        <v>2070</v>
      </c>
      <c r="E1954" s="9">
        <v>1</v>
      </c>
      <c r="F1954" s="9">
        <v>126</v>
      </c>
      <c r="G1954" s="8">
        <f>F1954/380</f>
        <v>0.33157894736842103</v>
      </c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 spans="1:26" ht="15.75" customHeight="1">
      <c r="A1955" s="7"/>
      <c r="B1955" s="9"/>
      <c r="C1955" s="23">
        <v>4714781021029</v>
      </c>
      <c r="D1955" s="12" t="s">
        <v>2072</v>
      </c>
      <c r="E1955" s="9">
        <v>1</v>
      </c>
      <c r="F1955" s="9">
        <v>128</v>
      </c>
      <c r="G1955" s="8">
        <f>F1955/380</f>
        <v>0.33684210526315789</v>
      </c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 spans="1:26" ht="15.75" customHeight="1">
      <c r="A1956" s="7" t="s">
        <v>2264</v>
      </c>
      <c r="B1956" s="9">
        <v>1</v>
      </c>
      <c r="C1956" s="6">
        <v>4714781021609</v>
      </c>
      <c r="D1956" s="12" t="s">
        <v>1454</v>
      </c>
      <c r="E1956" s="9">
        <v>3</v>
      </c>
      <c r="F1956" s="9">
        <v>380</v>
      </c>
      <c r="G1956" s="8">
        <f>F1956/380</f>
        <v>1</v>
      </c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 spans="1:26" ht="15.75" customHeight="1">
      <c r="A1957" s="7" t="s">
        <v>2263</v>
      </c>
      <c r="B1957" s="9">
        <v>1</v>
      </c>
      <c r="C1957" s="23">
        <v>4714781021012</v>
      </c>
      <c r="D1957" s="12" t="s">
        <v>2070</v>
      </c>
      <c r="E1957" s="9">
        <v>3</v>
      </c>
      <c r="F1957" s="9">
        <v>380</v>
      </c>
      <c r="G1957" s="8">
        <f>F1957/380</f>
        <v>1</v>
      </c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 spans="1:26" ht="15.75" customHeight="1">
      <c r="A1958" s="7" t="s">
        <v>2262</v>
      </c>
      <c r="B1958" s="9">
        <v>1</v>
      </c>
      <c r="C1958" s="23">
        <v>4714781021029</v>
      </c>
      <c r="D1958" s="12" t="s">
        <v>2072</v>
      </c>
      <c r="E1958" s="9">
        <v>3</v>
      </c>
      <c r="F1958" s="9">
        <v>380</v>
      </c>
      <c r="G1958" s="8">
        <f>F1958/380</f>
        <v>1</v>
      </c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 spans="1:26" ht="15.75" customHeight="1">
      <c r="A1959" s="7" t="s">
        <v>2261</v>
      </c>
      <c r="B1959" s="9">
        <v>2</v>
      </c>
      <c r="C1959" s="23">
        <v>4714781021012</v>
      </c>
      <c r="D1959" s="12" t="s">
        <v>2070</v>
      </c>
      <c r="E1959" s="9">
        <v>1</v>
      </c>
      <c r="F1959" s="9">
        <v>128</v>
      </c>
      <c r="G1959" s="8">
        <f>F1959/380</f>
        <v>0.33684210526315789</v>
      </c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 spans="1:26" ht="15.75" customHeight="1">
      <c r="A1960" s="7"/>
      <c r="B1960" s="9"/>
      <c r="C1960" s="23">
        <v>4714781021029</v>
      </c>
      <c r="D1960" s="12" t="s">
        <v>2072</v>
      </c>
      <c r="E1960" s="9">
        <v>2</v>
      </c>
      <c r="F1960" s="9">
        <v>252</v>
      </c>
      <c r="G1960" s="8">
        <f>F1960/380</f>
        <v>0.66315789473684206</v>
      </c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 spans="1:26" ht="15.75" customHeight="1">
      <c r="A1961" s="7" t="s">
        <v>2260</v>
      </c>
      <c r="B1961" s="9">
        <v>2</v>
      </c>
      <c r="C1961" s="23">
        <v>4714781021029</v>
      </c>
      <c r="D1961" s="12" t="s">
        <v>2072</v>
      </c>
      <c r="E1961" s="9">
        <v>2</v>
      </c>
      <c r="F1961" s="9">
        <v>252</v>
      </c>
      <c r="G1961" s="8">
        <f>F1961/380</f>
        <v>0.66315789473684206</v>
      </c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 spans="1:26" ht="15.75" customHeight="1">
      <c r="A1962" s="7"/>
      <c r="B1962" s="9"/>
      <c r="C1962" s="6">
        <v>4714781021609</v>
      </c>
      <c r="D1962" s="12" t="s">
        <v>1454</v>
      </c>
      <c r="E1962" s="9">
        <v>1</v>
      </c>
      <c r="F1962" s="9">
        <v>128</v>
      </c>
      <c r="G1962" s="8">
        <f>F1962/380</f>
        <v>0.33684210526315789</v>
      </c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 spans="1:26" ht="15.75" customHeight="1">
      <c r="A1963" s="7" t="s">
        <v>2259</v>
      </c>
      <c r="B1963" s="9">
        <v>2</v>
      </c>
      <c r="C1963" s="23">
        <v>4714781021012</v>
      </c>
      <c r="D1963" s="12" t="s">
        <v>2070</v>
      </c>
      <c r="E1963" s="9">
        <v>2</v>
      </c>
      <c r="F1963" s="9">
        <v>252</v>
      </c>
      <c r="G1963" s="8">
        <f>F1963/380</f>
        <v>0.66315789473684206</v>
      </c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 spans="1:26" ht="15.75" customHeight="1">
      <c r="A1964" s="7"/>
      <c r="B1964" s="9"/>
      <c r="C1964" s="23">
        <v>4714781021029</v>
      </c>
      <c r="D1964" s="12" t="s">
        <v>2072</v>
      </c>
      <c r="E1964" s="9">
        <v>1</v>
      </c>
      <c r="F1964" s="9">
        <v>128</v>
      </c>
      <c r="G1964" s="8">
        <f>F1964/380</f>
        <v>0.33684210526315789</v>
      </c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 spans="1:26" ht="15.75" customHeight="1">
      <c r="A1965" s="7" t="s">
        <v>2258</v>
      </c>
      <c r="B1965" s="9">
        <v>2</v>
      </c>
      <c r="C1965" s="23">
        <v>4714781021012</v>
      </c>
      <c r="D1965" s="12" t="s">
        <v>2070</v>
      </c>
      <c r="E1965" s="9">
        <v>2</v>
      </c>
      <c r="F1965" s="9">
        <v>252</v>
      </c>
      <c r="G1965" s="8">
        <f>F1965/380</f>
        <v>0.66315789473684206</v>
      </c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 spans="1:26" ht="15.75" customHeight="1">
      <c r="A1966" s="7"/>
      <c r="B1966" s="9"/>
      <c r="C1966" s="6">
        <v>4714781021609</v>
      </c>
      <c r="D1966" s="12" t="s">
        <v>1454</v>
      </c>
      <c r="E1966" s="9">
        <v>1</v>
      </c>
      <c r="F1966" s="9">
        <v>128</v>
      </c>
      <c r="G1966" s="8">
        <f>F1966/380</f>
        <v>0.33684210526315789</v>
      </c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 spans="1:26" ht="15.75" customHeight="1">
      <c r="A1967" s="7" t="s">
        <v>2257</v>
      </c>
      <c r="B1967" s="9">
        <v>2</v>
      </c>
      <c r="C1967" s="6">
        <v>4714781021609</v>
      </c>
      <c r="D1967" s="12" t="s">
        <v>1454</v>
      </c>
      <c r="E1967" s="9">
        <v>2</v>
      </c>
      <c r="F1967" s="9">
        <v>252</v>
      </c>
      <c r="G1967" s="8">
        <f>F1967/380</f>
        <v>0.66315789473684206</v>
      </c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 spans="1:26" ht="15.75" customHeight="1">
      <c r="A1968" s="7"/>
      <c r="B1968" s="9"/>
      <c r="C1968" s="23">
        <v>4714781021029</v>
      </c>
      <c r="D1968" s="12" t="s">
        <v>2072</v>
      </c>
      <c r="E1968" s="9">
        <v>1</v>
      </c>
      <c r="F1968" s="9">
        <v>128</v>
      </c>
      <c r="G1968" s="8">
        <f>F1968/380</f>
        <v>0.33684210526315789</v>
      </c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 spans="1:26" ht="15.75" customHeight="1">
      <c r="A1969" s="7" t="s">
        <v>2256</v>
      </c>
      <c r="B1969" s="9">
        <v>2</v>
      </c>
      <c r="C1969" s="6">
        <v>4714781021609</v>
      </c>
      <c r="D1969" s="12" t="s">
        <v>1454</v>
      </c>
      <c r="E1969" s="9">
        <v>2</v>
      </c>
      <c r="F1969" s="9">
        <v>252</v>
      </c>
      <c r="G1969" s="8">
        <f>F1969/380</f>
        <v>0.66315789473684206</v>
      </c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 spans="1:26" ht="15.75" customHeight="1">
      <c r="A1970" s="7"/>
      <c r="B1970" s="9"/>
      <c r="C1970" s="23">
        <v>4714781021012</v>
      </c>
      <c r="D1970" s="12" t="s">
        <v>2070</v>
      </c>
      <c r="E1970" s="9">
        <v>1</v>
      </c>
      <c r="F1970" s="9">
        <v>128</v>
      </c>
      <c r="G1970" s="8">
        <f>F1970/380</f>
        <v>0.33684210526315789</v>
      </c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 spans="1:26" ht="15.75" customHeight="1">
      <c r="A1971" s="7" t="s">
        <v>2255</v>
      </c>
      <c r="B1971" s="9">
        <v>6</v>
      </c>
      <c r="C1971" s="23">
        <v>4714781021029</v>
      </c>
      <c r="D1971" s="12" t="s">
        <v>1452</v>
      </c>
      <c r="E1971" s="9">
        <v>1</v>
      </c>
      <c r="F1971" s="9">
        <v>133</v>
      </c>
      <c r="G1971" s="8">
        <f>F1971/820</f>
        <v>0.16219512195121952</v>
      </c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 spans="1:26" ht="15.75" customHeight="1">
      <c r="A1972" s="7"/>
      <c r="B1972" s="12"/>
      <c r="C1972" s="23">
        <v>4714781021012</v>
      </c>
      <c r="D1972" s="12" t="s">
        <v>1703</v>
      </c>
      <c r="E1972" s="9">
        <v>1</v>
      </c>
      <c r="F1972" s="9">
        <v>133</v>
      </c>
      <c r="G1972" s="8">
        <f>F1972/820</f>
        <v>0.16219512195121952</v>
      </c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 spans="1:26" ht="15.75" customHeight="1">
      <c r="A1973" s="7"/>
      <c r="B1973" s="12"/>
      <c r="C1973" s="6">
        <v>4714781021609</v>
      </c>
      <c r="D1973" s="12" t="s">
        <v>1454</v>
      </c>
      <c r="E1973" s="9">
        <v>1</v>
      </c>
      <c r="F1973" s="9">
        <v>134</v>
      </c>
      <c r="G1973" s="8">
        <f>F1973/820</f>
        <v>0.16341463414634147</v>
      </c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 spans="1:26" ht="15.75" customHeight="1">
      <c r="A1974" s="7"/>
      <c r="B1974" s="12"/>
      <c r="C1974" s="21">
        <v>4714781020466</v>
      </c>
      <c r="D1974" s="12" t="s">
        <v>1374</v>
      </c>
      <c r="E1974" s="9">
        <v>1</v>
      </c>
      <c r="F1974" s="9">
        <v>140</v>
      </c>
      <c r="G1974" s="8">
        <f>F1974/820</f>
        <v>0.17073170731707318</v>
      </c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 spans="1:26" ht="15.75" customHeight="1">
      <c r="A1975" s="7"/>
      <c r="B1975" s="12"/>
      <c r="C1975" s="21">
        <v>4714781020503</v>
      </c>
      <c r="D1975" s="12" t="s">
        <v>1372</v>
      </c>
      <c r="E1975" s="9">
        <v>1</v>
      </c>
      <c r="F1975" s="9">
        <v>140</v>
      </c>
      <c r="G1975" s="8">
        <f>F1975/820</f>
        <v>0.17073170731707318</v>
      </c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 spans="1:26" ht="15.75" customHeight="1">
      <c r="A1976" s="7"/>
      <c r="B1976" s="12"/>
      <c r="C1976" s="21">
        <v>4714781020558</v>
      </c>
      <c r="D1976" s="12" t="s">
        <v>1370</v>
      </c>
      <c r="E1976" s="9">
        <v>1</v>
      </c>
      <c r="F1976" s="9">
        <v>140</v>
      </c>
      <c r="G1976" s="8">
        <f>F1976/820</f>
        <v>0.17073170731707318</v>
      </c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 spans="1:26" ht="15.75" customHeight="1">
      <c r="A1977" s="7" t="s">
        <v>2254</v>
      </c>
      <c r="B1977" s="9">
        <v>2</v>
      </c>
      <c r="C1977" s="23">
        <v>4714781021029</v>
      </c>
      <c r="D1977" s="12" t="s">
        <v>1452</v>
      </c>
      <c r="E1977" s="9">
        <v>3</v>
      </c>
      <c r="F1977" s="9">
        <v>400</v>
      </c>
      <c r="G1977" s="8">
        <f>F1977/820</f>
        <v>0.48780487804878048</v>
      </c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 spans="1:26" ht="15.75" customHeight="1">
      <c r="A1978" s="7"/>
      <c r="B1978" s="12"/>
      <c r="C1978" s="21">
        <v>4714781020558</v>
      </c>
      <c r="D1978" s="12" t="s">
        <v>1370</v>
      </c>
      <c r="E1978" s="9">
        <v>3</v>
      </c>
      <c r="F1978" s="9">
        <v>420</v>
      </c>
      <c r="G1978" s="8">
        <f>F1978/820</f>
        <v>0.51219512195121952</v>
      </c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 spans="1:26" ht="15.75" customHeight="1">
      <c r="A1979" s="7" t="s">
        <v>2253</v>
      </c>
      <c r="B1979" s="9">
        <v>2</v>
      </c>
      <c r="C1979" s="23">
        <v>4714781021029</v>
      </c>
      <c r="D1979" s="12" t="s">
        <v>1452</v>
      </c>
      <c r="E1979" s="9">
        <v>3</v>
      </c>
      <c r="F1979" s="9">
        <v>400</v>
      </c>
      <c r="G1979" s="8">
        <f>F1979/820</f>
        <v>0.48780487804878048</v>
      </c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 spans="1:26" ht="15.75" customHeight="1">
      <c r="A1980" s="7"/>
      <c r="B1980" s="12"/>
      <c r="C1980" s="21">
        <v>4714781020466</v>
      </c>
      <c r="D1980" s="12" t="s">
        <v>1374</v>
      </c>
      <c r="E1980" s="9">
        <v>3</v>
      </c>
      <c r="F1980" s="9">
        <v>420</v>
      </c>
      <c r="G1980" s="8">
        <f>F1980/820</f>
        <v>0.51219512195121952</v>
      </c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 spans="1:26" ht="15.75" customHeight="1">
      <c r="A1981" s="7" t="s">
        <v>2252</v>
      </c>
      <c r="B1981" s="9">
        <v>2</v>
      </c>
      <c r="C1981" s="23">
        <v>4714781021029</v>
      </c>
      <c r="D1981" s="12" t="s">
        <v>1452</v>
      </c>
      <c r="E1981" s="9">
        <v>3</v>
      </c>
      <c r="F1981" s="9">
        <v>400</v>
      </c>
      <c r="G1981" s="8">
        <f>F1981/820</f>
        <v>0.48780487804878048</v>
      </c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 spans="1:26" ht="15.75" customHeight="1">
      <c r="A1982" s="7"/>
      <c r="B1982" s="12"/>
      <c r="C1982" s="21">
        <v>4714781020503</v>
      </c>
      <c r="D1982" s="12" t="s">
        <v>1372</v>
      </c>
      <c r="E1982" s="9">
        <v>3</v>
      </c>
      <c r="F1982" s="9">
        <v>420</v>
      </c>
      <c r="G1982" s="8">
        <f>F1982/820</f>
        <v>0.51219512195121952</v>
      </c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 spans="1:26" ht="15.75" customHeight="1">
      <c r="A1983" s="7" t="s">
        <v>2251</v>
      </c>
      <c r="B1983" s="9">
        <v>2</v>
      </c>
      <c r="C1983" s="23">
        <v>4714781021012</v>
      </c>
      <c r="D1983" s="12" t="s">
        <v>1703</v>
      </c>
      <c r="E1983" s="9">
        <v>3</v>
      </c>
      <c r="F1983" s="9">
        <v>400</v>
      </c>
      <c r="G1983" s="8">
        <f>F1983/820</f>
        <v>0.48780487804878048</v>
      </c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 spans="1:26" ht="15.75" customHeight="1">
      <c r="A1984" s="7"/>
      <c r="B1984" s="12"/>
      <c r="C1984" s="21">
        <v>4714781020558</v>
      </c>
      <c r="D1984" s="12" t="s">
        <v>1370</v>
      </c>
      <c r="E1984" s="9">
        <v>3</v>
      </c>
      <c r="F1984" s="9">
        <v>420</v>
      </c>
      <c r="G1984" s="8">
        <f>F1984/820</f>
        <v>0.51219512195121952</v>
      </c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 spans="1:26" ht="15.75" customHeight="1">
      <c r="A1985" s="7" t="s">
        <v>2250</v>
      </c>
      <c r="B1985" s="9">
        <v>2</v>
      </c>
      <c r="C1985" s="23">
        <v>4714781021012</v>
      </c>
      <c r="D1985" s="12" t="s">
        <v>1703</v>
      </c>
      <c r="E1985" s="9">
        <v>3</v>
      </c>
      <c r="F1985" s="9">
        <v>400</v>
      </c>
      <c r="G1985" s="8">
        <f>F1985/820</f>
        <v>0.48780487804878048</v>
      </c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 spans="1:26" ht="15.75" customHeight="1">
      <c r="A1986" s="7"/>
      <c r="B1986" s="12"/>
      <c r="C1986" s="21">
        <v>4714781020466</v>
      </c>
      <c r="D1986" s="12" t="s">
        <v>1374</v>
      </c>
      <c r="E1986" s="9">
        <v>3</v>
      </c>
      <c r="F1986" s="9">
        <v>420</v>
      </c>
      <c r="G1986" s="8">
        <f>F1986/820</f>
        <v>0.51219512195121952</v>
      </c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 spans="1:26" ht="15.75" customHeight="1">
      <c r="A1987" s="7" t="s">
        <v>2249</v>
      </c>
      <c r="B1987" s="9">
        <v>2</v>
      </c>
      <c r="C1987" s="23">
        <v>4714781021012</v>
      </c>
      <c r="D1987" s="12" t="s">
        <v>1703</v>
      </c>
      <c r="E1987" s="9">
        <v>3</v>
      </c>
      <c r="F1987" s="9">
        <v>400</v>
      </c>
      <c r="G1987" s="8">
        <f>F1987/820</f>
        <v>0.48780487804878048</v>
      </c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 spans="1:26" ht="15.75" customHeight="1">
      <c r="A1988" s="7"/>
      <c r="B1988" s="12"/>
      <c r="C1988" s="21">
        <v>4714781020503</v>
      </c>
      <c r="D1988" s="12" t="s">
        <v>1372</v>
      </c>
      <c r="E1988" s="9">
        <v>3</v>
      </c>
      <c r="F1988" s="9">
        <v>420</v>
      </c>
      <c r="G1988" s="8">
        <f>F1988/820</f>
        <v>0.51219512195121952</v>
      </c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 spans="1:26" ht="15.75" customHeight="1">
      <c r="A1989" s="7" t="s">
        <v>2248</v>
      </c>
      <c r="B1989" s="9">
        <v>2</v>
      </c>
      <c r="C1989" s="6">
        <v>4714781021609</v>
      </c>
      <c r="D1989" s="12" t="s">
        <v>1454</v>
      </c>
      <c r="E1989" s="9">
        <v>3</v>
      </c>
      <c r="F1989" s="9">
        <v>400</v>
      </c>
      <c r="G1989" s="8">
        <f>F1989/820</f>
        <v>0.48780487804878048</v>
      </c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 spans="1:26" ht="15.75" customHeight="1">
      <c r="A1990" s="7"/>
      <c r="B1990" s="12"/>
      <c r="C1990" s="21">
        <v>4714781020558</v>
      </c>
      <c r="D1990" s="12" t="s">
        <v>1370</v>
      </c>
      <c r="E1990" s="9">
        <v>3</v>
      </c>
      <c r="F1990" s="9">
        <v>420</v>
      </c>
      <c r="G1990" s="8">
        <f>F1990/820</f>
        <v>0.51219512195121952</v>
      </c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 spans="1:26" ht="15.75" customHeight="1">
      <c r="A1991" s="7" t="s">
        <v>2247</v>
      </c>
      <c r="B1991" s="9">
        <v>2</v>
      </c>
      <c r="C1991" s="6">
        <v>4714781021609</v>
      </c>
      <c r="D1991" s="12" t="s">
        <v>1454</v>
      </c>
      <c r="E1991" s="9">
        <v>3</v>
      </c>
      <c r="F1991" s="9">
        <v>400</v>
      </c>
      <c r="G1991" s="8">
        <f>F1991/820</f>
        <v>0.48780487804878048</v>
      </c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 spans="1:26" ht="15.75" customHeight="1">
      <c r="A1992" s="7"/>
      <c r="B1992" s="12"/>
      <c r="C1992" s="21">
        <v>4714781020466</v>
      </c>
      <c r="D1992" s="12" t="s">
        <v>1374</v>
      </c>
      <c r="E1992" s="9">
        <v>3</v>
      </c>
      <c r="F1992" s="9">
        <v>420</v>
      </c>
      <c r="G1992" s="8">
        <f>F1992/820</f>
        <v>0.51219512195121952</v>
      </c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 spans="1:26" ht="15.75" customHeight="1">
      <c r="A1993" s="7" t="s">
        <v>2246</v>
      </c>
      <c r="B1993" s="9">
        <v>2</v>
      </c>
      <c r="C1993" s="6">
        <v>4714781021609</v>
      </c>
      <c r="D1993" s="12" t="s">
        <v>1454</v>
      </c>
      <c r="E1993" s="9">
        <v>3</v>
      </c>
      <c r="F1993" s="9">
        <v>400</v>
      </c>
      <c r="G1993" s="8">
        <f>F1993/820</f>
        <v>0.48780487804878048</v>
      </c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 spans="1:26" ht="15.75" customHeight="1">
      <c r="A1994" s="7"/>
      <c r="B1994" s="12"/>
      <c r="C1994" s="21">
        <v>4714781020503</v>
      </c>
      <c r="D1994" s="12" t="s">
        <v>1372</v>
      </c>
      <c r="E1994" s="9">
        <v>3</v>
      </c>
      <c r="F1994" s="9">
        <v>420</v>
      </c>
      <c r="G1994" s="8">
        <f>F1994/820</f>
        <v>0.51219512195121952</v>
      </c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 spans="1:26" ht="15.75" customHeight="1">
      <c r="A1995" s="7" t="s">
        <v>2245</v>
      </c>
      <c r="B1995" s="9">
        <v>3</v>
      </c>
      <c r="C1995" s="23">
        <v>4714781021227</v>
      </c>
      <c r="D1995" s="12" t="s">
        <v>2137</v>
      </c>
      <c r="E1995" s="9">
        <v>1</v>
      </c>
      <c r="F1995" s="9">
        <v>60</v>
      </c>
      <c r="G1995" s="8">
        <f>F1995/180</f>
        <v>0.33333333333333331</v>
      </c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 spans="1:26" ht="15.75" customHeight="1">
      <c r="A1996" s="7"/>
      <c r="B1996" s="12"/>
      <c r="C1996" s="23">
        <v>4714781021234</v>
      </c>
      <c r="D1996" s="12" t="s">
        <v>2135</v>
      </c>
      <c r="E1996" s="9">
        <v>1</v>
      </c>
      <c r="F1996" s="9">
        <v>60</v>
      </c>
      <c r="G1996" s="8">
        <f>F1996/180</f>
        <v>0.33333333333333331</v>
      </c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 spans="1:26" ht="15.75" customHeight="1">
      <c r="A1997" s="7"/>
      <c r="B1997" s="12"/>
      <c r="C1997" s="23">
        <v>4714781021241</v>
      </c>
      <c r="D1997" s="12" t="s">
        <v>2133</v>
      </c>
      <c r="E1997" s="9">
        <v>1</v>
      </c>
      <c r="F1997" s="9">
        <v>60</v>
      </c>
      <c r="G1997" s="8">
        <f>F1997/180</f>
        <v>0.33333333333333331</v>
      </c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 spans="1:26" ht="15.75" customHeight="1">
      <c r="A1998" s="7" t="s">
        <v>2244</v>
      </c>
      <c r="B1998" s="9">
        <v>1</v>
      </c>
      <c r="C1998" s="23">
        <v>4714781021227</v>
      </c>
      <c r="D1998" s="12" t="s">
        <v>2137</v>
      </c>
      <c r="E1998" s="9">
        <v>3</v>
      </c>
      <c r="F1998" s="9">
        <v>180</v>
      </c>
      <c r="G1998" s="8">
        <f>F1998/180</f>
        <v>1</v>
      </c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 spans="1:26" ht="15.75" customHeight="1">
      <c r="A1999" s="12" t="s">
        <v>2243</v>
      </c>
      <c r="B1999" s="9">
        <v>1</v>
      </c>
      <c r="C1999" s="23">
        <v>4714781021234</v>
      </c>
      <c r="D1999" s="12" t="s">
        <v>2135</v>
      </c>
      <c r="E1999" s="9">
        <v>3</v>
      </c>
      <c r="F1999" s="9">
        <v>180</v>
      </c>
      <c r="G1999" s="8">
        <f>F1999/180</f>
        <v>1</v>
      </c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 spans="1:26" ht="15.75" customHeight="1">
      <c r="A2000" s="7" t="s">
        <v>2242</v>
      </c>
      <c r="B2000" s="9">
        <v>1</v>
      </c>
      <c r="C2000" s="23">
        <v>4714781021241</v>
      </c>
      <c r="D2000" s="12" t="s">
        <v>2133</v>
      </c>
      <c r="E2000" s="9">
        <v>3</v>
      </c>
      <c r="F2000" s="9">
        <v>180</v>
      </c>
      <c r="G2000" s="8">
        <f>F2000/180</f>
        <v>1</v>
      </c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 spans="1:26" ht="15.75" customHeight="1">
      <c r="A2001" s="7" t="s">
        <v>2241</v>
      </c>
      <c r="B2001" s="9">
        <v>2</v>
      </c>
      <c r="C2001" s="23">
        <v>4714781021227</v>
      </c>
      <c r="D2001" s="12" t="s">
        <v>2137</v>
      </c>
      <c r="E2001" s="9">
        <v>2</v>
      </c>
      <c r="F2001" s="9">
        <v>120</v>
      </c>
      <c r="G2001" s="8">
        <f>F2001/180</f>
        <v>0.66666666666666663</v>
      </c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 spans="1:26" ht="15.75" customHeight="1">
      <c r="A2002" s="7"/>
      <c r="B2002" s="12"/>
      <c r="C2002" s="23">
        <v>4714781021234</v>
      </c>
      <c r="D2002" s="12" t="s">
        <v>2135</v>
      </c>
      <c r="E2002" s="9">
        <v>1</v>
      </c>
      <c r="F2002" s="9">
        <v>60</v>
      </c>
      <c r="G2002" s="8">
        <f>F2002/180</f>
        <v>0.33333333333333331</v>
      </c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 spans="1:26" ht="15.75" customHeight="1">
      <c r="A2003" s="7" t="s">
        <v>2240</v>
      </c>
      <c r="B2003" s="9">
        <v>2</v>
      </c>
      <c r="C2003" s="23">
        <v>4714781021227</v>
      </c>
      <c r="D2003" s="12" t="s">
        <v>2137</v>
      </c>
      <c r="E2003" s="9">
        <v>2</v>
      </c>
      <c r="F2003" s="9">
        <v>120</v>
      </c>
      <c r="G2003" s="8">
        <f>F2003/180</f>
        <v>0.66666666666666663</v>
      </c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 spans="1:26" ht="15.75" customHeight="1">
      <c r="A2004" s="7"/>
      <c r="B2004" s="12"/>
      <c r="C2004" s="23">
        <v>4714781021241</v>
      </c>
      <c r="D2004" s="12" t="s">
        <v>2133</v>
      </c>
      <c r="E2004" s="9">
        <v>1</v>
      </c>
      <c r="F2004" s="9">
        <v>60</v>
      </c>
      <c r="G2004" s="8">
        <f>F2004/180</f>
        <v>0.33333333333333331</v>
      </c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 spans="1:26" ht="15.75" customHeight="1">
      <c r="A2005" s="7" t="s">
        <v>2239</v>
      </c>
      <c r="B2005" s="9">
        <v>2</v>
      </c>
      <c r="C2005" s="23">
        <v>4714781021234</v>
      </c>
      <c r="D2005" s="12" t="s">
        <v>2135</v>
      </c>
      <c r="E2005" s="9">
        <v>2</v>
      </c>
      <c r="F2005" s="9">
        <v>120</v>
      </c>
      <c r="G2005" s="8">
        <f>F2005/180</f>
        <v>0.66666666666666663</v>
      </c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 spans="1:26" ht="15.75" customHeight="1">
      <c r="A2006" s="7"/>
      <c r="B2006" s="12"/>
      <c r="C2006" s="23">
        <v>4714781021227</v>
      </c>
      <c r="D2006" s="12" t="s">
        <v>2137</v>
      </c>
      <c r="E2006" s="9">
        <v>1</v>
      </c>
      <c r="F2006" s="9">
        <v>60</v>
      </c>
      <c r="G2006" s="8">
        <f>F2006/180</f>
        <v>0.33333333333333331</v>
      </c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 spans="1:26" ht="15.75" customHeight="1">
      <c r="A2007" s="7" t="s">
        <v>2238</v>
      </c>
      <c r="B2007" s="9">
        <v>2</v>
      </c>
      <c r="C2007" s="23">
        <v>4714781021234</v>
      </c>
      <c r="D2007" s="12" t="s">
        <v>2135</v>
      </c>
      <c r="E2007" s="9">
        <v>2</v>
      </c>
      <c r="F2007" s="9">
        <v>120</v>
      </c>
      <c r="G2007" s="8">
        <f>F2007/180</f>
        <v>0.66666666666666663</v>
      </c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 spans="1:26" ht="15.75" customHeight="1">
      <c r="A2008" s="7"/>
      <c r="B2008" s="12"/>
      <c r="C2008" s="23">
        <v>4714781021241</v>
      </c>
      <c r="D2008" s="12" t="s">
        <v>2133</v>
      </c>
      <c r="E2008" s="9">
        <v>1</v>
      </c>
      <c r="F2008" s="9">
        <v>60</v>
      </c>
      <c r="G2008" s="8">
        <f>F2008/180</f>
        <v>0.33333333333333331</v>
      </c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 spans="1:26" ht="15.75" customHeight="1">
      <c r="A2009" s="7" t="s">
        <v>2237</v>
      </c>
      <c r="B2009" s="9">
        <v>2</v>
      </c>
      <c r="C2009" s="23">
        <v>4714781021241</v>
      </c>
      <c r="D2009" s="12" t="s">
        <v>2133</v>
      </c>
      <c r="E2009" s="9">
        <v>2</v>
      </c>
      <c r="F2009" s="9">
        <v>120</v>
      </c>
      <c r="G2009" s="8">
        <f>F2009/180</f>
        <v>0.66666666666666663</v>
      </c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 spans="1:26" ht="15.75" customHeight="1">
      <c r="A2010" s="7"/>
      <c r="B2010" s="12"/>
      <c r="C2010" s="23">
        <v>4714781021227</v>
      </c>
      <c r="D2010" s="12" t="s">
        <v>2137</v>
      </c>
      <c r="E2010" s="9">
        <v>1</v>
      </c>
      <c r="F2010" s="9">
        <v>60</v>
      </c>
      <c r="G2010" s="8">
        <f>F2010/180</f>
        <v>0.33333333333333331</v>
      </c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 spans="1:26" ht="15.75" customHeight="1">
      <c r="A2011" s="7" t="s">
        <v>2236</v>
      </c>
      <c r="B2011" s="9">
        <v>2</v>
      </c>
      <c r="C2011" s="23">
        <v>4714781021241</v>
      </c>
      <c r="D2011" s="12" t="s">
        <v>2133</v>
      </c>
      <c r="E2011" s="9">
        <v>2</v>
      </c>
      <c r="F2011" s="9">
        <v>120</v>
      </c>
      <c r="G2011" s="8">
        <f>F2011/180</f>
        <v>0.66666666666666663</v>
      </c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  <row r="2012" spans="1:26" ht="15.75" customHeight="1">
      <c r="A2012" s="7"/>
      <c r="B2012" s="12"/>
      <c r="C2012" s="23">
        <v>4714781021234</v>
      </c>
      <c r="D2012" s="12" t="s">
        <v>2135</v>
      </c>
      <c r="E2012" s="9">
        <v>1</v>
      </c>
      <c r="F2012" s="9">
        <v>60</v>
      </c>
      <c r="G2012" s="8">
        <f>F2012/180</f>
        <v>0.33333333333333331</v>
      </c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</row>
    <row r="2013" spans="1:26" ht="15.75" customHeight="1">
      <c r="A2013" s="7" t="s">
        <v>2235</v>
      </c>
      <c r="B2013" s="9">
        <v>1</v>
      </c>
      <c r="C2013" s="21">
        <v>4714781020794</v>
      </c>
      <c r="D2013" s="10" t="s">
        <v>1320</v>
      </c>
      <c r="E2013" s="9">
        <v>2</v>
      </c>
      <c r="F2013" s="9">
        <v>230</v>
      </c>
      <c r="G2013" s="8">
        <f>F2013/230</f>
        <v>1</v>
      </c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</row>
    <row r="2014" spans="1:26" ht="15.75" customHeight="1">
      <c r="A2014" s="7" t="s">
        <v>2234</v>
      </c>
      <c r="B2014" s="9">
        <v>1</v>
      </c>
      <c r="C2014" s="21">
        <v>4714781020800</v>
      </c>
      <c r="D2014" s="10" t="s">
        <v>1319</v>
      </c>
      <c r="E2014" s="9">
        <v>2</v>
      </c>
      <c r="F2014" s="9">
        <v>230</v>
      </c>
      <c r="G2014" s="8">
        <f>F2014/230</f>
        <v>1</v>
      </c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</row>
    <row r="2015" spans="1:26" ht="15.75" customHeight="1">
      <c r="A2015" s="7" t="s">
        <v>2233</v>
      </c>
      <c r="B2015" s="9">
        <v>1</v>
      </c>
      <c r="C2015" s="21">
        <v>4714781020817</v>
      </c>
      <c r="D2015" s="10" t="s">
        <v>1317</v>
      </c>
      <c r="E2015" s="9">
        <v>2</v>
      </c>
      <c r="F2015" s="9">
        <v>230</v>
      </c>
      <c r="G2015" s="8">
        <f>F2015/230</f>
        <v>1</v>
      </c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</row>
    <row r="2016" spans="1:26" ht="15.75" customHeight="1">
      <c r="A2016" s="7" t="s">
        <v>2232</v>
      </c>
      <c r="B2016" s="9">
        <v>2</v>
      </c>
      <c r="C2016" s="21">
        <v>4714781020794</v>
      </c>
      <c r="D2016" s="10" t="s">
        <v>1320</v>
      </c>
      <c r="E2016" s="9">
        <v>1</v>
      </c>
      <c r="F2016" s="9">
        <v>115</v>
      </c>
      <c r="G2016" s="8">
        <f>F2016/230</f>
        <v>0.5</v>
      </c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</row>
    <row r="2017" spans="1:26" ht="15.75" customHeight="1">
      <c r="A2017" s="7"/>
      <c r="B2017" s="10"/>
      <c r="C2017" s="21">
        <v>4714781020800</v>
      </c>
      <c r="D2017" s="10" t="s">
        <v>1319</v>
      </c>
      <c r="E2017" s="9">
        <v>1</v>
      </c>
      <c r="F2017" s="9">
        <v>115</v>
      </c>
      <c r="G2017" s="8">
        <f>F2017/230</f>
        <v>0.5</v>
      </c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</row>
    <row r="2018" spans="1:26" ht="15.75" customHeight="1">
      <c r="A2018" s="7" t="s">
        <v>2231</v>
      </c>
      <c r="B2018" s="9">
        <v>2</v>
      </c>
      <c r="C2018" s="21">
        <v>4714781020794</v>
      </c>
      <c r="D2018" s="10" t="s">
        <v>1320</v>
      </c>
      <c r="E2018" s="9">
        <v>1</v>
      </c>
      <c r="F2018" s="9">
        <v>115</v>
      </c>
      <c r="G2018" s="8">
        <f>F2018/230</f>
        <v>0.5</v>
      </c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</row>
    <row r="2019" spans="1:26" ht="15.75" customHeight="1">
      <c r="A2019" s="7"/>
      <c r="B2019" s="10"/>
      <c r="C2019" s="21">
        <v>4714781020817</v>
      </c>
      <c r="D2019" s="10" t="s">
        <v>1317</v>
      </c>
      <c r="E2019" s="9">
        <v>1</v>
      </c>
      <c r="F2019" s="9">
        <v>115</v>
      </c>
      <c r="G2019" s="8">
        <f>F2019/230</f>
        <v>0.5</v>
      </c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 spans="1:26" ht="15.75" customHeight="1">
      <c r="A2020" s="7" t="s">
        <v>2230</v>
      </c>
      <c r="B2020" s="9">
        <v>2</v>
      </c>
      <c r="C2020" s="21">
        <v>4714781020800</v>
      </c>
      <c r="D2020" s="10" t="s">
        <v>1319</v>
      </c>
      <c r="E2020" s="9">
        <v>1</v>
      </c>
      <c r="F2020" s="9">
        <v>115</v>
      </c>
      <c r="G2020" s="8">
        <f>F2020/230</f>
        <v>0.5</v>
      </c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</row>
    <row r="2021" spans="1:26" ht="15.75" customHeight="1">
      <c r="A2021" s="7"/>
      <c r="B2021" s="10"/>
      <c r="C2021" s="21">
        <v>4714781020817</v>
      </c>
      <c r="D2021" s="10" t="s">
        <v>1317</v>
      </c>
      <c r="E2021" s="9">
        <v>1</v>
      </c>
      <c r="F2021" s="9">
        <v>115</v>
      </c>
      <c r="G2021" s="8">
        <f>F2021/230</f>
        <v>0.5</v>
      </c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</row>
    <row r="2022" spans="1:26" ht="15.75" customHeight="1">
      <c r="A2022" s="7" t="s">
        <v>2229</v>
      </c>
      <c r="B2022" s="9">
        <v>1</v>
      </c>
      <c r="C2022" s="21">
        <v>4714781020770</v>
      </c>
      <c r="D2022" s="10" t="s">
        <v>1380</v>
      </c>
      <c r="E2022" s="9">
        <v>2</v>
      </c>
      <c r="F2022" s="9">
        <v>270</v>
      </c>
      <c r="G2022" s="8">
        <f>F2022/270</f>
        <v>1</v>
      </c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</row>
    <row r="2023" spans="1:26" ht="15.75" customHeight="1">
      <c r="A2023" s="7" t="s">
        <v>2228</v>
      </c>
      <c r="B2023" s="9">
        <v>1</v>
      </c>
      <c r="C2023" s="21">
        <v>4714781020787</v>
      </c>
      <c r="D2023" s="10" t="s">
        <v>1378</v>
      </c>
      <c r="E2023" s="9">
        <v>2</v>
      </c>
      <c r="F2023" s="9">
        <v>270</v>
      </c>
      <c r="G2023" s="8">
        <f>F2023/270</f>
        <v>1</v>
      </c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</row>
    <row r="2024" spans="1:26" ht="15.75" customHeight="1">
      <c r="A2024" s="7" t="s">
        <v>2227</v>
      </c>
      <c r="B2024" s="9">
        <v>2</v>
      </c>
      <c r="C2024" s="21">
        <v>4714781020770</v>
      </c>
      <c r="D2024" s="10" t="s">
        <v>1380</v>
      </c>
      <c r="E2024" s="9">
        <v>1</v>
      </c>
      <c r="F2024" s="9">
        <v>135</v>
      </c>
      <c r="G2024" s="8">
        <f>F2024/270</f>
        <v>0.5</v>
      </c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</row>
    <row r="2025" spans="1:26" ht="15.75" customHeight="1">
      <c r="A2025" s="7"/>
      <c r="B2025" s="10"/>
      <c r="C2025" s="21">
        <v>4714781020787</v>
      </c>
      <c r="D2025" s="10" t="s">
        <v>1378</v>
      </c>
      <c r="E2025" s="9">
        <v>1</v>
      </c>
      <c r="F2025" s="9">
        <v>135</v>
      </c>
      <c r="G2025" s="8">
        <f>F2025/270</f>
        <v>0.5</v>
      </c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</row>
    <row r="2026" spans="1:26" ht="15.75" customHeight="1">
      <c r="A2026" s="7" t="s">
        <v>2226</v>
      </c>
      <c r="B2026" s="9">
        <v>1</v>
      </c>
      <c r="C2026" s="21">
        <v>4714781020848</v>
      </c>
      <c r="D2026" s="10" t="s">
        <v>1382</v>
      </c>
      <c r="E2026" s="9">
        <v>2</v>
      </c>
      <c r="F2026" s="9">
        <v>650</v>
      </c>
      <c r="G2026" s="8">
        <f>F2026/650</f>
        <v>1</v>
      </c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</row>
    <row r="2027" spans="1:26" ht="15.75" customHeight="1">
      <c r="A2027" s="7" t="s">
        <v>2225</v>
      </c>
      <c r="B2027" s="9">
        <v>1</v>
      </c>
      <c r="C2027" s="21" t="s">
        <v>1596</v>
      </c>
      <c r="D2027" s="10" t="s">
        <v>1384</v>
      </c>
      <c r="E2027" s="9">
        <v>2</v>
      </c>
      <c r="F2027" s="9">
        <v>650</v>
      </c>
      <c r="G2027" s="8">
        <f>F2027/650</f>
        <v>1</v>
      </c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</row>
    <row r="2028" spans="1:26" ht="15.75" customHeight="1">
      <c r="A2028" s="7" t="s">
        <v>2224</v>
      </c>
      <c r="B2028" s="9">
        <v>2</v>
      </c>
      <c r="C2028" s="21">
        <v>4714781020848</v>
      </c>
      <c r="D2028" s="10" t="s">
        <v>1382</v>
      </c>
      <c r="E2028" s="9">
        <v>1</v>
      </c>
      <c r="F2028" s="9">
        <v>325</v>
      </c>
      <c r="G2028" s="8">
        <f>F2028/650</f>
        <v>0.5</v>
      </c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</row>
    <row r="2029" spans="1:26" ht="15.75" customHeight="1">
      <c r="A2029" s="7"/>
      <c r="B2029" s="10"/>
      <c r="C2029" s="21" t="s">
        <v>1596</v>
      </c>
      <c r="D2029" s="10" t="s">
        <v>1384</v>
      </c>
      <c r="E2029" s="9">
        <v>1</v>
      </c>
      <c r="F2029" s="9">
        <v>325</v>
      </c>
      <c r="G2029" s="8">
        <f>F2029/650</f>
        <v>0.5</v>
      </c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</row>
    <row r="2030" spans="1:26" ht="15.75" customHeight="1">
      <c r="A2030" s="7" t="s">
        <v>2223</v>
      </c>
      <c r="B2030" s="9">
        <v>1</v>
      </c>
      <c r="C2030" s="21">
        <v>4714781020824</v>
      </c>
      <c r="D2030" s="10" t="s">
        <v>1391</v>
      </c>
      <c r="E2030" s="9">
        <v>2</v>
      </c>
      <c r="F2030" s="9">
        <v>650</v>
      </c>
      <c r="G2030" s="8">
        <f>F2030/650</f>
        <v>1</v>
      </c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 spans="1:26" ht="15.75" customHeight="1">
      <c r="A2031" s="7" t="s">
        <v>2222</v>
      </c>
      <c r="B2031" s="9">
        <v>1</v>
      </c>
      <c r="C2031" s="21">
        <v>4714781020831</v>
      </c>
      <c r="D2031" s="10" t="s">
        <v>1389</v>
      </c>
      <c r="E2031" s="9">
        <v>2</v>
      </c>
      <c r="F2031" s="9">
        <v>650</v>
      </c>
      <c r="G2031" s="8">
        <f>F2031/650</f>
        <v>1</v>
      </c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  <row r="2032" spans="1:26" ht="15.75" customHeight="1">
      <c r="A2032" s="7" t="s">
        <v>2221</v>
      </c>
      <c r="B2032" s="9">
        <v>2</v>
      </c>
      <c r="C2032" s="21">
        <v>4714781020824</v>
      </c>
      <c r="D2032" s="10" t="s">
        <v>1391</v>
      </c>
      <c r="E2032" s="9">
        <v>1</v>
      </c>
      <c r="F2032" s="9">
        <v>325</v>
      </c>
      <c r="G2032" s="8">
        <f>F2032/650</f>
        <v>0.5</v>
      </c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</row>
    <row r="2033" spans="1:26" ht="15.75" customHeight="1">
      <c r="A2033" s="7"/>
      <c r="B2033" s="10"/>
      <c r="C2033" s="21">
        <v>4714781020831</v>
      </c>
      <c r="D2033" s="10" t="s">
        <v>1389</v>
      </c>
      <c r="E2033" s="9">
        <v>1</v>
      </c>
      <c r="F2033" s="9">
        <v>325</v>
      </c>
      <c r="G2033" s="8">
        <f>F2033/650</f>
        <v>0.5</v>
      </c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</row>
    <row r="2034" spans="1:26" ht="15.75" customHeight="1">
      <c r="A2034" s="7" t="s">
        <v>2220</v>
      </c>
      <c r="B2034" s="9">
        <v>2</v>
      </c>
      <c r="C2034" s="21">
        <v>4714781020848</v>
      </c>
      <c r="D2034" s="10" t="s">
        <v>1382</v>
      </c>
      <c r="E2034" s="9">
        <v>1</v>
      </c>
      <c r="F2034" s="9">
        <v>325</v>
      </c>
      <c r="G2034" s="8">
        <f>F2034/650</f>
        <v>0.5</v>
      </c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</row>
    <row r="2035" spans="1:26" ht="15.75" customHeight="1">
      <c r="A2035" s="7"/>
      <c r="B2035" s="10"/>
      <c r="C2035" s="21">
        <v>4714781020824</v>
      </c>
      <c r="D2035" s="10" t="s">
        <v>1391</v>
      </c>
      <c r="E2035" s="9">
        <v>1</v>
      </c>
      <c r="F2035" s="9">
        <v>325</v>
      </c>
      <c r="G2035" s="8">
        <f>F2035/650</f>
        <v>0.5</v>
      </c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</row>
    <row r="2036" spans="1:26" ht="15.75" customHeight="1">
      <c r="A2036" s="7" t="s">
        <v>2219</v>
      </c>
      <c r="B2036" s="9">
        <v>2</v>
      </c>
      <c r="C2036" s="21">
        <v>4714781020848</v>
      </c>
      <c r="D2036" s="10" t="s">
        <v>1382</v>
      </c>
      <c r="E2036" s="9">
        <v>1</v>
      </c>
      <c r="F2036" s="9">
        <v>325</v>
      </c>
      <c r="G2036" s="8">
        <f>F2036/650</f>
        <v>0.5</v>
      </c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</row>
    <row r="2037" spans="1:26" ht="15.75" customHeight="1">
      <c r="A2037" s="7"/>
      <c r="B2037" s="10"/>
      <c r="C2037" s="21">
        <v>4714781020831</v>
      </c>
      <c r="D2037" s="10" t="s">
        <v>1389</v>
      </c>
      <c r="E2037" s="9">
        <v>1</v>
      </c>
      <c r="F2037" s="9">
        <v>325</v>
      </c>
      <c r="G2037" s="8">
        <f>F2037/650</f>
        <v>0.5</v>
      </c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</row>
    <row r="2038" spans="1:26" ht="15.75" customHeight="1">
      <c r="A2038" s="7" t="s">
        <v>2218</v>
      </c>
      <c r="B2038" s="9">
        <v>2</v>
      </c>
      <c r="C2038" s="21" t="s">
        <v>1596</v>
      </c>
      <c r="D2038" s="10" t="s">
        <v>1384</v>
      </c>
      <c r="E2038" s="9">
        <v>1</v>
      </c>
      <c r="F2038" s="9">
        <v>325</v>
      </c>
      <c r="G2038" s="8">
        <f>F2038/650</f>
        <v>0.5</v>
      </c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</row>
    <row r="2039" spans="1:26" ht="15.75" customHeight="1">
      <c r="A2039" s="7"/>
      <c r="B2039" s="10"/>
      <c r="C2039" s="21">
        <v>4714781020824</v>
      </c>
      <c r="D2039" s="10" t="s">
        <v>1391</v>
      </c>
      <c r="E2039" s="9">
        <v>1</v>
      </c>
      <c r="F2039" s="9">
        <v>325</v>
      </c>
      <c r="G2039" s="8">
        <f>F2039/650</f>
        <v>0.5</v>
      </c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</row>
    <row r="2040" spans="1:26" ht="15.75" customHeight="1">
      <c r="A2040" s="7" t="s">
        <v>2217</v>
      </c>
      <c r="B2040" s="9">
        <v>2</v>
      </c>
      <c r="C2040" s="21" t="s">
        <v>1596</v>
      </c>
      <c r="D2040" s="10" t="s">
        <v>1384</v>
      </c>
      <c r="E2040" s="9">
        <v>1</v>
      </c>
      <c r="F2040" s="9">
        <v>325</v>
      </c>
      <c r="G2040" s="8">
        <f>F2040/650</f>
        <v>0.5</v>
      </c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</row>
    <row r="2041" spans="1:26" ht="15.75" customHeight="1">
      <c r="A2041" s="7"/>
      <c r="B2041" s="10"/>
      <c r="C2041" s="21">
        <v>4714781020831</v>
      </c>
      <c r="D2041" s="10" t="s">
        <v>1389</v>
      </c>
      <c r="E2041" s="9">
        <v>1</v>
      </c>
      <c r="F2041" s="9">
        <v>325</v>
      </c>
      <c r="G2041" s="8">
        <f>F2041/650</f>
        <v>0.5</v>
      </c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 spans="1:26" ht="15.75" customHeight="1">
      <c r="A2042" s="7" t="s">
        <v>2216</v>
      </c>
      <c r="B2042" s="9">
        <v>1</v>
      </c>
      <c r="C2042" s="21" t="s">
        <v>1619</v>
      </c>
      <c r="D2042" s="10" t="s">
        <v>1376</v>
      </c>
      <c r="E2042" s="9">
        <v>4</v>
      </c>
      <c r="F2042" s="9">
        <v>550</v>
      </c>
      <c r="G2042" s="8">
        <f>F2042/550</f>
        <v>1</v>
      </c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</row>
    <row r="2043" spans="1:26" ht="15.75" customHeight="1">
      <c r="A2043" s="7" t="s">
        <v>2215</v>
      </c>
      <c r="B2043" s="9">
        <v>5</v>
      </c>
      <c r="C2043" s="21" t="s">
        <v>1585</v>
      </c>
      <c r="D2043" s="10" t="s">
        <v>1584</v>
      </c>
      <c r="E2043" s="9">
        <v>1</v>
      </c>
      <c r="F2043" s="9">
        <v>60</v>
      </c>
      <c r="G2043" s="8">
        <f>F2043/600</f>
        <v>0.1</v>
      </c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</row>
    <row r="2044" spans="1:26" ht="15.75" customHeight="1">
      <c r="A2044" s="7"/>
      <c r="B2044" s="12"/>
      <c r="C2044" s="21" t="s">
        <v>1598</v>
      </c>
      <c r="D2044" s="10" t="s">
        <v>1382</v>
      </c>
      <c r="E2044" s="9">
        <v>1</v>
      </c>
      <c r="F2044" s="9">
        <v>300</v>
      </c>
      <c r="G2044" s="8">
        <f>F2044/600</f>
        <v>0.5</v>
      </c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</row>
    <row r="2045" spans="1:26" ht="15.75" customHeight="1">
      <c r="A2045" s="7"/>
      <c r="B2045" s="12"/>
      <c r="C2045" s="21" t="s">
        <v>1595</v>
      </c>
      <c r="D2045" s="10" t="s">
        <v>1378</v>
      </c>
      <c r="E2045" s="9">
        <v>1</v>
      </c>
      <c r="F2045" s="9">
        <v>120</v>
      </c>
      <c r="G2045" s="8">
        <f>F2045/600</f>
        <v>0.2</v>
      </c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</row>
    <row r="2046" spans="1:26" ht="15.75" customHeight="1">
      <c r="A2046" s="7"/>
      <c r="B2046" s="12"/>
      <c r="C2046" s="21" t="s">
        <v>1593</v>
      </c>
      <c r="D2046" s="10" t="s">
        <v>1592</v>
      </c>
      <c r="E2046" s="9">
        <v>1</v>
      </c>
      <c r="F2046" s="9">
        <v>50</v>
      </c>
      <c r="G2046" s="8">
        <f>F2046/600</f>
        <v>8.3333333333333329E-2</v>
      </c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</row>
    <row r="2047" spans="1:26" ht="15.75" customHeight="1">
      <c r="A2047" s="7"/>
      <c r="B2047" s="12"/>
      <c r="C2047" s="21" t="s">
        <v>1583</v>
      </c>
      <c r="D2047" s="10" t="s">
        <v>1582</v>
      </c>
      <c r="E2047" s="9">
        <v>1</v>
      </c>
      <c r="F2047" s="9">
        <v>70</v>
      </c>
      <c r="G2047" s="8">
        <f>F2047/600</f>
        <v>0.11666666666666667</v>
      </c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</row>
    <row r="2048" spans="1:26" ht="15.75" customHeight="1">
      <c r="A2048" s="7" t="s">
        <v>2214</v>
      </c>
      <c r="B2048" s="9">
        <v>5</v>
      </c>
      <c r="C2048" s="21" t="s">
        <v>1585</v>
      </c>
      <c r="D2048" s="10" t="s">
        <v>1584</v>
      </c>
      <c r="E2048" s="9">
        <v>1</v>
      </c>
      <c r="F2048" s="9">
        <v>60</v>
      </c>
      <c r="G2048" s="8">
        <f>F2048/600</f>
        <v>0.1</v>
      </c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</row>
    <row r="2049" spans="1:26" ht="15.75" customHeight="1">
      <c r="A2049" s="7"/>
      <c r="B2049" s="12"/>
      <c r="C2049" s="21" t="s">
        <v>1596</v>
      </c>
      <c r="D2049" s="10" t="s">
        <v>1384</v>
      </c>
      <c r="E2049" s="9">
        <v>1</v>
      </c>
      <c r="F2049" s="9">
        <v>300</v>
      </c>
      <c r="G2049" s="8">
        <f>F2049/600</f>
        <v>0.5</v>
      </c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</row>
    <row r="2050" spans="1:26" ht="15.75" customHeight="1">
      <c r="A2050" s="7"/>
      <c r="B2050" s="12"/>
      <c r="C2050" s="21" t="s">
        <v>1602</v>
      </c>
      <c r="D2050" s="10" t="s">
        <v>1380</v>
      </c>
      <c r="E2050" s="9">
        <v>1</v>
      </c>
      <c r="F2050" s="9">
        <v>120</v>
      </c>
      <c r="G2050" s="8">
        <f>F2050/600</f>
        <v>0.2</v>
      </c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</row>
    <row r="2051" spans="1:26" ht="15.75" customHeight="1">
      <c r="A2051" s="7"/>
      <c r="B2051" s="12"/>
      <c r="C2051" s="21" t="s">
        <v>1588</v>
      </c>
      <c r="D2051" s="10" t="s">
        <v>1587</v>
      </c>
      <c r="E2051" s="9">
        <v>1</v>
      </c>
      <c r="F2051" s="9">
        <v>50</v>
      </c>
      <c r="G2051" s="8">
        <f>F2051/600</f>
        <v>8.3333333333333329E-2</v>
      </c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</row>
    <row r="2052" spans="1:26" ht="15.75" customHeight="1">
      <c r="A2052" s="7"/>
      <c r="B2052" s="12"/>
      <c r="C2052" s="21" t="s">
        <v>1590</v>
      </c>
      <c r="D2052" s="10" t="s">
        <v>1589</v>
      </c>
      <c r="E2052" s="9">
        <v>1</v>
      </c>
      <c r="F2052" s="9">
        <v>70</v>
      </c>
      <c r="G2052" s="8">
        <f>F2052/600</f>
        <v>0.11666666666666667</v>
      </c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</row>
    <row r="2053" spans="1:26" ht="15.75" customHeight="1">
      <c r="A2053" s="7" t="s">
        <v>2213</v>
      </c>
      <c r="B2053" s="9">
        <v>5</v>
      </c>
      <c r="C2053" s="21" t="s">
        <v>1585</v>
      </c>
      <c r="D2053" s="10" t="s">
        <v>1584</v>
      </c>
      <c r="E2053" s="9">
        <v>1</v>
      </c>
      <c r="F2053" s="9">
        <v>60</v>
      </c>
      <c r="G2053" s="8">
        <f>F2053/600</f>
        <v>0.1</v>
      </c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</row>
    <row r="2054" spans="1:26" ht="15.75" customHeight="1">
      <c r="A2054" s="7"/>
      <c r="B2054" s="12"/>
      <c r="C2054" s="21" t="s">
        <v>1596</v>
      </c>
      <c r="D2054" s="10" t="s">
        <v>1384</v>
      </c>
      <c r="E2054" s="9">
        <v>1</v>
      </c>
      <c r="F2054" s="9">
        <v>300</v>
      </c>
      <c r="G2054" s="8">
        <f>F2054/600</f>
        <v>0.5</v>
      </c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</row>
    <row r="2055" spans="1:26" ht="15.75" customHeight="1">
      <c r="A2055" s="7"/>
      <c r="B2055" s="12"/>
      <c r="C2055" s="21" t="s">
        <v>1595</v>
      </c>
      <c r="D2055" s="10" t="s">
        <v>1378</v>
      </c>
      <c r="E2055" s="9">
        <v>1</v>
      </c>
      <c r="F2055" s="9">
        <v>120</v>
      </c>
      <c r="G2055" s="8">
        <f>F2055/600</f>
        <v>0.2</v>
      </c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</row>
    <row r="2056" spans="1:26" ht="15.75" customHeight="1">
      <c r="A2056" s="7"/>
      <c r="B2056" s="12"/>
      <c r="C2056" s="21" t="s">
        <v>1581</v>
      </c>
      <c r="D2056" s="10" t="s">
        <v>1580</v>
      </c>
      <c r="E2056" s="9">
        <v>1</v>
      </c>
      <c r="F2056" s="9">
        <v>50</v>
      </c>
      <c r="G2056" s="8">
        <f>F2056/600</f>
        <v>8.3333333333333329E-2</v>
      </c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</row>
    <row r="2057" spans="1:26" ht="15.75" customHeight="1">
      <c r="A2057" s="7"/>
      <c r="B2057" s="12"/>
      <c r="C2057" s="21" t="s">
        <v>1583</v>
      </c>
      <c r="D2057" s="10" t="s">
        <v>1582</v>
      </c>
      <c r="E2057" s="9">
        <v>1</v>
      </c>
      <c r="F2057" s="9">
        <v>70</v>
      </c>
      <c r="G2057" s="8">
        <f>F2057/600</f>
        <v>0.11666666666666667</v>
      </c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</row>
    <row r="2058" spans="1:26" ht="15.75" customHeight="1">
      <c r="A2058" s="7" t="s">
        <v>2212</v>
      </c>
      <c r="B2058" s="9">
        <v>5</v>
      </c>
      <c r="C2058" s="21" t="s">
        <v>1585</v>
      </c>
      <c r="D2058" s="10" t="s">
        <v>1584</v>
      </c>
      <c r="E2058" s="9">
        <v>1</v>
      </c>
      <c r="F2058" s="9">
        <v>60</v>
      </c>
      <c r="G2058" s="8">
        <f>F2058/600</f>
        <v>0.1</v>
      </c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</row>
    <row r="2059" spans="1:26" ht="15.75" customHeight="1">
      <c r="A2059" s="7"/>
      <c r="B2059" s="12"/>
      <c r="C2059" s="21" t="s">
        <v>1583</v>
      </c>
      <c r="D2059" s="10" t="s">
        <v>1582</v>
      </c>
      <c r="E2059" s="9">
        <v>1</v>
      </c>
      <c r="F2059" s="9">
        <v>300</v>
      </c>
      <c r="G2059" s="8">
        <f>F2059/600</f>
        <v>0.5</v>
      </c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</row>
    <row r="2060" spans="1:26" ht="15.75" customHeight="1">
      <c r="A2060" s="7"/>
      <c r="B2060" s="12"/>
      <c r="C2060" s="21" t="s">
        <v>1593</v>
      </c>
      <c r="D2060" s="10" t="s">
        <v>1592</v>
      </c>
      <c r="E2060" s="9">
        <v>1</v>
      </c>
      <c r="F2060" s="9">
        <v>120</v>
      </c>
      <c r="G2060" s="8">
        <f>F2060/600</f>
        <v>0.2</v>
      </c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</row>
    <row r="2061" spans="1:26" ht="15.75" customHeight="1">
      <c r="A2061" s="7"/>
      <c r="B2061" s="12"/>
      <c r="C2061" s="21">
        <v>4714781020800</v>
      </c>
      <c r="D2061" s="10" t="s">
        <v>1319</v>
      </c>
      <c r="E2061" s="9">
        <v>1</v>
      </c>
      <c r="F2061" s="9">
        <v>50</v>
      </c>
      <c r="G2061" s="8">
        <f>F2061/600</f>
        <v>8.3333333333333329E-2</v>
      </c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</row>
    <row r="2062" spans="1:26" ht="15.75" customHeight="1">
      <c r="A2062" s="7"/>
      <c r="B2062" s="12"/>
      <c r="C2062" s="21">
        <v>4714781020824</v>
      </c>
      <c r="D2062" s="10" t="s">
        <v>1391</v>
      </c>
      <c r="E2062" s="9">
        <v>1</v>
      </c>
      <c r="F2062" s="9">
        <v>70</v>
      </c>
      <c r="G2062" s="8">
        <f>F2062/600</f>
        <v>0.11666666666666667</v>
      </c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</row>
    <row r="2063" spans="1:26" ht="15.75" customHeight="1">
      <c r="A2063" s="7" t="s">
        <v>2211</v>
      </c>
      <c r="B2063" s="9">
        <v>5</v>
      </c>
      <c r="C2063" s="21" t="s">
        <v>1585</v>
      </c>
      <c r="D2063" s="10" t="s">
        <v>1584</v>
      </c>
      <c r="E2063" s="9">
        <v>1</v>
      </c>
      <c r="F2063" s="9">
        <v>60</v>
      </c>
      <c r="G2063" s="8">
        <f>F2063/600</f>
        <v>0.1</v>
      </c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</row>
    <row r="2064" spans="1:26" ht="15.75" customHeight="1">
      <c r="A2064" s="7"/>
      <c r="B2064" s="12"/>
      <c r="C2064" s="21" t="s">
        <v>1590</v>
      </c>
      <c r="D2064" s="10" t="s">
        <v>1589</v>
      </c>
      <c r="E2064" s="9">
        <v>1</v>
      </c>
      <c r="F2064" s="9">
        <v>300</v>
      </c>
      <c r="G2064" s="8">
        <f>F2064/600</f>
        <v>0.5</v>
      </c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</row>
    <row r="2065" spans="1:26" ht="15.75" customHeight="1">
      <c r="A2065" s="7"/>
      <c r="B2065" s="12"/>
      <c r="C2065" s="21" t="s">
        <v>1588</v>
      </c>
      <c r="D2065" s="10" t="s">
        <v>1587</v>
      </c>
      <c r="E2065" s="9">
        <v>1</v>
      </c>
      <c r="F2065" s="9">
        <v>120</v>
      </c>
      <c r="G2065" s="8">
        <f>F2065/600</f>
        <v>0.2</v>
      </c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</row>
    <row r="2066" spans="1:26" ht="15.75" customHeight="1">
      <c r="A2066" s="7"/>
      <c r="B2066" s="12"/>
      <c r="C2066" s="21">
        <v>4714781020817</v>
      </c>
      <c r="D2066" s="10" t="s">
        <v>1317</v>
      </c>
      <c r="E2066" s="9">
        <v>1</v>
      </c>
      <c r="F2066" s="9">
        <v>50</v>
      </c>
      <c r="G2066" s="8">
        <f>F2066/600</f>
        <v>8.3333333333333329E-2</v>
      </c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 spans="1:26" ht="15.75" customHeight="1">
      <c r="A2067" s="7"/>
      <c r="B2067" s="12"/>
      <c r="C2067" s="21" t="s">
        <v>1579</v>
      </c>
      <c r="D2067" s="10" t="s">
        <v>1389</v>
      </c>
      <c r="E2067" s="9">
        <v>1</v>
      </c>
      <c r="F2067" s="9">
        <v>70</v>
      </c>
      <c r="G2067" s="8">
        <f>F2067/600</f>
        <v>0.11666666666666667</v>
      </c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</row>
    <row r="2068" spans="1:26" ht="15.75" customHeight="1">
      <c r="A2068" s="7" t="s">
        <v>2210</v>
      </c>
      <c r="B2068" s="9">
        <v>5</v>
      </c>
      <c r="C2068" s="21" t="s">
        <v>1585</v>
      </c>
      <c r="D2068" s="10" t="s">
        <v>1584</v>
      </c>
      <c r="E2068" s="9">
        <v>1</v>
      </c>
      <c r="F2068" s="9">
        <v>60</v>
      </c>
      <c r="G2068" s="8">
        <f>F2068/600</f>
        <v>0.1</v>
      </c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</row>
    <row r="2069" spans="1:26" ht="15.75" customHeight="1">
      <c r="A2069" s="7"/>
      <c r="B2069" s="12"/>
      <c r="C2069" s="21" t="s">
        <v>1583</v>
      </c>
      <c r="D2069" s="10" t="s">
        <v>1582</v>
      </c>
      <c r="E2069" s="9">
        <v>1</v>
      </c>
      <c r="F2069" s="9">
        <v>300</v>
      </c>
      <c r="G2069" s="8">
        <f>F2069/600</f>
        <v>0.5</v>
      </c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</row>
    <row r="2070" spans="1:26" ht="15.75" customHeight="1">
      <c r="A2070" s="7"/>
      <c r="B2070" s="12"/>
      <c r="C2070" s="21" t="s">
        <v>1581</v>
      </c>
      <c r="D2070" s="10" t="s">
        <v>1580</v>
      </c>
      <c r="E2070" s="9">
        <v>1</v>
      </c>
      <c r="F2070" s="9">
        <v>120</v>
      </c>
      <c r="G2070" s="8">
        <f>F2070/600</f>
        <v>0.2</v>
      </c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</row>
    <row r="2071" spans="1:26" ht="15.75" customHeight="1">
      <c r="A2071" s="7"/>
      <c r="B2071" s="12"/>
      <c r="C2071" s="21">
        <v>4714781020817</v>
      </c>
      <c r="D2071" s="10" t="s">
        <v>1317</v>
      </c>
      <c r="E2071" s="9">
        <v>1</v>
      </c>
      <c r="F2071" s="9">
        <v>50</v>
      </c>
      <c r="G2071" s="8">
        <f>F2071/600</f>
        <v>8.3333333333333329E-2</v>
      </c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</row>
    <row r="2072" spans="1:26" ht="15.75" customHeight="1">
      <c r="A2072" s="7"/>
      <c r="B2072" s="12"/>
      <c r="C2072" s="21" t="s">
        <v>1579</v>
      </c>
      <c r="D2072" s="10" t="s">
        <v>1389</v>
      </c>
      <c r="E2072" s="9">
        <v>1</v>
      </c>
      <c r="F2072" s="9">
        <v>70</v>
      </c>
      <c r="G2072" s="8">
        <f>F2072/600</f>
        <v>0.11666666666666667</v>
      </c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</row>
    <row r="2073" spans="1:26" ht="15.75" customHeight="1">
      <c r="A2073" s="7" t="s">
        <v>2209</v>
      </c>
      <c r="B2073" s="9">
        <v>1</v>
      </c>
      <c r="C2073" s="23" t="s">
        <v>1713</v>
      </c>
      <c r="D2073" s="12" t="s">
        <v>1452</v>
      </c>
      <c r="E2073" s="9">
        <v>7</v>
      </c>
      <c r="F2073" s="9">
        <v>894</v>
      </c>
      <c r="G2073" s="8">
        <f>F2073/894</f>
        <v>1</v>
      </c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</row>
    <row r="2074" spans="1:26" ht="15.75" customHeight="1">
      <c r="A2074" s="7" t="s">
        <v>2208</v>
      </c>
      <c r="B2074" s="9">
        <v>1</v>
      </c>
      <c r="C2074" s="23">
        <v>4714781021012</v>
      </c>
      <c r="D2074" s="12" t="s">
        <v>1703</v>
      </c>
      <c r="E2074" s="9">
        <v>7</v>
      </c>
      <c r="F2074" s="9">
        <v>894</v>
      </c>
      <c r="G2074" s="8">
        <f>F2074/894</f>
        <v>1</v>
      </c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</row>
    <row r="2075" spans="1:26" ht="15.75" customHeight="1">
      <c r="A2075" s="7" t="s">
        <v>2207</v>
      </c>
      <c r="B2075" s="9">
        <v>1</v>
      </c>
      <c r="C2075" s="6">
        <v>4714781021609</v>
      </c>
      <c r="D2075" s="12" t="s">
        <v>1454</v>
      </c>
      <c r="E2075" s="9">
        <v>7</v>
      </c>
      <c r="F2075" s="9">
        <v>894</v>
      </c>
      <c r="G2075" s="8">
        <f>F2075/894</f>
        <v>1</v>
      </c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</row>
    <row r="2076" spans="1:26" ht="15.75" customHeight="1">
      <c r="A2076" s="7" t="s">
        <v>2206</v>
      </c>
      <c r="B2076" s="9">
        <v>3</v>
      </c>
      <c r="C2076" s="23">
        <v>4714781021227</v>
      </c>
      <c r="D2076" s="12" t="s">
        <v>2137</v>
      </c>
      <c r="E2076" s="9">
        <v>2</v>
      </c>
      <c r="F2076" s="9">
        <v>118</v>
      </c>
      <c r="G2076" s="8">
        <f>F2076/414</f>
        <v>0.28502415458937197</v>
      </c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</row>
    <row r="2077" spans="1:26" ht="15.75" customHeight="1">
      <c r="B2077" s="9"/>
      <c r="C2077" s="23">
        <v>4714781021234</v>
      </c>
      <c r="D2077" s="12" t="s">
        <v>2135</v>
      </c>
      <c r="E2077" s="9">
        <v>2</v>
      </c>
      <c r="F2077" s="9">
        <v>118</v>
      </c>
      <c r="G2077" s="8">
        <f>F2077/414</f>
        <v>0.28502415458937197</v>
      </c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</row>
    <row r="2078" spans="1:26" ht="15.75" customHeight="1">
      <c r="B2078" s="9"/>
      <c r="C2078" s="23">
        <v>4714781021241</v>
      </c>
      <c r="D2078" s="12" t="s">
        <v>2133</v>
      </c>
      <c r="E2078" s="9">
        <v>3</v>
      </c>
      <c r="F2078" s="9">
        <v>178</v>
      </c>
      <c r="G2078" s="8">
        <f>F2078/414</f>
        <v>0.42995169082125606</v>
      </c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</row>
    <row r="2079" spans="1:26" ht="15.75" customHeight="1">
      <c r="A2079" s="7" t="s">
        <v>2205</v>
      </c>
      <c r="B2079" s="9">
        <v>2</v>
      </c>
      <c r="C2079" s="23" t="s">
        <v>1713</v>
      </c>
      <c r="D2079" s="12" t="s">
        <v>1452</v>
      </c>
      <c r="E2079" s="9">
        <v>1</v>
      </c>
      <c r="F2079" s="9">
        <v>100</v>
      </c>
      <c r="G2079" s="8">
        <f>F2079/600</f>
        <v>0.16666666666666666</v>
      </c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</row>
    <row r="2080" spans="1:26" ht="15.75" customHeight="1">
      <c r="A2080" s="7"/>
      <c r="B2080" s="9"/>
      <c r="C2080" s="23" t="s">
        <v>1854</v>
      </c>
      <c r="D2080" s="12" t="s">
        <v>1720</v>
      </c>
      <c r="E2080" s="9">
        <v>6</v>
      </c>
      <c r="F2080" s="9">
        <v>500</v>
      </c>
      <c r="G2080" s="8">
        <f>F2080/600</f>
        <v>0.83333333333333337</v>
      </c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</row>
    <row r="2081" spans="1:26" ht="15.75" customHeight="1">
      <c r="A2081" s="7" t="s">
        <v>2204</v>
      </c>
      <c r="B2081" s="9">
        <v>1</v>
      </c>
      <c r="C2081" s="23" t="s">
        <v>1896</v>
      </c>
      <c r="D2081" s="12" t="s">
        <v>1360</v>
      </c>
      <c r="E2081" s="9">
        <v>7</v>
      </c>
      <c r="F2081" s="9">
        <v>600</v>
      </c>
      <c r="G2081" s="8">
        <f>F2081/600</f>
        <v>1</v>
      </c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</row>
    <row r="2082" spans="1:26" ht="15.75" customHeight="1">
      <c r="A2082" s="7" t="s">
        <v>2203</v>
      </c>
      <c r="B2082" s="9">
        <v>1</v>
      </c>
      <c r="C2082" s="23" t="s">
        <v>2202</v>
      </c>
      <c r="D2082" s="12" t="s">
        <v>1358</v>
      </c>
      <c r="E2082" s="9">
        <v>7</v>
      </c>
      <c r="F2082" s="9">
        <v>600</v>
      </c>
      <c r="G2082" s="8">
        <f>F2082/600</f>
        <v>1</v>
      </c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</row>
    <row r="2083" spans="1:26" ht="15.75" customHeight="1">
      <c r="A2083" s="7" t="s">
        <v>2201</v>
      </c>
      <c r="B2083" s="9">
        <v>1</v>
      </c>
      <c r="C2083" s="23" t="s">
        <v>1899</v>
      </c>
      <c r="D2083" s="12" t="s">
        <v>1362</v>
      </c>
      <c r="E2083" s="9">
        <v>7</v>
      </c>
      <c r="F2083" s="9">
        <v>750</v>
      </c>
      <c r="G2083" s="8">
        <f>F2083/750</f>
        <v>1</v>
      </c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</row>
    <row r="2084" spans="1:26" ht="15.75" customHeight="1">
      <c r="A2084" s="7" t="s">
        <v>2200</v>
      </c>
      <c r="B2084" s="9">
        <v>1</v>
      </c>
      <c r="C2084" s="23" t="s">
        <v>2197</v>
      </c>
      <c r="D2084" s="12" t="s">
        <v>1352</v>
      </c>
      <c r="E2084" s="9">
        <v>22</v>
      </c>
      <c r="F2084" s="9">
        <v>649</v>
      </c>
      <c r="G2084" s="8">
        <f>F2084/649</f>
        <v>1</v>
      </c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</row>
    <row r="2085" spans="1:26" ht="15.75" customHeight="1">
      <c r="A2085" s="7" t="s">
        <v>2199</v>
      </c>
      <c r="B2085" s="9">
        <v>1</v>
      </c>
      <c r="C2085" s="23" t="s">
        <v>1713</v>
      </c>
      <c r="D2085" s="12" t="s">
        <v>1452</v>
      </c>
      <c r="E2085" s="9">
        <v>7</v>
      </c>
      <c r="F2085" s="9">
        <v>894</v>
      </c>
      <c r="G2085" s="8">
        <f>F2085/894</f>
        <v>1</v>
      </c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</row>
    <row r="2086" spans="1:26" ht="15.75" customHeight="1">
      <c r="A2086" s="7" t="s">
        <v>2198</v>
      </c>
      <c r="B2086" s="9">
        <v>1</v>
      </c>
      <c r="C2086" s="23" t="s">
        <v>2197</v>
      </c>
      <c r="D2086" s="12" t="s">
        <v>1352</v>
      </c>
      <c r="E2086" s="9">
        <v>33</v>
      </c>
      <c r="F2086" s="9">
        <v>1298</v>
      </c>
      <c r="G2086" s="8">
        <f>F2086/1298</f>
        <v>1</v>
      </c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</row>
    <row r="2087" spans="1:26" ht="15.75" customHeight="1">
      <c r="A2087" s="7" t="s">
        <v>2196</v>
      </c>
      <c r="B2087" s="9">
        <v>3</v>
      </c>
      <c r="C2087" s="23">
        <v>4714781021227</v>
      </c>
      <c r="D2087" s="12" t="s">
        <v>2137</v>
      </c>
      <c r="E2087" s="9">
        <v>2</v>
      </c>
      <c r="F2087" s="9">
        <v>118</v>
      </c>
      <c r="G2087" s="8">
        <f>F2087/414</f>
        <v>0.28502415458937197</v>
      </c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</row>
    <row r="2088" spans="1:26" ht="15.75" customHeight="1">
      <c r="A2088" s="7"/>
      <c r="B2088" s="9"/>
      <c r="C2088" s="23">
        <v>4714781021234</v>
      </c>
      <c r="D2088" s="12" t="s">
        <v>2135</v>
      </c>
      <c r="E2088" s="9">
        <v>2</v>
      </c>
      <c r="F2088" s="9">
        <v>118</v>
      </c>
      <c r="G2088" s="8">
        <f>F2088/414</f>
        <v>0.28502415458937197</v>
      </c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</row>
    <row r="2089" spans="1:26" ht="15.75" customHeight="1">
      <c r="A2089" s="7"/>
      <c r="B2089" s="9"/>
      <c r="C2089" s="23">
        <v>4714781021241</v>
      </c>
      <c r="D2089" s="12" t="s">
        <v>2133</v>
      </c>
      <c r="E2089" s="9">
        <v>3</v>
      </c>
      <c r="F2089" s="9">
        <v>178</v>
      </c>
      <c r="G2089" s="8">
        <f>F2089/414</f>
        <v>0.42995169082125606</v>
      </c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</row>
    <row r="2090" spans="1:26" ht="15.75" customHeight="1">
      <c r="A2090" s="7" t="s">
        <v>2195</v>
      </c>
      <c r="B2090" s="9">
        <v>2</v>
      </c>
      <c r="C2090" s="23">
        <v>4714781021777</v>
      </c>
      <c r="D2090" s="12" t="s">
        <v>1522</v>
      </c>
      <c r="E2090" s="9">
        <v>1</v>
      </c>
      <c r="F2090" s="9">
        <v>380</v>
      </c>
      <c r="G2090" s="8">
        <f>F2090/660</f>
        <v>0.5757575757575758</v>
      </c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</row>
    <row r="2091" spans="1:26" ht="15.75" customHeight="1">
      <c r="A2091" s="7"/>
      <c r="B2091" s="9"/>
      <c r="C2091" s="23" t="s">
        <v>1531</v>
      </c>
      <c r="D2091" s="12" t="s">
        <v>2194</v>
      </c>
      <c r="E2091" s="9">
        <v>1</v>
      </c>
      <c r="F2091" s="9">
        <v>280</v>
      </c>
      <c r="G2091" s="8">
        <f>F2091/660</f>
        <v>0.42424242424242425</v>
      </c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 spans="1:26" ht="15.75" customHeight="1">
      <c r="A2092" s="7" t="s">
        <v>2193</v>
      </c>
      <c r="B2092" s="9">
        <v>2</v>
      </c>
      <c r="C2092" s="23">
        <v>4714781021777</v>
      </c>
      <c r="D2092" s="12" t="s">
        <v>1522</v>
      </c>
      <c r="E2092" s="9">
        <v>1</v>
      </c>
      <c r="F2092" s="9">
        <v>380</v>
      </c>
      <c r="G2092" s="8">
        <f>F2092/660</f>
        <v>0.5757575757575758</v>
      </c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</row>
    <row r="2093" spans="1:26" ht="15.75" customHeight="1">
      <c r="A2093" s="7"/>
      <c r="B2093" s="9"/>
      <c r="C2093" s="23" t="s">
        <v>1526</v>
      </c>
      <c r="D2093" s="12" t="s">
        <v>2192</v>
      </c>
      <c r="E2093" s="9">
        <v>1</v>
      </c>
      <c r="F2093" s="9">
        <v>280</v>
      </c>
      <c r="G2093" s="8">
        <f>F2093/660</f>
        <v>0.42424242424242425</v>
      </c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</row>
    <row r="2094" spans="1:26" ht="15.75" customHeight="1">
      <c r="A2094" s="7" t="s">
        <v>2191</v>
      </c>
      <c r="B2094" s="9">
        <v>2</v>
      </c>
      <c r="C2094" s="23">
        <v>4714781021777</v>
      </c>
      <c r="D2094" s="12" t="s">
        <v>1522</v>
      </c>
      <c r="E2094" s="9">
        <v>1</v>
      </c>
      <c r="F2094" s="9">
        <v>380</v>
      </c>
      <c r="G2094" s="8">
        <f>F2094/660</f>
        <v>0.5757575757575758</v>
      </c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</row>
    <row r="2095" spans="1:26" ht="15.75" customHeight="1">
      <c r="A2095" s="7"/>
      <c r="B2095" s="9"/>
      <c r="C2095" s="23" t="s">
        <v>1510</v>
      </c>
      <c r="D2095" s="12" t="s">
        <v>2190</v>
      </c>
      <c r="E2095" s="9">
        <v>1</v>
      </c>
      <c r="F2095" s="9">
        <v>280</v>
      </c>
      <c r="G2095" s="8">
        <f>F2095/660</f>
        <v>0.42424242424242425</v>
      </c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</row>
    <row r="2096" spans="1:26" ht="15.75" customHeight="1">
      <c r="A2096" s="7" t="s">
        <v>2189</v>
      </c>
      <c r="B2096" s="9">
        <v>2</v>
      </c>
      <c r="C2096" s="23">
        <v>4714781021777</v>
      </c>
      <c r="D2096" s="12" t="s">
        <v>1522</v>
      </c>
      <c r="E2096" s="9">
        <v>1</v>
      </c>
      <c r="F2096" s="9">
        <v>380</v>
      </c>
      <c r="G2096" s="8">
        <f>F2096/660</f>
        <v>0.5757575757575758</v>
      </c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</row>
    <row r="2097" spans="1:26" ht="15.75" customHeight="1">
      <c r="A2097" s="7"/>
      <c r="B2097" s="9"/>
      <c r="C2097" s="23" t="s">
        <v>1506</v>
      </c>
      <c r="D2097" s="12" t="s">
        <v>2188</v>
      </c>
      <c r="E2097" s="9">
        <v>1</v>
      </c>
      <c r="F2097" s="9">
        <v>280</v>
      </c>
      <c r="G2097" s="8">
        <f>F2097/660</f>
        <v>0.42424242424242425</v>
      </c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</row>
    <row r="2098" spans="1:26" ht="15.75" customHeight="1">
      <c r="A2098" s="7" t="s">
        <v>2187</v>
      </c>
      <c r="B2098" s="9">
        <v>2</v>
      </c>
      <c r="C2098" s="23">
        <v>4714781021777</v>
      </c>
      <c r="D2098" s="12" t="s">
        <v>1522</v>
      </c>
      <c r="E2098" s="9">
        <v>1</v>
      </c>
      <c r="F2098" s="9">
        <v>380</v>
      </c>
      <c r="G2098" s="8">
        <f>F2098/660</f>
        <v>0.5757575757575758</v>
      </c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</row>
    <row r="2099" spans="1:26" ht="15.75" customHeight="1">
      <c r="A2099" s="7"/>
      <c r="B2099" s="9"/>
      <c r="C2099" s="23" t="s">
        <v>1508</v>
      </c>
      <c r="D2099" s="12" t="s">
        <v>2186</v>
      </c>
      <c r="E2099" s="9">
        <v>1</v>
      </c>
      <c r="F2099" s="9">
        <v>280</v>
      </c>
      <c r="G2099" s="8">
        <f>F2099/660</f>
        <v>0.42424242424242425</v>
      </c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</row>
    <row r="2100" spans="1:26" ht="15.75" customHeight="1">
      <c r="A2100" s="7" t="s">
        <v>2185</v>
      </c>
      <c r="B2100" s="9">
        <v>1</v>
      </c>
      <c r="C2100" s="23" t="s">
        <v>2182</v>
      </c>
      <c r="D2100" s="12" t="s">
        <v>1722</v>
      </c>
      <c r="E2100" s="9">
        <v>2</v>
      </c>
      <c r="F2100" s="9">
        <v>180</v>
      </c>
      <c r="G2100" s="8">
        <f>F2100/180</f>
        <v>1</v>
      </c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</row>
    <row r="2101" spans="1:26" ht="15.75" customHeight="1">
      <c r="A2101" s="7" t="s">
        <v>2184</v>
      </c>
      <c r="B2101" s="9">
        <v>1</v>
      </c>
      <c r="C2101" s="23" t="s">
        <v>2181</v>
      </c>
      <c r="D2101" s="12" t="s">
        <v>1720</v>
      </c>
      <c r="E2101" s="9">
        <v>2</v>
      </c>
      <c r="F2101" s="9">
        <v>180</v>
      </c>
      <c r="G2101" s="8">
        <f>F2101/180</f>
        <v>1</v>
      </c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</row>
    <row r="2102" spans="1:26" ht="15.75" customHeight="1">
      <c r="A2102" s="7" t="s">
        <v>2183</v>
      </c>
      <c r="B2102" s="9">
        <v>2</v>
      </c>
      <c r="C2102" s="23" t="s">
        <v>2182</v>
      </c>
      <c r="D2102" s="12" t="s">
        <v>1722</v>
      </c>
      <c r="E2102" s="9">
        <v>1</v>
      </c>
      <c r="F2102" s="9">
        <v>90</v>
      </c>
      <c r="G2102" s="8">
        <f>F2102/180</f>
        <v>0.5</v>
      </c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</row>
    <row r="2103" spans="1:26" ht="15.75" customHeight="1">
      <c r="A2103" s="7"/>
      <c r="B2103" s="9"/>
      <c r="C2103" s="23" t="s">
        <v>2181</v>
      </c>
      <c r="D2103" s="12" t="s">
        <v>1720</v>
      </c>
      <c r="E2103" s="9">
        <v>1</v>
      </c>
      <c r="F2103" s="9">
        <v>90</v>
      </c>
      <c r="G2103" s="8">
        <f>F2103/180</f>
        <v>0.5</v>
      </c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</row>
    <row r="2104" spans="1:26" ht="15.75" customHeight="1">
      <c r="A2104" s="7" t="s">
        <v>2180</v>
      </c>
      <c r="B2104" s="9">
        <v>1</v>
      </c>
      <c r="C2104" s="23" t="s">
        <v>1486</v>
      </c>
      <c r="D2104" s="12" t="s">
        <v>1382</v>
      </c>
      <c r="E2104" s="9">
        <v>2</v>
      </c>
      <c r="F2104" s="9">
        <v>599</v>
      </c>
      <c r="G2104" s="8">
        <f>F2104/599</f>
        <v>1</v>
      </c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</row>
    <row r="2105" spans="1:26" ht="15.75" customHeight="1">
      <c r="A2105" s="7" t="s">
        <v>2179</v>
      </c>
      <c r="B2105" s="9">
        <v>1</v>
      </c>
      <c r="C2105" s="23" t="s">
        <v>1484</v>
      </c>
      <c r="D2105" s="12" t="s">
        <v>1384</v>
      </c>
      <c r="E2105" s="9">
        <v>2</v>
      </c>
      <c r="F2105" s="9">
        <v>599</v>
      </c>
      <c r="G2105" s="8">
        <f>F2105/599</f>
        <v>1</v>
      </c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</row>
    <row r="2106" spans="1:26" ht="15.75" customHeight="1">
      <c r="A2106" s="7" t="s">
        <v>2178</v>
      </c>
      <c r="B2106" s="9">
        <v>2</v>
      </c>
      <c r="C2106" s="23" t="s">
        <v>1486</v>
      </c>
      <c r="D2106" s="12" t="s">
        <v>1382</v>
      </c>
      <c r="E2106" s="9">
        <v>1</v>
      </c>
      <c r="F2106" s="9">
        <v>299</v>
      </c>
      <c r="G2106" s="8">
        <f>F2106/599</f>
        <v>0.4991652754590985</v>
      </c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</row>
    <row r="2107" spans="1:26" ht="15.75" customHeight="1">
      <c r="A2107" s="7"/>
      <c r="B2107" s="9"/>
      <c r="C2107" s="23" t="s">
        <v>1484</v>
      </c>
      <c r="D2107" s="12" t="s">
        <v>1384</v>
      </c>
      <c r="E2107" s="9">
        <v>1</v>
      </c>
      <c r="F2107" s="9">
        <v>300</v>
      </c>
      <c r="G2107" s="8">
        <f>F2107/599</f>
        <v>0.5008347245409015</v>
      </c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</row>
    <row r="2108" spans="1:26" ht="15.75" customHeight="1">
      <c r="A2108" s="7" t="s">
        <v>2177</v>
      </c>
      <c r="B2108" s="9">
        <v>1</v>
      </c>
      <c r="C2108" s="23" t="s">
        <v>2171</v>
      </c>
      <c r="D2108" s="12" t="s">
        <v>1391</v>
      </c>
      <c r="E2108" s="9">
        <v>2</v>
      </c>
      <c r="F2108" s="9">
        <v>599</v>
      </c>
      <c r="G2108" s="8">
        <f>F2108/599</f>
        <v>1</v>
      </c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</row>
    <row r="2109" spans="1:26" ht="15.75" customHeight="1">
      <c r="A2109" s="7" t="s">
        <v>2176</v>
      </c>
      <c r="B2109" s="9">
        <v>1</v>
      </c>
      <c r="C2109" s="23" t="s">
        <v>2169</v>
      </c>
      <c r="D2109" s="12" t="s">
        <v>1389</v>
      </c>
      <c r="E2109" s="9">
        <v>2</v>
      </c>
      <c r="F2109" s="9">
        <v>599</v>
      </c>
      <c r="G2109" s="8">
        <f>F2109/599</f>
        <v>1</v>
      </c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</row>
    <row r="2110" spans="1:26" ht="15.75" customHeight="1">
      <c r="A2110" s="7" t="s">
        <v>2175</v>
      </c>
      <c r="B2110" s="9">
        <v>2</v>
      </c>
      <c r="C2110" s="23" t="s">
        <v>2171</v>
      </c>
      <c r="D2110" s="12" t="s">
        <v>1391</v>
      </c>
      <c r="E2110" s="9">
        <v>1</v>
      </c>
      <c r="F2110" s="9">
        <v>299</v>
      </c>
      <c r="G2110" s="8">
        <f>F2110/599</f>
        <v>0.4991652754590985</v>
      </c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</row>
    <row r="2111" spans="1:26" ht="15.75" customHeight="1">
      <c r="A2111" s="7"/>
      <c r="B2111" s="9"/>
      <c r="C2111" s="23" t="s">
        <v>2169</v>
      </c>
      <c r="D2111" s="12" t="s">
        <v>1389</v>
      </c>
      <c r="E2111" s="9">
        <v>1</v>
      </c>
      <c r="F2111" s="9">
        <v>300</v>
      </c>
      <c r="G2111" s="8">
        <f>F2111/599</f>
        <v>0.5008347245409015</v>
      </c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 spans="1:26" ht="15.75" customHeight="1">
      <c r="A2112" s="7" t="s">
        <v>2174</v>
      </c>
      <c r="B2112" s="9">
        <v>2</v>
      </c>
      <c r="C2112" s="23" t="s">
        <v>1486</v>
      </c>
      <c r="D2112" s="12" t="s">
        <v>1382</v>
      </c>
      <c r="E2112" s="9">
        <v>1</v>
      </c>
      <c r="F2112" s="9">
        <v>299</v>
      </c>
      <c r="G2112" s="8">
        <f>F2112/599</f>
        <v>0.4991652754590985</v>
      </c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</row>
    <row r="2113" spans="1:26" ht="15.75" customHeight="1">
      <c r="A2113" s="7"/>
      <c r="B2113" s="9"/>
      <c r="C2113" s="23" t="s">
        <v>2171</v>
      </c>
      <c r="D2113" s="12" t="s">
        <v>1391</v>
      </c>
      <c r="E2113" s="9">
        <v>1</v>
      </c>
      <c r="F2113" s="9">
        <v>300</v>
      </c>
      <c r="G2113" s="8">
        <f>F2113/599</f>
        <v>0.5008347245409015</v>
      </c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</row>
    <row r="2114" spans="1:26" ht="15.75" customHeight="1">
      <c r="A2114" s="7" t="s">
        <v>2173</v>
      </c>
      <c r="B2114" s="9">
        <v>2</v>
      </c>
      <c r="C2114" s="23" t="s">
        <v>1486</v>
      </c>
      <c r="D2114" s="12" t="s">
        <v>1382</v>
      </c>
      <c r="E2114" s="9">
        <v>1</v>
      </c>
      <c r="F2114" s="9">
        <v>299</v>
      </c>
      <c r="G2114" s="8">
        <f>F2114/599</f>
        <v>0.4991652754590985</v>
      </c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</row>
    <row r="2115" spans="1:26" ht="15.75" customHeight="1">
      <c r="A2115" s="7"/>
      <c r="B2115" s="9"/>
      <c r="C2115" s="23" t="s">
        <v>2169</v>
      </c>
      <c r="D2115" s="12" t="s">
        <v>1389</v>
      </c>
      <c r="E2115" s="9">
        <v>1</v>
      </c>
      <c r="F2115" s="9">
        <v>300</v>
      </c>
      <c r="G2115" s="8">
        <f>F2115/599</f>
        <v>0.5008347245409015</v>
      </c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</row>
    <row r="2116" spans="1:26" ht="15.75" customHeight="1">
      <c r="A2116" s="7" t="s">
        <v>2172</v>
      </c>
      <c r="B2116" s="9">
        <v>2</v>
      </c>
      <c r="C2116" s="23" t="s">
        <v>1484</v>
      </c>
      <c r="D2116" s="12" t="s">
        <v>1384</v>
      </c>
      <c r="E2116" s="9">
        <v>1</v>
      </c>
      <c r="F2116" s="9">
        <v>299</v>
      </c>
      <c r="G2116" s="8">
        <f>F2116/599</f>
        <v>0.4991652754590985</v>
      </c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</row>
    <row r="2117" spans="1:26" ht="15.75" customHeight="1">
      <c r="A2117" s="7"/>
      <c r="B2117" s="9"/>
      <c r="C2117" s="23" t="s">
        <v>2171</v>
      </c>
      <c r="D2117" s="12" t="s">
        <v>1391</v>
      </c>
      <c r="E2117" s="9">
        <v>1</v>
      </c>
      <c r="F2117" s="9">
        <v>300</v>
      </c>
      <c r="G2117" s="8">
        <f>F2117/599</f>
        <v>0.5008347245409015</v>
      </c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</row>
    <row r="2118" spans="1:26" ht="15.75" customHeight="1">
      <c r="A2118" s="7" t="s">
        <v>2170</v>
      </c>
      <c r="B2118" s="9">
        <v>2</v>
      </c>
      <c r="C2118" s="23" t="s">
        <v>1484</v>
      </c>
      <c r="D2118" s="12" t="s">
        <v>1384</v>
      </c>
      <c r="E2118" s="9">
        <v>1</v>
      </c>
      <c r="F2118" s="9">
        <v>299</v>
      </c>
      <c r="G2118" s="8">
        <f>F2118/599</f>
        <v>0.4991652754590985</v>
      </c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</row>
    <row r="2119" spans="1:26" ht="15.75" customHeight="1">
      <c r="A2119" s="7"/>
      <c r="B2119" s="9"/>
      <c r="C2119" s="23" t="s">
        <v>2169</v>
      </c>
      <c r="D2119" s="12" t="s">
        <v>1389</v>
      </c>
      <c r="E2119" s="9">
        <v>1</v>
      </c>
      <c r="F2119" s="9">
        <v>300</v>
      </c>
      <c r="G2119" s="8">
        <f>F2119/599</f>
        <v>0.5008347245409015</v>
      </c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</row>
    <row r="2120" spans="1:26" ht="15.75" customHeight="1">
      <c r="A2120" s="7" t="s">
        <v>2168</v>
      </c>
      <c r="B2120" s="9">
        <v>2</v>
      </c>
      <c r="C2120" s="23" t="s">
        <v>2156</v>
      </c>
      <c r="D2120" s="12" t="s">
        <v>1376</v>
      </c>
      <c r="E2120" s="9">
        <v>1</v>
      </c>
      <c r="F2120" s="9">
        <v>135</v>
      </c>
      <c r="G2120" s="8">
        <f>F2120/269</f>
        <v>0.5018587360594795</v>
      </c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</row>
    <row r="2121" spans="1:26" ht="15.75" customHeight="1">
      <c r="A2121" s="7"/>
      <c r="B2121" s="9"/>
      <c r="C2121" s="23" t="s">
        <v>1493</v>
      </c>
      <c r="D2121" s="12" t="s">
        <v>1380</v>
      </c>
      <c r="E2121" s="9">
        <v>1</v>
      </c>
      <c r="F2121" s="9">
        <v>134</v>
      </c>
      <c r="G2121" s="8">
        <f>F2121/269</f>
        <v>0.49814126394052044</v>
      </c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</row>
    <row r="2122" spans="1:26" ht="15.75" customHeight="1">
      <c r="A2122" s="7" t="s">
        <v>2167</v>
      </c>
      <c r="B2122" s="9">
        <v>2</v>
      </c>
      <c r="C2122" s="23" t="s">
        <v>2156</v>
      </c>
      <c r="D2122" s="12" t="s">
        <v>1376</v>
      </c>
      <c r="E2122" s="9">
        <v>1</v>
      </c>
      <c r="F2122" s="9">
        <v>135</v>
      </c>
      <c r="G2122" s="8">
        <f>F2122/269</f>
        <v>0.5018587360594795</v>
      </c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</row>
    <row r="2123" spans="1:26" ht="15.75" customHeight="1">
      <c r="A2123" s="7"/>
      <c r="B2123" s="9"/>
      <c r="C2123" s="23" t="s">
        <v>1491</v>
      </c>
      <c r="D2123" s="12" t="s">
        <v>1378</v>
      </c>
      <c r="E2123" s="9">
        <v>1</v>
      </c>
      <c r="F2123" s="9">
        <v>134</v>
      </c>
      <c r="G2123" s="8">
        <f>F2123/269</f>
        <v>0.49814126394052044</v>
      </c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</row>
    <row r="2124" spans="1:26" ht="15.75" customHeight="1">
      <c r="A2124" s="7" t="s">
        <v>2166</v>
      </c>
      <c r="B2124" s="9">
        <v>2</v>
      </c>
      <c r="C2124" s="23" t="s">
        <v>2156</v>
      </c>
      <c r="D2124" s="12" t="s">
        <v>1376</v>
      </c>
      <c r="E2124" s="9">
        <v>1</v>
      </c>
      <c r="F2124" s="9">
        <v>145</v>
      </c>
      <c r="G2124" s="8">
        <f>F2124/269</f>
        <v>0.53903345724907059</v>
      </c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</row>
    <row r="2125" spans="1:26" ht="15.75" customHeight="1">
      <c r="A2125" s="7"/>
      <c r="B2125" s="9"/>
      <c r="C2125" s="23" t="s">
        <v>2165</v>
      </c>
      <c r="D2125" s="12" t="s">
        <v>1320</v>
      </c>
      <c r="E2125" s="9">
        <v>1</v>
      </c>
      <c r="F2125" s="9">
        <v>124</v>
      </c>
      <c r="G2125" s="8">
        <f>F2125/269</f>
        <v>0.46096654275092935</v>
      </c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</row>
    <row r="2126" spans="1:26" ht="15.75" customHeight="1">
      <c r="A2126" s="7" t="s">
        <v>2164</v>
      </c>
      <c r="B2126" s="9">
        <v>2</v>
      </c>
      <c r="C2126" s="23" t="s">
        <v>2156</v>
      </c>
      <c r="D2126" s="12" t="s">
        <v>1376</v>
      </c>
      <c r="E2126" s="9">
        <v>1</v>
      </c>
      <c r="F2126" s="9">
        <v>145</v>
      </c>
      <c r="G2126" s="8">
        <f>F2126/269</f>
        <v>0.53903345724907059</v>
      </c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</row>
    <row r="2127" spans="1:26" ht="15.75" customHeight="1">
      <c r="A2127" s="7"/>
      <c r="B2127" s="9"/>
      <c r="C2127" s="23" t="s">
        <v>2163</v>
      </c>
      <c r="D2127" s="12" t="s">
        <v>1319</v>
      </c>
      <c r="E2127" s="9">
        <v>1</v>
      </c>
      <c r="F2127" s="9">
        <v>124</v>
      </c>
      <c r="G2127" s="8">
        <f>F2127/269</f>
        <v>0.46096654275092935</v>
      </c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 spans="1:26" ht="15.75" customHeight="1">
      <c r="A2128" s="7" t="s">
        <v>2162</v>
      </c>
      <c r="B2128" s="9">
        <v>2</v>
      </c>
      <c r="C2128" s="23" t="s">
        <v>2156</v>
      </c>
      <c r="D2128" s="12" t="s">
        <v>1376</v>
      </c>
      <c r="E2128" s="9">
        <v>1</v>
      </c>
      <c r="F2128" s="9">
        <v>145</v>
      </c>
      <c r="G2128" s="8">
        <f>F2128/269</f>
        <v>0.53903345724907059</v>
      </c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</row>
    <row r="2129" spans="1:26" ht="15.75" customHeight="1">
      <c r="A2129" s="7"/>
      <c r="B2129" s="9"/>
      <c r="C2129" s="23" t="s">
        <v>2161</v>
      </c>
      <c r="D2129" s="12" t="s">
        <v>1317</v>
      </c>
      <c r="E2129" s="9">
        <v>1</v>
      </c>
      <c r="F2129" s="9">
        <v>124</v>
      </c>
      <c r="G2129" s="8">
        <f>F2129/269</f>
        <v>0.46096654275092935</v>
      </c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</row>
    <row r="2130" spans="1:26" ht="15.75" customHeight="1">
      <c r="A2130" s="7" t="s">
        <v>2160</v>
      </c>
      <c r="B2130" s="9">
        <v>2</v>
      </c>
      <c r="C2130" s="23" t="s">
        <v>1905</v>
      </c>
      <c r="D2130" s="12" t="s">
        <v>1904</v>
      </c>
      <c r="E2130" s="9">
        <v>1</v>
      </c>
      <c r="F2130" s="9">
        <v>520</v>
      </c>
      <c r="G2130" s="8">
        <f>F2130/650</f>
        <v>0.8</v>
      </c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</row>
    <row r="2131" spans="1:26" ht="15.75" customHeight="1">
      <c r="A2131" s="7"/>
      <c r="B2131" s="9"/>
      <c r="C2131" s="23" t="s">
        <v>1713</v>
      </c>
      <c r="D2131" s="12" t="s">
        <v>1452</v>
      </c>
      <c r="E2131" s="9">
        <v>1</v>
      </c>
      <c r="F2131" s="9">
        <v>130</v>
      </c>
      <c r="G2131" s="8">
        <f>F2131/650</f>
        <v>0.2</v>
      </c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</row>
    <row r="2132" spans="1:26" ht="15.75" customHeight="1">
      <c r="A2132" s="7" t="s">
        <v>2159</v>
      </c>
      <c r="B2132" s="9">
        <v>1</v>
      </c>
      <c r="C2132" s="23" t="s">
        <v>1508</v>
      </c>
      <c r="D2132" s="12" t="s">
        <v>264</v>
      </c>
      <c r="E2132" s="9">
        <v>1</v>
      </c>
      <c r="F2132" s="9">
        <v>111</v>
      </c>
      <c r="G2132" s="8">
        <f>F2132/111</f>
        <v>1</v>
      </c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</row>
    <row r="2133" spans="1:26" ht="15.75" customHeight="1">
      <c r="A2133" s="7" t="s">
        <v>2158</v>
      </c>
      <c r="B2133" s="9">
        <v>1</v>
      </c>
      <c r="C2133" s="23">
        <v>4714781021777</v>
      </c>
      <c r="D2133" s="12" t="s">
        <v>1522</v>
      </c>
      <c r="E2133" s="9">
        <v>1</v>
      </c>
      <c r="F2133" s="9">
        <v>111</v>
      </c>
      <c r="G2133" s="8">
        <f>F2133/111</f>
        <v>1</v>
      </c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</row>
    <row r="2134" spans="1:26" ht="15.75" customHeight="1">
      <c r="A2134" s="7" t="s">
        <v>2157</v>
      </c>
      <c r="B2134" s="9">
        <v>1</v>
      </c>
      <c r="C2134" s="23" t="s">
        <v>2156</v>
      </c>
      <c r="D2134" s="12" t="s">
        <v>1376</v>
      </c>
      <c r="E2134" s="9">
        <v>1</v>
      </c>
      <c r="F2134" s="9">
        <v>11</v>
      </c>
      <c r="G2134" s="8">
        <f>F2134/11</f>
        <v>1</v>
      </c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</row>
    <row r="2135" spans="1:26" ht="15.75" customHeight="1">
      <c r="A2135" s="7" t="s">
        <v>2155</v>
      </c>
      <c r="B2135" s="9">
        <v>1</v>
      </c>
      <c r="C2135" s="23" t="s">
        <v>1713</v>
      </c>
      <c r="D2135" s="12" t="s">
        <v>1452</v>
      </c>
      <c r="E2135" s="9">
        <v>1</v>
      </c>
      <c r="F2135" s="9">
        <v>1</v>
      </c>
      <c r="G2135" s="8">
        <f>F2135/1</f>
        <v>1</v>
      </c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</row>
    <row r="2136" spans="1:26" ht="15.75" customHeight="1">
      <c r="A2136" s="7" t="s">
        <v>2154</v>
      </c>
      <c r="B2136" s="9">
        <v>1</v>
      </c>
      <c r="C2136" s="23" t="s">
        <v>1517</v>
      </c>
      <c r="D2136" s="12" t="s">
        <v>1372</v>
      </c>
      <c r="E2136" s="9">
        <v>1</v>
      </c>
      <c r="F2136" s="9">
        <v>1</v>
      </c>
      <c r="G2136" s="8">
        <f>F2136/1</f>
        <v>1</v>
      </c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</row>
    <row r="2137" spans="1:26" ht="15.75" customHeight="1">
      <c r="A2137" s="7" t="s">
        <v>497</v>
      </c>
      <c r="B2137" s="9">
        <v>3</v>
      </c>
      <c r="C2137" s="23">
        <v>4714781021227</v>
      </c>
      <c r="D2137" s="12" t="s">
        <v>2137</v>
      </c>
      <c r="E2137" s="9">
        <v>1</v>
      </c>
      <c r="F2137" s="9">
        <v>66</v>
      </c>
      <c r="G2137" s="8">
        <f>F2137/199</f>
        <v>0.33165829145728642</v>
      </c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</row>
    <row r="2138" spans="1:26" ht="15.75" customHeight="1">
      <c r="A2138" s="7"/>
      <c r="B2138" s="9"/>
      <c r="C2138" s="23">
        <v>4714781021234</v>
      </c>
      <c r="D2138" s="12" t="s">
        <v>2135</v>
      </c>
      <c r="E2138" s="9">
        <v>1</v>
      </c>
      <c r="F2138" s="9">
        <v>66</v>
      </c>
      <c r="G2138" s="8">
        <f>F2138/199</f>
        <v>0.33165829145728642</v>
      </c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</row>
    <row r="2139" spans="1:26" ht="15.75" customHeight="1">
      <c r="A2139" s="7"/>
      <c r="B2139" s="9"/>
      <c r="C2139" s="23">
        <v>4714781021241</v>
      </c>
      <c r="D2139" s="12" t="s">
        <v>2133</v>
      </c>
      <c r="E2139" s="9">
        <v>1</v>
      </c>
      <c r="F2139" s="9">
        <v>67</v>
      </c>
      <c r="G2139" s="8">
        <f>F2139/199</f>
        <v>0.33668341708542715</v>
      </c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</row>
    <row r="2140" spans="1:26" ht="15.75" customHeight="1">
      <c r="A2140" s="7" t="s">
        <v>2153</v>
      </c>
      <c r="B2140" s="9">
        <v>1</v>
      </c>
      <c r="C2140" s="23">
        <v>4714781021227</v>
      </c>
      <c r="D2140" s="12" t="s">
        <v>2137</v>
      </c>
      <c r="E2140" s="9">
        <v>3</v>
      </c>
      <c r="F2140" s="9">
        <v>199</v>
      </c>
      <c r="G2140" s="8">
        <f>F2140/199</f>
        <v>1</v>
      </c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</row>
    <row r="2141" spans="1:26" ht="15.75" customHeight="1">
      <c r="A2141" s="7" t="s">
        <v>1031</v>
      </c>
      <c r="B2141" s="9">
        <v>1</v>
      </c>
      <c r="C2141" s="23">
        <v>4714781021234</v>
      </c>
      <c r="D2141" s="12" t="s">
        <v>2135</v>
      </c>
      <c r="E2141" s="9">
        <v>3</v>
      </c>
      <c r="F2141" s="9">
        <v>199</v>
      </c>
      <c r="G2141" s="8">
        <f>F2141/199</f>
        <v>1</v>
      </c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</row>
    <row r="2142" spans="1:26" ht="15.75" customHeight="1">
      <c r="A2142" s="7" t="s">
        <v>2152</v>
      </c>
      <c r="B2142" s="9">
        <v>1</v>
      </c>
      <c r="C2142" s="23">
        <v>4714781021241</v>
      </c>
      <c r="D2142" s="12" t="s">
        <v>2133</v>
      </c>
      <c r="E2142" s="9">
        <v>3</v>
      </c>
      <c r="F2142" s="9">
        <v>199</v>
      </c>
      <c r="G2142" s="8">
        <f>F2142/199</f>
        <v>1</v>
      </c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</row>
    <row r="2143" spans="1:26" ht="15.75" customHeight="1">
      <c r="A2143" s="7" t="s">
        <v>2151</v>
      </c>
      <c r="B2143" s="9">
        <v>2</v>
      </c>
      <c r="C2143" s="23">
        <v>4714781021227</v>
      </c>
      <c r="D2143" s="12" t="s">
        <v>2137</v>
      </c>
      <c r="E2143" s="9">
        <v>2</v>
      </c>
      <c r="F2143" s="9">
        <v>132</v>
      </c>
      <c r="G2143" s="8">
        <f>F2143/199</f>
        <v>0.66331658291457285</v>
      </c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</row>
    <row r="2144" spans="1:26" ht="15.75" customHeight="1">
      <c r="A2144" s="7"/>
      <c r="B2144" s="9"/>
      <c r="C2144" s="23">
        <v>4714781021234</v>
      </c>
      <c r="D2144" s="12" t="s">
        <v>2135</v>
      </c>
      <c r="E2144" s="9">
        <v>1</v>
      </c>
      <c r="F2144" s="9">
        <v>67</v>
      </c>
      <c r="G2144" s="8">
        <f>F2144/199</f>
        <v>0.33668341708542715</v>
      </c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</row>
    <row r="2145" spans="1:26" ht="15.75" customHeight="1">
      <c r="A2145" s="7" t="s">
        <v>2150</v>
      </c>
      <c r="B2145" s="9">
        <v>2</v>
      </c>
      <c r="C2145" s="23">
        <v>4714781021227</v>
      </c>
      <c r="D2145" s="12" t="s">
        <v>2137</v>
      </c>
      <c r="E2145" s="9">
        <v>2</v>
      </c>
      <c r="F2145" s="9">
        <v>132</v>
      </c>
      <c r="G2145" s="8">
        <f>F2145/199</f>
        <v>0.66331658291457285</v>
      </c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</row>
    <row r="2146" spans="1:26" ht="15.75" customHeight="1">
      <c r="A2146" s="7"/>
      <c r="B2146" s="9"/>
      <c r="C2146" s="23">
        <v>4714781021241</v>
      </c>
      <c r="D2146" s="12" t="s">
        <v>2133</v>
      </c>
      <c r="E2146" s="9">
        <v>1</v>
      </c>
      <c r="F2146" s="9">
        <v>67</v>
      </c>
      <c r="G2146" s="8">
        <f>F2146/199</f>
        <v>0.33668341708542715</v>
      </c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</row>
    <row r="2147" spans="1:26" ht="15.75" customHeight="1">
      <c r="A2147" s="7" t="s">
        <v>2149</v>
      </c>
      <c r="B2147" s="9">
        <v>2</v>
      </c>
      <c r="C2147" s="23">
        <v>4714781021234</v>
      </c>
      <c r="D2147" s="12" t="s">
        <v>2135</v>
      </c>
      <c r="E2147" s="9">
        <v>2</v>
      </c>
      <c r="F2147" s="9">
        <v>132</v>
      </c>
      <c r="G2147" s="8">
        <f>F2147/199</f>
        <v>0.66331658291457285</v>
      </c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</row>
    <row r="2148" spans="1:26" ht="15.75" customHeight="1">
      <c r="A2148" s="7"/>
      <c r="B2148" s="9"/>
      <c r="C2148" s="23">
        <v>4714781021227</v>
      </c>
      <c r="D2148" s="12" t="s">
        <v>2137</v>
      </c>
      <c r="E2148" s="9">
        <v>1</v>
      </c>
      <c r="F2148" s="9">
        <v>67</v>
      </c>
      <c r="G2148" s="8">
        <f>F2148/199</f>
        <v>0.33668341708542715</v>
      </c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</row>
    <row r="2149" spans="1:26" ht="15.75" customHeight="1">
      <c r="A2149" s="7" t="s">
        <v>2148</v>
      </c>
      <c r="B2149" s="9">
        <v>2</v>
      </c>
      <c r="C2149" s="23">
        <v>4714781021234</v>
      </c>
      <c r="D2149" s="12" t="s">
        <v>2135</v>
      </c>
      <c r="E2149" s="9">
        <v>2</v>
      </c>
      <c r="F2149" s="9">
        <v>132</v>
      </c>
      <c r="G2149" s="8">
        <f>F2149/199</f>
        <v>0.66331658291457285</v>
      </c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</row>
    <row r="2150" spans="1:26" ht="15.75" customHeight="1">
      <c r="A2150" s="7"/>
      <c r="B2150" s="9"/>
      <c r="C2150" s="23">
        <v>4714781021241</v>
      </c>
      <c r="D2150" s="12" t="s">
        <v>2133</v>
      </c>
      <c r="E2150" s="9">
        <v>1</v>
      </c>
      <c r="F2150" s="9">
        <v>67</v>
      </c>
      <c r="G2150" s="8">
        <f>F2150/199</f>
        <v>0.33668341708542715</v>
      </c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</row>
    <row r="2151" spans="1:26" ht="15.75" customHeight="1">
      <c r="A2151" s="7" t="s">
        <v>2147</v>
      </c>
      <c r="B2151" s="9">
        <v>2</v>
      </c>
      <c r="C2151" s="23">
        <v>4714781021241</v>
      </c>
      <c r="D2151" s="12" t="s">
        <v>2133</v>
      </c>
      <c r="E2151" s="9">
        <v>2</v>
      </c>
      <c r="F2151" s="9">
        <v>132</v>
      </c>
      <c r="G2151" s="8">
        <f>F2151/199</f>
        <v>0.66331658291457285</v>
      </c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</row>
    <row r="2152" spans="1:26" ht="15.75" customHeight="1">
      <c r="A2152" s="7"/>
      <c r="B2152" s="9"/>
      <c r="C2152" s="23">
        <v>4714781021227</v>
      </c>
      <c r="D2152" s="12" t="s">
        <v>2137</v>
      </c>
      <c r="E2152" s="9">
        <v>1</v>
      </c>
      <c r="F2152" s="9">
        <v>67</v>
      </c>
      <c r="G2152" s="8">
        <f>F2152/199</f>
        <v>0.33668341708542715</v>
      </c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</row>
    <row r="2153" spans="1:26" ht="15.75" customHeight="1">
      <c r="A2153" s="7" t="s">
        <v>2146</v>
      </c>
      <c r="B2153" s="9">
        <v>2</v>
      </c>
      <c r="C2153" s="23">
        <v>4714781021241</v>
      </c>
      <c r="D2153" s="12" t="s">
        <v>2133</v>
      </c>
      <c r="E2153" s="9">
        <v>2</v>
      </c>
      <c r="F2153" s="9">
        <v>132</v>
      </c>
      <c r="G2153" s="8">
        <f>F2153/199</f>
        <v>0.66331658291457285</v>
      </c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</row>
    <row r="2154" spans="1:26" ht="15.75" customHeight="1">
      <c r="A2154" s="7"/>
      <c r="B2154" s="9"/>
      <c r="C2154" s="23">
        <v>4714781021234</v>
      </c>
      <c r="D2154" s="12" t="s">
        <v>2135</v>
      </c>
      <c r="E2154" s="9">
        <v>1</v>
      </c>
      <c r="F2154" s="9">
        <v>67</v>
      </c>
      <c r="G2154" s="8">
        <f>F2154/199</f>
        <v>0.33668341708542715</v>
      </c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</row>
    <row r="2155" spans="1:26" ht="15.75" customHeight="1">
      <c r="A2155" s="7" t="s">
        <v>2145</v>
      </c>
      <c r="B2155" s="9">
        <v>3</v>
      </c>
      <c r="C2155" s="23">
        <v>4714781021227</v>
      </c>
      <c r="D2155" s="12" t="s">
        <v>2137</v>
      </c>
      <c r="E2155" s="9">
        <v>2</v>
      </c>
      <c r="F2155" s="9">
        <v>132</v>
      </c>
      <c r="G2155" s="8">
        <f>F2155/398</f>
        <v>0.33165829145728642</v>
      </c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</row>
    <row r="2156" spans="1:26" ht="15.75" customHeight="1">
      <c r="A2156" s="7"/>
      <c r="B2156" s="9"/>
      <c r="C2156" s="23">
        <v>4714781021234</v>
      </c>
      <c r="D2156" s="12" t="s">
        <v>2135</v>
      </c>
      <c r="E2156" s="9">
        <v>2</v>
      </c>
      <c r="F2156" s="9">
        <v>133</v>
      </c>
      <c r="G2156" s="8">
        <f>F2156/398</f>
        <v>0.33417085427135679</v>
      </c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</row>
    <row r="2157" spans="1:26" ht="15.75" customHeight="1">
      <c r="A2157" s="7"/>
      <c r="B2157" s="9"/>
      <c r="C2157" s="23">
        <v>4714781021241</v>
      </c>
      <c r="D2157" s="12" t="s">
        <v>2133</v>
      </c>
      <c r="E2157" s="9">
        <v>2</v>
      </c>
      <c r="F2157" s="9">
        <v>133</v>
      </c>
      <c r="G2157" s="8">
        <f>F2157/398</f>
        <v>0.33417085427135679</v>
      </c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</row>
    <row r="2158" spans="1:26" ht="15.75" customHeight="1">
      <c r="A2158" s="7" t="s">
        <v>2144</v>
      </c>
      <c r="B2158" s="9">
        <v>2</v>
      </c>
      <c r="C2158" s="23">
        <v>4714781021227</v>
      </c>
      <c r="D2158" s="12" t="s">
        <v>2137</v>
      </c>
      <c r="E2158" s="9">
        <v>3</v>
      </c>
      <c r="F2158" s="9">
        <v>199</v>
      </c>
      <c r="G2158" s="8">
        <f>F2158/398</f>
        <v>0.5</v>
      </c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</row>
    <row r="2159" spans="1:26" ht="15.75" customHeight="1">
      <c r="A2159" s="7"/>
      <c r="B2159" s="9"/>
      <c r="C2159" s="23">
        <v>4714781021234</v>
      </c>
      <c r="D2159" s="12" t="s">
        <v>2135</v>
      </c>
      <c r="E2159" s="9">
        <v>3</v>
      </c>
      <c r="F2159" s="9">
        <v>199</v>
      </c>
      <c r="G2159" s="8">
        <f>F2159/398</f>
        <v>0.5</v>
      </c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</row>
    <row r="2160" spans="1:26" ht="15.75" customHeight="1">
      <c r="A2160" s="7" t="s">
        <v>2143</v>
      </c>
      <c r="B2160" s="9">
        <v>2</v>
      </c>
      <c r="C2160" s="23">
        <v>4714781021227</v>
      </c>
      <c r="D2160" s="12" t="s">
        <v>2137</v>
      </c>
      <c r="E2160" s="9">
        <v>3</v>
      </c>
      <c r="F2160" s="9">
        <v>199</v>
      </c>
      <c r="G2160" s="8">
        <f>F2160/398</f>
        <v>0.5</v>
      </c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 spans="1:26" ht="15.75" customHeight="1">
      <c r="A2161" s="7"/>
      <c r="B2161" s="9"/>
      <c r="C2161" s="23">
        <v>4714781021241</v>
      </c>
      <c r="D2161" s="12" t="s">
        <v>2133</v>
      </c>
      <c r="E2161" s="9">
        <v>3</v>
      </c>
      <c r="F2161" s="9">
        <v>199</v>
      </c>
      <c r="G2161" s="8">
        <f>F2161/398</f>
        <v>0.5</v>
      </c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</row>
    <row r="2162" spans="1:26" ht="15.75" customHeight="1">
      <c r="A2162" s="7" t="s">
        <v>2142</v>
      </c>
      <c r="B2162" s="9">
        <v>2</v>
      </c>
      <c r="C2162" s="23">
        <v>4714781021234</v>
      </c>
      <c r="D2162" s="12" t="s">
        <v>2135</v>
      </c>
      <c r="E2162" s="9">
        <v>3</v>
      </c>
      <c r="F2162" s="9">
        <v>199</v>
      </c>
      <c r="G2162" s="8">
        <f>F2162/398</f>
        <v>0.5</v>
      </c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</row>
    <row r="2163" spans="1:26" ht="15.75" customHeight="1">
      <c r="A2163" s="7"/>
      <c r="B2163" s="9"/>
      <c r="C2163" s="23">
        <v>4714781021241</v>
      </c>
      <c r="D2163" s="12" t="s">
        <v>2133</v>
      </c>
      <c r="E2163" s="9">
        <v>3</v>
      </c>
      <c r="F2163" s="9">
        <v>199</v>
      </c>
      <c r="G2163" s="8">
        <f>F2163/398</f>
        <v>0.5</v>
      </c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</row>
    <row r="2164" spans="1:26" ht="15.75" customHeight="1">
      <c r="A2164" s="7" t="s">
        <v>2141</v>
      </c>
      <c r="B2164" s="9">
        <v>1</v>
      </c>
      <c r="C2164" s="23">
        <v>4714781021227</v>
      </c>
      <c r="D2164" s="12" t="s">
        <v>2137</v>
      </c>
      <c r="E2164" s="9">
        <v>6</v>
      </c>
      <c r="F2164" s="9">
        <v>398</v>
      </c>
      <c r="G2164" s="8">
        <f>F2164/398</f>
        <v>1</v>
      </c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</row>
    <row r="2165" spans="1:26" ht="15.75" customHeight="1">
      <c r="A2165" s="7" t="s">
        <v>2140</v>
      </c>
      <c r="B2165" s="9">
        <v>1</v>
      </c>
      <c r="C2165" s="23">
        <v>4714781021234</v>
      </c>
      <c r="D2165" s="12" t="s">
        <v>2135</v>
      </c>
      <c r="E2165" s="9">
        <v>6</v>
      </c>
      <c r="F2165" s="9">
        <v>398</v>
      </c>
      <c r="G2165" s="8">
        <f>F2165/398</f>
        <v>1</v>
      </c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</row>
    <row r="2166" spans="1:26" ht="15.75" customHeight="1">
      <c r="A2166" s="7" t="s">
        <v>2139</v>
      </c>
      <c r="B2166" s="9">
        <v>1</v>
      </c>
      <c r="C2166" s="23">
        <v>4714781021241</v>
      </c>
      <c r="D2166" s="12" t="s">
        <v>2133</v>
      </c>
      <c r="E2166" s="9">
        <v>6</v>
      </c>
      <c r="F2166" s="9">
        <v>398</v>
      </c>
      <c r="G2166" s="8">
        <f>F2166/398</f>
        <v>1</v>
      </c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</row>
    <row r="2167" spans="1:26" ht="15.75" customHeight="1">
      <c r="A2167" s="7" t="s">
        <v>1138</v>
      </c>
      <c r="B2167" s="9">
        <v>3</v>
      </c>
      <c r="C2167" s="23">
        <v>4714781021227</v>
      </c>
      <c r="D2167" s="12" t="s">
        <v>2137</v>
      </c>
      <c r="E2167" s="9">
        <v>3</v>
      </c>
      <c r="F2167" s="9">
        <v>199</v>
      </c>
      <c r="G2167" s="8">
        <f>F2167/597</f>
        <v>0.33333333333333331</v>
      </c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</row>
    <row r="2168" spans="1:26" ht="15.75" customHeight="1">
      <c r="A2168" s="7"/>
      <c r="B2168" s="9"/>
      <c r="C2168" s="23">
        <v>4714781021234</v>
      </c>
      <c r="D2168" s="12" t="s">
        <v>2135</v>
      </c>
      <c r="E2168" s="9">
        <v>3</v>
      </c>
      <c r="F2168" s="9">
        <v>199</v>
      </c>
      <c r="G2168" s="8">
        <f>F2168/597</f>
        <v>0.33333333333333331</v>
      </c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</row>
    <row r="2169" spans="1:26" ht="15.75" customHeight="1">
      <c r="A2169" s="7"/>
      <c r="B2169" s="9"/>
      <c r="C2169" s="23">
        <v>4714781021241</v>
      </c>
      <c r="D2169" s="12" t="s">
        <v>2133</v>
      </c>
      <c r="E2169" s="9">
        <v>3</v>
      </c>
      <c r="F2169" s="9">
        <v>199</v>
      </c>
      <c r="G2169" s="8">
        <f>F2169/597</f>
        <v>0.33333333333333331</v>
      </c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</row>
    <row r="2170" spans="1:26" ht="15.75" customHeight="1">
      <c r="A2170" s="7" t="s">
        <v>2138</v>
      </c>
      <c r="B2170" s="9">
        <v>1</v>
      </c>
      <c r="C2170" s="23">
        <v>4714781021227</v>
      </c>
      <c r="D2170" s="12" t="s">
        <v>2137</v>
      </c>
      <c r="E2170" s="9">
        <v>9</v>
      </c>
      <c r="F2170" s="9">
        <v>597</v>
      </c>
      <c r="G2170" s="8">
        <f>F2170/597</f>
        <v>1</v>
      </c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</row>
    <row r="2171" spans="1:26" ht="15.75" customHeight="1">
      <c r="A2171" s="7" t="s">
        <v>2136</v>
      </c>
      <c r="B2171" s="9">
        <v>1</v>
      </c>
      <c r="C2171" s="23">
        <v>4714781021234</v>
      </c>
      <c r="D2171" s="12" t="s">
        <v>2135</v>
      </c>
      <c r="E2171" s="9">
        <v>9</v>
      </c>
      <c r="F2171" s="9">
        <v>597</v>
      </c>
      <c r="G2171" s="8">
        <f>F2171/597</f>
        <v>1</v>
      </c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</row>
    <row r="2172" spans="1:26" ht="15.75" customHeight="1">
      <c r="A2172" s="7" t="s">
        <v>2134</v>
      </c>
      <c r="B2172" s="9">
        <v>1</v>
      </c>
      <c r="C2172" s="23">
        <v>4714781021241</v>
      </c>
      <c r="D2172" s="12" t="s">
        <v>2133</v>
      </c>
      <c r="E2172" s="9">
        <v>9</v>
      </c>
      <c r="F2172" s="9">
        <v>597</v>
      </c>
      <c r="G2172" s="8">
        <f>F2172/597</f>
        <v>1</v>
      </c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</row>
    <row r="2173" spans="1:26" ht="15.75" customHeight="1">
      <c r="A2173" s="7" t="s">
        <v>2132</v>
      </c>
      <c r="B2173" s="9">
        <v>3</v>
      </c>
      <c r="C2173" s="6">
        <v>4714781021609</v>
      </c>
      <c r="D2173" s="12" t="s">
        <v>1454</v>
      </c>
      <c r="E2173" s="9">
        <v>1</v>
      </c>
      <c r="F2173" s="9">
        <v>126</v>
      </c>
      <c r="G2173" s="8">
        <f>F2173/380</f>
        <v>0.33157894736842103</v>
      </c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</row>
    <row r="2174" spans="1:26" ht="15.75" customHeight="1">
      <c r="A2174" s="7"/>
      <c r="B2174" s="12"/>
      <c r="C2174" s="23">
        <v>4714781021012</v>
      </c>
      <c r="D2174" s="12" t="s">
        <v>1703</v>
      </c>
      <c r="E2174" s="9">
        <v>1</v>
      </c>
      <c r="F2174" s="9">
        <v>126</v>
      </c>
      <c r="G2174" s="8">
        <f>F2174/380</f>
        <v>0.33157894736842103</v>
      </c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</row>
    <row r="2175" spans="1:26" ht="15.75" customHeight="1">
      <c r="A2175" s="7"/>
      <c r="B2175" s="12"/>
      <c r="C2175" s="23">
        <v>4714781021029</v>
      </c>
      <c r="D2175" s="12" t="s">
        <v>1452</v>
      </c>
      <c r="E2175" s="9">
        <v>1</v>
      </c>
      <c r="F2175" s="9">
        <v>128</v>
      </c>
      <c r="G2175" s="8">
        <f>F2175/380</f>
        <v>0.33684210526315789</v>
      </c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</row>
    <row r="2176" spans="1:26" ht="15.75" customHeight="1">
      <c r="A2176" s="7" t="s">
        <v>2131</v>
      </c>
      <c r="B2176" s="9">
        <v>1</v>
      </c>
      <c r="C2176" s="23">
        <v>4714781021029</v>
      </c>
      <c r="D2176" s="12" t="s">
        <v>1452</v>
      </c>
      <c r="E2176" s="9">
        <v>3</v>
      </c>
      <c r="F2176" s="9">
        <v>380</v>
      </c>
      <c r="G2176" s="8">
        <f>F2176/380</f>
        <v>1</v>
      </c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</row>
    <row r="2177" spans="1:26" ht="15.75" customHeight="1">
      <c r="A2177" s="7" t="s">
        <v>2130</v>
      </c>
      <c r="B2177" s="9">
        <v>1</v>
      </c>
      <c r="C2177" s="23">
        <v>4714781021012</v>
      </c>
      <c r="D2177" s="12" t="s">
        <v>1703</v>
      </c>
      <c r="E2177" s="9">
        <v>3</v>
      </c>
      <c r="F2177" s="9">
        <v>380</v>
      </c>
      <c r="G2177" s="8">
        <f>F2177/380</f>
        <v>1</v>
      </c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</row>
    <row r="2178" spans="1:26" ht="15.75" customHeight="1">
      <c r="A2178" s="7" t="s">
        <v>2129</v>
      </c>
      <c r="B2178" s="9">
        <v>1</v>
      </c>
      <c r="C2178" s="6">
        <v>4714781021609</v>
      </c>
      <c r="D2178" s="12" t="s">
        <v>1454</v>
      </c>
      <c r="E2178" s="9">
        <v>3</v>
      </c>
      <c r="F2178" s="9">
        <v>380</v>
      </c>
      <c r="G2178" s="8">
        <f>F2178/380</f>
        <v>1</v>
      </c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</row>
    <row r="2179" spans="1:26" ht="15.75" customHeight="1">
      <c r="A2179" s="7" t="s">
        <v>2128</v>
      </c>
      <c r="B2179" s="10">
        <v>3</v>
      </c>
      <c r="C2179" s="6">
        <v>4714781021609</v>
      </c>
      <c r="D2179" s="12" t="s">
        <v>1454</v>
      </c>
      <c r="E2179" s="9">
        <v>2</v>
      </c>
      <c r="F2179" s="9">
        <v>245</v>
      </c>
      <c r="G2179" s="8">
        <f>F2179/735</f>
        <v>0.33333333333333331</v>
      </c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</row>
    <row r="2180" spans="1:26" ht="15.75" customHeight="1">
      <c r="A2180" s="7"/>
      <c r="B2180" s="12"/>
      <c r="C2180" s="23">
        <v>4714781021012</v>
      </c>
      <c r="D2180" s="12" t="s">
        <v>1703</v>
      </c>
      <c r="E2180" s="9">
        <v>2</v>
      </c>
      <c r="F2180" s="9">
        <v>245</v>
      </c>
      <c r="G2180" s="8">
        <f>F2180/735</f>
        <v>0.33333333333333331</v>
      </c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</row>
    <row r="2181" spans="1:26" ht="15.75" customHeight="1">
      <c r="A2181" s="7"/>
      <c r="B2181" s="12"/>
      <c r="C2181" s="23">
        <v>4714781021029</v>
      </c>
      <c r="D2181" s="12" t="s">
        <v>1452</v>
      </c>
      <c r="E2181" s="9">
        <v>2</v>
      </c>
      <c r="F2181" s="9">
        <v>245</v>
      </c>
      <c r="G2181" s="8">
        <f>F2181/735</f>
        <v>0.33333333333333331</v>
      </c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</row>
    <row r="2182" spans="1:26" ht="15.75" customHeight="1">
      <c r="A2182" s="7" t="s">
        <v>2127</v>
      </c>
      <c r="B2182" s="10">
        <v>1</v>
      </c>
      <c r="C2182" s="23">
        <v>4714781021029</v>
      </c>
      <c r="D2182" s="12" t="s">
        <v>1452</v>
      </c>
      <c r="E2182" s="9">
        <v>6</v>
      </c>
      <c r="F2182" s="9">
        <v>735</v>
      </c>
      <c r="G2182" s="8">
        <f>F2182/735</f>
        <v>1</v>
      </c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</row>
    <row r="2183" spans="1:26" ht="15.75" customHeight="1">
      <c r="A2183" s="7" t="s">
        <v>2126</v>
      </c>
      <c r="B2183" s="10">
        <v>1</v>
      </c>
      <c r="C2183" s="23">
        <v>4714781021012</v>
      </c>
      <c r="D2183" s="12" t="s">
        <v>1703</v>
      </c>
      <c r="E2183" s="9">
        <v>6</v>
      </c>
      <c r="F2183" s="9">
        <v>735</v>
      </c>
      <c r="G2183" s="8">
        <f>F2183/735</f>
        <v>1</v>
      </c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</row>
    <row r="2184" spans="1:26" ht="15.75" customHeight="1">
      <c r="A2184" s="7" t="s">
        <v>2125</v>
      </c>
      <c r="B2184" s="10">
        <v>1</v>
      </c>
      <c r="C2184" s="6">
        <v>4714781021609</v>
      </c>
      <c r="D2184" s="12" t="s">
        <v>1454</v>
      </c>
      <c r="E2184" s="9">
        <v>6</v>
      </c>
      <c r="F2184" s="9">
        <v>735</v>
      </c>
      <c r="G2184" s="8">
        <f>F2184/735</f>
        <v>1</v>
      </c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</row>
    <row r="2185" spans="1:26" ht="15.75" customHeight="1">
      <c r="A2185" s="7" t="s">
        <v>2124</v>
      </c>
      <c r="B2185" s="10">
        <v>2</v>
      </c>
      <c r="C2185" s="23">
        <v>4714781021029</v>
      </c>
      <c r="D2185" s="12" t="s">
        <v>1452</v>
      </c>
      <c r="E2185" s="9">
        <v>3</v>
      </c>
      <c r="F2185" s="9">
        <v>368</v>
      </c>
      <c r="G2185" s="8">
        <f>F2185/735</f>
        <v>0.50068027210884358</v>
      </c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</row>
    <row r="2186" spans="1:26" ht="15.75" customHeight="1">
      <c r="A2186" s="7"/>
      <c r="B2186" s="10"/>
      <c r="C2186" s="23">
        <v>4714781021012</v>
      </c>
      <c r="D2186" s="12" t="s">
        <v>1703</v>
      </c>
      <c r="E2186" s="9">
        <v>3</v>
      </c>
      <c r="F2186" s="9">
        <v>367</v>
      </c>
      <c r="G2186" s="8">
        <f>F2186/735</f>
        <v>0.49931972789115647</v>
      </c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</row>
    <row r="2187" spans="1:26" ht="15.75" customHeight="1">
      <c r="A2187" s="7" t="s">
        <v>2123</v>
      </c>
      <c r="B2187" s="10">
        <v>2</v>
      </c>
      <c r="C2187" s="23">
        <v>4714781021029</v>
      </c>
      <c r="D2187" s="12" t="s">
        <v>1452</v>
      </c>
      <c r="E2187" s="9">
        <v>3</v>
      </c>
      <c r="F2187" s="9">
        <v>368</v>
      </c>
      <c r="G2187" s="8">
        <f>F2187/735</f>
        <v>0.50068027210884358</v>
      </c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</row>
    <row r="2188" spans="1:26" ht="15.75" customHeight="1">
      <c r="A2188" s="7"/>
      <c r="B2188" s="10"/>
      <c r="C2188" s="6">
        <v>4714781021609</v>
      </c>
      <c r="D2188" s="12" t="s">
        <v>1454</v>
      </c>
      <c r="E2188" s="9">
        <v>3</v>
      </c>
      <c r="F2188" s="9">
        <v>367</v>
      </c>
      <c r="G2188" s="8">
        <f>F2188/735</f>
        <v>0.49931972789115647</v>
      </c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</row>
    <row r="2189" spans="1:26" ht="15.75" customHeight="1">
      <c r="A2189" s="7" t="s">
        <v>2122</v>
      </c>
      <c r="B2189" s="10">
        <v>2</v>
      </c>
      <c r="C2189" s="23">
        <v>4714781021012</v>
      </c>
      <c r="D2189" s="12" t="s">
        <v>1703</v>
      </c>
      <c r="E2189" s="9">
        <v>3</v>
      </c>
      <c r="F2189" s="9">
        <v>368</v>
      </c>
      <c r="G2189" s="8">
        <f>F2189/735</f>
        <v>0.50068027210884358</v>
      </c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</row>
    <row r="2190" spans="1:26" ht="15.75" customHeight="1">
      <c r="A2190" s="7"/>
      <c r="B2190" s="10"/>
      <c r="C2190" s="6">
        <v>4714781021609</v>
      </c>
      <c r="D2190" s="12" t="s">
        <v>1454</v>
      </c>
      <c r="E2190" s="9">
        <v>3</v>
      </c>
      <c r="F2190" s="9">
        <v>367</v>
      </c>
      <c r="G2190" s="8">
        <f>F2190/735</f>
        <v>0.49931972789115647</v>
      </c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</row>
    <row r="2191" spans="1:26" ht="15.75" customHeight="1">
      <c r="A2191" s="7" t="s">
        <v>2121</v>
      </c>
      <c r="B2191" s="17">
        <v>2</v>
      </c>
      <c r="C2191" s="23">
        <v>4714781024723</v>
      </c>
      <c r="D2191" s="10" t="s">
        <v>359</v>
      </c>
      <c r="E2191" s="17">
        <v>2</v>
      </c>
      <c r="F2191" s="9">
        <v>560</v>
      </c>
      <c r="G2191" s="8">
        <f>F2191/1320</f>
        <v>0.42424242424242425</v>
      </c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</row>
    <row r="2192" spans="1:26" ht="15.75" customHeight="1">
      <c r="A2192" s="7"/>
      <c r="B2192" s="12"/>
      <c r="C2192" s="23">
        <v>4714781020107</v>
      </c>
      <c r="D2192" s="12" t="s">
        <v>271</v>
      </c>
      <c r="E2192" s="9">
        <v>2</v>
      </c>
      <c r="F2192" s="9">
        <v>760</v>
      </c>
      <c r="G2192" s="8">
        <f>F2192/1320</f>
        <v>0.5757575757575758</v>
      </c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</row>
    <row r="2193" spans="1:26" ht="15.75" customHeight="1">
      <c r="A2193" s="7" t="s">
        <v>2120</v>
      </c>
      <c r="B2193" s="17">
        <v>2</v>
      </c>
      <c r="C2193" s="23">
        <v>4714781024716</v>
      </c>
      <c r="D2193" s="12" t="s">
        <v>373</v>
      </c>
      <c r="E2193" s="9">
        <v>2</v>
      </c>
      <c r="F2193" s="9">
        <v>560</v>
      </c>
      <c r="G2193" s="8">
        <f>F2193/1320</f>
        <v>0.42424242424242425</v>
      </c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</row>
    <row r="2194" spans="1:26" ht="15.75" customHeight="1">
      <c r="A2194" s="7"/>
      <c r="B2194" s="12"/>
      <c r="C2194" s="23">
        <v>4714781020107</v>
      </c>
      <c r="D2194" s="12" t="s">
        <v>271</v>
      </c>
      <c r="E2194" s="9">
        <v>2</v>
      </c>
      <c r="F2194" s="9">
        <v>760</v>
      </c>
      <c r="G2194" s="8">
        <f>F2194/1320</f>
        <v>0.5757575757575758</v>
      </c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</row>
    <row r="2195" spans="1:26" ht="15.75" customHeight="1">
      <c r="A2195" s="7" t="s">
        <v>2119</v>
      </c>
      <c r="B2195" s="17">
        <v>2</v>
      </c>
      <c r="C2195" s="23">
        <v>4714781024730</v>
      </c>
      <c r="D2195" s="12" t="s">
        <v>264</v>
      </c>
      <c r="E2195" s="9">
        <v>2</v>
      </c>
      <c r="F2195" s="9">
        <v>560</v>
      </c>
      <c r="G2195" s="8">
        <f>F2195/1320</f>
        <v>0.42424242424242425</v>
      </c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</row>
    <row r="2196" spans="1:26" ht="15.75" customHeight="1">
      <c r="A2196" s="7"/>
      <c r="B2196" s="12"/>
      <c r="C2196" s="23">
        <v>4714781020107</v>
      </c>
      <c r="D2196" s="12" t="s">
        <v>271</v>
      </c>
      <c r="E2196" s="9">
        <v>2</v>
      </c>
      <c r="F2196" s="9">
        <v>760</v>
      </c>
      <c r="G2196" s="8">
        <f>F2196/1320</f>
        <v>0.5757575757575758</v>
      </c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</row>
    <row r="2197" spans="1:26" ht="15.75" customHeight="1">
      <c r="A2197" s="7" t="s">
        <v>2118</v>
      </c>
      <c r="B2197" s="17">
        <v>2</v>
      </c>
      <c r="C2197" s="23">
        <v>4714781020282</v>
      </c>
      <c r="D2197" s="12" t="s">
        <v>275</v>
      </c>
      <c r="E2197" s="9">
        <v>2</v>
      </c>
      <c r="F2197" s="9">
        <v>560</v>
      </c>
      <c r="G2197" s="8">
        <f>F2197/1320</f>
        <v>0.42424242424242425</v>
      </c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</row>
    <row r="2198" spans="1:26" ht="15.75" customHeight="1">
      <c r="A2198" s="7"/>
      <c r="B2198" s="12"/>
      <c r="C2198" s="23">
        <v>4714781020107</v>
      </c>
      <c r="D2198" s="12" t="s">
        <v>271</v>
      </c>
      <c r="E2198" s="9">
        <v>2</v>
      </c>
      <c r="F2198" s="9">
        <v>760</v>
      </c>
      <c r="G2198" s="8">
        <f>F2198/1320</f>
        <v>0.5757575757575758</v>
      </c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</row>
    <row r="2199" spans="1:26" ht="15.75" customHeight="1">
      <c r="A2199" s="7" t="s">
        <v>2117</v>
      </c>
      <c r="B2199" s="17">
        <v>2</v>
      </c>
      <c r="C2199" s="23">
        <v>4714781020299</v>
      </c>
      <c r="D2199" s="12" t="s">
        <v>1367</v>
      </c>
      <c r="E2199" s="9">
        <v>2</v>
      </c>
      <c r="F2199" s="9">
        <v>560</v>
      </c>
      <c r="G2199" s="8">
        <f>F2199/1320</f>
        <v>0.42424242424242425</v>
      </c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</row>
    <row r="2200" spans="1:26" ht="15.75" customHeight="1">
      <c r="A2200" s="7"/>
      <c r="B2200" s="12"/>
      <c r="C2200" s="23">
        <v>4714781020107</v>
      </c>
      <c r="D2200" s="12" t="s">
        <v>271</v>
      </c>
      <c r="E2200" s="9">
        <v>2</v>
      </c>
      <c r="F2200" s="9">
        <v>760</v>
      </c>
      <c r="G2200" s="8">
        <f>F2200/1320</f>
        <v>0.5757575757575758</v>
      </c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</row>
    <row r="2201" spans="1:26" ht="15.75" customHeight="1">
      <c r="A2201" s="7" t="s">
        <v>2116</v>
      </c>
      <c r="B2201" s="17">
        <v>3</v>
      </c>
      <c r="C2201" s="23">
        <v>4714781020282</v>
      </c>
      <c r="D2201" s="12" t="s">
        <v>275</v>
      </c>
      <c r="E2201" s="17">
        <v>1</v>
      </c>
      <c r="F2201" s="9">
        <v>280</v>
      </c>
      <c r="G2201" s="8">
        <f>F2201/1320</f>
        <v>0.21212121212121213</v>
      </c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</row>
    <row r="2202" spans="1:26" ht="15.75" customHeight="1">
      <c r="A2202" s="7"/>
      <c r="B2202" s="12"/>
      <c r="C2202" s="23">
        <v>4714781020299</v>
      </c>
      <c r="D2202" s="12" t="s">
        <v>1367</v>
      </c>
      <c r="E2202" s="17">
        <v>1</v>
      </c>
      <c r="F2202" s="17">
        <v>280</v>
      </c>
      <c r="G2202" s="8">
        <f>F2202/1320</f>
        <v>0.21212121212121213</v>
      </c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</row>
    <row r="2203" spans="1:26" ht="15.75" customHeight="1">
      <c r="A2203" s="7"/>
      <c r="B2203" s="12"/>
      <c r="C2203" s="23">
        <v>4714781020107</v>
      </c>
      <c r="D2203" s="12" t="s">
        <v>271</v>
      </c>
      <c r="E2203" s="9">
        <v>2</v>
      </c>
      <c r="F2203" s="9">
        <v>760</v>
      </c>
      <c r="G2203" s="8">
        <f>F2203/1320</f>
        <v>0.5757575757575758</v>
      </c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</row>
    <row r="2204" spans="1:26" ht="15.75" customHeight="1">
      <c r="A2204" s="7" t="s">
        <v>2115</v>
      </c>
      <c r="B2204" s="17">
        <v>3</v>
      </c>
      <c r="C2204" s="23">
        <v>4714781020282</v>
      </c>
      <c r="D2204" s="12" t="s">
        <v>275</v>
      </c>
      <c r="E2204" s="17">
        <v>1</v>
      </c>
      <c r="F2204" s="9">
        <v>280</v>
      </c>
      <c r="G2204" s="8">
        <f>F2204/1320</f>
        <v>0.21212121212121213</v>
      </c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</row>
    <row r="2205" spans="1:26" ht="15.75" customHeight="1">
      <c r="A2205" s="7"/>
      <c r="B2205" s="12"/>
      <c r="C2205" s="23">
        <v>4714781024723</v>
      </c>
      <c r="D2205" s="12" t="s">
        <v>359</v>
      </c>
      <c r="E2205" s="17">
        <v>1</v>
      </c>
      <c r="F2205" s="17">
        <v>280</v>
      </c>
      <c r="G2205" s="8">
        <f>F2205/1320</f>
        <v>0.21212121212121213</v>
      </c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</row>
    <row r="2206" spans="1:26" ht="15.75" customHeight="1">
      <c r="A2206" s="7"/>
      <c r="B2206" s="12"/>
      <c r="C2206" s="23">
        <v>4714781020107</v>
      </c>
      <c r="D2206" s="12" t="s">
        <v>271</v>
      </c>
      <c r="E2206" s="9">
        <v>2</v>
      </c>
      <c r="F2206" s="9">
        <v>760</v>
      </c>
      <c r="G2206" s="8">
        <f>F2206/1320</f>
        <v>0.5757575757575758</v>
      </c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</row>
    <row r="2207" spans="1:26" ht="15.75" customHeight="1">
      <c r="A2207" s="7" t="s">
        <v>2114</v>
      </c>
      <c r="B2207" s="17">
        <v>3</v>
      </c>
      <c r="C2207" s="23">
        <v>4714781020282</v>
      </c>
      <c r="D2207" s="12" t="s">
        <v>275</v>
      </c>
      <c r="E2207" s="17">
        <v>1</v>
      </c>
      <c r="F2207" s="9">
        <v>280</v>
      </c>
      <c r="G2207" s="8">
        <f>F2207/1320</f>
        <v>0.21212121212121213</v>
      </c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</row>
    <row r="2208" spans="1:26" ht="15.75" customHeight="1">
      <c r="A2208" s="7"/>
      <c r="B2208" s="12"/>
      <c r="C2208" s="23">
        <v>4714781024730</v>
      </c>
      <c r="D2208" s="12" t="s">
        <v>264</v>
      </c>
      <c r="E2208" s="17">
        <v>1</v>
      </c>
      <c r="F2208" s="17">
        <v>280</v>
      </c>
      <c r="G2208" s="8">
        <f>F2208/1320</f>
        <v>0.21212121212121213</v>
      </c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</row>
    <row r="2209" spans="1:26" ht="15.75" customHeight="1">
      <c r="A2209" s="7"/>
      <c r="B2209" s="12"/>
      <c r="C2209" s="23">
        <v>4714781020107</v>
      </c>
      <c r="D2209" s="12" t="s">
        <v>271</v>
      </c>
      <c r="E2209" s="9">
        <v>2</v>
      </c>
      <c r="F2209" s="9">
        <v>760</v>
      </c>
      <c r="G2209" s="8">
        <f>F2209/1320</f>
        <v>0.5757575757575758</v>
      </c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</row>
    <row r="2210" spans="1:26" ht="15.75" customHeight="1">
      <c r="A2210" s="7" t="s">
        <v>2113</v>
      </c>
      <c r="B2210" s="17">
        <v>3</v>
      </c>
      <c r="C2210" s="23">
        <v>4714781020282</v>
      </c>
      <c r="D2210" s="12" t="s">
        <v>275</v>
      </c>
      <c r="E2210" s="17">
        <v>1</v>
      </c>
      <c r="F2210" s="9">
        <v>280</v>
      </c>
      <c r="G2210" s="8">
        <f>F2210/1320</f>
        <v>0.21212121212121213</v>
      </c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</row>
    <row r="2211" spans="1:26" ht="15.75" customHeight="1">
      <c r="A2211" s="7"/>
      <c r="B2211" s="12"/>
      <c r="C2211" s="23">
        <v>4714781024716</v>
      </c>
      <c r="D2211" s="12" t="s">
        <v>373</v>
      </c>
      <c r="E2211" s="17">
        <v>1</v>
      </c>
      <c r="F2211" s="17">
        <v>280</v>
      </c>
      <c r="G2211" s="8">
        <f>F2211/1320</f>
        <v>0.21212121212121213</v>
      </c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</row>
    <row r="2212" spans="1:26" ht="15.75" customHeight="1">
      <c r="A2212" s="7"/>
      <c r="B2212" s="12"/>
      <c r="C2212" s="23">
        <v>4714781020107</v>
      </c>
      <c r="D2212" s="12" t="s">
        <v>271</v>
      </c>
      <c r="E2212" s="9">
        <v>2</v>
      </c>
      <c r="F2212" s="9">
        <v>760</v>
      </c>
      <c r="G2212" s="8">
        <f>F2212/1320</f>
        <v>0.5757575757575758</v>
      </c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</row>
    <row r="2213" spans="1:26" ht="15.75" customHeight="1">
      <c r="A2213" s="7" t="s">
        <v>2112</v>
      </c>
      <c r="B2213" s="17">
        <v>3</v>
      </c>
      <c r="C2213" s="23">
        <v>4714781020299</v>
      </c>
      <c r="D2213" s="12" t="s">
        <v>1367</v>
      </c>
      <c r="E2213" s="17">
        <v>1</v>
      </c>
      <c r="F2213" s="9">
        <v>280</v>
      </c>
      <c r="G2213" s="8">
        <f>F2213/1320</f>
        <v>0.21212121212121213</v>
      </c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</row>
    <row r="2214" spans="1:26" ht="15.75" customHeight="1">
      <c r="A2214" s="7"/>
      <c r="B2214" s="12"/>
      <c r="C2214" s="23">
        <v>4714781024723</v>
      </c>
      <c r="D2214" s="12" t="s">
        <v>359</v>
      </c>
      <c r="E2214" s="17">
        <v>1</v>
      </c>
      <c r="F2214" s="17">
        <v>280</v>
      </c>
      <c r="G2214" s="8">
        <f>F2214/1320</f>
        <v>0.21212121212121213</v>
      </c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</row>
    <row r="2215" spans="1:26" ht="15.75" customHeight="1">
      <c r="A2215" s="7"/>
      <c r="B2215" s="12"/>
      <c r="C2215" s="23">
        <v>4714781020107</v>
      </c>
      <c r="D2215" s="12" t="s">
        <v>271</v>
      </c>
      <c r="E2215" s="9">
        <v>2</v>
      </c>
      <c r="F2215" s="9">
        <v>760</v>
      </c>
      <c r="G2215" s="8">
        <f>F2215/1320</f>
        <v>0.5757575757575758</v>
      </c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</row>
    <row r="2216" spans="1:26" ht="15.75" customHeight="1">
      <c r="A2216" s="7" t="s">
        <v>2111</v>
      </c>
      <c r="B2216" s="17">
        <v>3</v>
      </c>
      <c r="C2216" s="23">
        <v>4714781020299</v>
      </c>
      <c r="D2216" s="12" t="s">
        <v>1367</v>
      </c>
      <c r="E2216" s="17">
        <v>1</v>
      </c>
      <c r="F2216" s="9">
        <v>280</v>
      </c>
      <c r="G2216" s="8">
        <f>F2216/1320</f>
        <v>0.21212121212121213</v>
      </c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</row>
    <row r="2217" spans="1:26" ht="15.75" customHeight="1">
      <c r="A2217" s="7"/>
      <c r="B2217" s="12"/>
      <c r="C2217" s="23">
        <v>4714781024730</v>
      </c>
      <c r="D2217" s="12" t="s">
        <v>264</v>
      </c>
      <c r="E2217" s="17">
        <v>1</v>
      </c>
      <c r="F2217" s="17">
        <v>280</v>
      </c>
      <c r="G2217" s="8">
        <f>F2217/1320</f>
        <v>0.21212121212121213</v>
      </c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</row>
    <row r="2218" spans="1:26" ht="15.75" customHeight="1">
      <c r="A2218" s="7"/>
      <c r="B2218" s="12"/>
      <c r="C2218" s="23">
        <v>4714781020107</v>
      </c>
      <c r="D2218" s="12" t="s">
        <v>271</v>
      </c>
      <c r="E2218" s="9">
        <v>2</v>
      </c>
      <c r="F2218" s="9">
        <v>760</v>
      </c>
      <c r="G2218" s="8">
        <f>F2218/1320</f>
        <v>0.5757575757575758</v>
      </c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</row>
    <row r="2219" spans="1:26" ht="15.75" customHeight="1">
      <c r="A2219" s="7" t="s">
        <v>2110</v>
      </c>
      <c r="B2219" s="17">
        <v>3</v>
      </c>
      <c r="C2219" s="23">
        <v>4714781020299</v>
      </c>
      <c r="D2219" s="12" t="s">
        <v>1367</v>
      </c>
      <c r="E2219" s="17">
        <v>1</v>
      </c>
      <c r="F2219" s="9">
        <v>280</v>
      </c>
      <c r="G2219" s="8">
        <f>F2219/1320</f>
        <v>0.21212121212121213</v>
      </c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</row>
    <row r="2220" spans="1:26" ht="15.75" customHeight="1">
      <c r="A2220" s="7"/>
      <c r="B2220" s="12"/>
      <c r="C2220" s="23">
        <v>4714781024716</v>
      </c>
      <c r="D2220" s="12" t="s">
        <v>373</v>
      </c>
      <c r="E2220" s="17">
        <v>1</v>
      </c>
      <c r="F2220" s="17">
        <v>280</v>
      </c>
      <c r="G2220" s="8">
        <f>F2220/1320</f>
        <v>0.21212121212121213</v>
      </c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</row>
    <row r="2221" spans="1:26" ht="15.75" customHeight="1">
      <c r="A2221" s="7"/>
      <c r="B2221" s="12"/>
      <c r="C2221" s="23">
        <v>4714781020107</v>
      </c>
      <c r="D2221" s="12" t="s">
        <v>271</v>
      </c>
      <c r="E2221" s="9">
        <v>2</v>
      </c>
      <c r="F2221" s="9">
        <v>760</v>
      </c>
      <c r="G2221" s="8">
        <f>F2221/1320</f>
        <v>0.5757575757575758</v>
      </c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</row>
    <row r="2222" spans="1:26" ht="15.75" customHeight="1">
      <c r="A2222" s="7" t="s">
        <v>2109</v>
      </c>
      <c r="B2222" s="17">
        <v>3</v>
      </c>
      <c r="C2222" s="23">
        <v>4714781024723</v>
      </c>
      <c r="D2222" s="12" t="s">
        <v>359</v>
      </c>
      <c r="E2222" s="17">
        <v>1</v>
      </c>
      <c r="F2222" s="9">
        <v>280</v>
      </c>
      <c r="G2222" s="8">
        <f>F2222/1320</f>
        <v>0.21212121212121213</v>
      </c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</row>
    <row r="2223" spans="1:26" ht="15.75" customHeight="1">
      <c r="A2223" s="7"/>
      <c r="B2223" s="12"/>
      <c r="C2223" s="23">
        <v>4714781024716</v>
      </c>
      <c r="D2223" s="12" t="s">
        <v>373</v>
      </c>
      <c r="E2223" s="17">
        <v>1</v>
      </c>
      <c r="F2223" s="17">
        <v>280</v>
      </c>
      <c r="G2223" s="8">
        <f>F2223/1320</f>
        <v>0.21212121212121213</v>
      </c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</row>
    <row r="2224" spans="1:26" ht="15.75" customHeight="1">
      <c r="A2224" s="7"/>
      <c r="B2224" s="12"/>
      <c r="C2224" s="23">
        <v>4714781020107</v>
      </c>
      <c r="D2224" s="12" t="s">
        <v>271</v>
      </c>
      <c r="E2224" s="9">
        <v>2</v>
      </c>
      <c r="F2224" s="9">
        <v>760</v>
      </c>
      <c r="G2224" s="8">
        <f>F2224/1320</f>
        <v>0.5757575757575758</v>
      </c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</row>
    <row r="2225" spans="1:26" ht="15.75" customHeight="1">
      <c r="A2225" s="7" t="s">
        <v>2108</v>
      </c>
      <c r="B2225" s="17">
        <v>3</v>
      </c>
      <c r="C2225" s="23">
        <v>4714781024723</v>
      </c>
      <c r="D2225" s="12" t="s">
        <v>359</v>
      </c>
      <c r="E2225" s="17">
        <v>1</v>
      </c>
      <c r="F2225" s="9">
        <v>280</v>
      </c>
      <c r="G2225" s="8">
        <f>F2225/1320</f>
        <v>0.21212121212121213</v>
      </c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</row>
    <row r="2226" spans="1:26" ht="15.75" customHeight="1">
      <c r="A2226" s="7"/>
      <c r="B2226" s="12"/>
      <c r="C2226" s="23">
        <v>4714781024730</v>
      </c>
      <c r="D2226" s="12" t="s">
        <v>264</v>
      </c>
      <c r="E2226" s="17">
        <v>1</v>
      </c>
      <c r="F2226" s="17">
        <v>280</v>
      </c>
      <c r="G2226" s="8">
        <f>F2226/1320</f>
        <v>0.21212121212121213</v>
      </c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</row>
    <row r="2227" spans="1:26" ht="15.75" customHeight="1">
      <c r="A2227" s="7"/>
      <c r="B2227" s="12"/>
      <c r="C2227" s="23">
        <v>4714781020107</v>
      </c>
      <c r="D2227" s="12" t="s">
        <v>271</v>
      </c>
      <c r="E2227" s="9">
        <v>2</v>
      </c>
      <c r="F2227" s="9">
        <v>760</v>
      </c>
      <c r="G2227" s="8">
        <f>F2227/1320</f>
        <v>0.5757575757575758</v>
      </c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</row>
    <row r="2228" spans="1:26" ht="15.75" customHeight="1">
      <c r="A2228" s="7" t="s">
        <v>2107</v>
      </c>
      <c r="B2228" s="17">
        <v>3</v>
      </c>
      <c r="C2228" s="23">
        <v>4714781024716</v>
      </c>
      <c r="D2228" s="12" t="s">
        <v>373</v>
      </c>
      <c r="E2228" s="17">
        <v>1</v>
      </c>
      <c r="F2228" s="9">
        <v>280</v>
      </c>
      <c r="G2228" s="8">
        <f>F2228/1320</f>
        <v>0.21212121212121213</v>
      </c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</row>
    <row r="2229" spans="1:26" ht="15.75" customHeight="1">
      <c r="A2229" s="7"/>
      <c r="B2229" s="12"/>
      <c r="C2229" s="23">
        <v>4714781024730</v>
      </c>
      <c r="D2229" s="12" t="s">
        <v>264</v>
      </c>
      <c r="E2229" s="17">
        <v>1</v>
      </c>
      <c r="F2229" s="17">
        <v>280</v>
      </c>
      <c r="G2229" s="8">
        <f>F2229/1320</f>
        <v>0.21212121212121213</v>
      </c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</row>
    <row r="2230" spans="1:26" ht="15.75" customHeight="1">
      <c r="A2230" s="7"/>
      <c r="B2230" s="12"/>
      <c r="C2230" s="23">
        <v>4714781020107</v>
      </c>
      <c r="D2230" s="12" t="s">
        <v>271</v>
      </c>
      <c r="E2230" s="9">
        <v>2</v>
      </c>
      <c r="F2230" s="9">
        <v>760</v>
      </c>
      <c r="G2230" s="8">
        <f>F2230/1320</f>
        <v>0.5757575757575758</v>
      </c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</row>
    <row r="2231" spans="1:26" ht="15.75" customHeight="1">
      <c r="A2231" s="7" t="s">
        <v>2106</v>
      </c>
      <c r="B2231" s="9">
        <v>1</v>
      </c>
      <c r="C2231" s="21">
        <v>4714781020794</v>
      </c>
      <c r="D2231" s="10" t="s">
        <v>1320</v>
      </c>
      <c r="E2231" s="9">
        <v>2</v>
      </c>
      <c r="F2231" s="9">
        <v>230</v>
      </c>
      <c r="G2231" s="8">
        <f>F2231/230</f>
        <v>1</v>
      </c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</row>
    <row r="2232" spans="1:26" ht="15.75" customHeight="1">
      <c r="A2232" s="7" t="s">
        <v>2105</v>
      </c>
      <c r="B2232" s="9">
        <v>1</v>
      </c>
      <c r="C2232" s="21">
        <v>4714781020800</v>
      </c>
      <c r="D2232" s="10" t="s">
        <v>1319</v>
      </c>
      <c r="E2232" s="9">
        <v>2</v>
      </c>
      <c r="F2232" s="9">
        <v>230</v>
      </c>
      <c r="G2232" s="8">
        <f>F2232/230</f>
        <v>1</v>
      </c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</row>
    <row r="2233" spans="1:26" ht="15.75" customHeight="1">
      <c r="A2233" s="7" t="s">
        <v>2104</v>
      </c>
      <c r="B2233" s="9">
        <v>1</v>
      </c>
      <c r="C2233" s="21">
        <v>4714781020817</v>
      </c>
      <c r="D2233" s="10" t="s">
        <v>1317</v>
      </c>
      <c r="E2233" s="9">
        <v>2</v>
      </c>
      <c r="F2233" s="9">
        <v>230</v>
      </c>
      <c r="G2233" s="8">
        <f>F2233/230</f>
        <v>1</v>
      </c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</row>
    <row r="2234" spans="1:26" ht="15.75" customHeight="1">
      <c r="A2234" s="7" t="s">
        <v>2103</v>
      </c>
      <c r="B2234" s="9">
        <v>2</v>
      </c>
      <c r="C2234" s="21">
        <v>4714781020794</v>
      </c>
      <c r="D2234" s="10" t="s">
        <v>1320</v>
      </c>
      <c r="E2234" s="9">
        <v>1</v>
      </c>
      <c r="F2234" s="9">
        <v>115</v>
      </c>
      <c r="G2234" s="8">
        <f>F2234/230</f>
        <v>0.5</v>
      </c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</row>
    <row r="2235" spans="1:26" ht="15.75" customHeight="1">
      <c r="A2235" s="7"/>
      <c r="B2235" s="10"/>
      <c r="C2235" s="21">
        <v>4714781020800</v>
      </c>
      <c r="D2235" s="10" t="s">
        <v>1319</v>
      </c>
      <c r="E2235" s="9">
        <v>1</v>
      </c>
      <c r="F2235" s="9">
        <v>115</v>
      </c>
      <c r="G2235" s="8">
        <f>F2235/230</f>
        <v>0.5</v>
      </c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</row>
    <row r="2236" spans="1:26" ht="15.75" customHeight="1">
      <c r="A2236" s="7" t="s">
        <v>2102</v>
      </c>
      <c r="B2236" s="9">
        <v>2</v>
      </c>
      <c r="C2236" s="21">
        <v>4714781020794</v>
      </c>
      <c r="D2236" s="10" t="s">
        <v>1320</v>
      </c>
      <c r="E2236" s="9">
        <v>1</v>
      </c>
      <c r="F2236" s="9">
        <v>115</v>
      </c>
      <c r="G2236" s="8">
        <f>F2236/230</f>
        <v>0.5</v>
      </c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</row>
    <row r="2237" spans="1:26" ht="15.75" customHeight="1">
      <c r="A2237" s="7"/>
      <c r="B2237" s="10"/>
      <c r="C2237" s="21">
        <v>4714781020817</v>
      </c>
      <c r="D2237" s="10" t="s">
        <v>1317</v>
      </c>
      <c r="E2237" s="9">
        <v>1</v>
      </c>
      <c r="F2237" s="9">
        <v>115</v>
      </c>
      <c r="G2237" s="8">
        <f>F2237/230</f>
        <v>0.5</v>
      </c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</row>
    <row r="2238" spans="1:26" ht="15.75" customHeight="1">
      <c r="A2238" s="7" t="s">
        <v>2101</v>
      </c>
      <c r="B2238" s="9">
        <v>2</v>
      </c>
      <c r="C2238" s="21">
        <v>4714781020800</v>
      </c>
      <c r="D2238" s="10" t="s">
        <v>1319</v>
      </c>
      <c r="E2238" s="9">
        <v>1</v>
      </c>
      <c r="F2238" s="9">
        <v>115</v>
      </c>
      <c r="G2238" s="8">
        <f>F2238/230</f>
        <v>0.5</v>
      </c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</row>
    <row r="2239" spans="1:26" ht="15.75" customHeight="1">
      <c r="A2239" s="7"/>
      <c r="B2239" s="10"/>
      <c r="C2239" s="21">
        <v>4714781020817</v>
      </c>
      <c r="D2239" s="10" t="s">
        <v>1317</v>
      </c>
      <c r="E2239" s="9">
        <v>1</v>
      </c>
      <c r="F2239" s="9">
        <v>115</v>
      </c>
      <c r="G2239" s="8">
        <f>F2239/230</f>
        <v>0.5</v>
      </c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</row>
    <row r="2240" spans="1:26" ht="15.75" customHeight="1">
      <c r="A2240" s="7" t="s">
        <v>2100</v>
      </c>
      <c r="B2240" s="9">
        <v>1</v>
      </c>
      <c r="C2240" s="21">
        <v>4714781020770</v>
      </c>
      <c r="D2240" s="10" t="s">
        <v>1380</v>
      </c>
      <c r="E2240" s="9">
        <v>2</v>
      </c>
      <c r="F2240" s="9">
        <v>270</v>
      </c>
      <c r="G2240" s="8">
        <f>F2240/270</f>
        <v>1</v>
      </c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</row>
    <row r="2241" spans="1:26" ht="15.75" customHeight="1">
      <c r="A2241" s="7" t="s">
        <v>2099</v>
      </c>
      <c r="B2241" s="9">
        <v>1</v>
      </c>
      <c r="C2241" s="21">
        <v>4714781020787</v>
      </c>
      <c r="D2241" s="10" t="s">
        <v>1378</v>
      </c>
      <c r="E2241" s="9">
        <v>2</v>
      </c>
      <c r="F2241" s="9">
        <v>270</v>
      </c>
      <c r="G2241" s="8">
        <f>F2241/270</f>
        <v>1</v>
      </c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</row>
    <row r="2242" spans="1:26" ht="15.75" customHeight="1">
      <c r="A2242" s="7" t="s">
        <v>2098</v>
      </c>
      <c r="B2242" s="9">
        <v>2</v>
      </c>
      <c r="C2242" s="21">
        <v>4714781020770</v>
      </c>
      <c r="D2242" s="10" t="s">
        <v>1380</v>
      </c>
      <c r="E2242" s="9">
        <v>1</v>
      </c>
      <c r="F2242" s="9">
        <v>135</v>
      </c>
      <c r="G2242" s="8">
        <f>F2242/270</f>
        <v>0.5</v>
      </c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</row>
    <row r="2243" spans="1:26" ht="15.75" customHeight="1">
      <c r="A2243" s="7"/>
      <c r="B2243" s="10"/>
      <c r="C2243" s="21">
        <v>4714781020787</v>
      </c>
      <c r="D2243" s="10" t="s">
        <v>1378</v>
      </c>
      <c r="E2243" s="9">
        <v>1</v>
      </c>
      <c r="F2243" s="9">
        <v>135</v>
      </c>
      <c r="G2243" s="8">
        <f>F2243/270</f>
        <v>0.5</v>
      </c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</row>
    <row r="2244" spans="1:26" ht="15.75" customHeight="1">
      <c r="A2244" s="7" t="s">
        <v>2097</v>
      </c>
      <c r="B2244" s="9">
        <v>1</v>
      </c>
      <c r="C2244" s="21">
        <v>4714781020848</v>
      </c>
      <c r="D2244" s="10" t="s">
        <v>1382</v>
      </c>
      <c r="E2244" s="9">
        <v>2</v>
      </c>
      <c r="F2244" s="9">
        <v>650</v>
      </c>
      <c r="G2244" s="8">
        <f>F2244/650</f>
        <v>1</v>
      </c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</row>
    <row r="2245" spans="1:26" ht="15.75" customHeight="1">
      <c r="A2245" s="7" t="s">
        <v>2096</v>
      </c>
      <c r="B2245" s="9">
        <v>1</v>
      </c>
      <c r="C2245" s="21" t="s">
        <v>1596</v>
      </c>
      <c r="D2245" s="10" t="s">
        <v>1384</v>
      </c>
      <c r="E2245" s="9">
        <v>2</v>
      </c>
      <c r="F2245" s="9">
        <v>650</v>
      </c>
      <c r="G2245" s="8">
        <f>F2245/650</f>
        <v>1</v>
      </c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</row>
    <row r="2246" spans="1:26" ht="15.75" customHeight="1">
      <c r="A2246" s="7" t="s">
        <v>2095</v>
      </c>
      <c r="B2246" s="9">
        <v>2</v>
      </c>
      <c r="C2246" s="21">
        <v>4714781020848</v>
      </c>
      <c r="D2246" s="10" t="s">
        <v>1382</v>
      </c>
      <c r="E2246" s="9">
        <v>1</v>
      </c>
      <c r="F2246" s="9">
        <v>325</v>
      </c>
      <c r="G2246" s="8">
        <f>F2246/650</f>
        <v>0.5</v>
      </c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</row>
    <row r="2247" spans="1:26" ht="15.75" customHeight="1">
      <c r="A2247" s="7"/>
      <c r="B2247" s="10"/>
      <c r="C2247" s="21" t="s">
        <v>1596</v>
      </c>
      <c r="D2247" s="10" t="s">
        <v>1384</v>
      </c>
      <c r="E2247" s="9">
        <v>1</v>
      </c>
      <c r="F2247" s="9">
        <v>325</v>
      </c>
      <c r="G2247" s="8">
        <f>F2247/650</f>
        <v>0.5</v>
      </c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</row>
    <row r="2248" spans="1:26" ht="15.75" customHeight="1">
      <c r="A2248" s="7" t="s">
        <v>2094</v>
      </c>
      <c r="B2248" s="9">
        <v>1</v>
      </c>
      <c r="C2248" s="21">
        <v>4714781020824</v>
      </c>
      <c r="D2248" s="10" t="s">
        <v>1391</v>
      </c>
      <c r="E2248" s="9">
        <v>2</v>
      </c>
      <c r="F2248" s="9">
        <v>650</v>
      </c>
      <c r="G2248" s="8">
        <f>F2248/650</f>
        <v>1</v>
      </c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</row>
    <row r="2249" spans="1:26" ht="15.75" customHeight="1">
      <c r="A2249" s="7" t="s">
        <v>2093</v>
      </c>
      <c r="B2249" s="9">
        <v>1</v>
      </c>
      <c r="C2249" s="21">
        <v>4714781020831</v>
      </c>
      <c r="D2249" s="10" t="s">
        <v>1389</v>
      </c>
      <c r="E2249" s="9">
        <v>2</v>
      </c>
      <c r="F2249" s="9">
        <v>650</v>
      </c>
      <c r="G2249" s="8">
        <f>F2249/650</f>
        <v>1</v>
      </c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</row>
    <row r="2250" spans="1:26" ht="15.75" customHeight="1">
      <c r="A2250" s="7" t="s">
        <v>2092</v>
      </c>
      <c r="B2250" s="9">
        <v>2</v>
      </c>
      <c r="C2250" s="21">
        <v>4714781020824</v>
      </c>
      <c r="D2250" s="10" t="s">
        <v>1391</v>
      </c>
      <c r="E2250" s="9">
        <v>1</v>
      </c>
      <c r="F2250" s="9">
        <v>325</v>
      </c>
      <c r="G2250" s="8">
        <f>F2250/650</f>
        <v>0.5</v>
      </c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</row>
    <row r="2251" spans="1:26" ht="15.75" customHeight="1">
      <c r="A2251" s="7"/>
      <c r="B2251" s="10"/>
      <c r="C2251" s="21">
        <v>4714781020831</v>
      </c>
      <c r="D2251" s="10" t="s">
        <v>1389</v>
      </c>
      <c r="E2251" s="9">
        <v>1</v>
      </c>
      <c r="F2251" s="9">
        <v>325</v>
      </c>
      <c r="G2251" s="8">
        <f>F2251/650</f>
        <v>0.5</v>
      </c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</row>
    <row r="2252" spans="1:26" ht="15.75" customHeight="1">
      <c r="A2252" s="7" t="s">
        <v>2091</v>
      </c>
      <c r="B2252" s="9">
        <v>2</v>
      </c>
      <c r="C2252" s="21">
        <v>4714781020848</v>
      </c>
      <c r="D2252" s="10" t="s">
        <v>1382</v>
      </c>
      <c r="E2252" s="9">
        <v>1</v>
      </c>
      <c r="F2252" s="9">
        <v>325</v>
      </c>
      <c r="G2252" s="8">
        <f>F2252/650</f>
        <v>0.5</v>
      </c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</row>
    <row r="2253" spans="1:26" ht="15.75" customHeight="1">
      <c r="A2253" s="7"/>
      <c r="B2253" s="10"/>
      <c r="C2253" s="21">
        <v>4714781020824</v>
      </c>
      <c r="D2253" s="10" t="s">
        <v>1391</v>
      </c>
      <c r="E2253" s="9">
        <v>1</v>
      </c>
      <c r="F2253" s="9">
        <v>325</v>
      </c>
      <c r="G2253" s="8">
        <f>F2253/650</f>
        <v>0.5</v>
      </c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</row>
    <row r="2254" spans="1:26" ht="15.75" customHeight="1">
      <c r="A2254" s="7" t="s">
        <v>2090</v>
      </c>
      <c r="B2254" s="9">
        <v>2</v>
      </c>
      <c r="C2254" s="21">
        <v>4714781020848</v>
      </c>
      <c r="D2254" s="10" t="s">
        <v>1382</v>
      </c>
      <c r="E2254" s="9">
        <v>1</v>
      </c>
      <c r="F2254" s="9">
        <v>325</v>
      </c>
      <c r="G2254" s="8">
        <f>F2254/650</f>
        <v>0.5</v>
      </c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</row>
    <row r="2255" spans="1:26" ht="15.75" customHeight="1">
      <c r="A2255" s="7"/>
      <c r="B2255" s="10"/>
      <c r="C2255" s="21">
        <v>4714781020831</v>
      </c>
      <c r="D2255" s="10" t="s">
        <v>1389</v>
      </c>
      <c r="E2255" s="9">
        <v>1</v>
      </c>
      <c r="F2255" s="9">
        <v>325</v>
      </c>
      <c r="G2255" s="8">
        <f>F2255/650</f>
        <v>0.5</v>
      </c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</row>
    <row r="2256" spans="1:26" ht="15.75" customHeight="1">
      <c r="A2256" s="7" t="s">
        <v>2089</v>
      </c>
      <c r="B2256" s="9">
        <v>2</v>
      </c>
      <c r="C2256" s="21" t="s">
        <v>1596</v>
      </c>
      <c r="D2256" s="10" t="s">
        <v>1384</v>
      </c>
      <c r="E2256" s="9">
        <v>1</v>
      </c>
      <c r="F2256" s="9">
        <v>325</v>
      </c>
      <c r="G2256" s="8">
        <f>F2256/650</f>
        <v>0.5</v>
      </c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</row>
    <row r="2257" spans="1:26" ht="15.75" customHeight="1">
      <c r="A2257" s="7"/>
      <c r="B2257" s="10"/>
      <c r="C2257" s="21">
        <v>4714781020824</v>
      </c>
      <c r="D2257" s="10" t="s">
        <v>1391</v>
      </c>
      <c r="E2257" s="9">
        <v>1</v>
      </c>
      <c r="F2257" s="9">
        <v>325</v>
      </c>
      <c r="G2257" s="8">
        <f>F2257/650</f>
        <v>0.5</v>
      </c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</row>
    <row r="2258" spans="1:26" ht="15.75" customHeight="1">
      <c r="A2258" s="7" t="s">
        <v>2088</v>
      </c>
      <c r="B2258" s="9">
        <v>2</v>
      </c>
      <c r="C2258" s="21" t="s">
        <v>1596</v>
      </c>
      <c r="D2258" s="10" t="s">
        <v>1384</v>
      </c>
      <c r="E2258" s="9">
        <v>1</v>
      </c>
      <c r="F2258" s="9">
        <v>325</v>
      </c>
      <c r="G2258" s="8">
        <f>F2258/650</f>
        <v>0.5</v>
      </c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</row>
    <row r="2259" spans="1:26" ht="15.75" customHeight="1">
      <c r="A2259" s="7"/>
      <c r="B2259" s="10"/>
      <c r="C2259" s="21">
        <v>4714781020831</v>
      </c>
      <c r="D2259" s="10" t="s">
        <v>1389</v>
      </c>
      <c r="E2259" s="9">
        <v>1</v>
      </c>
      <c r="F2259" s="9">
        <v>325</v>
      </c>
      <c r="G2259" s="8">
        <f>F2259/650</f>
        <v>0.5</v>
      </c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</row>
    <row r="2260" spans="1:26" ht="15.75" customHeight="1">
      <c r="A2260" s="7" t="s">
        <v>2087</v>
      </c>
      <c r="B2260" s="9">
        <v>1</v>
      </c>
      <c r="C2260" s="21" t="s">
        <v>1619</v>
      </c>
      <c r="D2260" s="10" t="s">
        <v>1376</v>
      </c>
      <c r="E2260" s="9">
        <v>4</v>
      </c>
      <c r="F2260" s="9">
        <v>550</v>
      </c>
      <c r="G2260" s="8">
        <f>F2260/550</f>
        <v>1</v>
      </c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</row>
    <row r="2261" spans="1:26" ht="15.75" customHeight="1">
      <c r="A2261" s="7" t="s">
        <v>2086</v>
      </c>
      <c r="B2261" s="9">
        <v>5</v>
      </c>
      <c r="C2261" s="21" t="s">
        <v>1585</v>
      </c>
      <c r="D2261" s="10" t="s">
        <v>1584</v>
      </c>
      <c r="E2261" s="9">
        <v>1</v>
      </c>
      <c r="F2261" s="9">
        <v>60</v>
      </c>
      <c r="G2261" s="8">
        <f>F2261/600</f>
        <v>0.1</v>
      </c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</row>
    <row r="2262" spans="1:26" ht="15.75" customHeight="1">
      <c r="A2262" s="7"/>
      <c r="B2262" s="12"/>
      <c r="C2262" s="21" t="s">
        <v>1598</v>
      </c>
      <c r="D2262" s="10" t="s">
        <v>1382</v>
      </c>
      <c r="E2262" s="9">
        <v>1</v>
      </c>
      <c r="F2262" s="9">
        <v>300</v>
      </c>
      <c r="G2262" s="8">
        <f>F2262/600</f>
        <v>0.5</v>
      </c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</row>
    <row r="2263" spans="1:26" ht="15.75" customHeight="1">
      <c r="A2263" s="7"/>
      <c r="B2263" s="12"/>
      <c r="C2263" s="21" t="s">
        <v>1595</v>
      </c>
      <c r="D2263" s="10" t="s">
        <v>1378</v>
      </c>
      <c r="E2263" s="9">
        <v>1</v>
      </c>
      <c r="F2263" s="9">
        <v>120</v>
      </c>
      <c r="G2263" s="8">
        <f>F2263/600</f>
        <v>0.2</v>
      </c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</row>
    <row r="2264" spans="1:26" ht="15.75" customHeight="1">
      <c r="A2264" s="7"/>
      <c r="B2264" s="12"/>
      <c r="C2264" s="21" t="s">
        <v>1593</v>
      </c>
      <c r="D2264" s="10" t="s">
        <v>1592</v>
      </c>
      <c r="E2264" s="9">
        <v>1</v>
      </c>
      <c r="F2264" s="9">
        <v>50</v>
      </c>
      <c r="G2264" s="8">
        <f>F2264/600</f>
        <v>8.3333333333333329E-2</v>
      </c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</row>
    <row r="2265" spans="1:26" ht="15.75" customHeight="1">
      <c r="A2265" s="7"/>
      <c r="B2265" s="12"/>
      <c r="C2265" s="21" t="s">
        <v>1583</v>
      </c>
      <c r="D2265" s="10" t="s">
        <v>1582</v>
      </c>
      <c r="E2265" s="9">
        <v>1</v>
      </c>
      <c r="F2265" s="9">
        <v>70</v>
      </c>
      <c r="G2265" s="8">
        <f>F2265/600</f>
        <v>0.11666666666666667</v>
      </c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</row>
    <row r="2266" spans="1:26" ht="15.75" customHeight="1">
      <c r="A2266" s="7" t="s">
        <v>2085</v>
      </c>
      <c r="B2266" s="9">
        <v>5</v>
      </c>
      <c r="C2266" s="21" t="s">
        <v>1585</v>
      </c>
      <c r="D2266" s="10" t="s">
        <v>1584</v>
      </c>
      <c r="E2266" s="9">
        <v>1</v>
      </c>
      <c r="F2266" s="9">
        <v>60</v>
      </c>
      <c r="G2266" s="8">
        <f>F2266/600</f>
        <v>0.1</v>
      </c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</row>
    <row r="2267" spans="1:26" ht="15.75" customHeight="1">
      <c r="A2267" s="7"/>
      <c r="B2267" s="12"/>
      <c r="C2267" s="21" t="s">
        <v>1596</v>
      </c>
      <c r="D2267" s="10" t="s">
        <v>1384</v>
      </c>
      <c r="E2267" s="9">
        <v>1</v>
      </c>
      <c r="F2267" s="9">
        <v>300</v>
      </c>
      <c r="G2267" s="8">
        <f>F2267/600</f>
        <v>0.5</v>
      </c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</row>
    <row r="2268" spans="1:26" ht="15.75" customHeight="1">
      <c r="A2268" s="7"/>
      <c r="B2268" s="12"/>
      <c r="C2268" s="21" t="s">
        <v>1602</v>
      </c>
      <c r="D2268" s="10" t="s">
        <v>1380</v>
      </c>
      <c r="E2268" s="9">
        <v>1</v>
      </c>
      <c r="F2268" s="9">
        <v>120</v>
      </c>
      <c r="G2268" s="8">
        <f>F2268/600</f>
        <v>0.2</v>
      </c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</row>
    <row r="2269" spans="1:26" ht="15.75" customHeight="1">
      <c r="A2269" s="7"/>
      <c r="B2269" s="12"/>
      <c r="C2269" s="21" t="s">
        <v>1588</v>
      </c>
      <c r="D2269" s="10" t="s">
        <v>1587</v>
      </c>
      <c r="E2269" s="9">
        <v>1</v>
      </c>
      <c r="F2269" s="9">
        <v>50</v>
      </c>
      <c r="G2269" s="8">
        <f>F2269/600</f>
        <v>8.3333333333333329E-2</v>
      </c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</row>
    <row r="2270" spans="1:26" ht="15.75" customHeight="1">
      <c r="A2270" s="7"/>
      <c r="B2270" s="12"/>
      <c r="C2270" s="21" t="s">
        <v>1590</v>
      </c>
      <c r="D2270" s="10" t="s">
        <v>1589</v>
      </c>
      <c r="E2270" s="9">
        <v>1</v>
      </c>
      <c r="F2270" s="9">
        <v>70</v>
      </c>
      <c r="G2270" s="8">
        <f>F2270/600</f>
        <v>0.11666666666666667</v>
      </c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</row>
    <row r="2271" spans="1:26" ht="15.75" customHeight="1">
      <c r="A2271" s="7" t="s">
        <v>2084</v>
      </c>
      <c r="B2271" s="9">
        <v>5</v>
      </c>
      <c r="C2271" s="21" t="s">
        <v>1585</v>
      </c>
      <c r="D2271" s="10" t="s">
        <v>1584</v>
      </c>
      <c r="E2271" s="9">
        <v>1</v>
      </c>
      <c r="F2271" s="9">
        <v>60</v>
      </c>
      <c r="G2271" s="8">
        <f>F2271/600</f>
        <v>0.1</v>
      </c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</row>
    <row r="2272" spans="1:26" ht="15.75" customHeight="1">
      <c r="A2272" s="7"/>
      <c r="B2272" s="12"/>
      <c r="C2272" s="21" t="s">
        <v>1596</v>
      </c>
      <c r="D2272" s="10" t="s">
        <v>1384</v>
      </c>
      <c r="E2272" s="9">
        <v>1</v>
      </c>
      <c r="F2272" s="9">
        <v>300</v>
      </c>
      <c r="G2272" s="8">
        <f>F2272/600</f>
        <v>0.5</v>
      </c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</row>
    <row r="2273" spans="1:26" ht="15.75" customHeight="1">
      <c r="A2273" s="7"/>
      <c r="B2273" s="12"/>
      <c r="C2273" s="21" t="s">
        <v>1595</v>
      </c>
      <c r="D2273" s="10" t="s">
        <v>1378</v>
      </c>
      <c r="E2273" s="9">
        <v>1</v>
      </c>
      <c r="F2273" s="9">
        <v>120</v>
      </c>
      <c r="G2273" s="8">
        <f>F2273/600</f>
        <v>0.2</v>
      </c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</row>
    <row r="2274" spans="1:26" ht="15.75" customHeight="1">
      <c r="A2274" s="7"/>
      <c r="B2274" s="12"/>
      <c r="C2274" s="21" t="s">
        <v>1581</v>
      </c>
      <c r="D2274" s="10" t="s">
        <v>1580</v>
      </c>
      <c r="E2274" s="9">
        <v>1</v>
      </c>
      <c r="F2274" s="9">
        <v>50</v>
      </c>
      <c r="G2274" s="8">
        <f>F2274/600</f>
        <v>8.3333333333333329E-2</v>
      </c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</row>
    <row r="2275" spans="1:26" ht="15.75" customHeight="1">
      <c r="A2275" s="7"/>
      <c r="B2275" s="12"/>
      <c r="C2275" s="21" t="s">
        <v>1583</v>
      </c>
      <c r="D2275" s="10" t="s">
        <v>1582</v>
      </c>
      <c r="E2275" s="9">
        <v>1</v>
      </c>
      <c r="F2275" s="9">
        <v>70</v>
      </c>
      <c r="G2275" s="8">
        <f>F2275/600</f>
        <v>0.11666666666666667</v>
      </c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</row>
    <row r="2276" spans="1:26" ht="15.75" customHeight="1">
      <c r="A2276" s="7" t="s">
        <v>2083</v>
      </c>
      <c r="B2276" s="9">
        <v>5</v>
      </c>
      <c r="C2276" s="21" t="s">
        <v>1585</v>
      </c>
      <c r="D2276" s="10" t="s">
        <v>1584</v>
      </c>
      <c r="E2276" s="9">
        <v>1</v>
      </c>
      <c r="F2276" s="9">
        <v>60</v>
      </c>
      <c r="G2276" s="8">
        <f>F2276/600</f>
        <v>0.1</v>
      </c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</row>
    <row r="2277" spans="1:26" ht="15.75" customHeight="1">
      <c r="A2277" s="7"/>
      <c r="B2277" s="12"/>
      <c r="C2277" s="21" t="s">
        <v>1583</v>
      </c>
      <c r="D2277" s="10" t="s">
        <v>1582</v>
      </c>
      <c r="E2277" s="9">
        <v>1</v>
      </c>
      <c r="F2277" s="9">
        <v>300</v>
      </c>
      <c r="G2277" s="8">
        <f>F2277/600</f>
        <v>0.5</v>
      </c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</row>
    <row r="2278" spans="1:26" ht="15.75" customHeight="1">
      <c r="A2278" s="7"/>
      <c r="B2278" s="12"/>
      <c r="C2278" s="21" t="s">
        <v>1593</v>
      </c>
      <c r="D2278" s="10" t="s">
        <v>1592</v>
      </c>
      <c r="E2278" s="9">
        <v>1</v>
      </c>
      <c r="F2278" s="9">
        <v>120</v>
      </c>
      <c r="G2278" s="8">
        <f>F2278/600</f>
        <v>0.2</v>
      </c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</row>
    <row r="2279" spans="1:26" ht="15.75" customHeight="1">
      <c r="A2279" s="7"/>
      <c r="B2279" s="12"/>
      <c r="C2279" s="21">
        <v>4714781020800</v>
      </c>
      <c r="D2279" s="10" t="s">
        <v>1319</v>
      </c>
      <c r="E2279" s="9">
        <v>1</v>
      </c>
      <c r="F2279" s="9">
        <v>50</v>
      </c>
      <c r="G2279" s="8">
        <f>F2279/600</f>
        <v>8.3333333333333329E-2</v>
      </c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</row>
    <row r="2280" spans="1:26" ht="15.75" customHeight="1">
      <c r="A2280" s="7"/>
      <c r="B2280" s="12"/>
      <c r="C2280" s="21">
        <v>4714781020824</v>
      </c>
      <c r="D2280" s="10" t="s">
        <v>1391</v>
      </c>
      <c r="E2280" s="9">
        <v>1</v>
      </c>
      <c r="F2280" s="9">
        <v>70</v>
      </c>
      <c r="G2280" s="8">
        <f>F2280/600</f>
        <v>0.11666666666666667</v>
      </c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</row>
    <row r="2281" spans="1:26" ht="15.75" customHeight="1">
      <c r="A2281" s="7" t="s">
        <v>2082</v>
      </c>
      <c r="B2281" s="9">
        <v>5</v>
      </c>
      <c r="C2281" s="21" t="s">
        <v>1585</v>
      </c>
      <c r="D2281" s="10" t="s">
        <v>1584</v>
      </c>
      <c r="E2281" s="9">
        <v>1</v>
      </c>
      <c r="F2281" s="9">
        <v>60</v>
      </c>
      <c r="G2281" s="8">
        <f>F2281/600</f>
        <v>0.1</v>
      </c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</row>
    <row r="2282" spans="1:26" ht="15.75" customHeight="1">
      <c r="A2282" s="7"/>
      <c r="B2282" s="12"/>
      <c r="C2282" s="21" t="s">
        <v>1590</v>
      </c>
      <c r="D2282" s="10" t="s">
        <v>1589</v>
      </c>
      <c r="E2282" s="9">
        <v>1</v>
      </c>
      <c r="F2282" s="9">
        <v>300</v>
      </c>
      <c r="G2282" s="8">
        <f>F2282/600</f>
        <v>0.5</v>
      </c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</row>
    <row r="2283" spans="1:26" ht="15.75" customHeight="1">
      <c r="A2283" s="7"/>
      <c r="B2283" s="12"/>
      <c r="C2283" s="21" t="s">
        <v>1588</v>
      </c>
      <c r="D2283" s="10" t="s">
        <v>1587</v>
      </c>
      <c r="E2283" s="9">
        <v>1</v>
      </c>
      <c r="F2283" s="9">
        <v>120</v>
      </c>
      <c r="G2283" s="8">
        <f>F2283/600</f>
        <v>0.2</v>
      </c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</row>
    <row r="2284" spans="1:26" ht="15.75" customHeight="1">
      <c r="A2284" s="7"/>
      <c r="B2284" s="12"/>
      <c r="C2284" s="21">
        <v>4714781020817</v>
      </c>
      <c r="D2284" s="10" t="s">
        <v>1317</v>
      </c>
      <c r="E2284" s="9">
        <v>1</v>
      </c>
      <c r="F2284" s="9">
        <v>50</v>
      </c>
      <c r="G2284" s="8">
        <f>F2284/600</f>
        <v>8.3333333333333329E-2</v>
      </c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</row>
    <row r="2285" spans="1:26" ht="15.75" customHeight="1">
      <c r="A2285" s="7"/>
      <c r="B2285" s="12"/>
      <c r="C2285" s="21" t="s">
        <v>1579</v>
      </c>
      <c r="D2285" s="10" t="s">
        <v>1389</v>
      </c>
      <c r="E2285" s="9">
        <v>1</v>
      </c>
      <c r="F2285" s="9">
        <v>70</v>
      </c>
      <c r="G2285" s="8">
        <f>F2285/600</f>
        <v>0.11666666666666667</v>
      </c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</row>
    <row r="2286" spans="1:26" ht="15.75" customHeight="1">
      <c r="A2286" s="7" t="s">
        <v>2081</v>
      </c>
      <c r="B2286" s="9">
        <v>5</v>
      </c>
      <c r="C2286" s="21" t="s">
        <v>1585</v>
      </c>
      <c r="D2286" s="10" t="s">
        <v>1584</v>
      </c>
      <c r="E2286" s="9">
        <v>1</v>
      </c>
      <c r="F2286" s="9">
        <v>60</v>
      </c>
      <c r="G2286" s="8">
        <f>F2286/600</f>
        <v>0.1</v>
      </c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</row>
    <row r="2287" spans="1:26" ht="15.75" customHeight="1">
      <c r="A2287" s="7"/>
      <c r="B2287" s="12"/>
      <c r="C2287" s="21" t="s">
        <v>1583</v>
      </c>
      <c r="D2287" s="10" t="s">
        <v>1582</v>
      </c>
      <c r="E2287" s="9">
        <v>1</v>
      </c>
      <c r="F2287" s="9">
        <v>300</v>
      </c>
      <c r="G2287" s="8">
        <f>F2287/600</f>
        <v>0.5</v>
      </c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</row>
    <row r="2288" spans="1:26" ht="15.75" customHeight="1">
      <c r="A2288" s="7"/>
      <c r="B2288" s="12"/>
      <c r="C2288" s="21" t="s">
        <v>1581</v>
      </c>
      <c r="D2288" s="10" t="s">
        <v>1580</v>
      </c>
      <c r="E2288" s="9">
        <v>1</v>
      </c>
      <c r="F2288" s="9">
        <v>120</v>
      </c>
      <c r="G2288" s="8">
        <f>F2288/600</f>
        <v>0.2</v>
      </c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</row>
    <row r="2289" spans="1:26" ht="15.75" customHeight="1">
      <c r="A2289" s="7"/>
      <c r="B2289" s="12"/>
      <c r="C2289" s="21">
        <v>4714781020817</v>
      </c>
      <c r="D2289" s="10" t="s">
        <v>1317</v>
      </c>
      <c r="E2289" s="9">
        <v>1</v>
      </c>
      <c r="F2289" s="9">
        <v>50</v>
      </c>
      <c r="G2289" s="8">
        <f>F2289/600</f>
        <v>8.3333333333333329E-2</v>
      </c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</row>
    <row r="2290" spans="1:26" ht="15.75" customHeight="1">
      <c r="A2290" s="7"/>
      <c r="B2290" s="12"/>
      <c r="C2290" s="21" t="s">
        <v>1579</v>
      </c>
      <c r="D2290" s="10" t="s">
        <v>1389</v>
      </c>
      <c r="E2290" s="9">
        <v>1</v>
      </c>
      <c r="F2290" s="9">
        <v>70</v>
      </c>
      <c r="G2290" s="8">
        <f>F2290/600</f>
        <v>0.11666666666666667</v>
      </c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</row>
    <row r="2291" spans="1:26" ht="15.75" customHeight="1">
      <c r="A2291" s="7" t="s">
        <v>2080</v>
      </c>
      <c r="B2291" s="13">
        <v>1</v>
      </c>
      <c r="C2291" s="6">
        <v>4714781021609</v>
      </c>
      <c r="D2291" s="12" t="s">
        <v>1454</v>
      </c>
      <c r="E2291" s="10">
        <v>1</v>
      </c>
      <c r="F2291" s="10">
        <v>149</v>
      </c>
      <c r="G2291" s="8">
        <f>F2291/149</f>
        <v>1</v>
      </c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</row>
    <row r="2292" spans="1:26" ht="15.75" customHeight="1">
      <c r="A2292" s="7" t="s">
        <v>2079</v>
      </c>
      <c r="B2292" s="13">
        <v>3</v>
      </c>
      <c r="C2292" s="6">
        <v>4714781021609</v>
      </c>
      <c r="D2292" s="12" t="s">
        <v>1454</v>
      </c>
      <c r="E2292" s="10">
        <v>1</v>
      </c>
      <c r="F2292" s="10">
        <v>133</v>
      </c>
      <c r="G2292" s="8">
        <f>F2292/399</f>
        <v>0.33333333333333331</v>
      </c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</row>
    <row r="2293" spans="1:26" ht="15.75" customHeight="1">
      <c r="A2293" s="7"/>
      <c r="B2293" s="13"/>
      <c r="C2293" s="6">
        <v>4714781021012</v>
      </c>
      <c r="D2293" s="7" t="s">
        <v>2070</v>
      </c>
      <c r="E2293" s="10">
        <v>1</v>
      </c>
      <c r="F2293" s="10">
        <v>133</v>
      </c>
      <c r="G2293" s="8">
        <f>F2293/399</f>
        <v>0.33333333333333331</v>
      </c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</row>
    <row r="2294" spans="1:26" ht="15.75" customHeight="1">
      <c r="A2294" s="7"/>
      <c r="B2294" s="13"/>
      <c r="C2294" s="6">
        <v>4714781021029</v>
      </c>
      <c r="D2294" s="7" t="s">
        <v>2072</v>
      </c>
      <c r="E2294" s="10">
        <v>1</v>
      </c>
      <c r="F2294" s="10">
        <v>133</v>
      </c>
      <c r="G2294" s="8">
        <f>F2294/399</f>
        <v>0.33333333333333331</v>
      </c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</row>
    <row r="2295" spans="1:26" ht="15.75" customHeight="1">
      <c r="A2295" s="7" t="s">
        <v>2078</v>
      </c>
      <c r="B2295" s="13">
        <v>1</v>
      </c>
      <c r="C2295" s="6">
        <v>4714781021609</v>
      </c>
      <c r="D2295" s="12" t="s">
        <v>1454</v>
      </c>
      <c r="E2295" s="10">
        <v>3</v>
      </c>
      <c r="F2295" s="10">
        <v>399</v>
      </c>
      <c r="G2295" s="8">
        <f>F2295/399</f>
        <v>1</v>
      </c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</row>
    <row r="2296" spans="1:26" ht="16">
      <c r="A2296" s="13" t="s">
        <v>2077</v>
      </c>
      <c r="B2296" s="10">
        <v>2</v>
      </c>
      <c r="C2296" s="6">
        <v>4714781021593</v>
      </c>
      <c r="D2296" s="12" t="s">
        <v>1453</v>
      </c>
      <c r="E2296" s="9">
        <v>1</v>
      </c>
      <c r="F2296" s="9">
        <v>133</v>
      </c>
      <c r="G2296" s="8">
        <f>F2296/399</f>
        <v>0.33333333333333331</v>
      </c>
    </row>
    <row r="2297" spans="1:26" ht="16">
      <c r="A2297" s="13"/>
      <c r="B2297" s="10"/>
      <c r="C2297" s="6">
        <v>4714781021029</v>
      </c>
      <c r="D2297" s="7" t="s">
        <v>2072</v>
      </c>
      <c r="E2297" s="9">
        <v>2</v>
      </c>
      <c r="F2297" s="9">
        <v>266</v>
      </c>
      <c r="G2297" s="8">
        <f>F2297/399</f>
        <v>0.66666666666666663</v>
      </c>
    </row>
    <row r="2298" spans="1:26" ht="16">
      <c r="A2298" s="13" t="s">
        <v>166</v>
      </c>
      <c r="B2298" s="10">
        <v>2</v>
      </c>
      <c r="C2298" s="6">
        <v>4714781021029</v>
      </c>
      <c r="D2298" s="7" t="s">
        <v>2072</v>
      </c>
      <c r="E2298" s="9">
        <v>2</v>
      </c>
      <c r="F2298" s="9">
        <v>266</v>
      </c>
      <c r="G2298" s="8">
        <f>F2298/399</f>
        <v>0.66666666666666663</v>
      </c>
    </row>
    <row r="2299" spans="1:26" ht="16">
      <c r="A2299" s="13"/>
      <c r="B2299" s="10"/>
      <c r="C2299" s="6">
        <v>4714781021609</v>
      </c>
      <c r="D2299" s="12" t="s">
        <v>1454</v>
      </c>
      <c r="E2299" s="9">
        <v>1</v>
      </c>
      <c r="F2299" s="9">
        <v>133</v>
      </c>
      <c r="G2299" s="8">
        <f>F2299/399</f>
        <v>0.33333333333333331</v>
      </c>
    </row>
    <row r="2300" spans="1:26" ht="16">
      <c r="A2300" s="13" t="s">
        <v>2076</v>
      </c>
      <c r="B2300" s="10">
        <v>2</v>
      </c>
      <c r="C2300" s="6">
        <v>4714781021593</v>
      </c>
      <c r="D2300" s="12" t="s">
        <v>1453</v>
      </c>
      <c r="E2300" s="9">
        <v>2</v>
      </c>
      <c r="F2300" s="9">
        <v>266</v>
      </c>
      <c r="G2300" s="8">
        <f>F2300/399</f>
        <v>0.66666666666666663</v>
      </c>
    </row>
    <row r="2301" spans="1:26" ht="16">
      <c r="A2301" s="13"/>
      <c r="B2301" s="10"/>
      <c r="C2301" s="6">
        <v>4714781021029</v>
      </c>
      <c r="D2301" s="7" t="s">
        <v>2072</v>
      </c>
      <c r="E2301" s="9">
        <v>1</v>
      </c>
      <c r="F2301" s="9">
        <v>133</v>
      </c>
      <c r="G2301" s="8">
        <f>F2301/399</f>
        <v>0.33333333333333331</v>
      </c>
    </row>
    <row r="2302" spans="1:26" ht="16">
      <c r="A2302" s="13" t="s">
        <v>313</v>
      </c>
      <c r="B2302" s="10">
        <v>2</v>
      </c>
      <c r="C2302" s="6">
        <v>4714781021593</v>
      </c>
      <c r="D2302" s="12" t="s">
        <v>1453</v>
      </c>
      <c r="E2302" s="9">
        <v>2</v>
      </c>
      <c r="F2302" s="9">
        <v>266</v>
      </c>
      <c r="G2302" s="8">
        <f>F2302/399</f>
        <v>0.66666666666666663</v>
      </c>
    </row>
    <row r="2303" spans="1:26" ht="16">
      <c r="A2303" s="13"/>
      <c r="B2303" s="10"/>
      <c r="C2303" s="6">
        <v>4714781021609</v>
      </c>
      <c r="D2303" s="12" t="s">
        <v>1454</v>
      </c>
      <c r="E2303" s="9">
        <v>1</v>
      </c>
      <c r="F2303" s="9">
        <v>133</v>
      </c>
      <c r="G2303" s="8">
        <f>F2303/399</f>
        <v>0.33333333333333331</v>
      </c>
    </row>
    <row r="2304" spans="1:26" ht="16">
      <c r="A2304" s="13" t="s">
        <v>64</v>
      </c>
      <c r="B2304" s="10">
        <v>2</v>
      </c>
      <c r="C2304" s="6">
        <v>4714781021609</v>
      </c>
      <c r="D2304" s="12" t="s">
        <v>1454</v>
      </c>
      <c r="E2304" s="9">
        <v>2</v>
      </c>
      <c r="F2304" s="9">
        <v>266</v>
      </c>
      <c r="G2304" s="8">
        <f>F2304/399</f>
        <v>0.66666666666666663</v>
      </c>
    </row>
    <row r="2305" spans="1:7" ht="16">
      <c r="A2305" s="13"/>
      <c r="B2305" s="10"/>
      <c r="C2305" s="6">
        <v>4714781021029</v>
      </c>
      <c r="D2305" s="7" t="s">
        <v>2072</v>
      </c>
      <c r="E2305" s="9">
        <v>1</v>
      </c>
      <c r="F2305" s="9">
        <v>133</v>
      </c>
      <c r="G2305" s="8">
        <f>F2305/399</f>
        <v>0.33333333333333331</v>
      </c>
    </row>
    <row r="2306" spans="1:7" ht="16">
      <c r="A2306" s="13" t="s">
        <v>667</v>
      </c>
      <c r="B2306" s="10">
        <v>2</v>
      </c>
      <c r="C2306" s="6">
        <v>4714781021609</v>
      </c>
      <c r="D2306" s="12" t="s">
        <v>1454</v>
      </c>
      <c r="E2306" s="9">
        <v>2</v>
      </c>
      <c r="F2306" s="9">
        <v>266</v>
      </c>
      <c r="G2306" s="8">
        <f>F2306/399</f>
        <v>0.66666666666666663</v>
      </c>
    </row>
    <row r="2307" spans="1:7" ht="16">
      <c r="A2307" s="13"/>
      <c r="B2307" s="10"/>
      <c r="C2307" s="6">
        <v>4714781021593</v>
      </c>
      <c r="D2307" s="12" t="s">
        <v>1453</v>
      </c>
      <c r="E2307" s="9">
        <v>1</v>
      </c>
      <c r="F2307" s="9">
        <v>133</v>
      </c>
      <c r="G2307" s="8">
        <f>F2307/399</f>
        <v>0.33333333333333331</v>
      </c>
    </row>
    <row r="2308" spans="1:7" ht="16">
      <c r="A2308" s="13" t="s">
        <v>2075</v>
      </c>
      <c r="B2308" s="10">
        <v>2</v>
      </c>
      <c r="C2308" s="6">
        <v>4714781021029</v>
      </c>
      <c r="D2308" s="7" t="s">
        <v>2072</v>
      </c>
      <c r="E2308" s="9">
        <v>2</v>
      </c>
      <c r="F2308" s="9">
        <v>266</v>
      </c>
      <c r="G2308" s="8">
        <f>F2308/399</f>
        <v>0.66666666666666663</v>
      </c>
    </row>
    <row r="2309" spans="1:7" ht="16">
      <c r="A2309" s="13"/>
      <c r="B2309" s="10"/>
      <c r="C2309" s="6">
        <v>4714781021609</v>
      </c>
      <c r="D2309" s="12" t="s">
        <v>1454</v>
      </c>
      <c r="E2309" s="9">
        <v>1</v>
      </c>
      <c r="F2309" s="9">
        <v>133</v>
      </c>
      <c r="G2309" s="8">
        <f>F2309/399</f>
        <v>0.33333333333333331</v>
      </c>
    </row>
    <row r="2310" spans="1:7" ht="16">
      <c r="A2310" s="13" t="s">
        <v>2074</v>
      </c>
      <c r="B2310" s="10">
        <v>2</v>
      </c>
      <c r="C2310" s="6">
        <v>4714781021012</v>
      </c>
      <c r="D2310" s="7" t="s">
        <v>2070</v>
      </c>
      <c r="E2310" s="9">
        <v>2</v>
      </c>
      <c r="F2310" s="9">
        <v>266</v>
      </c>
      <c r="G2310" s="8">
        <f>F2310/399</f>
        <v>0.66666666666666663</v>
      </c>
    </row>
    <row r="2311" spans="1:7" ht="16">
      <c r="A2311" s="13"/>
      <c r="B2311" s="10"/>
      <c r="C2311" s="6">
        <v>4714781021609</v>
      </c>
      <c r="D2311" s="12" t="s">
        <v>1454</v>
      </c>
      <c r="E2311" s="9">
        <v>1</v>
      </c>
      <c r="F2311" s="9">
        <v>133</v>
      </c>
      <c r="G2311" s="8">
        <f>F2311/399</f>
        <v>0.33333333333333331</v>
      </c>
    </row>
    <row r="2312" spans="1:7" ht="16">
      <c r="A2312" s="13" t="s">
        <v>2073</v>
      </c>
      <c r="B2312" s="10">
        <v>2</v>
      </c>
      <c r="C2312" s="6">
        <v>4714781021609</v>
      </c>
      <c r="D2312" s="12" t="s">
        <v>1454</v>
      </c>
      <c r="E2312" s="9">
        <v>2</v>
      </c>
      <c r="F2312" s="9">
        <v>266</v>
      </c>
      <c r="G2312" s="8">
        <f>F2312/399</f>
        <v>0.66666666666666663</v>
      </c>
    </row>
    <row r="2313" spans="1:7" ht="16">
      <c r="A2313" s="13"/>
      <c r="B2313" s="10"/>
      <c r="C2313" s="6">
        <v>4714781021029</v>
      </c>
      <c r="D2313" s="7" t="s">
        <v>2072</v>
      </c>
      <c r="E2313" s="9">
        <v>1</v>
      </c>
      <c r="F2313" s="9">
        <v>133</v>
      </c>
      <c r="G2313" s="8">
        <f>F2313/399</f>
        <v>0.33333333333333331</v>
      </c>
    </row>
    <row r="2314" spans="1:7" ht="16">
      <c r="A2314" s="13" t="s">
        <v>2071</v>
      </c>
      <c r="B2314" s="10">
        <v>2</v>
      </c>
      <c r="C2314" s="6">
        <v>4714781021609</v>
      </c>
      <c r="D2314" s="12" t="s">
        <v>1454</v>
      </c>
      <c r="E2314" s="9">
        <v>2</v>
      </c>
      <c r="F2314" s="9">
        <v>266</v>
      </c>
      <c r="G2314" s="8">
        <f>F2314/399</f>
        <v>0.66666666666666663</v>
      </c>
    </row>
    <row r="2315" spans="1:7" ht="16">
      <c r="A2315" s="13"/>
      <c r="B2315" s="10"/>
      <c r="C2315" s="6">
        <v>4714781021012</v>
      </c>
      <c r="D2315" s="7" t="s">
        <v>2070</v>
      </c>
      <c r="E2315" s="9">
        <v>1</v>
      </c>
      <c r="F2315" s="9">
        <v>133</v>
      </c>
      <c r="G2315" s="8">
        <f>F2315/399</f>
        <v>0.33333333333333331</v>
      </c>
    </row>
    <row r="2316" spans="1:7" ht="16">
      <c r="A2316" s="13" t="s">
        <v>2069</v>
      </c>
      <c r="B2316" s="10">
        <v>3</v>
      </c>
      <c r="C2316" s="21">
        <v>4714781020466</v>
      </c>
      <c r="D2316" s="10" t="s">
        <v>1374</v>
      </c>
      <c r="E2316" s="9">
        <v>1</v>
      </c>
      <c r="F2316" s="9">
        <v>145</v>
      </c>
      <c r="G2316" s="8">
        <f>F2316/435</f>
        <v>0.33333333333333331</v>
      </c>
    </row>
    <row r="2317" spans="1:7" ht="16">
      <c r="A2317" s="13"/>
      <c r="B2317" s="10"/>
      <c r="C2317" s="21">
        <v>4714781020503</v>
      </c>
      <c r="D2317" s="10" t="s">
        <v>1372</v>
      </c>
      <c r="E2317" s="9">
        <v>1</v>
      </c>
      <c r="F2317" s="9">
        <v>145</v>
      </c>
      <c r="G2317" s="8">
        <f>F2317/435</f>
        <v>0.33333333333333331</v>
      </c>
    </row>
    <row r="2318" spans="1:7" ht="16">
      <c r="A2318" s="13"/>
      <c r="B2318" s="10"/>
      <c r="C2318" s="21">
        <v>4714781020558</v>
      </c>
      <c r="D2318" s="10" t="s">
        <v>1370</v>
      </c>
      <c r="E2318" s="9">
        <v>1</v>
      </c>
      <c r="F2318" s="9">
        <v>145</v>
      </c>
      <c r="G2318" s="8">
        <f>F2318/435</f>
        <v>0.33333333333333331</v>
      </c>
    </row>
    <row r="2319" spans="1:7" ht="16">
      <c r="A2319" s="13" t="s">
        <v>2068</v>
      </c>
      <c r="B2319" s="10">
        <v>1</v>
      </c>
      <c r="C2319" s="21">
        <v>4714781020558</v>
      </c>
      <c r="D2319" s="10" t="s">
        <v>1370</v>
      </c>
      <c r="E2319" s="9">
        <v>3</v>
      </c>
      <c r="F2319" s="9">
        <v>435</v>
      </c>
      <c r="G2319" s="8">
        <f>F2319/435</f>
        <v>1</v>
      </c>
    </row>
    <row r="2320" spans="1:7" ht="16">
      <c r="A2320" s="13" t="s">
        <v>2067</v>
      </c>
      <c r="B2320" s="10">
        <v>1</v>
      </c>
      <c r="C2320" s="21">
        <v>4714781020503</v>
      </c>
      <c r="D2320" s="10" t="s">
        <v>1372</v>
      </c>
      <c r="E2320" s="9">
        <v>3</v>
      </c>
      <c r="F2320" s="9">
        <v>435</v>
      </c>
      <c r="G2320" s="8">
        <f>F2320/435</f>
        <v>1</v>
      </c>
    </row>
    <row r="2321" spans="1:7" ht="16">
      <c r="A2321" s="13" t="s">
        <v>2066</v>
      </c>
      <c r="B2321" s="10">
        <v>1</v>
      </c>
      <c r="C2321" s="21">
        <v>4714781020466</v>
      </c>
      <c r="D2321" s="10" t="s">
        <v>1374</v>
      </c>
      <c r="E2321" s="9">
        <v>3</v>
      </c>
      <c r="F2321" s="9">
        <v>435</v>
      </c>
      <c r="G2321" s="8">
        <f>F2321/435</f>
        <v>1</v>
      </c>
    </row>
    <row r="2322" spans="1:7" ht="16">
      <c r="A2322" s="13" t="s">
        <v>2065</v>
      </c>
      <c r="B2322" s="10">
        <v>2</v>
      </c>
      <c r="C2322" s="21">
        <v>4714781020503</v>
      </c>
      <c r="D2322" s="10" t="s">
        <v>1372</v>
      </c>
      <c r="E2322" s="9">
        <v>2</v>
      </c>
      <c r="F2322" s="9">
        <v>290</v>
      </c>
      <c r="G2322" s="8">
        <f>F2322/435</f>
        <v>0.66666666666666663</v>
      </c>
    </row>
    <row r="2323" spans="1:7" ht="16">
      <c r="A2323" s="13"/>
      <c r="B2323" s="10"/>
      <c r="C2323" s="21">
        <v>4714781020466</v>
      </c>
      <c r="D2323" s="10" t="s">
        <v>1374</v>
      </c>
      <c r="E2323" s="9">
        <v>1</v>
      </c>
      <c r="F2323" s="9">
        <v>145</v>
      </c>
      <c r="G2323" s="8">
        <f>F2323/435</f>
        <v>0.33333333333333331</v>
      </c>
    </row>
    <row r="2324" spans="1:7" ht="16">
      <c r="A2324" s="13" t="s">
        <v>2064</v>
      </c>
      <c r="B2324" s="10">
        <v>2</v>
      </c>
      <c r="C2324" s="21">
        <v>4714781020503</v>
      </c>
      <c r="D2324" s="10" t="s">
        <v>1372</v>
      </c>
      <c r="E2324" s="9">
        <v>2</v>
      </c>
      <c r="F2324" s="9">
        <v>290</v>
      </c>
      <c r="G2324" s="8">
        <f>F2324/435</f>
        <v>0.66666666666666663</v>
      </c>
    </row>
    <row r="2325" spans="1:7" ht="16">
      <c r="A2325" s="13"/>
      <c r="B2325" s="10"/>
      <c r="C2325" s="21">
        <v>4714781020558</v>
      </c>
      <c r="D2325" s="10" t="s">
        <v>1370</v>
      </c>
      <c r="E2325" s="9">
        <v>1</v>
      </c>
      <c r="F2325" s="9">
        <v>145</v>
      </c>
      <c r="G2325" s="8">
        <f>F2325/435</f>
        <v>0.33333333333333331</v>
      </c>
    </row>
    <row r="2326" spans="1:7" ht="16">
      <c r="A2326" s="13" t="s">
        <v>2063</v>
      </c>
      <c r="B2326" s="10">
        <v>2</v>
      </c>
      <c r="C2326" s="21">
        <v>4714781020466</v>
      </c>
      <c r="D2326" s="10" t="s">
        <v>1374</v>
      </c>
      <c r="E2326" s="9">
        <v>2</v>
      </c>
      <c r="F2326" s="9">
        <v>290</v>
      </c>
      <c r="G2326" s="8">
        <f>F2326/435</f>
        <v>0.66666666666666663</v>
      </c>
    </row>
    <row r="2327" spans="1:7" ht="16">
      <c r="A2327" s="13"/>
      <c r="B2327" s="10"/>
      <c r="C2327" s="21">
        <v>4714781020503</v>
      </c>
      <c r="D2327" s="10" t="s">
        <v>1372</v>
      </c>
      <c r="E2327" s="9">
        <v>1</v>
      </c>
      <c r="F2327" s="9">
        <v>145</v>
      </c>
      <c r="G2327" s="8">
        <f>F2327/435</f>
        <v>0.33333333333333331</v>
      </c>
    </row>
    <row r="2328" spans="1:7" ht="16">
      <c r="A2328" s="13" t="s">
        <v>2062</v>
      </c>
      <c r="B2328" s="10">
        <v>2</v>
      </c>
      <c r="C2328" s="21">
        <v>4714781020466</v>
      </c>
      <c r="D2328" s="10" t="s">
        <v>1374</v>
      </c>
      <c r="E2328" s="9">
        <v>2</v>
      </c>
      <c r="F2328" s="9">
        <v>290</v>
      </c>
      <c r="G2328" s="8">
        <f>F2328/435</f>
        <v>0.66666666666666663</v>
      </c>
    </row>
    <row r="2329" spans="1:7" ht="16">
      <c r="A2329" s="13"/>
      <c r="B2329" s="10"/>
      <c r="C2329" s="21">
        <v>4714781020558</v>
      </c>
      <c r="D2329" s="10" t="s">
        <v>1370</v>
      </c>
      <c r="E2329" s="9">
        <v>1</v>
      </c>
      <c r="F2329" s="9">
        <v>145</v>
      </c>
      <c r="G2329" s="8">
        <f>F2329/435</f>
        <v>0.33333333333333331</v>
      </c>
    </row>
    <row r="2330" spans="1:7" ht="16">
      <c r="A2330" s="13" t="s">
        <v>2061</v>
      </c>
      <c r="B2330" s="10">
        <v>2</v>
      </c>
      <c r="C2330" s="21">
        <v>4714781020558</v>
      </c>
      <c r="D2330" s="10" t="s">
        <v>1370</v>
      </c>
      <c r="E2330" s="9">
        <v>2</v>
      </c>
      <c r="F2330" s="9">
        <v>290</v>
      </c>
      <c r="G2330" s="8">
        <f>F2330/435</f>
        <v>0.66666666666666663</v>
      </c>
    </row>
    <row r="2331" spans="1:7" ht="16">
      <c r="A2331" s="13"/>
      <c r="B2331" s="10"/>
      <c r="C2331" s="21">
        <v>4714781020466</v>
      </c>
      <c r="D2331" s="10" t="s">
        <v>1374</v>
      </c>
      <c r="E2331" s="9">
        <v>1</v>
      </c>
      <c r="F2331" s="9">
        <v>145</v>
      </c>
      <c r="G2331" s="8">
        <f>F2331/435</f>
        <v>0.33333333333333331</v>
      </c>
    </row>
    <row r="2332" spans="1:7" ht="16">
      <c r="A2332" s="13" t="s">
        <v>2060</v>
      </c>
      <c r="B2332" s="10">
        <v>2</v>
      </c>
      <c r="C2332" s="21">
        <v>4714781020558</v>
      </c>
      <c r="D2332" s="10" t="s">
        <v>1370</v>
      </c>
      <c r="E2332" s="9">
        <v>2</v>
      </c>
      <c r="F2332" s="9">
        <v>290</v>
      </c>
      <c r="G2332" s="8">
        <f>F2332/435</f>
        <v>0.66666666666666663</v>
      </c>
    </row>
    <row r="2333" spans="1:7" ht="16">
      <c r="A2333" s="13"/>
      <c r="B2333" s="10"/>
      <c r="C2333" s="21">
        <v>4714781020503</v>
      </c>
      <c r="D2333" s="10" t="s">
        <v>1372</v>
      </c>
      <c r="E2333" s="9">
        <v>1</v>
      </c>
      <c r="F2333" s="9">
        <v>145</v>
      </c>
      <c r="G2333" s="8">
        <f>F2333/435</f>
        <v>0.33333333333333331</v>
      </c>
    </row>
    <row r="2334" spans="1:7" ht="16">
      <c r="A2334" s="13" t="s">
        <v>2059</v>
      </c>
      <c r="B2334" s="10">
        <v>3</v>
      </c>
      <c r="C2334" s="6">
        <v>4714781021609</v>
      </c>
      <c r="D2334" s="12" t="s">
        <v>1454</v>
      </c>
      <c r="E2334" s="9">
        <v>1</v>
      </c>
      <c r="F2334" s="9">
        <v>126</v>
      </c>
      <c r="G2334" s="8">
        <f>F2334/380</f>
        <v>0.33157894736842103</v>
      </c>
    </row>
    <row r="2335" spans="1:7" ht="16">
      <c r="B2335" s="12"/>
      <c r="C2335" s="23">
        <v>4714781021012</v>
      </c>
      <c r="D2335" s="12" t="s">
        <v>1703</v>
      </c>
      <c r="E2335" s="9">
        <v>1</v>
      </c>
      <c r="F2335" s="9">
        <v>126</v>
      </c>
      <c r="G2335" s="8">
        <f>F2335/380</f>
        <v>0.33157894736842103</v>
      </c>
    </row>
    <row r="2336" spans="1:7" ht="16">
      <c r="B2336" s="12"/>
      <c r="C2336" s="23">
        <v>4714781021029</v>
      </c>
      <c r="D2336" s="12" t="s">
        <v>1452</v>
      </c>
      <c r="E2336" s="9">
        <v>1</v>
      </c>
      <c r="F2336" s="9">
        <v>128</v>
      </c>
      <c r="G2336" s="8">
        <f>F2336/380</f>
        <v>0.33684210526315789</v>
      </c>
    </row>
    <row r="2337" spans="1:7" ht="16">
      <c r="A2337" s="13" t="s">
        <v>2058</v>
      </c>
      <c r="B2337" s="10">
        <v>1</v>
      </c>
      <c r="C2337" s="23">
        <v>4714781021029</v>
      </c>
      <c r="D2337" s="12" t="s">
        <v>1452</v>
      </c>
      <c r="E2337" s="9">
        <v>3</v>
      </c>
      <c r="F2337" s="9">
        <v>380</v>
      </c>
      <c r="G2337" s="8">
        <f>F2337/380</f>
        <v>1</v>
      </c>
    </row>
    <row r="2338" spans="1:7" ht="16">
      <c r="A2338" s="13" t="s">
        <v>2057</v>
      </c>
      <c r="B2338" s="10">
        <v>1</v>
      </c>
      <c r="C2338" s="23">
        <v>4714781021012</v>
      </c>
      <c r="D2338" s="12" t="s">
        <v>1703</v>
      </c>
      <c r="E2338" s="9">
        <v>3</v>
      </c>
      <c r="F2338" s="9">
        <v>380</v>
      </c>
      <c r="G2338" s="8">
        <f>F2338/380</f>
        <v>1</v>
      </c>
    </row>
    <row r="2339" spans="1:7" ht="16">
      <c r="A2339" s="13" t="s">
        <v>2056</v>
      </c>
      <c r="B2339" s="10">
        <v>1</v>
      </c>
      <c r="C2339" s="6">
        <v>4714781021609</v>
      </c>
      <c r="D2339" s="12" t="s">
        <v>1454</v>
      </c>
      <c r="E2339" s="9">
        <v>3</v>
      </c>
      <c r="F2339" s="9">
        <v>380</v>
      </c>
      <c r="G2339" s="8">
        <f>F2339/380</f>
        <v>1</v>
      </c>
    </row>
    <row r="2340" spans="1:7" ht="16">
      <c r="A2340" s="13" t="s">
        <v>2055</v>
      </c>
      <c r="B2340" s="10">
        <v>6</v>
      </c>
      <c r="C2340" s="23">
        <v>4714781021029</v>
      </c>
      <c r="D2340" s="12" t="s">
        <v>1452</v>
      </c>
      <c r="E2340" s="9">
        <v>1</v>
      </c>
      <c r="F2340" s="9">
        <v>133</v>
      </c>
      <c r="G2340" s="8">
        <f>F2340/799</f>
        <v>0.16645807259073842</v>
      </c>
    </row>
    <row r="2341" spans="1:7" ht="16">
      <c r="A2341" s="13"/>
      <c r="B2341" s="10"/>
      <c r="C2341" s="23">
        <v>4714781021012</v>
      </c>
      <c r="D2341" s="12" t="s">
        <v>1703</v>
      </c>
      <c r="E2341" s="9">
        <v>1</v>
      </c>
      <c r="F2341" s="9">
        <v>133</v>
      </c>
      <c r="G2341" s="8">
        <f>F2341/799</f>
        <v>0.16645807259073842</v>
      </c>
    </row>
    <row r="2342" spans="1:7" ht="16">
      <c r="A2342" s="13"/>
      <c r="B2342" s="10"/>
      <c r="C2342" s="6">
        <v>4714781021609</v>
      </c>
      <c r="D2342" s="12" t="s">
        <v>1454</v>
      </c>
      <c r="E2342" s="9">
        <v>1</v>
      </c>
      <c r="F2342" s="9">
        <v>133</v>
      </c>
      <c r="G2342" s="8">
        <f>F2342/799</f>
        <v>0.16645807259073842</v>
      </c>
    </row>
    <row r="2343" spans="1:7" ht="16">
      <c r="A2343" s="13"/>
      <c r="B2343" s="10"/>
      <c r="C2343" s="21">
        <v>4714781020466</v>
      </c>
      <c r="D2343" s="10" t="s">
        <v>1374</v>
      </c>
      <c r="E2343" s="9">
        <v>1</v>
      </c>
      <c r="F2343" s="9">
        <v>134</v>
      </c>
      <c r="G2343" s="8">
        <f>F2343/799</f>
        <v>0.1677096370463079</v>
      </c>
    </row>
    <row r="2344" spans="1:7" ht="16">
      <c r="A2344" s="13"/>
      <c r="B2344" s="10"/>
      <c r="C2344" s="21">
        <v>4714781020503</v>
      </c>
      <c r="D2344" s="10" t="s">
        <v>1372</v>
      </c>
      <c r="E2344" s="9">
        <v>1</v>
      </c>
      <c r="F2344" s="9">
        <v>133</v>
      </c>
      <c r="G2344" s="8">
        <f>F2344/799</f>
        <v>0.16645807259073842</v>
      </c>
    </row>
    <row r="2345" spans="1:7" ht="16">
      <c r="A2345" s="13"/>
      <c r="B2345" s="10"/>
      <c r="C2345" s="21">
        <v>4714781020558</v>
      </c>
      <c r="D2345" s="10" t="s">
        <v>1370</v>
      </c>
      <c r="E2345" s="9">
        <v>1</v>
      </c>
      <c r="F2345" s="9">
        <v>133</v>
      </c>
      <c r="G2345" s="8">
        <f>F2345/799</f>
        <v>0.16645807259073842</v>
      </c>
    </row>
    <row r="2346" spans="1:7" ht="16">
      <c r="A2346" s="12" t="s">
        <v>2054</v>
      </c>
      <c r="B2346" s="10">
        <v>2</v>
      </c>
      <c r="C2346" s="23">
        <v>4714781021029</v>
      </c>
      <c r="D2346" s="12" t="s">
        <v>1452</v>
      </c>
      <c r="E2346" s="9">
        <v>3</v>
      </c>
      <c r="F2346" s="9">
        <v>399</v>
      </c>
      <c r="G2346" s="8">
        <f>F2346/799</f>
        <v>0.49937421777221525</v>
      </c>
    </row>
    <row r="2347" spans="1:7" ht="16">
      <c r="A2347" s="13"/>
      <c r="B2347" s="10"/>
      <c r="C2347" s="21">
        <v>4714781020558</v>
      </c>
      <c r="D2347" s="10" t="s">
        <v>1370</v>
      </c>
      <c r="E2347" s="9">
        <v>3</v>
      </c>
      <c r="F2347" s="9">
        <v>400</v>
      </c>
      <c r="G2347" s="8">
        <f>F2347/799</f>
        <v>0.50062578222778475</v>
      </c>
    </row>
    <row r="2348" spans="1:7" ht="16">
      <c r="A2348" s="13" t="s">
        <v>2053</v>
      </c>
      <c r="B2348" s="10">
        <v>2</v>
      </c>
      <c r="C2348" s="23">
        <v>4714781021029</v>
      </c>
      <c r="D2348" s="12" t="s">
        <v>1452</v>
      </c>
      <c r="E2348" s="9">
        <v>3</v>
      </c>
      <c r="F2348" s="9">
        <v>399</v>
      </c>
      <c r="G2348" s="8">
        <f>F2348/799</f>
        <v>0.49937421777221525</v>
      </c>
    </row>
    <row r="2349" spans="1:7" ht="16">
      <c r="A2349" s="13"/>
      <c r="B2349" s="10"/>
      <c r="C2349" s="21">
        <v>4714781020466</v>
      </c>
      <c r="D2349" s="10" t="s">
        <v>1374</v>
      </c>
      <c r="E2349" s="9">
        <v>3</v>
      </c>
      <c r="F2349" s="9">
        <v>400</v>
      </c>
      <c r="G2349" s="8">
        <f>F2349/799</f>
        <v>0.50062578222778475</v>
      </c>
    </row>
    <row r="2350" spans="1:7" ht="16">
      <c r="A2350" s="13" t="s">
        <v>2052</v>
      </c>
      <c r="B2350" s="10">
        <v>2</v>
      </c>
      <c r="C2350" s="23">
        <v>4714781021029</v>
      </c>
      <c r="D2350" s="12" t="s">
        <v>1452</v>
      </c>
      <c r="E2350" s="9">
        <v>3</v>
      </c>
      <c r="F2350" s="9">
        <v>399</v>
      </c>
      <c r="G2350" s="8">
        <f>F2350/799</f>
        <v>0.49937421777221525</v>
      </c>
    </row>
    <row r="2351" spans="1:7" ht="16">
      <c r="A2351" s="13"/>
      <c r="B2351" s="10"/>
      <c r="C2351" s="21">
        <v>4714781020503</v>
      </c>
      <c r="D2351" s="10" t="s">
        <v>1372</v>
      </c>
      <c r="E2351" s="9">
        <v>3</v>
      </c>
      <c r="F2351" s="9">
        <v>400</v>
      </c>
      <c r="G2351" s="8">
        <f>F2351/799</f>
        <v>0.50062578222778475</v>
      </c>
    </row>
    <row r="2352" spans="1:7" ht="16">
      <c r="A2352" s="13" t="s">
        <v>2051</v>
      </c>
      <c r="B2352" s="10">
        <v>2</v>
      </c>
      <c r="C2352" s="23">
        <v>4714781021012</v>
      </c>
      <c r="D2352" s="12" t="s">
        <v>1703</v>
      </c>
      <c r="E2352" s="9">
        <v>3</v>
      </c>
      <c r="F2352" s="9">
        <v>399</v>
      </c>
      <c r="G2352" s="8">
        <f>F2352/799</f>
        <v>0.49937421777221525</v>
      </c>
    </row>
    <row r="2353" spans="1:7" ht="16">
      <c r="A2353" s="13"/>
      <c r="B2353" s="10"/>
      <c r="C2353" s="21">
        <v>4714781020558</v>
      </c>
      <c r="D2353" s="10" t="s">
        <v>1370</v>
      </c>
      <c r="E2353" s="9">
        <v>3</v>
      </c>
      <c r="F2353" s="9">
        <v>400</v>
      </c>
      <c r="G2353" s="8">
        <f>F2353/799</f>
        <v>0.50062578222778475</v>
      </c>
    </row>
    <row r="2354" spans="1:7" ht="16">
      <c r="A2354" s="13" t="s">
        <v>2050</v>
      </c>
      <c r="B2354" s="10">
        <v>2</v>
      </c>
      <c r="C2354" s="23">
        <v>4714781021012</v>
      </c>
      <c r="D2354" s="12" t="s">
        <v>1703</v>
      </c>
      <c r="E2354" s="9">
        <v>3</v>
      </c>
      <c r="F2354" s="9">
        <v>399</v>
      </c>
      <c r="G2354" s="8">
        <f>F2354/799</f>
        <v>0.49937421777221525</v>
      </c>
    </row>
    <row r="2355" spans="1:7" ht="16">
      <c r="A2355" s="13"/>
      <c r="B2355" s="10"/>
      <c r="C2355" s="21">
        <v>4714781020466</v>
      </c>
      <c r="D2355" s="10" t="s">
        <v>1374</v>
      </c>
      <c r="E2355" s="9">
        <v>3</v>
      </c>
      <c r="F2355" s="9">
        <v>400</v>
      </c>
      <c r="G2355" s="8">
        <f>F2355/799</f>
        <v>0.50062578222778475</v>
      </c>
    </row>
    <row r="2356" spans="1:7" ht="16">
      <c r="A2356" s="13" t="s">
        <v>2049</v>
      </c>
      <c r="B2356" s="10">
        <v>2</v>
      </c>
      <c r="C2356" s="23">
        <v>4714781021012</v>
      </c>
      <c r="D2356" s="12" t="s">
        <v>1703</v>
      </c>
      <c r="E2356" s="9">
        <v>3</v>
      </c>
      <c r="F2356" s="9">
        <v>399</v>
      </c>
      <c r="G2356" s="8">
        <f>F2356/799</f>
        <v>0.49937421777221525</v>
      </c>
    </row>
    <row r="2357" spans="1:7" ht="16">
      <c r="A2357" s="13"/>
      <c r="B2357" s="10"/>
      <c r="C2357" s="21">
        <v>4714781020503</v>
      </c>
      <c r="D2357" s="10" t="s">
        <v>1372</v>
      </c>
      <c r="E2357" s="9">
        <v>3</v>
      </c>
      <c r="F2357" s="9">
        <v>400</v>
      </c>
      <c r="G2357" s="8">
        <f>F2357/799</f>
        <v>0.50062578222778475</v>
      </c>
    </row>
    <row r="2358" spans="1:7" ht="16">
      <c r="A2358" s="13" t="s">
        <v>2048</v>
      </c>
      <c r="B2358" s="10">
        <v>2</v>
      </c>
      <c r="C2358" s="6">
        <v>4714781021609</v>
      </c>
      <c r="D2358" s="12" t="s">
        <v>1454</v>
      </c>
      <c r="E2358" s="9">
        <v>3</v>
      </c>
      <c r="F2358" s="9">
        <v>399</v>
      </c>
      <c r="G2358" s="8">
        <f>F2358/799</f>
        <v>0.49937421777221525</v>
      </c>
    </row>
    <row r="2359" spans="1:7" ht="16">
      <c r="A2359" s="13"/>
      <c r="B2359" s="10"/>
      <c r="C2359" s="21">
        <v>4714781020558</v>
      </c>
      <c r="D2359" s="10" t="s">
        <v>1370</v>
      </c>
      <c r="E2359" s="9">
        <v>3</v>
      </c>
      <c r="F2359" s="9">
        <v>400</v>
      </c>
      <c r="G2359" s="8">
        <f>F2359/799</f>
        <v>0.50062578222778475</v>
      </c>
    </row>
    <row r="2360" spans="1:7" ht="16">
      <c r="A2360" s="13" t="s">
        <v>2047</v>
      </c>
      <c r="B2360" s="10">
        <v>2</v>
      </c>
      <c r="C2360" s="6">
        <v>4714781021609</v>
      </c>
      <c r="D2360" s="12" t="s">
        <v>1454</v>
      </c>
      <c r="E2360" s="9">
        <v>3</v>
      </c>
      <c r="F2360" s="9">
        <v>399</v>
      </c>
      <c r="G2360" s="8">
        <f>F2360/799</f>
        <v>0.49937421777221525</v>
      </c>
    </row>
    <row r="2361" spans="1:7" ht="16">
      <c r="A2361" s="13"/>
      <c r="B2361" s="10"/>
      <c r="C2361" s="21">
        <v>4714781020466</v>
      </c>
      <c r="D2361" s="10" t="s">
        <v>1374</v>
      </c>
      <c r="E2361" s="9">
        <v>3</v>
      </c>
      <c r="F2361" s="9">
        <v>400</v>
      </c>
      <c r="G2361" s="8">
        <f>F2361/799</f>
        <v>0.50062578222778475</v>
      </c>
    </row>
    <row r="2362" spans="1:7" ht="16">
      <c r="A2362" s="13" t="s">
        <v>2046</v>
      </c>
      <c r="B2362" s="10">
        <v>2</v>
      </c>
      <c r="C2362" s="6">
        <v>4714781021609</v>
      </c>
      <c r="D2362" s="12" t="s">
        <v>1454</v>
      </c>
      <c r="E2362" s="9">
        <v>3</v>
      </c>
      <c r="F2362" s="9">
        <v>399</v>
      </c>
      <c r="G2362" s="8">
        <f>F2362/799</f>
        <v>0.49937421777221525</v>
      </c>
    </row>
    <row r="2363" spans="1:7" ht="16">
      <c r="A2363" s="13"/>
      <c r="B2363" s="10"/>
      <c r="C2363" s="21">
        <v>4714781020503</v>
      </c>
      <c r="D2363" s="10" t="s">
        <v>1372</v>
      </c>
      <c r="E2363" s="9">
        <v>3</v>
      </c>
      <c r="F2363" s="9">
        <v>400</v>
      </c>
      <c r="G2363" s="8">
        <f>F2363/799</f>
        <v>0.50062578222778475</v>
      </c>
    </row>
    <row r="2364" spans="1:7" ht="16">
      <c r="A2364" s="13" t="s">
        <v>2045</v>
      </c>
      <c r="B2364" s="12">
        <v>2</v>
      </c>
      <c r="C2364" s="23">
        <v>4714781024723</v>
      </c>
      <c r="D2364" s="10" t="s">
        <v>359</v>
      </c>
      <c r="E2364" s="17">
        <v>2</v>
      </c>
      <c r="F2364" s="9">
        <v>560</v>
      </c>
      <c r="G2364" s="8">
        <f>F2364/1320</f>
        <v>0.42424242424242425</v>
      </c>
    </row>
    <row r="2365" spans="1:7" ht="16">
      <c r="A2365" s="13"/>
      <c r="B2365" s="12"/>
      <c r="C2365" s="23">
        <v>4714781020107</v>
      </c>
      <c r="D2365" s="12" t="s">
        <v>271</v>
      </c>
      <c r="E2365" s="9">
        <v>2</v>
      </c>
      <c r="F2365" s="9">
        <v>760</v>
      </c>
      <c r="G2365" s="8">
        <f>F2365/1320</f>
        <v>0.5757575757575758</v>
      </c>
    </row>
    <row r="2366" spans="1:7" ht="16">
      <c r="A2366" s="13" t="s">
        <v>2044</v>
      </c>
      <c r="B2366" s="12">
        <v>2</v>
      </c>
      <c r="C2366" s="23">
        <v>4714781024716</v>
      </c>
      <c r="D2366" s="12" t="s">
        <v>373</v>
      </c>
      <c r="E2366" s="9">
        <v>2</v>
      </c>
      <c r="F2366" s="9">
        <v>560</v>
      </c>
      <c r="G2366" s="8">
        <f>F2366/1320</f>
        <v>0.42424242424242425</v>
      </c>
    </row>
    <row r="2367" spans="1:7" ht="16">
      <c r="A2367" s="13"/>
      <c r="B2367" s="12"/>
      <c r="C2367" s="23">
        <v>4714781020107</v>
      </c>
      <c r="D2367" s="12" t="s">
        <v>271</v>
      </c>
      <c r="E2367" s="9">
        <v>2</v>
      </c>
      <c r="F2367" s="9">
        <v>760</v>
      </c>
      <c r="G2367" s="8">
        <f>F2367/1320</f>
        <v>0.5757575757575758</v>
      </c>
    </row>
    <row r="2368" spans="1:7" ht="16">
      <c r="A2368" s="13" t="s">
        <v>2043</v>
      </c>
      <c r="B2368" s="12">
        <v>2</v>
      </c>
      <c r="C2368" s="23">
        <v>4714781024730</v>
      </c>
      <c r="D2368" s="12" t="s">
        <v>264</v>
      </c>
      <c r="E2368" s="9">
        <v>2</v>
      </c>
      <c r="F2368" s="9">
        <v>560</v>
      </c>
      <c r="G2368" s="8">
        <f>F2368/1320</f>
        <v>0.42424242424242425</v>
      </c>
    </row>
    <row r="2369" spans="1:7" ht="16">
      <c r="A2369" s="13"/>
      <c r="B2369" s="12"/>
      <c r="C2369" s="23">
        <v>4714781020107</v>
      </c>
      <c r="D2369" s="12" t="s">
        <v>271</v>
      </c>
      <c r="E2369" s="9">
        <v>2</v>
      </c>
      <c r="F2369" s="9">
        <v>760</v>
      </c>
      <c r="G2369" s="8">
        <f>F2369/1320</f>
        <v>0.5757575757575758</v>
      </c>
    </row>
    <row r="2370" spans="1:7" ht="16">
      <c r="A2370" s="13" t="s">
        <v>2042</v>
      </c>
      <c r="B2370" s="12">
        <v>2</v>
      </c>
      <c r="C2370" s="23">
        <v>4714781020282</v>
      </c>
      <c r="D2370" s="12" t="s">
        <v>275</v>
      </c>
      <c r="E2370" s="9">
        <v>2</v>
      </c>
      <c r="F2370" s="9">
        <v>560</v>
      </c>
      <c r="G2370" s="8">
        <f>F2370/1320</f>
        <v>0.42424242424242425</v>
      </c>
    </row>
    <row r="2371" spans="1:7" ht="16">
      <c r="A2371" s="13"/>
      <c r="B2371" s="12"/>
      <c r="C2371" s="23">
        <v>4714781020107</v>
      </c>
      <c r="D2371" s="12" t="s">
        <v>271</v>
      </c>
      <c r="E2371" s="9">
        <v>2</v>
      </c>
      <c r="F2371" s="9">
        <v>760</v>
      </c>
      <c r="G2371" s="8">
        <f>F2371/1320</f>
        <v>0.5757575757575758</v>
      </c>
    </row>
    <row r="2372" spans="1:7" ht="16">
      <c r="A2372" s="13" t="s">
        <v>2041</v>
      </c>
      <c r="B2372" s="12">
        <v>2</v>
      </c>
      <c r="C2372" s="23">
        <v>4714781020299</v>
      </c>
      <c r="D2372" s="12" t="s">
        <v>1367</v>
      </c>
      <c r="E2372" s="9">
        <v>2</v>
      </c>
      <c r="F2372" s="9">
        <v>560</v>
      </c>
      <c r="G2372" s="8">
        <f>F2372/1320</f>
        <v>0.42424242424242425</v>
      </c>
    </row>
    <row r="2373" spans="1:7" ht="16">
      <c r="A2373" s="13"/>
      <c r="B2373" s="12"/>
      <c r="C2373" s="23">
        <v>4714781020107</v>
      </c>
      <c r="D2373" s="12" t="s">
        <v>271</v>
      </c>
      <c r="E2373" s="9">
        <v>2</v>
      </c>
      <c r="F2373" s="9">
        <v>760</v>
      </c>
      <c r="G2373" s="8">
        <f>F2373/1320</f>
        <v>0.5757575757575758</v>
      </c>
    </row>
    <row r="2374" spans="1:7" ht="16">
      <c r="A2374" s="13" t="s">
        <v>2040</v>
      </c>
      <c r="B2374" s="12">
        <v>3</v>
      </c>
      <c r="C2374" s="23">
        <v>4714781020282</v>
      </c>
      <c r="D2374" s="12" t="s">
        <v>275</v>
      </c>
      <c r="E2374" s="17">
        <v>1</v>
      </c>
      <c r="F2374" s="9">
        <v>280</v>
      </c>
      <c r="G2374" s="8">
        <f>F2374/1320</f>
        <v>0.21212121212121213</v>
      </c>
    </row>
    <row r="2375" spans="1:7" ht="16">
      <c r="A2375" s="13"/>
      <c r="B2375" s="12"/>
      <c r="C2375" s="23">
        <v>4714781020299</v>
      </c>
      <c r="D2375" s="12" t="s">
        <v>1367</v>
      </c>
      <c r="E2375" s="17">
        <v>1</v>
      </c>
      <c r="F2375" s="17">
        <v>280</v>
      </c>
      <c r="G2375" s="8">
        <f>F2375/1320</f>
        <v>0.21212121212121213</v>
      </c>
    </row>
    <row r="2376" spans="1:7" ht="16">
      <c r="A2376" s="13"/>
      <c r="B2376" s="12"/>
      <c r="C2376" s="23">
        <v>4714781020107</v>
      </c>
      <c r="D2376" s="12" t="s">
        <v>271</v>
      </c>
      <c r="E2376" s="9">
        <v>2</v>
      </c>
      <c r="F2376" s="9">
        <v>760</v>
      </c>
      <c r="G2376" s="8">
        <f>F2376/1320</f>
        <v>0.5757575757575758</v>
      </c>
    </row>
    <row r="2377" spans="1:7" ht="16">
      <c r="A2377" s="13" t="s">
        <v>2039</v>
      </c>
      <c r="B2377" s="12">
        <v>3</v>
      </c>
      <c r="C2377" s="23">
        <v>4714781020282</v>
      </c>
      <c r="D2377" s="12" t="s">
        <v>275</v>
      </c>
      <c r="E2377" s="17">
        <v>1</v>
      </c>
      <c r="F2377" s="9">
        <v>280</v>
      </c>
      <c r="G2377" s="8">
        <f>F2377/1320</f>
        <v>0.21212121212121213</v>
      </c>
    </row>
    <row r="2378" spans="1:7" ht="16">
      <c r="A2378" s="13"/>
      <c r="B2378" s="12"/>
      <c r="C2378" s="23">
        <v>4714781024723</v>
      </c>
      <c r="D2378" s="12" t="s">
        <v>359</v>
      </c>
      <c r="E2378" s="17">
        <v>1</v>
      </c>
      <c r="F2378" s="17">
        <v>280</v>
      </c>
      <c r="G2378" s="8">
        <f>F2378/1320</f>
        <v>0.21212121212121213</v>
      </c>
    </row>
    <row r="2379" spans="1:7" ht="16">
      <c r="A2379" s="13"/>
      <c r="B2379" s="12"/>
      <c r="C2379" s="23">
        <v>4714781020107</v>
      </c>
      <c r="D2379" s="12" t="s">
        <v>271</v>
      </c>
      <c r="E2379" s="9">
        <v>2</v>
      </c>
      <c r="F2379" s="9">
        <v>760</v>
      </c>
      <c r="G2379" s="8">
        <f>F2379/1320</f>
        <v>0.5757575757575758</v>
      </c>
    </row>
    <row r="2380" spans="1:7" ht="16">
      <c r="A2380" s="13" t="s">
        <v>2038</v>
      </c>
      <c r="B2380" s="12">
        <v>3</v>
      </c>
      <c r="C2380" s="23">
        <v>4714781020282</v>
      </c>
      <c r="D2380" s="12" t="s">
        <v>275</v>
      </c>
      <c r="E2380" s="17">
        <v>1</v>
      </c>
      <c r="F2380" s="9">
        <v>280</v>
      </c>
      <c r="G2380" s="8">
        <f>F2380/1320</f>
        <v>0.21212121212121213</v>
      </c>
    </row>
    <row r="2381" spans="1:7" ht="16">
      <c r="A2381" s="13"/>
      <c r="B2381" s="12"/>
      <c r="C2381" s="23">
        <v>4714781024730</v>
      </c>
      <c r="D2381" s="12" t="s">
        <v>264</v>
      </c>
      <c r="E2381" s="17">
        <v>1</v>
      </c>
      <c r="F2381" s="17">
        <v>280</v>
      </c>
      <c r="G2381" s="8">
        <f>F2381/1320</f>
        <v>0.21212121212121213</v>
      </c>
    </row>
    <row r="2382" spans="1:7" ht="16">
      <c r="A2382" s="13"/>
      <c r="B2382" s="12"/>
      <c r="C2382" s="23">
        <v>4714781020107</v>
      </c>
      <c r="D2382" s="12" t="s">
        <v>271</v>
      </c>
      <c r="E2382" s="9">
        <v>2</v>
      </c>
      <c r="F2382" s="9">
        <v>760</v>
      </c>
      <c r="G2382" s="8">
        <f>F2382/1320</f>
        <v>0.5757575757575758</v>
      </c>
    </row>
    <row r="2383" spans="1:7" ht="16">
      <c r="A2383" s="13" t="s">
        <v>2037</v>
      </c>
      <c r="B2383" s="12">
        <v>3</v>
      </c>
      <c r="C2383" s="23">
        <v>4714781020282</v>
      </c>
      <c r="D2383" s="12" t="s">
        <v>275</v>
      </c>
      <c r="E2383" s="17">
        <v>1</v>
      </c>
      <c r="F2383" s="9">
        <v>280</v>
      </c>
      <c r="G2383" s="8">
        <f>F2383/1320</f>
        <v>0.21212121212121213</v>
      </c>
    </row>
    <row r="2384" spans="1:7" ht="16">
      <c r="A2384" s="13"/>
      <c r="B2384" s="12"/>
      <c r="C2384" s="23">
        <v>4714781024716</v>
      </c>
      <c r="D2384" s="12" t="s">
        <v>373</v>
      </c>
      <c r="E2384" s="17">
        <v>1</v>
      </c>
      <c r="F2384" s="17">
        <v>280</v>
      </c>
      <c r="G2384" s="8">
        <f>F2384/1320</f>
        <v>0.21212121212121213</v>
      </c>
    </row>
    <row r="2385" spans="1:7" ht="16">
      <c r="A2385" s="13"/>
      <c r="B2385" s="12"/>
      <c r="C2385" s="23">
        <v>4714781020107</v>
      </c>
      <c r="D2385" s="12" t="s">
        <v>271</v>
      </c>
      <c r="E2385" s="9">
        <v>2</v>
      </c>
      <c r="F2385" s="9">
        <v>760</v>
      </c>
      <c r="G2385" s="8">
        <f>F2385/1320</f>
        <v>0.5757575757575758</v>
      </c>
    </row>
    <row r="2386" spans="1:7" ht="16">
      <c r="A2386" s="13" t="s">
        <v>2036</v>
      </c>
      <c r="B2386" s="12">
        <v>3</v>
      </c>
      <c r="C2386" s="23">
        <v>4714781020299</v>
      </c>
      <c r="D2386" s="12" t="s">
        <v>1367</v>
      </c>
      <c r="E2386" s="17">
        <v>1</v>
      </c>
      <c r="F2386" s="9">
        <v>280</v>
      </c>
      <c r="G2386" s="8">
        <f>F2386/1320</f>
        <v>0.21212121212121213</v>
      </c>
    </row>
    <row r="2387" spans="1:7" ht="16">
      <c r="A2387" s="13"/>
      <c r="B2387" s="12"/>
      <c r="C2387" s="23">
        <v>4714781024723</v>
      </c>
      <c r="D2387" s="12" t="s">
        <v>359</v>
      </c>
      <c r="E2387" s="17">
        <v>1</v>
      </c>
      <c r="F2387" s="17">
        <v>280</v>
      </c>
      <c r="G2387" s="8">
        <f>F2387/1320</f>
        <v>0.21212121212121213</v>
      </c>
    </row>
    <row r="2388" spans="1:7" ht="16">
      <c r="A2388" s="13"/>
      <c r="B2388" s="12"/>
      <c r="C2388" s="23">
        <v>4714781020107</v>
      </c>
      <c r="D2388" s="12" t="s">
        <v>271</v>
      </c>
      <c r="E2388" s="9">
        <v>2</v>
      </c>
      <c r="F2388" s="9">
        <v>760</v>
      </c>
      <c r="G2388" s="8">
        <f>F2388/1320</f>
        <v>0.5757575757575758</v>
      </c>
    </row>
    <row r="2389" spans="1:7" ht="16">
      <c r="A2389" s="13" t="s">
        <v>2035</v>
      </c>
      <c r="B2389" s="12">
        <v>3</v>
      </c>
      <c r="C2389" s="23">
        <v>4714781020299</v>
      </c>
      <c r="D2389" s="12" t="s">
        <v>1367</v>
      </c>
      <c r="E2389" s="17">
        <v>1</v>
      </c>
      <c r="F2389" s="9">
        <v>280</v>
      </c>
      <c r="G2389" s="8">
        <f>F2389/1320</f>
        <v>0.21212121212121213</v>
      </c>
    </row>
    <row r="2390" spans="1:7" ht="16">
      <c r="A2390" s="13"/>
      <c r="B2390" s="12"/>
      <c r="C2390" s="23">
        <v>4714781024730</v>
      </c>
      <c r="D2390" s="12" t="s">
        <v>264</v>
      </c>
      <c r="E2390" s="17">
        <v>1</v>
      </c>
      <c r="F2390" s="17">
        <v>280</v>
      </c>
      <c r="G2390" s="8">
        <f>F2390/1320</f>
        <v>0.21212121212121213</v>
      </c>
    </row>
    <row r="2391" spans="1:7" ht="16">
      <c r="A2391" s="13"/>
      <c r="B2391" s="12"/>
      <c r="C2391" s="23">
        <v>4714781020107</v>
      </c>
      <c r="D2391" s="12" t="s">
        <v>271</v>
      </c>
      <c r="E2391" s="9">
        <v>2</v>
      </c>
      <c r="F2391" s="9">
        <v>760</v>
      </c>
      <c r="G2391" s="8">
        <f>F2391/1320</f>
        <v>0.5757575757575758</v>
      </c>
    </row>
    <row r="2392" spans="1:7" ht="16">
      <c r="A2392" s="13" t="s">
        <v>2034</v>
      </c>
      <c r="B2392" s="12">
        <v>3</v>
      </c>
      <c r="C2392" s="23">
        <v>4714781020299</v>
      </c>
      <c r="D2392" s="12" t="s">
        <v>1367</v>
      </c>
      <c r="E2392" s="17">
        <v>1</v>
      </c>
      <c r="F2392" s="9">
        <v>280</v>
      </c>
      <c r="G2392" s="8">
        <f>F2392/1320</f>
        <v>0.21212121212121213</v>
      </c>
    </row>
    <row r="2393" spans="1:7" ht="16">
      <c r="A2393" s="13"/>
      <c r="B2393" s="12"/>
      <c r="C2393" s="23">
        <v>4714781024716</v>
      </c>
      <c r="D2393" s="12" t="s">
        <v>373</v>
      </c>
      <c r="E2393" s="17">
        <v>1</v>
      </c>
      <c r="F2393" s="17">
        <v>280</v>
      </c>
      <c r="G2393" s="8">
        <f>F2393/1320</f>
        <v>0.21212121212121213</v>
      </c>
    </row>
    <row r="2394" spans="1:7" ht="16">
      <c r="A2394" s="13"/>
      <c r="B2394" s="12"/>
      <c r="C2394" s="23">
        <v>4714781020107</v>
      </c>
      <c r="D2394" s="12" t="s">
        <v>271</v>
      </c>
      <c r="E2394" s="9">
        <v>2</v>
      </c>
      <c r="F2394" s="9">
        <v>760</v>
      </c>
      <c r="G2394" s="8">
        <f>F2394/1320</f>
        <v>0.5757575757575758</v>
      </c>
    </row>
    <row r="2395" spans="1:7" ht="16">
      <c r="A2395" s="13" t="s">
        <v>2033</v>
      </c>
      <c r="B2395" s="12">
        <v>3</v>
      </c>
      <c r="C2395" s="23">
        <v>4714781024723</v>
      </c>
      <c r="D2395" s="12" t="s">
        <v>359</v>
      </c>
      <c r="E2395" s="17">
        <v>1</v>
      </c>
      <c r="F2395" s="9">
        <v>280</v>
      </c>
      <c r="G2395" s="8">
        <f>F2395/1320</f>
        <v>0.21212121212121213</v>
      </c>
    </row>
    <row r="2396" spans="1:7" ht="16">
      <c r="A2396" s="13"/>
      <c r="B2396" s="12"/>
      <c r="C2396" s="23">
        <v>4714781024716</v>
      </c>
      <c r="D2396" s="12" t="s">
        <v>373</v>
      </c>
      <c r="E2396" s="17">
        <v>1</v>
      </c>
      <c r="F2396" s="17">
        <v>280</v>
      </c>
      <c r="G2396" s="8">
        <f>F2396/1320</f>
        <v>0.21212121212121213</v>
      </c>
    </row>
    <row r="2397" spans="1:7" ht="16">
      <c r="A2397" s="13"/>
      <c r="B2397" s="12"/>
      <c r="C2397" s="23">
        <v>4714781020107</v>
      </c>
      <c r="D2397" s="12" t="s">
        <v>271</v>
      </c>
      <c r="E2397" s="9">
        <v>2</v>
      </c>
      <c r="F2397" s="9">
        <v>760</v>
      </c>
      <c r="G2397" s="8">
        <f>F2397/1320</f>
        <v>0.5757575757575758</v>
      </c>
    </row>
    <row r="2398" spans="1:7" ht="16">
      <c r="A2398" s="13" t="s">
        <v>2032</v>
      </c>
      <c r="B2398" s="12">
        <v>3</v>
      </c>
      <c r="C2398" s="23">
        <v>4714781024723</v>
      </c>
      <c r="D2398" s="12" t="s">
        <v>359</v>
      </c>
      <c r="E2398" s="17">
        <v>1</v>
      </c>
      <c r="F2398" s="9">
        <v>280</v>
      </c>
      <c r="G2398" s="8">
        <f>F2398/1320</f>
        <v>0.21212121212121213</v>
      </c>
    </row>
    <row r="2399" spans="1:7" ht="16">
      <c r="A2399" s="13"/>
      <c r="B2399" s="12"/>
      <c r="C2399" s="23">
        <v>4714781024730</v>
      </c>
      <c r="D2399" s="12" t="s">
        <v>264</v>
      </c>
      <c r="E2399" s="17">
        <v>1</v>
      </c>
      <c r="F2399" s="17">
        <v>280</v>
      </c>
      <c r="G2399" s="8">
        <f>F2399/1320</f>
        <v>0.21212121212121213</v>
      </c>
    </row>
    <row r="2400" spans="1:7" ht="16">
      <c r="A2400" s="13"/>
      <c r="B2400" s="12"/>
      <c r="C2400" s="23">
        <v>4714781020107</v>
      </c>
      <c r="D2400" s="12" t="s">
        <v>271</v>
      </c>
      <c r="E2400" s="9">
        <v>2</v>
      </c>
      <c r="F2400" s="9">
        <v>760</v>
      </c>
      <c r="G2400" s="8">
        <f>F2400/1320</f>
        <v>0.5757575757575758</v>
      </c>
    </row>
    <row r="2401" spans="1:7" ht="16">
      <c r="A2401" s="13" t="s">
        <v>2031</v>
      </c>
      <c r="B2401" s="12">
        <v>3</v>
      </c>
      <c r="C2401" s="23">
        <v>4714781024716</v>
      </c>
      <c r="D2401" s="12" t="s">
        <v>373</v>
      </c>
      <c r="E2401" s="17">
        <v>1</v>
      </c>
      <c r="F2401" s="9">
        <v>280</v>
      </c>
      <c r="G2401" s="8">
        <f>F2401/1320</f>
        <v>0.21212121212121213</v>
      </c>
    </row>
    <row r="2402" spans="1:7" ht="16">
      <c r="A2402" s="13"/>
      <c r="B2402" s="12"/>
      <c r="C2402" s="23">
        <v>4714781024730</v>
      </c>
      <c r="D2402" s="12" t="s">
        <v>264</v>
      </c>
      <c r="E2402" s="17">
        <v>1</v>
      </c>
      <c r="F2402" s="17">
        <v>280</v>
      </c>
      <c r="G2402" s="8">
        <f>F2402/1320</f>
        <v>0.21212121212121213</v>
      </c>
    </row>
    <row r="2403" spans="1:7" ht="16">
      <c r="A2403" s="13"/>
      <c r="B2403" s="12"/>
      <c r="C2403" s="23">
        <v>4714781020107</v>
      </c>
      <c r="D2403" s="12" t="s">
        <v>271</v>
      </c>
      <c r="E2403" s="9">
        <v>2</v>
      </c>
      <c r="F2403" s="9">
        <v>760</v>
      </c>
      <c r="G2403" s="8">
        <f>F2403/1320</f>
        <v>0.5757575757575758</v>
      </c>
    </row>
    <row r="2404" spans="1:7" ht="16">
      <c r="A2404" s="13" t="s">
        <v>2030</v>
      </c>
      <c r="B2404" s="9">
        <v>1</v>
      </c>
      <c r="C2404" s="21">
        <v>4714781020794</v>
      </c>
      <c r="D2404" s="10" t="s">
        <v>1320</v>
      </c>
      <c r="E2404" s="9">
        <v>2</v>
      </c>
      <c r="F2404" s="9">
        <v>230</v>
      </c>
      <c r="G2404" s="8">
        <f>F2404/230</f>
        <v>1</v>
      </c>
    </row>
    <row r="2405" spans="1:7" ht="16">
      <c r="A2405" s="13" t="s">
        <v>2029</v>
      </c>
      <c r="B2405" s="9">
        <v>1</v>
      </c>
      <c r="C2405" s="21">
        <v>4714781020800</v>
      </c>
      <c r="D2405" s="10" t="s">
        <v>1319</v>
      </c>
      <c r="E2405" s="9">
        <v>2</v>
      </c>
      <c r="F2405" s="9">
        <v>230</v>
      </c>
      <c r="G2405" s="8">
        <f>F2405/230</f>
        <v>1</v>
      </c>
    </row>
    <row r="2406" spans="1:7" ht="16">
      <c r="A2406" s="13" t="s">
        <v>2028</v>
      </c>
      <c r="B2406" s="9">
        <v>1</v>
      </c>
      <c r="C2406" s="21">
        <v>4714781020817</v>
      </c>
      <c r="D2406" s="10" t="s">
        <v>1317</v>
      </c>
      <c r="E2406" s="9">
        <v>2</v>
      </c>
      <c r="F2406" s="9">
        <v>230</v>
      </c>
      <c r="G2406" s="8">
        <f>F2406/230</f>
        <v>1</v>
      </c>
    </row>
    <row r="2407" spans="1:7" ht="16">
      <c r="A2407" s="13" t="s">
        <v>2027</v>
      </c>
      <c r="B2407" s="9">
        <v>2</v>
      </c>
      <c r="C2407" s="21">
        <v>4714781020794</v>
      </c>
      <c r="D2407" s="10" t="s">
        <v>1320</v>
      </c>
      <c r="E2407" s="9">
        <v>1</v>
      </c>
      <c r="F2407" s="9">
        <v>115</v>
      </c>
      <c r="G2407" s="8">
        <f>F2407/230</f>
        <v>0.5</v>
      </c>
    </row>
    <row r="2408" spans="1:7" ht="16">
      <c r="A2408" s="13"/>
      <c r="B2408" s="10"/>
      <c r="C2408" s="21">
        <v>4714781020800</v>
      </c>
      <c r="D2408" s="10" t="s">
        <v>1319</v>
      </c>
      <c r="E2408" s="9">
        <v>1</v>
      </c>
      <c r="F2408" s="9">
        <v>115</v>
      </c>
      <c r="G2408" s="8">
        <f>F2408/230</f>
        <v>0.5</v>
      </c>
    </row>
    <row r="2409" spans="1:7" ht="16">
      <c r="A2409" s="13" t="s">
        <v>2026</v>
      </c>
      <c r="B2409" s="9">
        <v>2</v>
      </c>
      <c r="C2409" s="21">
        <v>4714781020794</v>
      </c>
      <c r="D2409" s="10" t="s">
        <v>1320</v>
      </c>
      <c r="E2409" s="9">
        <v>1</v>
      </c>
      <c r="F2409" s="9">
        <v>115</v>
      </c>
      <c r="G2409" s="8">
        <f>F2409/230</f>
        <v>0.5</v>
      </c>
    </row>
    <row r="2410" spans="1:7" ht="16">
      <c r="A2410" s="13"/>
      <c r="B2410" s="10"/>
      <c r="C2410" s="21">
        <v>4714781020817</v>
      </c>
      <c r="D2410" s="10" t="s">
        <v>1317</v>
      </c>
      <c r="E2410" s="9">
        <v>1</v>
      </c>
      <c r="F2410" s="9">
        <v>115</v>
      </c>
      <c r="G2410" s="8">
        <f>F2410/230</f>
        <v>0.5</v>
      </c>
    </row>
    <row r="2411" spans="1:7" ht="16">
      <c r="A2411" s="13" t="s">
        <v>2025</v>
      </c>
      <c r="B2411" s="9">
        <v>2</v>
      </c>
      <c r="C2411" s="21">
        <v>4714781020800</v>
      </c>
      <c r="D2411" s="10" t="s">
        <v>1319</v>
      </c>
      <c r="E2411" s="9">
        <v>1</v>
      </c>
      <c r="F2411" s="9">
        <v>115</v>
      </c>
      <c r="G2411" s="8">
        <f>F2411/230</f>
        <v>0.5</v>
      </c>
    </row>
    <row r="2412" spans="1:7" ht="16">
      <c r="A2412" s="13"/>
      <c r="B2412" s="10"/>
      <c r="C2412" s="21">
        <v>4714781020817</v>
      </c>
      <c r="D2412" s="10" t="s">
        <v>1317</v>
      </c>
      <c r="E2412" s="9">
        <v>1</v>
      </c>
      <c r="F2412" s="9">
        <v>115</v>
      </c>
      <c r="G2412" s="8">
        <f>F2412/230</f>
        <v>0.5</v>
      </c>
    </row>
    <row r="2413" spans="1:7" ht="16">
      <c r="A2413" s="13" t="s">
        <v>2024</v>
      </c>
      <c r="B2413" s="9">
        <v>1</v>
      </c>
      <c r="C2413" s="21">
        <v>4714781020770</v>
      </c>
      <c r="D2413" s="10" t="s">
        <v>1380</v>
      </c>
      <c r="E2413" s="9">
        <v>2</v>
      </c>
      <c r="F2413" s="9">
        <v>270</v>
      </c>
      <c r="G2413" s="8">
        <f>F2413/270</f>
        <v>1</v>
      </c>
    </row>
    <row r="2414" spans="1:7" ht="16">
      <c r="A2414" s="13" t="s">
        <v>2023</v>
      </c>
      <c r="B2414" s="9">
        <v>1</v>
      </c>
      <c r="C2414" s="21">
        <v>4714781020787</v>
      </c>
      <c r="D2414" s="10" t="s">
        <v>1378</v>
      </c>
      <c r="E2414" s="9">
        <v>2</v>
      </c>
      <c r="F2414" s="9">
        <v>270</v>
      </c>
      <c r="G2414" s="8">
        <f>F2414/270</f>
        <v>1</v>
      </c>
    </row>
    <row r="2415" spans="1:7" ht="16">
      <c r="A2415" s="13" t="s">
        <v>2022</v>
      </c>
      <c r="B2415" s="9">
        <v>2</v>
      </c>
      <c r="C2415" s="21">
        <v>4714781020770</v>
      </c>
      <c r="D2415" s="10" t="s">
        <v>1380</v>
      </c>
      <c r="E2415" s="9">
        <v>1</v>
      </c>
      <c r="F2415" s="9">
        <v>135</v>
      </c>
      <c r="G2415" s="8">
        <f>F2415/270</f>
        <v>0.5</v>
      </c>
    </row>
    <row r="2416" spans="1:7" ht="16">
      <c r="A2416" s="13"/>
      <c r="B2416" s="10"/>
      <c r="C2416" s="21">
        <v>4714781020787</v>
      </c>
      <c r="D2416" s="10" t="s">
        <v>1378</v>
      </c>
      <c r="E2416" s="9">
        <v>1</v>
      </c>
      <c r="F2416" s="9">
        <v>135</v>
      </c>
      <c r="G2416" s="8">
        <f>F2416/270</f>
        <v>0.5</v>
      </c>
    </row>
    <row r="2417" spans="1:7" ht="16">
      <c r="A2417" s="13" t="s">
        <v>2021</v>
      </c>
      <c r="B2417" s="9">
        <v>1</v>
      </c>
      <c r="C2417" s="21">
        <v>4714781020848</v>
      </c>
      <c r="D2417" s="10" t="s">
        <v>1382</v>
      </c>
      <c r="E2417" s="9">
        <v>2</v>
      </c>
      <c r="F2417" s="9">
        <v>650</v>
      </c>
      <c r="G2417" s="8">
        <f>F2417/650</f>
        <v>1</v>
      </c>
    </row>
    <row r="2418" spans="1:7" ht="16">
      <c r="A2418" s="13" t="s">
        <v>2020</v>
      </c>
      <c r="B2418" s="9">
        <v>1</v>
      </c>
      <c r="C2418" s="21" t="s">
        <v>1596</v>
      </c>
      <c r="D2418" s="10" t="s">
        <v>1384</v>
      </c>
      <c r="E2418" s="9">
        <v>2</v>
      </c>
      <c r="F2418" s="9">
        <v>650</v>
      </c>
      <c r="G2418" s="8">
        <f>F2418/650</f>
        <v>1</v>
      </c>
    </row>
    <row r="2419" spans="1:7" ht="16">
      <c r="A2419" s="13" t="s">
        <v>2019</v>
      </c>
      <c r="B2419" s="9">
        <v>2</v>
      </c>
      <c r="C2419" s="21">
        <v>4714781020848</v>
      </c>
      <c r="D2419" s="10" t="s">
        <v>1382</v>
      </c>
      <c r="E2419" s="9">
        <v>1</v>
      </c>
      <c r="F2419" s="9">
        <v>325</v>
      </c>
      <c r="G2419" s="8">
        <f>F2419/650</f>
        <v>0.5</v>
      </c>
    </row>
    <row r="2420" spans="1:7" ht="16">
      <c r="A2420" s="13"/>
      <c r="B2420" s="10"/>
      <c r="C2420" s="21" t="s">
        <v>1596</v>
      </c>
      <c r="D2420" s="10" t="s">
        <v>1384</v>
      </c>
      <c r="E2420" s="9">
        <v>1</v>
      </c>
      <c r="F2420" s="9">
        <v>325</v>
      </c>
      <c r="G2420" s="8">
        <f>F2420/650</f>
        <v>0.5</v>
      </c>
    </row>
    <row r="2421" spans="1:7" ht="16">
      <c r="A2421" s="13" t="s">
        <v>2018</v>
      </c>
      <c r="B2421" s="9">
        <v>1</v>
      </c>
      <c r="C2421" s="21">
        <v>4714781020824</v>
      </c>
      <c r="D2421" s="10" t="s">
        <v>1391</v>
      </c>
      <c r="E2421" s="9">
        <v>2</v>
      </c>
      <c r="F2421" s="9">
        <v>650</v>
      </c>
      <c r="G2421" s="8">
        <f>F2421/650</f>
        <v>1</v>
      </c>
    </row>
    <row r="2422" spans="1:7" ht="16">
      <c r="A2422" s="13" t="s">
        <v>2017</v>
      </c>
      <c r="B2422" s="9">
        <v>1</v>
      </c>
      <c r="C2422" s="21">
        <v>4714781020831</v>
      </c>
      <c r="D2422" s="10" t="s">
        <v>1389</v>
      </c>
      <c r="E2422" s="9">
        <v>2</v>
      </c>
      <c r="F2422" s="9">
        <v>650</v>
      </c>
      <c r="G2422" s="8">
        <f>F2422/650</f>
        <v>1</v>
      </c>
    </row>
    <row r="2423" spans="1:7" ht="16">
      <c r="A2423" s="13" t="s">
        <v>2016</v>
      </c>
      <c r="B2423" s="9">
        <v>2</v>
      </c>
      <c r="C2423" s="21">
        <v>4714781020824</v>
      </c>
      <c r="D2423" s="10" t="s">
        <v>1391</v>
      </c>
      <c r="E2423" s="9">
        <v>1</v>
      </c>
      <c r="F2423" s="9">
        <v>325</v>
      </c>
      <c r="G2423" s="8">
        <f>F2423/650</f>
        <v>0.5</v>
      </c>
    </row>
    <row r="2424" spans="1:7" ht="16">
      <c r="A2424" s="13"/>
      <c r="B2424" s="10"/>
      <c r="C2424" s="21">
        <v>4714781020831</v>
      </c>
      <c r="D2424" s="10" t="s">
        <v>1389</v>
      </c>
      <c r="E2424" s="9">
        <v>1</v>
      </c>
      <c r="F2424" s="9">
        <v>325</v>
      </c>
      <c r="G2424" s="8">
        <f>F2424/650</f>
        <v>0.5</v>
      </c>
    </row>
    <row r="2425" spans="1:7" ht="16">
      <c r="A2425" s="13" t="s">
        <v>2015</v>
      </c>
      <c r="B2425" s="9">
        <v>2</v>
      </c>
      <c r="C2425" s="21">
        <v>4714781020848</v>
      </c>
      <c r="D2425" s="10" t="s">
        <v>1382</v>
      </c>
      <c r="E2425" s="9">
        <v>1</v>
      </c>
      <c r="F2425" s="9">
        <v>325</v>
      </c>
      <c r="G2425" s="8">
        <f>F2425/650</f>
        <v>0.5</v>
      </c>
    </row>
    <row r="2426" spans="1:7" ht="16">
      <c r="A2426" s="13"/>
      <c r="B2426" s="10"/>
      <c r="C2426" s="21">
        <v>4714781020824</v>
      </c>
      <c r="D2426" s="10" t="s">
        <v>1391</v>
      </c>
      <c r="E2426" s="9">
        <v>1</v>
      </c>
      <c r="F2426" s="9">
        <v>325</v>
      </c>
      <c r="G2426" s="8">
        <f>F2426/650</f>
        <v>0.5</v>
      </c>
    </row>
    <row r="2427" spans="1:7" ht="16">
      <c r="A2427" s="13" t="s">
        <v>2014</v>
      </c>
      <c r="B2427" s="9">
        <v>2</v>
      </c>
      <c r="C2427" s="21">
        <v>4714781020848</v>
      </c>
      <c r="D2427" s="10" t="s">
        <v>1382</v>
      </c>
      <c r="E2427" s="9">
        <v>1</v>
      </c>
      <c r="F2427" s="9">
        <v>325</v>
      </c>
      <c r="G2427" s="8">
        <f>F2427/650</f>
        <v>0.5</v>
      </c>
    </row>
    <row r="2428" spans="1:7" ht="16">
      <c r="A2428" s="13"/>
      <c r="B2428" s="10"/>
      <c r="C2428" s="21">
        <v>4714781020831</v>
      </c>
      <c r="D2428" s="10" t="s">
        <v>1389</v>
      </c>
      <c r="E2428" s="9">
        <v>1</v>
      </c>
      <c r="F2428" s="9">
        <v>325</v>
      </c>
      <c r="G2428" s="8">
        <f>F2428/650</f>
        <v>0.5</v>
      </c>
    </row>
    <row r="2429" spans="1:7" ht="16">
      <c r="A2429" s="13" t="s">
        <v>2013</v>
      </c>
      <c r="B2429" s="9">
        <v>2</v>
      </c>
      <c r="C2429" s="21" t="s">
        <v>1596</v>
      </c>
      <c r="D2429" s="10" t="s">
        <v>1384</v>
      </c>
      <c r="E2429" s="9">
        <v>1</v>
      </c>
      <c r="F2429" s="9">
        <v>325</v>
      </c>
      <c r="G2429" s="8">
        <f>F2429/650</f>
        <v>0.5</v>
      </c>
    </row>
    <row r="2430" spans="1:7" ht="16">
      <c r="A2430" s="13"/>
      <c r="B2430" s="10"/>
      <c r="C2430" s="21">
        <v>4714781020824</v>
      </c>
      <c r="D2430" s="10" t="s">
        <v>1391</v>
      </c>
      <c r="E2430" s="9">
        <v>1</v>
      </c>
      <c r="F2430" s="9">
        <v>325</v>
      </c>
      <c r="G2430" s="8">
        <f>F2430/650</f>
        <v>0.5</v>
      </c>
    </row>
    <row r="2431" spans="1:7" ht="16">
      <c r="A2431" s="13" t="s">
        <v>2012</v>
      </c>
      <c r="B2431" s="9">
        <v>2</v>
      </c>
      <c r="C2431" s="21" t="s">
        <v>1596</v>
      </c>
      <c r="D2431" s="10" t="s">
        <v>1384</v>
      </c>
      <c r="E2431" s="9">
        <v>1</v>
      </c>
      <c r="F2431" s="9">
        <v>325</v>
      </c>
      <c r="G2431" s="8">
        <f>F2431/650</f>
        <v>0.5</v>
      </c>
    </row>
    <row r="2432" spans="1:7" ht="16">
      <c r="A2432" s="13"/>
      <c r="B2432" s="10"/>
      <c r="C2432" s="21">
        <v>4714781020831</v>
      </c>
      <c r="D2432" s="10" t="s">
        <v>1389</v>
      </c>
      <c r="E2432" s="9">
        <v>1</v>
      </c>
      <c r="F2432" s="9">
        <v>325</v>
      </c>
      <c r="G2432" s="8">
        <f>F2432/650</f>
        <v>0.5</v>
      </c>
    </row>
    <row r="2433" spans="1:7" ht="16">
      <c r="A2433" s="13" t="s">
        <v>2011</v>
      </c>
      <c r="B2433" s="9">
        <v>1</v>
      </c>
      <c r="C2433" s="21" t="s">
        <v>1619</v>
      </c>
      <c r="D2433" s="10" t="s">
        <v>1376</v>
      </c>
      <c r="E2433" s="9">
        <v>4</v>
      </c>
      <c r="F2433" s="9">
        <v>550</v>
      </c>
      <c r="G2433" s="8">
        <f>F2433/550</f>
        <v>1</v>
      </c>
    </row>
    <row r="2434" spans="1:7" ht="16">
      <c r="A2434" s="13" t="s">
        <v>2010</v>
      </c>
      <c r="B2434" s="9">
        <v>5</v>
      </c>
      <c r="C2434" s="21" t="s">
        <v>1585</v>
      </c>
      <c r="D2434" s="10" t="s">
        <v>1584</v>
      </c>
      <c r="E2434" s="9">
        <v>1</v>
      </c>
      <c r="F2434" s="9">
        <v>60</v>
      </c>
      <c r="G2434" s="8">
        <f>F2434/600</f>
        <v>0.1</v>
      </c>
    </row>
    <row r="2435" spans="1:7" ht="16">
      <c r="A2435" s="13"/>
      <c r="B2435" s="12"/>
      <c r="C2435" s="21" t="s">
        <v>1598</v>
      </c>
      <c r="D2435" s="10" t="s">
        <v>1382</v>
      </c>
      <c r="E2435" s="9">
        <v>1</v>
      </c>
      <c r="F2435" s="9">
        <v>300</v>
      </c>
      <c r="G2435" s="8">
        <f>F2435/600</f>
        <v>0.5</v>
      </c>
    </row>
    <row r="2436" spans="1:7" ht="16">
      <c r="A2436" s="13"/>
      <c r="B2436" s="12"/>
      <c r="C2436" s="21" t="s">
        <v>1595</v>
      </c>
      <c r="D2436" s="10" t="s">
        <v>1378</v>
      </c>
      <c r="E2436" s="9">
        <v>1</v>
      </c>
      <c r="F2436" s="9">
        <v>120</v>
      </c>
      <c r="G2436" s="8">
        <f>F2436/600</f>
        <v>0.2</v>
      </c>
    </row>
    <row r="2437" spans="1:7" ht="16">
      <c r="A2437" s="13"/>
      <c r="B2437" s="12"/>
      <c r="C2437" s="21" t="s">
        <v>1593</v>
      </c>
      <c r="D2437" s="10" t="s">
        <v>1592</v>
      </c>
      <c r="E2437" s="9">
        <v>1</v>
      </c>
      <c r="F2437" s="9">
        <v>50</v>
      </c>
      <c r="G2437" s="8">
        <f>F2437/600</f>
        <v>8.3333333333333329E-2</v>
      </c>
    </row>
    <row r="2438" spans="1:7" ht="16">
      <c r="A2438" s="13"/>
      <c r="B2438" s="12"/>
      <c r="C2438" s="21" t="s">
        <v>1583</v>
      </c>
      <c r="D2438" s="10" t="s">
        <v>1582</v>
      </c>
      <c r="E2438" s="9">
        <v>1</v>
      </c>
      <c r="F2438" s="9">
        <v>70</v>
      </c>
      <c r="G2438" s="8">
        <f>F2438/600</f>
        <v>0.11666666666666667</v>
      </c>
    </row>
    <row r="2439" spans="1:7" ht="16">
      <c r="A2439" s="13" t="s">
        <v>2009</v>
      </c>
      <c r="B2439" s="9">
        <v>5</v>
      </c>
      <c r="C2439" s="21" t="s">
        <v>1585</v>
      </c>
      <c r="D2439" s="10" t="s">
        <v>1584</v>
      </c>
      <c r="E2439" s="9">
        <v>1</v>
      </c>
      <c r="F2439" s="9">
        <v>60</v>
      </c>
      <c r="G2439" s="8">
        <f>F2439/600</f>
        <v>0.1</v>
      </c>
    </row>
    <row r="2440" spans="1:7" ht="16">
      <c r="A2440" s="13"/>
      <c r="B2440" s="12"/>
      <c r="C2440" s="21" t="s">
        <v>1596</v>
      </c>
      <c r="D2440" s="10" t="s">
        <v>1384</v>
      </c>
      <c r="E2440" s="9">
        <v>1</v>
      </c>
      <c r="F2440" s="9">
        <v>300</v>
      </c>
      <c r="G2440" s="8">
        <f>F2440/600</f>
        <v>0.5</v>
      </c>
    </row>
    <row r="2441" spans="1:7" ht="16">
      <c r="A2441" s="13"/>
      <c r="B2441" s="12"/>
      <c r="C2441" s="21" t="s">
        <v>1602</v>
      </c>
      <c r="D2441" s="10" t="s">
        <v>1380</v>
      </c>
      <c r="E2441" s="9">
        <v>1</v>
      </c>
      <c r="F2441" s="9">
        <v>120</v>
      </c>
      <c r="G2441" s="8">
        <f>F2441/600</f>
        <v>0.2</v>
      </c>
    </row>
    <row r="2442" spans="1:7" ht="16">
      <c r="A2442" s="13"/>
      <c r="B2442" s="12"/>
      <c r="C2442" s="21" t="s">
        <v>1588</v>
      </c>
      <c r="D2442" s="10" t="s">
        <v>1587</v>
      </c>
      <c r="E2442" s="9">
        <v>1</v>
      </c>
      <c r="F2442" s="9">
        <v>50</v>
      </c>
      <c r="G2442" s="8">
        <f>F2442/600</f>
        <v>8.3333333333333329E-2</v>
      </c>
    </row>
    <row r="2443" spans="1:7" ht="16">
      <c r="A2443" s="13"/>
      <c r="B2443" s="12"/>
      <c r="C2443" s="21" t="s">
        <v>1590</v>
      </c>
      <c r="D2443" s="10" t="s">
        <v>1589</v>
      </c>
      <c r="E2443" s="9">
        <v>1</v>
      </c>
      <c r="F2443" s="9">
        <v>70</v>
      </c>
      <c r="G2443" s="8">
        <f>F2443/600</f>
        <v>0.11666666666666667</v>
      </c>
    </row>
    <row r="2444" spans="1:7" ht="16">
      <c r="A2444" s="13" t="s">
        <v>2008</v>
      </c>
      <c r="B2444" s="9">
        <v>5</v>
      </c>
      <c r="C2444" s="21" t="s">
        <v>1585</v>
      </c>
      <c r="D2444" s="10" t="s">
        <v>1584</v>
      </c>
      <c r="E2444" s="9">
        <v>1</v>
      </c>
      <c r="F2444" s="9">
        <v>60</v>
      </c>
      <c r="G2444" s="8">
        <f>F2444/600</f>
        <v>0.1</v>
      </c>
    </row>
    <row r="2445" spans="1:7" ht="16">
      <c r="A2445" s="13"/>
      <c r="B2445" s="12"/>
      <c r="C2445" s="21" t="s">
        <v>1596</v>
      </c>
      <c r="D2445" s="10" t="s">
        <v>1384</v>
      </c>
      <c r="E2445" s="9">
        <v>1</v>
      </c>
      <c r="F2445" s="9">
        <v>300</v>
      </c>
      <c r="G2445" s="8">
        <f>F2445/600</f>
        <v>0.5</v>
      </c>
    </row>
    <row r="2446" spans="1:7" ht="16">
      <c r="A2446" s="13"/>
      <c r="B2446" s="12"/>
      <c r="C2446" s="21" t="s">
        <v>1595</v>
      </c>
      <c r="D2446" s="10" t="s">
        <v>1378</v>
      </c>
      <c r="E2446" s="9">
        <v>1</v>
      </c>
      <c r="F2446" s="9">
        <v>120</v>
      </c>
      <c r="G2446" s="8">
        <f>F2446/600</f>
        <v>0.2</v>
      </c>
    </row>
    <row r="2447" spans="1:7" ht="16">
      <c r="A2447" s="13"/>
      <c r="B2447" s="12"/>
      <c r="C2447" s="21" t="s">
        <v>1581</v>
      </c>
      <c r="D2447" s="10" t="s">
        <v>1580</v>
      </c>
      <c r="E2447" s="9">
        <v>1</v>
      </c>
      <c r="F2447" s="9">
        <v>50</v>
      </c>
      <c r="G2447" s="8">
        <f>F2447/600</f>
        <v>8.3333333333333329E-2</v>
      </c>
    </row>
    <row r="2448" spans="1:7" ht="16">
      <c r="A2448" s="13"/>
      <c r="B2448" s="12"/>
      <c r="C2448" s="21" t="s">
        <v>1583</v>
      </c>
      <c r="D2448" s="10" t="s">
        <v>1582</v>
      </c>
      <c r="E2448" s="9">
        <v>1</v>
      </c>
      <c r="F2448" s="9">
        <v>70</v>
      </c>
      <c r="G2448" s="8">
        <f>F2448/600</f>
        <v>0.11666666666666667</v>
      </c>
    </row>
    <row r="2449" spans="1:7" ht="16">
      <c r="A2449" s="13" t="s">
        <v>2007</v>
      </c>
      <c r="B2449" s="9">
        <v>5</v>
      </c>
      <c r="C2449" s="21" t="s">
        <v>1585</v>
      </c>
      <c r="D2449" s="10" t="s">
        <v>1584</v>
      </c>
      <c r="E2449" s="9">
        <v>1</v>
      </c>
      <c r="F2449" s="9">
        <v>60</v>
      </c>
      <c r="G2449" s="8">
        <f>F2449/600</f>
        <v>0.1</v>
      </c>
    </row>
    <row r="2450" spans="1:7" ht="16">
      <c r="A2450" s="13"/>
      <c r="B2450" s="12"/>
      <c r="C2450" s="21" t="s">
        <v>1583</v>
      </c>
      <c r="D2450" s="10" t="s">
        <v>1582</v>
      </c>
      <c r="E2450" s="9">
        <v>1</v>
      </c>
      <c r="F2450" s="9">
        <v>300</v>
      </c>
      <c r="G2450" s="8">
        <f>F2450/600</f>
        <v>0.5</v>
      </c>
    </row>
    <row r="2451" spans="1:7" ht="16">
      <c r="A2451" s="13"/>
      <c r="B2451" s="12"/>
      <c r="C2451" s="21" t="s">
        <v>1593</v>
      </c>
      <c r="D2451" s="10" t="s">
        <v>1592</v>
      </c>
      <c r="E2451" s="9">
        <v>1</v>
      </c>
      <c r="F2451" s="9">
        <v>120</v>
      </c>
      <c r="G2451" s="8">
        <f>F2451/600</f>
        <v>0.2</v>
      </c>
    </row>
    <row r="2452" spans="1:7" ht="16">
      <c r="A2452" s="13"/>
      <c r="B2452" s="12"/>
      <c r="C2452" s="21">
        <v>4714781020800</v>
      </c>
      <c r="D2452" s="10" t="s">
        <v>1319</v>
      </c>
      <c r="E2452" s="9">
        <v>1</v>
      </c>
      <c r="F2452" s="9">
        <v>50</v>
      </c>
      <c r="G2452" s="8">
        <f>F2452/600</f>
        <v>8.3333333333333329E-2</v>
      </c>
    </row>
    <row r="2453" spans="1:7" ht="16">
      <c r="A2453" s="13"/>
      <c r="B2453" s="12"/>
      <c r="C2453" s="21">
        <v>4714781020824</v>
      </c>
      <c r="D2453" s="10" t="s">
        <v>1391</v>
      </c>
      <c r="E2453" s="9">
        <v>1</v>
      </c>
      <c r="F2453" s="9">
        <v>70</v>
      </c>
      <c r="G2453" s="8">
        <f>F2453/600</f>
        <v>0.11666666666666667</v>
      </c>
    </row>
    <row r="2454" spans="1:7" ht="16">
      <c r="A2454" s="13" t="s">
        <v>2006</v>
      </c>
      <c r="B2454" s="9">
        <v>5</v>
      </c>
      <c r="C2454" s="21" t="s">
        <v>1585</v>
      </c>
      <c r="D2454" s="10" t="s">
        <v>1584</v>
      </c>
      <c r="E2454" s="9">
        <v>1</v>
      </c>
      <c r="F2454" s="9">
        <v>60</v>
      </c>
      <c r="G2454" s="8">
        <f>F2454/600</f>
        <v>0.1</v>
      </c>
    </row>
    <row r="2455" spans="1:7" ht="16">
      <c r="A2455" s="13"/>
      <c r="B2455" s="12"/>
      <c r="C2455" s="21" t="s">
        <v>1590</v>
      </c>
      <c r="D2455" s="10" t="s">
        <v>1589</v>
      </c>
      <c r="E2455" s="9">
        <v>1</v>
      </c>
      <c r="F2455" s="9">
        <v>300</v>
      </c>
      <c r="G2455" s="8">
        <f>F2455/600</f>
        <v>0.5</v>
      </c>
    </row>
    <row r="2456" spans="1:7" ht="16">
      <c r="A2456" s="13"/>
      <c r="B2456" s="12"/>
      <c r="C2456" s="21" t="s">
        <v>1588</v>
      </c>
      <c r="D2456" s="10" t="s">
        <v>1587</v>
      </c>
      <c r="E2456" s="9">
        <v>1</v>
      </c>
      <c r="F2456" s="9">
        <v>120</v>
      </c>
      <c r="G2456" s="8">
        <f>F2456/600</f>
        <v>0.2</v>
      </c>
    </row>
    <row r="2457" spans="1:7" ht="16">
      <c r="A2457" s="13"/>
      <c r="B2457" s="12"/>
      <c r="C2457" s="21">
        <v>4714781020817</v>
      </c>
      <c r="D2457" s="10" t="s">
        <v>1317</v>
      </c>
      <c r="E2457" s="9">
        <v>1</v>
      </c>
      <c r="F2457" s="9">
        <v>50</v>
      </c>
      <c r="G2457" s="8">
        <f>F2457/600</f>
        <v>8.3333333333333329E-2</v>
      </c>
    </row>
    <row r="2458" spans="1:7" ht="16">
      <c r="A2458" s="13"/>
      <c r="B2458" s="12"/>
      <c r="C2458" s="21" t="s">
        <v>1579</v>
      </c>
      <c r="D2458" s="10" t="s">
        <v>1389</v>
      </c>
      <c r="E2458" s="9">
        <v>1</v>
      </c>
      <c r="F2458" s="9">
        <v>70</v>
      </c>
      <c r="G2458" s="8">
        <f>F2458/600</f>
        <v>0.11666666666666667</v>
      </c>
    </row>
    <row r="2459" spans="1:7" ht="16">
      <c r="A2459" s="13" t="s">
        <v>2005</v>
      </c>
      <c r="B2459" s="9">
        <v>5</v>
      </c>
      <c r="C2459" s="21" t="s">
        <v>1585</v>
      </c>
      <c r="D2459" s="10" t="s">
        <v>1584</v>
      </c>
      <c r="E2459" s="9">
        <v>1</v>
      </c>
      <c r="F2459" s="9">
        <v>60</v>
      </c>
      <c r="G2459" s="8">
        <f>F2459/600</f>
        <v>0.1</v>
      </c>
    </row>
    <row r="2460" spans="1:7" ht="16">
      <c r="A2460" s="13"/>
      <c r="B2460" s="12"/>
      <c r="C2460" s="21" t="s">
        <v>1583</v>
      </c>
      <c r="D2460" s="10" t="s">
        <v>1582</v>
      </c>
      <c r="E2460" s="9">
        <v>1</v>
      </c>
      <c r="F2460" s="9">
        <v>300</v>
      </c>
      <c r="G2460" s="8">
        <f>F2460/600</f>
        <v>0.5</v>
      </c>
    </row>
    <row r="2461" spans="1:7" ht="16">
      <c r="A2461" s="13"/>
      <c r="B2461" s="12"/>
      <c r="C2461" s="21" t="s">
        <v>1581</v>
      </c>
      <c r="D2461" s="10" t="s">
        <v>1580</v>
      </c>
      <c r="E2461" s="9">
        <v>1</v>
      </c>
      <c r="F2461" s="9">
        <v>120</v>
      </c>
      <c r="G2461" s="8">
        <f>F2461/600</f>
        <v>0.2</v>
      </c>
    </row>
    <row r="2462" spans="1:7" ht="16">
      <c r="A2462" s="13"/>
      <c r="B2462" s="12"/>
      <c r="C2462" s="21">
        <v>4714781020817</v>
      </c>
      <c r="D2462" s="10" t="s">
        <v>1317</v>
      </c>
      <c r="E2462" s="9">
        <v>1</v>
      </c>
      <c r="F2462" s="9">
        <v>50</v>
      </c>
      <c r="G2462" s="8">
        <f>F2462/600</f>
        <v>8.3333333333333329E-2</v>
      </c>
    </row>
    <row r="2463" spans="1:7" ht="16">
      <c r="A2463" s="13"/>
      <c r="B2463" s="12"/>
      <c r="C2463" s="21" t="s">
        <v>1579</v>
      </c>
      <c r="D2463" s="10" t="s">
        <v>1389</v>
      </c>
      <c r="E2463" s="9">
        <v>1</v>
      </c>
      <c r="F2463" s="9">
        <v>70</v>
      </c>
      <c r="G2463" s="8">
        <f>F2463/600</f>
        <v>0.11666666666666667</v>
      </c>
    </row>
    <row r="2464" spans="1:7" ht="14.25" customHeight="1">
      <c r="A2464" s="13" t="s">
        <v>2004</v>
      </c>
      <c r="B2464" s="10">
        <v>5</v>
      </c>
      <c r="C2464" s="23">
        <v>4714781020282</v>
      </c>
      <c r="D2464" s="12" t="s">
        <v>275</v>
      </c>
      <c r="E2464" s="17">
        <v>1</v>
      </c>
      <c r="F2464" s="17">
        <v>290</v>
      </c>
      <c r="G2464" s="14">
        <v>0.2</v>
      </c>
    </row>
    <row r="2465" spans="1:7" ht="14.25" customHeight="1">
      <c r="A2465" s="13"/>
      <c r="B2465" s="12"/>
      <c r="C2465" s="23">
        <v>4714781020299</v>
      </c>
      <c r="D2465" s="12" t="s">
        <v>1367</v>
      </c>
      <c r="E2465" s="17">
        <v>1</v>
      </c>
      <c r="F2465" s="17">
        <v>290</v>
      </c>
      <c r="G2465" s="14">
        <v>0.2</v>
      </c>
    </row>
    <row r="2466" spans="1:7" ht="14.25" customHeight="1">
      <c r="A2466" s="13"/>
      <c r="B2466" s="12"/>
      <c r="C2466" s="23">
        <v>4714781024730</v>
      </c>
      <c r="D2466" s="12" t="s">
        <v>264</v>
      </c>
      <c r="E2466" s="17">
        <v>1</v>
      </c>
      <c r="F2466" s="17">
        <v>290</v>
      </c>
      <c r="G2466" s="14">
        <v>0.2</v>
      </c>
    </row>
    <row r="2467" spans="1:7" ht="14.25" customHeight="1">
      <c r="A2467" s="13"/>
      <c r="B2467" s="12"/>
      <c r="C2467" s="23">
        <v>4714781024723</v>
      </c>
      <c r="D2467" s="12" t="s">
        <v>359</v>
      </c>
      <c r="E2467" s="17">
        <v>1</v>
      </c>
      <c r="F2467" s="17">
        <v>290</v>
      </c>
      <c r="G2467" s="14">
        <v>0.2</v>
      </c>
    </row>
    <row r="2468" spans="1:7" ht="14.25" customHeight="1">
      <c r="A2468" s="13"/>
      <c r="B2468" s="12"/>
      <c r="C2468" s="23">
        <v>4714781024716</v>
      </c>
      <c r="D2468" s="12" t="s">
        <v>373</v>
      </c>
      <c r="E2468" s="17">
        <v>1</v>
      </c>
      <c r="F2468" s="17">
        <v>290</v>
      </c>
      <c r="G2468" s="14">
        <v>0.2</v>
      </c>
    </row>
    <row r="2469" spans="1:7" ht="14.25" customHeight="1">
      <c r="A2469" s="13" t="s">
        <v>2003</v>
      </c>
      <c r="B2469" s="10">
        <v>1</v>
      </c>
      <c r="C2469" s="23">
        <v>4714781020282</v>
      </c>
      <c r="D2469" s="12" t="s">
        <v>2002</v>
      </c>
      <c r="E2469" s="17">
        <v>5</v>
      </c>
      <c r="F2469" s="17">
        <v>1450</v>
      </c>
      <c r="G2469" s="14">
        <v>1</v>
      </c>
    </row>
    <row r="2470" spans="1:7" ht="14.25" customHeight="1">
      <c r="A2470" s="13" t="s">
        <v>2001</v>
      </c>
      <c r="B2470" s="10">
        <v>1</v>
      </c>
      <c r="C2470" s="23">
        <v>4714781020299</v>
      </c>
      <c r="D2470" s="12" t="s">
        <v>2000</v>
      </c>
      <c r="E2470" s="17">
        <v>5</v>
      </c>
      <c r="F2470" s="17">
        <v>1450</v>
      </c>
      <c r="G2470" s="14">
        <v>1</v>
      </c>
    </row>
    <row r="2471" spans="1:7" ht="14.25" customHeight="1">
      <c r="A2471" s="13" t="s">
        <v>1999</v>
      </c>
      <c r="B2471" s="10">
        <v>1</v>
      </c>
      <c r="C2471" s="23">
        <v>4714781024730</v>
      </c>
      <c r="D2471" s="12" t="s">
        <v>1998</v>
      </c>
      <c r="E2471" s="17">
        <v>5</v>
      </c>
      <c r="F2471" s="17">
        <v>1450</v>
      </c>
      <c r="G2471" s="14">
        <v>1</v>
      </c>
    </row>
    <row r="2472" spans="1:7" ht="14.25" customHeight="1">
      <c r="A2472" s="13" t="s">
        <v>1997</v>
      </c>
      <c r="B2472" s="10">
        <v>1</v>
      </c>
      <c r="C2472" s="23">
        <v>4714781024723</v>
      </c>
      <c r="D2472" s="12" t="s">
        <v>1996</v>
      </c>
      <c r="E2472" s="17">
        <v>5</v>
      </c>
      <c r="F2472" s="17">
        <v>1450</v>
      </c>
      <c r="G2472" s="14">
        <v>1</v>
      </c>
    </row>
    <row r="2473" spans="1:7" ht="14.25" customHeight="1">
      <c r="A2473" s="13" t="s">
        <v>1995</v>
      </c>
      <c r="B2473" s="10">
        <v>1</v>
      </c>
      <c r="C2473" s="23">
        <v>4714781024716</v>
      </c>
      <c r="D2473" s="12" t="s">
        <v>1994</v>
      </c>
      <c r="E2473" s="17">
        <v>5</v>
      </c>
      <c r="F2473" s="17">
        <v>1450</v>
      </c>
      <c r="G2473" s="14">
        <v>1</v>
      </c>
    </row>
    <row r="2474" spans="1:7" ht="14.25" customHeight="1">
      <c r="A2474" s="13" t="s">
        <v>1993</v>
      </c>
      <c r="B2474" s="10">
        <v>3</v>
      </c>
      <c r="C2474" s="21" t="s">
        <v>1645</v>
      </c>
      <c r="D2474" s="10" t="s">
        <v>373</v>
      </c>
      <c r="E2474" s="9">
        <v>1</v>
      </c>
      <c r="F2474" s="9">
        <v>250</v>
      </c>
      <c r="G2474" s="8">
        <f>F2474/680</f>
        <v>0.36764705882352944</v>
      </c>
    </row>
    <row r="2475" spans="1:7" ht="16">
      <c r="A2475" s="13"/>
      <c r="B2475" s="10"/>
      <c r="C2475" s="23">
        <v>4714781021777</v>
      </c>
      <c r="D2475" s="12" t="s">
        <v>1522</v>
      </c>
      <c r="E2475" s="9">
        <v>1</v>
      </c>
      <c r="F2475" s="9">
        <v>380</v>
      </c>
      <c r="G2475" s="8">
        <f>F2475/680</f>
        <v>0.55882352941176472</v>
      </c>
    </row>
    <row r="2476" spans="1:7" ht="16">
      <c r="A2476" s="13"/>
      <c r="B2476" s="10"/>
      <c r="C2476" s="25">
        <v>4714781021265</v>
      </c>
      <c r="D2476" s="10" t="s">
        <v>1871</v>
      </c>
      <c r="E2476" s="9">
        <v>1</v>
      </c>
      <c r="F2476" s="9">
        <v>50</v>
      </c>
      <c r="G2476" s="8">
        <f>F2476/680</f>
        <v>7.3529411764705885E-2</v>
      </c>
    </row>
    <row r="2477" spans="1:7" ht="16">
      <c r="A2477" s="13" t="s">
        <v>1992</v>
      </c>
      <c r="B2477" s="10">
        <v>3</v>
      </c>
      <c r="C2477" s="21" t="s">
        <v>1643</v>
      </c>
      <c r="D2477" s="10" t="s">
        <v>264</v>
      </c>
      <c r="E2477" s="9">
        <v>1</v>
      </c>
      <c r="F2477" s="9">
        <v>250</v>
      </c>
      <c r="G2477" s="8">
        <f>F2477/680</f>
        <v>0.36764705882352944</v>
      </c>
    </row>
    <row r="2478" spans="1:7" ht="16">
      <c r="A2478" s="13"/>
      <c r="B2478" s="10"/>
      <c r="C2478" s="23">
        <v>4714781021777</v>
      </c>
      <c r="D2478" s="12" t="s">
        <v>1522</v>
      </c>
      <c r="E2478" s="9">
        <v>1</v>
      </c>
      <c r="F2478" s="9">
        <v>380</v>
      </c>
      <c r="G2478" s="8">
        <f>F2478/680</f>
        <v>0.55882352941176472</v>
      </c>
    </row>
    <row r="2479" spans="1:7" ht="16">
      <c r="A2479" s="13"/>
      <c r="B2479" s="10"/>
      <c r="C2479" s="25">
        <v>4714781021265</v>
      </c>
      <c r="D2479" s="10" t="s">
        <v>1871</v>
      </c>
      <c r="E2479" s="9">
        <v>1</v>
      </c>
      <c r="F2479" s="9">
        <v>50</v>
      </c>
      <c r="G2479" s="8">
        <f>F2479/680</f>
        <v>7.3529411764705885E-2</v>
      </c>
    </row>
    <row r="2480" spans="1:7" ht="16">
      <c r="A2480" s="13" t="s">
        <v>1991</v>
      </c>
      <c r="B2480" s="10">
        <v>3</v>
      </c>
      <c r="C2480" s="21" t="s">
        <v>1641</v>
      </c>
      <c r="D2480" s="10" t="s">
        <v>359</v>
      </c>
      <c r="E2480" s="9">
        <v>1</v>
      </c>
      <c r="F2480" s="9">
        <v>250</v>
      </c>
      <c r="G2480" s="8">
        <f>F2480/680</f>
        <v>0.36764705882352944</v>
      </c>
    </row>
    <row r="2481" spans="1:7" ht="16">
      <c r="A2481" s="13"/>
      <c r="B2481" s="10"/>
      <c r="C2481" s="23">
        <v>4714781021777</v>
      </c>
      <c r="D2481" s="12" t="s">
        <v>1522</v>
      </c>
      <c r="E2481" s="9">
        <v>1</v>
      </c>
      <c r="F2481" s="9">
        <v>380</v>
      </c>
      <c r="G2481" s="8">
        <f>F2481/680</f>
        <v>0.55882352941176472</v>
      </c>
    </row>
    <row r="2482" spans="1:7" ht="16">
      <c r="A2482" s="13"/>
      <c r="B2482" s="10"/>
      <c r="C2482" s="25">
        <v>4714781021265</v>
      </c>
      <c r="D2482" s="10" t="s">
        <v>1871</v>
      </c>
      <c r="E2482" s="9">
        <v>1</v>
      </c>
      <c r="F2482" s="9">
        <v>50</v>
      </c>
      <c r="G2482" s="8">
        <f>F2482/680</f>
        <v>7.3529411764705885E-2</v>
      </c>
    </row>
    <row r="2483" spans="1:7" ht="16">
      <c r="A2483" s="13" t="s">
        <v>1990</v>
      </c>
      <c r="B2483" s="10">
        <v>3</v>
      </c>
      <c r="C2483" s="21">
        <v>4714781020824</v>
      </c>
      <c r="D2483" s="10" t="s">
        <v>1322</v>
      </c>
      <c r="E2483" s="9">
        <v>1</v>
      </c>
      <c r="F2483" s="9">
        <v>300</v>
      </c>
      <c r="G2483" s="8">
        <f>F2483/450</f>
        <v>0.66666666666666663</v>
      </c>
    </row>
    <row r="2484" spans="1:7" ht="16">
      <c r="A2484" s="13"/>
      <c r="B2484" s="10"/>
      <c r="C2484" s="21">
        <v>4714781020794</v>
      </c>
      <c r="D2484" s="10" t="s">
        <v>1320</v>
      </c>
      <c r="E2484" s="9">
        <v>1</v>
      </c>
      <c r="F2484" s="9">
        <v>100</v>
      </c>
      <c r="G2484" s="8">
        <f>F2484/450</f>
        <v>0.22222222222222221</v>
      </c>
    </row>
    <row r="2485" spans="1:7" ht="16">
      <c r="A2485" s="13"/>
      <c r="B2485" s="10"/>
      <c r="C2485" s="21" t="s">
        <v>1619</v>
      </c>
      <c r="D2485" s="10" t="s">
        <v>1376</v>
      </c>
      <c r="E2485" s="9">
        <v>1</v>
      </c>
      <c r="F2485" s="9">
        <v>50</v>
      </c>
      <c r="G2485" s="8">
        <f>F2485/450</f>
        <v>0.1111111111111111</v>
      </c>
    </row>
    <row r="2486" spans="1:7" ht="16">
      <c r="A2486" s="13" t="s">
        <v>1989</v>
      </c>
      <c r="B2486" s="10">
        <v>3</v>
      </c>
      <c r="C2486" s="21" t="s">
        <v>1619</v>
      </c>
      <c r="D2486" s="10" t="s">
        <v>1376</v>
      </c>
      <c r="E2486" s="9">
        <v>1</v>
      </c>
      <c r="F2486" s="9">
        <v>50</v>
      </c>
      <c r="G2486" s="8">
        <f>F2486/450</f>
        <v>0.1111111111111111</v>
      </c>
    </row>
    <row r="2487" spans="1:7" ht="16">
      <c r="A2487" s="13"/>
      <c r="B2487" s="10"/>
      <c r="C2487" s="21">
        <v>4714781020831</v>
      </c>
      <c r="D2487" s="10" t="s">
        <v>1318</v>
      </c>
      <c r="E2487" s="9">
        <v>1</v>
      </c>
      <c r="F2487" s="9">
        <v>300</v>
      </c>
      <c r="G2487" s="8">
        <f>F2487/450</f>
        <v>0.66666666666666663</v>
      </c>
    </row>
    <row r="2488" spans="1:7" ht="16">
      <c r="A2488" s="13"/>
      <c r="B2488" s="10"/>
      <c r="C2488" s="21">
        <v>4714781020794</v>
      </c>
      <c r="D2488" s="10" t="s">
        <v>1320</v>
      </c>
      <c r="E2488" s="9">
        <v>1</v>
      </c>
      <c r="F2488" s="9">
        <v>100</v>
      </c>
      <c r="G2488" s="8">
        <f>F2488/450</f>
        <v>0.22222222222222221</v>
      </c>
    </row>
    <row r="2489" spans="1:7" ht="16">
      <c r="A2489" s="13" t="s">
        <v>1988</v>
      </c>
      <c r="B2489" s="10">
        <v>3</v>
      </c>
      <c r="C2489" s="21" t="s">
        <v>1619</v>
      </c>
      <c r="D2489" s="10" t="s">
        <v>1376</v>
      </c>
      <c r="E2489" s="9">
        <v>1</v>
      </c>
      <c r="F2489" s="9">
        <v>50</v>
      </c>
      <c r="G2489" s="8">
        <f>F2489/450</f>
        <v>0.1111111111111111</v>
      </c>
    </row>
    <row r="2490" spans="1:7" ht="16">
      <c r="A2490" s="13"/>
      <c r="B2490" s="10"/>
      <c r="C2490" s="21">
        <v>4714781020824</v>
      </c>
      <c r="D2490" s="10" t="s">
        <v>1322</v>
      </c>
      <c r="E2490" s="9">
        <v>1</v>
      </c>
      <c r="F2490" s="9">
        <v>300</v>
      </c>
      <c r="G2490" s="8">
        <f>F2490/450</f>
        <v>0.66666666666666663</v>
      </c>
    </row>
    <row r="2491" spans="1:7" ht="16">
      <c r="A2491" s="13"/>
      <c r="B2491" s="10"/>
      <c r="C2491" s="21">
        <v>4714781020817</v>
      </c>
      <c r="D2491" s="10" t="s">
        <v>1317</v>
      </c>
      <c r="E2491" s="9">
        <v>1</v>
      </c>
      <c r="F2491" s="9">
        <v>100</v>
      </c>
      <c r="G2491" s="8">
        <f>F2491/450</f>
        <v>0.22222222222222221</v>
      </c>
    </row>
    <row r="2492" spans="1:7" ht="16">
      <c r="A2492" s="13" t="s">
        <v>1987</v>
      </c>
      <c r="B2492" s="10">
        <v>3</v>
      </c>
      <c r="C2492" s="21" t="s">
        <v>1619</v>
      </c>
      <c r="D2492" s="10" t="s">
        <v>1376</v>
      </c>
      <c r="E2492" s="9">
        <v>1</v>
      </c>
      <c r="F2492" s="9">
        <v>50</v>
      </c>
      <c r="G2492" s="8">
        <f>F2492/450</f>
        <v>0.1111111111111111</v>
      </c>
    </row>
    <row r="2493" spans="1:7" ht="16">
      <c r="A2493" s="13"/>
      <c r="B2493" s="10"/>
      <c r="C2493" s="21">
        <v>4714781020831</v>
      </c>
      <c r="D2493" s="10" t="s">
        <v>1318</v>
      </c>
      <c r="E2493" s="9">
        <v>1</v>
      </c>
      <c r="F2493" s="9">
        <v>300</v>
      </c>
      <c r="G2493" s="8">
        <f>F2493/450</f>
        <v>0.66666666666666663</v>
      </c>
    </row>
    <row r="2494" spans="1:7" ht="16">
      <c r="A2494" s="13"/>
      <c r="B2494" s="10"/>
      <c r="C2494" s="21">
        <v>4714781020817</v>
      </c>
      <c r="D2494" s="10" t="s">
        <v>1317</v>
      </c>
      <c r="E2494" s="9">
        <v>1</v>
      </c>
      <c r="F2494" s="9">
        <v>100</v>
      </c>
      <c r="G2494" s="8">
        <f>F2494/450</f>
        <v>0.22222222222222221</v>
      </c>
    </row>
    <row r="2495" spans="1:7" ht="16">
      <c r="A2495" s="13" t="s">
        <v>1986</v>
      </c>
      <c r="B2495" s="10">
        <v>3</v>
      </c>
      <c r="C2495" s="21" t="s">
        <v>1619</v>
      </c>
      <c r="D2495" s="10" t="s">
        <v>1376</v>
      </c>
      <c r="E2495" s="9">
        <v>1</v>
      </c>
      <c r="F2495" s="9">
        <v>50</v>
      </c>
      <c r="G2495" s="8">
        <f>F2495/450</f>
        <v>0.1111111111111111</v>
      </c>
    </row>
    <row r="2496" spans="1:7" ht="16">
      <c r="A2496" s="13"/>
      <c r="B2496" s="10"/>
      <c r="C2496" s="21">
        <v>4714781020824</v>
      </c>
      <c r="D2496" s="10" t="s">
        <v>1322</v>
      </c>
      <c r="E2496" s="9">
        <v>1</v>
      </c>
      <c r="F2496" s="9">
        <v>300</v>
      </c>
      <c r="G2496" s="8">
        <f>F2496/450</f>
        <v>0.66666666666666663</v>
      </c>
    </row>
    <row r="2497" spans="1:7" ht="16">
      <c r="A2497" s="13"/>
      <c r="B2497" s="10"/>
      <c r="C2497" s="21">
        <v>4714781020800</v>
      </c>
      <c r="D2497" s="10" t="s">
        <v>1319</v>
      </c>
      <c r="E2497" s="9">
        <v>1</v>
      </c>
      <c r="F2497" s="9">
        <v>100</v>
      </c>
      <c r="G2497" s="8">
        <f>F2497/450</f>
        <v>0.22222222222222221</v>
      </c>
    </row>
    <row r="2498" spans="1:7" ht="16">
      <c r="A2498" s="13" t="s">
        <v>1985</v>
      </c>
      <c r="B2498" s="10">
        <v>3</v>
      </c>
      <c r="C2498" s="21" t="s">
        <v>1619</v>
      </c>
      <c r="D2498" s="10" t="s">
        <v>1376</v>
      </c>
      <c r="E2498" s="9">
        <v>1</v>
      </c>
      <c r="F2498" s="9">
        <v>50</v>
      </c>
      <c r="G2498" s="8">
        <f>F2498/450</f>
        <v>0.1111111111111111</v>
      </c>
    </row>
    <row r="2499" spans="1:7" ht="16">
      <c r="A2499" s="13"/>
      <c r="B2499" s="10"/>
      <c r="C2499" s="21">
        <v>4714781020831</v>
      </c>
      <c r="D2499" s="10" t="s">
        <v>1318</v>
      </c>
      <c r="E2499" s="9">
        <v>1</v>
      </c>
      <c r="F2499" s="9">
        <v>300</v>
      </c>
      <c r="G2499" s="8">
        <f>F2499/450</f>
        <v>0.66666666666666663</v>
      </c>
    </row>
    <row r="2500" spans="1:7" ht="16">
      <c r="A2500" s="13"/>
      <c r="B2500" s="10"/>
      <c r="C2500" s="21">
        <v>4714781020800</v>
      </c>
      <c r="D2500" s="10" t="s">
        <v>1319</v>
      </c>
      <c r="E2500" s="9">
        <v>1</v>
      </c>
      <c r="F2500" s="9">
        <v>100</v>
      </c>
      <c r="G2500" s="8">
        <f>F2500/450</f>
        <v>0.22222222222222221</v>
      </c>
    </row>
    <row r="2501" spans="1:7" ht="16">
      <c r="A2501" s="13" t="s">
        <v>1984</v>
      </c>
      <c r="B2501" s="10">
        <v>3</v>
      </c>
      <c r="C2501" s="6">
        <v>4714781021609</v>
      </c>
      <c r="D2501" s="12" t="s">
        <v>1454</v>
      </c>
      <c r="E2501" s="9">
        <v>1</v>
      </c>
      <c r="F2501" s="9">
        <v>133</v>
      </c>
      <c r="G2501" s="8">
        <f>F2501/399</f>
        <v>0.33333333333333331</v>
      </c>
    </row>
    <row r="2502" spans="1:7" ht="16">
      <c r="A2502" s="13"/>
      <c r="B2502" s="10"/>
      <c r="C2502" s="23">
        <v>4714781021012</v>
      </c>
      <c r="D2502" s="12" t="s">
        <v>1703</v>
      </c>
      <c r="E2502" s="9">
        <v>1</v>
      </c>
      <c r="F2502" s="9">
        <v>133</v>
      </c>
      <c r="G2502" s="8">
        <f>F2502/399</f>
        <v>0.33333333333333331</v>
      </c>
    </row>
    <row r="2503" spans="1:7" ht="16">
      <c r="A2503" s="13"/>
      <c r="B2503" s="10"/>
      <c r="C2503" s="23">
        <v>4714781021029</v>
      </c>
      <c r="D2503" s="12" t="s">
        <v>1452</v>
      </c>
      <c r="E2503" s="9">
        <v>1</v>
      </c>
      <c r="F2503" s="9">
        <v>133</v>
      </c>
      <c r="G2503" s="8">
        <f>F2503/399</f>
        <v>0.33333333333333331</v>
      </c>
    </row>
    <row r="2504" spans="1:7" ht="16">
      <c r="A2504" s="13" t="s">
        <v>1983</v>
      </c>
      <c r="B2504" s="10">
        <v>1</v>
      </c>
      <c r="C2504" s="6">
        <v>4714781021609</v>
      </c>
      <c r="D2504" s="12" t="s">
        <v>1454</v>
      </c>
      <c r="E2504" s="9">
        <v>3</v>
      </c>
      <c r="F2504" s="9">
        <v>399</v>
      </c>
      <c r="G2504" s="8">
        <f>F2504/399</f>
        <v>1</v>
      </c>
    </row>
    <row r="2505" spans="1:7" ht="16">
      <c r="A2505" s="13" t="s">
        <v>1982</v>
      </c>
      <c r="B2505" s="10">
        <v>1</v>
      </c>
      <c r="C2505" s="23">
        <v>4714781021012</v>
      </c>
      <c r="D2505" s="12" t="s">
        <v>1703</v>
      </c>
      <c r="E2505" s="9">
        <v>3</v>
      </c>
      <c r="F2505" s="9">
        <v>399</v>
      </c>
      <c r="G2505" s="8">
        <f>F2505/399</f>
        <v>1</v>
      </c>
    </row>
    <row r="2506" spans="1:7" ht="16">
      <c r="A2506" s="13" t="s">
        <v>1981</v>
      </c>
      <c r="B2506" s="10">
        <v>1</v>
      </c>
      <c r="C2506" s="23">
        <v>4714781021029</v>
      </c>
      <c r="D2506" s="12" t="s">
        <v>1452</v>
      </c>
      <c r="E2506" s="9">
        <v>3</v>
      </c>
      <c r="F2506" s="9">
        <v>399</v>
      </c>
      <c r="G2506" s="8">
        <f>F2506/399</f>
        <v>1</v>
      </c>
    </row>
    <row r="2507" spans="1:7" ht="16">
      <c r="A2507" s="13" t="s">
        <v>1980</v>
      </c>
      <c r="B2507" s="10">
        <v>2</v>
      </c>
      <c r="C2507" s="6">
        <v>4714781021609</v>
      </c>
      <c r="D2507" s="12" t="s">
        <v>1454</v>
      </c>
      <c r="E2507" s="9">
        <v>1</v>
      </c>
      <c r="F2507" s="9">
        <v>133</v>
      </c>
      <c r="G2507" s="8">
        <f>F2507/399</f>
        <v>0.33333333333333331</v>
      </c>
    </row>
    <row r="2508" spans="1:7" ht="16">
      <c r="A2508" s="13"/>
      <c r="B2508" s="10"/>
      <c r="C2508" s="23">
        <v>4714781021012</v>
      </c>
      <c r="D2508" s="12" t="s">
        <v>1703</v>
      </c>
      <c r="E2508" s="9">
        <v>2</v>
      </c>
      <c r="F2508" s="9">
        <v>266</v>
      </c>
      <c r="G2508" s="8">
        <f>F2508/399</f>
        <v>0.66666666666666663</v>
      </c>
    </row>
    <row r="2509" spans="1:7" ht="16">
      <c r="A2509" s="13" t="s">
        <v>1979</v>
      </c>
      <c r="B2509" s="10">
        <v>2</v>
      </c>
      <c r="C2509" s="23">
        <v>4714781021012</v>
      </c>
      <c r="D2509" s="12" t="s">
        <v>1703</v>
      </c>
      <c r="E2509" s="9">
        <v>2</v>
      </c>
      <c r="F2509" s="9">
        <v>266</v>
      </c>
      <c r="G2509" s="8">
        <f>F2509/399</f>
        <v>0.66666666666666663</v>
      </c>
    </row>
    <row r="2510" spans="1:7" ht="16">
      <c r="B2510" s="10"/>
      <c r="C2510" s="23">
        <v>4714781021029</v>
      </c>
      <c r="D2510" s="12" t="s">
        <v>1452</v>
      </c>
      <c r="E2510" s="9">
        <v>1</v>
      </c>
      <c r="F2510" s="9">
        <v>133</v>
      </c>
      <c r="G2510" s="8">
        <f>F2510/399</f>
        <v>0.33333333333333331</v>
      </c>
    </row>
    <row r="2511" spans="1:7" ht="16">
      <c r="A2511" s="13" t="s">
        <v>1978</v>
      </c>
      <c r="B2511" s="10">
        <v>2</v>
      </c>
      <c r="C2511" s="6">
        <v>4714781021609</v>
      </c>
      <c r="D2511" s="12" t="s">
        <v>1454</v>
      </c>
      <c r="E2511" s="9">
        <v>2</v>
      </c>
      <c r="F2511" s="9">
        <v>266</v>
      </c>
      <c r="G2511" s="8">
        <f>F2511/399</f>
        <v>0.66666666666666663</v>
      </c>
    </row>
    <row r="2512" spans="1:7" ht="16">
      <c r="A2512" s="13"/>
      <c r="B2512" s="10"/>
      <c r="C2512" s="23">
        <v>4714781021012</v>
      </c>
      <c r="D2512" s="12" t="s">
        <v>1703</v>
      </c>
      <c r="E2512" s="9">
        <v>1</v>
      </c>
      <c r="F2512" s="9">
        <v>133</v>
      </c>
      <c r="G2512" s="8">
        <f>F2512/399</f>
        <v>0.33333333333333331</v>
      </c>
    </row>
    <row r="2513" spans="1:7" ht="16">
      <c r="A2513" s="13" t="s">
        <v>1977</v>
      </c>
      <c r="B2513" s="10">
        <v>2</v>
      </c>
      <c r="C2513" s="23">
        <v>4714781021029</v>
      </c>
      <c r="D2513" s="12" t="s">
        <v>1452</v>
      </c>
      <c r="E2513" s="9">
        <v>1</v>
      </c>
      <c r="F2513" s="9">
        <v>133</v>
      </c>
      <c r="G2513" s="8">
        <f>F2513/399</f>
        <v>0.33333333333333331</v>
      </c>
    </row>
    <row r="2514" spans="1:7" ht="16">
      <c r="A2514" s="13"/>
      <c r="B2514" s="10"/>
      <c r="C2514" s="6">
        <v>4714781021609</v>
      </c>
      <c r="D2514" s="12" t="s">
        <v>1454</v>
      </c>
      <c r="E2514" s="9">
        <v>2</v>
      </c>
      <c r="F2514" s="9">
        <v>266</v>
      </c>
      <c r="G2514" s="8">
        <f>F2514/399</f>
        <v>0.66666666666666663</v>
      </c>
    </row>
    <row r="2515" spans="1:7" ht="16">
      <c r="A2515" s="13" t="s">
        <v>1976</v>
      </c>
      <c r="B2515" s="10">
        <v>2</v>
      </c>
      <c r="C2515" s="23">
        <v>4714781021012</v>
      </c>
      <c r="D2515" s="12" t="s">
        <v>1703</v>
      </c>
      <c r="E2515" s="9">
        <v>1</v>
      </c>
      <c r="F2515" s="9">
        <v>133</v>
      </c>
      <c r="G2515" s="8">
        <f>F2515/399</f>
        <v>0.33333333333333331</v>
      </c>
    </row>
    <row r="2516" spans="1:7" ht="16">
      <c r="A2516" s="13"/>
      <c r="B2516" s="10"/>
      <c r="C2516" s="23">
        <v>4714781021029</v>
      </c>
      <c r="D2516" s="12" t="s">
        <v>1452</v>
      </c>
      <c r="E2516" s="9">
        <v>2</v>
      </c>
      <c r="F2516" s="9">
        <v>266</v>
      </c>
      <c r="G2516" s="8">
        <f>F2516/399</f>
        <v>0.66666666666666663</v>
      </c>
    </row>
    <row r="2517" spans="1:7" ht="16">
      <c r="A2517" s="13" t="s">
        <v>1975</v>
      </c>
      <c r="B2517" s="10">
        <v>2</v>
      </c>
      <c r="C2517" s="23">
        <v>4714781021029</v>
      </c>
      <c r="D2517" s="12" t="s">
        <v>1452</v>
      </c>
      <c r="E2517" s="9">
        <v>2</v>
      </c>
      <c r="F2517" s="9">
        <v>266</v>
      </c>
      <c r="G2517" s="8">
        <f>F2517/399</f>
        <v>0.66666666666666663</v>
      </c>
    </row>
    <row r="2518" spans="1:7" ht="16">
      <c r="A2518" s="13"/>
      <c r="B2518" s="10"/>
      <c r="C2518" s="6">
        <v>4714781021609</v>
      </c>
      <c r="D2518" s="12" t="s">
        <v>1454</v>
      </c>
      <c r="E2518" s="9">
        <v>1</v>
      </c>
      <c r="F2518" s="9">
        <v>133</v>
      </c>
      <c r="G2518" s="8">
        <f>F2518/399</f>
        <v>0.33333333333333331</v>
      </c>
    </row>
    <row r="2519" spans="1:7" ht="16">
      <c r="A2519" s="13" t="s">
        <v>1974</v>
      </c>
      <c r="B2519" s="10">
        <v>2</v>
      </c>
      <c r="C2519" s="21" t="s">
        <v>1484</v>
      </c>
      <c r="D2519" s="10" t="s">
        <v>1483</v>
      </c>
      <c r="E2519" s="9">
        <v>1</v>
      </c>
      <c r="F2519" s="9">
        <v>300</v>
      </c>
      <c r="G2519" s="8">
        <f>F2519/470</f>
        <v>0.63829787234042556</v>
      </c>
    </row>
    <row r="2520" spans="1:7" ht="16">
      <c r="A2520" s="13"/>
      <c r="B2520" s="10"/>
      <c r="C2520" s="21" t="s">
        <v>1493</v>
      </c>
      <c r="D2520" s="10" t="s">
        <v>1492</v>
      </c>
      <c r="E2520" s="9">
        <v>1</v>
      </c>
      <c r="F2520" s="9">
        <v>120</v>
      </c>
      <c r="G2520" s="8">
        <f>F2520/470</f>
        <v>0.25531914893617019</v>
      </c>
    </row>
    <row r="2521" spans="1:7" ht="16">
      <c r="A2521" s="13"/>
      <c r="B2521" s="10"/>
      <c r="C2521" s="21" t="s">
        <v>1619</v>
      </c>
      <c r="D2521" s="10" t="s">
        <v>1376</v>
      </c>
      <c r="E2521" s="9">
        <v>1</v>
      </c>
      <c r="F2521" s="9">
        <v>50</v>
      </c>
      <c r="G2521" s="8">
        <f>F2521/470</f>
        <v>0.10638297872340426</v>
      </c>
    </row>
    <row r="2522" spans="1:7" ht="16">
      <c r="A2522" s="13" t="s">
        <v>1973</v>
      </c>
      <c r="B2522" s="10">
        <v>3</v>
      </c>
      <c r="C2522" s="21" t="s">
        <v>1486</v>
      </c>
      <c r="D2522" s="10" t="s">
        <v>1485</v>
      </c>
      <c r="E2522" s="9">
        <v>1</v>
      </c>
      <c r="F2522" s="9">
        <v>300</v>
      </c>
      <c r="G2522" s="8">
        <f>F2522/470</f>
        <v>0.63829787234042556</v>
      </c>
    </row>
    <row r="2523" spans="1:7" ht="16">
      <c r="A2523" s="13"/>
      <c r="B2523" s="10"/>
      <c r="C2523" s="21" t="s">
        <v>1493</v>
      </c>
      <c r="D2523" s="10" t="s">
        <v>1492</v>
      </c>
      <c r="E2523" s="9">
        <v>1</v>
      </c>
      <c r="F2523" s="9">
        <v>120</v>
      </c>
      <c r="G2523" s="8">
        <f>F2523/470</f>
        <v>0.25531914893617019</v>
      </c>
    </row>
    <row r="2524" spans="1:7" ht="16">
      <c r="A2524" s="13"/>
      <c r="B2524" s="10"/>
      <c r="C2524" s="21" t="s">
        <v>1619</v>
      </c>
      <c r="D2524" s="10" t="s">
        <v>1376</v>
      </c>
      <c r="E2524" s="9">
        <v>1</v>
      </c>
      <c r="F2524" s="9">
        <v>50</v>
      </c>
      <c r="G2524" s="8">
        <f>F2524/470</f>
        <v>0.10638297872340426</v>
      </c>
    </row>
    <row r="2525" spans="1:7" ht="16">
      <c r="A2525" s="13" t="s">
        <v>1972</v>
      </c>
      <c r="B2525" s="10">
        <v>3</v>
      </c>
      <c r="C2525" s="21" t="s">
        <v>1484</v>
      </c>
      <c r="D2525" s="10" t="s">
        <v>1483</v>
      </c>
      <c r="E2525" s="9">
        <v>1</v>
      </c>
      <c r="F2525" s="9">
        <v>300</v>
      </c>
      <c r="G2525" s="8">
        <f>F2525/470</f>
        <v>0.63829787234042556</v>
      </c>
    </row>
    <row r="2526" spans="1:7" ht="16">
      <c r="A2526" s="13"/>
      <c r="B2526" s="10"/>
      <c r="C2526" s="21" t="s">
        <v>1491</v>
      </c>
      <c r="D2526" s="10" t="s">
        <v>1490</v>
      </c>
      <c r="E2526" s="9">
        <v>1</v>
      </c>
      <c r="F2526" s="9">
        <v>120</v>
      </c>
      <c r="G2526" s="8">
        <f>F2526/470</f>
        <v>0.25531914893617019</v>
      </c>
    </row>
    <row r="2527" spans="1:7" ht="16">
      <c r="A2527" s="13"/>
      <c r="B2527" s="10"/>
      <c r="C2527" s="21" t="s">
        <v>1619</v>
      </c>
      <c r="D2527" s="10" t="s">
        <v>1376</v>
      </c>
      <c r="E2527" s="9">
        <v>1</v>
      </c>
      <c r="F2527" s="9">
        <v>50</v>
      </c>
      <c r="G2527" s="8">
        <f>F2527/470</f>
        <v>0.10638297872340426</v>
      </c>
    </row>
    <row r="2528" spans="1:7" ht="16">
      <c r="A2528" s="13" t="s">
        <v>1971</v>
      </c>
      <c r="B2528" s="10">
        <v>3</v>
      </c>
      <c r="C2528" s="21" t="s">
        <v>1486</v>
      </c>
      <c r="D2528" s="10" t="s">
        <v>1485</v>
      </c>
      <c r="E2528" s="9">
        <v>1</v>
      </c>
      <c r="F2528" s="9">
        <v>300</v>
      </c>
      <c r="G2528" s="8">
        <f>F2528/470</f>
        <v>0.63829787234042556</v>
      </c>
    </row>
    <row r="2529" spans="1:7" ht="16">
      <c r="A2529" s="13"/>
      <c r="B2529" s="10"/>
      <c r="C2529" s="21" t="s">
        <v>1491</v>
      </c>
      <c r="D2529" s="10" t="s">
        <v>1490</v>
      </c>
      <c r="E2529" s="9">
        <v>1</v>
      </c>
      <c r="F2529" s="9">
        <v>120</v>
      </c>
      <c r="G2529" s="8">
        <f>F2529/470</f>
        <v>0.25531914893617019</v>
      </c>
    </row>
    <row r="2530" spans="1:7" ht="16">
      <c r="A2530" s="13"/>
      <c r="B2530" s="10"/>
      <c r="C2530" s="21" t="s">
        <v>1619</v>
      </c>
      <c r="D2530" s="10" t="s">
        <v>1376</v>
      </c>
      <c r="E2530" s="9">
        <v>1</v>
      </c>
      <c r="F2530" s="9">
        <v>50</v>
      </c>
      <c r="G2530" s="8">
        <f>F2530/470</f>
        <v>0.10638297872340426</v>
      </c>
    </row>
    <row r="2531" spans="1:7" ht="16">
      <c r="A2531" s="13" t="s">
        <v>1970</v>
      </c>
      <c r="B2531" s="10">
        <v>1</v>
      </c>
      <c r="C2531" s="23" t="s">
        <v>1969</v>
      </c>
      <c r="D2531" s="12" t="s">
        <v>1968</v>
      </c>
      <c r="E2531" s="9">
        <v>1</v>
      </c>
      <c r="F2531" s="9">
        <v>200</v>
      </c>
      <c r="G2531" s="8">
        <f>F2531/200</f>
        <v>1</v>
      </c>
    </row>
    <row r="2532" spans="1:7" ht="16">
      <c r="A2532" s="13" t="s">
        <v>1967</v>
      </c>
      <c r="B2532" s="10">
        <v>1</v>
      </c>
      <c r="C2532" s="23">
        <v>4714781021333</v>
      </c>
      <c r="D2532" s="12" t="s">
        <v>1966</v>
      </c>
      <c r="E2532" s="9">
        <v>1</v>
      </c>
      <c r="F2532" s="9">
        <v>200</v>
      </c>
      <c r="G2532" s="8">
        <f>F2532/200</f>
        <v>1</v>
      </c>
    </row>
    <row r="2533" spans="1:7" ht="16">
      <c r="A2533" s="13" t="s">
        <v>1965</v>
      </c>
      <c r="B2533" s="10">
        <v>1</v>
      </c>
      <c r="C2533" s="23" t="s">
        <v>1964</v>
      </c>
      <c r="D2533" s="12" t="s">
        <v>1963</v>
      </c>
      <c r="E2533" s="9">
        <v>1</v>
      </c>
      <c r="F2533" s="9">
        <v>200</v>
      </c>
      <c r="G2533" s="8">
        <f>F2533/200</f>
        <v>1</v>
      </c>
    </row>
    <row r="2534" spans="1:7" ht="16">
      <c r="A2534" s="13" t="s">
        <v>1962</v>
      </c>
      <c r="B2534" s="10">
        <v>1</v>
      </c>
      <c r="C2534" s="21" t="s">
        <v>1645</v>
      </c>
      <c r="D2534" s="10" t="s">
        <v>373</v>
      </c>
      <c r="E2534" s="9">
        <v>1</v>
      </c>
      <c r="F2534" s="9">
        <v>290</v>
      </c>
      <c r="G2534" s="8">
        <f>F2534/290</f>
        <v>1</v>
      </c>
    </row>
    <row r="2535" spans="1:7" ht="16">
      <c r="A2535" s="12" t="s">
        <v>1961</v>
      </c>
      <c r="B2535" s="10">
        <v>1</v>
      </c>
      <c r="C2535" s="23" t="s">
        <v>1641</v>
      </c>
      <c r="D2535" s="12" t="s">
        <v>359</v>
      </c>
      <c r="E2535" s="9">
        <v>1</v>
      </c>
      <c r="F2535" s="9">
        <v>290</v>
      </c>
      <c r="G2535" s="8">
        <f>F2535/290</f>
        <v>1</v>
      </c>
    </row>
    <row r="2536" spans="1:7" ht="16">
      <c r="A2536" s="13" t="s">
        <v>1960</v>
      </c>
      <c r="B2536" s="10">
        <v>1</v>
      </c>
      <c r="C2536" s="21" t="s">
        <v>1643</v>
      </c>
      <c r="D2536" s="10" t="s">
        <v>264</v>
      </c>
      <c r="E2536" s="9">
        <v>1</v>
      </c>
      <c r="F2536" s="9">
        <v>290</v>
      </c>
      <c r="G2536" s="8">
        <f>F2536/290</f>
        <v>1</v>
      </c>
    </row>
    <row r="2537" spans="1:7" ht="16">
      <c r="A2537" s="13" t="s">
        <v>1959</v>
      </c>
      <c r="B2537" s="10">
        <v>1</v>
      </c>
      <c r="C2537" s="23">
        <v>4714781021777</v>
      </c>
      <c r="D2537" s="12" t="s">
        <v>1522</v>
      </c>
      <c r="E2537" s="9">
        <v>1</v>
      </c>
      <c r="F2537" s="9">
        <v>390</v>
      </c>
      <c r="G2537" s="8">
        <f>F2537/390</f>
        <v>1</v>
      </c>
    </row>
    <row r="2538" spans="1:7" ht="16">
      <c r="A2538" s="13" t="s">
        <v>1958</v>
      </c>
      <c r="B2538" s="10">
        <v>1</v>
      </c>
      <c r="C2538" s="21" t="s">
        <v>1708</v>
      </c>
      <c r="D2538" s="10" t="s">
        <v>1374</v>
      </c>
      <c r="E2538" s="9">
        <v>1</v>
      </c>
      <c r="F2538" s="9">
        <v>168</v>
      </c>
      <c r="G2538" s="8">
        <f>F2538/168</f>
        <v>1</v>
      </c>
    </row>
    <row r="2539" spans="1:7" ht="16">
      <c r="A2539" s="13" t="s">
        <v>1957</v>
      </c>
      <c r="B2539" s="10">
        <v>1</v>
      </c>
      <c r="C2539" s="21" t="s">
        <v>1702</v>
      </c>
      <c r="D2539" s="10" t="s">
        <v>1370</v>
      </c>
      <c r="E2539" s="9">
        <v>1</v>
      </c>
      <c r="F2539" s="9">
        <v>168</v>
      </c>
      <c r="G2539" s="8">
        <f>F2539/168</f>
        <v>1</v>
      </c>
    </row>
    <row r="2540" spans="1:7" ht="16">
      <c r="A2540" s="13" t="s">
        <v>1956</v>
      </c>
      <c r="B2540" s="10">
        <v>1</v>
      </c>
      <c r="C2540" s="21" t="s">
        <v>1706</v>
      </c>
      <c r="D2540" s="10" t="s">
        <v>1372</v>
      </c>
      <c r="E2540" s="9">
        <v>1</v>
      </c>
      <c r="F2540" s="9">
        <v>168</v>
      </c>
      <c r="G2540" s="8">
        <f>F2540/168</f>
        <v>1</v>
      </c>
    </row>
    <row r="2541" spans="1:7" ht="16">
      <c r="A2541" s="13" t="s">
        <v>1955</v>
      </c>
      <c r="B2541" s="10">
        <v>1</v>
      </c>
      <c r="C2541" s="21" t="s">
        <v>1708</v>
      </c>
      <c r="D2541" s="10" t="s">
        <v>1374</v>
      </c>
      <c r="E2541" s="9">
        <v>2</v>
      </c>
      <c r="F2541" s="9">
        <v>300</v>
      </c>
      <c r="G2541" s="8">
        <f>F2541/300</f>
        <v>1</v>
      </c>
    </row>
    <row r="2542" spans="1:7" ht="16">
      <c r="A2542" s="13" t="s">
        <v>1954</v>
      </c>
      <c r="B2542" s="10">
        <v>1</v>
      </c>
      <c r="C2542" s="21" t="s">
        <v>1702</v>
      </c>
      <c r="D2542" s="10" t="s">
        <v>1370</v>
      </c>
      <c r="E2542" s="9">
        <v>2</v>
      </c>
      <c r="F2542" s="9">
        <v>300</v>
      </c>
      <c r="G2542" s="8">
        <f>F2542/300</f>
        <v>1</v>
      </c>
    </row>
    <row r="2543" spans="1:7" ht="16">
      <c r="A2543" s="13" t="s">
        <v>1953</v>
      </c>
      <c r="B2543" s="10">
        <v>1</v>
      </c>
      <c r="C2543" s="21" t="s">
        <v>1706</v>
      </c>
      <c r="D2543" s="10" t="s">
        <v>1372</v>
      </c>
      <c r="E2543" s="9">
        <v>2</v>
      </c>
      <c r="F2543" s="9">
        <v>300</v>
      </c>
      <c r="G2543" s="8">
        <f>F2543/300</f>
        <v>1</v>
      </c>
    </row>
    <row r="2544" spans="1:7" ht="16">
      <c r="A2544" s="13" t="s">
        <v>1952</v>
      </c>
      <c r="B2544" s="10">
        <v>2</v>
      </c>
      <c r="C2544" s="21" t="s">
        <v>1708</v>
      </c>
      <c r="D2544" s="10" t="s">
        <v>1374</v>
      </c>
      <c r="E2544" s="9">
        <v>1</v>
      </c>
      <c r="F2544" s="9">
        <v>150</v>
      </c>
      <c r="G2544" s="8">
        <f>F2544/300</f>
        <v>0.5</v>
      </c>
    </row>
    <row r="2545" spans="1:7" ht="16">
      <c r="A2545" s="13"/>
      <c r="B2545" s="10"/>
      <c r="C2545" s="21" t="s">
        <v>1702</v>
      </c>
      <c r="D2545" s="10" t="s">
        <v>1370</v>
      </c>
      <c r="E2545" s="9">
        <v>1</v>
      </c>
      <c r="F2545" s="9">
        <v>150</v>
      </c>
      <c r="G2545" s="8">
        <f>F2545/300</f>
        <v>0.5</v>
      </c>
    </row>
    <row r="2546" spans="1:7" ht="16">
      <c r="A2546" s="13" t="s">
        <v>1951</v>
      </c>
      <c r="B2546" s="10">
        <v>2</v>
      </c>
      <c r="C2546" s="21" t="s">
        <v>1706</v>
      </c>
      <c r="D2546" s="10" t="s">
        <v>1372</v>
      </c>
      <c r="E2546" s="9">
        <v>1</v>
      </c>
      <c r="F2546" s="9">
        <v>150</v>
      </c>
      <c r="G2546" s="8">
        <f>F2546/300</f>
        <v>0.5</v>
      </c>
    </row>
    <row r="2547" spans="1:7" ht="16">
      <c r="A2547" s="13"/>
      <c r="B2547" s="10"/>
      <c r="C2547" s="21" t="s">
        <v>1708</v>
      </c>
      <c r="D2547" s="10" t="s">
        <v>1374</v>
      </c>
      <c r="E2547" s="9">
        <v>1</v>
      </c>
      <c r="F2547" s="9">
        <v>150</v>
      </c>
      <c r="G2547" s="8">
        <f>F2547/300</f>
        <v>0.5</v>
      </c>
    </row>
    <row r="2548" spans="1:7" ht="16">
      <c r="A2548" s="13" t="s">
        <v>1950</v>
      </c>
      <c r="B2548" s="10">
        <v>2</v>
      </c>
      <c r="C2548" s="21" t="s">
        <v>1702</v>
      </c>
      <c r="D2548" s="10" t="s">
        <v>1370</v>
      </c>
      <c r="E2548" s="9">
        <v>1</v>
      </c>
      <c r="F2548" s="9">
        <v>150</v>
      </c>
      <c r="G2548" s="8">
        <f>F2548/300</f>
        <v>0.5</v>
      </c>
    </row>
    <row r="2549" spans="1:7" ht="16">
      <c r="A2549" s="13"/>
      <c r="B2549" s="10"/>
      <c r="C2549" s="21" t="s">
        <v>1706</v>
      </c>
      <c r="D2549" s="10" t="s">
        <v>1372</v>
      </c>
      <c r="E2549" s="9">
        <v>1</v>
      </c>
      <c r="F2549" s="9">
        <v>150</v>
      </c>
      <c r="G2549" s="8">
        <f>F2549/300</f>
        <v>0.5</v>
      </c>
    </row>
    <row r="2550" spans="1:7" ht="16">
      <c r="A2550" s="13" t="s">
        <v>1949</v>
      </c>
      <c r="B2550" s="10">
        <v>1</v>
      </c>
      <c r="C2550" s="21" t="s">
        <v>1948</v>
      </c>
      <c r="D2550" s="10" t="s">
        <v>1947</v>
      </c>
      <c r="E2550" s="9">
        <v>1</v>
      </c>
      <c r="F2550" s="9">
        <v>290</v>
      </c>
      <c r="G2550" s="8">
        <f>F2550/290</f>
        <v>1</v>
      </c>
    </row>
    <row r="2551" spans="1:7" ht="16">
      <c r="A2551" s="13" t="s">
        <v>1946</v>
      </c>
      <c r="B2551" s="10">
        <v>1</v>
      </c>
      <c r="C2551" s="21" t="s">
        <v>1945</v>
      </c>
      <c r="D2551" s="10" t="s">
        <v>1320</v>
      </c>
      <c r="E2551" s="9">
        <v>1</v>
      </c>
      <c r="F2551" s="9">
        <v>120</v>
      </c>
      <c r="G2551" s="8">
        <f>F2551/120</f>
        <v>1</v>
      </c>
    </row>
    <row r="2552" spans="1:7" ht="16">
      <c r="A2552" s="13" t="s">
        <v>1944</v>
      </c>
      <c r="B2552" s="10">
        <v>1</v>
      </c>
      <c r="C2552" s="21" t="s">
        <v>1943</v>
      </c>
      <c r="D2552" s="10" t="s">
        <v>1319</v>
      </c>
      <c r="E2552" s="9">
        <v>1</v>
      </c>
      <c r="F2552" s="9">
        <v>120</v>
      </c>
      <c r="G2552" s="8">
        <f>F2552/120</f>
        <v>1</v>
      </c>
    </row>
    <row r="2553" spans="1:7" ht="16">
      <c r="A2553" s="13" t="s">
        <v>1942</v>
      </c>
      <c r="B2553" s="10">
        <v>1</v>
      </c>
      <c r="C2553" s="21" t="s">
        <v>1941</v>
      </c>
      <c r="D2553" s="10" t="s">
        <v>1317</v>
      </c>
      <c r="E2553" s="9">
        <v>1</v>
      </c>
      <c r="F2553" s="9">
        <v>120</v>
      </c>
      <c r="G2553" s="8">
        <f>F2553/120</f>
        <v>1</v>
      </c>
    </row>
    <row r="2554" spans="1:7" ht="16">
      <c r="A2554" s="13" t="s">
        <v>1940</v>
      </c>
      <c r="B2554" s="10">
        <v>1</v>
      </c>
      <c r="C2554" s="21" t="s">
        <v>1595</v>
      </c>
      <c r="D2554" s="10" t="s">
        <v>1380</v>
      </c>
      <c r="E2554" s="9">
        <v>1</v>
      </c>
      <c r="F2554" s="9">
        <v>140</v>
      </c>
      <c r="G2554" s="8">
        <f>F2554/140</f>
        <v>1</v>
      </c>
    </row>
    <row r="2555" spans="1:7" ht="16">
      <c r="A2555" s="13" t="s">
        <v>1939</v>
      </c>
      <c r="B2555" s="10">
        <v>1</v>
      </c>
      <c r="C2555" s="21" t="s">
        <v>1602</v>
      </c>
      <c r="D2555" s="10" t="s">
        <v>1378</v>
      </c>
      <c r="E2555" s="9">
        <v>1</v>
      </c>
      <c r="F2555" s="9">
        <v>140</v>
      </c>
      <c r="G2555" s="8">
        <f>F2555/140</f>
        <v>1</v>
      </c>
    </row>
    <row r="2556" spans="1:7" ht="16">
      <c r="A2556" s="13" t="s">
        <v>1938</v>
      </c>
      <c r="B2556" s="10">
        <v>1</v>
      </c>
      <c r="C2556" s="21">
        <v>4714781020824</v>
      </c>
      <c r="D2556" s="10" t="s">
        <v>1391</v>
      </c>
      <c r="E2556" s="9">
        <v>1</v>
      </c>
      <c r="F2556" s="9">
        <v>330</v>
      </c>
      <c r="G2556" s="8">
        <f>F2556/330</f>
        <v>1</v>
      </c>
    </row>
    <row r="2557" spans="1:7" ht="16">
      <c r="A2557" s="13" t="s">
        <v>1937</v>
      </c>
      <c r="B2557" s="10">
        <v>1</v>
      </c>
      <c r="C2557" s="21">
        <v>4714781020831</v>
      </c>
      <c r="D2557" s="10" t="s">
        <v>1389</v>
      </c>
      <c r="E2557" s="9">
        <v>1</v>
      </c>
      <c r="F2557" s="9">
        <v>330</v>
      </c>
      <c r="G2557" s="8">
        <f>F2557/330</f>
        <v>1</v>
      </c>
    </row>
    <row r="2558" spans="1:7" ht="16">
      <c r="A2558" s="13" t="s">
        <v>1936</v>
      </c>
      <c r="B2558" s="10">
        <v>1</v>
      </c>
      <c r="C2558" s="21" t="s">
        <v>1598</v>
      </c>
      <c r="D2558" s="10" t="s">
        <v>1382</v>
      </c>
      <c r="E2558" s="9">
        <v>1</v>
      </c>
      <c r="F2558" s="9">
        <v>330</v>
      </c>
      <c r="G2558" s="8">
        <f>F2558/330</f>
        <v>1</v>
      </c>
    </row>
    <row r="2559" spans="1:7" ht="16">
      <c r="A2559" s="13" t="s">
        <v>1935</v>
      </c>
      <c r="B2559" s="10">
        <v>1</v>
      </c>
      <c r="C2559" s="21" t="s">
        <v>1596</v>
      </c>
      <c r="D2559" s="10" t="s">
        <v>1384</v>
      </c>
      <c r="E2559" s="9">
        <v>1</v>
      </c>
      <c r="F2559" s="9">
        <v>330</v>
      </c>
      <c r="G2559" s="8">
        <f>F2559/330</f>
        <v>1</v>
      </c>
    </row>
    <row r="2560" spans="1:7" ht="16">
      <c r="A2560" s="13" t="s">
        <v>1934</v>
      </c>
      <c r="B2560" s="10">
        <v>1</v>
      </c>
      <c r="C2560" s="21" t="s">
        <v>1619</v>
      </c>
      <c r="D2560" s="10" t="s">
        <v>1376</v>
      </c>
      <c r="E2560" s="9">
        <v>1</v>
      </c>
      <c r="F2560" s="9">
        <v>140</v>
      </c>
      <c r="G2560" s="8">
        <f>F2560/140</f>
        <v>1</v>
      </c>
    </row>
    <row r="2561" spans="1:7" ht="16">
      <c r="A2561" s="13" t="s">
        <v>1933</v>
      </c>
      <c r="B2561" s="10">
        <v>1</v>
      </c>
      <c r="C2561" s="21">
        <v>4714781021012</v>
      </c>
      <c r="D2561" s="10" t="s">
        <v>1703</v>
      </c>
      <c r="E2561" s="9">
        <v>1</v>
      </c>
      <c r="F2561" s="9">
        <v>140</v>
      </c>
      <c r="G2561" s="8">
        <f>F2561/140</f>
        <v>1</v>
      </c>
    </row>
    <row r="2562" spans="1:7" ht="16">
      <c r="A2562" s="13" t="s">
        <v>1932</v>
      </c>
      <c r="B2562" s="10">
        <v>1</v>
      </c>
      <c r="C2562" s="21">
        <v>4714781021029</v>
      </c>
      <c r="D2562" s="10" t="s">
        <v>1452</v>
      </c>
      <c r="E2562" s="9">
        <v>1</v>
      </c>
      <c r="F2562" s="9">
        <v>140</v>
      </c>
      <c r="G2562" s="8">
        <f>F2562/140</f>
        <v>1</v>
      </c>
    </row>
    <row r="2563" spans="1:7" ht="16">
      <c r="A2563" s="13" t="s">
        <v>1931</v>
      </c>
      <c r="B2563" s="10">
        <v>1</v>
      </c>
      <c r="C2563" s="6">
        <v>4714781021609</v>
      </c>
      <c r="D2563" s="12" t="s">
        <v>1454</v>
      </c>
      <c r="E2563" s="9">
        <v>1</v>
      </c>
      <c r="F2563" s="9">
        <v>140</v>
      </c>
      <c r="G2563" s="8">
        <f>F2563/140</f>
        <v>1</v>
      </c>
    </row>
    <row r="2564" spans="1:7" ht="16">
      <c r="A2564" s="13" t="s">
        <v>1930</v>
      </c>
      <c r="B2564" s="10">
        <v>1</v>
      </c>
      <c r="C2564" s="21">
        <v>4714781021012</v>
      </c>
      <c r="D2564" s="10" t="s">
        <v>1703</v>
      </c>
      <c r="E2564" s="9">
        <v>2</v>
      </c>
      <c r="F2564" s="9">
        <v>268</v>
      </c>
      <c r="G2564" s="8">
        <f>F2564/268</f>
        <v>1</v>
      </c>
    </row>
    <row r="2565" spans="1:7" ht="16">
      <c r="A2565" s="13" t="s">
        <v>1929</v>
      </c>
      <c r="B2565" s="10">
        <v>1</v>
      </c>
      <c r="C2565" s="21">
        <v>4714781021029</v>
      </c>
      <c r="D2565" s="10" t="s">
        <v>1452</v>
      </c>
      <c r="E2565" s="9">
        <v>2</v>
      </c>
      <c r="F2565" s="9">
        <v>268</v>
      </c>
      <c r="G2565" s="8">
        <f>F2565/268</f>
        <v>1</v>
      </c>
    </row>
    <row r="2566" spans="1:7" ht="16">
      <c r="A2566" s="13" t="s">
        <v>1928</v>
      </c>
      <c r="B2566" s="10">
        <v>1</v>
      </c>
      <c r="C2566" s="6">
        <v>4714781021609</v>
      </c>
      <c r="D2566" s="12" t="s">
        <v>1454</v>
      </c>
      <c r="E2566" s="9">
        <v>2</v>
      </c>
      <c r="F2566" s="9">
        <v>268</v>
      </c>
      <c r="G2566" s="8">
        <f>F2566/268</f>
        <v>1</v>
      </c>
    </row>
    <row r="2567" spans="1:7" ht="16">
      <c r="A2567" s="13" t="s">
        <v>1927</v>
      </c>
      <c r="B2567" s="10">
        <v>2</v>
      </c>
      <c r="C2567" s="21">
        <v>4714781021012</v>
      </c>
      <c r="D2567" s="10" t="s">
        <v>1703</v>
      </c>
      <c r="E2567" s="9">
        <v>1</v>
      </c>
      <c r="F2567" s="9">
        <v>134</v>
      </c>
      <c r="G2567" s="8">
        <f>F2567/268</f>
        <v>0.5</v>
      </c>
    </row>
    <row r="2568" spans="1:7" ht="16">
      <c r="A2568" s="13"/>
      <c r="B2568" s="10"/>
      <c r="C2568" s="21">
        <v>4714781021029</v>
      </c>
      <c r="D2568" s="10" t="s">
        <v>1452</v>
      </c>
      <c r="E2568" s="9">
        <v>1</v>
      </c>
      <c r="F2568" s="9">
        <v>134</v>
      </c>
      <c r="G2568" s="8">
        <f>F2568/268</f>
        <v>0.5</v>
      </c>
    </row>
    <row r="2569" spans="1:7" ht="16">
      <c r="A2569" s="13" t="s">
        <v>1926</v>
      </c>
      <c r="B2569" s="10">
        <v>2</v>
      </c>
      <c r="C2569" s="21">
        <v>4714781021012</v>
      </c>
      <c r="D2569" s="10" t="s">
        <v>1703</v>
      </c>
      <c r="E2569" s="9">
        <v>1</v>
      </c>
      <c r="F2569" s="9">
        <v>134</v>
      </c>
      <c r="G2569" s="8">
        <f>F2569/268</f>
        <v>0.5</v>
      </c>
    </row>
    <row r="2570" spans="1:7" ht="16">
      <c r="A2570" s="13"/>
      <c r="B2570" s="10"/>
      <c r="C2570" s="6">
        <v>4714781021609</v>
      </c>
      <c r="D2570" s="12" t="s">
        <v>1454</v>
      </c>
      <c r="E2570" s="9">
        <v>1</v>
      </c>
      <c r="F2570" s="9">
        <v>134</v>
      </c>
      <c r="G2570" s="8">
        <f>F2570/268</f>
        <v>0.5</v>
      </c>
    </row>
    <row r="2571" spans="1:7" ht="16">
      <c r="A2571" s="13" t="s">
        <v>1925</v>
      </c>
      <c r="B2571" s="10">
        <v>2</v>
      </c>
      <c r="C2571" s="21">
        <v>4714781021029</v>
      </c>
      <c r="D2571" s="10" t="s">
        <v>1452</v>
      </c>
      <c r="E2571" s="9">
        <v>1</v>
      </c>
      <c r="F2571" s="9">
        <v>134</v>
      </c>
      <c r="G2571" s="8">
        <f>F2571/268</f>
        <v>0.5</v>
      </c>
    </row>
    <row r="2572" spans="1:7" ht="16">
      <c r="A2572" s="13"/>
      <c r="B2572" s="10"/>
      <c r="C2572" s="6">
        <v>4714781021609</v>
      </c>
      <c r="D2572" s="12" t="s">
        <v>1454</v>
      </c>
      <c r="E2572" s="9">
        <v>1</v>
      </c>
      <c r="F2572" s="9">
        <v>134</v>
      </c>
      <c r="G2572" s="8">
        <f>F2572/268</f>
        <v>0.5</v>
      </c>
    </row>
    <row r="2573" spans="1:7" ht="16">
      <c r="A2573" s="13" t="s">
        <v>1924</v>
      </c>
      <c r="B2573" s="10">
        <v>1</v>
      </c>
      <c r="C2573" s="21" t="s">
        <v>1916</v>
      </c>
      <c r="D2573" s="10" t="s">
        <v>1915</v>
      </c>
      <c r="E2573" s="9">
        <v>1</v>
      </c>
      <c r="F2573" s="9">
        <v>65</v>
      </c>
      <c r="G2573" s="8">
        <f>F2573/65</f>
        <v>1</v>
      </c>
    </row>
    <row r="2574" spans="1:7" ht="16">
      <c r="A2574" s="13" t="s">
        <v>1923</v>
      </c>
      <c r="B2574" s="10">
        <v>1</v>
      </c>
      <c r="C2574" s="21" t="s">
        <v>1913</v>
      </c>
      <c r="D2574" s="10" t="s">
        <v>1912</v>
      </c>
      <c r="E2574" s="9">
        <v>1</v>
      </c>
      <c r="F2574" s="9">
        <v>65</v>
      </c>
      <c r="G2574" s="8">
        <f>F2574/65</f>
        <v>1</v>
      </c>
    </row>
    <row r="2575" spans="1:7" ht="16">
      <c r="A2575" s="13" t="s">
        <v>1922</v>
      </c>
      <c r="B2575" s="10">
        <v>1</v>
      </c>
      <c r="C2575" s="21" t="s">
        <v>1911</v>
      </c>
      <c r="D2575" s="10" t="s">
        <v>1910</v>
      </c>
      <c r="E2575" s="9">
        <v>1</v>
      </c>
      <c r="F2575" s="9">
        <v>65</v>
      </c>
      <c r="G2575" s="8">
        <f>F2575/65</f>
        <v>1</v>
      </c>
    </row>
    <row r="2576" spans="1:7" ht="16">
      <c r="A2576" s="13" t="s">
        <v>1921</v>
      </c>
      <c r="B2576" s="10">
        <v>1</v>
      </c>
      <c r="C2576" s="21" t="s">
        <v>1916</v>
      </c>
      <c r="D2576" s="10" t="s">
        <v>1915</v>
      </c>
      <c r="E2576" s="9">
        <v>2</v>
      </c>
      <c r="F2576" s="9">
        <v>119</v>
      </c>
      <c r="G2576" s="8">
        <f>F2576/119</f>
        <v>1</v>
      </c>
    </row>
    <row r="2577" spans="1:7" ht="16">
      <c r="A2577" s="13" t="s">
        <v>1920</v>
      </c>
      <c r="B2577" s="10">
        <v>1</v>
      </c>
      <c r="C2577" s="21" t="s">
        <v>1913</v>
      </c>
      <c r="D2577" s="10" t="s">
        <v>1912</v>
      </c>
      <c r="E2577" s="9">
        <v>2</v>
      </c>
      <c r="F2577" s="9">
        <v>119</v>
      </c>
      <c r="G2577" s="8">
        <f>F2577/119</f>
        <v>1</v>
      </c>
    </row>
    <row r="2578" spans="1:7" ht="16">
      <c r="A2578" s="13" t="s">
        <v>1919</v>
      </c>
      <c r="B2578" s="10">
        <v>1</v>
      </c>
      <c r="C2578" s="21" t="s">
        <v>1911</v>
      </c>
      <c r="D2578" s="10" t="s">
        <v>1910</v>
      </c>
      <c r="E2578" s="9">
        <v>2</v>
      </c>
      <c r="F2578" s="9">
        <v>119</v>
      </c>
      <c r="G2578" s="8">
        <f>F2578/119</f>
        <v>1</v>
      </c>
    </row>
    <row r="2579" spans="1:7" ht="16">
      <c r="A2579" s="13" t="s">
        <v>1918</v>
      </c>
      <c r="B2579" s="10">
        <v>2</v>
      </c>
      <c r="C2579" s="21" t="s">
        <v>1916</v>
      </c>
      <c r="D2579" s="10" t="s">
        <v>1915</v>
      </c>
      <c r="E2579" s="9">
        <v>1</v>
      </c>
      <c r="F2579" s="9">
        <v>59</v>
      </c>
      <c r="G2579" s="8">
        <f>F2579/119</f>
        <v>0.49579831932773111</v>
      </c>
    </row>
    <row r="2580" spans="1:7" ht="16">
      <c r="A2580" s="13"/>
      <c r="B2580" s="10"/>
      <c r="C2580" s="21" t="s">
        <v>1913</v>
      </c>
      <c r="D2580" s="10" t="s">
        <v>1912</v>
      </c>
      <c r="E2580" s="9">
        <v>1</v>
      </c>
      <c r="F2580" s="9">
        <v>60</v>
      </c>
      <c r="G2580" s="8">
        <f>F2580/119</f>
        <v>0.50420168067226889</v>
      </c>
    </row>
    <row r="2581" spans="1:7" ht="16">
      <c r="A2581" s="13" t="s">
        <v>1917</v>
      </c>
      <c r="B2581" s="10">
        <v>2</v>
      </c>
      <c r="C2581" s="21" t="s">
        <v>1916</v>
      </c>
      <c r="D2581" s="10" t="s">
        <v>1915</v>
      </c>
      <c r="E2581" s="9">
        <v>1</v>
      </c>
      <c r="F2581" s="9">
        <v>59</v>
      </c>
      <c r="G2581" s="8">
        <f>F2581/119</f>
        <v>0.49579831932773111</v>
      </c>
    </row>
    <row r="2582" spans="1:7" ht="16">
      <c r="A2582" s="13"/>
      <c r="B2582" s="10"/>
      <c r="C2582" s="21" t="s">
        <v>1911</v>
      </c>
      <c r="D2582" s="10" t="s">
        <v>1910</v>
      </c>
      <c r="E2582" s="9">
        <v>1</v>
      </c>
      <c r="F2582" s="9">
        <v>60</v>
      </c>
      <c r="G2582" s="8">
        <f>F2582/119</f>
        <v>0.50420168067226889</v>
      </c>
    </row>
    <row r="2583" spans="1:7" ht="16">
      <c r="A2583" s="13" t="s">
        <v>1914</v>
      </c>
      <c r="B2583" s="10">
        <v>2</v>
      </c>
      <c r="C2583" s="21" t="s">
        <v>1913</v>
      </c>
      <c r="D2583" s="10" t="s">
        <v>1912</v>
      </c>
      <c r="E2583" s="9">
        <v>1</v>
      </c>
      <c r="F2583" s="9">
        <v>59</v>
      </c>
      <c r="G2583" s="8">
        <f>F2583/119</f>
        <v>0.49579831932773111</v>
      </c>
    </row>
    <row r="2584" spans="1:7" ht="16">
      <c r="A2584" s="13"/>
      <c r="B2584" s="10"/>
      <c r="C2584" s="21" t="s">
        <v>1911</v>
      </c>
      <c r="D2584" s="10" t="s">
        <v>1910</v>
      </c>
      <c r="E2584" s="9">
        <v>1</v>
      </c>
      <c r="F2584" s="9">
        <v>60</v>
      </c>
      <c r="G2584" s="8">
        <f>F2584/119</f>
        <v>0.50420168067226889</v>
      </c>
    </row>
    <row r="2585" spans="1:7" ht="16">
      <c r="A2585" s="13" t="s">
        <v>1909</v>
      </c>
      <c r="B2585" s="10">
        <v>1</v>
      </c>
      <c r="C2585" s="21" t="s">
        <v>1908</v>
      </c>
      <c r="D2585" s="10" t="s">
        <v>1907</v>
      </c>
      <c r="E2585" s="9">
        <v>1</v>
      </c>
      <c r="F2585" s="9">
        <v>380</v>
      </c>
      <c r="G2585" s="8">
        <f>F2585/380</f>
        <v>1</v>
      </c>
    </row>
    <row r="2586" spans="1:7" ht="16">
      <c r="A2586" s="13" t="s">
        <v>1906</v>
      </c>
      <c r="B2586" s="10">
        <v>1</v>
      </c>
      <c r="C2586" s="21" t="s">
        <v>1905</v>
      </c>
      <c r="D2586" s="10" t="s">
        <v>1904</v>
      </c>
      <c r="E2586" s="9">
        <v>1</v>
      </c>
      <c r="F2586" s="9">
        <v>520</v>
      </c>
      <c r="G2586" s="8">
        <f>F2586/520</f>
        <v>1</v>
      </c>
    </row>
    <row r="2587" spans="1:7" ht="16">
      <c r="A2587" s="13" t="s">
        <v>1903</v>
      </c>
      <c r="B2587" s="10">
        <v>1</v>
      </c>
      <c r="C2587" s="21" t="s">
        <v>1902</v>
      </c>
      <c r="D2587" s="10" t="s">
        <v>1901</v>
      </c>
      <c r="E2587" s="9">
        <v>1</v>
      </c>
      <c r="F2587" s="9">
        <v>99</v>
      </c>
      <c r="G2587" s="8">
        <f>F2587/99</f>
        <v>1</v>
      </c>
    </row>
    <row r="2588" spans="1:7" ht="16">
      <c r="A2588" s="13" t="s">
        <v>1900</v>
      </c>
      <c r="B2588" s="10">
        <v>1</v>
      </c>
      <c r="C2588" s="21" t="s">
        <v>1899</v>
      </c>
      <c r="D2588" s="10" t="s">
        <v>1362</v>
      </c>
      <c r="E2588" s="9">
        <v>1</v>
      </c>
      <c r="F2588" s="9">
        <v>150</v>
      </c>
      <c r="G2588" s="8">
        <f>F2588/150</f>
        <v>1</v>
      </c>
    </row>
    <row r="2589" spans="1:7" ht="16">
      <c r="A2589" s="12" t="s">
        <v>1898</v>
      </c>
      <c r="B2589" s="10">
        <v>1</v>
      </c>
      <c r="C2589" s="21">
        <v>4714781021050</v>
      </c>
      <c r="D2589" s="10" t="s">
        <v>1358</v>
      </c>
      <c r="E2589" s="9">
        <v>1</v>
      </c>
      <c r="F2589" s="9">
        <v>80</v>
      </c>
      <c r="G2589" s="8">
        <f>F2589/80</f>
        <v>1</v>
      </c>
    </row>
    <row r="2590" spans="1:7" ht="16">
      <c r="A2590" s="13" t="s">
        <v>1897</v>
      </c>
      <c r="B2590" s="10">
        <v>1</v>
      </c>
      <c r="C2590" s="21" t="s">
        <v>1896</v>
      </c>
      <c r="D2590" s="10" t="s">
        <v>1360</v>
      </c>
      <c r="E2590" s="9">
        <v>1</v>
      </c>
      <c r="F2590" s="9">
        <v>99</v>
      </c>
      <c r="G2590" s="8">
        <f>F2590/99</f>
        <v>1</v>
      </c>
    </row>
    <row r="2591" spans="1:7" ht="16">
      <c r="A2591" s="13" t="s">
        <v>1895</v>
      </c>
      <c r="B2591" s="10">
        <v>1</v>
      </c>
      <c r="C2591" s="21" t="s">
        <v>1581</v>
      </c>
      <c r="D2591" s="10" t="s">
        <v>1580</v>
      </c>
      <c r="E2591" s="9">
        <v>1</v>
      </c>
      <c r="F2591" s="9">
        <v>1</v>
      </c>
      <c r="G2591" s="8">
        <f>F2591/1</f>
        <v>1</v>
      </c>
    </row>
    <row r="2592" spans="1:7" ht="16">
      <c r="A2592" s="13" t="s">
        <v>1894</v>
      </c>
      <c r="B2592" s="10">
        <v>1</v>
      </c>
      <c r="C2592" s="21">
        <v>4714781020961</v>
      </c>
      <c r="D2592" s="24" t="s">
        <v>1592</v>
      </c>
      <c r="E2592" s="9">
        <v>1</v>
      </c>
      <c r="F2592" s="9">
        <v>1</v>
      </c>
      <c r="G2592" s="8">
        <f>F2592/1</f>
        <v>1</v>
      </c>
    </row>
    <row r="2593" spans="1:7" ht="16">
      <c r="A2593" s="13" t="s">
        <v>1893</v>
      </c>
      <c r="B2593" s="10">
        <v>1</v>
      </c>
      <c r="C2593" s="21">
        <v>4714781020985</v>
      </c>
      <c r="D2593" s="24" t="s">
        <v>1587</v>
      </c>
      <c r="E2593" s="9">
        <v>1</v>
      </c>
      <c r="F2593" s="9">
        <v>1</v>
      </c>
      <c r="G2593" s="8">
        <f>F2593/1</f>
        <v>1</v>
      </c>
    </row>
    <row r="2594" spans="1:7" ht="16">
      <c r="A2594" s="13" t="s">
        <v>1892</v>
      </c>
      <c r="B2594" s="10">
        <v>1</v>
      </c>
      <c r="C2594" s="21" t="s">
        <v>1885</v>
      </c>
      <c r="D2594" s="10" t="s">
        <v>1884</v>
      </c>
      <c r="E2594" s="9">
        <v>1</v>
      </c>
      <c r="F2594" s="9">
        <v>1</v>
      </c>
      <c r="G2594" s="8">
        <f>F2594/1</f>
        <v>1</v>
      </c>
    </row>
    <row r="2595" spans="1:7" ht="16">
      <c r="A2595" s="13" t="s">
        <v>1891</v>
      </c>
      <c r="B2595" s="10">
        <v>1</v>
      </c>
      <c r="C2595" s="21" t="s">
        <v>1882</v>
      </c>
      <c r="D2595" s="10" t="s">
        <v>1881</v>
      </c>
      <c r="E2595" s="9">
        <v>1</v>
      </c>
      <c r="F2595" s="9">
        <v>1</v>
      </c>
      <c r="G2595" s="8">
        <f>F2595/1</f>
        <v>1</v>
      </c>
    </row>
    <row r="2596" spans="1:7" ht="16">
      <c r="A2596" s="13" t="s">
        <v>1890</v>
      </c>
      <c r="B2596" s="10">
        <v>1</v>
      </c>
      <c r="C2596" s="21" t="s">
        <v>1879</v>
      </c>
      <c r="D2596" s="10" t="s">
        <v>1878</v>
      </c>
      <c r="E2596" s="9">
        <v>1</v>
      </c>
      <c r="F2596" s="9">
        <v>1</v>
      </c>
      <c r="G2596" s="8">
        <f>F2596/1</f>
        <v>1</v>
      </c>
    </row>
    <row r="2597" spans="1:7" ht="16">
      <c r="A2597" s="13" t="s">
        <v>1889</v>
      </c>
      <c r="B2597" s="10">
        <v>1</v>
      </c>
      <c r="C2597" s="21" t="s">
        <v>1888</v>
      </c>
      <c r="D2597" s="10" t="s">
        <v>1887</v>
      </c>
      <c r="E2597" s="9">
        <v>5</v>
      </c>
      <c r="F2597" s="9">
        <v>1</v>
      </c>
      <c r="G2597" s="8">
        <f>F2597/1</f>
        <v>1</v>
      </c>
    </row>
    <row r="2598" spans="1:7" ht="16">
      <c r="A2598" s="13" t="s">
        <v>1886</v>
      </c>
      <c r="B2598" s="10">
        <v>1</v>
      </c>
      <c r="C2598" s="21" t="s">
        <v>1885</v>
      </c>
      <c r="D2598" s="10" t="s">
        <v>1884</v>
      </c>
      <c r="E2598" s="9">
        <v>1</v>
      </c>
      <c r="F2598" s="9">
        <v>1</v>
      </c>
      <c r="G2598" s="8">
        <f>F2598/1</f>
        <v>1</v>
      </c>
    </row>
    <row r="2599" spans="1:7" ht="16">
      <c r="A2599" s="13" t="s">
        <v>1883</v>
      </c>
      <c r="B2599" s="10">
        <v>1</v>
      </c>
      <c r="C2599" s="21" t="s">
        <v>1882</v>
      </c>
      <c r="D2599" s="10" t="s">
        <v>1881</v>
      </c>
      <c r="E2599" s="9">
        <v>1</v>
      </c>
      <c r="F2599" s="9">
        <v>1</v>
      </c>
      <c r="G2599" s="8">
        <f>F2599/1</f>
        <v>1</v>
      </c>
    </row>
    <row r="2600" spans="1:7" ht="16">
      <c r="A2600" s="13" t="s">
        <v>1880</v>
      </c>
      <c r="B2600" s="10">
        <v>1</v>
      </c>
      <c r="C2600" s="21" t="s">
        <v>1879</v>
      </c>
      <c r="D2600" s="10" t="s">
        <v>1878</v>
      </c>
      <c r="E2600" s="9">
        <v>1</v>
      </c>
      <c r="F2600" s="9">
        <v>1</v>
      </c>
      <c r="G2600" s="8">
        <f>F2600/1</f>
        <v>1</v>
      </c>
    </row>
    <row r="2601" spans="1:7" ht="16">
      <c r="A2601" s="13" t="s">
        <v>1877</v>
      </c>
      <c r="B2601" s="10">
        <v>3</v>
      </c>
      <c r="C2601" s="21" t="s">
        <v>1645</v>
      </c>
      <c r="D2601" s="10" t="s">
        <v>373</v>
      </c>
      <c r="E2601" s="9">
        <v>1</v>
      </c>
      <c r="F2601" s="9">
        <v>250</v>
      </c>
      <c r="G2601" s="8">
        <f>F2601/680</f>
        <v>0.36764705882352944</v>
      </c>
    </row>
    <row r="2602" spans="1:7" ht="16">
      <c r="A2602" s="13"/>
      <c r="B2602" s="10"/>
      <c r="C2602" s="23">
        <v>4714781021777</v>
      </c>
      <c r="D2602" s="12" t="s">
        <v>1522</v>
      </c>
      <c r="E2602" s="9">
        <v>1</v>
      </c>
      <c r="F2602" s="9">
        <v>380</v>
      </c>
      <c r="G2602" s="8">
        <f>F2602/680</f>
        <v>0.55882352941176472</v>
      </c>
    </row>
    <row r="2603" spans="1:7" ht="16">
      <c r="A2603" s="13"/>
      <c r="B2603" s="10"/>
      <c r="C2603" s="22">
        <v>4714781021265</v>
      </c>
      <c r="D2603" s="10" t="s">
        <v>1871</v>
      </c>
      <c r="E2603" s="9">
        <v>1</v>
      </c>
      <c r="F2603" s="9">
        <v>50</v>
      </c>
      <c r="G2603" s="8">
        <f>F2603/680</f>
        <v>7.3529411764705885E-2</v>
      </c>
    </row>
    <row r="2604" spans="1:7" ht="16">
      <c r="A2604" s="13" t="s">
        <v>1876</v>
      </c>
      <c r="B2604" s="10">
        <v>3</v>
      </c>
      <c r="C2604" s="21" t="s">
        <v>1643</v>
      </c>
      <c r="D2604" s="10" t="s">
        <v>264</v>
      </c>
      <c r="E2604" s="9">
        <v>1</v>
      </c>
      <c r="F2604" s="9">
        <v>250</v>
      </c>
      <c r="G2604" s="8">
        <f>F2604/680</f>
        <v>0.36764705882352944</v>
      </c>
    </row>
    <row r="2605" spans="1:7" ht="16">
      <c r="A2605" s="13"/>
      <c r="B2605" s="10"/>
      <c r="C2605" s="23">
        <v>4714781021777</v>
      </c>
      <c r="D2605" s="12" t="s">
        <v>1522</v>
      </c>
      <c r="E2605" s="9">
        <v>1</v>
      </c>
      <c r="F2605" s="9">
        <v>380</v>
      </c>
      <c r="G2605" s="8">
        <f>F2605/680</f>
        <v>0.55882352941176472</v>
      </c>
    </row>
    <row r="2606" spans="1:7" ht="16">
      <c r="A2606" s="13"/>
      <c r="B2606" s="10"/>
      <c r="C2606" s="22">
        <v>4714781021265</v>
      </c>
      <c r="D2606" s="10" t="s">
        <v>1871</v>
      </c>
      <c r="E2606" s="9">
        <v>1</v>
      </c>
      <c r="F2606" s="9">
        <v>50</v>
      </c>
      <c r="G2606" s="8">
        <f>F2606/680</f>
        <v>7.3529411764705885E-2</v>
      </c>
    </row>
    <row r="2607" spans="1:7" ht="16">
      <c r="A2607" s="13" t="s">
        <v>1875</v>
      </c>
      <c r="B2607" s="10">
        <v>3</v>
      </c>
      <c r="C2607" s="21" t="s">
        <v>1641</v>
      </c>
      <c r="D2607" s="10" t="s">
        <v>359</v>
      </c>
      <c r="E2607" s="9">
        <v>1</v>
      </c>
      <c r="F2607" s="9">
        <v>250</v>
      </c>
      <c r="G2607" s="8">
        <f>F2607/680</f>
        <v>0.36764705882352944</v>
      </c>
    </row>
    <row r="2608" spans="1:7" ht="16">
      <c r="A2608" s="13"/>
      <c r="B2608" s="10"/>
      <c r="C2608" s="23">
        <v>4714781021777</v>
      </c>
      <c r="D2608" s="12" t="s">
        <v>1522</v>
      </c>
      <c r="E2608" s="9">
        <v>1</v>
      </c>
      <c r="F2608" s="9">
        <v>380</v>
      </c>
      <c r="G2608" s="8">
        <f>F2608/680</f>
        <v>0.55882352941176472</v>
      </c>
    </row>
    <row r="2609" spans="1:7" ht="16">
      <c r="A2609" s="13"/>
      <c r="B2609" s="10"/>
      <c r="C2609" s="22">
        <v>4714781021265</v>
      </c>
      <c r="D2609" s="10" t="s">
        <v>1871</v>
      </c>
      <c r="E2609" s="9">
        <v>1</v>
      </c>
      <c r="F2609" s="9">
        <v>50</v>
      </c>
      <c r="G2609" s="8">
        <f>F2609/680</f>
        <v>7.3529411764705885E-2</v>
      </c>
    </row>
    <row r="2610" spans="1:7" ht="16">
      <c r="A2610" s="13" t="s">
        <v>1874</v>
      </c>
      <c r="B2610" s="10">
        <v>3</v>
      </c>
      <c r="C2610" s="21" t="s">
        <v>1873</v>
      </c>
      <c r="D2610" s="10" t="s">
        <v>275</v>
      </c>
      <c r="E2610" s="9">
        <v>1</v>
      </c>
      <c r="F2610" s="9">
        <v>250</v>
      </c>
      <c r="G2610" s="8">
        <f>F2610/680</f>
        <v>0.36764705882352944</v>
      </c>
    </row>
    <row r="2611" spans="1:7" ht="16">
      <c r="A2611" s="13"/>
      <c r="B2611" s="10"/>
      <c r="C2611" s="23">
        <v>4714781021777</v>
      </c>
      <c r="D2611" s="12" t="s">
        <v>1522</v>
      </c>
      <c r="E2611" s="9">
        <v>1</v>
      </c>
      <c r="F2611" s="9">
        <v>380</v>
      </c>
      <c r="G2611" s="8">
        <f>F2611/680</f>
        <v>0.55882352941176472</v>
      </c>
    </row>
    <row r="2612" spans="1:7" ht="16">
      <c r="A2612" s="13"/>
      <c r="B2612" s="10"/>
      <c r="C2612" s="22">
        <v>4714781021265</v>
      </c>
      <c r="D2612" s="10" t="s">
        <v>1871</v>
      </c>
      <c r="E2612" s="9">
        <v>1</v>
      </c>
      <c r="F2612" s="9">
        <v>50</v>
      </c>
      <c r="G2612" s="8">
        <f>F2612/680</f>
        <v>7.3529411764705885E-2</v>
      </c>
    </row>
    <row r="2613" spans="1:7" ht="16">
      <c r="A2613" s="13" t="s">
        <v>1872</v>
      </c>
      <c r="B2613" s="10">
        <v>3</v>
      </c>
      <c r="C2613" s="21" t="s">
        <v>1647</v>
      </c>
      <c r="D2613" s="10" t="s">
        <v>1367</v>
      </c>
      <c r="E2613" s="9">
        <v>1</v>
      </c>
      <c r="F2613" s="9">
        <v>250</v>
      </c>
      <c r="G2613" s="8">
        <f>F2613/680</f>
        <v>0.36764705882352944</v>
      </c>
    </row>
    <row r="2614" spans="1:7" ht="16">
      <c r="A2614" s="13"/>
      <c r="B2614" s="10"/>
      <c r="C2614" s="23">
        <v>4714781021777</v>
      </c>
      <c r="D2614" s="12" t="s">
        <v>1522</v>
      </c>
      <c r="E2614" s="9">
        <v>1</v>
      </c>
      <c r="F2614" s="9">
        <v>380</v>
      </c>
      <c r="G2614" s="8">
        <f>F2614/680</f>
        <v>0.55882352941176472</v>
      </c>
    </row>
    <row r="2615" spans="1:7" ht="16">
      <c r="A2615" s="13"/>
      <c r="B2615" s="10"/>
      <c r="C2615" s="22">
        <v>4714781021265</v>
      </c>
      <c r="D2615" s="10" t="s">
        <v>1871</v>
      </c>
      <c r="E2615" s="9">
        <v>1</v>
      </c>
      <c r="F2615" s="9">
        <v>50</v>
      </c>
      <c r="G2615" s="8">
        <f>F2615/680</f>
        <v>7.3529411764705885E-2</v>
      </c>
    </row>
    <row r="2616" spans="1:7" ht="16">
      <c r="A2616" s="13" t="s">
        <v>1870</v>
      </c>
      <c r="B2616" s="10">
        <v>3</v>
      </c>
      <c r="C2616" s="21">
        <v>4714781020824</v>
      </c>
      <c r="D2616" s="10" t="s">
        <v>1322</v>
      </c>
      <c r="E2616" s="9">
        <v>1</v>
      </c>
      <c r="F2616" s="9">
        <v>300</v>
      </c>
      <c r="G2616" s="8">
        <v>0.66666666666666663</v>
      </c>
    </row>
    <row r="2617" spans="1:7" ht="16">
      <c r="A2617" s="13"/>
      <c r="B2617" s="10"/>
      <c r="C2617" s="21">
        <v>4714781020794</v>
      </c>
      <c r="D2617" s="10" t="s">
        <v>1320</v>
      </c>
      <c r="E2617" s="9">
        <v>1</v>
      </c>
      <c r="F2617" s="9">
        <v>100</v>
      </c>
      <c r="G2617" s="8">
        <v>0.22222222222222221</v>
      </c>
    </row>
    <row r="2618" spans="1:7" ht="16">
      <c r="A2618" s="13"/>
      <c r="B2618" s="10"/>
      <c r="C2618" s="21" t="s">
        <v>1619</v>
      </c>
      <c r="D2618" s="10" t="s">
        <v>1376</v>
      </c>
      <c r="E2618" s="9">
        <v>1</v>
      </c>
      <c r="F2618" s="9">
        <v>50</v>
      </c>
      <c r="G2618" s="8">
        <v>0.1111111111111111</v>
      </c>
    </row>
    <row r="2619" spans="1:7" ht="16">
      <c r="A2619" s="13" t="s">
        <v>1869</v>
      </c>
      <c r="B2619" s="10">
        <v>3</v>
      </c>
      <c r="C2619" s="21" t="s">
        <v>1619</v>
      </c>
      <c r="D2619" s="10" t="s">
        <v>1376</v>
      </c>
      <c r="E2619" s="9">
        <v>1</v>
      </c>
      <c r="F2619" s="9">
        <v>50</v>
      </c>
      <c r="G2619" s="8">
        <v>0.1111111111111111</v>
      </c>
    </row>
    <row r="2620" spans="1:7" ht="16">
      <c r="A2620" s="13"/>
      <c r="B2620" s="10"/>
      <c r="C2620" s="21">
        <v>4714781020831</v>
      </c>
      <c r="D2620" s="10" t="s">
        <v>1318</v>
      </c>
      <c r="E2620" s="9">
        <v>1</v>
      </c>
      <c r="F2620" s="9">
        <v>300</v>
      </c>
      <c r="G2620" s="8">
        <v>0.66666666666666663</v>
      </c>
    </row>
    <row r="2621" spans="1:7" ht="16">
      <c r="A2621" s="13"/>
      <c r="B2621" s="10"/>
      <c r="C2621" s="21">
        <v>4714781020794</v>
      </c>
      <c r="D2621" s="10" t="s">
        <v>1320</v>
      </c>
      <c r="E2621" s="9">
        <v>1</v>
      </c>
      <c r="F2621" s="9">
        <v>100</v>
      </c>
      <c r="G2621" s="8">
        <v>0.22222222222222221</v>
      </c>
    </row>
    <row r="2622" spans="1:7" ht="16">
      <c r="A2622" s="13" t="s">
        <v>1868</v>
      </c>
      <c r="B2622" s="10">
        <v>3</v>
      </c>
      <c r="C2622" s="21" t="s">
        <v>1619</v>
      </c>
      <c r="D2622" s="10" t="s">
        <v>1376</v>
      </c>
      <c r="E2622" s="9">
        <v>1</v>
      </c>
      <c r="F2622" s="9">
        <v>50</v>
      </c>
      <c r="G2622" s="8">
        <v>0.1111111111111111</v>
      </c>
    </row>
    <row r="2623" spans="1:7" ht="16">
      <c r="A2623" s="13"/>
      <c r="B2623" s="10"/>
      <c r="C2623" s="21">
        <v>4714781020824</v>
      </c>
      <c r="D2623" s="10" t="s">
        <v>1322</v>
      </c>
      <c r="E2623" s="9">
        <v>1</v>
      </c>
      <c r="F2623" s="9">
        <v>300</v>
      </c>
      <c r="G2623" s="8">
        <v>0.66666666666666663</v>
      </c>
    </row>
    <row r="2624" spans="1:7" ht="16">
      <c r="A2624" s="13"/>
      <c r="B2624" s="10"/>
      <c r="C2624" s="21">
        <v>4714781020817</v>
      </c>
      <c r="D2624" s="10" t="s">
        <v>1317</v>
      </c>
      <c r="E2624" s="9">
        <v>1</v>
      </c>
      <c r="F2624" s="9">
        <v>100</v>
      </c>
      <c r="G2624" s="8">
        <v>0.22222222222222221</v>
      </c>
    </row>
    <row r="2625" spans="1:7" ht="16">
      <c r="A2625" s="13" t="s">
        <v>1867</v>
      </c>
      <c r="B2625" s="10">
        <v>3</v>
      </c>
      <c r="C2625" s="21" t="s">
        <v>1619</v>
      </c>
      <c r="D2625" s="10" t="s">
        <v>1376</v>
      </c>
      <c r="E2625" s="9">
        <v>1</v>
      </c>
      <c r="F2625" s="9">
        <v>50</v>
      </c>
      <c r="G2625" s="8">
        <v>0.1111111111111111</v>
      </c>
    </row>
    <row r="2626" spans="1:7" ht="16">
      <c r="A2626" s="13"/>
      <c r="B2626" s="10"/>
      <c r="C2626" s="21">
        <v>4714781020831</v>
      </c>
      <c r="D2626" s="10" t="s">
        <v>1318</v>
      </c>
      <c r="E2626" s="9">
        <v>1</v>
      </c>
      <c r="F2626" s="9">
        <v>300</v>
      </c>
      <c r="G2626" s="8">
        <v>0.66666666666666663</v>
      </c>
    </row>
    <row r="2627" spans="1:7" ht="16">
      <c r="A2627" s="13"/>
      <c r="B2627" s="10"/>
      <c r="C2627" s="21">
        <v>4714781020817</v>
      </c>
      <c r="D2627" s="10" t="s">
        <v>1317</v>
      </c>
      <c r="E2627" s="9">
        <v>1</v>
      </c>
      <c r="F2627" s="9">
        <v>100</v>
      </c>
      <c r="G2627" s="8">
        <v>0.22222222222222221</v>
      </c>
    </row>
    <row r="2628" spans="1:7" ht="16">
      <c r="A2628" s="13" t="s">
        <v>1866</v>
      </c>
      <c r="B2628" s="10">
        <v>3</v>
      </c>
      <c r="C2628" s="21" t="s">
        <v>1619</v>
      </c>
      <c r="D2628" s="10" t="s">
        <v>1376</v>
      </c>
      <c r="E2628" s="9">
        <v>1</v>
      </c>
      <c r="F2628" s="9">
        <v>50</v>
      </c>
      <c r="G2628" s="8">
        <v>0.1111111111111111</v>
      </c>
    </row>
    <row r="2629" spans="1:7" ht="16">
      <c r="A2629" s="13"/>
      <c r="B2629" s="10"/>
      <c r="C2629" s="21">
        <v>4714781020824</v>
      </c>
      <c r="D2629" s="10" t="s">
        <v>1322</v>
      </c>
      <c r="E2629" s="9">
        <v>1</v>
      </c>
      <c r="F2629" s="9">
        <v>300</v>
      </c>
      <c r="G2629" s="8">
        <v>0.66666666666666663</v>
      </c>
    </row>
    <row r="2630" spans="1:7" ht="16">
      <c r="A2630" s="13"/>
      <c r="B2630" s="10"/>
      <c r="C2630" s="21">
        <v>4714781020800</v>
      </c>
      <c r="D2630" s="10" t="s">
        <v>1319</v>
      </c>
      <c r="E2630" s="9">
        <v>1</v>
      </c>
      <c r="F2630" s="9">
        <v>100</v>
      </c>
      <c r="G2630" s="8">
        <v>0.22222222222222221</v>
      </c>
    </row>
    <row r="2631" spans="1:7" ht="16">
      <c r="A2631" s="13" t="s">
        <v>1865</v>
      </c>
      <c r="B2631" s="10">
        <v>3</v>
      </c>
      <c r="C2631" s="21" t="s">
        <v>1619</v>
      </c>
      <c r="D2631" s="10" t="s">
        <v>1376</v>
      </c>
      <c r="E2631" s="9">
        <v>1</v>
      </c>
      <c r="F2631" s="9">
        <v>50</v>
      </c>
      <c r="G2631" s="8">
        <v>0.1111111111111111</v>
      </c>
    </row>
    <row r="2632" spans="1:7" ht="16">
      <c r="A2632" s="13"/>
      <c r="B2632" s="10"/>
      <c r="C2632" s="21">
        <v>4714781020831</v>
      </c>
      <c r="D2632" s="10" t="s">
        <v>1318</v>
      </c>
      <c r="E2632" s="9">
        <v>1</v>
      </c>
      <c r="F2632" s="9">
        <v>300</v>
      </c>
      <c r="G2632" s="8">
        <v>0.66666666666666663</v>
      </c>
    </row>
    <row r="2633" spans="1:7" ht="16">
      <c r="A2633" s="13"/>
      <c r="B2633" s="10"/>
      <c r="C2633" s="21">
        <v>4714781020800</v>
      </c>
      <c r="D2633" s="10" t="s">
        <v>1319</v>
      </c>
      <c r="E2633" s="9">
        <v>1</v>
      </c>
      <c r="F2633" s="9">
        <v>100</v>
      </c>
      <c r="G2633" s="8">
        <v>0.22222222222222221</v>
      </c>
    </row>
    <row r="2634" spans="1:7" ht="16">
      <c r="A2634" s="13" t="s">
        <v>1864</v>
      </c>
      <c r="B2634" s="10">
        <v>3</v>
      </c>
      <c r="C2634" s="21" t="s">
        <v>1484</v>
      </c>
      <c r="D2634" s="10" t="s">
        <v>1483</v>
      </c>
      <c r="E2634" s="9">
        <v>1</v>
      </c>
      <c r="F2634" s="9">
        <v>300</v>
      </c>
      <c r="G2634" s="8">
        <f>F2634/470</f>
        <v>0.63829787234042556</v>
      </c>
    </row>
    <row r="2635" spans="1:7" ht="16">
      <c r="A2635" s="13"/>
      <c r="B2635" s="10"/>
      <c r="C2635" s="21" t="s">
        <v>1493</v>
      </c>
      <c r="D2635" s="10" t="s">
        <v>1492</v>
      </c>
      <c r="E2635" s="9">
        <v>1</v>
      </c>
      <c r="F2635" s="9">
        <v>120</v>
      </c>
      <c r="G2635" s="8">
        <f>F2635/470</f>
        <v>0.25531914893617019</v>
      </c>
    </row>
    <row r="2636" spans="1:7" ht="16">
      <c r="A2636" s="13"/>
      <c r="B2636" s="10"/>
      <c r="C2636" s="21" t="s">
        <v>1619</v>
      </c>
      <c r="D2636" s="10" t="s">
        <v>1376</v>
      </c>
      <c r="E2636" s="9">
        <v>1</v>
      </c>
      <c r="F2636" s="9">
        <v>50</v>
      </c>
      <c r="G2636" s="8">
        <f>F2636/470</f>
        <v>0.10638297872340426</v>
      </c>
    </row>
    <row r="2637" spans="1:7" ht="16">
      <c r="A2637" s="13" t="s">
        <v>1863</v>
      </c>
      <c r="B2637" s="10">
        <v>3</v>
      </c>
      <c r="C2637" s="21" t="s">
        <v>1486</v>
      </c>
      <c r="D2637" s="10" t="s">
        <v>1485</v>
      </c>
      <c r="E2637" s="9">
        <v>1</v>
      </c>
      <c r="F2637" s="9">
        <v>300</v>
      </c>
      <c r="G2637" s="8">
        <f>F2637/470</f>
        <v>0.63829787234042556</v>
      </c>
    </row>
    <row r="2638" spans="1:7" ht="16">
      <c r="A2638" s="13"/>
      <c r="B2638" s="10"/>
      <c r="C2638" s="21" t="s">
        <v>1493</v>
      </c>
      <c r="D2638" s="10" t="s">
        <v>1492</v>
      </c>
      <c r="E2638" s="9">
        <v>1</v>
      </c>
      <c r="F2638" s="9">
        <v>120</v>
      </c>
      <c r="G2638" s="8">
        <f>F2638/470</f>
        <v>0.25531914893617019</v>
      </c>
    </row>
    <row r="2639" spans="1:7" ht="16">
      <c r="A2639" s="13"/>
      <c r="B2639" s="10"/>
      <c r="C2639" s="21" t="s">
        <v>1619</v>
      </c>
      <c r="D2639" s="10" t="s">
        <v>1376</v>
      </c>
      <c r="E2639" s="9">
        <v>1</v>
      </c>
      <c r="F2639" s="9">
        <v>50</v>
      </c>
      <c r="G2639" s="8">
        <f>F2639/470</f>
        <v>0.10638297872340426</v>
      </c>
    </row>
    <row r="2640" spans="1:7" ht="16">
      <c r="A2640" s="13" t="s">
        <v>1862</v>
      </c>
      <c r="B2640" s="10">
        <v>3</v>
      </c>
      <c r="C2640" s="21" t="s">
        <v>1484</v>
      </c>
      <c r="D2640" s="10" t="s">
        <v>1483</v>
      </c>
      <c r="E2640" s="9">
        <v>1</v>
      </c>
      <c r="F2640" s="9">
        <v>300</v>
      </c>
      <c r="G2640" s="8">
        <f>F2640/470</f>
        <v>0.63829787234042556</v>
      </c>
    </row>
    <row r="2641" spans="1:7" ht="16">
      <c r="A2641" s="13"/>
      <c r="B2641" s="10"/>
      <c r="C2641" s="21" t="s">
        <v>1491</v>
      </c>
      <c r="D2641" s="10" t="s">
        <v>1490</v>
      </c>
      <c r="E2641" s="9">
        <v>1</v>
      </c>
      <c r="F2641" s="9">
        <v>120</v>
      </c>
      <c r="G2641" s="8">
        <f>F2641/470</f>
        <v>0.25531914893617019</v>
      </c>
    </row>
    <row r="2642" spans="1:7" ht="16">
      <c r="A2642" s="13"/>
      <c r="B2642" s="10"/>
      <c r="C2642" s="21" t="s">
        <v>1619</v>
      </c>
      <c r="D2642" s="10" t="s">
        <v>1376</v>
      </c>
      <c r="E2642" s="9">
        <v>1</v>
      </c>
      <c r="F2642" s="9">
        <v>50</v>
      </c>
      <c r="G2642" s="8">
        <f>F2642/470</f>
        <v>0.10638297872340426</v>
      </c>
    </row>
    <row r="2643" spans="1:7" ht="16">
      <c r="A2643" s="13" t="s">
        <v>1861</v>
      </c>
      <c r="B2643" s="10">
        <v>3</v>
      </c>
      <c r="C2643" s="21" t="s">
        <v>1486</v>
      </c>
      <c r="D2643" s="10" t="s">
        <v>1485</v>
      </c>
      <c r="E2643" s="9">
        <v>1</v>
      </c>
      <c r="F2643" s="9">
        <v>300</v>
      </c>
      <c r="G2643" s="8">
        <f>F2643/470</f>
        <v>0.63829787234042556</v>
      </c>
    </row>
    <row r="2644" spans="1:7" ht="16">
      <c r="A2644" s="13"/>
      <c r="B2644" s="10"/>
      <c r="C2644" s="21" t="s">
        <v>1491</v>
      </c>
      <c r="D2644" s="10" t="s">
        <v>1490</v>
      </c>
      <c r="E2644" s="9">
        <v>1</v>
      </c>
      <c r="F2644" s="9">
        <v>120</v>
      </c>
      <c r="G2644" s="8">
        <f>F2644/470</f>
        <v>0.25531914893617019</v>
      </c>
    </row>
    <row r="2645" spans="1:7" ht="16">
      <c r="A2645" s="13"/>
      <c r="B2645" s="10"/>
      <c r="C2645" s="21" t="s">
        <v>1619</v>
      </c>
      <c r="D2645" s="10" t="s">
        <v>1376</v>
      </c>
      <c r="E2645" s="9">
        <v>1</v>
      </c>
      <c r="F2645" s="9">
        <v>50</v>
      </c>
      <c r="G2645" s="8">
        <f>F2645/470</f>
        <v>0.10638297872340426</v>
      </c>
    </row>
    <row r="2646" spans="1:7" ht="16">
      <c r="A2646" s="12" t="s">
        <v>1860</v>
      </c>
      <c r="B2646" s="10">
        <v>1</v>
      </c>
      <c r="C2646" s="21" t="s">
        <v>1859</v>
      </c>
      <c r="D2646" s="10" t="s">
        <v>1717</v>
      </c>
      <c r="E2646" s="9">
        <v>2</v>
      </c>
      <c r="F2646" s="9">
        <v>538</v>
      </c>
      <c r="G2646" s="8">
        <f>F2646/538</f>
        <v>1</v>
      </c>
    </row>
    <row r="2647" spans="1:7" ht="16">
      <c r="A2647" s="13" t="s">
        <v>1858</v>
      </c>
      <c r="B2647" s="10">
        <v>1</v>
      </c>
      <c r="C2647" s="21" t="s">
        <v>1854</v>
      </c>
      <c r="D2647" s="10" t="s">
        <v>1720</v>
      </c>
      <c r="E2647" s="9">
        <v>2</v>
      </c>
      <c r="F2647" s="9">
        <v>180</v>
      </c>
      <c r="G2647" s="8">
        <f>F2647/180</f>
        <v>1</v>
      </c>
    </row>
    <row r="2648" spans="1:7" ht="16">
      <c r="A2648" s="13" t="s">
        <v>1857</v>
      </c>
      <c r="B2648" s="10">
        <v>1</v>
      </c>
      <c r="C2648" s="21" t="s">
        <v>1853</v>
      </c>
      <c r="D2648" s="10" t="s">
        <v>1722</v>
      </c>
      <c r="E2648" s="9">
        <v>2</v>
      </c>
      <c r="F2648" s="9">
        <v>180</v>
      </c>
      <c r="G2648" s="8">
        <f>F2648/180</f>
        <v>1</v>
      </c>
    </row>
    <row r="2649" spans="1:7" ht="16">
      <c r="A2649" s="13" t="s">
        <v>1856</v>
      </c>
      <c r="B2649" s="10">
        <v>2</v>
      </c>
      <c r="C2649" s="21" t="s">
        <v>1854</v>
      </c>
      <c r="D2649" s="10" t="s">
        <v>1720</v>
      </c>
      <c r="E2649" s="9">
        <v>1</v>
      </c>
      <c r="F2649" s="9">
        <v>90</v>
      </c>
      <c r="G2649" s="8">
        <f>F2649/180</f>
        <v>0.5</v>
      </c>
    </row>
    <row r="2650" spans="1:7" ht="16">
      <c r="A2650" s="13"/>
      <c r="B2650" s="10"/>
      <c r="C2650" s="21" t="s">
        <v>1853</v>
      </c>
      <c r="D2650" s="10" t="s">
        <v>1722</v>
      </c>
      <c r="E2650" s="9">
        <v>1</v>
      </c>
      <c r="F2650" s="9">
        <v>90</v>
      </c>
      <c r="G2650" s="8">
        <f>F2650/180</f>
        <v>0.5</v>
      </c>
    </row>
    <row r="2651" spans="1:7" ht="16">
      <c r="A2651" s="13" t="s">
        <v>1855</v>
      </c>
      <c r="B2651" s="10">
        <v>2</v>
      </c>
      <c r="C2651" s="21" t="s">
        <v>1854</v>
      </c>
      <c r="D2651" s="10" t="s">
        <v>1720</v>
      </c>
      <c r="E2651" s="9">
        <v>1</v>
      </c>
      <c r="F2651" s="9">
        <v>90</v>
      </c>
      <c r="G2651" s="8">
        <f>F2651/180</f>
        <v>0.5</v>
      </c>
    </row>
    <row r="2652" spans="1:7" ht="16">
      <c r="A2652" s="13"/>
      <c r="B2652" s="10"/>
      <c r="C2652" s="21" t="s">
        <v>1853</v>
      </c>
      <c r="D2652" s="10" t="s">
        <v>1722</v>
      </c>
      <c r="E2652" s="9">
        <v>1</v>
      </c>
      <c r="F2652" s="9">
        <v>90</v>
      </c>
      <c r="G2652" s="8">
        <f>F2652/180</f>
        <v>0.5</v>
      </c>
    </row>
    <row r="2653" spans="1:7" ht="16">
      <c r="A2653" s="13" t="s">
        <v>1852</v>
      </c>
      <c r="B2653" s="10">
        <v>1</v>
      </c>
      <c r="C2653" s="21" t="s">
        <v>1596</v>
      </c>
      <c r="D2653" s="10" t="s">
        <v>1384</v>
      </c>
      <c r="E2653" s="9">
        <v>2</v>
      </c>
      <c r="F2653" s="9">
        <v>560</v>
      </c>
      <c r="G2653" s="8">
        <f>F2653/560</f>
        <v>1</v>
      </c>
    </row>
    <row r="2654" spans="1:7" ht="16">
      <c r="A2654" s="13" t="s">
        <v>1851</v>
      </c>
      <c r="B2654" s="10">
        <v>1</v>
      </c>
      <c r="C2654" s="21" t="s">
        <v>1598</v>
      </c>
      <c r="D2654" s="10" t="s">
        <v>1382</v>
      </c>
      <c r="E2654" s="9">
        <v>2</v>
      </c>
      <c r="F2654" s="9">
        <v>560</v>
      </c>
      <c r="G2654" s="8">
        <f>F2654/560</f>
        <v>1</v>
      </c>
    </row>
    <row r="2655" spans="1:7" ht="16">
      <c r="A2655" s="13" t="s">
        <v>1850</v>
      </c>
      <c r="B2655" s="10">
        <v>2</v>
      </c>
      <c r="C2655" s="21" t="s">
        <v>1596</v>
      </c>
      <c r="D2655" s="10" t="s">
        <v>1384</v>
      </c>
      <c r="E2655" s="9">
        <v>1</v>
      </c>
      <c r="F2655" s="9">
        <v>280</v>
      </c>
      <c r="G2655" s="8">
        <f>F2655/560</f>
        <v>0.5</v>
      </c>
    </row>
    <row r="2656" spans="1:7" ht="16">
      <c r="A2656" s="13"/>
      <c r="B2656" s="10"/>
      <c r="C2656" s="21" t="s">
        <v>1598</v>
      </c>
      <c r="D2656" s="10" t="s">
        <v>1382</v>
      </c>
      <c r="E2656" s="9">
        <v>1</v>
      </c>
      <c r="F2656" s="9">
        <v>280</v>
      </c>
      <c r="G2656" s="8">
        <f>F2656/560</f>
        <v>0.5</v>
      </c>
    </row>
    <row r="2657" spans="1:7" ht="16">
      <c r="A2657" s="13" t="s">
        <v>1849</v>
      </c>
      <c r="B2657" s="10">
        <v>1</v>
      </c>
      <c r="C2657" s="21">
        <v>4714781020824</v>
      </c>
      <c r="D2657" s="10" t="s">
        <v>1391</v>
      </c>
      <c r="E2657" s="9">
        <v>2</v>
      </c>
      <c r="F2657" s="9">
        <v>560</v>
      </c>
      <c r="G2657" s="8">
        <f>F2657/560</f>
        <v>1</v>
      </c>
    </row>
    <row r="2658" spans="1:7" ht="16">
      <c r="A2658" s="13" t="s">
        <v>1848</v>
      </c>
      <c r="B2658" s="10">
        <v>1</v>
      </c>
      <c r="C2658" s="21">
        <v>4714781020831</v>
      </c>
      <c r="D2658" s="10" t="s">
        <v>1389</v>
      </c>
      <c r="E2658" s="9">
        <v>2</v>
      </c>
      <c r="F2658" s="9">
        <v>560</v>
      </c>
      <c r="G2658" s="8">
        <f>F2658/560</f>
        <v>1</v>
      </c>
    </row>
    <row r="2659" spans="1:7" ht="16">
      <c r="A2659" s="13" t="s">
        <v>1847</v>
      </c>
      <c r="B2659" s="10">
        <v>2</v>
      </c>
      <c r="C2659" s="21">
        <v>4714781020824</v>
      </c>
      <c r="D2659" s="10" t="s">
        <v>1391</v>
      </c>
      <c r="E2659" s="9">
        <v>1</v>
      </c>
      <c r="F2659" s="9">
        <v>280</v>
      </c>
      <c r="G2659" s="8">
        <f>F2659/560</f>
        <v>0.5</v>
      </c>
    </row>
    <row r="2660" spans="1:7" ht="16">
      <c r="A2660" s="13"/>
      <c r="B2660" s="10"/>
      <c r="C2660" s="21">
        <v>4714781020831</v>
      </c>
      <c r="D2660" s="10" t="s">
        <v>1389</v>
      </c>
      <c r="E2660" s="9">
        <v>1</v>
      </c>
      <c r="F2660" s="9">
        <v>280</v>
      </c>
      <c r="G2660" s="8">
        <f>F2660/560</f>
        <v>0.5</v>
      </c>
    </row>
    <row r="2661" spans="1:7" ht="16">
      <c r="A2661" s="13" t="s">
        <v>1846</v>
      </c>
      <c r="B2661" s="10">
        <v>2</v>
      </c>
      <c r="C2661" s="21" t="s">
        <v>1598</v>
      </c>
      <c r="D2661" s="10" t="s">
        <v>1382</v>
      </c>
      <c r="E2661" s="9">
        <v>1</v>
      </c>
      <c r="F2661" s="9">
        <v>280</v>
      </c>
      <c r="G2661" s="8">
        <f>F2661/560</f>
        <v>0.5</v>
      </c>
    </row>
    <row r="2662" spans="1:7" ht="16">
      <c r="A2662" s="13"/>
      <c r="B2662" s="10"/>
      <c r="C2662" s="21">
        <v>4714781020824</v>
      </c>
      <c r="D2662" s="10" t="s">
        <v>1391</v>
      </c>
      <c r="E2662" s="9">
        <v>1</v>
      </c>
      <c r="F2662" s="9">
        <v>280</v>
      </c>
      <c r="G2662" s="8">
        <f>F2662/560</f>
        <v>0.5</v>
      </c>
    </row>
    <row r="2663" spans="1:7" ht="16">
      <c r="A2663" s="13" t="s">
        <v>1845</v>
      </c>
      <c r="B2663" s="10">
        <v>2</v>
      </c>
      <c r="C2663" s="21" t="s">
        <v>1598</v>
      </c>
      <c r="D2663" s="10" t="s">
        <v>1382</v>
      </c>
      <c r="E2663" s="9">
        <v>1</v>
      </c>
      <c r="F2663" s="9">
        <v>280</v>
      </c>
      <c r="G2663" s="8">
        <f>F2663/560</f>
        <v>0.5</v>
      </c>
    </row>
    <row r="2664" spans="1:7" ht="16">
      <c r="A2664" s="13"/>
      <c r="B2664" s="10"/>
      <c r="C2664" s="21">
        <v>4714781020831</v>
      </c>
      <c r="D2664" s="10" t="s">
        <v>1389</v>
      </c>
      <c r="E2664" s="9">
        <v>1</v>
      </c>
      <c r="F2664" s="9">
        <v>280</v>
      </c>
      <c r="G2664" s="8">
        <f>F2664/560</f>
        <v>0.5</v>
      </c>
    </row>
    <row r="2665" spans="1:7" ht="16">
      <c r="A2665" s="13" t="s">
        <v>1844</v>
      </c>
      <c r="B2665" s="10">
        <v>2</v>
      </c>
      <c r="C2665" s="21" t="s">
        <v>1596</v>
      </c>
      <c r="D2665" s="10" t="s">
        <v>1384</v>
      </c>
      <c r="E2665" s="9">
        <v>1</v>
      </c>
      <c r="F2665" s="9">
        <v>280</v>
      </c>
      <c r="G2665" s="8">
        <f>F2665/560</f>
        <v>0.5</v>
      </c>
    </row>
    <row r="2666" spans="1:7" ht="16">
      <c r="A2666" s="13"/>
      <c r="B2666" s="10"/>
      <c r="C2666" s="21">
        <v>4714781020824</v>
      </c>
      <c r="D2666" s="10" t="s">
        <v>1391</v>
      </c>
      <c r="E2666" s="9">
        <v>1</v>
      </c>
      <c r="F2666" s="9">
        <v>280</v>
      </c>
      <c r="G2666" s="8">
        <f>F2666/560</f>
        <v>0.5</v>
      </c>
    </row>
    <row r="2667" spans="1:7" ht="16">
      <c r="A2667" s="13" t="s">
        <v>1843</v>
      </c>
      <c r="B2667" s="10">
        <v>2</v>
      </c>
      <c r="C2667" s="21" t="s">
        <v>1596</v>
      </c>
      <c r="D2667" s="10" t="s">
        <v>1384</v>
      </c>
      <c r="E2667" s="9">
        <v>1</v>
      </c>
      <c r="F2667" s="9">
        <v>280</v>
      </c>
      <c r="G2667" s="8">
        <f>F2667/560</f>
        <v>0.5</v>
      </c>
    </row>
    <row r="2668" spans="1:7" ht="16">
      <c r="A2668" s="13"/>
      <c r="B2668" s="10"/>
      <c r="C2668" s="21">
        <v>4714781020831</v>
      </c>
      <c r="D2668" s="10" t="s">
        <v>1389</v>
      </c>
      <c r="E2668" s="9">
        <v>1</v>
      </c>
      <c r="F2668" s="9">
        <v>280</v>
      </c>
      <c r="G2668" s="8">
        <f>F2668/560</f>
        <v>0.5</v>
      </c>
    </row>
    <row r="2669" spans="1:7" ht="16">
      <c r="A2669" s="13" t="s">
        <v>1842</v>
      </c>
      <c r="B2669" s="10">
        <v>3</v>
      </c>
      <c r="C2669" s="21">
        <v>4714781020466</v>
      </c>
      <c r="D2669" s="10" t="s">
        <v>1374</v>
      </c>
      <c r="E2669" s="9">
        <v>1</v>
      </c>
      <c r="F2669" s="9">
        <v>145</v>
      </c>
      <c r="G2669" s="8">
        <f>F2669/435</f>
        <v>0.33333333333333331</v>
      </c>
    </row>
    <row r="2670" spans="1:7" ht="16">
      <c r="A2670" s="13"/>
      <c r="B2670" s="10"/>
      <c r="C2670" s="21">
        <v>4714781020503</v>
      </c>
      <c r="D2670" s="10" t="s">
        <v>1372</v>
      </c>
      <c r="E2670" s="9">
        <v>1</v>
      </c>
      <c r="F2670" s="9">
        <v>145</v>
      </c>
      <c r="G2670" s="8">
        <f>F2670/435</f>
        <v>0.33333333333333331</v>
      </c>
    </row>
    <row r="2671" spans="1:7" ht="16">
      <c r="A2671" s="13"/>
      <c r="B2671" s="10"/>
      <c r="C2671" s="21">
        <v>4714781020558</v>
      </c>
      <c r="D2671" s="10" t="s">
        <v>1370</v>
      </c>
      <c r="E2671" s="9">
        <v>1</v>
      </c>
      <c r="F2671" s="9">
        <v>145</v>
      </c>
      <c r="G2671" s="8">
        <f>F2671/435</f>
        <v>0.33333333333333331</v>
      </c>
    </row>
    <row r="2672" spans="1:7" ht="16">
      <c r="A2672" s="13" t="s">
        <v>1841</v>
      </c>
      <c r="B2672" s="10">
        <v>1</v>
      </c>
      <c r="C2672" s="21">
        <v>4714781020558</v>
      </c>
      <c r="D2672" s="10" t="s">
        <v>1370</v>
      </c>
      <c r="E2672" s="9">
        <v>3</v>
      </c>
      <c r="F2672" s="9">
        <v>435</v>
      </c>
      <c r="G2672" s="8">
        <f>F2672/435</f>
        <v>1</v>
      </c>
    </row>
    <row r="2673" spans="1:7" ht="16">
      <c r="A2673" s="13" t="s">
        <v>1840</v>
      </c>
      <c r="B2673" s="10">
        <v>1</v>
      </c>
      <c r="C2673" s="21">
        <v>4714781020503</v>
      </c>
      <c r="D2673" s="10" t="s">
        <v>1372</v>
      </c>
      <c r="E2673" s="9">
        <v>3</v>
      </c>
      <c r="F2673" s="9">
        <v>435</v>
      </c>
      <c r="G2673" s="8">
        <f>F2673/435</f>
        <v>1</v>
      </c>
    </row>
    <row r="2674" spans="1:7" ht="16">
      <c r="A2674" s="13" t="s">
        <v>1839</v>
      </c>
      <c r="B2674" s="10">
        <v>1</v>
      </c>
      <c r="C2674" s="21">
        <v>4714781020466</v>
      </c>
      <c r="D2674" s="10" t="s">
        <v>1374</v>
      </c>
      <c r="E2674" s="9">
        <v>3</v>
      </c>
      <c r="F2674" s="9">
        <v>435</v>
      </c>
      <c r="G2674" s="8">
        <f>F2674/435</f>
        <v>1</v>
      </c>
    </row>
    <row r="2675" spans="1:7" ht="16">
      <c r="A2675" s="13" t="s">
        <v>1838</v>
      </c>
      <c r="B2675" s="10">
        <v>2</v>
      </c>
      <c r="C2675" s="21">
        <v>4714781020503</v>
      </c>
      <c r="D2675" s="10" t="s">
        <v>1372</v>
      </c>
      <c r="E2675" s="9">
        <v>2</v>
      </c>
      <c r="F2675" s="9">
        <v>290</v>
      </c>
      <c r="G2675" s="8">
        <f>F2675/435</f>
        <v>0.66666666666666663</v>
      </c>
    </row>
    <row r="2676" spans="1:7" ht="16">
      <c r="A2676" s="13"/>
      <c r="B2676" s="10"/>
      <c r="C2676" s="21">
        <v>4714781020466</v>
      </c>
      <c r="D2676" s="10" t="s">
        <v>1374</v>
      </c>
      <c r="E2676" s="9">
        <v>1</v>
      </c>
      <c r="F2676" s="9">
        <v>145</v>
      </c>
      <c r="G2676" s="8">
        <f>F2676/435</f>
        <v>0.33333333333333331</v>
      </c>
    </row>
    <row r="2677" spans="1:7" ht="16">
      <c r="A2677" s="13" t="s">
        <v>1837</v>
      </c>
      <c r="B2677" s="10">
        <v>2</v>
      </c>
      <c r="C2677" s="21">
        <v>4714781020503</v>
      </c>
      <c r="D2677" s="10" t="s">
        <v>1372</v>
      </c>
      <c r="E2677" s="9">
        <v>2</v>
      </c>
      <c r="F2677" s="9">
        <v>290</v>
      </c>
      <c r="G2677" s="8">
        <f>F2677/435</f>
        <v>0.66666666666666663</v>
      </c>
    </row>
    <row r="2678" spans="1:7" ht="16">
      <c r="A2678" s="13"/>
      <c r="B2678" s="10"/>
      <c r="C2678" s="21">
        <v>4714781020558</v>
      </c>
      <c r="D2678" s="10" t="s">
        <v>1370</v>
      </c>
      <c r="E2678" s="9">
        <v>1</v>
      </c>
      <c r="F2678" s="9">
        <v>145</v>
      </c>
      <c r="G2678" s="8">
        <f>F2678/435</f>
        <v>0.33333333333333331</v>
      </c>
    </row>
    <row r="2679" spans="1:7" ht="16">
      <c r="A2679" s="12" t="s">
        <v>1836</v>
      </c>
      <c r="B2679" s="10">
        <v>2</v>
      </c>
      <c r="C2679" s="21">
        <v>4714781020466</v>
      </c>
      <c r="D2679" s="10" t="s">
        <v>1374</v>
      </c>
      <c r="E2679" s="9">
        <v>2</v>
      </c>
      <c r="F2679" s="9">
        <v>290</v>
      </c>
      <c r="G2679" s="8">
        <f>F2679/435</f>
        <v>0.66666666666666663</v>
      </c>
    </row>
    <row r="2680" spans="1:7" ht="16">
      <c r="A2680" s="13"/>
      <c r="B2680" s="10"/>
      <c r="C2680" s="21">
        <v>4714781020503</v>
      </c>
      <c r="D2680" s="10" t="s">
        <v>1372</v>
      </c>
      <c r="E2680" s="9">
        <v>1</v>
      </c>
      <c r="F2680" s="9">
        <v>145</v>
      </c>
      <c r="G2680" s="8">
        <f>F2680/435</f>
        <v>0.33333333333333331</v>
      </c>
    </row>
    <row r="2681" spans="1:7" ht="16">
      <c r="A2681" s="13" t="s">
        <v>1835</v>
      </c>
      <c r="B2681" s="10">
        <v>2</v>
      </c>
      <c r="C2681" s="21">
        <v>4714781020466</v>
      </c>
      <c r="D2681" s="10" t="s">
        <v>1374</v>
      </c>
      <c r="E2681" s="9">
        <v>2</v>
      </c>
      <c r="F2681" s="9">
        <v>290</v>
      </c>
      <c r="G2681" s="8">
        <f>F2681/435</f>
        <v>0.66666666666666663</v>
      </c>
    </row>
    <row r="2682" spans="1:7" ht="16">
      <c r="A2682" s="13"/>
      <c r="B2682" s="10"/>
      <c r="C2682" s="21">
        <v>4714781020558</v>
      </c>
      <c r="D2682" s="10" t="s">
        <v>1370</v>
      </c>
      <c r="E2682" s="9">
        <v>1</v>
      </c>
      <c r="F2682" s="9">
        <v>145</v>
      </c>
      <c r="G2682" s="8">
        <f>F2682/435</f>
        <v>0.33333333333333331</v>
      </c>
    </row>
    <row r="2683" spans="1:7" ht="16">
      <c r="A2683" s="13" t="s">
        <v>1834</v>
      </c>
      <c r="B2683" s="10">
        <v>2</v>
      </c>
      <c r="C2683" s="21">
        <v>4714781020558</v>
      </c>
      <c r="D2683" s="10" t="s">
        <v>1370</v>
      </c>
      <c r="E2683" s="9">
        <v>2</v>
      </c>
      <c r="F2683" s="9">
        <v>290</v>
      </c>
      <c r="G2683" s="8">
        <f>F2683/435</f>
        <v>0.66666666666666663</v>
      </c>
    </row>
    <row r="2684" spans="1:7" ht="16">
      <c r="A2684" s="13"/>
      <c r="B2684" s="10"/>
      <c r="C2684" s="21">
        <v>4714781020466</v>
      </c>
      <c r="D2684" s="10" t="s">
        <v>1374</v>
      </c>
      <c r="E2684" s="9">
        <v>1</v>
      </c>
      <c r="F2684" s="9">
        <v>145</v>
      </c>
      <c r="G2684" s="8">
        <f>F2684/435</f>
        <v>0.33333333333333331</v>
      </c>
    </row>
    <row r="2685" spans="1:7" ht="16">
      <c r="A2685" s="13" t="s">
        <v>1833</v>
      </c>
      <c r="B2685" s="10">
        <v>2</v>
      </c>
      <c r="C2685" s="21">
        <v>4714781020558</v>
      </c>
      <c r="D2685" s="10" t="s">
        <v>1370</v>
      </c>
      <c r="E2685" s="9">
        <v>2</v>
      </c>
      <c r="F2685" s="9">
        <v>290</v>
      </c>
      <c r="G2685" s="8">
        <f>F2685/435</f>
        <v>0.66666666666666663</v>
      </c>
    </row>
    <row r="2686" spans="1:7" ht="16">
      <c r="A2686" s="13"/>
      <c r="B2686" s="10"/>
      <c r="C2686" s="21">
        <v>4714781020503</v>
      </c>
      <c r="D2686" s="10" t="s">
        <v>1372</v>
      </c>
      <c r="E2686" s="9">
        <v>1</v>
      </c>
      <c r="F2686" s="9">
        <v>145</v>
      </c>
      <c r="G2686" s="8">
        <f>F2686/435</f>
        <v>0.33333333333333331</v>
      </c>
    </row>
    <row r="2687" spans="1:7" ht="16">
      <c r="A2687" s="13" t="s">
        <v>1832</v>
      </c>
      <c r="B2687" s="10">
        <v>3</v>
      </c>
      <c r="C2687" s="21">
        <v>4714781020466</v>
      </c>
      <c r="D2687" s="10" t="s">
        <v>1374</v>
      </c>
      <c r="E2687" s="9">
        <v>2</v>
      </c>
      <c r="F2687" s="9">
        <v>284</v>
      </c>
      <c r="G2687" s="8">
        <f>F2687/850</f>
        <v>0.33411764705882352</v>
      </c>
    </row>
    <row r="2688" spans="1:7" ht="16">
      <c r="A2688" s="13"/>
      <c r="B2688" s="10"/>
      <c r="C2688" s="21">
        <v>4714781020503</v>
      </c>
      <c r="D2688" s="10" t="s">
        <v>1372</v>
      </c>
      <c r="E2688" s="9">
        <v>2</v>
      </c>
      <c r="F2688" s="9">
        <v>284</v>
      </c>
      <c r="G2688" s="8">
        <f>F2688/850</f>
        <v>0.33411764705882352</v>
      </c>
    </row>
    <row r="2689" spans="1:7" ht="16">
      <c r="A2689" s="13"/>
      <c r="B2689" s="10"/>
      <c r="C2689" s="21">
        <v>4714781020558</v>
      </c>
      <c r="D2689" s="10" t="s">
        <v>1370</v>
      </c>
      <c r="E2689" s="9">
        <v>2</v>
      </c>
      <c r="F2689" s="9">
        <v>282</v>
      </c>
      <c r="G2689" s="8">
        <f>F2689/850</f>
        <v>0.33176470588235296</v>
      </c>
    </row>
    <row r="2690" spans="1:7" ht="16">
      <c r="A2690" s="13" t="s">
        <v>1831</v>
      </c>
      <c r="B2690" s="10">
        <v>2</v>
      </c>
      <c r="C2690" s="21">
        <v>4714781020466</v>
      </c>
      <c r="D2690" s="10" t="s">
        <v>1374</v>
      </c>
      <c r="E2690" s="9">
        <v>3</v>
      </c>
      <c r="F2690" s="9">
        <v>425</v>
      </c>
      <c r="G2690" s="8">
        <f>F2690/850</f>
        <v>0.5</v>
      </c>
    </row>
    <row r="2691" spans="1:7" ht="16">
      <c r="A2691" s="13"/>
      <c r="B2691" s="10"/>
      <c r="C2691" s="21">
        <v>4714781020503</v>
      </c>
      <c r="D2691" s="10" t="s">
        <v>1372</v>
      </c>
      <c r="E2691" s="9">
        <v>3</v>
      </c>
      <c r="F2691" s="9">
        <v>425</v>
      </c>
      <c r="G2691" s="8">
        <f>F2691/850</f>
        <v>0.5</v>
      </c>
    </row>
    <row r="2692" spans="1:7" ht="16">
      <c r="A2692" s="13" t="s">
        <v>1830</v>
      </c>
      <c r="B2692" s="10">
        <v>2</v>
      </c>
      <c r="C2692" s="21">
        <v>4714781020466</v>
      </c>
      <c r="D2692" s="10" t="s">
        <v>1374</v>
      </c>
      <c r="E2692" s="9">
        <v>3</v>
      </c>
      <c r="F2692" s="9">
        <v>425</v>
      </c>
      <c r="G2692" s="8">
        <f>F2692/850</f>
        <v>0.5</v>
      </c>
    </row>
    <row r="2693" spans="1:7" ht="16">
      <c r="A2693" s="13"/>
      <c r="B2693" s="10"/>
      <c r="C2693" s="21">
        <v>4714781020558</v>
      </c>
      <c r="D2693" s="10" t="s">
        <v>1370</v>
      </c>
      <c r="E2693" s="9">
        <v>3</v>
      </c>
      <c r="F2693" s="9">
        <v>425</v>
      </c>
      <c r="G2693" s="8">
        <f>F2693/850</f>
        <v>0.5</v>
      </c>
    </row>
    <row r="2694" spans="1:7" ht="16">
      <c r="A2694" s="13" t="s">
        <v>1829</v>
      </c>
      <c r="B2694" s="10">
        <v>2</v>
      </c>
      <c r="C2694" s="21">
        <v>4714781020558</v>
      </c>
      <c r="D2694" s="10" t="s">
        <v>1370</v>
      </c>
      <c r="E2694" s="9">
        <v>3</v>
      </c>
      <c r="F2694" s="9">
        <v>425</v>
      </c>
      <c r="G2694" s="8">
        <f>F2694/850</f>
        <v>0.5</v>
      </c>
    </row>
    <row r="2695" spans="1:7" ht="16">
      <c r="A2695" s="13"/>
      <c r="B2695" s="10"/>
      <c r="C2695" s="21">
        <v>4714781020503</v>
      </c>
      <c r="D2695" s="10" t="s">
        <v>1372</v>
      </c>
      <c r="E2695" s="9">
        <v>3</v>
      </c>
      <c r="F2695" s="9">
        <v>425</v>
      </c>
      <c r="G2695" s="8">
        <f>F2695/850</f>
        <v>0.5</v>
      </c>
    </row>
    <row r="2696" spans="1:7" ht="16">
      <c r="A2696" s="13" t="s">
        <v>1828</v>
      </c>
      <c r="B2696" s="10">
        <v>1</v>
      </c>
      <c r="C2696" s="21">
        <v>4714781020466</v>
      </c>
      <c r="D2696" s="10" t="s">
        <v>1374</v>
      </c>
      <c r="E2696" s="9">
        <v>6</v>
      </c>
      <c r="F2696" s="9">
        <v>850</v>
      </c>
      <c r="G2696" s="8">
        <f>F2696/850</f>
        <v>1</v>
      </c>
    </row>
    <row r="2697" spans="1:7" ht="16">
      <c r="A2697" s="13" t="s">
        <v>1827</v>
      </c>
      <c r="B2697" s="10">
        <v>1</v>
      </c>
      <c r="C2697" s="21">
        <v>4714781020503</v>
      </c>
      <c r="D2697" s="10" t="s">
        <v>1372</v>
      </c>
      <c r="E2697" s="9">
        <v>6</v>
      </c>
      <c r="F2697" s="9">
        <v>850</v>
      </c>
      <c r="G2697" s="8">
        <f>F2697/850</f>
        <v>1</v>
      </c>
    </row>
    <row r="2698" spans="1:7" ht="16">
      <c r="A2698" s="13" t="s">
        <v>1826</v>
      </c>
      <c r="B2698" s="10">
        <v>1</v>
      </c>
      <c r="C2698" s="21">
        <v>4714781020558</v>
      </c>
      <c r="D2698" s="10" t="s">
        <v>1370</v>
      </c>
      <c r="E2698" s="9">
        <v>6</v>
      </c>
      <c r="F2698" s="9">
        <v>850</v>
      </c>
      <c r="G2698" s="8">
        <f>F2698/850</f>
        <v>1</v>
      </c>
    </row>
    <row r="2699" spans="1:7" ht="16">
      <c r="A2699" s="13" t="s">
        <v>1825</v>
      </c>
      <c r="B2699" s="10">
        <v>2</v>
      </c>
      <c r="C2699" s="21">
        <v>4714781020466</v>
      </c>
      <c r="D2699" s="10" t="s">
        <v>1374</v>
      </c>
      <c r="E2699" s="9">
        <v>2</v>
      </c>
      <c r="F2699" s="9">
        <v>290</v>
      </c>
      <c r="G2699" s="8">
        <f>F2699/580</f>
        <v>0.5</v>
      </c>
    </row>
    <row r="2700" spans="1:7" ht="16">
      <c r="A2700" s="13"/>
      <c r="B2700" s="10"/>
      <c r="C2700" s="21">
        <v>4714781020282</v>
      </c>
      <c r="D2700" s="10" t="s">
        <v>275</v>
      </c>
      <c r="E2700" s="9">
        <v>1</v>
      </c>
      <c r="F2700" s="9">
        <v>290</v>
      </c>
      <c r="G2700" s="8">
        <f>F2700/580</f>
        <v>0.5</v>
      </c>
    </row>
    <row r="2701" spans="1:7" ht="16">
      <c r="A2701" s="13" t="s">
        <v>1824</v>
      </c>
      <c r="B2701" s="10">
        <v>2</v>
      </c>
      <c r="C2701" s="21">
        <v>4714781020466</v>
      </c>
      <c r="D2701" s="10" t="s">
        <v>1374</v>
      </c>
      <c r="E2701" s="9">
        <v>2</v>
      </c>
      <c r="F2701" s="9">
        <v>290</v>
      </c>
      <c r="G2701" s="8">
        <f>F2701/580</f>
        <v>0.5</v>
      </c>
    </row>
    <row r="2702" spans="1:7" ht="16">
      <c r="A2702" s="13"/>
      <c r="B2702" s="10"/>
      <c r="C2702" s="21" t="s">
        <v>1647</v>
      </c>
      <c r="D2702" s="10" t="s">
        <v>1367</v>
      </c>
      <c r="E2702" s="9">
        <v>1</v>
      </c>
      <c r="F2702" s="9">
        <v>290</v>
      </c>
      <c r="G2702" s="8">
        <f>F2702/580</f>
        <v>0.5</v>
      </c>
    </row>
    <row r="2703" spans="1:7" ht="16">
      <c r="A2703" s="12" t="s">
        <v>1823</v>
      </c>
      <c r="B2703" s="10">
        <v>2</v>
      </c>
      <c r="C2703" s="21">
        <v>4714781020466</v>
      </c>
      <c r="D2703" s="10" t="s">
        <v>1374</v>
      </c>
      <c r="E2703" s="9">
        <v>2</v>
      </c>
      <c r="F2703" s="9">
        <v>290</v>
      </c>
      <c r="G2703" s="8">
        <f>F2703/580</f>
        <v>0.5</v>
      </c>
    </row>
    <row r="2704" spans="1:7" ht="16">
      <c r="A2704" s="13"/>
      <c r="B2704" s="10"/>
      <c r="C2704" s="21" t="s">
        <v>1645</v>
      </c>
      <c r="D2704" s="10" t="s">
        <v>373</v>
      </c>
      <c r="E2704" s="9">
        <v>1</v>
      </c>
      <c r="F2704" s="9">
        <v>290</v>
      </c>
      <c r="G2704" s="8">
        <f>F2704/580</f>
        <v>0.5</v>
      </c>
    </row>
    <row r="2705" spans="1:7" ht="16">
      <c r="A2705" s="13" t="s">
        <v>1822</v>
      </c>
      <c r="B2705" s="10">
        <v>2</v>
      </c>
      <c r="C2705" s="21">
        <v>4714781020466</v>
      </c>
      <c r="D2705" s="10" t="s">
        <v>1374</v>
      </c>
      <c r="E2705" s="9">
        <v>2</v>
      </c>
      <c r="F2705" s="9">
        <v>290</v>
      </c>
      <c r="G2705" s="8">
        <f>F2705/580</f>
        <v>0.5</v>
      </c>
    </row>
    <row r="2706" spans="1:7" ht="16">
      <c r="A2706" s="13"/>
      <c r="B2706" s="10"/>
      <c r="C2706" s="21" t="s">
        <v>1643</v>
      </c>
      <c r="D2706" s="10" t="s">
        <v>264</v>
      </c>
      <c r="E2706" s="9">
        <v>1</v>
      </c>
      <c r="F2706" s="9">
        <v>290</v>
      </c>
      <c r="G2706" s="8">
        <f>F2706/580</f>
        <v>0.5</v>
      </c>
    </row>
    <row r="2707" spans="1:7" ht="16">
      <c r="A2707" s="13" t="s">
        <v>1821</v>
      </c>
      <c r="B2707" s="10">
        <v>2</v>
      </c>
      <c r="C2707" s="21">
        <v>4714781020466</v>
      </c>
      <c r="D2707" s="10" t="s">
        <v>1374</v>
      </c>
      <c r="E2707" s="9">
        <v>2</v>
      </c>
      <c r="F2707" s="9">
        <v>290</v>
      </c>
      <c r="G2707" s="8">
        <f>F2707/580</f>
        <v>0.5</v>
      </c>
    </row>
    <row r="2708" spans="1:7" ht="16">
      <c r="A2708" s="13"/>
      <c r="B2708" s="10"/>
      <c r="C2708" s="21" t="s">
        <v>1641</v>
      </c>
      <c r="D2708" s="10" t="s">
        <v>359</v>
      </c>
      <c r="E2708" s="9">
        <v>1</v>
      </c>
      <c r="F2708" s="9">
        <v>290</v>
      </c>
      <c r="G2708" s="8">
        <f>F2708/580</f>
        <v>0.5</v>
      </c>
    </row>
    <row r="2709" spans="1:7" ht="16">
      <c r="A2709" s="12" t="s">
        <v>1820</v>
      </c>
      <c r="B2709" s="10">
        <v>2</v>
      </c>
      <c r="C2709" s="21">
        <v>4714781020503</v>
      </c>
      <c r="D2709" s="10" t="s">
        <v>1372</v>
      </c>
      <c r="E2709" s="9">
        <v>2</v>
      </c>
      <c r="F2709" s="9">
        <v>290</v>
      </c>
      <c r="G2709" s="8">
        <f>F2709/580</f>
        <v>0.5</v>
      </c>
    </row>
    <row r="2710" spans="1:7" ht="16">
      <c r="A2710" s="13"/>
      <c r="B2710" s="10"/>
      <c r="C2710" s="21">
        <v>4714781020282</v>
      </c>
      <c r="D2710" s="10" t="s">
        <v>275</v>
      </c>
      <c r="E2710" s="9">
        <v>1</v>
      </c>
      <c r="F2710" s="9">
        <v>290</v>
      </c>
      <c r="G2710" s="8">
        <f>F2710/580</f>
        <v>0.5</v>
      </c>
    </row>
    <row r="2711" spans="1:7" ht="16">
      <c r="A2711" s="13" t="s">
        <v>1819</v>
      </c>
      <c r="B2711" s="10">
        <v>2</v>
      </c>
      <c r="C2711" s="21">
        <v>4714781020503</v>
      </c>
      <c r="D2711" s="10" t="s">
        <v>1372</v>
      </c>
      <c r="E2711" s="9">
        <v>2</v>
      </c>
      <c r="F2711" s="9">
        <v>290</v>
      </c>
      <c r="G2711" s="8">
        <f>F2711/580</f>
        <v>0.5</v>
      </c>
    </row>
    <row r="2712" spans="1:7" ht="16">
      <c r="A2712" s="13"/>
      <c r="B2712" s="10"/>
      <c r="C2712" s="21" t="s">
        <v>1647</v>
      </c>
      <c r="D2712" s="10" t="s">
        <v>1367</v>
      </c>
      <c r="E2712" s="9">
        <v>1</v>
      </c>
      <c r="F2712" s="9">
        <v>290</v>
      </c>
      <c r="G2712" s="8">
        <f>F2712/580</f>
        <v>0.5</v>
      </c>
    </row>
    <row r="2713" spans="1:7" ht="16">
      <c r="A2713" s="13" t="s">
        <v>1818</v>
      </c>
      <c r="B2713" s="10">
        <v>2</v>
      </c>
      <c r="C2713" s="21">
        <v>4714781020503</v>
      </c>
      <c r="D2713" s="10" t="s">
        <v>1372</v>
      </c>
      <c r="E2713" s="9">
        <v>2</v>
      </c>
      <c r="F2713" s="9">
        <v>290</v>
      </c>
      <c r="G2713" s="8">
        <f>F2713/580</f>
        <v>0.5</v>
      </c>
    </row>
    <row r="2714" spans="1:7" ht="16">
      <c r="A2714" s="13"/>
      <c r="B2714" s="10"/>
      <c r="C2714" s="21" t="s">
        <v>1645</v>
      </c>
      <c r="D2714" s="10" t="s">
        <v>373</v>
      </c>
      <c r="E2714" s="9">
        <v>1</v>
      </c>
      <c r="F2714" s="9">
        <v>290</v>
      </c>
      <c r="G2714" s="8">
        <f>F2714/580</f>
        <v>0.5</v>
      </c>
    </row>
    <row r="2715" spans="1:7" ht="16">
      <c r="A2715" s="13" t="s">
        <v>1817</v>
      </c>
      <c r="B2715" s="10">
        <v>2</v>
      </c>
      <c r="C2715" s="21">
        <v>4714781020503</v>
      </c>
      <c r="D2715" s="10" t="s">
        <v>1372</v>
      </c>
      <c r="E2715" s="9">
        <v>2</v>
      </c>
      <c r="F2715" s="9">
        <v>290</v>
      </c>
      <c r="G2715" s="8">
        <f>F2715/580</f>
        <v>0.5</v>
      </c>
    </row>
    <row r="2716" spans="1:7" ht="16">
      <c r="A2716" s="13"/>
      <c r="B2716" s="10"/>
      <c r="C2716" s="21" t="s">
        <v>1643</v>
      </c>
      <c r="D2716" s="10" t="s">
        <v>264</v>
      </c>
      <c r="E2716" s="9">
        <v>1</v>
      </c>
      <c r="F2716" s="9">
        <v>290</v>
      </c>
      <c r="G2716" s="8">
        <f>F2716/580</f>
        <v>0.5</v>
      </c>
    </row>
    <row r="2717" spans="1:7" ht="16">
      <c r="A2717" s="13" t="s">
        <v>1816</v>
      </c>
      <c r="B2717" s="10">
        <v>2</v>
      </c>
      <c r="C2717" s="21">
        <v>4714781020503</v>
      </c>
      <c r="D2717" s="10" t="s">
        <v>1372</v>
      </c>
      <c r="E2717" s="9">
        <v>2</v>
      </c>
      <c r="F2717" s="9">
        <v>290</v>
      </c>
      <c r="G2717" s="8">
        <f>F2717/580</f>
        <v>0.5</v>
      </c>
    </row>
    <row r="2718" spans="1:7" ht="16">
      <c r="A2718" s="13"/>
      <c r="B2718" s="10"/>
      <c r="C2718" s="21" t="s">
        <v>1641</v>
      </c>
      <c r="D2718" s="10" t="s">
        <v>359</v>
      </c>
      <c r="E2718" s="9">
        <v>1</v>
      </c>
      <c r="F2718" s="9">
        <v>290</v>
      </c>
      <c r="G2718" s="8">
        <f>F2718/580</f>
        <v>0.5</v>
      </c>
    </row>
    <row r="2719" spans="1:7" ht="16">
      <c r="A2719" s="13" t="s">
        <v>1815</v>
      </c>
      <c r="B2719" s="10">
        <v>2</v>
      </c>
      <c r="C2719" s="21">
        <v>4714781020558</v>
      </c>
      <c r="D2719" s="10" t="s">
        <v>1370</v>
      </c>
      <c r="E2719" s="9">
        <v>2</v>
      </c>
      <c r="F2719" s="9">
        <v>290</v>
      </c>
      <c r="G2719" s="8">
        <f>F2719/580</f>
        <v>0.5</v>
      </c>
    </row>
    <row r="2720" spans="1:7" ht="16">
      <c r="A2720" s="13"/>
      <c r="B2720" s="10"/>
      <c r="C2720" s="21">
        <v>4714781020282</v>
      </c>
      <c r="D2720" s="10" t="s">
        <v>275</v>
      </c>
      <c r="E2720" s="9">
        <v>1</v>
      </c>
      <c r="F2720" s="9">
        <v>290</v>
      </c>
      <c r="G2720" s="8">
        <f>F2720/580</f>
        <v>0.5</v>
      </c>
    </row>
    <row r="2721" spans="1:7" ht="16">
      <c r="A2721" s="13" t="s">
        <v>1814</v>
      </c>
      <c r="B2721" s="10">
        <v>2</v>
      </c>
      <c r="C2721" s="21">
        <v>4714781020558</v>
      </c>
      <c r="D2721" s="10" t="s">
        <v>1370</v>
      </c>
      <c r="E2721" s="9">
        <v>2</v>
      </c>
      <c r="F2721" s="9">
        <v>290</v>
      </c>
      <c r="G2721" s="8">
        <f>F2721/580</f>
        <v>0.5</v>
      </c>
    </row>
    <row r="2722" spans="1:7" ht="16">
      <c r="A2722" s="13"/>
      <c r="B2722" s="10"/>
      <c r="C2722" s="21" t="s">
        <v>1647</v>
      </c>
      <c r="D2722" s="10" t="s">
        <v>1367</v>
      </c>
      <c r="E2722" s="9">
        <v>1</v>
      </c>
      <c r="F2722" s="9">
        <v>290</v>
      </c>
      <c r="G2722" s="8">
        <f>F2722/580</f>
        <v>0.5</v>
      </c>
    </row>
    <row r="2723" spans="1:7" ht="16">
      <c r="A2723" s="13" t="s">
        <v>1813</v>
      </c>
      <c r="B2723" s="10">
        <v>2</v>
      </c>
      <c r="C2723" s="21">
        <v>4714781020558</v>
      </c>
      <c r="D2723" s="10" t="s">
        <v>1370</v>
      </c>
      <c r="E2723" s="9">
        <v>2</v>
      </c>
      <c r="F2723" s="9">
        <v>290</v>
      </c>
      <c r="G2723" s="8">
        <f>F2723/580</f>
        <v>0.5</v>
      </c>
    </row>
    <row r="2724" spans="1:7" ht="16">
      <c r="A2724" s="13"/>
      <c r="B2724" s="10"/>
      <c r="C2724" s="21" t="s">
        <v>1645</v>
      </c>
      <c r="D2724" s="10" t="s">
        <v>373</v>
      </c>
      <c r="E2724" s="9">
        <v>1</v>
      </c>
      <c r="F2724" s="9">
        <v>290</v>
      </c>
      <c r="G2724" s="8">
        <f>F2724/580</f>
        <v>0.5</v>
      </c>
    </row>
    <row r="2725" spans="1:7" ht="16">
      <c r="A2725" s="13" t="s">
        <v>1812</v>
      </c>
      <c r="B2725" s="10">
        <v>2</v>
      </c>
      <c r="C2725" s="21">
        <v>4714781020558</v>
      </c>
      <c r="D2725" s="10" t="s">
        <v>1370</v>
      </c>
      <c r="E2725" s="9">
        <v>2</v>
      </c>
      <c r="F2725" s="9">
        <v>290</v>
      </c>
      <c r="G2725" s="8">
        <f>F2725/580</f>
        <v>0.5</v>
      </c>
    </row>
    <row r="2726" spans="1:7" ht="16">
      <c r="A2726" s="13"/>
      <c r="B2726" s="10"/>
      <c r="C2726" s="21" t="s">
        <v>1643</v>
      </c>
      <c r="D2726" s="10" t="s">
        <v>264</v>
      </c>
      <c r="E2726" s="9">
        <v>1</v>
      </c>
      <c r="F2726" s="9">
        <v>290</v>
      </c>
      <c r="G2726" s="8">
        <f>F2726/580</f>
        <v>0.5</v>
      </c>
    </row>
    <row r="2727" spans="1:7" ht="16">
      <c r="A2727" s="13" t="s">
        <v>1811</v>
      </c>
      <c r="B2727" s="10">
        <v>2</v>
      </c>
      <c r="C2727" s="21">
        <v>4714781020558</v>
      </c>
      <c r="D2727" s="10" t="s">
        <v>1370</v>
      </c>
      <c r="E2727" s="9">
        <v>2</v>
      </c>
      <c r="F2727" s="9">
        <v>290</v>
      </c>
      <c r="G2727" s="8">
        <f>F2727/580</f>
        <v>0.5</v>
      </c>
    </row>
    <row r="2728" spans="1:7" ht="16">
      <c r="A2728" s="13"/>
      <c r="B2728" s="10"/>
      <c r="C2728" s="21" t="s">
        <v>1641</v>
      </c>
      <c r="D2728" s="10" t="s">
        <v>359</v>
      </c>
      <c r="E2728" s="9">
        <v>1</v>
      </c>
      <c r="F2728" s="9">
        <v>290</v>
      </c>
      <c r="G2728" s="8">
        <f>F2728/580</f>
        <v>0.5</v>
      </c>
    </row>
    <row r="2729" spans="1:7" ht="16">
      <c r="A2729" s="13" t="s">
        <v>1810</v>
      </c>
      <c r="B2729" s="10">
        <v>3</v>
      </c>
      <c r="C2729" s="21">
        <v>4714781020466</v>
      </c>
      <c r="D2729" s="10" t="s">
        <v>1374</v>
      </c>
      <c r="E2729" s="9">
        <v>2</v>
      </c>
      <c r="F2729" s="9">
        <v>290</v>
      </c>
      <c r="G2729" s="8">
        <f>F2729/950</f>
        <v>0.30526315789473685</v>
      </c>
    </row>
    <row r="2730" spans="1:7" ht="16">
      <c r="A2730" s="13"/>
      <c r="B2730" s="10"/>
      <c r="C2730" s="21">
        <v>4714781020282</v>
      </c>
      <c r="D2730" s="10" t="s">
        <v>275</v>
      </c>
      <c r="E2730" s="9">
        <v>1</v>
      </c>
      <c r="F2730" s="9">
        <v>280</v>
      </c>
      <c r="G2730" s="8">
        <f>F2730/950</f>
        <v>0.29473684210526313</v>
      </c>
    </row>
    <row r="2731" spans="1:7" ht="16">
      <c r="A2731" s="13"/>
      <c r="B2731" s="10"/>
      <c r="C2731" s="21" t="s">
        <v>1640</v>
      </c>
      <c r="D2731" s="10" t="s">
        <v>271</v>
      </c>
      <c r="E2731" s="9">
        <v>1</v>
      </c>
      <c r="F2731" s="9">
        <v>380</v>
      </c>
      <c r="G2731" s="8">
        <f>F2731/950</f>
        <v>0.4</v>
      </c>
    </row>
    <row r="2732" spans="1:7" ht="16">
      <c r="A2732" s="13" t="s">
        <v>1809</v>
      </c>
      <c r="B2732" s="10">
        <v>3</v>
      </c>
      <c r="C2732" s="21">
        <v>4714781020466</v>
      </c>
      <c r="D2732" s="10" t="s">
        <v>1374</v>
      </c>
      <c r="E2732" s="9">
        <v>2</v>
      </c>
      <c r="F2732" s="9">
        <v>290</v>
      </c>
      <c r="G2732" s="8">
        <f>F2732/950</f>
        <v>0.30526315789473685</v>
      </c>
    </row>
    <row r="2733" spans="1:7" ht="16">
      <c r="A2733" s="13"/>
      <c r="B2733" s="10"/>
      <c r="C2733" s="21" t="s">
        <v>1647</v>
      </c>
      <c r="D2733" s="10" t="s">
        <v>1367</v>
      </c>
      <c r="E2733" s="9">
        <v>1</v>
      </c>
      <c r="F2733" s="9">
        <v>280</v>
      </c>
      <c r="G2733" s="8">
        <f>F2733/950</f>
        <v>0.29473684210526313</v>
      </c>
    </row>
    <row r="2734" spans="1:7" ht="16">
      <c r="A2734" s="13"/>
      <c r="B2734" s="10"/>
      <c r="C2734" s="21" t="s">
        <v>1640</v>
      </c>
      <c r="D2734" s="10" t="s">
        <v>271</v>
      </c>
      <c r="E2734" s="9">
        <v>1</v>
      </c>
      <c r="F2734" s="9">
        <v>380</v>
      </c>
      <c r="G2734" s="8">
        <f>F2734/950</f>
        <v>0.4</v>
      </c>
    </row>
    <row r="2735" spans="1:7" ht="16">
      <c r="A2735" s="13" t="s">
        <v>1808</v>
      </c>
      <c r="B2735" s="10">
        <v>3</v>
      </c>
      <c r="C2735" s="21">
        <v>4714781020466</v>
      </c>
      <c r="D2735" s="10" t="s">
        <v>1374</v>
      </c>
      <c r="E2735" s="9">
        <v>2</v>
      </c>
      <c r="F2735" s="9">
        <v>290</v>
      </c>
      <c r="G2735" s="8">
        <f>F2735/950</f>
        <v>0.30526315789473685</v>
      </c>
    </row>
    <row r="2736" spans="1:7" ht="16">
      <c r="A2736" s="13"/>
      <c r="B2736" s="10"/>
      <c r="C2736" s="21" t="s">
        <v>1645</v>
      </c>
      <c r="D2736" s="10" t="s">
        <v>373</v>
      </c>
      <c r="E2736" s="9">
        <v>1</v>
      </c>
      <c r="F2736" s="9">
        <v>280</v>
      </c>
      <c r="G2736" s="8">
        <f>F2736/950</f>
        <v>0.29473684210526313</v>
      </c>
    </row>
    <row r="2737" spans="1:7" ht="16">
      <c r="A2737" s="13"/>
      <c r="B2737" s="10"/>
      <c r="C2737" s="21" t="s">
        <v>1640</v>
      </c>
      <c r="D2737" s="10" t="s">
        <v>271</v>
      </c>
      <c r="E2737" s="9">
        <v>1</v>
      </c>
      <c r="F2737" s="9">
        <v>380</v>
      </c>
      <c r="G2737" s="8">
        <f>F2737/950</f>
        <v>0.4</v>
      </c>
    </row>
    <row r="2738" spans="1:7" ht="16">
      <c r="A2738" s="13" t="s">
        <v>1807</v>
      </c>
      <c r="B2738" s="10">
        <v>3</v>
      </c>
      <c r="C2738" s="21">
        <v>4714781020466</v>
      </c>
      <c r="D2738" s="10" t="s">
        <v>1374</v>
      </c>
      <c r="E2738" s="9">
        <v>2</v>
      </c>
      <c r="F2738" s="9">
        <v>290</v>
      </c>
      <c r="G2738" s="8">
        <f>F2738/950</f>
        <v>0.30526315789473685</v>
      </c>
    </row>
    <row r="2739" spans="1:7" ht="16">
      <c r="A2739" s="13"/>
      <c r="B2739" s="10"/>
      <c r="C2739" s="21" t="s">
        <v>1643</v>
      </c>
      <c r="D2739" s="10" t="s">
        <v>264</v>
      </c>
      <c r="E2739" s="9">
        <v>1</v>
      </c>
      <c r="F2739" s="9">
        <v>280</v>
      </c>
      <c r="G2739" s="8">
        <f>F2739/950</f>
        <v>0.29473684210526313</v>
      </c>
    </row>
    <row r="2740" spans="1:7" ht="16">
      <c r="A2740" s="13"/>
      <c r="B2740" s="10"/>
      <c r="C2740" s="21" t="s">
        <v>1640</v>
      </c>
      <c r="D2740" s="10" t="s">
        <v>271</v>
      </c>
      <c r="E2740" s="9">
        <v>1</v>
      </c>
      <c r="F2740" s="9">
        <v>380</v>
      </c>
      <c r="G2740" s="8">
        <f>F2740/950</f>
        <v>0.4</v>
      </c>
    </row>
    <row r="2741" spans="1:7" ht="16">
      <c r="A2741" s="13" t="s">
        <v>1806</v>
      </c>
      <c r="B2741" s="10">
        <v>3</v>
      </c>
      <c r="C2741" s="21">
        <v>4714781020466</v>
      </c>
      <c r="D2741" s="10" t="s">
        <v>1374</v>
      </c>
      <c r="E2741" s="9">
        <v>2</v>
      </c>
      <c r="F2741" s="9">
        <v>290</v>
      </c>
      <c r="G2741" s="8">
        <f>F2741/950</f>
        <v>0.30526315789473685</v>
      </c>
    </row>
    <row r="2742" spans="1:7" ht="16">
      <c r="A2742" s="13"/>
      <c r="B2742" s="10"/>
      <c r="C2742" s="21" t="s">
        <v>1641</v>
      </c>
      <c r="D2742" s="10" t="s">
        <v>359</v>
      </c>
      <c r="E2742" s="9">
        <v>1</v>
      </c>
      <c r="F2742" s="9">
        <v>280</v>
      </c>
      <c r="G2742" s="8">
        <f>F2742/950</f>
        <v>0.29473684210526313</v>
      </c>
    </row>
    <row r="2743" spans="1:7" ht="16">
      <c r="A2743" s="13"/>
      <c r="B2743" s="10"/>
      <c r="C2743" s="21" t="s">
        <v>1640</v>
      </c>
      <c r="D2743" s="10" t="s">
        <v>271</v>
      </c>
      <c r="E2743" s="9">
        <v>1</v>
      </c>
      <c r="F2743" s="9">
        <v>380</v>
      </c>
      <c r="G2743" s="8">
        <f>F2743/950</f>
        <v>0.4</v>
      </c>
    </row>
    <row r="2744" spans="1:7" ht="16">
      <c r="A2744" s="13" t="s">
        <v>1805</v>
      </c>
      <c r="B2744" s="10">
        <v>3</v>
      </c>
      <c r="C2744" s="21">
        <v>4714781020503</v>
      </c>
      <c r="D2744" s="10" t="s">
        <v>1372</v>
      </c>
      <c r="E2744" s="9">
        <v>2</v>
      </c>
      <c r="F2744" s="9">
        <v>290</v>
      </c>
      <c r="G2744" s="8">
        <f>F2744/950</f>
        <v>0.30526315789473685</v>
      </c>
    </row>
    <row r="2745" spans="1:7" ht="16">
      <c r="A2745" s="13"/>
      <c r="B2745" s="10"/>
      <c r="C2745" s="21">
        <v>4714781020282</v>
      </c>
      <c r="D2745" s="10" t="s">
        <v>275</v>
      </c>
      <c r="E2745" s="9">
        <v>1</v>
      </c>
      <c r="F2745" s="9">
        <v>280</v>
      </c>
      <c r="G2745" s="8">
        <f>F2745/950</f>
        <v>0.29473684210526313</v>
      </c>
    </row>
    <row r="2746" spans="1:7" ht="16">
      <c r="A2746" s="13"/>
      <c r="B2746" s="10"/>
      <c r="C2746" s="21" t="s">
        <v>1640</v>
      </c>
      <c r="D2746" s="10" t="s">
        <v>271</v>
      </c>
      <c r="E2746" s="9">
        <v>1</v>
      </c>
      <c r="F2746" s="9">
        <v>380</v>
      </c>
      <c r="G2746" s="8">
        <f>F2746/950</f>
        <v>0.4</v>
      </c>
    </row>
    <row r="2747" spans="1:7" ht="16">
      <c r="A2747" s="13" t="s">
        <v>1804</v>
      </c>
      <c r="B2747" s="10">
        <v>3</v>
      </c>
      <c r="C2747" s="21">
        <v>4714781020503</v>
      </c>
      <c r="D2747" s="10" t="s">
        <v>1372</v>
      </c>
      <c r="E2747" s="9">
        <v>2</v>
      </c>
      <c r="F2747" s="9">
        <v>290</v>
      </c>
      <c r="G2747" s="8">
        <f>F2747/950</f>
        <v>0.30526315789473685</v>
      </c>
    </row>
    <row r="2748" spans="1:7" ht="16">
      <c r="A2748" s="13"/>
      <c r="B2748" s="10"/>
      <c r="C2748" s="21" t="s">
        <v>1647</v>
      </c>
      <c r="D2748" s="10" t="s">
        <v>1367</v>
      </c>
      <c r="E2748" s="9">
        <v>1</v>
      </c>
      <c r="F2748" s="9">
        <v>280</v>
      </c>
      <c r="G2748" s="8">
        <f>F2748/950</f>
        <v>0.29473684210526313</v>
      </c>
    </row>
    <row r="2749" spans="1:7" ht="16">
      <c r="A2749" s="13"/>
      <c r="B2749" s="10"/>
      <c r="C2749" s="21" t="s">
        <v>1640</v>
      </c>
      <c r="D2749" s="10" t="s">
        <v>271</v>
      </c>
      <c r="E2749" s="9">
        <v>1</v>
      </c>
      <c r="F2749" s="9">
        <v>380</v>
      </c>
      <c r="G2749" s="8">
        <f>F2749/950</f>
        <v>0.4</v>
      </c>
    </row>
    <row r="2750" spans="1:7" ht="16">
      <c r="A2750" s="13" t="s">
        <v>1803</v>
      </c>
      <c r="B2750" s="10">
        <v>3</v>
      </c>
      <c r="C2750" s="21">
        <v>4714781020503</v>
      </c>
      <c r="D2750" s="10" t="s">
        <v>1372</v>
      </c>
      <c r="E2750" s="9">
        <v>2</v>
      </c>
      <c r="F2750" s="9">
        <v>290</v>
      </c>
      <c r="G2750" s="8">
        <f>F2750/950</f>
        <v>0.30526315789473685</v>
      </c>
    </row>
    <row r="2751" spans="1:7" ht="16">
      <c r="A2751" s="13"/>
      <c r="B2751" s="10"/>
      <c r="C2751" s="21" t="s">
        <v>1645</v>
      </c>
      <c r="D2751" s="10" t="s">
        <v>373</v>
      </c>
      <c r="E2751" s="9">
        <v>1</v>
      </c>
      <c r="F2751" s="9">
        <v>280</v>
      </c>
      <c r="G2751" s="8">
        <f>F2751/950</f>
        <v>0.29473684210526313</v>
      </c>
    </row>
    <row r="2752" spans="1:7" ht="16">
      <c r="A2752" s="13"/>
      <c r="B2752" s="10"/>
      <c r="C2752" s="21" t="s">
        <v>1640</v>
      </c>
      <c r="D2752" s="10" t="s">
        <v>271</v>
      </c>
      <c r="E2752" s="9">
        <v>1</v>
      </c>
      <c r="F2752" s="9">
        <v>380</v>
      </c>
      <c r="G2752" s="8">
        <f>F2752/950</f>
        <v>0.4</v>
      </c>
    </row>
    <row r="2753" spans="1:7" ht="16">
      <c r="A2753" s="13" t="s">
        <v>1802</v>
      </c>
      <c r="B2753" s="10">
        <v>3</v>
      </c>
      <c r="C2753" s="21">
        <v>4714781020503</v>
      </c>
      <c r="D2753" s="10" t="s">
        <v>1372</v>
      </c>
      <c r="E2753" s="9">
        <v>2</v>
      </c>
      <c r="F2753" s="9">
        <v>290</v>
      </c>
      <c r="G2753" s="8">
        <f>F2753/950</f>
        <v>0.30526315789473685</v>
      </c>
    </row>
    <row r="2754" spans="1:7" ht="16">
      <c r="A2754" s="13"/>
      <c r="B2754" s="10"/>
      <c r="C2754" s="21" t="s">
        <v>1643</v>
      </c>
      <c r="D2754" s="10" t="s">
        <v>264</v>
      </c>
      <c r="E2754" s="9">
        <v>1</v>
      </c>
      <c r="F2754" s="9">
        <v>280</v>
      </c>
      <c r="G2754" s="8">
        <f>F2754/950</f>
        <v>0.29473684210526313</v>
      </c>
    </row>
    <row r="2755" spans="1:7" ht="16">
      <c r="A2755" s="13"/>
      <c r="B2755" s="10"/>
      <c r="C2755" s="21" t="s">
        <v>1640</v>
      </c>
      <c r="D2755" s="10" t="s">
        <v>271</v>
      </c>
      <c r="E2755" s="9">
        <v>1</v>
      </c>
      <c r="F2755" s="9">
        <v>380</v>
      </c>
      <c r="G2755" s="8">
        <f>F2755/950</f>
        <v>0.4</v>
      </c>
    </row>
    <row r="2756" spans="1:7" ht="16">
      <c r="A2756" s="13" t="s">
        <v>1801</v>
      </c>
      <c r="B2756" s="10">
        <v>3</v>
      </c>
      <c r="C2756" s="21">
        <v>4714781020503</v>
      </c>
      <c r="D2756" s="10" t="s">
        <v>1372</v>
      </c>
      <c r="E2756" s="9">
        <v>2</v>
      </c>
      <c r="F2756" s="9">
        <v>290</v>
      </c>
      <c r="G2756" s="8">
        <f>F2756/950</f>
        <v>0.30526315789473685</v>
      </c>
    </row>
    <row r="2757" spans="1:7" ht="16">
      <c r="A2757" s="13"/>
      <c r="B2757" s="10"/>
      <c r="C2757" s="21" t="s">
        <v>1641</v>
      </c>
      <c r="D2757" s="10" t="s">
        <v>359</v>
      </c>
      <c r="E2757" s="9">
        <v>1</v>
      </c>
      <c r="F2757" s="9">
        <v>280</v>
      </c>
      <c r="G2757" s="8">
        <f>F2757/950</f>
        <v>0.29473684210526313</v>
      </c>
    </row>
    <row r="2758" spans="1:7" ht="16">
      <c r="A2758" s="13"/>
      <c r="B2758" s="10"/>
      <c r="C2758" s="21" t="s">
        <v>1640</v>
      </c>
      <c r="D2758" s="10" t="s">
        <v>271</v>
      </c>
      <c r="E2758" s="9">
        <v>1</v>
      </c>
      <c r="F2758" s="9">
        <v>380</v>
      </c>
      <c r="G2758" s="8">
        <f>F2758/950</f>
        <v>0.4</v>
      </c>
    </row>
    <row r="2759" spans="1:7" ht="16">
      <c r="A2759" s="13" t="s">
        <v>1800</v>
      </c>
      <c r="B2759" s="10">
        <v>3</v>
      </c>
      <c r="C2759" s="21">
        <v>4714781020558</v>
      </c>
      <c r="D2759" s="10" t="s">
        <v>1370</v>
      </c>
      <c r="E2759" s="9">
        <v>2</v>
      </c>
      <c r="F2759" s="9">
        <v>290</v>
      </c>
      <c r="G2759" s="8">
        <f>F2759/950</f>
        <v>0.30526315789473685</v>
      </c>
    </row>
    <row r="2760" spans="1:7" ht="16">
      <c r="A2760" s="13"/>
      <c r="B2760" s="10"/>
      <c r="C2760" s="21">
        <v>4714781020282</v>
      </c>
      <c r="D2760" s="10" t="s">
        <v>275</v>
      </c>
      <c r="E2760" s="9">
        <v>1</v>
      </c>
      <c r="F2760" s="9">
        <v>280</v>
      </c>
      <c r="G2760" s="8">
        <f>F2760/950</f>
        <v>0.29473684210526313</v>
      </c>
    </row>
    <row r="2761" spans="1:7" ht="16">
      <c r="A2761" s="13"/>
      <c r="B2761" s="10"/>
      <c r="C2761" s="21" t="s">
        <v>1640</v>
      </c>
      <c r="D2761" s="10" t="s">
        <v>271</v>
      </c>
      <c r="E2761" s="9">
        <v>1</v>
      </c>
      <c r="F2761" s="9">
        <v>380</v>
      </c>
      <c r="G2761" s="8">
        <f>F2761/950</f>
        <v>0.4</v>
      </c>
    </row>
    <row r="2762" spans="1:7" ht="16">
      <c r="A2762" s="13" t="s">
        <v>1799</v>
      </c>
      <c r="B2762" s="10">
        <v>3</v>
      </c>
      <c r="C2762" s="21">
        <v>4714781020558</v>
      </c>
      <c r="D2762" s="10" t="s">
        <v>1370</v>
      </c>
      <c r="E2762" s="9">
        <v>2</v>
      </c>
      <c r="F2762" s="9">
        <v>290</v>
      </c>
      <c r="G2762" s="8">
        <f>F2762/950</f>
        <v>0.30526315789473685</v>
      </c>
    </row>
    <row r="2763" spans="1:7" ht="16">
      <c r="A2763" s="13"/>
      <c r="B2763" s="10"/>
      <c r="C2763" s="21" t="s">
        <v>1647</v>
      </c>
      <c r="D2763" s="10" t="s">
        <v>1367</v>
      </c>
      <c r="E2763" s="9">
        <v>1</v>
      </c>
      <c r="F2763" s="9">
        <v>280</v>
      </c>
      <c r="G2763" s="8">
        <f>F2763/950</f>
        <v>0.29473684210526313</v>
      </c>
    </row>
    <row r="2764" spans="1:7" ht="16">
      <c r="A2764" s="13"/>
      <c r="B2764" s="10"/>
      <c r="C2764" s="21" t="s">
        <v>1640</v>
      </c>
      <c r="D2764" s="10" t="s">
        <v>271</v>
      </c>
      <c r="E2764" s="9">
        <v>1</v>
      </c>
      <c r="F2764" s="9">
        <v>380</v>
      </c>
      <c r="G2764" s="8">
        <f>F2764/950</f>
        <v>0.4</v>
      </c>
    </row>
    <row r="2765" spans="1:7" ht="16">
      <c r="A2765" s="13" t="s">
        <v>1798</v>
      </c>
      <c r="B2765" s="10">
        <v>3</v>
      </c>
      <c r="C2765" s="21">
        <v>4714781020558</v>
      </c>
      <c r="D2765" s="10" t="s">
        <v>1370</v>
      </c>
      <c r="E2765" s="9">
        <v>2</v>
      </c>
      <c r="F2765" s="9">
        <v>290</v>
      </c>
      <c r="G2765" s="8">
        <f>F2765/950</f>
        <v>0.30526315789473685</v>
      </c>
    </row>
    <row r="2766" spans="1:7" ht="16">
      <c r="A2766" s="13"/>
      <c r="B2766" s="10"/>
      <c r="C2766" s="21" t="s">
        <v>1645</v>
      </c>
      <c r="D2766" s="10" t="s">
        <v>373</v>
      </c>
      <c r="E2766" s="9">
        <v>1</v>
      </c>
      <c r="F2766" s="9">
        <v>280</v>
      </c>
      <c r="G2766" s="8">
        <f>F2766/950</f>
        <v>0.29473684210526313</v>
      </c>
    </row>
    <row r="2767" spans="1:7" ht="16">
      <c r="A2767" s="13"/>
      <c r="B2767" s="10"/>
      <c r="C2767" s="21" t="s">
        <v>1640</v>
      </c>
      <c r="D2767" s="10" t="s">
        <v>271</v>
      </c>
      <c r="E2767" s="9">
        <v>1</v>
      </c>
      <c r="F2767" s="9">
        <v>380</v>
      </c>
      <c r="G2767" s="8">
        <f>F2767/950</f>
        <v>0.4</v>
      </c>
    </row>
    <row r="2768" spans="1:7" ht="16">
      <c r="A2768" s="13" t="s">
        <v>1797</v>
      </c>
      <c r="B2768" s="10">
        <v>3</v>
      </c>
      <c r="C2768" s="21">
        <v>4714781020558</v>
      </c>
      <c r="D2768" s="10" t="s">
        <v>1370</v>
      </c>
      <c r="E2768" s="9">
        <v>2</v>
      </c>
      <c r="F2768" s="9">
        <v>290</v>
      </c>
      <c r="G2768" s="8">
        <f>F2768/950</f>
        <v>0.30526315789473685</v>
      </c>
    </row>
    <row r="2769" spans="1:7" ht="16">
      <c r="A2769" s="13"/>
      <c r="B2769" s="10"/>
      <c r="C2769" s="21" t="s">
        <v>1643</v>
      </c>
      <c r="D2769" s="10" t="s">
        <v>264</v>
      </c>
      <c r="E2769" s="9">
        <v>1</v>
      </c>
      <c r="F2769" s="9">
        <v>280</v>
      </c>
      <c r="G2769" s="8">
        <f>F2769/950</f>
        <v>0.29473684210526313</v>
      </c>
    </row>
    <row r="2770" spans="1:7" ht="16">
      <c r="A2770" s="13"/>
      <c r="B2770" s="10"/>
      <c r="C2770" s="21" t="s">
        <v>1640</v>
      </c>
      <c r="D2770" s="10" t="s">
        <v>271</v>
      </c>
      <c r="E2770" s="9">
        <v>1</v>
      </c>
      <c r="F2770" s="9">
        <v>380</v>
      </c>
      <c r="G2770" s="8">
        <f>F2770/950</f>
        <v>0.4</v>
      </c>
    </row>
    <row r="2771" spans="1:7" ht="16">
      <c r="A2771" s="13" t="s">
        <v>1796</v>
      </c>
      <c r="B2771" s="10">
        <v>3</v>
      </c>
      <c r="C2771" s="21">
        <v>4714781020558</v>
      </c>
      <c r="D2771" s="10" t="s">
        <v>1370</v>
      </c>
      <c r="E2771" s="9">
        <v>2</v>
      </c>
      <c r="F2771" s="9">
        <v>290</v>
      </c>
      <c r="G2771" s="8">
        <f>F2771/950</f>
        <v>0.30526315789473685</v>
      </c>
    </row>
    <row r="2772" spans="1:7" ht="16">
      <c r="A2772" s="13"/>
      <c r="B2772" s="10"/>
      <c r="C2772" s="21" t="s">
        <v>1641</v>
      </c>
      <c r="D2772" s="10" t="s">
        <v>359</v>
      </c>
      <c r="E2772" s="9">
        <v>1</v>
      </c>
      <c r="F2772" s="9">
        <v>280</v>
      </c>
      <c r="G2772" s="8">
        <f>F2772/950</f>
        <v>0.29473684210526313</v>
      </c>
    </row>
    <row r="2773" spans="1:7" ht="16">
      <c r="A2773" s="13"/>
      <c r="B2773" s="10"/>
      <c r="C2773" s="21" t="s">
        <v>1640</v>
      </c>
      <c r="D2773" s="10" t="s">
        <v>271</v>
      </c>
      <c r="E2773" s="9">
        <v>1</v>
      </c>
      <c r="F2773" s="9">
        <v>380</v>
      </c>
      <c r="G2773" s="8">
        <f>F2773/950</f>
        <v>0.4</v>
      </c>
    </row>
    <row r="2774" spans="1:7" ht="16">
      <c r="A2774" s="13" t="s">
        <v>1795</v>
      </c>
      <c r="B2774" s="10">
        <v>1</v>
      </c>
      <c r="C2774" s="21">
        <v>4714781020794</v>
      </c>
      <c r="D2774" s="10" t="s">
        <v>1320</v>
      </c>
      <c r="E2774" s="9">
        <v>2</v>
      </c>
      <c r="F2774" s="9">
        <v>230</v>
      </c>
      <c r="G2774" s="8">
        <f>F2774/230</f>
        <v>1</v>
      </c>
    </row>
    <row r="2775" spans="1:7" ht="16">
      <c r="A2775" s="13" t="s">
        <v>1794</v>
      </c>
      <c r="B2775" s="10">
        <v>1</v>
      </c>
      <c r="C2775" s="21">
        <v>4714781020800</v>
      </c>
      <c r="D2775" s="10" t="s">
        <v>1319</v>
      </c>
      <c r="E2775" s="9">
        <v>2</v>
      </c>
      <c r="F2775" s="9">
        <v>230</v>
      </c>
      <c r="G2775" s="8">
        <f>F2775/230</f>
        <v>1</v>
      </c>
    </row>
    <row r="2776" spans="1:7" ht="16">
      <c r="A2776" s="13" t="s">
        <v>1793</v>
      </c>
      <c r="B2776" s="10">
        <v>1</v>
      </c>
      <c r="C2776" s="21">
        <v>4714781020817</v>
      </c>
      <c r="D2776" s="10" t="s">
        <v>1317</v>
      </c>
      <c r="E2776" s="9">
        <v>2</v>
      </c>
      <c r="F2776" s="9">
        <v>230</v>
      </c>
      <c r="G2776" s="8">
        <f>F2776/230</f>
        <v>1</v>
      </c>
    </row>
    <row r="2777" spans="1:7" ht="16">
      <c r="A2777" s="13" t="s">
        <v>1792</v>
      </c>
      <c r="B2777" s="10">
        <v>2</v>
      </c>
      <c r="C2777" s="21">
        <v>4714781020794</v>
      </c>
      <c r="D2777" s="10" t="s">
        <v>1320</v>
      </c>
      <c r="E2777" s="9">
        <v>1</v>
      </c>
      <c r="F2777" s="9">
        <v>115</v>
      </c>
      <c r="G2777" s="8">
        <f>F2777/230</f>
        <v>0.5</v>
      </c>
    </row>
    <row r="2778" spans="1:7" ht="16">
      <c r="A2778" s="13"/>
      <c r="B2778" s="10"/>
      <c r="C2778" s="21">
        <v>4714781020800</v>
      </c>
      <c r="D2778" s="10" t="s">
        <v>1319</v>
      </c>
      <c r="E2778" s="9">
        <v>1</v>
      </c>
      <c r="F2778" s="9">
        <v>115</v>
      </c>
      <c r="G2778" s="8">
        <f>F2778/230</f>
        <v>0.5</v>
      </c>
    </row>
    <row r="2779" spans="1:7" ht="16">
      <c r="A2779" s="13" t="s">
        <v>1791</v>
      </c>
      <c r="B2779" s="10">
        <v>2</v>
      </c>
      <c r="C2779" s="21">
        <v>4714781020794</v>
      </c>
      <c r="D2779" s="10" t="s">
        <v>1320</v>
      </c>
      <c r="E2779" s="9">
        <v>1</v>
      </c>
      <c r="F2779" s="9">
        <v>115</v>
      </c>
      <c r="G2779" s="8">
        <f>F2779/230</f>
        <v>0.5</v>
      </c>
    </row>
    <row r="2780" spans="1:7" ht="16">
      <c r="A2780" s="13"/>
      <c r="B2780" s="10"/>
      <c r="C2780" s="21">
        <v>4714781020817</v>
      </c>
      <c r="D2780" s="10" t="s">
        <v>1317</v>
      </c>
      <c r="E2780" s="9">
        <v>1</v>
      </c>
      <c r="F2780" s="9">
        <v>115</v>
      </c>
      <c r="G2780" s="8">
        <f>F2780/230</f>
        <v>0.5</v>
      </c>
    </row>
    <row r="2781" spans="1:7" ht="16">
      <c r="A2781" s="13" t="s">
        <v>1790</v>
      </c>
      <c r="B2781" s="10">
        <v>2</v>
      </c>
      <c r="C2781" s="21">
        <v>4714781020800</v>
      </c>
      <c r="D2781" s="10" t="s">
        <v>1319</v>
      </c>
      <c r="E2781" s="9">
        <v>1</v>
      </c>
      <c r="F2781" s="9">
        <v>115</v>
      </c>
      <c r="G2781" s="8">
        <f>F2781/230</f>
        <v>0.5</v>
      </c>
    </row>
    <row r="2782" spans="1:7" ht="16">
      <c r="A2782" s="13"/>
      <c r="B2782" s="10"/>
      <c r="C2782" s="21">
        <v>4714781020817</v>
      </c>
      <c r="D2782" s="10" t="s">
        <v>1317</v>
      </c>
      <c r="E2782" s="9">
        <v>1</v>
      </c>
      <c r="F2782" s="9">
        <v>115</v>
      </c>
      <c r="G2782" s="8">
        <f>F2782/230</f>
        <v>0.5</v>
      </c>
    </row>
    <row r="2783" spans="1:7" ht="16">
      <c r="A2783" s="13" t="s">
        <v>1789</v>
      </c>
      <c r="B2783" s="10">
        <v>1</v>
      </c>
      <c r="C2783" s="21">
        <v>4714781020770</v>
      </c>
      <c r="D2783" s="10" t="s">
        <v>1380</v>
      </c>
      <c r="E2783" s="9">
        <v>2</v>
      </c>
      <c r="F2783" s="9">
        <v>270</v>
      </c>
      <c r="G2783" s="8">
        <f>F2783/270</f>
        <v>1</v>
      </c>
    </row>
    <row r="2784" spans="1:7" ht="16">
      <c r="A2784" s="13" t="s">
        <v>1788</v>
      </c>
      <c r="B2784" s="10">
        <v>1</v>
      </c>
      <c r="C2784" s="21">
        <v>4714781020787</v>
      </c>
      <c r="D2784" s="10" t="s">
        <v>1378</v>
      </c>
      <c r="E2784" s="9">
        <v>2</v>
      </c>
      <c r="F2784" s="9">
        <v>270</v>
      </c>
      <c r="G2784" s="8">
        <f>F2784/270</f>
        <v>1</v>
      </c>
    </row>
    <row r="2785" spans="1:7" ht="16">
      <c r="A2785" s="13" t="s">
        <v>1787</v>
      </c>
      <c r="B2785" s="10">
        <v>2</v>
      </c>
      <c r="C2785" s="21">
        <v>4714781020770</v>
      </c>
      <c r="D2785" s="10" t="s">
        <v>1380</v>
      </c>
      <c r="E2785" s="9">
        <v>1</v>
      </c>
      <c r="F2785" s="9">
        <v>135</v>
      </c>
      <c r="G2785" s="8">
        <f>F2785/270</f>
        <v>0.5</v>
      </c>
    </row>
    <row r="2786" spans="1:7" ht="16">
      <c r="A2786" s="13"/>
      <c r="B2786" s="10"/>
      <c r="C2786" s="21">
        <v>4714781020787</v>
      </c>
      <c r="D2786" s="10" t="s">
        <v>1378</v>
      </c>
      <c r="E2786" s="9">
        <v>1</v>
      </c>
      <c r="F2786" s="9">
        <v>135</v>
      </c>
      <c r="G2786" s="8">
        <f>F2786/270</f>
        <v>0.5</v>
      </c>
    </row>
    <row r="2787" spans="1:7" ht="16">
      <c r="A2787" s="13" t="s">
        <v>1786</v>
      </c>
      <c r="B2787" s="10">
        <v>1</v>
      </c>
      <c r="C2787" s="21">
        <v>4714781020848</v>
      </c>
      <c r="D2787" s="10" t="s">
        <v>1382</v>
      </c>
      <c r="E2787" s="9">
        <v>2</v>
      </c>
      <c r="F2787" s="9">
        <v>650</v>
      </c>
      <c r="G2787" s="8">
        <f>F2787/650</f>
        <v>1</v>
      </c>
    </row>
    <row r="2788" spans="1:7" ht="16">
      <c r="A2788" s="13" t="s">
        <v>1785</v>
      </c>
      <c r="B2788" s="10">
        <v>1</v>
      </c>
      <c r="C2788" s="21" t="s">
        <v>1596</v>
      </c>
      <c r="D2788" s="10" t="s">
        <v>1384</v>
      </c>
      <c r="E2788" s="9">
        <v>2</v>
      </c>
      <c r="F2788" s="9">
        <v>650</v>
      </c>
      <c r="G2788" s="8">
        <f>F2788/650</f>
        <v>1</v>
      </c>
    </row>
    <row r="2789" spans="1:7" ht="16">
      <c r="A2789" s="13" t="s">
        <v>1784</v>
      </c>
      <c r="B2789" s="10">
        <v>2</v>
      </c>
      <c r="C2789" s="21">
        <v>4714781020848</v>
      </c>
      <c r="D2789" s="10" t="s">
        <v>1382</v>
      </c>
      <c r="E2789" s="9">
        <v>1</v>
      </c>
      <c r="F2789" s="9">
        <v>325</v>
      </c>
      <c r="G2789" s="8">
        <f>F2789/650</f>
        <v>0.5</v>
      </c>
    </row>
    <row r="2790" spans="1:7" ht="16">
      <c r="A2790" s="13"/>
      <c r="B2790" s="10"/>
      <c r="C2790" s="21" t="s">
        <v>1596</v>
      </c>
      <c r="D2790" s="10" t="s">
        <v>1384</v>
      </c>
      <c r="E2790" s="9">
        <v>1</v>
      </c>
      <c r="F2790" s="9">
        <v>325</v>
      </c>
      <c r="G2790" s="8">
        <f>F2790/650</f>
        <v>0.5</v>
      </c>
    </row>
    <row r="2791" spans="1:7" ht="16">
      <c r="A2791" s="13" t="s">
        <v>1783</v>
      </c>
      <c r="B2791" s="10">
        <v>1</v>
      </c>
      <c r="C2791" s="21">
        <v>4714781020824</v>
      </c>
      <c r="D2791" s="10" t="s">
        <v>1391</v>
      </c>
      <c r="E2791" s="9">
        <v>2</v>
      </c>
      <c r="F2791" s="9">
        <v>650</v>
      </c>
      <c r="G2791" s="8">
        <f>F2791/650</f>
        <v>1</v>
      </c>
    </row>
    <row r="2792" spans="1:7" ht="16">
      <c r="A2792" s="13" t="s">
        <v>1782</v>
      </c>
      <c r="B2792" s="10">
        <v>1</v>
      </c>
      <c r="C2792" s="21">
        <v>4714781020831</v>
      </c>
      <c r="D2792" s="10" t="s">
        <v>1389</v>
      </c>
      <c r="E2792" s="9">
        <v>2</v>
      </c>
      <c r="F2792" s="9">
        <v>650</v>
      </c>
      <c r="G2792" s="8">
        <f>F2792/650</f>
        <v>1</v>
      </c>
    </row>
    <row r="2793" spans="1:7" ht="16">
      <c r="A2793" s="13" t="s">
        <v>1781</v>
      </c>
      <c r="B2793" s="10">
        <v>2</v>
      </c>
      <c r="C2793" s="21">
        <v>4714781020824</v>
      </c>
      <c r="D2793" s="10" t="s">
        <v>1391</v>
      </c>
      <c r="E2793" s="9">
        <v>1</v>
      </c>
      <c r="F2793" s="9">
        <v>325</v>
      </c>
      <c r="G2793" s="8">
        <f>F2793/650</f>
        <v>0.5</v>
      </c>
    </row>
    <row r="2794" spans="1:7" ht="16">
      <c r="A2794" s="13"/>
      <c r="B2794" s="10"/>
      <c r="C2794" s="21">
        <v>4714781020831</v>
      </c>
      <c r="D2794" s="10" t="s">
        <v>1389</v>
      </c>
      <c r="E2794" s="9">
        <v>1</v>
      </c>
      <c r="F2794" s="9">
        <v>325</v>
      </c>
      <c r="G2794" s="8">
        <f>F2794/650</f>
        <v>0.5</v>
      </c>
    </row>
    <row r="2795" spans="1:7" ht="16">
      <c r="A2795" s="13" t="s">
        <v>1780</v>
      </c>
      <c r="B2795" s="10">
        <v>2</v>
      </c>
      <c r="C2795" s="21">
        <v>4714781020848</v>
      </c>
      <c r="D2795" s="10" t="s">
        <v>1382</v>
      </c>
      <c r="E2795" s="9">
        <v>1</v>
      </c>
      <c r="F2795" s="9">
        <v>325</v>
      </c>
      <c r="G2795" s="8">
        <f>F2795/650</f>
        <v>0.5</v>
      </c>
    </row>
    <row r="2796" spans="1:7" ht="16">
      <c r="A2796" s="13"/>
      <c r="B2796" s="10"/>
      <c r="C2796" s="21">
        <v>4714781020824</v>
      </c>
      <c r="D2796" s="10" t="s">
        <v>1391</v>
      </c>
      <c r="E2796" s="9">
        <v>1</v>
      </c>
      <c r="F2796" s="9">
        <v>325</v>
      </c>
      <c r="G2796" s="8">
        <f>F2796/650</f>
        <v>0.5</v>
      </c>
    </row>
    <row r="2797" spans="1:7" ht="16">
      <c r="A2797" s="13" t="s">
        <v>1779</v>
      </c>
      <c r="B2797" s="10">
        <v>2</v>
      </c>
      <c r="C2797" s="21">
        <v>4714781020848</v>
      </c>
      <c r="D2797" s="10" t="s">
        <v>1382</v>
      </c>
      <c r="E2797" s="9">
        <v>1</v>
      </c>
      <c r="F2797" s="9">
        <v>325</v>
      </c>
      <c r="G2797" s="8">
        <f>F2797/650</f>
        <v>0.5</v>
      </c>
    </row>
    <row r="2798" spans="1:7" ht="16">
      <c r="A2798" s="13"/>
      <c r="B2798" s="10"/>
      <c r="C2798" s="21">
        <v>4714781020831</v>
      </c>
      <c r="D2798" s="10" t="s">
        <v>1389</v>
      </c>
      <c r="E2798" s="9">
        <v>1</v>
      </c>
      <c r="F2798" s="9">
        <v>325</v>
      </c>
      <c r="G2798" s="8">
        <f>F2798/650</f>
        <v>0.5</v>
      </c>
    </row>
    <row r="2799" spans="1:7" ht="16">
      <c r="A2799" s="13" t="s">
        <v>1778</v>
      </c>
      <c r="B2799" s="10">
        <v>2</v>
      </c>
      <c r="C2799" s="21" t="s">
        <v>1596</v>
      </c>
      <c r="D2799" s="10" t="s">
        <v>1384</v>
      </c>
      <c r="E2799" s="9">
        <v>1</v>
      </c>
      <c r="F2799" s="9">
        <v>325</v>
      </c>
      <c r="G2799" s="8">
        <f>F2799/650</f>
        <v>0.5</v>
      </c>
    </row>
    <row r="2800" spans="1:7" ht="16">
      <c r="A2800" s="13"/>
      <c r="B2800" s="10"/>
      <c r="C2800" s="21">
        <v>4714781020824</v>
      </c>
      <c r="D2800" s="10" t="s">
        <v>1391</v>
      </c>
      <c r="E2800" s="9">
        <v>1</v>
      </c>
      <c r="F2800" s="9">
        <v>325</v>
      </c>
      <c r="G2800" s="8">
        <f>F2800/650</f>
        <v>0.5</v>
      </c>
    </row>
    <row r="2801" spans="1:7" ht="16">
      <c r="A2801" s="13" t="s">
        <v>1777</v>
      </c>
      <c r="B2801" s="10">
        <v>2</v>
      </c>
      <c r="C2801" s="21" t="s">
        <v>1596</v>
      </c>
      <c r="D2801" s="10" t="s">
        <v>1384</v>
      </c>
      <c r="E2801" s="9">
        <v>1</v>
      </c>
      <c r="F2801" s="9">
        <v>325</v>
      </c>
      <c r="G2801" s="8">
        <f>F2801/650</f>
        <v>0.5</v>
      </c>
    </row>
    <row r="2802" spans="1:7" ht="16">
      <c r="A2802" s="13"/>
      <c r="B2802" s="10"/>
      <c r="C2802" s="21">
        <v>4714781020831</v>
      </c>
      <c r="D2802" s="10" t="s">
        <v>1389</v>
      </c>
      <c r="E2802" s="9">
        <v>1</v>
      </c>
      <c r="F2802" s="9">
        <v>325</v>
      </c>
      <c r="G2802" s="8">
        <f>F2802/650</f>
        <v>0.5</v>
      </c>
    </row>
    <row r="2803" spans="1:7" ht="16">
      <c r="A2803" s="13" t="s">
        <v>1776</v>
      </c>
      <c r="B2803" s="10">
        <v>1</v>
      </c>
      <c r="C2803" s="21" t="s">
        <v>1619</v>
      </c>
      <c r="D2803" s="10" t="s">
        <v>1376</v>
      </c>
      <c r="E2803" s="9">
        <v>4</v>
      </c>
      <c r="F2803" s="9">
        <v>550</v>
      </c>
      <c r="G2803" s="8">
        <f>F2803/550</f>
        <v>1</v>
      </c>
    </row>
    <row r="2804" spans="1:7" ht="16">
      <c r="A2804" s="13" t="s">
        <v>1775</v>
      </c>
      <c r="B2804" s="10">
        <v>5</v>
      </c>
      <c r="C2804" s="21" t="s">
        <v>1585</v>
      </c>
      <c r="D2804" s="10" t="s">
        <v>1584</v>
      </c>
      <c r="E2804" s="9">
        <v>1</v>
      </c>
      <c r="F2804" s="9">
        <v>100</v>
      </c>
      <c r="G2804" s="8">
        <f>F2804/650</f>
        <v>0.15384615384615385</v>
      </c>
    </row>
    <row r="2805" spans="1:7" ht="16">
      <c r="A2805" s="13"/>
      <c r="B2805" s="12"/>
      <c r="C2805" s="21" t="s">
        <v>1598</v>
      </c>
      <c r="D2805" s="10" t="s">
        <v>1382</v>
      </c>
      <c r="E2805" s="9">
        <v>1</v>
      </c>
      <c r="F2805" s="9">
        <v>300</v>
      </c>
      <c r="G2805" s="8">
        <f>F2805/650</f>
        <v>0.46153846153846156</v>
      </c>
    </row>
    <row r="2806" spans="1:7" ht="16">
      <c r="A2806" s="13"/>
      <c r="B2806" s="12"/>
      <c r="C2806" s="21" t="s">
        <v>1595</v>
      </c>
      <c r="D2806" s="10" t="s">
        <v>1378</v>
      </c>
      <c r="E2806" s="9">
        <v>1</v>
      </c>
      <c r="F2806" s="9">
        <v>120</v>
      </c>
      <c r="G2806" s="8">
        <f>F2806/650</f>
        <v>0.18461538461538463</v>
      </c>
    </row>
    <row r="2807" spans="1:7" ht="16">
      <c r="A2807" s="13"/>
      <c r="B2807" s="12"/>
      <c r="C2807" s="21" t="s">
        <v>1593</v>
      </c>
      <c r="D2807" s="10" t="s">
        <v>1592</v>
      </c>
      <c r="E2807" s="9">
        <v>1</v>
      </c>
      <c r="F2807" s="9">
        <v>50</v>
      </c>
      <c r="G2807" s="8">
        <f>F2807/650</f>
        <v>7.6923076923076927E-2</v>
      </c>
    </row>
    <row r="2808" spans="1:7" ht="16">
      <c r="A2808" s="13"/>
      <c r="B2808" s="12"/>
      <c r="C2808" s="21" t="s">
        <v>1583</v>
      </c>
      <c r="D2808" s="10" t="s">
        <v>1582</v>
      </c>
      <c r="E2808" s="9">
        <v>1</v>
      </c>
      <c r="F2808" s="9">
        <v>80</v>
      </c>
      <c r="G2808" s="8">
        <f>F2808/650</f>
        <v>0.12307692307692308</v>
      </c>
    </row>
    <row r="2809" spans="1:7" ht="16">
      <c r="A2809" s="13" t="s">
        <v>1774</v>
      </c>
      <c r="B2809" s="10">
        <v>5</v>
      </c>
      <c r="C2809" s="21" t="s">
        <v>1585</v>
      </c>
      <c r="D2809" s="10" t="s">
        <v>1584</v>
      </c>
      <c r="E2809" s="9">
        <v>1</v>
      </c>
      <c r="F2809" s="9">
        <v>100</v>
      </c>
      <c r="G2809" s="8">
        <f>F2809/650</f>
        <v>0.15384615384615385</v>
      </c>
    </row>
    <row r="2810" spans="1:7" ht="16">
      <c r="A2810" s="13"/>
      <c r="B2810" s="12"/>
      <c r="C2810" s="21" t="s">
        <v>1596</v>
      </c>
      <c r="D2810" s="10" t="s">
        <v>1384</v>
      </c>
      <c r="E2810" s="9">
        <v>1</v>
      </c>
      <c r="F2810" s="9">
        <v>300</v>
      </c>
      <c r="G2810" s="8">
        <f>F2810/650</f>
        <v>0.46153846153846156</v>
      </c>
    </row>
    <row r="2811" spans="1:7" ht="16">
      <c r="A2811" s="13"/>
      <c r="B2811" s="12"/>
      <c r="C2811" s="21" t="s">
        <v>1602</v>
      </c>
      <c r="D2811" s="10" t="s">
        <v>1380</v>
      </c>
      <c r="E2811" s="9">
        <v>1</v>
      </c>
      <c r="F2811" s="9">
        <v>120</v>
      </c>
      <c r="G2811" s="8">
        <f>F2811/650</f>
        <v>0.18461538461538463</v>
      </c>
    </row>
    <row r="2812" spans="1:7" ht="16">
      <c r="A2812" s="13"/>
      <c r="B2812" s="12"/>
      <c r="C2812" s="21" t="s">
        <v>1588</v>
      </c>
      <c r="D2812" s="10" t="s">
        <v>1587</v>
      </c>
      <c r="E2812" s="9">
        <v>1</v>
      </c>
      <c r="F2812" s="9">
        <v>50</v>
      </c>
      <c r="G2812" s="8">
        <f>F2812/650</f>
        <v>7.6923076923076927E-2</v>
      </c>
    </row>
    <row r="2813" spans="1:7" ht="16">
      <c r="A2813" s="13"/>
      <c r="B2813" s="12"/>
      <c r="C2813" s="21" t="s">
        <v>1590</v>
      </c>
      <c r="D2813" s="10" t="s">
        <v>1589</v>
      </c>
      <c r="E2813" s="9">
        <v>1</v>
      </c>
      <c r="F2813" s="9">
        <v>80</v>
      </c>
      <c r="G2813" s="8">
        <f>F2813/650</f>
        <v>0.12307692307692308</v>
      </c>
    </row>
    <row r="2814" spans="1:7" ht="16">
      <c r="A2814" s="13" t="s">
        <v>1773</v>
      </c>
      <c r="B2814" s="10">
        <v>5</v>
      </c>
      <c r="C2814" s="21" t="s">
        <v>1585</v>
      </c>
      <c r="D2814" s="10" t="s">
        <v>1584</v>
      </c>
      <c r="E2814" s="9">
        <v>1</v>
      </c>
      <c r="F2814" s="9">
        <v>100</v>
      </c>
      <c r="G2814" s="8">
        <f>F2814/650</f>
        <v>0.15384615384615385</v>
      </c>
    </row>
    <row r="2815" spans="1:7" ht="16">
      <c r="A2815" s="13"/>
      <c r="B2815" s="12"/>
      <c r="C2815" s="21" t="s">
        <v>1596</v>
      </c>
      <c r="D2815" s="10" t="s">
        <v>1384</v>
      </c>
      <c r="E2815" s="9">
        <v>1</v>
      </c>
      <c r="F2815" s="9">
        <v>300</v>
      </c>
      <c r="G2815" s="8">
        <f>F2815/650</f>
        <v>0.46153846153846156</v>
      </c>
    </row>
    <row r="2816" spans="1:7" ht="16">
      <c r="A2816" s="13"/>
      <c r="B2816" s="12"/>
      <c r="C2816" s="21" t="s">
        <v>1595</v>
      </c>
      <c r="D2816" s="10" t="s">
        <v>1378</v>
      </c>
      <c r="E2816" s="9">
        <v>1</v>
      </c>
      <c r="F2816" s="9">
        <v>120</v>
      </c>
      <c r="G2816" s="8">
        <f>F2816/650</f>
        <v>0.18461538461538463</v>
      </c>
    </row>
    <row r="2817" spans="1:7" ht="16">
      <c r="A2817" s="13"/>
      <c r="B2817" s="12"/>
      <c r="C2817" s="21" t="s">
        <v>1581</v>
      </c>
      <c r="D2817" s="10" t="s">
        <v>1580</v>
      </c>
      <c r="E2817" s="9">
        <v>1</v>
      </c>
      <c r="F2817" s="9">
        <v>50</v>
      </c>
      <c r="G2817" s="8">
        <f>F2817/650</f>
        <v>7.6923076923076927E-2</v>
      </c>
    </row>
    <row r="2818" spans="1:7" ht="16">
      <c r="A2818" s="13"/>
      <c r="B2818" s="12"/>
      <c r="C2818" s="21" t="s">
        <v>1583</v>
      </c>
      <c r="D2818" s="10" t="s">
        <v>1582</v>
      </c>
      <c r="E2818" s="9">
        <v>1</v>
      </c>
      <c r="F2818" s="9">
        <v>80</v>
      </c>
      <c r="G2818" s="8">
        <f>F2818/650</f>
        <v>0.12307692307692308</v>
      </c>
    </row>
    <row r="2819" spans="1:7" ht="16">
      <c r="A2819" s="13" t="s">
        <v>1772</v>
      </c>
      <c r="B2819" s="10">
        <v>5</v>
      </c>
      <c r="C2819" s="21" t="s">
        <v>1585</v>
      </c>
      <c r="D2819" s="10" t="s">
        <v>1584</v>
      </c>
      <c r="E2819" s="9">
        <v>1</v>
      </c>
      <c r="F2819" s="9">
        <v>100</v>
      </c>
      <c r="G2819" s="8">
        <f>F2819/650</f>
        <v>0.15384615384615385</v>
      </c>
    </row>
    <row r="2820" spans="1:7" ht="16">
      <c r="A2820" s="13"/>
      <c r="B2820" s="12"/>
      <c r="C2820" s="21" t="s">
        <v>1583</v>
      </c>
      <c r="D2820" s="10" t="s">
        <v>1582</v>
      </c>
      <c r="E2820" s="9">
        <v>1</v>
      </c>
      <c r="F2820" s="9">
        <v>300</v>
      </c>
      <c r="G2820" s="8">
        <f>F2820/650</f>
        <v>0.46153846153846156</v>
      </c>
    </row>
    <row r="2821" spans="1:7" ht="16">
      <c r="A2821" s="13"/>
      <c r="B2821" s="12"/>
      <c r="C2821" s="21" t="s">
        <v>1593</v>
      </c>
      <c r="D2821" s="10" t="s">
        <v>1592</v>
      </c>
      <c r="E2821" s="9">
        <v>1</v>
      </c>
      <c r="F2821" s="9">
        <v>120</v>
      </c>
      <c r="G2821" s="8">
        <f>F2821/650</f>
        <v>0.18461538461538463</v>
      </c>
    </row>
    <row r="2822" spans="1:7" ht="16">
      <c r="A2822" s="13"/>
      <c r="B2822" s="12"/>
      <c r="C2822" s="21">
        <v>4714781020800</v>
      </c>
      <c r="D2822" s="10" t="s">
        <v>1319</v>
      </c>
      <c r="E2822" s="9">
        <v>1</v>
      </c>
      <c r="F2822" s="9">
        <v>50</v>
      </c>
      <c r="G2822" s="8">
        <f>F2822/650</f>
        <v>7.6923076923076927E-2</v>
      </c>
    </row>
    <row r="2823" spans="1:7" ht="16">
      <c r="A2823" s="13"/>
      <c r="B2823" s="12"/>
      <c r="C2823" s="21">
        <v>4714781020824</v>
      </c>
      <c r="D2823" s="10" t="s">
        <v>1391</v>
      </c>
      <c r="E2823" s="9">
        <v>1</v>
      </c>
      <c r="F2823" s="9">
        <v>80</v>
      </c>
      <c r="G2823" s="8">
        <f>F2823/650</f>
        <v>0.12307692307692308</v>
      </c>
    </row>
    <row r="2824" spans="1:7" ht="16">
      <c r="A2824" s="13" t="s">
        <v>1771</v>
      </c>
      <c r="B2824" s="10">
        <v>5</v>
      </c>
      <c r="C2824" s="21" t="s">
        <v>1585</v>
      </c>
      <c r="D2824" s="10" t="s">
        <v>1584</v>
      </c>
      <c r="E2824" s="9">
        <v>1</v>
      </c>
      <c r="F2824" s="9">
        <v>100</v>
      </c>
      <c r="G2824" s="8">
        <f>F2824/650</f>
        <v>0.15384615384615385</v>
      </c>
    </row>
    <row r="2825" spans="1:7" ht="16">
      <c r="A2825" s="13"/>
      <c r="B2825" s="12"/>
      <c r="C2825" s="21" t="s">
        <v>1590</v>
      </c>
      <c r="D2825" s="10" t="s">
        <v>1589</v>
      </c>
      <c r="E2825" s="9">
        <v>1</v>
      </c>
      <c r="F2825" s="9">
        <v>300</v>
      </c>
      <c r="G2825" s="8">
        <f>F2825/650</f>
        <v>0.46153846153846156</v>
      </c>
    </row>
    <row r="2826" spans="1:7" ht="16">
      <c r="A2826" s="13"/>
      <c r="B2826" s="12"/>
      <c r="C2826" s="21" t="s">
        <v>1588</v>
      </c>
      <c r="D2826" s="10" t="s">
        <v>1587</v>
      </c>
      <c r="E2826" s="9">
        <v>1</v>
      </c>
      <c r="F2826" s="9">
        <v>120</v>
      </c>
      <c r="G2826" s="8">
        <f>F2826/650</f>
        <v>0.18461538461538463</v>
      </c>
    </row>
    <row r="2827" spans="1:7" ht="16">
      <c r="A2827" s="13"/>
      <c r="B2827" s="12"/>
      <c r="C2827" s="21">
        <v>4714781020817</v>
      </c>
      <c r="D2827" s="10" t="s">
        <v>1317</v>
      </c>
      <c r="E2827" s="9">
        <v>1</v>
      </c>
      <c r="F2827" s="9">
        <v>50</v>
      </c>
      <c r="G2827" s="8">
        <f>F2827/650</f>
        <v>7.6923076923076927E-2</v>
      </c>
    </row>
    <row r="2828" spans="1:7" ht="16">
      <c r="A2828" s="13"/>
      <c r="B2828" s="12"/>
      <c r="C2828" s="21" t="s">
        <v>1579</v>
      </c>
      <c r="D2828" s="10" t="s">
        <v>1389</v>
      </c>
      <c r="E2828" s="9">
        <v>1</v>
      </c>
      <c r="F2828" s="9">
        <v>80</v>
      </c>
      <c r="G2828" s="8">
        <f>F2828/650</f>
        <v>0.12307692307692308</v>
      </c>
    </row>
    <row r="2829" spans="1:7" ht="16">
      <c r="A2829" s="13" t="s">
        <v>1770</v>
      </c>
      <c r="B2829" s="10">
        <v>5</v>
      </c>
      <c r="C2829" s="21" t="s">
        <v>1585</v>
      </c>
      <c r="D2829" s="10" t="s">
        <v>1584</v>
      </c>
      <c r="E2829" s="9">
        <v>1</v>
      </c>
      <c r="F2829" s="9">
        <v>100</v>
      </c>
      <c r="G2829" s="8">
        <f>F2829/650</f>
        <v>0.15384615384615385</v>
      </c>
    </row>
    <row r="2830" spans="1:7" ht="16">
      <c r="A2830" s="13"/>
      <c r="B2830" s="12"/>
      <c r="C2830" s="21" t="s">
        <v>1583</v>
      </c>
      <c r="D2830" s="10" t="s">
        <v>1582</v>
      </c>
      <c r="E2830" s="9">
        <v>1</v>
      </c>
      <c r="F2830" s="9">
        <v>300</v>
      </c>
      <c r="G2830" s="8">
        <f>F2830/650</f>
        <v>0.46153846153846156</v>
      </c>
    </row>
    <row r="2831" spans="1:7" ht="16">
      <c r="A2831" s="13"/>
      <c r="B2831" s="12"/>
      <c r="C2831" s="21" t="s">
        <v>1581</v>
      </c>
      <c r="D2831" s="10" t="s">
        <v>1580</v>
      </c>
      <c r="E2831" s="9">
        <v>1</v>
      </c>
      <c r="F2831" s="9">
        <v>120</v>
      </c>
      <c r="G2831" s="8">
        <f>F2831/650</f>
        <v>0.18461538461538463</v>
      </c>
    </row>
    <row r="2832" spans="1:7" ht="16">
      <c r="A2832" s="13"/>
      <c r="B2832" s="12"/>
      <c r="C2832" s="21">
        <v>4714781020817</v>
      </c>
      <c r="D2832" s="10" t="s">
        <v>1317</v>
      </c>
      <c r="E2832" s="9">
        <v>1</v>
      </c>
      <c r="F2832" s="9">
        <v>50</v>
      </c>
      <c r="G2832" s="8">
        <f>F2832/650</f>
        <v>7.6923076923076927E-2</v>
      </c>
    </row>
    <row r="2833" spans="1:7" ht="16">
      <c r="A2833" s="13"/>
      <c r="B2833" s="12"/>
      <c r="C2833" s="21" t="s">
        <v>1579</v>
      </c>
      <c r="D2833" s="10" t="s">
        <v>1389</v>
      </c>
      <c r="E2833" s="9">
        <v>1</v>
      </c>
      <c r="F2833" s="9">
        <v>80</v>
      </c>
      <c r="G2833" s="8">
        <f>F2833/650</f>
        <v>0.12307692307692308</v>
      </c>
    </row>
    <row r="2834" spans="1:7" ht="16">
      <c r="A2834" s="13" t="s">
        <v>1769</v>
      </c>
      <c r="B2834" s="13">
        <v>5</v>
      </c>
      <c r="C2834" s="11" t="s">
        <v>1585</v>
      </c>
      <c r="D2834" s="10" t="s">
        <v>1584</v>
      </c>
      <c r="E2834" s="10">
        <v>1</v>
      </c>
      <c r="F2834" s="9">
        <v>100</v>
      </c>
      <c r="G2834" s="8">
        <f>F2834/650</f>
        <v>0.15384615384615385</v>
      </c>
    </row>
    <row r="2835" spans="1:7" ht="16">
      <c r="A2835" s="13"/>
      <c r="B2835" s="13"/>
      <c r="C2835" s="11" t="s">
        <v>1598</v>
      </c>
      <c r="D2835" s="10" t="s">
        <v>1382</v>
      </c>
      <c r="E2835" s="10">
        <v>1</v>
      </c>
      <c r="F2835" s="9">
        <v>300</v>
      </c>
      <c r="G2835" s="8">
        <f>F2835/650</f>
        <v>0.46153846153846156</v>
      </c>
    </row>
    <row r="2836" spans="1:7" ht="16">
      <c r="A2836" s="13"/>
      <c r="B2836" s="13"/>
      <c r="C2836" s="11" t="s">
        <v>1595</v>
      </c>
      <c r="D2836" s="10" t="s">
        <v>1378</v>
      </c>
      <c r="E2836" s="10">
        <v>1</v>
      </c>
      <c r="F2836" s="9">
        <v>120</v>
      </c>
      <c r="G2836" s="8">
        <f>F2836/650</f>
        <v>0.18461538461538463</v>
      </c>
    </row>
    <row r="2837" spans="1:7" ht="16">
      <c r="A2837" s="13"/>
      <c r="B2837" s="13"/>
      <c r="C2837" s="11" t="s">
        <v>1593</v>
      </c>
      <c r="D2837" s="10" t="s">
        <v>1592</v>
      </c>
      <c r="E2837" s="10">
        <v>1</v>
      </c>
      <c r="F2837" s="9">
        <v>50</v>
      </c>
      <c r="G2837" s="8">
        <f>F2837/650</f>
        <v>7.6923076923076927E-2</v>
      </c>
    </row>
    <row r="2838" spans="1:7" ht="16">
      <c r="A2838" s="13"/>
      <c r="B2838" s="13"/>
      <c r="C2838" s="11" t="s">
        <v>1583</v>
      </c>
      <c r="D2838" s="10" t="s">
        <v>1582</v>
      </c>
      <c r="E2838" s="10">
        <v>1</v>
      </c>
      <c r="F2838" s="9">
        <v>80</v>
      </c>
      <c r="G2838" s="8">
        <f>F2838/650</f>
        <v>0.12307692307692308</v>
      </c>
    </row>
    <row r="2839" spans="1:7" ht="16">
      <c r="A2839" s="13" t="s">
        <v>1768</v>
      </c>
      <c r="B2839" s="13">
        <v>5</v>
      </c>
      <c r="C2839" s="11" t="s">
        <v>1585</v>
      </c>
      <c r="D2839" s="10" t="s">
        <v>1584</v>
      </c>
      <c r="E2839" s="10">
        <v>1</v>
      </c>
      <c r="F2839" s="9">
        <v>100</v>
      </c>
      <c r="G2839" s="8">
        <f>F2839/650</f>
        <v>0.15384615384615385</v>
      </c>
    </row>
    <row r="2840" spans="1:7" ht="16">
      <c r="A2840" s="13"/>
      <c r="B2840" s="13"/>
      <c r="C2840" s="11" t="s">
        <v>1596</v>
      </c>
      <c r="D2840" s="10" t="s">
        <v>1384</v>
      </c>
      <c r="E2840" s="10">
        <v>1</v>
      </c>
      <c r="F2840" s="9">
        <v>300</v>
      </c>
      <c r="G2840" s="8">
        <f>F2840/650</f>
        <v>0.46153846153846156</v>
      </c>
    </row>
    <row r="2841" spans="1:7" ht="16">
      <c r="A2841" s="13"/>
      <c r="B2841" s="13"/>
      <c r="C2841" s="11" t="s">
        <v>1602</v>
      </c>
      <c r="D2841" s="10" t="s">
        <v>1380</v>
      </c>
      <c r="E2841" s="10">
        <v>1</v>
      </c>
      <c r="F2841" s="9">
        <v>120</v>
      </c>
      <c r="G2841" s="8">
        <f>F2841/650</f>
        <v>0.18461538461538463</v>
      </c>
    </row>
    <row r="2842" spans="1:7" ht="16">
      <c r="A2842" s="13"/>
      <c r="B2842" s="13"/>
      <c r="C2842" s="11" t="s">
        <v>1588</v>
      </c>
      <c r="D2842" s="10" t="s">
        <v>1587</v>
      </c>
      <c r="E2842" s="10">
        <v>1</v>
      </c>
      <c r="F2842" s="9">
        <v>50</v>
      </c>
      <c r="G2842" s="8">
        <f>F2842/650</f>
        <v>7.6923076923076927E-2</v>
      </c>
    </row>
    <row r="2843" spans="1:7" ht="16">
      <c r="A2843" s="13"/>
      <c r="B2843" s="13"/>
      <c r="C2843" s="11" t="s">
        <v>1590</v>
      </c>
      <c r="D2843" s="10" t="s">
        <v>1589</v>
      </c>
      <c r="E2843" s="10">
        <v>1</v>
      </c>
      <c r="F2843" s="9">
        <v>80</v>
      </c>
      <c r="G2843" s="8">
        <f>F2843/650</f>
        <v>0.12307692307692308</v>
      </c>
    </row>
    <row r="2844" spans="1:7" ht="16">
      <c r="A2844" s="13" t="s">
        <v>1767</v>
      </c>
      <c r="B2844" s="13">
        <v>5</v>
      </c>
      <c r="C2844" s="11" t="s">
        <v>1585</v>
      </c>
      <c r="D2844" s="10" t="s">
        <v>1584</v>
      </c>
      <c r="E2844" s="10">
        <v>1</v>
      </c>
      <c r="F2844" s="9">
        <v>100</v>
      </c>
      <c r="G2844" s="8">
        <f>F2844/650</f>
        <v>0.15384615384615385</v>
      </c>
    </row>
    <row r="2845" spans="1:7" ht="16">
      <c r="A2845" s="13"/>
      <c r="B2845" s="13"/>
      <c r="C2845" s="11" t="s">
        <v>1596</v>
      </c>
      <c r="D2845" s="10" t="s">
        <v>1384</v>
      </c>
      <c r="E2845" s="10">
        <v>1</v>
      </c>
      <c r="F2845" s="9">
        <v>300</v>
      </c>
      <c r="G2845" s="8">
        <f>F2845/650</f>
        <v>0.46153846153846156</v>
      </c>
    </row>
    <row r="2846" spans="1:7" ht="16">
      <c r="A2846" s="13"/>
      <c r="B2846" s="13"/>
      <c r="C2846" s="11" t="s">
        <v>1595</v>
      </c>
      <c r="D2846" s="10" t="s">
        <v>1378</v>
      </c>
      <c r="E2846" s="10">
        <v>1</v>
      </c>
      <c r="F2846" s="9">
        <v>120</v>
      </c>
      <c r="G2846" s="8">
        <f>F2846/650</f>
        <v>0.18461538461538463</v>
      </c>
    </row>
    <row r="2847" spans="1:7" ht="16">
      <c r="A2847" s="13"/>
      <c r="B2847" s="13"/>
      <c r="C2847" s="11" t="s">
        <v>1581</v>
      </c>
      <c r="D2847" s="10" t="s">
        <v>1580</v>
      </c>
      <c r="E2847" s="10">
        <v>1</v>
      </c>
      <c r="F2847" s="9">
        <v>50</v>
      </c>
      <c r="G2847" s="8">
        <f>F2847/650</f>
        <v>7.6923076923076927E-2</v>
      </c>
    </row>
    <row r="2848" spans="1:7" ht="16">
      <c r="A2848" s="13"/>
      <c r="B2848" s="13"/>
      <c r="C2848" s="11" t="s">
        <v>1583</v>
      </c>
      <c r="D2848" s="10" t="s">
        <v>1582</v>
      </c>
      <c r="E2848" s="10">
        <v>1</v>
      </c>
      <c r="F2848" s="9">
        <v>80</v>
      </c>
      <c r="G2848" s="8">
        <f>F2848/650</f>
        <v>0.12307692307692308</v>
      </c>
    </row>
    <row r="2849" spans="1:7" ht="16">
      <c r="A2849" s="13" t="s">
        <v>1766</v>
      </c>
      <c r="B2849" s="13">
        <v>5</v>
      </c>
      <c r="C2849" s="11" t="s">
        <v>1585</v>
      </c>
      <c r="D2849" s="10" t="s">
        <v>1584</v>
      </c>
      <c r="E2849" s="10">
        <v>1</v>
      </c>
      <c r="F2849" s="9">
        <v>100</v>
      </c>
      <c r="G2849" s="8">
        <f>F2849/650</f>
        <v>0.15384615384615385</v>
      </c>
    </row>
    <row r="2850" spans="1:7" ht="16">
      <c r="A2850" s="13"/>
      <c r="B2850" s="13"/>
      <c r="C2850" s="11" t="s">
        <v>1583</v>
      </c>
      <c r="D2850" s="10" t="s">
        <v>1582</v>
      </c>
      <c r="E2850" s="10">
        <v>1</v>
      </c>
      <c r="F2850" s="9">
        <v>300</v>
      </c>
      <c r="G2850" s="8">
        <f>F2850/650</f>
        <v>0.46153846153846156</v>
      </c>
    </row>
    <row r="2851" spans="1:7" ht="16">
      <c r="A2851" s="13"/>
      <c r="B2851" s="13"/>
      <c r="C2851" s="11" t="s">
        <v>1593</v>
      </c>
      <c r="D2851" s="10" t="s">
        <v>1592</v>
      </c>
      <c r="E2851" s="10">
        <v>1</v>
      </c>
      <c r="F2851" s="9">
        <v>120</v>
      </c>
      <c r="G2851" s="8">
        <f>F2851/650</f>
        <v>0.18461538461538463</v>
      </c>
    </row>
    <row r="2852" spans="1:7" ht="16">
      <c r="A2852" s="13"/>
      <c r="B2852" s="13"/>
      <c r="C2852" s="11">
        <v>4714781020800</v>
      </c>
      <c r="D2852" s="10" t="s">
        <v>1319</v>
      </c>
      <c r="E2852" s="10">
        <v>1</v>
      </c>
      <c r="F2852" s="9">
        <v>50</v>
      </c>
      <c r="G2852" s="8">
        <f>F2852/650</f>
        <v>7.6923076923076927E-2</v>
      </c>
    </row>
    <row r="2853" spans="1:7" ht="16">
      <c r="A2853" s="13"/>
      <c r="B2853" s="13"/>
      <c r="C2853" s="11">
        <v>4714781020824</v>
      </c>
      <c r="D2853" s="10" t="s">
        <v>1391</v>
      </c>
      <c r="E2853" s="10">
        <v>1</v>
      </c>
      <c r="F2853" s="9">
        <v>80</v>
      </c>
      <c r="G2853" s="8">
        <f>F2853/650</f>
        <v>0.12307692307692308</v>
      </c>
    </row>
    <row r="2854" spans="1:7" ht="16">
      <c r="A2854" s="13" t="s">
        <v>1765</v>
      </c>
      <c r="B2854" s="13">
        <v>5</v>
      </c>
      <c r="C2854" s="11" t="s">
        <v>1585</v>
      </c>
      <c r="D2854" s="10" t="s">
        <v>1584</v>
      </c>
      <c r="E2854" s="10">
        <v>1</v>
      </c>
      <c r="F2854" s="9">
        <v>100</v>
      </c>
      <c r="G2854" s="8">
        <f>F2854/650</f>
        <v>0.15384615384615385</v>
      </c>
    </row>
    <row r="2855" spans="1:7" ht="16">
      <c r="A2855" s="13"/>
      <c r="B2855" s="13"/>
      <c r="C2855" s="11" t="s">
        <v>1590</v>
      </c>
      <c r="D2855" s="10" t="s">
        <v>1589</v>
      </c>
      <c r="E2855" s="10">
        <v>1</v>
      </c>
      <c r="F2855" s="9">
        <v>300</v>
      </c>
      <c r="G2855" s="8">
        <f>F2855/650</f>
        <v>0.46153846153846156</v>
      </c>
    </row>
    <row r="2856" spans="1:7" ht="16">
      <c r="A2856" s="13"/>
      <c r="B2856" s="13"/>
      <c r="C2856" s="11" t="s">
        <v>1588</v>
      </c>
      <c r="D2856" s="10" t="s">
        <v>1587</v>
      </c>
      <c r="E2856" s="10">
        <v>1</v>
      </c>
      <c r="F2856" s="9">
        <v>120</v>
      </c>
      <c r="G2856" s="8">
        <f>F2856/650</f>
        <v>0.18461538461538463</v>
      </c>
    </row>
    <row r="2857" spans="1:7" ht="16">
      <c r="A2857" s="13"/>
      <c r="B2857" s="13"/>
      <c r="C2857" s="11">
        <v>4714781020817</v>
      </c>
      <c r="D2857" s="10" t="s">
        <v>1317</v>
      </c>
      <c r="E2857" s="10">
        <v>1</v>
      </c>
      <c r="F2857" s="9">
        <v>50</v>
      </c>
      <c r="G2857" s="8">
        <f>F2857/650</f>
        <v>7.6923076923076927E-2</v>
      </c>
    </row>
    <row r="2858" spans="1:7" ht="16">
      <c r="A2858" s="13"/>
      <c r="B2858" s="13"/>
      <c r="C2858" s="11" t="s">
        <v>1579</v>
      </c>
      <c r="D2858" s="10" t="s">
        <v>1389</v>
      </c>
      <c r="E2858" s="10">
        <v>1</v>
      </c>
      <c r="F2858" s="9">
        <v>80</v>
      </c>
      <c r="G2858" s="8">
        <f>F2858/650</f>
        <v>0.12307692307692308</v>
      </c>
    </row>
    <row r="2859" spans="1:7" ht="16">
      <c r="A2859" s="13" t="s">
        <v>1764</v>
      </c>
      <c r="B2859" s="13">
        <v>5</v>
      </c>
      <c r="C2859" s="11" t="s">
        <v>1585</v>
      </c>
      <c r="D2859" s="10" t="s">
        <v>1584</v>
      </c>
      <c r="E2859" s="10">
        <v>1</v>
      </c>
      <c r="F2859" s="9">
        <v>100</v>
      </c>
      <c r="G2859" s="8">
        <f>F2859/650</f>
        <v>0.15384615384615385</v>
      </c>
    </row>
    <row r="2860" spans="1:7" ht="16">
      <c r="A2860" s="13"/>
      <c r="B2860" s="13"/>
      <c r="C2860" s="11" t="s">
        <v>1583</v>
      </c>
      <c r="D2860" s="10" t="s">
        <v>1582</v>
      </c>
      <c r="E2860" s="10">
        <v>1</v>
      </c>
      <c r="F2860" s="9">
        <v>300</v>
      </c>
      <c r="G2860" s="8">
        <f>F2860/650</f>
        <v>0.46153846153846156</v>
      </c>
    </row>
    <row r="2861" spans="1:7" ht="16">
      <c r="A2861" s="13"/>
      <c r="B2861" s="13"/>
      <c r="C2861" s="11" t="s">
        <v>1581</v>
      </c>
      <c r="D2861" s="10" t="s">
        <v>1580</v>
      </c>
      <c r="E2861" s="10">
        <v>1</v>
      </c>
      <c r="F2861" s="9">
        <v>120</v>
      </c>
      <c r="G2861" s="8">
        <f>F2861/650</f>
        <v>0.18461538461538463</v>
      </c>
    </row>
    <row r="2862" spans="1:7" ht="16">
      <c r="A2862" s="13"/>
      <c r="B2862" s="13"/>
      <c r="C2862" s="11">
        <v>4714781020817</v>
      </c>
      <c r="D2862" s="10" t="s">
        <v>1317</v>
      </c>
      <c r="E2862" s="10">
        <v>1</v>
      </c>
      <c r="F2862" s="9">
        <v>50</v>
      </c>
      <c r="G2862" s="8">
        <f>F2862/650</f>
        <v>7.6923076923076927E-2</v>
      </c>
    </row>
    <row r="2863" spans="1:7" ht="16">
      <c r="A2863" s="13"/>
      <c r="B2863" s="13"/>
      <c r="C2863" s="11" t="s">
        <v>1579</v>
      </c>
      <c r="D2863" s="10" t="s">
        <v>1389</v>
      </c>
      <c r="E2863" s="10">
        <v>1</v>
      </c>
      <c r="F2863" s="9">
        <v>80</v>
      </c>
      <c r="G2863" s="8">
        <f>F2863/650</f>
        <v>0.12307692307692308</v>
      </c>
    </row>
    <row r="2864" spans="1:7" ht="16">
      <c r="A2864" s="13" t="s">
        <v>1763</v>
      </c>
      <c r="B2864" s="13">
        <v>3</v>
      </c>
      <c r="C2864" s="6">
        <v>4714781021609</v>
      </c>
      <c r="D2864" s="12" t="s">
        <v>1454</v>
      </c>
      <c r="E2864" s="9">
        <v>1</v>
      </c>
      <c r="F2864" s="9">
        <v>126</v>
      </c>
      <c r="G2864" s="8">
        <f>F2864/380</f>
        <v>0.33157894736842103</v>
      </c>
    </row>
    <row r="2865" spans="1:7" ht="16">
      <c r="A2865" s="13"/>
      <c r="B2865" s="7"/>
      <c r="C2865" s="6">
        <v>4714781021012</v>
      </c>
      <c r="D2865" s="12" t="s">
        <v>1703</v>
      </c>
      <c r="E2865" s="9">
        <v>1</v>
      </c>
      <c r="F2865" s="9">
        <v>126</v>
      </c>
      <c r="G2865" s="8">
        <f>F2865/380</f>
        <v>0.33157894736842103</v>
      </c>
    </row>
    <row r="2866" spans="1:7" ht="16">
      <c r="A2866" s="13"/>
      <c r="B2866" s="7"/>
      <c r="C2866" s="6">
        <v>4714781021029</v>
      </c>
      <c r="D2866" s="12" t="s">
        <v>1452</v>
      </c>
      <c r="E2866" s="9">
        <v>1</v>
      </c>
      <c r="F2866" s="9">
        <v>128</v>
      </c>
      <c r="G2866" s="8">
        <f>F2866/380</f>
        <v>0.33684210526315789</v>
      </c>
    </row>
    <row r="2867" spans="1:7" ht="16">
      <c r="A2867" s="13" t="s">
        <v>1762</v>
      </c>
      <c r="B2867" s="13">
        <v>1</v>
      </c>
      <c r="C2867" s="6">
        <v>4714781021029</v>
      </c>
      <c r="D2867" s="12" t="s">
        <v>1452</v>
      </c>
      <c r="E2867" s="9">
        <v>3</v>
      </c>
      <c r="F2867" s="9">
        <v>380</v>
      </c>
      <c r="G2867" s="8">
        <f>F2867/380</f>
        <v>1</v>
      </c>
    </row>
    <row r="2868" spans="1:7" ht="16">
      <c r="A2868" s="13" t="s">
        <v>1761</v>
      </c>
      <c r="B2868" s="13">
        <v>1</v>
      </c>
      <c r="C2868" s="6">
        <v>4714781021012</v>
      </c>
      <c r="D2868" s="12" t="s">
        <v>1703</v>
      </c>
      <c r="E2868" s="9">
        <v>3</v>
      </c>
      <c r="F2868" s="9">
        <v>380</v>
      </c>
      <c r="G2868" s="8">
        <f>F2868/380</f>
        <v>1</v>
      </c>
    </row>
    <row r="2869" spans="1:7" ht="16">
      <c r="A2869" s="13" t="s">
        <v>1760</v>
      </c>
      <c r="B2869" s="13">
        <v>1</v>
      </c>
      <c r="C2869" s="6">
        <v>4714781021609</v>
      </c>
      <c r="D2869" s="12" t="s">
        <v>1454</v>
      </c>
      <c r="E2869" s="9">
        <v>3</v>
      </c>
      <c r="F2869" s="9">
        <v>380</v>
      </c>
      <c r="G2869" s="8">
        <f>F2869/380</f>
        <v>1</v>
      </c>
    </row>
    <row r="2870" spans="1:7" ht="16">
      <c r="A2870" s="13" t="s">
        <v>1759</v>
      </c>
      <c r="B2870" s="13">
        <v>3</v>
      </c>
      <c r="C2870" s="6">
        <v>4714781021609</v>
      </c>
      <c r="D2870" s="12" t="s">
        <v>1454</v>
      </c>
      <c r="E2870" s="10">
        <v>2</v>
      </c>
      <c r="F2870" s="10">
        <v>245</v>
      </c>
      <c r="G2870" s="8">
        <f>F2870/735</f>
        <v>0.33333333333333331</v>
      </c>
    </row>
    <row r="2871" spans="1:7" ht="16">
      <c r="A2871" s="13"/>
      <c r="B2871" s="7"/>
      <c r="C2871" s="6">
        <v>4714781021012</v>
      </c>
      <c r="D2871" s="12" t="s">
        <v>1703</v>
      </c>
      <c r="E2871" s="10">
        <v>2</v>
      </c>
      <c r="F2871" s="10">
        <v>245</v>
      </c>
      <c r="G2871" s="8">
        <f>F2871/735</f>
        <v>0.33333333333333331</v>
      </c>
    </row>
    <row r="2872" spans="1:7" ht="16">
      <c r="A2872" s="13"/>
      <c r="B2872" s="7"/>
      <c r="C2872" s="6">
        <v>4714781021029</v>
      </c>
      <c r="D2872" s="12" t="s">
        <v>1452</v>
      </c>
      <c r="E2872" s="10">
        <v>2</v>
      </c>
      <c r="F2872" s="10">
        <v>245</v>
      </c>
      <c r="G2872" s="8">
        <f>F2872/735</f>
        <v>0.33333333333333331</v>
      </c>
    </row>
    <row r="2873" spans="1:7" ht="16">
      <c r="A2873" s="13" t="s">
        <v>1758</v>
      </c>
      <c r="B2873" s="13">
        <v>1</v>
      </c>
      <c r="C2873" s="6">
        <v>4714781021029</v>
      </c>
      <c r="D2873" s="12" t="s">
        <v>1452</v>
      </c>
      <c r="E2873" s="10">
        <v>6</v>
      </c>
      <c r="F2873" s="10">
        <v>735</v>
      </c>
      <c r="G2873" s="8">
        <f>F2873/735</f>
        <v>1</v>
      </c>
    </row>
    <row r="2874" spans="1:7" ht="16">
      <c r="A2874" s="13" t="s">
        <v>1757</v>
      </c>
      <c r="B2874" s="13">
        <v>1</v>
      </c>
      <c r="C2874" s="6">
        <v>4714781021012</v>
      </c>
      <c r="D2874" s="12" t="s">
        <v>1703</v>
      </c>
      <c r="E2874" s="10">
        <v>6</v>
      </c>
      <c r="F2874" s="10">
        <v>735</v>
      </c>
      <c r="G2874" s="8">
        <f>F2874/735</f>
        <v>1</v>
      </c>
    </row>
    <row r="2875" spans="1:7" ht="16">
      <c r="A2875" s="13" t="s">
        <v>1756</v>
      </c>
      <c r="B2875" s="13">
        <v>1</v>
      </c>
      <c r="C2875" s="6">
        <v>4714781021609</v>
      </c>
      <c r="D2875" s="12" t="s">
        <v>1454</v>
      </c>
      <c r="E2875" s="10">
        <v>6</v>
      </c>
      <c r="F2875" s="10">
        <v>735</v>
      </c>
      <c r="G2875" s="8">
        <f>F2875/735</f>
        <v>1</v>
      </c>
    </row>
    <row r="2876" spans="1:7" ht="16">
      <c r="A2876" s="13" t="s">
        <v>1755</v>
      </c>
      <c r="B2876" s="13">
        <v>2</v>
      </c>
      <c r="C2876" s="6">
        <v>4714781021029</v>
      </c>
      <c r="D2876" s="12" t="s">
        <v>1452</v>
      </c>
      <c r="E2876" s="10">
        <v>3</v>
      </c>
      <c r="F2876" s="10">
        <v>368</v>
      </c>
      <c r="G2876" s="8">
        <f>F2876/735</f>
        <v>0.50068027210884358</v>
      </c>
    </row>
    <row r="2877" spans="1:7" ht="16">
      <c r="A2877" s="13"/>
      <c r="B2877" s="13"/>
      <c r="C2877" s="6">
        <v>4714781021012</v>
      </c>
      <c r="D2877" s="12" t="s">
        <v>1703</v>
      </c>
      <c r="E2877" s="10">
        <v>3</v>
      </c>
      <c r="F2877" s="10">
        <v>367</v>
      </c>
      <c r="G2877" s="8">
        <f>F2877/735</f>
        <v>0.49931972789115647</v>
      </c>
    </row>
    <row r="2878" spans="1:7" ht="16">
      <c r="A2878" s="13" t="s">
        <v>1754</v>
      </c>
      <c r="B2878" s="13">
        <v>2</v>
      </c>
      <c r="C2878" s="6">
        <v>4714781021029</v>
      </c>
      <c r="D2878" s="12" t="s">
        <v>1452</v>
      </c>
      <c r="E2878" s="10">
        <v>3</v>
      </c>
      <c r="F2878" s="10">
        <v>368</v>
      </c>
      <c r="G2878" s="8">
        <f>F2878/735</f>
        <v>0.50068027210884358</v>
      </c>
    </row>
    <row r="2879" spans="1:7" ht="16">
      <c r="A2879" s="13"/>
      <c r="B2879" s="13"/>
      <c r="C2879" s="6">
        <v>4714781021609</v>
      </c>
      <c r="D2879" s="12" t="s">
        <v>1454</v>
      </c>
      <c r="E2879" s="10">
        <v>3</v>
      </c>
      <c r="F2879" s="10">
        <v>367</v>
      </c>
      <c r="G2879" s="8">
        <f>F2879/735</f>
        <v>0.49931972789115647</v>
      </c>
    </row>
    <row r="2880" spans="1:7" ht="16">
      <c r="A2880" s="13" t="s">
        <v>1753</v>
      </c>
      <c r="B2880" s="13">
        <v>2</v>
      </c>
      <c r="C2880" s="6">
        <v>4714781021012</v>
      </c>
      <c r="D2880" s="12" t="s">
        <v>1703</v>
      </c>
      <c r="E2880" s="10">
        <v>3</v>
      </c>
      <c r="F2880" s="10">
        <v>368</v>
      </c>
      <c r="G2880" s="8">
        <f>F2880/735</f>
        <v>0.50068027210884358</v>
      </c>
    </row>
    <row r="2881" spans="1:7" ht="16">
      <c r="A2881" s="13"/>
      <c r="B2881" s="13"/>
      <c r="C2881" s="6">
        <v>4714781021609</v>
      </c>
      <c r="D2881" s="12" t="s">
        <v>1454</v>
      </c>
      <c r="E2881" s="10">
        <v>3</v>
      </c>
      <c r="F2881" s="10">
        <v>367</v>
      </c>
      <c r="G2881" s="8">
        <f>F2881/735</f>
        <v>0.49931972789115647</v>
      </c>
    </row>
    <row r="2882" spans="1:7" ht="16">
      <c r="A2882" s="13" t="s">
        <v>1752</v>
      </c>
      <c r="B2882" s="13">
        <v>3</v>
      </c>
      <c r="C2882" s="6">
        <v>4714781021609</v>
      </c>
      <c r="D2882" s="12" t="s">
        <v>1454</v>
      </c>
      <c r="E2882" s="10">
        <v>3</v>
      </c>
      <c r="F2882" s="10">
        <v>360</v>
      </c>
      <c r="G2882" s="8">
        <f>F2882/1080</f>
        <v>0.33333333333333331</v>
      </c>
    </row>
    <row r="2883" spans="1:7" ht="16">
      <c r="A2883" s="13"/>
      <c r="B2883" s="13"/>
      <c r="C2883" s="6">
        <v>4714781021012</v>
      </c>
      <c r="D2883" s="12" t="s">
        <v>1703</v>
      </c>
      <c r="E2883" s="10">
        <v>3</v>
      </c>
      <c r="F2883" s="10">
        <v>360</v>
      </c>
      <c r="G2883" s="8">
        <f>F2883/1080</f>
        <v>0.33333333333333331</v>
      </c>
    </row>
    <row r="2884" spans="1:7" ht="16">
      <c r="A2884" s="13"/>
      <c r="B2884" s="13"/>
      <c r="C2884" s="6">
        <v>4714781021029</v>
      </c>
      <c r="D2884" s="12" t="s">
        <v>1452</v>
      </c>
      <c r="E2884" s="10">
        <v>3</v>
      </c>
      <c r="F2884" s="10">
        <v>360</v>
      </c>
      <c r="G2884" s="8">
        <f>F2884/1080</f>
        <v>0.33333333333333331</v>
      </c>
    </row>
    <row r="2885" spans="1:7" ht="16">
      <c r="A2885" s="13" t="s">
        <v>1751</v>
      </c>
      <c r="B2885" s="13">
        <v>1</v>
      </c>
      <c r="C2885" s="6">
        <v>4714781021029</v>
      </c>
      <c r="D2885" s="12" t="s">
        <v>1452</v>
      </c>
      <c r="E2885" s="10">
        <v>9</v>
      </c>
      <c r="F2885" s="10">
        <v>1080</v>
      </c>
      <c r="G2885" s="8">
        <f>F2885/1080</f>
        <v>1</v>
      </c>
    </row>
    <row r="2886" spans="1:7" ht="16">
      <c r="A2886" s="13" t="s">
        <v>1750</v>
      </c>
      <c r="B2886" s="13">
        <v>1</v>
      </c>
      <c r="C2886" s="6">
        <v>4714781021012</v>
      </c>
      <c r="D2886" s="12" t="s">
        <v>1703</v>
      </c>
      <c r="E2886" s="10">
        <v>9</v>
      </c>
      <c r="F2886" s="10">
        <v>1080</v>
      </c>
      <c r="G2886" s="8">
        <f>F2886/1080</f>
        <v>1</v>
      </c>
    </row>
    <row r="2887" spans="1:7" ht="16">
      <c r="A2887" s="13" t="s">
        <v>1749</v>
      </c>
      <c r="B2887" s="13">
        <v>1</v>
      </c>
      <c r="C2887" s="6">
        <v>4714781021609</v>
      </c>
      <c r="D2887" s="12" t="s">
        <v>1454</v>
      </c>
      <c r="E2887" s="10">
        <v>9</v>
      </c>
      <c r="F2887" s="10">
        <v>1080</v>
      </c>
      <c r="G2887" s="8">
        <f>F2887/1080</f>
        <v>1</v>
      </c>
    </row>
    <row r="2888" spans="1:7" ht="16">
      <c r="A2888" s="13" t="s">
        <v>1748</v>
      </c>
      <c r="B2888" s="13">
        <v>2</v>
      </c>
      <c r="C2888" s="6">
        <v>4714781021029</v>
      </c>
      <c r="D2888" s="12" t="s">
        <v>1452</v>
      </c>
      <c r="E2888" s="10">
        <v>5</v>
      </c>
      <c r="F2888" s="10">
        <v>600</v>
      </c>
      <c r="G2888" s="8">
        <f>F2888/1080</f>
        <v>0.55555555555555558</v>
      </c>
    </row>
    <row r="2889" spans="1:7" ht="16">
      <c r="A2889" s="13"/>
      <c r="B2889" s="13"/>
      <c r="C2889" s="6">
        <v>4714781021012</v>
      </c>
      <c r="D2889" s="12" t="s">
        <v>1703</v>
      </c>
      <c r="E2889" s="10">
        <v>4</v>
      </c>
      <c r="F2889" s="10">
        <v>480</v>
      </c>
      <c r="G2889" s="8">
        <f>F2889/1080</f>
        <v>0.44444444444444442</v>
      </c>
    </row>
    <row r="2890" spans="1:7" ht="16">
      <c r="A2890" s="13" t="s">
        <v>1747</v>
      </c>
      <c r="B2890" s="13">
        <v>2</v>
      </c>
      <c r="C2890" s="6">
        <v>4714781021029</v>
      </c>
      <c r="D2890" s="12" t="s">
        <v>1452</v>
      </c>
      <c r="E2890" s="10">
        <v>5</v>
      </c>
      <c r="F2890" s="10">
        <v>600</v>
      </c>
      <c r="G2890" s="8">
        <f>F2890/1080</f>
        <v>0.55555555555555558</v>
      </c>
    </row>
    <row r="2891" spans="1:7" ht="16">
      <c r="A2891" s="13"/>
      <c r="B2891" s="13"/>
      <c r="C2891" s="6">
        <v>4714781021609</v>
      </c>
      <c r="D2891" s="12" t="s">
        <v>1454</v>
      </c>
      <c r="E2891" s="10">
        <v>4</v>
      </c>
      <c r="F2891" s="10">
        <v>480</v>
      </c>
      <c r="G2891" s="8">
        <f>F2891/1080</f>
        <v>0.44444444444444442</v>
      </c>
    </row>
    <row r="2892" spans="1:7" ht="16">
      <c r="A2892" s="13" t="s">
        <v>1746</v>
      </c>
      <c r="B2892" s="13">
        <v>2</v>
      </c>
      <c r="C2892" s="6">
        <v>4714781021012</v>
      </c>
      <c r="D2892" s="12" t="s">
        <v>1703</v>
      </c>
      <c r="E2892" s="10">
        <v>5</v>
      </c>
      <c r="F2892" s="10">
        <v>600</v>
      </c>
      <c r="G2892" s="8">
        <f>F2892/1080</f>
        <v>0.55555555555555558</v>
      </c>
    </row>
    <row r="2893" spans="1:7" ht="16">
      <c r="A2893" s="13"/>
      <c r="B2893" s="13"/>
      <c r="C2893" s="6">
        <v>4714781021609</v>
      </c>
      <c r="D2893" s="12" t="s">
        <v>1454</v>
      </c>
      <c r="E2893" s="10">
        <v>4</v>
      </c>
      <c r="F2893" s="10">
        <v>480</v>
      </c>
      <c r="G2893" s="8">
        <f>F2893/1080</f>
        <v>0.44444444444444442</v>
      </c>
    </row>
    <row r="2894" spans="1:7" ht="16">
      <c r="A2894" s="13" t="s">
        <v>1745</v>
      </c>
      <c r="B2894" s="13">
        <v>6</v>
      </c>
      <c r="C2894" s="6">
        <v>4714781021029</v>
      </c>
      <c r="D2894" s="12" t="s">
        <v>1452</v>
      </c>
      <c r="E2894" s="10">
        <v>1</v>
      </c>
      <c r="F2894" s="10">
        <v>133</v>
      </c>
      <c r="G2894" s="8">
        <f>F2894/799</f>
        <v>0.16645807259073842</v>
      </c>
    </row>
    <row r="2895" spans="1:7" ht="16">
      <c r="A2895" s="13"/>
      <c r="B2895" s="13"/>
      <c r="C2895" s="6">
        <v>4714781021012</v>
      </c>
      <c r="D2895" s="12" t="s">
        <v>1703</v>
      </c>
      <c r="E2895" s="10">
        <v>1</v>
      </c>
      <c r="F2895" s="10">
        <v>133</v>
      </c>
      <c r="G2895" s="8">
        <f>F2895/799</f>
        <v>0.16645807259073842</v>
      </c>
    </row>
    <row r="2896" spans="1:7" ht="16">
      <c r="A2896" s="13"/>
      <c r="B2896" s="13"/>
      <c r="C2896" s="6">
        <v>4714781021609</v>
      </c>
      <c r="D2896" s="12" t="s">
        <v>1454</v>
      </c>
      <c r="E2896" s="10">
        <v>1</v>
      </c>
      <c r="F2896" s="10">
        <v>133</v>
      </c>
      <c r="G2896" s="8">
        <f>F2896/799</f>
        <v>0.16645807259073842</v>
      </c>
    </row>
    <row r="2897" spans="1:7" ht="16">
      <c r="A2897" s="13"/>
      <c r="B2897" s="13"/>
      <c r="C2897" s="11">
        <v>4714781020466</v>
      </c>
      <c r="D2897" s="13" t="s">
        <v>1374</v>
      </c>
      <c r="E2897" s="10">
        <v>1</v>
      </c>
      <c r="F2897" s="10">
        <v>134</v>
      </c>
      <c r="G2897" s="8">
        <f>F2897/799</f>
        <v>0.1677096370463079</v>
      </c>
    </row>
    <row r="2898" spans="1:7" ht="16">
      <c r="A2898" s="13"/>
      <c r="B2898" s="13"/>
      <c r="C2898" s="11">
        <v>4714781020503</v>
      </c>
      <c r="D2898" s="13" t="s">
        <v>1372</v>
      </c>
      <c r="E2898" s="10">
        <v>1</v>
      </c>
      <c r="F2898" s="10">
        <v>133</v>
      </c>
      <c r="G2898" s="8">
        <f>F2898/799</f>
        <v>0.16645807259073842</v>
      </c>
    </row>
    <row r="2899" spans="1:7" ht="16">
      <c r="A2899" s="13"/>
      <c r="B2899" s="13"/>
      <c r="C2899" s="11">
        <v>4714781020558</v>
      </c>
      <c r="D2899" s="13" t="s">
        <v>1370</v>
      </c>
      <c r="E2899" s="10">
        <v>1</v>
      </c>
      <c r="F2899" s="10">
        <v>133</v>
      </c>
      <c r="G2899" s="8">
        <f>F2899/799</f>
        <v>0.16645807259073842</v>
      </c>
    </row>
    <row r="2900" spans="1:7" ht="16">
      <c r="A2900" s="13" t="s">
        <v>1744</v>
      </c>
      <c r="B2900" s="13">
        <v>2</v>
      </c>
      <c r="C2900" s="6">
        <v>4714781021029</v>
      </c>
      <c r="D2900" s="12" t="s">
        <v>1452</v>
      </c>
      <c r="E2900" s="10">
        <v>3</v>
      </c>
      <c r="F2900" s="10">
        <v>399</v>
      </c>
      <c r="G2900" s="8">
        <f>F2900/799</f>
        <v>0.49937421777221525</v>
      </c>
    </row>
    <row r="2901" spans="1:7" ht="16">
      <c r="A2901" s="13"/>
      <c r="B2901" s="13"/>
      <c r="C2901" s="11">
        <v>4714781020558</v>
      </c>
      <c r="D2901" s="13" t="s">
        <v>1370</v>
      </c>
      <c r="E2901" s="10">
        <v>3</v>
      </c>
      <c r="F2901" s="10">
        <v>400</v>
      </c>
      <c r="G2901" s="8">
        <f>F2901/799</f>
        <v>0.50062578222778475</v>
      </c>
    </row>
    <row r="2902" spans="1:7" ht="16">
      <c r="A2902" s="13" t="s">
        <v>1743</v>
      </c>
      <c r="B2902" s="13">
        <v>2</v>
      </c>
      <c r="C2902" s="6">
        <v>4714781021029</v>
      </c>
      <c r="D2902" s="12" t="s">
        <v>1452</v>
      </c>
      <c r="E2902" s="10">
        <v>3</v>
      </c>
      <c r="F2902" s="10">
        <v>399</v>
      </c>
      <c r="G2902" s="8">
        <f>F2902/799</f>
        <v>0.49937421777221525</v>
      </c>
    </row>
    <row r="2903" spans="1:7" ht="16">
      <c r="A2903" s="13"/>
      <c r="B2903" s="13"/>
      <c r="C2903" s="11">
        <v>4714781020466</v>
      </c>
      <c r="D2903" s="13" t="s">
        <v>1374</v>
      </c>
      <c r="E2903" s="10">
        <v>3</v>
      </c>
      <c r="F2903" s="10">
        <v>400</v>
      </c>
      <c r="G2903" s="8">
        <f>F2903/799</f>
        <v>0.50062578222778475</v>
      </c>
    </row>
    <row r="2904" spans="1:7" ht="16">
      <c r="A2904" s="13" t="s">
        <v>1742</v>
      </c>
      <c r="B2904" s="13">
        <v>2</v>
      </c>
      <c r="C2904" s="6">
        <v>4714781021029</v>
      </c>
      <c r="D2904" s="12" t="s">
        <v>1452</v>
      </c>
      <c r="E2904" s="10">
        <v>3</v>
      </c>
      <c r="F2904" s="10">
        <v>399</v>
      </c>
      <c r="G2904" s="8">
        <f>F2904/799</f>
        <v>0.49937421777221525</v>
      </c>
    </row>
    <row r="2905" spans="1:7" ht="16">
      <c r="A2905" s="13"/>
      <c r="B2905" s="13"/>
      <c r="C2905" s="11">
        <v>4714781020503</v>
      </c>
      <c r="D2905" s="13" t="s">
        <v>1372</v>
      </c>
      <c r="E2905" s="10">
        <v>3</v>
      </c>
      <c r="F2905" s="10">
        <v>400</v>
      </c>
      <c r="G2905" s="8">
        <f>F2905/799</f>
        <v>0.50062578222778475</v>
      </c>
    </row>
    <row r="2906" spans="1:7" ht="16">
      <c r="A2906" s="13" t="s">
        <v>1741</v>
      </c>
      <c r="B2906" s="13">
        <v>2</v>
      </c>
      <c r="C2906" s="6">
        <v>4714781021012</v>
      </c>
      <c r="D2906" s="12" t="s">
        <v>1703</v>
      </c>
      <c r="E2906" s="10">
        <v>3</v>
      </c>
      <c r="F2906" s="10">
        <v>399</v>
      </c>
      <c r="G2906" s="8">
        <f>F2906/799</f>
        <v>0.49937421777221525</v>
      </c>
    </row>
    <row r="2907" spans="1:7" ht="16">
      <c r="A2907" s="13"/>
      <c r="B2907" s="13"/>
      <c r="C2907" s="11">
        <v>4714781020558</v>
      </c>
      <c r="D2907" s="13" t="s">
        <v>1370</v>
      </c>
      <c r="E2907" s="10">
        <v>3</v>
      </c>
      <c r="F2907" s="10">
        <v>400</v>
      </c>
      <c r="G2907" s="8">
        <f>F2907/799</f>
        <v>0.50062578222778475</v>
      </c>
    </row>
    <row r="2908" spans="1:7" ht="16">
      <c r="A2908" s="13" t="s">
        <v>1740</v>
      </c>
      <c r="B2908" s="13">
        <v>2</v>
      </c>
      <c r="C2908" s="6">
        <v>4714781021012</v>
      </c>
      <c r="D2908" s="12" t="s">
        <v>1703</v>
      </c>
      <c r="E2908" s="10">
        <v>3</v>
      </c>
      <c r="F2908" s="10">
        <v>399</v>
      </c>
      <c r="G2908" s="8">
        <f>F2908/799</f>
        <v>0.49937421777221525</v>
      </c>
    </row>
    <row r="2909" spans="1:7" ht="16">
      <c r="A2909" s="13"/>
      <c r="B2909" s="13"/>
      <c r="C2909" s="11">
        <v>4714781020466</v>
      </c>
      <c r="D2909" s="13" t="s">
        <v>1374</v>
      </c>
      <c r="E2909" s="10">
        <v>3</v>
      </c>
      <c r="F2909" s="10">
        <v>400</v>
      </c>
      <c r="G2909" s="8">
        <f>F2909/799</f>
        <v>0.50062578222778475</v>
      </c>
    </row>
    <row r="2910" spans="1:7" ht="16">
      <c r="A2910" s="13" t="s">
        <v>1739</v>
      </c>
      <c r="B2910" s="13">
        <v>2</v>
      </c>
      <c r="C2910" s="6">
        <v>4714781021012</v>
      </c>
      <c r="D2910" s="12" t="s">
        <v>1703</v>
      </c>
      <c r="E2910" s="10">
        <v>3</v>
      </c>
      <c r="F2910" s="10">
        <v>399</v>
      </c>
      <c r="G2910" s="8">
        <f>F2910/799</f>
        <v>0.49937421777221525</v>
      </c>
    </row>
    <row r="2911" spans="1:7" ht="16">
      <c r="A2911" s="13"/>
      <c r="B2911" s="13"/>
      <c r="C2911" s="11">
        <v>4714781020503</v>
      </c>
      <c r="D2911" s="13" t="s">
        <v>1372</v>
      </c>
      <c r="E2911" s="10">
        <v>3</v>
      </c>
      <c r="F2911" s="10">
        <v>400</v>
      </c>
      <c r="G2911" s="8">
        <f>F2911/799</f>
        <v>0.50062578222778475</v>
      </c>
    </row>
    <row r="2912" spans="1:7" ht="16">
      <c r="A2912" s="12" t="s">
        <v>1738</v>
      </c>
      <c r="B2912" s="13">
        <v>2</v>
      </c>
      <c r="C2912" s="6">
        <v>4714781021609</v>
      </c>
      <c r="D2912" s="12" t="s">
        <v>1454</v>
      </c>
      <c r="E2912" s="10">
        <v>3</v>
      </c>
      <c r="F2912" s="10">
        <v>399</v>
      </c>
      <c r="G2912" s="8">
        <f>F2912/799</f>
        <v>0.49937421777221525</v>
      </c>
    </row>
    <row r="2913" spans="1:7" ht="16">
      <c r="A2913" s="13"/>
      <c r="B2913" s="13"/>
      <c r="C2913" s="11">
        <v>4714781020558</v>
      </c>
      <c r="D2913" s="13" t="s">
        <v>1370</v>
      </c>
      <c r="E2913" s="10">
        <v>3</v>
      </c>
      <c r="F2913" s="10">
        <v>400</v>
      </c>
      <c r="G2913" s="8">
        <f>F2913/799</f>
        <v>0.50062578222778475</v>
      </c>
    </row>
    <row r="2914" spans="1:7" ht="16">
      <c r="A2914" s="13" t="s">
        <v>1737</v>
      </c>
      <c r="B2914" s="13">
        <v>2</v>
      </c>
      <c r="C2914" s="6">
        <v>4714781021609</v>
      </c>
      <c r="D2914" s="12" t="s">
        <v>1454</v>
      </c>
      <c r="E2914" s="10">
        <v>3</v>
      </c>
      <c r="F2914" s="10">
        <v>399</v>
      </c>
      <c r="G2914" s="8">
        <f>F2914/799</f>
        <v>0.49937421777221525</v>
      </c>
    </row>
    <row r="2915" spans="1:7" ht="16">
      <c r="A2915" s="13"/>
      <c r="B2915" s="13"/>
      <c r="C2915" s="11">
        <v>4714781020466</v>
      </c>
      <c r="D2915" s="13" t="s">
        <v>1374</v>
      </c>
      <c r="E2915" s="10">
        <v>3</v>
      </c>
      <c r="F2915" s="10">
        <v>400</v>
      </c>
      <c r="G2915" s="8">
        <f>F2915/799</f>
        <v>0.50062578222778475</v>
      </c>
    </row>
    <row r="2916" spans="1:7" ht="16">
      <c r="A2916" s="13" t="s">
        <v>1736</v>
      </c>
      <c r="B2916" s="13">
        <v>2</v>
      </c>
      <c r="C2916" s="6">
        <v>4714781021609</v>
      </c>
      <c r="D2916" s="12" t="s">
        <v>1454</v>
      </c>
      <c r="E2916" s="10">
        <v>3</v>
      </c>
      <c r="F2916" s="10">
        <v>399</v>
      </c>
      <c r="G2916" s="8">
        <f>F2916/799</f>
        <v>0.49937421777221525</v>
      </c>
    </row>
    <row r="2917" spans="1:7" ht="16">
      <c r="A2917" s="13"/>
      <c r="B2917" s="13"/>
      <c r="C2917" s="11">
        <v>4714781020503</v>
      </c>
      <c r="D2917" s="13" t="s">
        <v>1372</v>
      </c>
      <c r="E2917" s="10">
        <v>3</v>
      </c>
      <c r="F2917" s="10">
        <v>400</v>
      </c>
      <c r="G2917" s="8">
        <f>F2917/799</f>
        <v>0.50062578222778475</v>
      </c>
    </row>
    <row r="2918" spans="1:7" ht="16">
      <c r="A2918" s="7" t="s">
        <v>1735</v>
      </c>
      <c r="B2918" s="7">
        <v>3</v>
      </c>
      <c r="C2918" s="6">
        <v>4714781020954</v>
      </c>
      <c r="D2918" s="7" t="s">
        <v>1398</v>
      </c>
      <c r="E2918" s="12">
        <v>1</v>
      </c>
      <c r="F2918" s="10">
        <v>145</v>
      </c>
      <c r="G2918" s="8">
        <f>F2918/620</f>
        <v>0.23387096774193547</v>
      </c>
    </row>
    <row r="2919" spans="1:7" ht="16">
      <c r="A2919" s="7"/>
      <c r="B2919" s="7"/>
      <c r="C2919" s="6">
        <v>4714781020848</v>
      </c>
      <c r="D2919" s="7" t="s">
        <v>1382</v>
      </c>
      <c r="E2919" s="12">
        <v>1</v>
      </c>
      <c r="F2919" s="10">
        <v>330</v>
      </c>
      <c r="G2919" s="8">
        <f>F2919/620</f>
        <v>0.532258064516129</v>
      </c>
    </row>
    <row r="2920" spans="1:7" ht="16">
      <c r="A2920" s="7"/>
      <c r="B2920" s="7"/>
      <c r="C2920" s="6">
        <v>4714781020787</v>
      </c>
      <c r="D2920" s="7" t="s">
        <v>1378</v>
      </c>
      <c r="E2920" s="12">
        <v>1</v>
      </c>
      <c r="F2920" s="10">
        <v>145</v>
      </c>
      <c r="G2920" s="8">
        <f>F2920/620</f>
        <v>0.23387096774193547</v>
      </c>
    </row>
    <row r="2921" spans="1:7" ht="16">
      <c r="A2921" s="7" t="s">
        <v>1734</v>
      </c>
      <c r="B2921" s="7">
        <v>3</v>
      </c>
      <c r="C2921" s="6">
        <v>4714781020954</v>
      </c>
      <c r="D2921" s="7" t="s">
        <v>1398</v>
      </c>
      <c r="E2921" s="12">
        <v>1</v>
      </c>
      <c r="F2921" s="10">
        <v>145</v>
      </c>
      <c r="G2921" s="8">
        <f>F2921/620</f>
        <v>0.23387096774193547</v>
      </c>
    </row>
    <row r="2922" spans="1:7" ht="16">
      <c r="A2922" s="7"/>
      <c r="B2922" s="7"/>
      <c r="C2922" s="6">
        <v>4714781020848</v>
      </c>
      <c r="D2922" s="7" t="s">
        <v>1382</v>
      </c>
      <c r="E2922" s="12">
        <v>1</v>
      </c>
      <c r="F2922" s="10">
        <v>330</v>
      </c>
      <c r="G2922" s="8">
        <f>F2922/620</f>
        <v>0.532258064516129</v>
      </c>
    </row>
    <row r="2923" spans="1:7" ht="16">
      <c r="A2923" s="7"/>
      <c r="B2923" s="7"/>
      <c r="C2923" s="6">
        <v>4714781020770</v>
      </c>
      <c r="D2923" s="7" t="s">
        <v>1380</v>
      </c>
      <c r="E2923" s="12">
        <v>1</v>
      </c>
      <c r="F2923" s="10">
        <v>145</v>
      </c>
      <c r="G2923" s="8">
        <f>F2923/620</f>
        <v>0.23387096774193547</v>
      </c>
    </row>
    <row r="2924" spans="1:7" ht="16">
      <c r="A2924" s="7" t="s">
        <v>1733</v>
      </c>
      <c r="B2924" s="7">
        <v>3</v>
      </c>
      <c r="C2924" s="6">
        <v>4714781020954</v>
      </c>
      <c r="D2924" s="7" t="s">
        <v>1398</v>
      </c>
      <c r="E2924" s="12">
        <v>1</v>
      </c>
      <c r="F2924" s="10">
        <v>145</v>
      </c>
      <c r="G2924" s="8">
        <f>F2924/620</f>
        <v>0.23387096774193547</v>
      </c>
    </row>
    <row r="2925" spans="1:7" ht="16">
      <c r="A2925" s="7"/>
      <c r="B2925" s="7"/>
      <c r="C2925" s="6">
        <v>4714781020855</v>
      </c>
      <c r="D2925" s="7" t="s">
        <v>1384</v>
      </c>
      <c r="E2925" s="12">
        <v>1</v>
      </c>
      <c r="F2925" s="10">
        <v>330</v>
      </c>
      <c r="G2925" s="8">
        <f>F2925/620</f>
        <v>0.532258064516129</v>
      </c>
    </row>
    <row r="2926" spans="1:7" ht="16">
      <c r="A2926" s="7"/>
      <c r="B2926" s="7"/>
      <c r="C2926" s="6">
        <v>4714781020770</v>
      </c>
      <c r="D2926" s="7" t="s">
        <v>1380</v>
      </c>
      <c r="E2926" s="12">
        <v>1</v>
      </c>
      <c r="F2926" s="10">
        <v>145</v>
      </c>
      <c r="G2926" s="8">
        <f>F2926/620</f>
        <v>0.23387096774193547</v>
      </c>
    </row>
    <row r="2927" spans="1:7" ht="16">
      <c r="A2927" s="7" t="s">
        <v>1732</v>
      </c>
      <c r="B2927" s="7">
        <v>3</v>
      </c>
      <c r="C2927" s="6">
        <v>4714781020954</v>
      </c>
      <c r="D2927" s="7" t="s">
        <v>1398</v>
      </c>
      <c r="E2927" s="12">
        <v>1</v>
      </c>
      <c r="F2927" s="10">
        <v>145</v>
      </c>
      <c r="G2927" s="8">
        <f>F2927/620</f>
        <v>0.23387096774193547</v>
      </c>
    </row>
    <row r="2928" spans="1:7" ht="16">
      <c r="A2928" s="7"/>
      <c r="B2928" s="7"/>
      <c r="C2928" s="6">
        <v>4714781020855</v>
      </c>
      <c r="D2928" s="7" t="s">
        <v>1384</v>
      </c>
      <c r="E2928" s="12">
        <v>1</v>
      </c>
      <c r="F2928" s="10">
        <v>330</v>
      </c>
      <c r="G2928" s="8">
        <f>F2928/620</f>
        <v>0.532258064516129</v>
      </c>
    </row>
    <row r="2929" spans="1:7" ht="16">
      <c r="A2929" s="7"/>
      <c r="B2929" s="7"/>
      <c r="C2929" s="6">
        <v>4714781020787</v>
      </c>
      <c r="D2929" s="7" t="s">
        <v>1378</v>
      </c>
      <c r="E2929" s="12">
        <v>1</v>
      </c>
      <c r="F2929" s="10">
        <v>145</v>
      </c>
      <c r="G2929" s="8">
        <f>F2929/620</f>
        <v>0.23387096774193547</v>
      </c>
    </row>
    <row r="2930" spans="1:7" ht="16">
      <c r="A2930" s="7" t="s">
        <v>1731</v>
      </c>
      <c r="B2930" s="7">
        <v>3</v>
      </c>
      <c r="C2930" s="6">
        <v>4714781020954</v>
      </c>
      <c r="D2930" s="7" t="s">
        <v>1398</v>
      </c>
      <c r="E2930" s="12">
        <v>1</v>
      </c>
      <c r="F2930" s="10">
        <v>145</v>
      </c>
      <c r="G2930" s="8">
        <f>F2930/600</f>
        <v>0.24166666666666667</v>
      </c>
    </row>
    <row r="2931" spans="1:7" ht="16">
      <c r="A2931" s="7"/>
      <c r="B2931" s="7"/>
      <c r="C2931" s="6">
        <v>4714781020824</v>
      </c>
      <c r="D2931" s="7" t="s">
        <v>1391</v>
      </c>
      <c r="E2931" s="12">
        <v>1</v>
      </c>
      <c r="F2931" s="10">
        <v>330</v>
      </c>
      <c r="G2931" s="8">
        <f>F2931/600</f>
        <v>0.55000000000000004</v>
      </c>
    </row>
    <row r="2932" spans="1:7" ht="16">
      <c r="A2932" s="7"/>
      <c r="B2932" s="7"/>
      <c r="C2932" s="6">
        <v>4714781020800</v>
      </c>
      <c r="D2932" s="7" t="s">
        <v>1319</v>
      </c>
      <c r="E2932" s="12">
        <v>1</v>
      </c>
      <c r="F2932" s="10">
        <v>125</v>
      </c>
      <c r="G2932" s="8">
        <f>F2932/600</f>
        <v>0.20833333333333334</v>
      </c>
    </row>
    <row r="2933" spans="1:7" ht="16">
      <c r="A2933" s="7" t="s">
        <v>1730</v>
      </c>
      <c r="B2933" s="7">
        <v>3</v>
      </c>
      <c r="C2933" s="6">
        <v>4714781020954</v>
      </c>
      <c r="D2933" s="7" t="s">
        <v>1398</v>
      </c>
      <c r="E2933" s="12">
        <v>1</v>
      </c>
      <c r="F2933" s="10">
        <v>145</v>
      </c>
      <c r="G2933" s="8">
        <f>F2933/600</f>
        <v>0.24166666666666667</v>
      </c>
    </row>
    <row r="2934" spans="1:7" ht="16">
      <c r="A2934" s="7"/>
      <c r="B2934" s="7"/>
      <c r="C2934" s="6">
        <v>4714781020824</v>
      </c>
      <c r="D2934" s="7" t="s">
        <v>1391</v>
      </c>
      <c r="E2934" s="12">
        <v>1</v>
      </c>
      <c r="F2934" s="10">
        <v>330</v>
      </c>
      <c r="G2934" s="8">
        <f>F2934/600</f>
        <v>0.55000000000000004</v>
      </c>
    </row>
    <row r="2935" spans="1:7" ht="16">
      <c r="A2935" s="7"/>
      <c r="B2935" s="7"/>
      <c r="C2935" s="6">
        <v>4714781020817</v>
      </c>
      <c r="D2935" s="7" t="s">
        <v>1317</v>
      </c>
      <c r="E2935" s="12">
        <v>1</v>
      </c>
      <c r="F2935" s="10">
        <v>125</v>
      </c>
      <c r="G2935" s="8">
        <f>F2935/600</f>
        <v>0.20833333333333334</v>
      </c>
    </row>
    <row r="2936" spans="1:7" ht="16">
      <c r="A2936" s="7" t="s">
        <v>1729</v>
      </c>
      <c r="B2936" s="7">
        <v>3</v>
      </c>
      <c r="C2936" s="6">
        <v>4714781020954</v>
      </c>
      <c r="D2936" s="7" t="s">
        <v>1398</v>
      </c>
      <c r="E2936" s="12">
        <v>1</v>
      </c>
      <c r="F2936" s="10">
        <v>145</v>
      </c>
      <c r="G2936" s="8">
        <f>F2936/600</f>
        <v>0.24166666666666667</v>
      </c>
    </row>
    <row r="2937" spans="1:7" ht="16">
      <c r="A2937" s="7"/>
      <c r="B2937" s="7"/>
      <c r="C2937" s="6">
        <v>4714781020824</v>
      </c>
      <c r="D2937" s="7" t="s">
        <v>1391</v>
      </c>
      <c r="E2937" s="12">
        <v>1</v>
      </c>
      <c r="F2937" s="10">
        <v>330</v>
      </c>
      <c r="G2937" s="8">
        <f>F2937/600</f>
        <v>0.55000000000000004</v>
      </c>
    </row>
    <row r="2938" spans="1:7" ht="16">
      <c r="A2938" s="7"/>
      <c r="B2938" s="7"/>
      <c r="C2938" s="6">
        <v>4714781020794</v>
      </c>
      <c r="D2938" s="7" t="s">
        <v>1320</v>
      </c>
      <c r="E2938" s="12">
        <v>1</v>
      </c>
      <c r="F2938" s="10">
        <v>125</v>
      </c>
      <c r="G2938" s="8">
        <f>F2938/600</f>
        <v>0.20833333333333334</v>
      </c>
    </row>
    <row r="2939" spans="1:7" ht="16">
      <c r="A2939" s="7" t="s">
        <v>1728</v>
      </c>
      <c r="B2939" s="7">
        <v>3</v>
      </c>
      <c r="C2939" s="6">
        <v>4714781020954</v>
      </c>
      <c r="D2939" s="7" t="s">
        <v>1398</v>
      </c>
      <c r="E2939" s="12">
        <v>1</v>
      </c>
      <c r="F2939" s="10">
        <v>145</v>
      </c>
      <c r="G2939" s="8">
        <f>F2939/600</f>
        <v>0.24166666666666667</v>
      </c>
    </row>
    <row r="2940" spans="1:7" ht="16">
      <c r="A2940" s="7"/>
      <c r="B2940" s="7"/>
      <c r="C2940" s="6">
        <v>4714781020831</v>
      </c>
      <c r="D2940" s="7" t="s">
        <v>1389</v>
      </c>
      <c r="E2940" s="12">
        <v>1</v>
      </c>
      <c r="F2940" s="10">
        <v>330</v>
      </c>
      <c r="G2940" s="8">
        <f>F2940/600</f>
        <v>0.55000000000000004</v>
      </c>
    </row>
    <row r="2941" spans="1:7" ht="16">
      <c r="A2941" s="7"/>
      <c r="B2941" s="7"/>
      <c r="C2941" s="6">
        <v>4714781020817</v>
      </c>
      <c r="D2941" s="7" t="s">
        <v>1317</v>
      </c>
      <c r="E2941" s="12">
        <v>1</v>
      </c>
      <c r="F2941" s="10">
        <v>125</v>
      </c>
      <c r="G2941" s="8">
        <f>F2941/600</f>
        <v>0.20833333333333334</v>
      </c>
    </row>
    <row r="2942" spans="1:7" ht="16">
      <c r="A2942" s="7" t="s">
        <v>1727</v>
      </c>
      <c r="B2942" s="7">
        <v>3</v>
      </c>
      <c r="C2942" s="6">
        <v>4714781020954</v>
      </c>
      <c r="D2942" s="7" t="s">
        <v>1398</v>
      </c>
      <c r="E2942" s="12">
        <v>1</v>
      </c>
      <c r="F2942" s="10">
        <v>145</v>
      </c>
      <c r="G2942" s="8">
        <f>F2942/600</f>
        <v>0.24166666666666667</v>
      </c>
    </row>
    <row r="2943" spans="1:7" ht="16">
      <c r="A2943" s="7"/>
      <c r="B2943" s="7"/>
      <c r="C2943" s="6">
        <v>4714781020831</v>
      </c>
      <c r="D2943" s="7" t="s">
        <v>1389</v>
      </c>
      <c r="E2943" s="12">
        <v>1</v>
      </c>
      <c r="F2943" s="10">
        <v>330</v>
      </c>
      <c r="G2943" s="8">
        <f>F2943/600</f>
        <v>0.55000000000000004</v>
      </c>
    </row>
    <row r="2944" spans="1:7" ht="16">
      <c r="A2944" s="7"/>
      <c r="B2944" s="7"/>
      <c r="C2944" s="6">
        <v>4714781020800</v>
      </c>
      <c r="D2944" s="7" t="s">
        <v>1319</v>
      </c>
      <c r="E2944" s="12">
        <v>1</v>
      </c>
      <c r="F2944" s="10">
        <v>125</v>
      </c>
      <c r="G2944" s="8">
        <f>F2944/600</f>
        <v>0.20833333333333334</v>
      </c>
    </row>
    <row r="2945" spans="1:7" ht="16">
      <c r="A2945" s="7" t="s">
        <v>1726</v>
      </c>
      <c r="B2945" s="7">
        <v>3</v>
      </c>
      <c r="C2945" s="6">
        <v>4714781020954</v>
      </c>
      <c r="D2945" s="7" t="s">
        <v>1398</v>
      </c>
      <c r="E2945" s="12">
        <v>1</v>
      </c>
      <c r="F2945" s="10">
        <v>145</v>
      </c>
      <c r="G2945" s="8">
        <f>F2945/600</f>
        <v>0.24166666666666667</v>
      </c>
    </row>
    <row r="2946" spans="1:7" ht="16">
      <c r="A2946" s="7"/>
      <c r="B2946" s="7"/>
      <c r="C2946" s="6">
        <v>4714781020831</v>
      </c>
      <c r="D2946" s="7" t="s">
        <v>1389</v>
      </c>
      <c r="E2946" s="12">
        <v>1</v>
      </c>
      <c r="F2946" s="10">
        <v>330</v>
      </c>
      <c r="G2946" s="8">
        <f>F2946/600</f>
        <v>0.55000000000000004</v>
      </c>
    </row>
    <row r="2947" spans="1:7" ht="16">
      <c r="A2947" s="7"/>
      <c r="B2947" s="7"/>
      <c r="C2947" s="6">
        <v>4714781020794</v>
      </c>
      <c r="D2947" s="7" t="s">
        <v>1320</v>
      </c>
      <c r="E2947" s="12">
        <v>1</v>
      </c>
      <c r="F2947" s="10">
        <v>125</v>
      </c>
      <c r="G2947" s="8">
        <f>F2947/600</f>
        <v>0.20833333333333334</v>
      </c>
    </row>
    <row r="2948" spans="1:7" ht="16">
      <c r="A2948" s="13" t="s">
        <v>1725</v>
      </c>
      <c r="B2948" s="13">
        <v>2</v>
      </c>
      <c r="C2948" s="11" t="s">
        <v>1595</v>
      </c>
      <c r="D2948" s="13" t="s">
        <v>1378</v>
      </c>
      <c r="E2948" s="10">
        <v>1</v>
      </c>
      <c r="F2948" s="10">
        <v>140</v>
      </c>
      <c r="G2948" s="20">
        <f>F2948/199</f>
        <v>0.70351758793969854</v>
      </c>
    </row>
    <row r="2949" spans="1:7" ht="16">
      <c r="A2949" s="13"/>
      <c r="B2949" s="13"/>
      <c r="C2949" s="11" t="s">
        <v>1581</v>
      </c>
      <c r="D2949" s="13" t="s">
        <v>1580</v>
      </c>
      <c r="E2949" s="10">
        <v>1</v>
      </c>
      <c r="F2949" s="10">
        <v>59</v>
      </c>
      <c r="G2949" s="20">
        <f>F2949/199</f>
        <v>0.29648241206030151</v>
      </c>
    </row>
    <row r="2950" spans="1:7" ht="16">
      <c r="A2950" s="13" t="s">
        <v>1724</v>
      </c>
      <c r="B2950" s="13">
        <v>2</v>
      </c>
      <c r="C2950" s="11" t="s">
        <v>1602</v>
      </c>
      <c r="D2950" s="13" t="s">
        <v>1380</v>
      </c>
      <c r="E2950" s="10">
        <v>1</v>
      </c>
      <c r="F2950" s="10">
        <v>140</v>
      </c>
      <c r="G2950" s="20">
        <f>F2950/199</f>
        <v>0.70351758793969854</v>
      </c>
    </row>
    <row r="2951" spans="1:7" ht="16">
      <c r="A2951" s="13"/>
      <c r="B2951" s="13"/>
      <c r="C2951" s="11" t="s">
        <v>1581</v>
      </c>
      <c r="D2951" s="13" t="s">
        <v>1580</v>
      </c>
      <c r="E2951" s="10">
        <v>1</v>
      </c>
      <c r="F2951" s="10">
        <v>59</v>
      </c>
      <c r="G2951" s="20">
        <f>F2951/199</f>
        <v>0.29648241206030151</v>
      </c>
    </row>
    <row r="2952" spans="1:7" ht="16">
      <c r="A2952" s="13" t="s">
        <v>1723</v>
      </c>
      <c r="B2952" s="13">
        <v>2</v>
      </c>
      <c r="C2952" s="11">
        <v>4714781020602</v>
      </c>
      <c r="D2952" s="13" t="s">
        <v>1722</v>
      </c>
      <c r="E2952" s="10">
        <v>1</v>
      </c>
      <c r="F2952" s="10">
        <v>100</v>
      </c>
      <c r="G2952" s="20">
        <f>F2952/149</f>
        <v>0.67114093959731547</v>
      </c>
    </row>
    <row r="2953" spans="1:7" ht="16">
      <c r="A2953" s="13"/>
      <c r="B2953" s="13"/>
      <c r="C2953" s="11" t="s">
        <v>1581</v>
      </c>
      <c r="D2953" s="13" t="s">
        <v>1580</v>
      </c>
      <c r="E2953" s="10">
        <v>1</v>
      </c>
      <c r="F2953" s="10">
        <v>49</v>
      </c>
      <c r="G2953" s="20">
        <f>F2953/149</f>
        <v>0.32885906040268459</v>
      </c>
    </row>
    <row r="2954" spans="1:7" ht="16">
      <c r="A2954" s="13" t="s">
        <v>1721</v>
      </c>
      <c r="B2954" s="13">
        <v>2</v>
      </c>
      <c r="C2954" s="11">
        <v>4714781020619</v>
      </c>
      <c r="D2954" s="13" t="s">
        <v>1720</v>
      </c>
      <c r="E2954" s="10">
        <v>1</v>
      </c>
      <c r="F2954" s="10">
        <v>100</v>
      </c>
      <c r="G2954" s="20">
        <f>F2954/149</f>
        <v>0.67114093959731547</v>
      </c>
    </row>
    <row r="2955" spans="1:7" ht="16">
      <c r="A2955" s="13"/>
      <c r="B2955" s="13"/>
      <c r="C2955" s="11" t="s">
        <v>1581</v>
      </c>
      <c r="D2955" s="13" t="s">
        <v>1580</v>
      </c>
      <c r="E2955" s="10">
        <v>1</v>
      </c>
      <c r="F2955" s="10">
        <v>49</v>
      </c>
      <c r="G2955" s="20">
        <f>F2955/149</f>
        <v>0.32885906040268459</v>
      </c>
    </row>
    <row r="2956" spans="1:7" ht="16">
      <c r="A2956" s="13" t="s">
        <v>1719</v>
      </c>
      <c r="B2956" s="13">
        <v>3</v>
      </c>
      <c r="C2956" s="11" t="s">
        <v>1595</v>
      </c>
      <c r="D2956" s="13" t="s">
        <v>1378</v>
      </c>
      <c r="E2956" s="10">
        <v>1</v>
      </c>
      <c r="F2956" s="10">
        <v>139</v>
      </c>
      <c r="G2956" s="20">
        <f>F2956/469</f>
        <v>0.29637526652452023</v>
      </c>
    </row>
    <row r="2957" spans="1:7" ht="16">
      <c r="B2957" s="13"/>
      <c r="C2957" s="11" t="s">
        <v>1581</v>
      </c>
      <c r="D2957" s="13" t="s">
        <v>1580</v>
      </c>
      <c r="E2957" s="10">
        <v>1</v>
      </c>
      <c r="F2957" s="10">
        <v>50</v>
      </c>
      <c r="G2957" s="20">
        <f>F2957/469</f>
        <v>0.10660980810234541</v>
      </c>
    </row>
    <row r="2958" spans="1:7" ht="16">
      <c r="A2958" s="13"/>
      <c r="B2958" s="13"/>
      <c r="C2958" s="11">
        <v>4714781020510</v>
      </c>
      <c r="D2958" s="13" t="s">
        <v>1717</v>
      </c>
      <c r="E2958" s="10">
        <v>1</v>
      </c>
      <c r="F2958" s="10">
        <v>280</v>
      </c>
      <c r="G2958" s="20">
        <f>F2958/469</f>
        <v>0.59701492537313428</v>
      </c>
    </row>
    <row r="2959" spans="1:7" ht="16">
      <c r="A2959" s="13" t="s">
        <v>1718</v>
      </c>
      <c r="B2959" s="13">
        <v>3</v>
      </c>
      <c r="C2959" s="11" t="s">
        <v>1602</v>
      </c>
      <c r="D2959" s="13" t="s">
        <v>1380</v>
      </c>
      <c r="E2959" s="10">
        <v>1</v>
      </c>
      <c r="F2959" s="10">
        <v>139</v>
      </c>
      <c r="G2959" s="20">
        <f>F2959/469</f>
        <v>0.29637526652452023</v>
      </c>
    </row>
    <row r="2960" spans="1:7" ht="16">
      <c r="A2960" s="13"/>
      <c r="B2960" s="13"/>
      <c r="C2960" s="11" t="s">
        <v>1581</v>
      </c>
      <c r="D2960" s="13" t="s">
        <v>1580</v>
      </c>
      <c r="E2960" s="10">
        <v>1</v>
      </c>
      <c r="F2960" s="10">
        <v>50</v>
      </c>
      <c r="G2960" s="20">
        <f>F2960/469</f>
        <v>0.10660980810234541</v>
      </c>
    </row>
    <row r="2961" spans="1:7" ht="16">
      <c r="A2961" s="13"/>
      <c r="B2961" s="13"/>
      <c r="C2961" s="11">
        <v>4714781020510</v>
      </c>
      <c r="D2961" s="13" t="s">
        <v>1717</v>
      </c>
      <c r="E2961" s="10">
        <v>1</v>
      </c>
      <c r="F2961" s="10">
        <v>280</v>
      </c>
      <c r="G2961" s="20">
        <f>F2961/469</f>
        <v>0.59701492537313428</v>
      </c>
    </row>
    <row r="2962" spans="1:7" ht="16">
      <c r="A2962" s="13" t="s">
        <v>1716</v>
      </c>
      <c r="B2962" s="13">
        <v>2</v>
      </c>
      <c r="C2962" s="11" t="s">
        <v>1713</v>
      </c>
      <c r="D2962" s="13" t="s">
        <v>1452</v>
      </c>
      <c r="E2962" s="10">
        <v>2</v>
      </c>
      <c r="F2962" s="10">
        <v>299</v>
      </c>
      <c r="G2962" s="20">
        <f>F2962/599</f>
        <v>0.4991652754590985</v>
      </c>
    </row>
    <row r="2963" spans="1:7" ht="16">
      <c r="A2963" s="13"/>
      <c r="B2963" s="13"/>
      <c r="C2963" s="11" t="s">
        <v>1708</v>
      </c>
      <c r="D2963" s="13" t="s">
        <v>1374</v>
      </c>
      <c r="E2963" s="10">
        <v>2</v>
      </c>
      <c r="F2963" s="10">
        <v>300</v>
      </c>
      <c r="G2963" s="20">
        <f>F2963/599</f>
        <v>0.5008347245409015</v>
      </c>
    </row>
    <row r="2964" spans="1:7" ht="16">
      <c r="A2964" s="13" t="s">
        <v>1715</v>
      </c>
      <c r="B2964" s="13">
        <v>2</v>
      </c>
      <c r="C2964" s="11" t="s">
        <v>1713</v>
      </c>
      <c r="D2964" s="13" t="s">
        <v>1452</v>
      </c>
      <c r="E2964" s="10">
        <v>2</v>
      </c>
      <c r="F2964" s="10">
        <v>299</v>
      </c>
      <c r="G2964" s="20">
        <f>F2964/599</f>
        <v>0.4991652754590985</v>
      </c>
    </row>
    <row r="2965" spans="1:7" ht="16">
      <c r="A2965" s="13"/>
      <c r="B2965" s="13"/>
      <c r="C2965" s="11" t="s">
        <v>1706</v>
      </c>
      <c r="D2965" s="13" t="s">
        <v>1372</v>
      </c>
      <c r="E2965" s="10">
        <v>2</v>
      </c>
      <c r="F2965" s="10">
        <v>300</v>
      </c>
      <c r="G2965" s="20">
        <f>F2965/599</f>
        <v>0.5008347245409015</v>
      </c>
    </row>
    <row r="2966" spans="1:7" ht="16">
      <c r="A2966" s="13" t="s">
        <v>1714</v>
      </c>
      <c r="B2966" s="13">
        <v>2</v>
      </c>
      <c r="C2966" s="11" t="s">
        <v>1713</v>
      </c>
      <c r="D2966" s="13" t="s">
        <v>1452</v>
      </c>
      <c r="E2966" s="10">
        <v>2</v>
      </c>
      <c r="F2966" s="10">
        <v>299</v>
      </c>
      <c r="G2966" s="20">
        <f>F2966/599</f>
        <v>0.4991652754590985</v>
      </c>
    </row>
    <row r="2967" spans="1:7" ht="16">
      <c r="A2967" s="13"/>
      <c r="B2967" s="13"/>
      <c r="C2967" s="11" t="s">
        <v>1702</v>
      </c>
      <c r="D2967" s="13" t="s">
        <v>1370</v>
      </c>
      <c r="E2967" s="10">
        <v>2</v>
      </c>
      <c r="F2967" s="10">
        <v>300</v>
      </c>
      <c r="G2967" s="20">
        <f>F2967/599</f>
        <v>0.5008347245409015</v>
      </c>
    </row>
    <row r="2968" spans="1:7" ht="16">
      <c r="A2968" s="13" t="s">
        <v>1712</v>
      </c>
      <c r="B2968" s="13">
        <v>2</v>
      </c>
      <c r="C2968" s="6">
        <v>4714781021609</v>
      </c>
      <c r="D2968" s="12" t="s">
        <v>1454</v>
      </c>
      <c r="E2968" s="10">
        <v>2</v>
      </c>
      <c r="F2968" s="10">
        <v>299</v>
      </c>
      <c r="G2968" s="20">
        <f>F2968/599</f>
        <v>0.4991652754590985</v>
      </c>
    </row>
    <row r="2969" spans="1:7" ht="16">
      <c r="A2969" s="13"/>
      <c r="B2969" s="13"/>
      <c r="C2969" s="11" t="s">
        <v>1708</v>
      </c>
      <c r="D2969" s="13" t="s">
        <v>1374</v>
      </c>
      <c r="E2969" s="10">
        <v>2</v>
      </c>
      <c r="F2969" s="10">
        <v>300</v>
      </c>
      <c r="G2969" s="20">
        <f>F2969/599</f>
        <v>0.5008347245409015</v>
      </c>
    </row>
    <row r="2970" spans="1:7" ht="16">
      <c r="A2970" s="13" t="s">
        <v>1711</v>
      </c>
      <c r="B2970" s="13">
        <v>2</v>
      </c>
      <c r="C2970" s="6">
        <v>4714781021609</v>
      </c>
      <c r="D2970" s="12" t="s">
        <v>1454</v>
      </c>
      <c r="E2970" s="10">
        <v>2</v>
      </c>
      <c r="F2970" s="10">
        <v>299</v>
      </c>
      <c r="G2970" s="20">
        <f>F2970/599</f>
        <v>0.4991652754590985</v>
      </c>
    </row>
    <row r="2971" spans="1:7" ht="16">
      <c r="A2971" s="13"/>
      <c r="B2971" s="13"/>
      <c r="C2971" s="11" t="s">
        <v>1706</v>
      </c>
      <c r="D2971" s="13" t="s">
        <v>1372</v>
      </c>
      <c r="E2971" s="10">
        <v>2</v>
      </c>
      <c r="F2971" s="10">
        <v>300</v>
      </c>
      <c r="G2971" s="20">
        <f>F2971/599</f>
        <v>0.5008347245409015</v>
      </c>
    </row>
    <row r="2972" spans="1:7" ht="16">
      <c r="A2972" s="13" t="s">
        <v>1710</v>
      </c>
      <c r="B2972" s="13">
        <v>2</v>
      </c>
      <c r="C2972" s="6">
        <v>4714781021609</v>
      </c>
      <c r="D2972" s="12" t="s">
        <v>1454</v>
      </c>
      <c r="E2972" s="10">
        <v>2</v>
      </c>
      <c r="F2972" s="10">
        <v>299</v>
      </c>
      <c r="G2972" s="20">
        <f>F2972/599</f>
        <v>0.4991652754590985</v>
      </c>
    </row>
    <row r="2973" spans="1:7" ht="16">
      <c r="A2973" s="13"/>
      <c r="B2973" s="13"/>
      <c r="C2973" s="11" t="s">
        <v>1702</v>
      </c>
      <c r="D2973" s="13" t="s">
        <v>1370</v>
      </c>
      <c r="E2973" s="10">
        <v>2</v>
      </c>
      <c r="F2973" s="10">
        <v>300</v>
      </c>
      <c r="G2973" s="20">
        <f>F2973/599</f>
        <v>0.5008347245409015</v>
      </c>
    </row>
    <row r="2974" spans="1:7" ht="16">
      <c r="A2974" s="13" t="s">
        <v>1709</v>
      </c>
      <c r="B2974" s="13">
        <v>2</v>
      </c>
      <c r="C2974" s="11" t="s">
        <v>1704</v>
      </c>
      <c r="D2974" s="13" t="s">
        <v>1703</v>
      </c>
      <c r="E2974" s="10">
        <v>2</v>
      </c>
      <c r="F2974" s="10">
        <v>299</v>
      </c>
      <c r="G2974" s="20">
        <f>F2974/599</f>
        <v>0.4991652754590985</v>
      </c>
    </row>
    <row r="2975" spans="1:7" ht="16">
      <c r="A2975" s="13"/>
      <c r="B2975" s="13"/>
      <c r="C2975" s="11" t="s">
        <v>1708</v>
      </c>
      <c r="D2975" s="13" t="s">
        <v>1374</v>
      </c>
      <c r="E2975" s="10">
        <v>2</v>
      </c>
      <c r="F2975" s="10">
        <v>300</v>
      </c>
      <c r="G2975" s="20">
        <f>F2975/599</f>
        <v>0.5008347245409015</v>
      </c>
    </row>
    <row r="2976" spans="1:7" ht="16">
      <c r="A2976" s="13" t="s">
        <v>1707</v>
      </c>
      <c r="B2976" s="13">
        <v>2</v>
      </c>
      <c r="C2976" s="11" t="s">
        <v>1704</v>
      </c>
      <c r="D2976" s="13" t="s">
        <v>1703</v>
      </c>
      <c r="E2976" s="10">
        <v>2</v>
      </c>
      <c r="F2976" s="10">
        <v>299</v>
      </c>
      <c r="G2976" s="20">
        <f>F2976/599</f>
        <v>0.4991652754590985</v>
      </c>
    </row>
    <row r="2977" spans="1:7" ht="16">
      <c r="A2977" s="13"/>
      <c r="B2977" s="13"/>
      <c r="C2977" s="11" t="s">
        <v>1706</v>
      </c>
      <c r="D2977" s="13" t="s">
        <v>1372</v>
      </c>
      <c r="E2977" s="10">
        <v>2</v>
      </c>
      <c r="F2977" s="10">
        <v>300</v>
      </c>
      <c r="G2977" s="20">
        <f>F2977/599</f>
        <v>0.5008347245409015</v>
      </c>
    </row>
    <row r="2978" spans="1:7" ht="16">
      <c r="A2978" s="13" t="s">
        <v>1705</v>
      </c>
      <c r="B2978" s="13">
        <v>2</v>
      </c>
      <c r="C2978" s="11" t="s">
        <v>1704</v>
      </c>
      <c r="D2978" s="13" t="s">
        <v>1703</v>
      </c>
      <c r="E2978" s="10">
        <v>2</v>
      </c>
      <c r="F2978" s="10">
        <v>299</v>
      </c>
      <c r="G2978" s="20">
        <f>F2978/599</f>
        <v>0.4991652754590985</v>
      </c>
    </row>
    <row r="2979" spans="1:7" ht="16">
      <c r="A2979" s="13"/>
      <c r="B2979" s="13"/>
      <c r="C2979" s="11" t="s">
        <v>1702</v>
      </c>
      <c r="D2979" s="13" t="s">
        <v>1370</v>
      </c>
      <c r="E2979" s="10">
        <v>2</v>
      </c>
      <c r="F2979" s="10">
        <v>300</v>
      </c>
      <c r="G2979" s="20">
        <f>F2979/599</f>
        <v>0.5008347245409015</v>
      </c>
    </row>
    <row r="2980" spans="1:7" ht="16">
      <c r="A2980" s="13" t="s">
        <v>1701</v>
      </c>
      <c r="B2980" s="13">
        <v>1</v>
      </c>
      <c r="C2980" s="11" t="s">
        <v>1596</v>
      </c>
      <c r="D2980" s="13" t="s">
        <v>1384</v>
      </c>
      <c r="E2980" s="10">
        <v>2</v>
      </c>
      <c r="F2980" s="10">
        <v>599</v>
      </c>
      <c r="G2980" s="20">
        <f>F2980/599</f>
        <v>1</v>
      </c>
    </row>
    <row r="2981" spans="1:7" ht="16">
      <c r="A2981" s="13" t="s">
        <v>1700</v>
      </c>
      <c r="B2981" s="13">
        <v>1</v>
      </c>
      <c r="C2981" s="11" t="s">
        <v>1598</v>
      </c>
      <c r="D2981" s="13" t="s">
        <v>1382</v>
      </c>
      <c r="E2981" s="10">
        <v>2</v>
      </c>
      <c r="F2981" s="10">
        <v>599</v>
      </c>
      <c r="G2981" s="20">
        <f>F2981/599</f>
        <v>1</v>
      </c>
    </row>
    <row r="2982" spans="1:7" ht="16">
      <c r="A2982" s="13" t="s">
        <v>1699</v>
      </c>
      <c r="B2982" s="13">
        <v>2</v>
      </c>
      <c r="C2982" s="11" t="s">
        <v>1596</v>
      </c>
      <c r="D2982" s="13" t="s">
        <v>1384</v>
      </c>
      <c r="E2982" s="10">
        <v>1</v>
      </c>
      <c r="F2982" s="10">
        <v>299</v>
      </c>
      <c r="G2982" s="20">
        <f>F2982/599</f>
        <v>0.4991652754590985</v>
      </c>
    </row>
    <row r="2983" spans="1:7" ht="16">
      <c r="A2983" s="13"/>
      <c r="B2983" s="13"/>
      <c r="C2983" s="11" t="s">
        <v>1598</v>
      </c>
      <c r="D2983" s="13" t="s">
        <v>1382</v>
      </c>
      <c r="E2983" s="10">
        <v>1</v>
      </c>
      <c r="F2983" s="10">
        <v>300</v>
      </c>
      <c r="G2983" s="20">
        <f>F2983/599</f>
        <v>0.5008347245409015</v>
      </c>
    </row>
    <row r="2984" spans="1:7" ht="16">
      <c r="A2984" s="13" t="s">
        <v>1698</v>
      </c>
      <c r="B2984" s="13">
        <v>1</v>
      </c>
      <c r="C2984" s="11">
        <v>4714781020824</v>
      </c>
      <c r="D2984" s="13" t="s">
        <v>1391</v>
      </c>
      <c r="E2984" s="10">
        <v>2</v>
      </c>
      <c r="F2984" s="10">
        <v>599</v>
      </c>
      <c r="G2984" s="20">
        <f>F2984/599</f>
        <v>1</v>
      </c>
    </row>
    <row r="2985" spans="1:7" ht="16">
      <c r="A2985" s="13" t="s">
        <v>1697</v>
      </c>
      <c r="B2985" s="13">
        <v>1</v>
      </c>
      <c r="C2985" s="11">
        <v>4714781020831</v>
      </c>
      <c r="D2985" s="13" t="s">
        <v>1389</v>
      </c>
      <c r="E2985" s="10">
        <v>2</v>
      </c>
      <c r="F2985" s="10">
        <v>599</v>
      </c>
      <c r="G2985" s="20">
        <f>F2985/599</f>
        <v>1</v>
      </c>
    </row>
    <row r="2986" spans="1:7" ht="16">
      <c r="A2986" s="13" t="s">
        <v>1696</v>
      </c>
      <c r="B2986" s="13">
        <v>2</v>
      </c>
      <c r="C2986" s="11">
        <v>4714781020824</v>
      </c>
      <c r="D2986" s="13" t="s">
        <v>1391</v>
      </c>
      <c r="E2986" s="10">
        <v>1</v>
      </c>
      <c r="F2986" s="10">
        <v>299</v>
      </c>
      <c r="G2986" s="20">
        <f>F2986/599</f>
        <v>0.4991652754590985</v>
      </c>
    </row>
    <row r="2987" spans="1:7" ht="16">
      <c r="A2987" s="13"/>
      <c r="B2987" s="13"/>
      <c r="C2987" s="11">
        <v>4714781020831</v>
      </c>
      <c r="D2987" s="13" t="s">
        <v>1389</v>
      </c>
      <c r="E2987" s="10">
        <v>1</v>
      </c>
      <c r="F2987" s="10">
        <v>300</v>
      </c>
      <c r="G2987" s="20">
        <f>F2987/599</f>
        <v>0.5008347245409015</v>
      </c>
    </row>
    <row r="2988" spans="1:7" ht="16">
      <c r="A2988" s="13" t="s">
        <v>1695</v>
      </c>
      <c r="B2988" s="13">
        <v>2</v>
      </c>
      <c r="C2988" s="11" t="s">
        <v>1598</v>
      </c>
      <c r="D2988" s="13" t="s">
        <v>1382</v>
      </c>
      <c r="E2988" s="10">
        <v>1</v>
      </c>
      <c r="F2988" s="10">
        <v>299</v>
      </c>
      <c r="G2988" s="20">
        <f>F2988/599</f>
        <v>0.4991652754590985</v>
      </c>
    </row>
    <row r="2989" spans="1:7" ht="16">
      <c r="A2989" s="13"/>
      <c r="B2989" s="13"/>
      <c r="C2989" s="11">
        <v>4714781020824</v>
      </c>
      <c r="D2989" s="13" t="s">
        <v>1391</v>
      </c>
      <c r="E2989" s="10">
        <v>1</v>
      </c>
      <c r="F2989" s="10">
        <v>300</v>
      </c>
      <c r="G2989" s="20">
        <f>F2989/599</f>
        <v>0.5008347245409015</v>
      </c>
    </row>
    <row r="2990" spans="1:7" ht="16">
      <c r="A2990" s="13" t="s">
        <v>1694</v>
      </c>
      <c r="B2990" s="13">
        <v>2</v>
      </c>
      <c r="C2990" s="11" t="s">
        <v>1598</v>
      </c>
      <c r="D2990" s="13" t="s">
        <v>1382</v>
      </c>
      <c r="E2990" s="10">
        <v>1</v>
      </c>
      <c r="F2990" s="10">
        <v>299</v>
      </c>
      <c r="G2990" s="20">
        <f>F2990/599</f>
        <v>0.4991652754590985</v>
      </c>
    </row>
    <row r="2991" spans="1:7" ht="16">
      <c r="A2991" s="13"/>
      <c r="B2991" s="13"/>
      <c r="C2991" s="11">
        <v>4714781020831</v>
      </c>
      <c r="D2991" s="13" t="s">
        <v>1389</v>
      </c>
      <c r="E2991" s="10">
        <v>1</v>
      </c>
      <c r="F2991" s="10">
        <v>300</v>
      </c>
      <c r="G2991" s="20">
        <f>F2991/599</f>
        <v>0.5008347245409015</v>
      </c>
    </row>
    <row r="2992" spans="1:7" ht="16">
      <c r="A2992" s="13" t="s">
        <v>1693</v>
      </c>
      <c r="B2992" s="13">
        <v>2</v>
      </c>
      <c r="C2992" s="11" t="s">
        <v>1596</v>
      </c>
      <c r="D2992" s="13" t="s">
        <v>1384</v>
      </c>
      <c r="E2992" s="10">
        <v>1</v>
      </c>
      <c r="F2992" s="10">
        <v>299</v>
      </c>
      <c r="G2992" s="20">
        <f>F2992/599</f>
        <v>0.4991652754590985</v>
      </c>
    </row>
    <row r="2993" spans="1:7" ht="16">
      <c r="A2993" s="13"/>
      <c r="B2993" s="13"/>
      <c r="C2993" s="11">
        <v>4714781020824</v>
      </c>
      <c r="D2993" s="13" t="s">
        <v>1391</v>
      </c>
      <c r="E2993" s="10">
        <v>1</v>
      </c>
      <c r="F2993" s="10">
        <v>300</v>
      </c>
      <c r="G2993" s="20">
        <f>F2993/599</f>
        <v>0.5008347245409015</v>
      </c>
    </row>
    <row r="2994" spans="1:7" ht="16">
      <c r="A2994" s="13" t="s">
        <v>1692</v>
      </c>
      <c r="B2994" s="13">
        <v>2</v>
      </c>
      <c r="C2994" s="11" t="s">
        <v>1596</v>
      </c>
      <c r="D2994" s="13" t="s">
        <v>1384</v>
      </c>
      <c r="E2994" s="10">
        <v>1</v>
      </c>
      <c r="F2994" s="10">
        <v>299</v>
      </c>
      <c r="G2994" s="20">
        <f>F2994/599</f>
        <v>0.4991652754590985</v>
      </c>
    </row>
    <row r="2995" spans="1:7" ht="16">
      <c r="A2995" s="13"/>
      <c r="B2995" s="13"/>
      <c r="C2995" s="11">
        <v>4714781020831</v>
      </c>
      <c r="D2995" s="13" t="s">
        <v>1389</v>
      </c>
      <c r="E2995" s="10">
        <v>1</v>
      </c>
      <c r="F2995" s="10">
        <v>300</v>
      </c>
      <c r="G2995" s="20">
        <f>F2995/599</f>
        <v>0.5008347245409015</v>
      </c>
    </row>
    <row r="2996" spans="1:7" ht="16">
      <c r="A2996" s="13" t="s">
        <v>1691</v>
      </c>
      <c r="B2996" s="13">
        <v>3</v>
      </c>
      <c r="C2996" s="11">
        <v>4714781020466</v>
      </c>
      <c r="D2996" s="13" t="s">
        <v>1374</v>
      </c>
      <c r="E2996" s="10">
        <v>1</v>
      </c>
      <c r="F2996" s="10">
        <v>145</v>
      </c>
      <c r="G2996" s="20">
        <f>F2996/435</f>
        <v>0.33333333333333331</v>
      </c>
    </row>
    <row r="2997" spans="1:7" ht="16">
      <c r="A2997" s="13"/>
      <c r="B2997" s="13"/>
      <c r="C2997" s="11">
        <v>4714781020503</v>
      </c>
      <c r="D2997" s="13" t="s">
        <v>1372</v>
      </c>
      <c r="E2997" s="10">
        <v>1</v>
      </c>
      <c r="F2997" s="10">
        <v>145</v>
      </c>
      <c r="G2997" s="20">
        <f>F2997/435</f>
        <v>0.33333333333333331</v>
      </c>
    </row>
    <row r="2998" spans="1:7" ht="16">
      <c r="A2998" s="13"/>
      <c r="B2998" s="13"/>
      <c r="C2998" s="11">
        <v>4714781020558</v>
      </c>
      <c r="D2998" s="13" t="s">
        <v>1370</v>
      </c>
      <c r="E2998" s="10">
        <v>1</v>
      </c>
      <c r="F2998" s="10">
        <v>145</v>
      </c>
      <c r="G2998" s="20">
        <f>F2998/435</f>
        <v>0.33333333333333331</v>
      </c>
    </row>
    <row r="2999" spans="1:7" ht="16">
      <c r="A2999" s="13" t="s">
        <v>1690</v>
      </c>
      <c r="B2999" s="13">
        <v>1</v>
      </c>
      <c r="C2999" s="11">
        <v>4714781020558</v>
      </c>
      <c r="D2999" s="13" t="s">
        <v>1370</v>
      </c>
      <c r="E2999" s="10">
        <v>3</v>
      </c>
      <c r="F2999" s="10">
        <v>435</v>
      </c>
      <c r="G2999" s="20">
        <f>F2999/435</f>
        <v>1</v>
      </c>
    </row>
    <row r="3000" spans="1:7" ht="16">
      <c r="A3000" s="13" t="s">
        <v>1689</v>
      </c>
      <c r="B3000" s="13">
        <v>1</v>
      </c>
      <c r="C3000" s="11">
        <v>4714781020503</v>
      </c>
      <c r="D3000" s="13" t="s">
        <v>1372</v>
      </c>
      <c r="E3000" s="10">
        <v>3</v>
      </c>
      <c r="F3000" s="10">
        <v>435</v>
      </c>
      <c r="G3000" s="20">
        <f>F3000/435</f>
        <v>1</v>
      </c>
    </row>
    <row r="3001" spans="1:7" ht="16">
      <c r="A3001" s="13" t="s">
        <v>1688</v>
      </c>
      <c r="B3001" s="13">
        <v>1</v>
      </c>
      <c r="C3001" s="11">
        <v>4714781020466</v>
      </c>
      <c r="D3001" s="13" t="s">
        <v>1374</v>
      </c>
      <c r="E3001" s="10">
        <v>3</v>
      </c>
      <c r="F3001" s="10">
        <v>435</v>
      </c>
      <c r="G3001" s="20">
        <f>F3001/435</f>
        <v>1</v>
      </c>
    </row>
    <row r="3002" spans="1:7" ht="16">
      <c r="A3002" s="13" t="s">
        <v>1687</v>
      </c>
      <c r="B3002" s="13">
        <v>2</v>
      </c>
      <c r="C3002" s="11">
        <v>4714781020503</v>
      </c>
      <c r="D3002" s="13" t="s">
        <v>1372</v>
      </c>
      <c r="E3002" s="10">
        <v>2</v>
      </c>
      <c r="F3002" s="10">
        <v>290</v>
      </c>
      <c r="G3002" s="20">
        <f>F3002/435</f>
        <v>0.66666666666666663</v>
      </c>
    </row>
    <row r="3003" spans="1:7" ht="16">
      <c r="A3003" s="13"/>
      <c r="B3003" s="13"/>
      <c r="C3003" s="11">
        <v>4714781020466</v>
      </c>
      <c r="D3003" s="13" t="s">
        <v>1374</v>
      </c>
      <c r="E3003" s="10">
        <v>1</v>
      </c>
      <c r="F3003" s="10">
        <v>145</v>
      </c>
      <c r="G3003" s="20">
        <f>F3003/435</f>
        <v>0.33333333333333331</v>
      </c>
    </row>
    <row r="3004" spans="1:7" ht="16">
      <c r="A3004" s="13" t="s">
        <v>1686</v>
      </c>
      <c r="B3004" s="13">
        <v>2</v>
      </c>
      <c r="C3004" s="11">
        <v>4714781020503</v>
      </c>
      <c r="D3004" s="13" t="s">
        <v>1372</v>
      </c>
      <c r="E3004" s="10">
        <v>2</v>
      </c>
      <c r="F3004" s="10">
        <v>290</v>
      </c>
      <c r="G3004" s="20">
        <f>F3004/435</f>
        <v>0.66666666666666663</v>
      </c>
    </row>
    <row r="3005" spans="1:7" ht="16">
      <c r="A3005" s="13"/>
      <c r="B3005" s="13"/>
      <c r="C3005" s="11">
        <v>4714781020558</v>
      </c>
      <c r="D3005" s="13" t="s">
        <v>1370</v>
      </c>
      <c r="E3005" s="10">
        <v>1</v>
      </c>
      <c r="F3005" s="10">
        <v>145</v>
      </c>
      <c r="G3005" s="20">
        <f>F3005/435</f>
        <v>0.33333333333333331</v>
      </c>
    </row>
    <row r="3006" spans="1:7" ht="16">
      <c r="A3006" s="13" t="s">
        <v>1685</v>
      </c>
      <c r="B3006" s="13">
        <v>2</v>
      </c>
      <c r="C3006" s="11">
        <v>4714781020466</v>
      </c>
      <c r="D3006" s="13" t="s">
        <v>1374</v>
      </c>
      <c r="E3006" s="10">
        <v>2</v>
      </c>
      <c r="F3006" s="10">
        <v>290</v>
      </c>
      <c r="G3006" s="20">
        <f>F3006/435</f>
        <v>0.66666666666666663</v>
      </c>
    </row>
    <row r="3007" spans="1:7" ht="16">
      <c r="A3007" s="13"/>
      <c r="B3007" s="13"/>
      <c r="C3007" s="11">
        <v>4714781020503</v>
      </c>
      <c r="D3007" s="13" t="s">
        <v>1372</v>
      </c>
      <c r="E3007" s="10">
        <v>1</v>
      </c>
      <c r="F3007" s="10">
        <v>145</v>
      </c>
      <c r="G3007" s="20">
        <f>F3007/435</f>
        <v>0.33333333333333331</v>
      </c>
    </row>
    <row r="3008" spans="1:7" ht="16">
      <c r="A3008" s="13" t="s">
        <v>1684</v>
      </c>
      <c r="B3008" s="13">
        <v>2</v>
      </c>
      <c r="C3008" s="11">
        <v>4714781020466</v>
      </c>
      <c r="D3008" s="13" t="s">
        <v>1374</v>
      </c>
      <c r="E3008" s="10">
        <v>2</v>
      </c>
      <c r="F3008" s="10">
        <v>290</v>
      </c>
      <c r="G3008" s="20">
        <f>F3008/435</f>
        <v>0.66666666666666663</v>
      </c>
    </row>
    <row r="3009" spans="1:7" ht="16">
      <c r="A3009" s="13"/>
      <c r="B3009" s="13"/>
      <c r="C3009" s="11">
        <v>4714781020558</v>
      </c>
      <c r="D3009" s="13" t="s">
        <v>1370</v>
      </c>
      <c r="E3009" s="10">
        <v>1</v>
      </c>
      <c r="F3009" s="10">
        <v>145</v>
      </c>
      <c r="G3009" s="20">
        <f>F3009/435</f>
        <v>0.33333333333333331</v>
      </c>
    </row>
    <row r="3010" spans="1:7" ht="16">
      <c r="A3010" s="13" t="s">
        <v>1683</v>
      </c>
      <c r="B3010" s="13">
        <v>2</v>
      </c>
      <c r="C3010" s="11">
        <v>4714781020558</v>
      </c>
      <c r="D3010" s="13" t="s">
        <v>1370</v>
      </c>
      <c r="E3010" s="10">
        <v>2</v>
      </c>
      <c r="F3010" s="10">
        <v>290</v>
      </c>
      <c r="G3010" s="20">
        <f>F3010/435</f>
        <v>0.66666666666666663</v>
      </c>
    </row>
    <row r="3011" spans="1:7" ht="16">
      <c r="A3011" s="13"/>
      <c r="B3011" s="13"/>
      <c r="C3011" s="11">
        <v>4714781020466</v>
      </c>
      <c r="D3011" s="13" t="s">
        <v>1374</v>
      </c>
      <c r="E3011" s="10">
        <v>1</v>
      </c>
      <c r="F3011" s="10">
        <v>145</v>
      </c>
      <c r="G3011" s="20">
        <f>F3011/435</f>
        <v>0.33333333333333331</v>
      </c>
    </row>
    <row r="3012" spans="1:7" ht="16">
      <c r="A3012" s="13" t="s">
        <v>1682</v>
      </c>
      <c r="B3012" s="13">
        <v>2</v>
      </c>
      <c r="C3012" s="11">
        <v>4714781020558</v>
      </c>
      <c r="D3012" s="13" t="s">
        <v>1370</v>
      </c>
      <c r="E3012" s="10">
        <v>2</v>
      </c>
      <c r="F3012" s="10">
        <v>290</v>
      </c>
      <c r="G3012" s="20">
        <f>F3012/435</f>
        <v>0.66666666666666663</v>
      </c>
    </row>
    <row r="3013" spans="1:7" ht="16">
      <c r="A3013" s="13"/>
      <c r="B3013" s="13"/>
      <c r="C3013" s="11">
        <v>4714781020503</v>
      </c>
      <c r="D3013" s="13" t="s">
        <v>1372</v>
      </c>
      <c r="E3013" s="10">
        <v>1</v>
      </c>
      <c r="F3013" s="10">
        <v>145</v>
      </c>
      <c r="G3013" s="20">
        <f>F3013/435</f>
        <v>0.33333333333333331</v>
      </c>
    </row>
    <row r="3014" spans="1:7" ht="16">
      <c r="A3014" s="13" t="s">
        <v>1681</v>
      </c>
      <c r="B3014" s="13">
        <v>3</v>
      </c>
      <c r="C3014" s="11">
        <v>4714781020466</v>
      </c>
      <c r="D3014" s="13" t="s">
        <v>1374</v>
      </c>
      <c r="E3014" s="10">
        <v>2</v>
      </c>
      <c r="F3014" s="10">
        <v>284</v>
      </c>
      <c r="G3014" s="20">
        <f>F3014/850</f>
        <v>0.33411764705882352</v>
      </c>
    </row>
    <row r="3015" spans="1:7" ht="16">
      <c r="A3015" s="13"/>
      <c r="B3015" s="13"/>
      <c r="C3015" s="11">
        <v>4714781020503</v>
      </c>
      <c r="D3015" s="13" t="s">
        <v>1372</v>
      </c>
      <c r="E3015" s="10">
        <v>2</v>
      </c>
      <c r="F3015" s="10">
        <v>284</v>
      </c>
      <c r="G3015" s="20">
        <f>F3015/850</f>
        <v>0.33411764705882352</v>
      </c>
    </row>
    <row r="3016" spans="1:7" ht="16">
      <c r="A3016" s="13"/>
      <c r="B3016" s="13"/>
      <c r="C3016" s="11">
        <v>4714781020558</v>
      </c>
      <c r="D3016" s="13" t="s">
        <v>1370</v>
      </c>
      <c r="E3016" s="10">
        <v>2</v>
      </c>
      <c r="F3016" s="10">
        <v>282</v>
      </c>
      <c r="G3016" s="20">
        <f>F3016/850</f>
        <v>0.33176470588235296</v>
      </c>
    </row>
    <row r="3017" spans="1:7" ht="16">
      <c r="A3017" s="13" t="s">
        <v>1680</v>
      </c>
      <c r="B3017" s="13">
        <v>2</v>
      </c>
      <c r="C3017" s="11">
        <v>4714781020466</v>
      </c>
      <c r="D3017" s="13" t="s">
        <v>1374</v>
      </c>
      <c r="E3017" s="10">
        <v>3</v>
      </c>
      <c r="F3017" s="10">
        <v>425</v>
      </c>
      <c r="G3017" s="20">
        <f>F3017/850</f>
        <v>0.5</v>
      </c>
    </row>
    <row r="3018" spans="1:7" ht="16">
      <c r="A3018" s="13"/>
      <c r="B3018" s="13"/>
      <c r="C3018" s="11">
        <v>4714781020503</v>
      </c>
      <c r="D3018" s="13" t="s">
        <v>1372</v>
      </c>
      <c r="E3018" s="10">
        <v>3</v>
      </c>
      <c r="F3018" s="10">
        <v>425</v>
      </c>
      <c r="G3018" s="20">
        <f>F3018/850</f>
        <v>0.5</v>
      </c>
    </row>
    <row r="3019" spans="1:7" ht="16">
      <c r="A3019" s="13" t="s">
        <v>1679</v>
      </c>
      <c r="B3019" s="13">
        <v>2</v>
      </c>
      <c r="C3019" s="11">
        <v>4714781020466</v>
      </c>
      <c r="D3019" s="13" t="s">
        <v>1374</v>
      </c>
      <c r="E3019" s="10">
        <v>3</v>
      </c>
      <c r="F3019" s="10">
        <v>425</v>
      </c>
      <c r="G3019" s="20">
        <f>F3019/850</f>
        <v>0.5</v>
      </c>
    </row>
    <row r="3020" spans="1:7" ht="16">
      <c r="A3020" s="13"/>
      <c r="B3020" s="13"/>
      <c r="C3020" s="11">
        <v>4714781020558</v>
      </c>
      <c r="D3020" s="13" t="s">
        <v>1370</v>
      </c>
      <c r="E3020" s="10">
        <v>3</v>
      </c>
      <c r="F3020" s="10">
        <v>425</v>
      </c>
      <c r="G3020" s="20">
        <f>F3020/850</f>
        <v>0.5</v>
      </c>
    </row>
    <row r="3021" spans="1:7" ht="16">
      <c r="A3021" s="13" t="s">
        <v>1678</v>
      </c>
      <c r="B3021" s="13">
        <v>2</v>
      </c>
      <c r="C3021" s="11">
        <v>4714781020558</v>
      </c>
      <c r="D3021" s="13" t="s">
        <v>1370</v>
      </c>
      <c r="E3021" s="10">
        <v>3</v>
      </c>
      <c r="F3021" s="10">
        <v>425</v>
      </c>
      <c r="G3021" s="20">
        <f>F3021/850</f>
        <v>0.5</v>
      </c>
    </row>
    <row r="3022" spans="1:7" ht="16">
      <c r="A3022" s="13"/>
      <c r="B3022" s="13"/>
      <c r="C3022" s="11">
        <v>4714781020503</v>
      </c>
      <c r="D3022" s="13" t="s">
        <v>1372</v>
      </c>
      <c r="E3022" s="10">
        <v>3</v>
      </c>
      <c r="F3022" s="10">
        <v>425</v>
      </c>
      <c r="G3022" s="20">
        <f>F3022/850</f>
        <v>0.5</v>
      </c>
    </row>
    <row r="3023" spans="1:7" ht="16">
      <c r="A3023" s="13" t="s">
        <v>1677</v>
      </c>
      <c r="B3023" s="13">
        <v>1</v>
      </c>
      <c r="C3023" s="11">
        <v>4714781020466</v>
      </c>
      <c r="D3023" s="13" t="s">
        <v>1374</v>
      </c>
      <c r="E3023" s="10">
        <v>6</v>
      </c>
      <c r="F3023" s="10">
        <v>850</v>
      </c>
      <c r="G3023" s="20">
        <f>F3023/850</f>
        <v>1</v>
      </c>
    </row>
    <row r="3024" spans="1:7" ht="16">
      <c r="A3024" s="13" t="s">
        <v>1676</v>
      </c>
      <c r="B3024" s="13">
        <v>1</v>
      </c>
      <c r="C3024" s="11">
        <v>4714781020503</v>
      </c>
      <c r="D3024" s="13" t="s">
        <v>1372</v>
      </c>
      <c r="E3024" s="10">
        <v>6</v>
      </c>
      <c r="F3024" s="10">
        <v>850</v>
      </c>
      <c r="G3024" s="20">
        <f>F3024/850</f>
        <v>1</v>
      </c>
    </row>
    <row r="3025" spans="1:7" ht="16">
      <c r="A3025" s="13" t="s">
        <v>1675</v>
      </c>
      <c r="B3025" s="13">
        <v>1</v>
      </c>
      <c r="C3025" s="11">
        <v>4714781020558</v>
      </c>
      <c r="D3025" s="13" t="s">
        <v>1370</v>
      </c>
      <c r="E3025" s="10">
        <v>6</v>
      </c>
      <c r="F3025" s="10">
        <v>850</v>
      </c>
      <c r="G3025" s="20">
        <f>F3025/850</f>
        <v>1</v>
      </c>
    </row>
    <row r="3026" spans="1:7" ht="16">
      <c r="A3026" s="13" t="s">
        <v>1674</v>
      </c>
      <c r="B3026" s="13">
        <v>2</v>
      </c>
      <c r="C3026" s="11">
        <v>4714781020466</v>
      </c>
      <c r="D3026" s="13" t="s">
        <v>1374</v>
      </c>
      <c r="E3026" s="10">
        <v>2</v>
      </c>
      <c r="F3026" s="10">
        <v>290</v>
      </c>
      <c r="G3026" s="20">
        <f>F3026/580</f>
        <v>0.5</v>
      </c>
    </row>
    <row r="3027" spans="1:7" ht="16">
      <c r="A3027" s="13"/>
      <c r="B3027" s="13"/>
      <c r="C3027" s="11">
        <v>4714781020282</v>
      </c>
      <c r="D3027" s="13" t="s">
        <v>275</v>
      </c>
      <c r="E3027" s="10">
        <v>1</v>
      </c>
      <c r="F3027" s="10">
        <v>290</v>
      </c>
      <c r="G3027" s="20">
        <f>F3027/580</f>
        <v>0.5</v>
      </c>
    </row>
    <row r="3028" spans="1:7" ht="16">
      <c r="A3028" s="13" t="s">
        <v>1673</v>
      </c>
      <c r="B3028" s="13">
        <v>2</v>
      </c>
      <c r="C3028" s="11">
        <v>4714781020466</v>
      </c>
      <c r="D3028" s="13" t="s">
        <v>1374</v>
      </c>
      <c r="E3028" s="10">
        <v>2</v>
      </c>
      <c r="F3028" s="10">
        <v>290</v>
      </c>
      <c r="G3028" s="20">
        <f>F3028/580</f>
        <v>0.5</v>
      </c>
    </row>
    <row r="3029" spans="1:7" ht="16">
      <c r="A3029" s="13"/>
      <c r="B3029" s="13"/>
      <c r="C3029" s="11" t="s">
        <v>1647</v>
      </c>
      <c r="D3029" s="13" t="s">
        <v>1367</v>
      </c>
      <c r="E3029" s="10">
        <v>1</v>
      </c>
      <c r="F3029" s="10">
        <v>290</v>
      </c>
      <c r="G3029" s="20">
        <f>F3029/580</f>
        <v>0.5</v>
      </c>
    </row>
    <row r="3030" spans="1:7" ht="16">
      <c r="A3030" s="13" t="s">
        <v>1672</v>
      </c>
      <c r="B3030" s="13">
        <v>2</v>
      </c>
      <c r="C3030" s="11">
        <v>4714781020466</v>
      </c>
      <c r="D3030" s="13" t="s">
        <v>1374</v>
      </c>
      <c r="E3030" s="10">
        <v>2</v>
      </c>
      <c r="F3030" s="10">
        <v>290</v>
      </c>
      <c r="G3030" s="20">
        <f>F3030/580</f>
        <v>0.5</v>
      </c>
    </row>
    <row r="3031" spans="1:7" ht="16">
      <c r="A3031" s="13"/>
      <c r="B3031" s="13"/>
      <c r="C3031" s="11" t="s">
        <v>1645</v>
      </c>
      <c r="D3031" s="13" t="s">
        <v>373</v>
      </c>
      <c r="E3031" s="10">
        <v>1</v>
      </c>
      <c r="F3031" s="10">
        <v>290</v>
      </c>
      <c r="G3031" s="20">
        <f>F3031/580</f>
        <v>0.5</v>
      </c>
    </row>
    <row r="3032" spans="1:7" ht="16">
      <c r="A3032" s="13" t="s">
        <v>1671</v>
      </c>
      <c r="B3032" s="13">
        <v>2</v>
      </c>
      <c r="C3032" s="11">
        <v>4714781020466</v>
      </c>
      <c r="D3032" s="13" t="s">
        <v>1374</v>
      </c>
      <c r="E3032" s="10">
        <v>2</v>
      </c>
      <c r="F3032" s="10">
        <v>290</v>
      </c>
      <c r="G3032" s="20">
        <f>F3032/580</f>
        <v>0.5</v>
      </c>
    </row>
    <row r="3033" spans="1:7" ht="16">
      <c r="A3033" s="13"/>
      <c r="B3033" s="13"/>
      <c r="C3033" s="11" t="s">
        <v>1643</v>
      </c>
      <c r="D3033" s="13" t="s">
        <v>264</v>
      </c>
      <c r="E3033" s="10">
        <v>1</v>
      </c>
      <c r="F3033" s="10">
        <v>290</v>
      </c>
      <c r="G3033" s="20">
        <f>F3033/580</f>
        <v>0.5</v>
      </c>
    </row>
    <row r="3034" spans="1:7" ht="16">
      <c r="A3034" s="13" t="s">
        <v>1670</v>
      </c>
      <c r="B3034" s="13">
        <v>2</v>
      </c>
      <c r="C3034" s="11">
        <v>4714781020466</v>
      </c>
      <c r="D3034" s="13" t="s">
        <v>1374</v>
      </c>
      <c r="E3034" s="10">
        <v>2</v>
      </c>
      <c r="F3034" s="10">
        <v>290</v>
      </c>
      <c r="G3034" s="20">
        <f>F3034/580</f>
        <v>0.5</v>
      </c>
    </row>
    <row r="3035" spans="1:7" ht="16">
      <c r="A3035" s="13"/>
      <c r="B3035" s="13"/>
      <c r="C3035" s="11" t="s">
        <v>1641</v>
      </c>
      <c r="D3035" s="13" t="s">
        <v>359</v>
      </c>
      <c r="E3035" s="10">
        <v>1</v>
      </c>
      <c r="F3035" s="10">
        <v>290</v>
      </c>
      <c r="G3035" s="20">
        <f>F3035/580</f>
        <v>0.5</v>
      </c>
    </row>
    <row r="3036" spans="1:7" ht="16">
      <c r="A3036" s="13" t="s">
        <v>1669</v>
      </c>
      <c r="B3036" s="13">
        <v>2</v>
      </c>
      <c r="C3036" s="11">
        <v>4714781020503</v>
      </c>
      <c r="D3036" s="13" t="s">
        <v>1372</v>
      </c>
      <c r="E3036" s="10">
        <v>2</v>
      </c>
      <c r="F3036" s="10">
        <v>290</v>
      </c>
      <c r="G3036" s="20">
        <f>F3036/580</f>
        <v>0.5</v>
      </c>
    </row>
    <row r="3037" spans="1:7" ht="16">
      <c r="A3037" s="13"/>
      <c r="B3037" s="13"/>
      <c r="C3037" s="11">
        <v>4714781020282</v>
      </c>
      <c r="D3037" s="13" t="s">
        <v>275</v>
      </c>
      <c r="E3037" s="10">
        <v>1</v>
      </c>
      <c r="F3037" s="10">
        <v>290</v>
      </c>
      <c r="G3037" s="20">
        <f>F3037/580</f>
        <v>0.5</v>
      </c>
    </row>
    <row r="3038" spans="1:7" ht="16">
      <c r="A3038" s="13" t="s">
        <v>1668</v>
      </c>
      <c r="B3038" s="13">
        <v>2</v>
      </c>
      <c r="C3038" s="11">
        <v>4714781020503</v>
      </c>
      <c r="D3038" s="13" t="s">
        <v>1372</v>
      </c>
      <c r="E3038" s="10">
        <v>2</v>
      </c>
      <c r="F3038" s="10">
        <v>290</v>
      </c>
      <c r="G3038" s="20">
        <f>F3038/580</f>
        <v>0.5</v>
      </c>
    </row>
    <row r="3039" spans="1:7" ht="16">
      <c r="A3039" s="13"/>
      <c r="B3039" s="13"/>
      <c r="C3039" s="11" t="s">
        <v>1647</v>
      </c>
      <c r="D3039" s="13" t="s">
        <v>1367</v>
      </c>
      <c r="E3039" s="10">
        <v>1</v>
      </c>
      <c r="F3039" s="10">
        <v>290</v>
      </c>
      <c r="G3039" s="20">
        <f>F3039/580</f>
        <v>0.5</v>
      </c>
    </row>
    <row r="3040" spans="1:7" ht="16">
      <c r="A3040" s="13" t="s">
        <v>1667</v>
      </c>
      <c r="B3040" s="13">
        <v>2</v>
      </c>
      <c r="C3040" s="11">
        <v>4714781020503</v>
      </c>
      <c r="D3040" s="13" t="s">
        <v>1372</v>
      </c>
      <c r="E3040" s="10">
        <v>2</v>
      </c>
      <c r="F3040" s="10">
        <v>290</v>
      </c>
      <c r="G3040" s="20">
        <f>F3040/580</f>
        <v>0.5</v>
      </c>
    </row>
    <row r="3041" spans="1:7" ht="16">
      <c r="A3041" s="13"/>
      <c r="B3041" s="13"/>
      <c r="C3041" s="11" t="s">
        <v>1645</v>
      </c>
      <c r="D3041" s="13" t="s">
        <v>373</v>
      </c>
      <c r="E3041" s="10">
        <v>1</v>
      </c>
      <c r="F3041" s="10">
        <v>290</v>
      </c>
      <c r="G3041" s="20">
        <f>F3041/580</f>
        <v>0.5</v>
      </c>
    </row>
    <row r="3042" spans="1:7" ht="16">
      <c r="A3042" s="13" t="s">
        <v>1666</v>
      </c>
      <c r="B3042" s="13">
        <v>2</v>
      </c>
      <c r="C3042" s="11">
        <v>4714781020503</v>
      </c>
      <c r="D3042" s="13" t="s">
        <v>1372</v>
      </c>
      <c r="E3042" s="10">
        <v>2</v>
      </c>
      <c r="F3042" s="10">
        <v>290</v>
      </c>
      <c r="G3042" s="20">
        <f>F3042/580</f>
        <v>0.5</v>
      </c>
    </row>
    <row r="3043" spans="1:7" ht="16">
      <c r="A3043" s="13"/>
      <c r="B3043" s="13"/>
      <c r="C3043" s="11" t="s">
        <v>1643</v>
      </c>
      <c r="D3043" s="13" t="s">
        <v>264</v>
      </c>
      <c r="E3043" s="10">
        <v>1</v>
      </c>
      <c r="F3043" s="10">
        <v>290</v>
      </c>
      <c r="G3043" s="20">
        <f>F3043/580</f>
        <v>0.5</v>
      </c>
    </row>
    <row r="3044" spans="1:7" ht="16">
      <c r="A3044" s="13" t="s">
        <v>1665</v>
      </c>
      <c r="B3044" s="13">
        <v>2</v>
      </c>
      <c r="C3044" s="11">
        <v>4714781020503</v>
      </c>
      <c r="D3044" s="13" t="s">
        <v>1372</v>
      </c>
      <c r="E3044" s="10">
        <v>2</v>
      </c>
      <c r="F3044" s="10">
        <v>290</v>
      </c>
      <c r="G3044" s="20">
        <f>F3044/580</f>
        <v>0.5</v>
      </c>
    </row>
    <row r="3045" spans="1:7" ht="16">
      <c r="A3045" s="13"/>
      <c r="B3045" s="13"/>
      <c r="C3045" s="11" t="s">
        <v>1641</v>
      </c>
      <c r="D3045" s="13" t="s">
        <v>359</v>
      </c>
      <c r="E3045" s="10">
        <v>1</v>
      </c>
      <c r="F3045" s="10">
        <v>290</v>
      </c>
      <c r="G3045" s="20">
        <f>F3045/580</f>
        <v>0.5</v>
      </c>
    </row>
    <row r="3046" spans="1:7" ht="16">
      <c r="A3046" s="13" t="s">
        <v>1664</v>
      </c>
      <c r="B3046" s="13">
        <v>2</v>
      </c>
      <c r="C3046" s="11">
        <v>4714781020558</v>
      </c>
      <c r="D3046" s="13" t="s">
        <v>1370</v>
      </c>
      <c r="E3046" s="10">
        <v>2</v>
      </c>
      <c r="F3046" s="10">
        <v>290</v>
      </c>
      <c r="G3046" s="20">
        <f>F3046/580</f>
        <v>0.5</v>
      </c>
    </row>
    <row r="3047" spans="1:7" ht="16">
      <c r="A3047" s="13"/>
      <c r="B3047" s="13"/>
      <c r="C3047" s="11">
        <v>4714781020282</v>
      </c>
      <c r="D3047" s="13" t="s">
        <v>275</v>
      </c>
      <c r="E3047" s="10">
        <v>1</v>
      </c>
      <c r="F3047" s="10">
        <v>290</v>
      </c>
      <c r="G3047" s="20">
        <f>F3047/580</f>
        <v>0.5</v>
      </c>
    </row>
    <row r="3048" spans="1:7" ht="16">
      <c r="A3048" s="13" t="s">
        <v>1663</v>
      </c>
      <c r="B3048" s="13">
        <v>2</v>
      </c>
      <c r="C3048" s="11">
        <v>4714781020558</v>
      </c>
      <c r="D3048" s="13" t="s">
        <v>1370</v>
      </c>
      <c r="E3048" s="10">
        <v>2</v>
      </c>
      <c r="F3048" s="10">
        <v>290</v>
      </c>
      <c r="G3048" s="20">
        <f>F3048/580</f>
        <v>0.5</v>
      </c>
    </row>
    <row r="3049" spans="1:7" ht="16">
      <c r="B3049" s="13"/>
      <c r="C3049" s="11" t="s">
        <v>1647</v>
      </c>
      <c r="D3049" s="13" t="s">
        <v>1367</v>
      </c>
      <c r="E3049" s="10">
        <v>1</v>
      </c>
      <c r="F3049" s="10">
        <v>290</v>
      </c>
      <c r="G3049" s="20">
        <f>F3049/580</f>
        <v>0.5</v>
      </c>
    </row>
    <row r="3050" spans="1:7" ht="16">
      <c r="A3050" s="13" t="s">
        <v>1662</v>
      </c>
      <c r="B3050" s="13">
        <v>2</v>
      </c>
      <c r="C3050" s="11">
        <v>4714781020558</v>
      </c>
      <c r="D3050" s="13" t="s">
        <v>1370</v>
      </c>
      <c r="E3050" s="10">
        <v>2</v>
      </c>
      <c r="F3050" s="10">
        <v>290</v>
      </c>
      <c r="G3050" s="20">
        <f>F3050/580</f>
        <v>0.5</v>
      </c>
    </row>
    <row r="3051" spans="1:7" ht="16">
      <c r="B3051" s="13"/>
      <c r="C3051" s="11" t="s">
        <v>1645</v>
      </c>
      <c r="D3051" s="13" t="s">
        <v>373</v>
      </c>
      <c r="E3051" s="10">
        <v>1</v>
      </c>
      <c r="F3051" s="10">
        <v>290</v>
      </c>
      <c r="G3051" s="20">
        <f>F3051/580</f>
        <v>0.5</v>
      </c>
    </row>
    <row r="3052" spans="1:7" ht="16">
      <c r="A3052" s="13" t="s">
        <v>1661</v>
      </c>
      <c r="B3052" s="13">
        <v>2</v>
      </c>
      <c r="C3052" s="11">
        <v>4714781020558</v>
      </c>
      <c r="D3052" s="13" t="s">
        <v>1370</v>
      </c>
      <c r="E3052" s="10">
        <v>2</v>
      </c>
      <c r="F3052" s="10">
        <v>290</v>
      </c>
      <c r="G3052" s="20">
        <f>F3052/580</f>
        <v>0.5</v>
      </c>
    </row>
    <row r="3053" spans="1:7" ht="16">
      <c r="B3053" s="13"/>
      <c r="C3053" s="11" t="s">
        <v>1643</v>
      </c>
      <c r="D3053" s="13" t="s">
        <v>264</v>
      </c>
      <c r="E3053" s="10">
        <v>1</v>
      </c>
      <c r="F3053" s="10">
        <v>290</v>
      </c>
      <c r="G3053" s="20">
        <f>F3053/580</f>
        <v>0.5</v>
      </c>
    </row>
    <row r="3054" spans="1:7" ht="16">
      <c r="A3054" s="13" t="s">
        <v>1660</v>
      </c>
      <c r="B3054" s="13">
        <v>2</v>
      </c>
      <c r="C3054" s="11">
        <v>4714781020558</v>
      </c>
      <c r="D3054" s="13" t="s">
        <v>1370</v>
      </c>
      <c r="E3054" s="10">
        <v>2</v>
      </c>
      <c r="F3054" s="10">
        <v>290</v>
      </c>
      <c r="G3054" s="20">
        <f>F3054/580</f>
        <v>0.5</v>
      </c>
    </row>
    <row r="3055" spans="1:7" ht="16">
      <c r="A3055" s="13"/>
      <c r="B3055" s="13"/>
      <c r="C3055" s="11" t="s">
        <v>1641</v>
      </c>
      <c r="D3055" s="13" t="s">
        <v>359</v>
      </c>
      <c r="E3055" s="10">
        <v>1</v>
      </c>
      <c r="F3055" s="10">
        <v>290</v>
      </c>
      <c r="G3055" s="20">
        <f>F3055/580</f>
        <v>0.5</v>
      </c>
    </row>
    <row r="3056" spans="1:7" ht="16">
      <c r="A3056" s="12" t="s">
        <v>1659</v>
      </c>
      <c r="B3056" s="13">
        <v>3</v>
      </c>
      <c r="C3056" s="11">
        <v>4714781020466</v>
      </c>
      <c r="D3056" s="13" t="s">
        <v>1374</v>
      </c>
      <c r="E3056" s="10">
        <v>2</v>
      </c>
      <c r="F3056" s="10">
        <v>290</v>
      </c>
      <c r="G3056" s="20">
        <f>F3056/950</f>
        <v>0.30526315789473685</v>
      </c>
    </row>
    <row r="3057" spans="1:7" ht="16">
      <c r="A3057" s="13"/>
      <c r="B3057" s="13"/>
      <c r="C3057" s="11">
        <v>4714781020282</v>
      </c>
      <c r="D3057" s="13" t="s">
        <v>275</v>
      </c>
      <c r="E3057" s="10">
        <v>1</v>
      </c>
      <c r="F3057" s="10">
        <v>280</v>
      </c>
      <c r="G3057" s="20">
        <f>F3057/950</f>
        <v>0.29473684210526313</v>
      </c>
    </row>
    <row r="3058" spans="1:7" ht="16">
      <c r="A3058" s="13"/>
      <c r="B3058" s="13"/>
      <c r="C3058" s="11" t="s">
        <v>1640</v>
      </c>
      <c r="D3058" s="13" t="s">
        <v>271</v>
      </c>
      <c r="E3058" s="10">
        <v>1</v>
      </c>
      <c r="F3058" s="10">
        <v>380</v>
      </c>
      <c r="G3058" s="20">
        <f>F3058/950</f>
        <v>0.4</v>
      </c>
    </row>
    <row r="3059" spans="1:7" ht="16">
      <c r="A3059" s="12" t="s">
        <v>1658</v>
      </c>
      <c r="B3059" s="13">
        <v>3</v>
      </c>
      <c r="C3059" s="11">
        <v>4714781020466</v>
      </c>
      <c r="D3059" s="13" t="s">
        <v>1374</v>
      </c>
      <c r="E3059" s="10">
        <v>2</v>
      </c>
      <c r="F3059" s="10">
        <v>290</v>
      </c>
      <c r="G3059" s="20">
        <f>F3059/950</f>
        <v>0.30526315789473685</v>
      </c>
    </row>
    <row r="3060" spans="1:7" ht="16">
      <c r="A3060" s="13"/>
      <c r="B3060" s="13"/>
      <c r="C3060" s="11" t="s">
        <v>1647</v>
      </c>
      <c r="D3060" s="13" t="s">
        <v>1367</v>
      </c>
      <c r="E3060" s="10">
        <v>1</v>
      </c>
      <c r="F3060" s="10">
        <v>280</v>
      </c>
      <c r="G3060" s="20">
        <f>F3060/950</f>
        <v>0.29473684210526313</v>
      </c>
    </row>
    <row r="3061" spans="1:7" ht="16">
      <c r="A3061" s="13"/>
      <c r="B3061" s="13"/>
      <c r="C3061" s="11" t="s">
        <v>1640</v>
      </c>
      <c r="D3061" s="13" t="s">
        <v>271</v>
      </c>
      <c r="E3061" s="10">
        <v>1</v>
      </c>
      <c r="F3061" s="10">
        <v>380</v>
      </c>
      <c r="G3061" s="20">
        <f>F3061/950</f>
        <v>0.4</v>
      </c>
    </row>
    <row r="3062" spans="1:7" ht="16">
      <c r="A3062" s="13" t="s">
        <v>1657</v>
      </c>
      <c r="B3062" s="13">
        <v>3</v>
      </c>
      <c r="C3062" s="11">
        <v>4714781020466</v>
      </c>
      <c r="D3062" s="13" t="s">
        <v>1374</v>
      </c>
      <c r="E3062" s="10">
        <v>2</v>
      </c>
      <c r="F3062" s="10">
        <v>290</v>
      </c>
      <c r="G3062" s="20">
        <f>F3062/950</f>
        <v>0.30526315789473685</v>
      </c>
    </row>
    <row r="3063" spans="1:7" ht="16">
      <c r="A3063" s="13"/>
      <c r="B3063" s="13"/>
      <c r="C3063" s="11" t="s">
        <v>1645</v>
      </c>
      <c r="D3063" s="13" t="s">
        <v>373</v>
      </c>
      <c r="E3063" s="10">
        <v>1</v>
      </c>
      <c r="F3063" s="10">
        <v>280</v>
      </c>
      <c r="G3063" s="20">
        <f>F3063/950</f>
        <v>0.29473684210526313</v>
      </c>
    </row>
    <row r="3064" spans="1:7" ht="16">
      <c r="A3064" s="13"/>
      <c r="B3064" s="13"/>
      <c r="C3064" s="11" t="s">
        <v>1640</v>
      </c>
      <c r="D3064" s="13" t="s">
        <v>271</v>
      </c>
      <c r="E3064" s="10">
        <v>1</v>
      </c>
      <c r="F3064" s="10">
        <v>380</v>
      </c>
      <c r="G3064" s="20">
        <f>F3064/950</f>
        <v>0.4</v>
      </c>
    </row>
    <row r="3065" spans="1:7" ht="16">
      <c r="A3065" s="13" t="s">
        <v>1656</v>
      </c>
      <c r="B3065" s="13">
        <v>3</v>
      </c>
      <c r="C3065" s="11">
        <v>4714781020466</v>
      </c>
      <c r="D3065" s="13" t="s">
        <v>1374</v>
      </c>
      <c r="E3065" s="10">
        <v>2</v>
      </c>
      <c r="F3065" s="10">
        <v>290</v>
      </c>
      <c r="G3065" s="20">
        <f>F3065/950</f>
        <v>0.30526315789473685</v>
      </c>
    </row>
    <row r="3066" spans="1:7" ht="16">
      <c r="A3066" s="13"/>
      <c r="B3066" s="13"/>
      <c r="C3066" s="11" t="s">
        <v>1643</v>
      </c>
      <c r="D3066" s="13" t="s">
        <v>264</v>
      </c>
      <c r="E3066" s="10">
        <v>1</v>
      </c>
      <c r="F3066" s="10">
        <v>280</v>
      </c>
      <c r="G3066" s="20">
        <f>F3066/950</f>
        <v>0.29473684210526313</v>
      </c>
    </row>
    <row r="3067" spans="1:7" ht="16">
      <c r="A3067" s="13"/>
      <c r="B3067" s="13"/>
      <c r="C3067" s="11" t="s">
        <v>1640</v>
      </c>
      <c r="D3067" s="13" t="s">
        <v>271</v>
      </c>
      <c r="E3067" s="10">
        <v>1</v>
      </c>
      <c r="F3067" s="10">
        <v>380</v>
      </c>
      <c r="G3067" s="20">
        <f>F3067/950</f>
        <v>0.4</v>
      </c>
    </row>
    <row r="3068" spans="1:7" ht="16">
      <c r="A3068" s="13" t="s">
        <v>1655</v>
      </c>
      <c r="B3068" s="13">
        <v>3</v>
      </c>
      <c r="C3068" s="11">
        <v>4714781020466</v>
      </c>
      <c r="D3068" s="13" t="s">
        <v>1374</v>
      </c>
      <c r="E3068" s="10">
        <v>2</v>
      </c>
      <c r="F3068" s="10">
        <v>290</v>
      </c>
      <c r="G3068" s="20">
        <f>F3068/950</f>
        <v>0.30526315789473685</v>
      </c>
    </row>
    <row r="3069" spans="1:7" ht="16">
      <c r="A3069" s="13"/>
      <c r="B3069" s="13"/>
      <c r="C3069" s="11" t="s">
        <v>1641</v>
      </c>
      <c r="D3069" s="13" t="s">
        <v>359</v>
      </c>
      <c r="E3069" s="10">
        <v>1</v>
      </c>
      <c r="F3069" s="10">
        <v>280</v>
      </c>
      <c r="G3069" s="20">
        <f>F3069/950</f>
        <v>0.29473684210526313</v>
      </c>
    </row>
    <row r="3070" spans="1:7" ht="16">
      <c r="A3070" s="13"/>
      <c r="B3070" s="13"/>
      <c r="C3070" s="11" t="s">
        <v>1640</v>
      </c>
      <c r="D3070" s="13" t="s">
        <v>271</v>
      </c>
      <c r="E3070" s="10">
        <v>1</v>
      </c>
      <c r="F3070" s="10">
        <v>380</v>
      </c>
      <c r="G3070" s="20">
        <f>F3070/950</f>
        <v>0.4</v>
      </c>
    </row>
    <row r="3071" spans="1:7" ht="16">
      <c r="A3071" s="13" t="s">
        <v>1654</v>
      </c>
      <c r="B3071" s="13">
        <v>3</v>
      </c>
      <c r="C3071" s="11">
        <v>4714781020503</v>
      </c>
      <c r="D3071" s="13" t="s">
        <v>1372</v>
      </c>
      <c r="E3071" s="10">
        <v>2</v>
      </c>
      <c r="F3071" s="10">
        <v>290</v>
      </c>
      <c r="G3071" s="20">
        <f>F3071/950</f>
        <v>0.30526315789473685</v>
      </c>
    </row>
    <row r="3072" spans="1:7" ht="16">
      <c r="A3072" s="13"/>
      <c r="B3072" s="13"/>
      <c r="C3072" s="11">
        <v>4714781020282</v>
      </c>
      <c r="D3072" s="13" t="s">
        <v>275</v>
      </c>
      <c r="E3072" s="10">
        <v>1</v>
      </c>
      <c r="F3072" s="10">
        <v>280</v>
      </c>
      <c r="G3072" s="20">
        <f>F3072/950</f>
        <v>0.29473684210526313</v>
      </c>
    </row>
    <row r="3073" spans="1:7" ht="16">
      <c r="A3073" s="13"/>
      <c r="B3073" s="13"/>
      <c r="C3073" s="11" t="s">
        <v>1640</v>
      </c>
      <c r="D3073" s="13" t="s">
        <v>271</v>
      </c>
      <c r="E3073" s="10">
        <v>1</v>
      </c>
      <c r="F3073" s="10">
        <v>380</v>
      </c>
      <c r="G3073" s="20">
        <f>F3073/950</f>
        <v>0.4</v>
      </c>
    </row>
    <row r="3074" spans="1:7" ht="16">
      <c r="A3074" s="13" t="s">
        <v>1653</v>
      </c>
      <c r="B3074" s="13">
        <v>3</v>
      </c>
      <c r="C3074" s="11">
        <v>4714781020503</v>
      </c>
      <c r="D3074" s="13" t="s">
        <v>1372</v>
      </c>
      <c r="E3074" s="10">
        <v>2</v>
      </c>
      <c r="F3074" s="10">
        <v>290</v>
      </c>
      <c r="G3074" s="20">
        <f>F3074/950</f>
        <v>0.30526315789473685</v>
      </c>
    </row>
    <row r="3075" spans="1:7" ht="16">
      <c r="A3075" s="13"/>
      <c r="B3075" s="13"/>
      <c r="C3075" s="11" t="s">
        <v>1647</v>
      </c>
      <c r="D3075" s="13" t="s">
        <v>1367</v>
      </c>
      <c r="E3075" s="10">
        <v>1</v>
      </c>
      <c r="F3075" s="10">
        <v>280</v>
      </c>
      <c r="G3075" s="20">
        <f>F3075/950</f>
        <v>0.29473684210526313</v>
      </c>
    </row>
    <row r="3076" spans="1:7" ht="16">
      <c r="A3076" s="13"/>
      <c r="B3076" s="13"/>
      <c r="C3076" s="11" t="s">
        <v>1640</v>
      </c>
      <c r="D3076" s="13" t="s">
        <v>271</v>
      </c>
      <c r="E3076" s="10">
        <v>1</v>
      </c>
      <c r="F3076" s="10">
        <v>380</v>
      </c>
      <c r="G3076" s="20">
        <f>F3076/950</f>
        <v>0.4</v>
      </c>
    </row>
    <row r="3077" spans="1:7" ht="16">
      <c r="A3077" s="13" t="s">
        <v>1652</v>
      </c>
      <c r="B3077" s="13">
        <v>3</v>
      </c>
      <c r="C3077" s="11">
        <v>4714781020503</v>
      </c>
      <c r="D3077" s="13" t="s">
        <v>1372</v>
      </c>
      <c r="E3077" s="10">
        <v>2</v>
      </c>
      <c r="F3077" s="10">
        <v>290</v>
      </c>
      <c r="G3077" s="20">
        <f>F3077/950</f>
        <v>0.30526315789473685</v>
      </c>
    </row>
    <row r="3078" spans="1:7" ht="16">
      <c r="A3078" s="13"/>
      <c r="B3078" s="13"/>
      <c r="C3078" s="11" t="s">
        <v>1645</v>
      </c>
      <c r="D3078" s="13" t="s">
        <v>373</v>
      </c>
      <c r="E3078" s="10">
        <v>1</v>
      </c>
      <c r="F3078" s="10">
        <v>280</v>
      </c>
      <c r="G3078" s="20">
        <f>F3078/950</f>
        <v>0.29473684210526313</v>
      </c>
    </row>
    <row r="3079" spans="1:7" ht="16">
      <c r="A3079" s="13"/>
      <c r="B3079" s="13"/>
      <c r="C3079" s="11" t="s">
        <v>1640</v>
      </c>
      <c r="D3079" s="13" t="s">
        <v>271</v>
      </c>
      <c r="E3079" s="10">
        <v>1</v>
      </c>
      <c r="F3079" s="10">
        <v>380</v>
      </c>
      <c r="G3079" s="20">
        <f>F3079/950</f>
        <v>0.4</v>
      </c>
    </row>
    <row r="3080" spans="1:7" ht="16">
      <c r="A3080" s="13" t="s">
        <v>1651</v>
      </c>
      <c r="B3080" s="13">
        <v>3</v>
      </c>
      <c r="C3080" s="11">
        <v>4714781020503</v>
      </c>
      <c r="D3080" s="13" t="s">
        <v>1372</v>
      </c>
      <c r="E3080" s="10">
        <v>2</v>
      </c>
      <c r="F3080" s="10">
        <v>290</v>
      </c>
      <c r="G3080" s="20">
        <f>F3080/950</f>
        <v>0.30526315789473685</v>
      </c>
    </row>
    <row r="3081" spans="1:7" ht="16">
      <c r="A3081" s="13"/>
      <c r="B3081" s="13"/>
      <c r="C3081" s="11" t="s">
        <v>1643</v>
      </c>
      <c r="D3081" s="13" t="s">
        <v>264</v>
      </c>
      <c r="E3081" s="10">
        <v>1</v>
      </c>
      <c r="F3081" s="10">
        <v>280</v>
      </c>
      <c r="G3081" s="20">
        <f>F3081/950</f>
        <v>0.29473684210526313</v>
      </c>
    </row>
    <row r="3082" spans="1:7" ht="16">
      <c r="A3082" s="13"/>
      <c r="B3082" s="13"/>
      <c r="C3082" s="11" t="s">
        <v>1640</v>
      </c>
      <c r="D3082" s="13" t="s">
        <v>271</v>
      </c>
      <c r="E3082" s="10">
        <v>1</v>
      </c>
      <c r="F3082" s="10">
        <v>380</v>
      </c>
      <c r="G3082" s="20">
        <f>F3082/950</f>
        <v>0.4</v>
      </c>
    </row>
    <row r="3083" spans="1:7" ht="16">
      <c r="A3083" s="13" t="s">
        <v>1650</v>
      </c>
      <c r="B3083" s="13">
        <v>3</v>
      </c>
      <c r="C3083" s="11">
        <v>4714781020503</v>
      </c>
      <c r="D3083" s="13" t="s">
        <v>1372</v>
      </c>
      <c r="E3083" s="10">
        <v>2</v>
      </c>
      <c r="F3083" s="10">
        <v>290</v>
      </c>
      <c r="G3083" s="20">
        <f>F3083/950</f>
        <v>0.30526315789473685</v>
      </c>
    </row>
    <row r="3084" spans="1:7" ht="16">
      <c r="A3084" s="13"/>
      <c r="B3084" s="13"/>
      <c r="C3084" s="11" t="s">
        <v>1641</v>
      </c>
      <c r="D3084" s="13" t="s">
        <v>359</v>
      </c>
      <c r="E3084" s="10">
        <v>1</v>
      </c>
      <c r="F3084" s="10">
        <v>280</v>
      </c>
      <c r="G3084" s="20">
        <f>F3084/950</f>
        <v>0.29473684210526313</v>
      </c>
    </row>
    <row r="3085" spans="1:7" ht="16">
      <c r="A3085" s="13"/>
      <c r="B3085" s="13"/>
      <c r="C3085" s="11" t="s">
        <v>1640</v>
      </c>
      <c r="D3085" s="13" t="s">
        <v>271</v>
      </c>
      <c r="E3085" s="10">
        <v>1</v>
      </c>
      <c r="F3085" s="10">
        <v>380</v>
      </c>
      <c r="G3085" s="20">
        <f>F3085/950</f>
        <v>0.4</v>
      </c>
    </row>
    <row r="3086" spans="1:7" ht="16">
      <c r="A3086" s="13" t="s">
        <v>1649</v>
      </c>
      <c r="B3086" s="13">
        <v>3</v>
      </c>
      <c r="C3086" s="11">
        <v>4714781020558</v>
      </c>
      <c r="D3086" s="13" t="s">
        <v>1370</v>
      </c>
      <c r="E3086" s="10">
        <v>2</v>
      </c>
      <c r="F3086" s="10">
        <v>290</v>
      </c>
      <c r="G3086" s="20">
        <f>F3086/950</f>
        <v>0.30526315789473685</v>
      </c>
    </row>
    <row r="3087" spans="1:7" ht="16">
      <c r="A3087" s="13"/>
      <c r="B3087" s="13"/>
      <c r="C3087" s="11">
        <v>4714781020282</v>
      </c>
      <c r="D3087" s="13" t="s">
        <v>275</v>
      </c>
      <c r="E3087" s="10">
        <v>1</v>
      </c>
      <c r="F3087" s="10">
        <v>280</v>
      </c>
      <c r="G3087" s="20">
        <f>F3087/950</f>
        <v>0.29473684210526313</v>
      </c>
    </row>
    <row r="3088" spans="1:7" ht="16">
      <c r="A3088" s="13"/>
      <c r="B3088" s="13"/>
      <c r="C3088" s="11" t="s">
        <v>1640</v>
      </c>
      <c r="D3088" s="13" t="s">
        <v>271</v>
      </c>
      <c r="E3088" s="10">
        <v>1</v>
      </c>
      <c r="F3088" s="10">
        <v>380</v>
      </c>
      <c r="G3088" s="20">
        <f>F3088/950</f>
        <v>0.4</v>
      </c>
    </row>
    <row r="3089" spans="1:7" ht="16">
      <c r="A3089" s="13" t="s">
        <v>1648</v>
      </c>
      <c r="B3089" s="13">
        <v>3</v>
      </c>
      <c r="C3089" s="11">
        <v>4714781020558</v>
      </c>
      <c r="D3089" s="13" t="s">
        <v>1370</v>
      </c>
      <c r="E3089" s="10">
        <v>2</v>
      </c>
      <c r="F3089" s="10">
        <v>290</v>
      </c>
      <c r="G3089" s="20">
        <f>F3089/950</f>
        <v>0.30526315789473685</v>
      </c>
    </row>
    <row r="3090" spans="1:7" ht="16">
      <c r="A3090" s="13"/>
      <c r="B3090" s="13"/>
      <c r="C3090" s="11" t="s">
        <v>1647</v>
      </c>
      <c r="D3090" s="13" t="s">
        <v>1367</v>
      </c>
      <c r="E3090" s="10">
        <v>1</v>
      </c>
      <c r="F3090" s="10">
        <v>280</v>
      </c>
      <c r="G3090" s="20">
        <f>F3090/950</f>
        <v>0.29473684210526313</v>
      </c>
    </row>
    <row r="3091" spans="1:7" ht="16">
      <c r="A3091" s="13"/>
      <c r="B3091" s="13"/>
      <c r="C3091" s="11" t="s">
        <v>1640</v>
      </c>
      <c r="D3091" s="13" t="s">
        <v>271</v>
      </c>
      <c r="E3091" s="10">
        <v>1</v>
      </c>
      <c r="F3091" s="10">
        <v>380</v>
      </c>
      <c r="G3091" s="20">
        <f>F3091/950</f>
        <v>0.4</v>
      </c>
    </row>
    <row r="3092" spans="1:7" ht="16">
      <c r="A3092" s="13" t="s">
        <v>1646</v>
      </c>
      <c r="B3092" s="13">
        <v>3</v>
      </c>
      <c r="C3092" s="11">
        <v>4714781020558</v>
      </c>
      <c r="D3092" s="13" t="s">
        <v>1370</v>
      </c>
      <c r="E3092" s="10">
        <v>2</v>
      </c>
      <c r="F3092" s="10">
        <v>290</v>
      </c>
      <c r="G3092" s="20">
        <f>F3092/950</f>
        <v>0.30526315789473685</v>
      </c>
    </row>
    <row r="3093" spans="1:7" ht="16">
      <c r="A3093" s="13"/>
      <c r="B3093" s="13"/>
      <c r="C3093" s="11" t="s">
        <v>1645</v>
      </c>
      <c r="D3093" s="13" t="s">
        <v>373</v>
      </c>
      <c r="E3093" s="10">
        <v>1</v>
      </c>
      <c r="F3093" s="10">
        <v>280</v>
      </c>
      <c r="G3093" s="20">
        <f>F3093/950</f>
        <v>0.29473684210526313</v>
      </c>
    </row>
    <row r="3094" spans="1:7" ht="16">
      <c r="A3094" s="13"/>
      <c r="B3094" s="13"/>
      <c r="C3094" s="11" t="s">
        <v>1640</v>
      </c>
      <c r="D3094" s="13" t="s">
        <v>271</v>
      </c>
      <c r="E3094" s="10">
        <v>1</v>
      </c>
      <c r="F3094" s="10">
        <v>380</v>
      </c>
      <c r="G3094" s="20">
        <f>F3094/950</f>
        <v>0.4</v>
      </c>
    </row>
    <row r="3095" spans="1:7" ht="16">
      <c r="A3095" s="13" t="s">
        <v>1644</v>
      </c>
      <c r="B3095" s="13">
        <v>3</v>
      </c>
      <c r="C3095" s="11">
        <v>4714781020558</v>
      </c>
      <c r="D3095" s="13" t="s">
        <v>1370</v>
      </c>
      <c r="E3095" s="10">
        <v>2</v>
      </c>
      <c r="F3095" s="10">
        <v>290</v>
      </c>
      <c r="G3095" s="20">
        <f>F3095/950</f>
        <v>0.30526315789473685</v>
      </c>
    </row>
    <row r="3096" spans="1:7" ht="16">
      <c r="A3096" s="13"/>
      <c r="B3096" s="13"/>
      <c r="C3096" s="11" t="s">
        <v>1643</v>
      </c>
      <c r="D3096" s="13" t="s">
        <v>264</v>
      </c>
      <c r="E3096" s="10">
        <v>1</v>
      </c>
      <c r="F3096" s="10">
        <v>280</v>
      </c>
      <c r="G3096" s="20">
        <f>F3096/950</f>
        <v>0.29473684210526313</v>
      </c>
    </row>
    <row r="3097" spans="1:7" ht="16">
      <c r="A3097" s="13"/>
      <c r="B3097" s="13"/>
      <c r="C3097" s="11" t="s">
        <v>1640</v>
      </c>
      <c r="D3097" s="13" t="s">
        <v>271</v>
      </c>
      <c r="E3097" s="10">
        <v>1</v>
      </c>
      <c r="F3097" s="10">
        <v>380</v>
      </c>
      <c r="G3097" s="20">
        <f>F3097/950</f>
        <v>0.4</v>
      </c>
    </row>
    <row r="3098" spans="1:7" ht="16">
      <c r="A3098" s="13" t="s">
        <v>1642</v>
      </c>
      <c r="B3098" s="13">
        <v>3</v>
      </c>
      <c r="C3098" s="11">
        <v>4714781020558</v>
      </c>
      <c r="D3098" s="13" t="s">
        <v>1370</v>
      </c>
      <c r="E3098" s="10">
        <v>2</v>
      </c>
      <c r="F3098" s="10">
        <v>290</v>
      </c>
      <c r="G3098" s="20">
        <f>F3098/950</f>
        <v>0.30526315789473685</v>
      </c>
    </row>
    <row r="3099" spans="1:7" ht="16">
      <c r="A3099" s="13"/>
      <c r="B3099" s="13"/>
      <c r="C3099" s="11" t="s">
        <v>1641</v>
      </c>
      <c r="D3099" s="13" t="s">
        <v>359</v>
      </c>
      <c r="E3099" s="10">
        <v>1</v>
      </c>
      <c r="F3099" s="10">
        <v>280</v>
      </c>
      <c r="G3099" s="20">
        <f>F3099/950</f>
        <v>0.29473684210526313</v>
      </c>
    </row>
    <row r="3100" spans="1:7" ht="16">
      <c r="A3100" s="13"/>
      <c r="B3100" s="13"/>
      <c r="C3100" s="11" t="s">
        <v>1640</v>
      </c>
      <c r="D3100" s="13" t="s">
        <v>271</v>
      </c>
      <c r="E3100" s="10">
        <v>1</v>
      </c>
      <c r="F3100" s="10">
        <v>380</v>
      </c>
      <c r="G3100" s="20">
        <f>F3100/950</f>
        <v>0.4</v>
      </c>
    </row>
    <row r="3101" spans="1:7" ht="16">
      <c r="A3101" s="13" t="s">
        <v>1639</v>
      </c>
      <c r="B3101" s="13">
        <v>1</v>
      </c>
      <c r="C3101" s="11">
        <v>4714781020794</v>
      </c>
      <c r="D3101" s="13" t="s">
        <v>1320</v>
      </c>
      <c r="E3101" s="10">
        <v>2</v>
      </c>
      <c r="F3101" s="10">
        <v>230</v>
      </c>
      <c r="G3101" s="20">
        <f>F3101/230</f>
        <v>1</v>
      </c>
    </row>
    <row r="3102" spans="1:7" ht="16">
      <c r="A3102" s="13" t="s">
        <v>1638</v>
      </c>
      <c r="B3102" s="13">
        <v>1</v>
      </c>
      <c r="C3102" s="11">
        <v>4714781020800</v>
      </c>
      <c r="D3102" s="13" t="s">
        <v>1319</v>
      </c>
      <c r="E3102" s="10">
        <v>2</v>
      </c>
      <c r="F3102" s="10">
        <v>230</v>
      </c>
      <c r="G3102" s="20">
        <f>F3102/230</f>
        <v>1</v>
      </c>
    </row>
    <row r="3103" spans="1:7" ht="16">
      <c r="A3103" s="13" t="s">
        <v>1637</v>
      </c>
      <c r="B3103" s="13">
        <v>1</v>
      </c>
      <c r="C3103" s="11">
        <v>4714781020817</v>
      </c>
      <c r="D3103" s="13" t="s">
        <v>1317</v>
      </c>
      <c r="E3103" s="10">
        <v>2</v>
      </c>
      <c r="F3103" s="10">
        <v>230</v>
      </c>
      <c r="G3103" s="20">
        <f>F3103/230</f>
        <v>1</v>
      </c>
    </row>
    <row r="3104" spans="1:7" ht="16">
      <c r="A3104" s="13" t="s">
        <v>1636</v>
      </c>
      <c r="B3104" s="13">
        <v>2</v>
      </c>
      <c r="C3104" s="11">
        <v>4714781020794</v>
      </c>
      <c r="D3104" s="13" t="s">
        <v>1320</v>
      </c>
      <c r="E3104" s="10">
        <v>1</v>
      </c>
      <c r="F3104" s="10">
        <v>115</v>
      </c>
      <c r="G3104" s="20">
        <f>F3104/230</f>
        <v>0.5</v>
      </c>
    </row>
    <row r="3105" spans="1:7" ht="16">
      <c r="A3105" s="13"/>
      <c r="B3105" s="13"/>
      <c r="C3105" s="11">
        <v>4714781020800</v>
      </c>
      <c r="D3105" s="13" t="s">
        <v>1319</v>
      </c>
      <c r="E3105" s="10">
        <v>1</v>
      </c>
      <c r="F3105" s="10">
        <v>115</v>
      </c>
      <c r="G3105" s="20">
        <f>F3105/230</f>
        <v>0.5</v>
      </c>
    </row>
    <row r="3106" spans="1:7" ht="16">
      <c r="A3106" s="13" t="s">
        <v>1635</v>
      </c>
      <c r="B3106" s="13">
        <v>2</v>
      </c>
      <c r="C3106" s="11">
        <v>4714781020794</v>
      </c>
      <c r="D3106" s="13" t="s">
        <v>1320</v>
      </c>
      <c r="E3106" s="10">
        <v>1</v>
      </c>
      <c r="F3106" s="10">
        <v>115</v>
      </c>
      <c r="G3106" s="20">
        <f>F3106/230</f>
        <v>0.5</v>
      </c>
    </row>
    <row r="3107" spans="1:7" ht="16">
      <c r="A3107" s="13"/>
      <c r="B3107" s="13"/>
      <c r="C3107" s="11">
        <v>4714781020817</v>
      </c>
      <c r="D3107" s="13" t="s">
        <v>1317</v>
      </c>
      <c r="E3107" s="10">
        <v>1</v>
      </c>
      <c r="F3107" s="10">
        <v>115</v>
      </c>
      <c r="G3107" s="20">
        <f>F3107/230</f>
        <v>0.5</v>
      </c>
    </row>
    <row r="3108" spans="1:7" ht="16">
      <c r="A3108" s="13" t="s">
        <v>1634</v>
      </c>
      <c r="B3108" s="13">
        <v>2</v>
      </c>
      <c r="C3108" s="11">
        <v>4714781020800</v>
      </c>
      <c r="D3108" s="13" t="s">
        <v>1319</v>
      </c>
      <c r="E3108" s="10">
        <v>1</v>
      </c>
      <c r="F3108" s="10">
        <v>115</v>
      </c>
      <c r="G3108" s="20">
        <f>F3108/230</f>
        <v>0.5</v>
      </c>
    </row>
    <row r="3109" spans="1:7" ht="16">
      <c r="A3109" s="13"/>
      <c r="B3109" s="13"/>
      <c r="C3109" s="11">
        <v>4714781020817</v>
      </c>
      <c r="D3109" s="13" t="s">
        <v>1317</v>
      </c>
      <c r="E3109" s="10">
        <v>1</v>
      </c>
      <c r="F3109" s="10">
        <v>115</v>
      </c>
      <c r="G3109" s="20">
        <f>F3109/230</f>
        <v>0.5</v>
      </c>
    </row>
    <row r="3110" spans="1:7" ht="16">
      <c r="A3110" s="13" t="s">
        <v>1633</v>
      </c>
      <c r="B3110" s="13">
        <v>1</v>
      </c>
      <c r="C3110" s="11">
        <v>4714781020770</v>
      </c>
      <c r="D3110" s="13" t="s">
        <v>1380</v>
      </c>
      <c r="E3110" s="10">
        <v>2</v>
      </c>
      <c r="F3110" s="10">
        <v>270</v>
      </c>
      <c r="G3110" s="20">
        <f>F3110/270</f>
        <v>1</v>
      </c>
    </row>
    <row r="3111" spans="1:7" ht="16">
      <c r="A3111" s="13" t="s">
        <v>1632</v>
      </c>
      <c r="B3111" s="13">
        <v>1</v>
      </c>
      <c r="C3111" s="11">
        <v>4714781020787</v>
      </c>
      <c r="D3111" s="13" t="s">
        <v>1378</v>
      </c>
      <c r="E3111" s="10">
        <v>2</v>
      </c>
      <c r="F3111" s="10">
        <v>270</v>
      </c>
      <c r="G3111" s="20">
        <f>F3111/270</f>
        <v>1</v>
      </c>
    </row>
    <row r="3112" spans="1:7" ht="16">
      <c r="A3112" s="13" t="s">
        <v>1631</v>
      </c>
      <c r="B3112" s="13">
        <v>2</v>
      </c>
      <c r="C3112" s="11">
        <v>4714781020770</v>
      </c>
      <c r="D3112" s="13" t="s">
        <v>1380</v>
      </c>
      <c r="E3112" s="10">
        <v>1</v>
      </c>
      <c r="F3112" s="10">
        <v>135</v>
      </c>
      <c r="G3112" s="20">
        <f>F3112/270</f>
        <v>0.5</v>
      </c>
    </row>
    <row r="3113" spans="1:7" ht="16">
      <c r="A3113" s="13"/>
      <c r="B3113" s="13"/>
      <c r="C3113" s="11">
        <v>4714781020787</v>
      </c>
      <c r="D3113" s="13" t="s">
        <v>1378</v>
      </c>
      <c r="E3113" s="10">
        <v>1</v>
      </c>
      <c r="F3113" s="10">
        <v>135</v>
      </c>
      <c r="G3113" s="20">
        <f>F3113/270</f>
        <v>0.5</v>
      </c>
    </row>
    <row r="3114" spans="1:7" ht="16">
      <c r="A3114" s="13" t="s">
        <v>1630</v>
      </c>
      <c r="B3114" s="13">
        <v>1</v>
      </c>
      <c r="C3114" s="11">
        <v>4714781020848</v>
      </c>
      <c r="D3114" s="13" t="s">
        <v>1382</v>
      </c>
      <c r="E3114" s="10">
        <v>2</v>
      </c>
      <c r="F3114" s="10">
        <v>650</v>
      </c>
      <c r="G3114" s="20">
        <f>F3114/650</f>
        <v>1</v>
      </c>
    </row>
    <row r="3115" spans="1:7" ht="16">
      <c r="A3115" s="13" t="s">
        <v>1629</v>
      </c>
      <c r="B3115" s="13">
        <v>1</v>
      </c>
      <c r="C3115" s="11" t="s">
        <v>1596</v>
      </c>
      <c r="D3115" s="13" t="s">
        <v>1384</v>
      </c>
      <c r="E3115" s="10">
        <v>2</v>
      </c>
      <c r="F3115" s="10">
        <v>650</v>
      </c>
      <c r="G3115" s="20">
        <f>F3115/650</f>
        <v>1</v>
      </c>
    </row>
    <row r="3116" spans="1:7" ht="16">
      <c r="A3116" s="13" t="s">
        <v>1628</v>
      </c>
      <c r="B3116" s="13">
        <v>2</v>
      </c>
      <c r="C3116" s="11">
        <v>4714781020848</v>
      </c>
      <c r="D3116" s="13" t="s">
        <v>1382</v>
      </c>
      <c r="E3116" s="10">
        <v>1</v>
      </c>
      <c r="F3116" s="10">
        <v>325</v>
      </c>
      <c r="G3116" s="20">
        <f>F3116/650</f>
        <v>0.5</v>
      </c>
    </row>
    <row r="3117" spans="1:7" ht="16">
      <c r="A3117" s="13"/>
      <c r="B3117" s="13"/>
      <c r="C3117" s="11" t="s">
        <v>1596</v>
      </c>
      <c r="D3117" s="13" t="s">
        <v>1384</v>
      </c>
      <c r="E3117" s="10">
        <v>1</v>
      </c>
      <c r="F3117" s="10">
        <v>325</v>
      </c>
      <c r="G3117" s="20">
        <f>F3117/650</f>
        <v>0.5</v>
      </c>
    </row>
    <row r="3118" spans="1:7" ht="16">
      <c r="A3118" s="13" t="s">
        <v>1627</v>
      </c>
      <c r="B3118" s="13">
        <v>1</v>
      </c>
      <c r="C3118" s="11">
        <v>4714781020824</v>
      </c>
      <c r="D3118" s="13" t="s">
        <v>1391</v>
      </c>
      <c r="E3118" s="10">
        <v>2</v>
      </c>
      <c r="F3118" s="10">
        <v>650</v>
      </c>
      <c r="G3118" s="20">
        <f>F3118/650</f>
        <v>1</v>
      </c>
    </row>
    <row r="3119" spans="1:7" ht="16">
      <c r="A3119" s="13" t="s">
        <v>1626</v>
      </c>
      <c r="B3119" s="13">
        <v>1</v>
      </c>
      <c r="C3119" s="11">
        <v>4714781020831</v>
      </c>
      <c r="D3119" s="13" t="s">
        <v>1389</v>
      </c>
      <c r="E3119" s="10">
        <v>2</v>
      </c>
      <c r="F3119" s="10">
        <v>650</v>
      </c>
      <c r="G3119" s="20">
        <f>F3119/650</f>
        <v>1</v>
      </c>
    </row>
    <row r="3120" spans="1:7" ht="16">
      <c r="A3120" s="13" t="s">
        <v>1625</v>
      </c>
      <c r="B3120" s="13">
        <v>2</v>
      </c>
      <c r="C3120" s="11">
        <v>4714781020824</v>
      </c>
      <c r="D3120" s="13" t="s">
        <v>1391</v>
      </c>
      <c r="E3120" s="10">
        <v>1</v>
      </c>
      <c r="F3120" s="10">
        <v>325</v>
      </c>
      <c r="G3120" s="20">
        <f>F3120/650</f>
        <v>0.5</v>
      </c>
    </row>
    <row r="3121" spans="1:7" ht="16">
      <c r="A3121" s="13"/>
      <c r="B3121" s="13"/>
      <c r="C3121" s="11">
        <v>4714781020831</v>
      </c>
      <c r="D3121" s="13" t="s">
        <v>1389</v>
      </c>
      <c r="E3121" s="10">
        <v>1</v>
      </c>
      <c r="F3121" s="10">
        <v>325</v>
      </c>
      <c r="G3121" s="20">
        <f>F3121/650</f>
        <v>0.5</v>
      </c>
    </row>
    <row r="3122" spans="1:7" ht="16">
      <c r="A3122" s="13" t="s">
        <v>1624</v>
      </c>
      <c r="B3122" s="13">
        <v>2</v>
      </c>
      <c r="C3122" s="11">
        <v>4714781020848</v>
      </c>
      <c r="D3122" s="13" t="s">
        <v>1382</v>
      </c>
      <c r="E3122" s="10">
        <v>1</v>
      </c>
      <c r="F3122" s="10">
        <v>325</v>
      </c>
      <c r="G3122" s="20">
        <f>F3122/650</f>
        <v>0.5</v>
      </c>
    </row>
    <row r="3123" spans="1:7" ht="16">
      <c r="A3123" s="13"/>
      <c r="B3123" s="13"/>
      <c r="C3123" s="11">
        <v>4714781020824</v>
      </c>
      <c r="D3123" s="13" t="s">
        <v>1391</v>
      </c>
      <c r="E3123" s="10">
        <v>1</v>
      </c>
      <c r="F3123" s="10">
        <v>325</v>
      </c>
      <c r="G3123" s="20">
        <f>F3123/650</f>
        <v>0.5</v>
      </c>
    </row>
    <row r="3124" spans="1:7" ht="16">
      <c r="A3124" s="13" t="s">
        <v>1623</v>
      </c>
      <c r="B3124" s="13">
        <v>2</v>
      </c>
      <c r="C3124" s="11">
        <v>4714781020848</v>
      </c>
      <c r="D3124" s="13" t="s">
        <v>1382</v>
      </c>
      <c r="E3124" s="10">
        <v>1</v>
      </c>
      <c r="F3124" s="10">
        <v>325</v>
      </c>
      <c r="G3124" s="20">
        <f>F3124/650</f>
        <v>0.5</v>
      </c>
    </row>
    <row r="3125" spans="1:7" ht="16">
      <c r="A3125" s="13"/>
      <c r="B3125" s="13"/>
      <c r="C3125" s="11">
        <v>4714781020831</v>
      </c>
      <c r="D3125" s="13" t="s">
        <v>1389</v>
      </c>
      <c r="E3125" s="10">
        <v>1</v>
      </c>
      <c r="F3125" s="10">
        <v>325</v>
      </c>
      <c r="G3125" s="20">
        <f>F3125/650</f>
        <v>0.5</v>
      </c>
    </row>
    <row r="3126" spans="1:7" ht="16">
      <c r="A3126" s="13" t="s">
        <v>1622</v>
      </c>
      <c r="B3126" s="13">
        <v>2</v>
      </c>
      <c r="C3126" s="11" t="s">
        <v>1596</v>
      </c>
      <c r="D3126" s="13" t="s">
        <v>1384</v>
      </c>
      <c r="E3126" s="10">
        <v>1</v>
      </c>
      <c r="F3126" s="10">
        <v>325</v>
      </c>
      <c r="G3126" s="20">
        <f>F3126/650</f>
        <v>0.5</v>
      </c>
    </row>
    <row r="3127" spans="1:7" ht="16">
      <c r="A3127" s="13"/>
      <c r="B3127" s="13"/>
      <c r="C3127" s="11">
        <v>4714781020824</v>
      </c>
      <c r="D3127" s="13" t="s">
        <v>1391</v>
      </c>
      <c r="E3127" s="10">
        <v>1</v>
      </c>
      <c r="F3127" s="10">
        <v>325</v>
      </c>
      <c r="G3127" s="20">
        <f>F3127/650</f>
        <v>0.5</v>
      </c>
    </row>
    <row r="3128" spans="1:7" ht="16">
      <c r="A3128" s="12" t="s">
        <v>1621</v>
      </c>
      <c r="B3128" s="13">
        <v>2</v>
      </c>
      <c r="C3128" s="11" t="s">
        <v>1596</v>
      </c>
      <c r="D3128" s="13" t="s">
        <v>1384</v>
      </c>
      <c r="E3128" s="10">
        <v>1</v>
      </c>
      <c r="F3128" s="10">
        <v>325</v>
      </c>
      <c r="G3128" s="20">
        <f>F3128/650</f>
        <v>0.5</v>
      </c>
    </row>
    <row r="3129" spans="1:7" ht="16">
      <c r="A3129" s="13"/>
      <c r="B3129" s="13"/>
      <c r="C3129" s="11">
        <v>4714781020831</v>
      </c>
      <c r="D3129" s="13" t="s">
        <v>1389</v>
      </c>
      <c r="E3129" s="10">
        <v>1</v>
      </c>
      <c r="F3129" s="10">
        <v>325</v>
      </c>
      <c r="G3129" s="20">
        <f>F3129/650</f>
        <v>0.5</v>
      </c>
    </row>
    <row r="3130" spans="1:7" ht="16">
      <c r="A3130" s="12" t="s">
        <v>1620</v>
      </c>
      <c r="B3130" s="13">
        <v>1</v>
      </c>
      <c r="C3130" s="11" t="s">
        <v>1619</v>
      </c>
      <c r="D3130" s="13" t="s">
        <v>1376</v>
      </c>
      <c r="E3130" s="10">
        <v>4</v>
      </c>
      <c r="F3130" s="10">
        <v>550</v>
      </c>
      <c r="G3130" s="20">
        <f>F3130/550</f>
        <v>1</v>
      </c>
    </row>
    <row r="3131" spans="1:7" ht="16">
      <c r="A3131" s="13" t="s">
        <v>1618</v>
      </c>
      <c r="B3131" s="13">
        <v>5</v>
      </c>
      <c r="C3131" s="11" t="s">
        <v>1585</v>
      </c>
      <c r="D3131" s="10" t="s">
        <v>1584</v>
      </c>
      <c r="E3131" s="10">
        <v>1</v>
      </c>
      <c r="F3131" s="9">
        <v>100</v>
      </c>
      <c r="G3131" s="8">
        <f>F3131/650</f>
        <v>0.15384615384615385</v>
      </c>
    </row>
    <row r="3132" spans="1:7" ht="16">
      <c r="A3132" s="13"/>
      <c r="B3132" s="13"/>
      <c r="C3132" s="11" t="s">
        <v>1598</v>
      </c>
      <c r="D3132" s="10" t="s">
        <v>1382</v>
      </c>
      <c r="E3132" s="10">
        <v>1</v>
      </c>
      <c r="F3132" s="9">
        <v>300</v>
      </c>
      <c r="G3132" s="8">
        <f>F3132/650</f>
        <v>0.46153846153846156</v>
      </c>
    </row>
    <row r="3133" spans="1:7" ht="16">
      <c r="A3133" s="13"/>
      <c r="B3133" s="13"/>
      <c r="C3133" s="11" t="s">
        <v>1595</v>
      </c>
      <c r="D3133" s="10" t="s">
        <v>1378</v>
      </c>
      <c r="E3133" s="10">
        <v>1</v>
      </c>
      <c r="F3133" s="9">
        <v>120</v>
      </c>
      <c r="G3133" s="8">
        <f>F3133/650</f>
        <v>0.18461538461538463</v>
      </c>
    </row>
    <row r="3134" spans="1:7" ht="16">
      <c r="A3134" s="13"/>
      <c r="B3134" s="13"/>
      <c r="C3134" s="11" t="s">
        <v>1593</v>
      </c>
      <c r="D3134" s="10" t="s">
        <v>1592</v>
      </c>
      <c r="E3134" s="10">
        <v>1</v>
      </c>
      <c r="F3134" s="9">
        <v>50</v>
      </c>
      <c r="G3134" s="8">
        <f>F3134/650</f>
        <v>7.6923076923076927E-2</v>
      </c>
    </row>
    <row r="3135" spans="1:7" ht="16">
      <c r="A3135" s="13"/>
      <c r="B3135" s="13"/>
      <c r="C3135" s="11" t="s">
        <v>1583</v>
      </c>
      <c r="D3135" s="10" t="s">
        <v>1582</v>
      </c>
      <c r="E3135" s="10">
        <v>1</v>
      </c>
      <c r="F3135" s="9">
        <v>80</v>
      </c>
      <c r="G3135" s="8">
        <f>F3135/650</f>
        <v>0.12307692307692308</v>
      </c>
    </row>
    <row r="3136" spans="1:7" ht="16">
      <c r="A3136" s="13" t="s">
        <v>1617</v>
      </c>
      <c r="B3136" s="13">
        <v>5</v>
      </c>
      <c r="C3136" s="11" t="s">
        <v>1585</v>
      </c>
      <c r="D3136" s="10" t="s">
        <v>1584</v>
      </c>
      <c r="E3136" s="10">
        <v>1</v>
      </c>
      <c r="F3136" s="9">
        <v>100</v>
      </c>
      <c r="G3136" s="8">
        <f>F3136/650</f>
        <v>0.15384615384615385</v>
      </c>
    </row>
    <row r="3137" spans="1:7" ht="16">
      <c r="A3137" s="13"/>
      <c r="B3137" s="13"/>
      <c r="C3137" s="11" t="s">
        <v>1596</v>
      </c>
      <c r="D3137" s="10" t="s">
        <v>1384</v>
      </c>
      <c r="E3137" s="10">
        <v>1</v>
      </c>
      <c r="F3137" s="9">
        <v>300</v>
      </c>
      <c r="G3137" s="8">
        <f>F3137/650</f>
        <v>0.46153846153846156</v>
      </c>
    </row>
    <row r="3138" spans="1:7" ht="16">
      <c r="A3138" s="13"/>
      <c r="B3138" s="13"/>
      <c r="C3138" s="11" t="s">
        <v>1602</v>
      </c>
      <c r="D3138" s="10" t="s">
        <v>1380</v>
      </c>
      <c r="E3138" s="10">
        <v>1</v>
      </c>
      <c r="F3138" s="9">
        <v>120</v>
      </c>
      <c r="G3138" s="8">
        <f>F3138/650</f>
        <v>0.18461538461538463</v>
      </c>
    </row>
    <row r="3139" spans="1:7" ht="16">
      <c r="A3139" s="13"/>
      <c r="B3139" s="13"/>
      <c r="C3139" s="11" t="s">
        <v>1588</v>
      </c>
      <c r="D3139" s="10" t="s">
        <v>1587</v>
      </c>
      <c r="E3139" s="10">
        <v>1</v>
      </c>
      <c r="F3139" s="9">
        <v>50</v>
      </c>
      <c r="G3139" s="8">
        <f>F3139/650</f>
        <v>7.6923076923076927E-2</v>
      </c>
    </row>
    <row r="3140" spans="1:7" ht="16">
      <c r="A3140" s="13"/>
      <c r="B3140" s="13"/>
      <c r="C3140" s="11" t="s">
        <v>1590</v>
      </c>
      <c r="D3140" s="10" t="s">
        <v>1589</v>
      </c>
      <c r="E3140" s="10">
        <v>1</v>
      </c>
      <c r="F3140" s="9">
        <v>80</v>
      </c>
      <c r="G3140" s="8">
        <f>F3140/650</f>
        <v>0.12307692307692308</v>
      </c>
    </row>
    <row r="3141" spans="1:7" ht="16">
      <c r="A3141" s="13" t="s">
        <v>1616</v>
      </c>
      <c r="B3141" s="13">
        <v>5</v>
      </c>
      <c r="C3141" s="11" t="s">
        <v>1585</v>
      </c>
      <c r="D3141" s="10" t="s">
        <v>1584</v>
      </c>
      <c r="E3141" s="10">
        <v>1</v>
      </c>
      <c r="F3141" s="9">
        <v>100</v>
      </c>
      <c r="G3141" s="8">
        <f>F3141/650</f>
        <v>0.15384615384615385</v>
      </c>
    </row>
    <row r="3142" spans="1:7" ht="16">
      <c r="A3142" s="13"/>
      <c r="B3142" s="13"/>
      <c r="C3142" s="11" t="s">
        <v>1596</v>
      </c>
      <c r="D3142" s="10" t="s">
        <v>1384</v>
      </c>
      <c r="E3142" s="10">
        <v>1</v>
      </c>
      <c r="F3142" s="9">
        <v>300</v>
      </c>
      <c r="G3142" s="8">
        <f>F3142/650</f>
        <v>0.46153846153846156</v>
      </c>
    </row>
    <row r="3143" spans="1:7" ht="16">
      <c r="A3143" s="13"/>
      <c r="B3143" s="13"/>
      <c r="C3143" s="11" t="s">
        <v>1595</v>
      </c>
      <c r="D3143" s="10" t="s">
        <v>1378</v>
      </c>
      <c r="E3143" s="10">
        <v>1</v>
      </c>
      <c r="F3143" s="9">
        <v>120</v>
      </c>
      <c r="G3143" s="8">
        <f>F3143/650</f>
        <v>0.18461538461538463</v>
      </c>
    </row>
    <row r="3144" spans="1:7" ht="16">
      <c r="A3144" s="13"/>
      <c r="B3144" s="13"/>
      <c r="C3144" s="11" t="s">
        <v>1581</v>
      </c>
      <c r="D3144" s="10" t="s">
        <v>1580</v>
      </c>
      <c r="E3144" s="10">
        <v>1</v>
      </c>
      <c r="F3144" s="9">
        <v>50</v>
      </c>
      <c r="G3144" s="8">
        <f>F3144/650</f>
        <v>7.6923076923076927E-2</v>
      </c>
    </row>
    <row r="3145" spans="1:7" ht="16">
      <c r="A3145" s="13"/>
      <c r="B3145" s="13"/>
      <c r="C3145" s="11" t="s">
        <v>1583</v>
      </c>
      <c r="D3145" s="10" t="s">
        <v>1582</v>
      </c>
      <c r="E3145" s="10">
        <v>1</v>
      </c>
      <c r="F3145" s="9">
        <v>80</v>
      </c>
      <c r="G3145" s="8">
        <f>F3145/650</f>
        <v>0.12307692307692308</v>
      </c>
    </row>
    <row r="3146" spans="1:7" ht="16">
      <c r="A3146" s="13" t="s">
        <v>1615</v>
      </c>
      <c r="B3146" s="13">
        <v>5</v>
      </c>
      <c r="C3146" s="11" t="s">
        <v>1585</v>
      </c>
      <c r="D3146" s="10" t="s">
        <v>1584</v>
      </c>
      <c r="E3146" s="10">
        <v>1</v>
      </c>
      <c r="F3146" s="9">
        <v>100</v>
      </c>
      <c r="G3146" s="8">
        <f>F3146/650</f>
        <v>0.15384615384615385</v>
      </c>
    </row>
    <row r="3147" spans="1:7" ht="16">
      <c r="A3147" s="13"/>
      <c r="B3147" s="13"/>
      <c r="C3147" s="11" t="s">
        <v>1583</v>
      </c>
      <c r="D3147" s="10" t="s">
        <v>1582</v>
      </c>
      <c r="E3147" s="10">
        <v>1</v>
      </c>
      <c r="F3147" s="9">
        <v>300</v>
      </c>
      <c r="G3147" s="8">
        <f>F3147/650</f>
        <v>0.46153846153846156</v>
      </c>
    </row>
    <row r="3148" spans="1:7" ht="16">
      <c r="A3148" s="13"/>
      <c r="B3148" s="13"/>
      <c r="C3148" s="11" t="s">
        <v>1593</v>
      </c>
      <c r="D3148" s="10" t="s">
        <v>1592</v>
      </c>
      <c r="E3148" s="10">
        <v>1</v>
      </c>
      <c r="F3148" s="9">
        <v>120</v>
      </c>
      <c r="G3148" s="8">
        <f>F3148/650</f>
        <v>0.18461538461538463</v>
      </c>
    </row>
    <row r="3149" spans="1:7" ht="16">
      <c r="A3149" s="13"/>
      <c r="B3149" s="13"/>
      <c r="C3149" s="11">
        <v>4714781020800</v>
      </c>
      <c r="D3149" s="10" t="s">
        <v>1319</v>
      </c>
      <c r="E3149" s="10">
        <v>1</v>
      </c>
      <c r="F3149" s="9">
        <v>50</v>
      </c>
      <c r="G3149" s="8">
        <f>F3149/650</f>
        <v>7.6923076923076927E-2</v>
      </c>
    </row>
    <row r="3150" spans="1:7" ht="16">
      <c r="A3150" s="13"/>
      <c r="B3150" s="13"/>
      <c r="C3150" s="11">
        <v>4714781020824</v>
      </c>
      <c r="D3150" s="10" t="s">
        <v>1391</v>
      </c>
      <c r="E3150" s="10">
        <v>1</v>
      </c>
      <c r="F3150" s="9">
        <v>80</v>
      </c>
      <c r="G3150" s="8">
        <f>F3150/650</f>
        <v>0.12307692307692308</v>
      </c>
    </row>
    <row r="3151" spans="1:7" ht="16">
      <c r="A3151" s="13" t="s">
        <v>1614</v>
      </c>
      <c r="B3151" s="13">
        <v>5</v>
      </c>
      <c r="C3151" s="11" t="s">
        <v>1585</v>
      </c>
      <c r="D3151" s="10" t="s">
        <v>1584</v>
      </c>
      <c r="E3151" s="10">
        <v>1</v>
      </c>
      <c r="F3151" s="9">
        <v>100</v>
      </c>
      <c r="G3151" s="8">
        <f>F3151/650</f>
        <v>0.15384615384615385</v>
      </c>
    </row>
    <row r="3152" spans="1:7" ht="16">
      <c r="A3152" s="13"/>
      <c r="B3152" s="13"/>
      <c r="C3152" s="11" t="s">
        <v>1590</v>
      </c>
      <c r="D3152" s="10" t="s">
        <v>1589</v>
      </c>
      <c r="E3152" s="10">
        <v>1</v>
      </c>
      <c r="F3152" s="9">
        <v>300</v>
      </c>
      <c r="G3152" s="8">
        <f>F3152/650</f>
        <v>0.46153846153846156</v>
      </c>
    </row>
    <row r="3153" spans="1:7" ht="16">
      <c r="A3153" s="13"/>
      <c r="B3153" s="13"/>
      <c r="C3153" s="11" t="s">
        <v>1588</v>
      </c>
      <c r="D3153" s="10" t="s">
        <v>1587</v>
      </c>
      <c r="E3153" s="10">
        <v>1</v>
      </c>
      <c r="F3153" s="9">
        <v>120</v>
      </c>
      <c r="G3153" s="8">
        <f>F3153/650</f>
        <v>0.18461538461538463</v>
      </c>
    </row>
    <row r="3154" spans="1:7" ht="16">
      <c r="A3154" s="13"/>
      <c r="B3154" s="13"/>
      <c r="C3154" s="11">
        <v>4714781020817</v>
      </c>
      <c r="D3154" s="10" t="s">
        <v>1317</v>
      </c>
      <c r="E3154" s="10">
        <v>1</v>
      </c>
      <c r="F3154" s="9">
        <v>50</v>
      </c>
      <c r="G3154" s="8">
        <f>F3154/650</f>
        <v>7.6923076923076927E-2</v>
      </c>
    </row>
    <row r="3155" spans="1:7" ht="16">
      <c r="A3155" s="13"/>
      <c r="B3155" s="13"/>
      <c r="C3155" s="11" t="s">
        <v>1579</v>
      </c>
      <c r="D3155" s="10" t="s">
        <v>1389</v>
      </c>
      <c r="E3155" s="10">
        <v>1</v>
      </c>
      <c r="F3155" s="9">
        <v>80</v>
      </c>
      <c r="G3155" s="8">
        <f>F3155/650</f>
        <v>0.12307692307692308</v>
      </c>
    </row>
    <row r="3156" spans="1:7" ht="16">
      <c r="A3156" s="13" t="s">
        <v>1613</v>
      </c>
      <c r="B3156" s="13">
        <v>5</v>
      </c>
      <c r="C3156" s="11" t="s">
        <v>1585</v>
      </c>
      <c r="D3156" s="10" t="s">
        <v>1584</v>
      </c>
      <c r="E3156" s="10">
        <v>1</v>
      </c>
      <c r="F3156" s="9">
        <v>100</v>
      </c>
      <c r="G3156" s="8">
        <f>F3156/650</f>
        <v>0.15384615384615385</v>
      </c>
    </row>
    <row r="3157" spans="1:7" ht="16">
      <c r="A3157" s="13"/>
      <c r="B3157" s="13"/>
      <c r="C3157" s="11" t="s">
        <v>1583</v>
      </c>
      <c r="D3157" s="10" t="s">
        <v>1582</v>
      </c>
      <c r="E3157" s="10">
        <v>1</v>
      </c>
      <c r="F3157" s="9">
        <v>300</v>
      </c>
      <c r="G3157" s="8">
        <f>F3157/650</f>
        <v>0.46153846153846156</v>
      </c>
    </row>
    <row r="3158" spans="1:7" ht="16">
      <c r="A3158" s="13"/>
      <c r="B3158" s="13"/>
      <c r="C3158" s="11" t="s">
        <v>1581</v>
      </c>
      <c r="D3158" s="10" t="s">
        <v>1580</v>
      </c>
      <c r="E3158" s="10">
        <v>1</v>
      </c>
      <c r="F3158" s="9">
        <v>120</v>
      </c>
      <c r="G3158" s="8">
        <f>F3158/650</f>
        <v>0.18461538461538463</v>
      </c>
    </row>
    <row r="3159" spans="1:7" ht="16">
      <c r="A3159" s="13"/>
      <c r="B3159" s="13"/>
      <c r="C3159" s="11">
        <v>4714781020817</v>
      </c>
      <c r="D3159" s="10" t="s">
        <v>1317</v>
      </c>
      <c r="E3159" s="10">
        <v>1</v>
      </c>
      <c r="F3159" s="9">
        <v>50</v>
      </c>
      <c r="G3159" s="8">
        <f>F3159/650</f>
        <v>7.6923076923076927E-2</v>
      </c>
    </row>
    <row r="3160" spans="1:7" ht="16">
      <c r="A3160" s="13"/>
      <c r="B3160" s="13"/>
      <c r="C3160" s="11" t="s">
        <v>1579</v>
      </c>
      <c r="D3160" s="10" t="s">
        <v>1389</v>
      </c>
      <c r="E3160" s="10">
        <v>1</v>
      </c>
      <c r="F3160" s="9">
        <v>80</v>
      </c>
      <c r="G3160" s="8">
        <f>F3160/650</f>
        <v>0.12307692307692308</v>
      </c>
    </row>
    <row r="3161" spans="1:7" ht="16">
      <c r="A3161" s="13" t="s">
        <v>1612</v>
      </c>
      <c r="B3161" s="13">
        <v>1</v>
      </c>
      <c r="C3161" s="11" t="s">
        <v>1343</v>
      </c>
      <c r="D3161" s="13" t="s">
        <v>1342</v>
      </c>
      <c r="E3161" s="10">
        <v>1</v>
      </c>
      <c r="F3161" s="10">
        <v>450</v>
      </c>
      <c r="G3161" s="20">
        <f>F3161/450</f>
        <v>1</v>
      </c>
    </row>
    <row r="3162" spans="1:7" ht="16">
      <c r="A3162" s="10" t="s">
        <v>1611</v>
      </c>
      <c r="B3162" s="13">
        <v>5</v>
      </c>
      <c r="C3162" s="11" t="s">
        <v>1585</v>
      </c>
      <c r="D3162" s="10" t="s">
        <v>1584</v>
      </c>
      <c r="E3162" s="9">
        <v>1</v>
      </c>
      <c r="F3162" s="9">
        <v>100</v>
      </c>
      <c r="G3162" s="8">
        <f>F3162/690</f>
        <v>0.14492753623188406</v>
      </c>
    </row>
    <row r="3163" spans="1:7" ht="16">
      <c r="B3163" s="13"/>
      <c r="C3163" s="11" t="s">
        <v>1598</v>
      </c>
      <c r="D3163" s="10" t="s">
        <v>1382</v>
      </c>
      <c r="E3163" s="9">
        <v>1</v>
      </c>
      <c r="F3163" s="9">
        <v>320</v>
      </c>
      <c r="G3163" s="8">
        <f>F3163/690</f>
        <v>0.46376811594202899</v>
      </c>
    </row>
    <row r="3164" spans="1:7" ht="16">
      <c r="B3164" s="13"/>
      <c r="C3164" s="11" t="s">
        <v>1595</v>
      </c>
      <c r="D3164" s="10" t="s">
        <v>1378</v>
      </c>
      <c r="E3164" s="9">
        <v>1</v>
      </c>
      <c r="F3164" s="9">
        <v>120</v>
      </c>
      <c r="G3164" s="8">
        <f>F3164/690</f>
        <v>0.17391304347826086</v>
      </c>
    </row>
    <row r="3165" spans="1:7" ht="16">
      <c r="B3165" s="13"/>
      <c r="C3165" s="11" t="s">
        <v>1593</v>
      </c>
      <c r="D3165" s="10" t="s">
        <v>1592</v>
      </c>
      <c r="E3165" s="9">
        <v>1</v>
      </c>
      <c r="F3165" s="9">
        <v>50</v>
      </c>
      <c r="G3165" s="8">
        <f>F3165/690</f>
        <v>7.2463768115942032E-2</v>
      </c>
    </row>
    <row r="3166" spans="1:7" ht="16">
      <c r="B3166" s="13"/>
      <c r="C3166" s="11" t="s">
        <v>1583</v>
      </c>
      <c r="D3166" s="10" t="s">
        <v>1582</v>
      </c>
      <c r="E3166" s="9">
        <v>1</v>
      </c>
      <c r="F3166" s="9">
        <v>100</v>
      </c>
      <c r="G3166" s="8">
        <f>F3166/690</f>
        <v>0.14492753623188406</v>
      </c>
    </row>
    <row r="3167" spans="1:7" ht="16">
      <c r="A3167" s="10" t="s">
        <v>1610</v>
      </c>
      <c r="B3167" s="13">
        <v>5</v>
      </c>
      <c r="C3167" s="11" t="s">
        <v>1585</v>
      </c>
      <c r="D3167" s="10" t="s">
        <v>1584</v>
      </c>
      <c r="E3167" s="9">
        <v>1</v>
      </c>
      <c r="F3167" s="9">
        <v>100</v>
      </c>
      <c r="G3167" s="8">
        <f>F3167/690</f>
        <v>0.14492753623188406</v>
      </c>
    </row>
    <row r="3168" spans="1:7" ht="16">
      <c r="B3168" s="13"/>
      <c r="C3168" s="11" t="s">
        <v>1596</v>
      </c>
      <c r="D3168" s="10" t="s">
        <v>1384</v>
      </c>
      <c r="E3168" s="9">
        <v>1</v>
      </c>
      <c r="F3168" s="9">
        <v>320</v>
      </c>
      <c r="G3168" s="8">
        <f>F3168/690</f>
        <v>0.46376811594202899</v>
      </c>
    </row>
    <row r="3169" spans="1:7" ht="16">
      <c r="B3169" s="13"/>
      <c r="C3169" s="11" t="s">
        <v>1602</v>
      </c>
      <c r="D3169" s="10" t="s">
        <v>1380</v>
      </c>
      <c r="E3169" s="9">
        <v>1</v>
      </c>
      <c r="F3169" s="9">
        <v>120</v>
      </c>
      <c r="G3169" s="8">
        <f>F3169/690</f>
        <v>0.17391304347826086</v>
      </c>
    </row>
    <row r="3170" spans="1:7" ht="16">
      <c r="B3170" s="13"/>
      <c r="C3170" s="11" t="s">
        <v>1588</v>
      </c>
      <c r="D3170" s="10" t="s">
        <v>1587</v>
      </c>
      <c r="E3170" s="9">
        <v>1</v>
      </c>
      <c r="F3170" s="9">
        <v>50</v>
      </c>
      <c r="G3170" s="8">
        <f>F3170/690</f>
        <v>7.2463768115942032E-2</v>
      </c>
    </row>
    <row r="3171" spans="1:7" ht="16">
      <c r="B3171" s="13"/>
      <c r="C3171" s="11" t="s">
        <v>1590</v>
      </c>
      <c r="D3171" s="10" t="s">
        <v>1589</v>
      </c>
      <c r="E3171" s="9">
        <v>1</v>
      </c>
      <c r="F3171" s="9">
        <v>100</v>
      </c>
      <c r="G3171" s="8">
        <f>F3171/690</f>
        <v>0.14492753623188406</v>
      </c>
    </row>
    <row r="3172" spans="1:7" ht="16">
      <c r="A3172" s="10" t="s">
        <v>1609</v>
      </c>
      <c r="B3172" s="13">
        <v>5</v>
      </c>
      <c r="C3172" s="11" t="s">
        <v>1585</v>
      </c>
      <c r="D3172" s="10" t="s">
        <v>1584</v>
      </c>
      <c r="E3172" s="9">
        <v>1</v>
      </c>
      <c r="F3172" s="9">
        <v>100</v>
      </c>
      <c r="G3172" s="8">
        <f>F3172/690</f>
        <v>0.14492753623188406</v>
      </c>
    </row>
    <row r="3173" spans="1:7" ht="16">
      <c r="B3173" s="13"/>
      <c r="C3173" s="11" t="s">
        <v>1596</v>
      </c>
      <c r="D3173" s="10" t="s">
        <v>1384</v>
      </c>
      <c r="E3173" s="9">
        <v>1</v>
      </c>
      <c r="F3173" s="9">
        <v>320</v>
      </c>
      <c r="G3173" s="8">
        <f>F3173/690</f>
        <v>0.46376811594202899</v>
      </c>
    </row>
    <row r="3174" spans="1:7" ht="16">
      <c r="B3174" s="13"/>
      <c r="C3174" s="11" t="s">
        <v>1595</v>
      </c>
      <c r="D3174" s="10" t="s">
        <v>1378</v>
      </c>
      <c r="E3174" s="9">
        <v>1</v>
      </c>
      <c r="F3174" s="9">
        <v>120</v>
      </c>
      <c r="G3174" s="8">
        <f>F3174/690</f>
        <v>0.17391304347826086</v>
      </c>
    </row>
    <row r="3175" spans="1:7" ht="16">
      <c r="B3175" s="13"/>
      <c r="C3175" s="11" t="s">
        <v>1581</v>
      </c>
      <c r="D3175" s="10" t="s">
        <v>1580</v>
      </c>
      <c r="E3175" s="9">
        <v>1</v>
      </c>
      <c r="F3175" s="9">
        <v>50</v>
      </c>
      <c r="G3175" s="8">
        <f>F3175/690</f>
        <v>7.2463768115942032E-2</v>
      </c>
    </row>
    <row r="3176" spans="1:7" ht="16">
      <c r="B3176" s="13"/>
      <c r="C3176" s="11" t="s">
        <v>1583</v>
      </c>
      <c r="D3176" s="10" t="s">
        <v>1582</v>
      </c>
      <c r="E3176" s="9">
        <v>1</v>
      </c>
      <c r="F3176" s="9">
        <v>100</v>
      </c>
      <c r="G3176" s="8">
        <f>F3176/690</f>
        <v>0.14492753623188406</v>
      </c>
    </row>
    <row r="3177" spans="1:7" ht="16">
      <c r="A3177" s="10" t="s">
        <v>1608</v>
      </c>
      <c r="B3177" s="13">
        <v>5</v>
      </c>
      <c r="C3177" s="11" t="s">
        <v>1585</v>
      </c>
      <c r="D3177" s="10" t="s">
        <v>1584</v>
      </c>
      <c r="E3177" s="9">
        <v>2</v>
      </c>
      <c r="F3177" s="9">
        <v>200</v>
      </c>
      <c r="G3177" s="8">
        <f>F3177/1300</f>
        <v>0.15384615384615385</v>
      </c>
    </row>
    <row r="3178" spans="1:7" ht="16">
      <c r="B3178" s="13"/>
      <c r="C3178" s="11" t="s">
        <v>1598</v>
      </c>
      <c r="D3178" s="10" t="s">
        <v>1382</v>
      </c>
      <c r="E3178" s="9">
        <v>2</v>
      </c>
      <c r="F3178" s="9">
        <v>600</v>
      </c>
      <c r="G3178" s="8">
        <f>F3178/1300</f>
        <v>0.46153846153846156</v>
      </c>
    </row>
    <row r="3179" spans="1:7" ht="16">
      <c r="B3179" s="13"/>
      <c r="C3179" s="11" t="s">
        <v>1595</v>
      </c>
      <c r="D3179" s="10" t="s">
        <v>1378</v>
      </c>
      <c r="E3179" s="9">
        <v>2</v>
      </c>
      <c r="F3179" s="9">
        <v>200</v>
      </c>
      <c r="G3179" s="8">
        <f>F3179/1300</f>
        <v>0.15384615384615385</v>
      </c>
    </row>
    <row r="3180" spans="1:7" ht="16">
      <c r="B3180" s="13"/>
      <c r="C3180" s="11" t="s">
        <v>1593</v>
      </c>
      <c r="D3180" s="10" t="s">
        <v>1592</v>
      </c>
      <c r="E3180" s="9">
        <v>2</v>
      </c>
      <c r="F3180" s="9">
        <v>100</v>
      </c>
      <c r="G3180" s="8">
        <f>F3180/1300</f>
        <v>7.6923076923076927E-2</v>
      </c>
    </row>
    <row r="3181" spans="1:7" ht="16">
      <c r="B3181" s="13"/>
      <c r="C3181" s="11" t="s">
        <v>1583</v>
      </c>
      <c r="D3181" s="10" t="s">
        <v>1582</v>
      </c>
      <c r="E3181" s="9">
        <v>2</v>
      </c>
      <c r="F3181" s="9">
        <v>200</v>
      </c>
      <c r="G3181" s="8">
        <f>F3181/1300</f>
        <v>0.15384615384615385</v>
      </c>
    </row>
    <row r="3182" spans="1:7" ht="16">
      <c r="A3182" s="10" t="s">
        <v>1607</v>
      </c>
      <c r="B3182" s="13">
        <v>5</v>
      </c>
      <c r="C3182" s="11" t="s">
        <v>1585</v>
      </c>
      <c r="D3182" s="10" t="s">
        <v>1584</v>
      </c>
      <c r="E3182" s="9">
        <v>2</v>
      </c>
      <c r="F3182" s="9">
        <v>200</v>
      </c>
      <c r="G3182" s="8">
        <f>F3182/1300</f>
        <v>0.15384615384615385</v>
      </c>
    </row>
    <row r="3183" spans="1:7" ht="16">
      <c r="B3183" s="13"/>
      <c r="C3183" s="11" t="s">
        <v>1596</v>
      </c>
      <c r="D3183" s="10" t="s">
        <v>1384</v>
      </c>
      <c r="E3183" s="9">
        <v>2</v>
      </c>
      <c r="F3183" s="9">
        <v>600</v>
      </c>
      <c r="G3183" s="8">
        <f>F3183/1300</f>
        <v>0.46153846153846156</v>
      </c>
    </row>
    <row r="3184" spans="1:7" ht="16">
      <c r="B3184" s="13"/>
      <c r="C3184" s="11" t="s">
        <v>1602</v>
      </c>
      <c r="D3184" s="10" t="s">
        <v>1380</v>
      </c>
      <c r="E3184" s="9">
        <v>2</v>
      </c>
      <c r="F3184" s="9">
        <v>200</v>
      </c>
      <c r="G3184" s="8">
        <f>F3184/1300</f>
        <v>0.15384615384615385</v>
      </c>
    </row>
    <row r="3185" spans="1:7" ht="16">
      <c r="B3185" s="13"/>
      <c r="C3185" s="11" t="s">
        <v>1588</v>
      </c>
      <c r="D3185" s="10" t="s">
        <v>1587</v>
      </c>
      <c r="E3185" s="9">
        <v>2</v>
      </c>
      <c r="F3185" s="9">
        <v>100</v>
      </c>
      <c r="G3185" s="8">
        <f>F3185/1300</f>
        <v>7.6923076923076927E-2</v>
      </c>
    </row>
    <row r="3186" spans="1:7" ht="16">
      <c r="B3186" s="13"/>
      <c r="C3186" s="11" t="s">
        <v>1590</v>
      </c>
      <c r="D3186" s="10" t="s">
        <v>1589</v>
      </c>
      <c r="E3186" s="9">
        <v>2</v>
      </c>
      <c r="F3186" s="9">
        <v>200</v>
      </c>
      <c r="G3186" s="8">
        <f>F3186/1300</f>
        <v>0.15384615384615385</v>
      </c>
    </row>
    <row r="3187" spans="1:7" ht="16">
      <c r="A3187" s="10" t="s">
        <v>1606</v>
      </c>
      <c r="B3187" s="13">
        <v>5</v>
      </c>
      <c r="C3187" s="11" t="s">
        <v>1585</v>
      </c>
      <c r="D3187" s="10" t="s">
        <v>1584</v>
      </c>
      <c r="E3187" s="9">
        <v>2</v>
      </c>
      <c r="F3187" s="9">
        <v>200</v>
      </c>
      <c r="G3187" s="8">
        <f>F3187/1300</f>
        <v>0.15384615384615385</v>
      </c>
    </row>
    <row r="3188" spans="1:7" ht="16">
      <c r="B3188" s="7"/>
      <c r="C3188" s="11" t="s">
        <v>1596</v>
      </c>
      <c r="D3188" s="10" t="s">
        <v>1384</v>
      </c>
      <c r="E3188" s="9">
        <v>2</v>
      </c>
      <c r="F3188" s="9">
        <v>600</v>
      </c>
      <c r="G3188" s="8">
        <f>F3188/1300</f>
        <v>0.46153846153846156</v>
      </c>
    </row>
    <row r="3189" spans="1:7" ht="16">
      <c r="B3189" s="7"/>
      <c r="C3189" s="11" t="s">
        <v>1595</v>
      </c>
      <c r="D3189" s="10" t="s">
        <v>1378</v>
      </c>
      <c r="E3189" s="9">
        <v>2</v>
      </c>
      <c r="F3189" s="9">
        <v>200</v>
      </c>
      <c r="G3189" s="8">
        <f>F3189/1300</f>
        <v>0.15384615384615385</v>
      </c>
    </row>
    <row r="3190" spans="1:7" ht="16">
      <c r="A3190" s="10"/>
      <c r="B3190" s="13"/>
      <c r="C3190" s="11" t="s">
        <v>1581</v>
      </c>
      <c r="D3190" s="10" t="s">
        <v>1580</v>
      </c>
      <c r="E3190" s="9">
        <v>2</v>
      </c>
      <c r="F3190" s="9">
        <v>100</v>
      </c>
      <c r="G3190" s="8">
        <f>F3190/1300</f>
        <v>7.6923076923076927E-2</v>
      </c>
    </row>
    <row r="3191" spans="1:7" ht="16">
      <c r="A3191" s="10"/>
      <c r="B3191" s="13"/>
      <c r="C3191" s="11" t="s">
        <v>1583</v>
      </c>
      <c r="D3191" s="10" t="s">
        <v>1582</v>
      </c>
      <c r="E3191" s="9">
        <v>2</v>
      </c>
      <c r="F3191" s="9">
        <v>200</v>
      </c>
      <c r="G3191" s="8">
        <f>F3191/1300</f>
        <v>0.15384615384615385</v>
      </c>
    </row>
    <row r="3192" spans="1:7" ht="16">
      <c r="A3192" s="10" t="s">
        <v>1605</v>
      </c>
      <c r="B3192" s="13">
        <v>9</v>
      </c>
      <c r="C3192" s="11" t="s">
        <v>1585</v>
      </c>
      <c r="D3192" s="10" t="s">
        <v>1584</v>
      </c>
      <c r="E3192" s="9">
        <v>2</v>
      </c>
      <c r="F3192" s="9">
        <v>200</v>
      </c>
      <c r="G3192" s="8">
        <f>F3192/1300</f>
        <v>0.15384615384615385</v>
      </c>
    </row>
    <row r="3193" spans="1:7" ht="16">
      <c r="B3193" s="13"/>
      <c r="C3193" s="11" t="s">
        <v>1598</v>
      </c>
      <c r="D3193" s="10" t="s">
        <v>1382</v>
      </c>
      <c r="E3193" s="9">
        <v>1</v>
      </c>
      <c r="F3193" s="9">
        <v>300</v>
      </c>
      <c r="G3193" s="8">
        <f>F3193/1300</f>
        <v>0.23076923076923078</v>
      </c>
    </row>
    <row r="3194" spans="1:7" ht="16">
      <c r="A3194" s="10"/>
      <c r="B3194" s="13"/>
      <c r="C3194" s="11" t="s">
        <v>1595</v>
      </c>
      <c r="D3194" s="10" t="s">
        <v>1378</v>
      </c>
      <c r="E3194" s="9">
        <v>1</v>
      </c>
      <c r="F3194" s="9">
        <v>100</v>
      </c>
      <c r="G3194" s="8">
        <f>F3194/1300</f>
        <v>7.6923076923076927E-2</v>
      </c>
    </row>
    <row r="3195" spans="1:7" ht="16">
      <c r="A3195" s="10"/>
      <c r="B3195" s="13"/>
      <c r="C3195" s="11" t="s">
        <v>1593</v>
      </c>
      <c r="D3195" s="10" t="s">
        <v>1592</v>
      </c>
      <c r="E3195" s="9">
        <v>1</v>
      </c>
      <c r="F3195" s="9">
        <v>50</v>
      </c>
      <c r="G3195" s="8">
        <f>F3195/1300</f>
        <v>3.8461538461538464E-2</v>
      </c>
    </row>
    <row r="3196" spans="1:7" ht="16">
      <c r="A3196" s="10"/>
      <c r="B3196" s="13"/>
      <c r="C3196" s="11" t="s">
        <v>1583</v>
      </c>
      <c r="D3196" s="10" t="s">
        <v>1582</v>
      </c>
      <c r="E3196" s="9">
        <v>1</v>
      </c>
      <c r="F3196" s="9">
        <v>100</v>
      </c>
      <c r="G3196" s="8">
        <f>F3196/1300</f>
        <v>7.6923076923076927E-2</v>
      </c>
    </row>
    <row r="3197" spans="1:7" ht="16">
      <c r="A3197" s="10"/>
      <c r="B3197" s="13"/>
      <c r="C3197" s="11" t="s">
        <v>1596</v>
      </c>
      <c r="D3197" s="10" t="s">
        <v>1384</v>
      </c>
      <c r="E3197" s="9">
        <v>1</v>
      </c>
      <c r="F3197" s="9">
        <v>300</v>
      </c>
      <c r="G3197" s="8">
        <f>F3197/1300</f>
        <v>0.23076923076923078</v>
      </c>
    </row>
    <row r="3198" spans="1:7" ht="16">
      <c r="A3198" s="10"/>
      <c r="B3198" s="13"/>
      <c r="C3198" s="11" t="s">
        <v>1602</v>
      </c>
      <c r="D3198" s="10" t="s">
        <v>1380</v>
      </c>
      <c r="E3198" s="9">
        <v>1</v>
      </c>
      <c r="F3198" s="9">
        <v>100</v>
      </c>
      <c r="G3198" s="8">
        <f>F3198/1300</f>
        <v>7.6923076923076927E-2</v>
      </c>
    </row>
    <row r="3199" spans="1:7" ht="16">
      <c r="A3199" s="10"/>
      <c r="B3199" s="13"/>
      <c r="C3199" s="11" t="s">
        <v>1588</v>
      </c>
      <c r="D3199" s="10" t="s">
        <v>1587</v>
      </c>
      <c r="E3199" s="9">
        <v>1</v>
      </c>
      <c r="F3199" s="9">
        <v>50</v>
      </c>
      <c r="G3199" s="8">
        <f>F3199/1300</f>
        <v>3.8461538461538464E-2</v>
      </c>
    </row>
    <row r="3200" spans="1:7" ht="16">
      <c r="A3200" s="10"/>
      <c r="B3200" s="13"/>
      <c r="C3200" s="11" t="s">
        <v>1590</v>
      </c>
      <c r="D3200" s="10" t="s">
        <v>1589</v>
      </c>
      <c r="E3200" s="9">
        <v>1</v>
      </c>
      <c r="F3200" s="9">
        <v>100</v>
      </c>
      <c r="G3200" s="8">
        <f>F3200/1300</f>
        <v>7.6923076923076927E-2</v>
      </c>
    </row>
    <row r="3201" spans="1:7" ht="16">
      <c r="A3201" s="10" t="s">
        <v>1604</v>
      </c>
      <c r="B3201" s="13">
        <v>8</v>
      </c>
      <c r="C3201" s="11" t="s">
        <v>1585</v>
      </c>
      <c r="D3201" s="10" t="s">
        <v>1584</v>
      </c>
      <c r="E3201" s="9">
        <v>2</v>
      </c>
      <c r="F3201" s="9">
        <v>200</v>
      </c>
      <c r="G3201" s="8">
        <f>F3201/1300</f>
        <v>0.15384615384615385</v>
      </c>
    </row>
    <row r="3202" spans="1:7" ht="16">
      <c r="A3202" s="10"/>
      <c r="B3202" s="13"/>
      <c r="C3202" s="11" t="s">
        <v>1598</v>
      </c>
      <c r="D3202" s="10" t="s">
        <v>1382</v>
      </c>
      <c r="E3202" s="9">
        <v>1</v>
      </c>
      <c r="F3202" s="9">
        <v>300</v>
      </c>
      <c r="G3202" s="8">
        <f>F3202/1300</f>
        <v>0.23076923076923078</v>
      </c>
    </row>
    <row r="3203" spans="1:7" ht="16">
      <c r="A3203" s="10"/>
      <c r="B3203" s="13"/>
      <c r="C3203" s="11" t="s">
        <v>1595</v>
      </c>
      <c r="D3203" s="10" t="s">
        <v>1378</v>
      </c>
      <c r="E3203" s="9">
        <v>1</v>
      </c>
      <c r="F3203" s="9">
        <v>100</v>
      </c>
      <c r="G3203" s="8">
        <f>F3203/1300</f>
        <v>7.6923076923076927E-2</v>
      </c>
    </row>
    <row r="3204" spans="1:7" ht="16">
      <c r="A3204" s="10"/>
      <c r="B3204" s="13"/>
      <c r="C3204" s="11" t="s">
        <v>1593</v>
      </c>
      <c r="D3204" s="10" t="s">
        <v>1592</v>
      </c>
      <c r="E3204" s="9">
        <v>1</v>
      </c>
      <c r="F3204" s="9">
        <v>50</v>
      </c>
      <c r="G3204" s="8">
        <f>F3204/1300</f>
        <v>3.8461538461538464E-2</v>
      </c>
    </row>
    <row r="3205" spans="1:7" ht="16">
      <c r="A3205" s="10"/>
      <c r="B3205" s="13"/>
      <c r="C3205" s="11" t="s">
        <v>1583</v>
      </c>
      <c r="D3205" s="10" t="s">
        <v>1582</v>
      </c>
      <c r="E3205" s="9">
        <v>2</v>
      </c>
      <c r="F3205" s="9">
        <v>200</v>
      </c>
      <c r="G3205" s="8">
        <f>F3205/1300</f>
        <v>0.15384615384615385</v>
      </c>
    </row>
    <row r="3206" spans="1:7" ht="16">
      <c r="A3206" s="10"/>
      <c r="B3206" s="13"/>
      <c r="C3206" s="11" t="s">
        <v>1596</v>
      </c>
      <c r="D3206" s="10" t="s">
        <v>1384</v>
      </c>
      <c r="E3206" s="9">
        <v>1</v>
      </c>
      <c r="F3206" s="9">
        <v>300</v>
      </c>
      <c r="G3206" s="8">
        <f>F3206/1300</f>
        <v>0.23076923076923078</v>
      </c>
    </row>
    <row r="3207" spans="1:7" ht="16">
      <c r="A3207" s="10"/>
      <c r="B3207" s="13"/>
      <c r="C3207" s="11" t="s">
        <v>1595</v>
      </c>
      <c r="D3207" s="10" t="s">
        <v>1378</v>
      </c>
      <c r="E3207" s="9">
        <v>1</v>
      </c>
      <c r="F3207" s="9">
        <v>100</v>
      </c>
      <c r="G3207" s="8">
        <f>F3207/1300</f>
        <v>7.6923076923076927E-2</v>
      </c>
    </row>
    <row r="3208" spans="1:7" ht="16">
      <c r="A3208" s="10"/>
      <c r="B3208" s="13"/>
      <c r="C3208" s="11" t="s">
        <v>1581</v>
      </c>
      <c r="D3208" s="10" t="s">
        <v>1580</v>
      </c>
      <c r="E3208" s="9">
        <v>1</v>
      </c>
      <c r="F3208" s="9">
        <v>50</v>
      </c>
      <c r="G3208" s="8">
        <f>F3208/1300</f>
        <v>3.8461538461538464E-2</v>
      </c>
    </row>
    <row r="3209" spans="1:7" ht="16">
      <c r="A3209" s="10" t="s">
        <v>1603</v>
      </c>
      <c r="B3209" s="13">
        <v>8</v>
      </c>
      <c r="C3209" s="11" t="s">
        <v>1585</v>
      </c>
      <c r="D3209" s="10" t="s">
        <v>1584</v>
      </c>
      <c r="E3209" s="9">
        <v>2</v>
      </c>
      <c r="F3209" s="9">
        <v>200</v>
      </c>
      <c r="G3209" s="8">
        <f>F3209/1300</f>
        <v>0.15384615384615385</v>
      </c>
    </row>
    <row r="3210" spans="1:7" ht="16">
      <c r="A3210" s="10"/>
      <c r="B3210" s="13"/>
      <c r="C3210" s="11" t="s">
        <v>1596</v>
      </c>
      <c r="D3210" s="10" t="s">
        <v>1384</v>
      </c>
      <c r="E3210" s="9">
        <v>2</v>
      </c>
      <c r="F3210" s="9">
        <v>600</v>
      </c>
      <c r="G3210" s="8">
        <f>F3210/1300</f>
        <v>0.46153846153846156</v>
      </c>
    </row>
    <row r="3211" spans="1:7" ht="16">
      <c r="A3211" s="10"/>
      <c r="B3211" s="13"/>
      <c r="C3211" s="11" t="s">
        <v>1602</v>
      </c>
      <c r="D3211" s="10" t="s">
        <v>1380</v>
      </c>
      <c r="E3211" s="9">
        <v>1</v>
      </c>
      <c r="F3211" s="9">
        <v>100</v>
      </c>
      <c r="G3211" s="8">
        <f>F3211/1300</f>
        <v>7.6923076923076927E-2</v>
      </c>
    </row>
    <row r="3212" spans="1:7" ht="16">
      <c r="A3212" s="10"/>
      <c r="B3212" s="13"/>
      <c r="C3212" s="11" t="s">
        <v>1588</v>
      </c>
      <c r="D3212" s="10" t="s">
        <v>1587</v>
      </c>
      <c r="E3212" s="9">
        <v>1</v>
      </c>
      <c r="F3212" s="9">
        <v>50</v>
      </c>
      <c r="G3212" s="8">
        <f>F3212/1300</f>
        <v>3.8461538461538464E-2</v>
      </c>
    </row>
    <row r="3213" spans="1:7" ht="16">
      <c r="A3213" s="10"/>
      <c r="B3213" s="13"/>
      <c r="C3213" s="11" t="s">
        <v>1590</v>
      </c>
      <c r="D3213" s="10" t="s">
        <v>1589</v>
      </c>
      <c r="E3213" s="9">
        <v>1</v>
      </c>
      <c r="F3213" s="9">
        <v>100</v>
      </c>
      <c r="G3213" s="8">
        <f>F3213/1300</f>
        <v>7.6923076923076927E-2</v>
      </c>
    </row>
    <row r="3214" spans="1:7" ht="16">
      <c r="A3214" s="10"/>
      <c r="B3214" s="13"/>
      <c r="C3214" s="11" t="s">
        <v>1595</v>
      </c>
      <c r="D3214" s="10" t="s">
        <v>1378</v>
      </c>
      <c r="E3214" s="9">
        <v>1</v>
      </c>
      <c r="F3214" s="9">
        <v>100</v>
      </c>
      <c r="G3214" s="8">
        <f>F3214/1300</f>
        <v>7.6923076923076927E-2</v>
      </c>
    </row>
    <row r="3215" spans="1:7" ht="16">
      <c r="A3215" s="10"/>
      <c r="B3215" s="13"/>
      <c r="C3215" s="11" t="s">
        <v>1581</v>
      </c>
      <c r="D3215" s="10" t="s">
        <v>1580</v>
      </c>
      <c r="E3215" s="9">
        <v>1</v>
      </c>
      <c r="F3215" s="9">
        <v>50</v>
      </c>
      <c r="G3215" s="8">
        <f>F3215/1300</f>
        <v>3.8461538461538464E-2</v>
      </c>
    </row>
    <row r="3216" spans="1:7" ht="16">
      <c r="A3216" s="10"/>
      <c r="B3216" s="13"/>
      <c r="C3216" s="11" t="s">
        <v>1583</v>
      </c>
      <c r="D3216" s="10" t="s">
        <v>1582</v>
      </c>
      <c r="E3216" s="9">
        <v>1</v>
      </c>
      <c r="F3216" s="9">
        <v>100</v>
      </c>
      <c r="G3216" s="8">
        <f>F3216/1300</f>
        <v>7.6923076923076927E-2</v>
      </c>
    </row>
    <row r="3217" spans="1:7" ht="16">
      <c r="A3217" s="10" t="s">
        <v>1601</v>
      </c>
      <c r="B3217" s="13">
        <v>5</v>
      </c>
      <c r="C3217" s="11" t="s">
        <v>1585</v>
      </c>
      <c r="D3217" s="10" t="s">
        <v>1584</v>
      </c>
      <c r="E3217" s="9">
        <v>1</v>
      </c>
      <c r="F3217" s="9">
        <v>100</v>
      </c>
      <c r="G3217" s="8">
        <f>F3217/690</f>
        <v>0.14492753623188406</v>
      </c>
    </row>
    <row r="3218" spans="1:7" ht="16">
      <c r="B3218" s="13"/>
      <c r="C3218" s="11" t="s">
        <v>1596</v>
      </c>
      <c r="D3218" s="10" t="s">
        <v>1384</v>
      </c>
      <c r="E3218" s="9">
        <v>1</v>
      </c>
      <c r="F3218" s="9">
        <v>320</v>
      </c>
      <c r="G3218" s="8">
        <f>F3218/690</f>
        <v>0.46376811594202899</v>
      </c>
    </row>
    <row r="3219" spans="1:7" ht="16">
      <c r="B3219" s="13"/>
      <c r="C3219" s="11" t="s">
        <v>1595</v>
      </c>
      <c r="D3219" s="10" t="s">
        <v>1378</v>
      </c>
      <c r="E3219" s="9">
        <v>1</v>
      </c>
      <c r="F3219" s="9">
        <v>120</v>
      </c>
      <c r="G3219" s="8">
        <f>F3219/690</f>
        <v>0.17391304347826086</v>
      </c>
    </row>
    <row r="3220" spans="1:7" ht="16">
      <c r="B3220" s="13"/>
      <c r="C3220" s="11" t="s">
        <v>1588</v>
      </c>
      <c r="D3220" s="10" t="s">
        <v>1587</v>
      </c>
      <c r="E3220" s="9">
        <v>1</v>
      </c>
      <c r="F3220" s="9">
        <v>50</v>
      </c>
      <c r="G3220" s="8">
        <f>F3220/690</f>
        <v>7.2463768115942032E-2</v>
      </c>
    </row>
    <row r="3221" spans="1:7" ht="16">
      <c r="A3221" s="10"/>
      <c r="B3221" s="13"/>
      <c r="C3221" s="11" t="s">
        <v>1590</v>
      </c>
      <c r="D3221" s="10" t="s">
        <v>1589</v>
      </c>
      <c r="E3221" s="9">
        <v>1</v>
      </c>
      <c r="F3221" s="9">
        <v>100</v>
      </c>
      <c r="G3221" s="8">
        <f>F3221/690</f>
        <v>0.14492753623188406</v>
      </c>
    </row>
    <row r="3222" spans="1:7" ht="16">
      <c r="A3222" s="10" t="s">
        <v>1600</v>
      </c>
      <c r="B3222" s="13">
        <v>5</v>
      </c>
      <c r="C3222" s="11" t="s">
        <v>1585</v>
      </c>
      <c r="D3222" s="10" t="s">
        <v>1584</v>
      </c>
      <c r="E3222" s="9">
        <v>2</v>
      </c>
      <c r="F3222" s="9">
        <v>200</v>
      </c>
      <c r="G3222" s="8">
        <f>F3222/1300</f>
        <v>0.15384615384615385</v>
      </c>
    </row>
    <row r="3223" spans="1:7" ht="16">
      <c r="B3223" s="13"/>
      <c r="C3223" s="11" t="s">
        <v>1596</v>
      </c>
      <c r="D3223" s="10" t="s">
        <v>1384</v>
      </c>
      <c r="E3223" s="9">
        <v>2</v>
      </c>
      <c r="F3223" s="9">
        <v>600</v>
      </c>
      <c r="G3223" s="8">
        <f>F3223/1300</f>
        <v>0.46153846153846156</v>
      </c>
    </row>
    <row r="3224" spans="1:7" ht="16">
      <c r="B3224" s="13"/>
      <c r="C3224" s="11" t="s">
        <v>1595</v>
      </c>
      <c r="D3224" s="10" t="s">
        <v>1378</v>
      </c>
      <c r="E3224" s="9">
        <v>2</v>
      </c>
      <c r="F3224" s="9">
        <v>200</v>
      </c>
      <c r="G3224" s="8">
        <f>F3224/1300</f>
        <v>0.15384615384615385</v>
      </c>
    </row>
    <row r="3225" spans="1:7" ht="16">
      <c r="A3225" s="10"/>
      <c r="B3225" s="13"/>
      <c r="C3225" s="11" t="s">
        <v>1588</v>
      </c>
      <c r="D3225" s="10" t="s">
        <v>1587</v>
      </c>
      <c r="E3225" s="9">
        <v>2</v>
      </c>
      <c r="F3225" s="9">
        <v>100</v>
      </c>
      <c r="G3225" s="8">
        <f>F3225/1300</f>
        <v>7.6923076923076927E-2</v>
      </c>
    </row>
    <row r="3226" spans="1:7" ht="16">
      <c r="A3226" s="10"/>
      <c r="B3226" s="13"/>
      <c r="C3226" s="11" t="s">
        <v>1590</v>
      </c>
      <c r="D3226" s="10" t="s">
        <v>1589</v>
      </c>
      <c r="E3226" s="9">
        <v>2</v>
      </c>
      <c r="F3226" s="9">
        <v>200</v>
      </c>
      <c r="G3226" s="8">
        <f>F3226/1300</f>
        <v>0.15384615384615385</v>
      </c>
    </row>
    <row r="3227" spans="1:7" ht="16">
      <c r="A3227" s="10" t="s">
        <v>1599</v>
      </c>
      <c r="B3227" s="13">
        <v>8</v>
      </c>
      <c r="C3227" s="11" t="s">
        <v>1585</v>
      </c>
      <c r="D3227" s="10" t="s">
        <v>1584</v>
      </c>
      <c r="E3227" s="9">
        <v>2</v>
      </c>
      <c r="F3227" s="9">
        <v>200</v>
      </c>
      <c r="G3227" s="8">
        <f>F3227/1300</f>
        <v>0.15384615384615385</v>
      </c>
    </row>
    <row r="3228" spans="1:7" ht="16">
      <c r="B3228" s="13"/>
      <c r="C3228" s="11" t="s">
        <v>1598</v>
      </c>
      <c r="D3228" s="10" t="s">
        <v>1382</v>
      </c>
      <c r="E3228" s="9">
        <v>1</v>
      </c>
      <c r="F3228" s="9">
        <v>300</v>
      </c>
      <c r="G3228" s="8">
        <f>F3228/1300</f>
        <v>0.23076923076923078</v>
      </c>
    </row>
    <row r="3229" spans="1:7" ht="16">
      <c r="A3229" s="10"/>
      <c r="B3229" s="13"/>
      <c r="C3229" s="11" t="s">
        <v>1595</v>
      </c>
      <c r="D3229" s="10" t="s">
        <v>1378</v>
      </c>
      <c r="E3229" s="9">
        <v>2</v>
      </c>
      <c r="F3229" s="9">
        <v>200</v>
      </c>
      <c r="G3229" s="8">
        <f>F3229/1300</f>
        <v>0.15384615384615385</v>
      </c>
    </row>
    <row r="3230" spans="1:7" ht="16">
      <c r="A3230" s="10"/>
      <c r="B3230" s="13"/>
      <c r="C3230" s="11" t="s">
        <v>1593</v>
      </c>
      <c r="D3230" s="10" t="s">
        <v>1592</v>
      </c>
      <c r="E3230" s="9">
        <v>1</v>
      </c>
      <c r="F3230" s="9">
        <v>50</v>
      </c>
      <c r="G3230" s="8">
        <f>F3230/1300</f>
        <v>3.8461538461538464E-2</v>
      </c>
    </row>
    <row r="3231" spans="1:7" ht="16">
      <c r="A3231" s="10"/>
      <c r="B3231" s="13"/>
      <c r="C3231" s="11" t="s">
        <v>1583</v>
      </c>
      <c r="D3231" s="10" t="s">
        <v>1582</v>
      </c>
      <c r="E3231" s="9">
        <v>1</v>
      </c>
      <c r="F3231" s="9">
        <v>100</v>
      </c>
      <c r="G3231" s="8">
        <f>F3231/1300</f>
        <v>7.6923076923076927E-2</v>
      </c>
    </row>
    <row r="3232" spans="1:7" ht="16">
      <c r="A3232" s="10"/>
      <c r="B3232" s="13"/>
      <c r="C3232" s="11" t="s">
        <v>1596</v>
      </c>
      <c r="D3232" s="10" t="s">
        <v>1384</v>
      </c>
      <c r="E3232" s="9">
        <v>1</v>
      </c>
      <c r="F3232" s="9">
        <v>300</v>
      </c>
      <c r="G3232" s="8">
        <f>F3232/1300</f>
        <v>0.23076923076923078</v>
      </c>
    </row>
    <row r="3233" spans="1:7" ht="16">
      <c r="A3233" s="10"/>
      <c r="B3233" s="13"/>
      <c r="C3233" s="11" t="s">
        <v>1588</v>
      </c>
      <c r="D3233" s="10" t="s">
        <v>1587</v>
      </c>
      <c r="E3233" s="9">
        <v>1</v>
      </c>
      <c r="F3233" s="9">
        <v>50</v>
      </c>
      <c r="G3233" s="8">
        <f>F3233/1300</f>
        <v>3.8461538461538464E-2</v>
      </c>
    </row>
    <row r="3234" spans="1:7" ht="16">
      <c r="A3234" s="10"/>
      <c r="B3234" s="13"/>
      <c r="C3234" s="11" t="s">
        <v>1590</v>
      </c>
      <c r="D3234" s="10" t="s">
        <v>1589</v>
      </c>
      <c r="E3234" s="9">
        <v>1</v>
      </c>
      <c r="F3234" s="9">
        <v>100</v>
      </c>
      <c r="G3234" s="8">
        <f>F3234/1300</f>
        <v>7.6923076923076927E-2</v>
      </c>
    </row>
    <row r="3235" spans="1:7" ht="16">
      <c r="A3235" s="10" t="s">
        <v>1597</v>
      </c>
      <c r="B3235" s="13">
        <v>7</v>
      </c>
      <c r="C3235" s="11" t="s">
        <v>1585</v>
      </c>
      <c r="D3235" s="10" t="s">
        <v>1584</v>
      </c>
      <c r="E3235" s="9">
        <v>2</v>
      </c>
      <c r="F3235" s="9">
        <v>200</v>
      </c>
      <c r="G3235" s="8">
        <f>F3235/1300</f>
        <v>0.15384615384615385</v>
      </c>
    </row>
    <row r="3236" spans="1:7" ht="16">
      <c r="A3236" s="10"/>
      <c r="B3236" s="13"/>
      <c r="C3236" s="11" t="s">
        <v>1596</v>
      </c>
      <c r="D3236" s="10" t="s">
        <v>1384</v>
      </c>
      <c r="E3236" s="9">
        <v>2</v>
      </c>
      <c r="F3236" s="9">
        <v>600</v>
      </c>
      <c r="G3236" s="8">
        <f>F3236/1300</f>
        <v>0.46153846153846156</v>
      </c>
    </row>
    <row r="3237" spans="1:7" ht="16">
      <c r="A3237" s="10"/>
      <c r="B3237" s="13"/>
      <c r="C3237" s="11" t="s">
        <v>1588</v>
      </c>
      <c r="D3237" s="10" t="s">
        <v>1587</v>
      </c>
      <c r="E3237" s="9">
        <v>1</v>
      </c>
      <c r="F3237" s="9">
        <v>50</v>
      </c>
      <c r="G3237" s="8">
        <f>F3237/1300</f>
        <v>3.8461538461538464E-2</v>
      </c>
    </row>
    <row r="3238" spans="1:7" ht="16">
      <c r="A3238" s="10"/>
      <c r="B3238" s="13"/>
      <c r="C3238" s="11" t="s">
        <v>1590</v>
      </c>
      <c r="D3238" s="10" t="s">
        <v>1589</v>
      </c>
      <c r="E3238" s="9">
        <v>1</v>
      </c>
      <c r="F3238" s="9">
        <v>100</v>
      </c>
      <c r="G3238" s="8">
        <f>F3238/1300</f>
        <v>7.6923076923076927E-2</v>
      </c>
    </row>
    <row r="3239" spans="1:7" ht="16">
      <c r="A3239" s="10"/>
      <c r="B3239" s="13"/>
      <c r="C3239" s="11" t="s">
        <v>1595</v>
      </c>
      <c r="D3239" s="10" t="s">
        <v>1378</v>
      </c>
      <c r="E3239" s="9">
        <v>2</v>
      </c>
      <c r="F3239" s="9">
        <v>200</v>
      </c>
      <c r="G3239" s="8">
        <f>F3239/1300</f>
        <v>0.15384615384615385</v>
      </c>
    </row>
    <row r="3240" spans="1:7" ht="16">
      <c r="A3240" s="10"/>
      <c r="B3240" s="13"/>
      <c r="C3240" s="11" t="s">
        <v>1581</v>
      </c>
      <c r="D3240" s="10" t="s">
        <v>1580</v>
      </c>
      <c r="E3240" s="9">
        <v>1</v>
      </c>
      <c r="F3240" s="9">
        <v>50</v>
      </c>
      <c r="G3240" s="8">
        <f>F3240/1300</f>
        <v>3.8461538461538464E-2</v>
      </c>
    </row>
    <row r="3241" spans="1:7" ht="16">
      <c r="A3241" s="10"/>
      <c r="B3241" s="13"/>
      <c r="C3241" s="11" t="s">
        <v>1583</v>
      </c>
      <c r="D3241" s="10" t="s">
        <v>1582</v>
      </c>
      <c r="E3241" s="9">
        <v>1</v>
      </c>
      <c r="F3241" s="9">
        <v>100</v>
      </c>
      <c r="G3241" s="8">
        <f>F3241/1300</f>
        <v>7.6923076923076927E-2</v>
      </c>
    </row>
    <row r="3242" spans="1:7" ht="16">
      <c r="A3242" s="10" t="s">
        <v>1594</v>
      </c>
      <c r="B3242" s="13">
        <v>5</v>
      </c>
      <c r="C3242" s="11" t="s">
        <v>1585</v>
      </c>
      <c r="D3242" s="10" t="s">
        <v>1584</v>
      </c>
      <c r="E3242" s="9">
        <v>1</v>
      </c>
      <c r="F3242" s="9">
        <v>100</v>
      </c>
      <c r="G3242" s="8">
        <f>F3242/690</f>
        <v>0.14492753623188406</v>
      </c>
    </row>
    <row r="3243" spans="1:7" ht="16">
      <c r="A3243" s="10"/>
      <c r="B3243" s="13"/>
      <c r="C3243" s="11" t="s">
        <v>1583</v>
      </c>
      <c r="D3243" s="10" t="s">
        <v>1582</v>
      </c>
      <c r="E3243" s="9">
        <v>1</v>
      </c>
      <c r="F3243" s="9">
        <v>100</v>
      </c>
      <c r="G3243" s="8">
        <f>F3243/690</f>
        <v>0.14492753623188406</v>
      </c>
    </row>
    <row r="3244" spans="1:7" ht="16">
      <c r="A3244" s="10"/>
      <c r="B3244" s="13"/>
      <c r="C3244" s="11" t="s">
        <v>1593</v>
      </c>
      <c r="D3244" s="10" t="s">
        <v>1592</v>
      </c>
      <c r="E3244" s="9">
        <v>1</v>
      </c>
      <c r="F3244" s="9">
        <v>50</v>
      </c>
      <c r="G3244" s="8">
        <f>F3244/690</f>
        <v>7.2463768115942032E-2</v>
      </c>
    </row>
    <row r="3245" spans="1:7" ht="16">
      <c r="A3245" s="10"/>
      <c r="B3245" s="13"/>
      <c r="C3245" s="11">
        <v>4714781020800</v>
      </c>
      <c r="D3245" s="10" t="s">
        <v>1319</v>
      </c>
      <c r="E3245" s="9">
        <v>1</v>
      </c>
      <c r="F3245" s="9">
        <v>120</v>
      </c>
      <c r="G3245" s="8">
        <f>F3245/690</f>
        <v>0.17391304347826086</v>
      </c>
    </row>
    <row r="3246" spans="1:7" ht="16">
      <c r="A3246" s="10"/>
      <c r="B3246" s="13"/>
      <c r="C3246" s="11">
        <v>4714781020824</v>
      </c>
      <c r="D3246" s="10" t="s">
        <v>1391</v>
      </c>
      <c r="E3246" s="9">
        <v>1</v>
      </c>
      <c r="F3246" s="9">
        <v>320</v>
      </c>
      <c r="G3246" s="8">
        <f>F3246/690</f>
        <v>0.46376811594202899</v>
      </c>
    </row>
    <row r="3247" spans="1:7" ht="16">
      <c r="A3247" s="10" t="s">
        <v>1591</v>
      </c>
      <c r="B3247" s="13">
        <v>5</v>
      </c>
      <c r="C3247" s="11" t="s">
        <v>1585</v>
      </c>
      <c r="D3247" s="10" t="s">
        <v>1584</v>
      </c>
      <c r="E3247" s="9">
        <v>1</v>
      </c>
      <c r="F3247" s="9">
        <v>100</v>
      </c>
      <c r="G3247" s="8">
        <f>F3247/690</f>
        <v>0.14492753623188406</v>
      </c>
    </row>
    <row r="3248" spans="1:7" ht="16">
      <c r="A3248" s="10"/>
      <c r="B3248" s="13"/>
      <c r="C3248" s="11" t="s">
        <v>1590</v>
      </c>
      <c r="D3248" s="10" t="s">
        <v>1589</v>
      </c>
      <c r="E3248" s="9">
        <v>1</v>
      </c>
      <c r="F3248" s="9">
        <v>100</v>
      </c>
      <c r="G3248" s="8">
        <f>F3248/1300</f>
        <v>7.6923076923076927E-2</v>
      </c>
    </row>
    <row r="3249" spans="1:7" ht="16">
      <c r="A3249" s="10"/>
      <c r="B3249" s="13"/>
      <c r="C3249" s="11" t="s">
        <v>1588</v>
      </c>
      <c r="D3249" s="10" t="s">
        <v>1587</v>
      </c>
      <c r="E3249" s="9">
        <v>1</v>
      </c>
      <c r="F3249" s="9">
        <v>50</v>
      </c>
      <c r="G3249" s="8">
        <f>F3249/1300</f>
        <v>3.8461538461538464E-2</v>
      </c>
    </row>
    <row r="3250" spans="1:7" ht="16">
      <c r="A3250" s="10"/>
      <c r="B3250" s="13"/>
      <c r="C3250" s="11">
        <v>4714781020817</v>
      </c>
      <c r="D3250" s="10" t="s">
        <v>1317</v>
      </c>
      <c r="E3250" s="9">
        <v>1</v>
      </c>
      <c r="F3250" s="9">
        <v>120</v>
      </c>
      <c r="G3250" s="8">
        <f>F3250/690</f>
        <v>0.17391304347826086</v>
      </c>
    </row>
    <row r="3251" spans="1:7" ht="16">
      <c r="A3251" s="10"/>
      <c r="B3251" s="13"/>
      <c r="C3251" s="11" t="s">
        <v>1579</v>
      </c>
      <c r="D3251" s="10" t="s">
        <v>1389</v>
      </c>
      <c r="E3251" s="9">
        <v>1</v>
      </c>
      <c r="F3251" s="9">
        <v>320</v>
      </c>
      <c r="G3251" s="8">
        <f>F3251/690</f>
        <v>0.46376811594202899</v>
      </c>
    </row>
    <row r="3252" spans="1:7" ht="16">
      <c r="A3252" s="10" t="s">
        <v>1586</v>
      </c>
      <c r="B3252" s="13">
        <v>5</v>
      </c>
      <c r="C3252" s="11" t="s">
        <v>1585</v>
      </c>
      <c r="D3252" s="10" t="s">
        <v>1584</v>
      </c>
      <c r="E3252" s="9">
        <v>1</v>
      </c>
      <c r="F3252" s="9">
        <v>100</v>
      </c>
      <c r="G3252" s="8">
        <f>F3252/690</f>
        <v>0.14492753623188406</v>
      </c>
    </row>
    <row r="3253" spans="1:7" ht="16">
      <c r="A3253" s="10"/>
      <c r="B3253" s="13"/>
      <c r="C3253" s="11" t="s">
        <v>1583</v>
      </c>
      <c r="D3253" s="10" t="s">
        <v>1582</v>
      </c>
      <c r="E3253" s="9">
        <v>1</v>
      </c>
      <c r="F3253" s="9">
        <v>100</v>
      </c>
      <c r="G3253" s="8">
        <f>F3253/690</f>
        <v>0.14492753623188406</v>
      </c>
    </row>
    <row r="3254" spans="1:7" ht="16">
      <c r="A3254" s="10"/>
      <c r="B3254" s="13"/>
      <c r="C3254" s="11" t="s">
        <v>1581</v>
      </c>
      <c r="D3254" s="10" t="s">
        <v>1580</v>
      </c>
      <c r="E3254" s="9">
        <v>1</v>
      </c>
      <c r="F3254" s="9">
        <v>50</v>
      </c>
      <c r="G3254" s="8">
        <f>F3254/690</f>
        <v>7.2463768115942032E-2</v>
      </c>
    </row>
    <row r="3255" spans="1:7" ht="16">
      <c r="A3255" s="10"/>
      <c r="B3255" s="13"/>
      <c r="C3255" s="11">
        <v>4714781020817</v>
      </c>
      <c r="D3255" s="10" t="s">
        <v>1317</v>
      </c>
      <c r="E3255" s="9">
        <v>1</v>
      </c>
      <c r="F3255" s="9">
        <v>120</v>
      </c>
      <c r="G3255" s="8">
        <f>F3255/690</f>
        <v>0.17391304347826086</v>
      </c>
    </row>
    <row r="3256" spans="1:7" ht="16">
      <c r="A3256" s="10"/>
      <c r="B3256" s="13"/>
      <c r="C3256" s="11" t="s">
        <v>1579</v>
      </c>
      <c r="D3256" s="10" t="s">
        <v>1389</v>
      </c>
      <c r="E3256" s="9">
        <v>1</v>
      </c>
      <c r="F3256" s="9">
        <v>320</v>
      </c>
      <c r="G3256" s="8">
        <f>F3256/690</f>
        <v>0.46376811594202899</v>
      </c>
    </row>
    <row r="3257" spans="1:7" ht="16">
      <c r="A3257" s="10" t="s">
        <v>44</v>
      </c>
      <c r="B3257" s="13">
        <v>2</v>
      </c>
      <c r="C3257" s="11" t="s">
        <v>1512</v>
      </c>
      <c r="D3257" s="10" t="s">
        <v>1511</v>
      </c>
      <c r="E3257" s="9">
        <v>1</v>
      </c>
      <c r="F3257" s="9">
        <v>168</v>
      </c>
      <c r="G3257" s="8">
        <v>0.23076923076923078</v>
      </c>
    </row>
    <row r="3258" spans="1:7" ht="16">
      <c r="A3258" s="12"/>
      <c r="B3258" s="7"/>
      <c r="C3258" s="11" t="s">
        <v>1510</v>
      </c>
      <c r="D3258" s="10" t="s">
        <v>1509</v>
      </c>
      <c r="E3258" s="9">
        <v>2</v>
      </c>
      <c r="F3258" s="9">
        <v>560</v>
      </c>
      <c r="G3258" s="8">
        <v>0.76923076923076927</v>
      </c>
    </row>
    <row r="3259" spans="1:7" ht="16">
      <c r="A3259" s="10" t="s">
        <v>1578</v>
      </c>
      <c r="B3259" s="13">
        <v>2</v>
      </c>
      <c r="C3259" s="11" t="s">
        <v>1512</v>
      </c>
      <c r="D3259" s="10" t="s">
        <v>1511</v>
      </c>
      <c r="E3259" s="9">
        <v>1</v>
      </c>
      <c r="F3259" s="9">
        <v>168</v>
      </c>
      <c r="G3259" s="8">
        <v>0.23076923076923078</v>
      </c>
    </row>
    <row r="3260" spans="1:7" ht="16">
      <c r="A3260" s="12"/>
      <c r="B3260" s="7"/>
      <c r="C3260" s="11" t="s">
        <v>1506</v>
      </c>
      <c r="D3260" s="10" t="s">
        <v>1505</v>
      </c>
      <c r="E3260" s="9">
        <v>2</v>
      </c>
      <c r="F3260" s="9">
        <v>560</v>
      </c>
      <c r="G3260" s="8">
        <v>0.76923076923076927</v>
      </c>
    </row>
    <row r="3261" spans="1:7" ht="16">
      <c r="A3261" s="10" t="s">
        <v>1577</v>
      </c>
      <c r="B3261" s="13">
        <v>2</v>
      </c>
      <c r="C3261" s="11" t="s">
        <v>1512</v>
      </c>
      <c r="D3261" s="10" t="s">
        <v>1511</v>
      </c>
      <c r="E3261" s="9">
        <v>1</v>
      </c>
      <c r="F3261" s="9">
        <v>168</v>
      </c>
      <c r="G3261" s="8">
        <f>F3261/728</f>
        <v>0.23076923076923078</v>
      </c>
    </row>
    <row r="3262" spans="1:7" ht="16">
      <c r="A3262" s="12"/>
      <c r="B3262" s="7"/>
      <c r="C3262" s="11" t="s">
        <v>1508</v>
      </c>
      <c r="D3262" s="10" t="s">
        <v>1507</v>
      </c>
      <c r="E3262" s="9">
        <v>2</v>
      </c>
      <c r="F3262" s="9">
        <v>560</v>
      </c>
      <c r="G3262" s="8">
        <f>F3262/728</f>
        <v>0.76923076923076927</v>
      </c>
    </row>
    <row r="3263" spans="1:7" ht="16">
      <c r="A3263" s="10" t="s">
        <v>1576</v>
      </c>
      <c r="B3263" s="13">
        <v>2</v>
      </c>
      <c r="C3263" s="11" t="s">
        <v>1512</v>
      </c>
      <c r="D3263" s="10" t="s">
        <v>1511</v>
      </c>
      <c r="E3263" s="9">
        <v>1</v>
      </c>
      <c r="F3263" s="9">
        <v>168</v>
      </c>
      <c r="G3263" s="8">
        <f>F3263/728</f>
        <v>0.23076923076923078</v>
      </c>
    </row>
    <row r="3264" spans="1:7" ht="16">
      <c r="A3264" s="12"/>
      <c r="B3264" s="7"/>
      <c r="C3264" s="11" t="s">
        <v>1531</v>
      </c>
      <c r="D3264" s="10" t="s">
        <v>1530</v>
      </c>
      <c r="E3264" s="9">
        <v>2</v>
      </c>
      <c r="F3264" s="9">
        <v>560</v>
      </c>
      <c r="G3264" s="8">
        <f>F3264/728</f>
        <v>0.76923076923076927</v>
      </c>
    </row>
    <row r="3265" spans="1:7" ht="16">
      <c r="A3265" s="10" t="s">
        <v>1575</v>
      </c>
      <c r="B3265" s="13">
        <v>2</v>
      </c>
      <c r="C3265" s="11" t="s">
        <v>1512</v>
      </c>
      <c r="D3265" s="10" t="s">
        <v>1511</v>
      </c>
      <c r="E3265" s="9">
        <v>1</v>
      </c>
      <c r="F3265" s="9">
        <v>168</v>
      </c>
      <c r="G3265" s="8">
        <f>F3265/728</f>
        <v>0.23076923076923078</v>
      </c>
    </row>
    <row r="3266" spans="1:7" ht="16">
      <c r="A3266" s="12"/>
      <c r="B3266" s="7"/>
      <c r="C3266" s="11" t="s">
        <v>1526</v>
      </c>
      <c r="D3266" s="10" t="s">
        <v>1525</v>
      </c>
      <c r="E3266" s="9">
        <v>2</v>
      </c>
      <c r="F3266" s="9">
        <v>560</v>
      </c>
      <c r="G3266" s="8">
        <f>F3266/728</f>
        <v>0.76923076923076927</v>
      </c>
    </row>
    <row r="3267" spans="1:7" ht="16">
      <c r="A3267" s="10" t="s">
        <v>1574</v>
      </c>
      <c r="B3267" s="13">
        <v>3</v>
      </c>
      <c r="C3267" s="11" t="s">
        <v>1512</v>
      </c>
      <c r="D3267" s="10" t="s">
        <v>1511</v>
      </c>
      <c r="E3267" s="9">
        <v>1</v>
      </c>
      <c r="F3267" s="9">
        <v>168</v>
      </c>
      <c r="G3267" s="8">
        <f>F3267/728</f>
        <v>0.23076923076923078</v>
      </c>
    </row>
    <row r="3268" spans="1:7" ht="16">
      <c r="A3268" s="12"/>
      <c r="B3268" s="7"/>
      <c r="C3268" s="11" t="s">
        <v>1531</v>
      </c>
      <c r="D3268" s="10" t="s">
        <v>1530</v>
      </c>
      <c r="E3268" s="9">
        <v>1</v>
      </c>
      <c r="F3268" s="9">
        <v>280</v>
      </c>
      <c r="G3268" s="8">
        <f>F3268/728</f>
        <v>0.38461538461538464</v>
      </c>
    </row>
    <row r="3269" spans="1:7" ht="16">
      <c r="A3269" s="12"/>
      <c r="B3269" s="7"/>
      <c r="C3269" s="11" t="s">
        <v>1526</v>
      </c>
      <c r="D3269" s="10" t="s">
        <v>1525</v>
      </c>
      <c r="E3269" s="9">
        <v>1</v>
      </c>
      <c r="F3269" s="9">
        <v>280</v>
      </c>
      <c r="G3269" s="8">
        <f>F3269/728</f>
        <v>0.38461538461538464</v>
      </c>
    </row>
    <row r="3270" spans="1:7" ht="16">
      <c r="A3270" s="10" t="s">
        <v>1573</v>
      </c>
      <c r="B3270" s="13">
        <v>3</v>
      </c>
      <c r="C3270" s="11" t="s">
        <v>1512</v>
      </c>
      <c r="D3270" s="10" t="s">
        <v>1511</v>
      </c>
      <c r="E3270" s="9">
        <v>1</v>
      </c>
      <c r="F3270" s="9">
        <v>168</v>
      </c>
      <c r="G3270" s="8">
        <f>F3270/728</f>
        <v>0.23076923076923078</v>
      </c>
    </row>
    <row r="3271" spans="1:7" ht="16">
      <c r="A3271" s="12"/>
      <c r="B3271" s="7"/>
      <c r="C3271" s="11" t="s">
        <v>1531</v>
      </c>
      <c r="D3271" s="10" t="s">
        <v>1530</v>
      </c>
      <c r="E3271" s="9">
        <v>1</v>
      </c>
      <c r="F3271" s="9">
        <v>280</v>
      </c>
      <c r="G3271" s="8">
        <f>F3271/728</f>
        <v>0.38461538461538464</v>
      </c>
    </row>
    <row r="3272" spans="1:7" ht="16">
      <c r="A3272" s="12"/>
      <c r="B3272" s="7"/>
      <c r="C3272" s="11" t="s">
        <v>1510</v>
      </c>
      <c r="D3272" s="10" t="s">
        <v>1509</v>
      </c>
      <c r="E3272" s="9">
        <v>1</v>
      </c>
      <c r="F3272" s="9">
        <v>280</v>
      </c>
      <c r="G3272" s="8">
        <f>F3272/728</f>
        <v>0.38461538461538464</v>
      </c>
    </row>
    <row r="3273" spans="1:7" ht="16">
      <c r="A3273" s="10" t="s">
        <v>1134</v>
      </c>
      <c r="B3273" s="13">
        <v>3</v>
      </c>
      <c r="C3273" s="11" t="s">
        <v>1512</v>
      </c>
      <c r="D3273" s="10" t="s">
        <v>1511</v>
      </c>
      <c r="E3273" s="9">
        <v>1</v>
      </c>
      <c r="F3273" s="9">
        <v>168</v>
      </c>
      <c r="G3273" s="8">
        <f>F3273/728</f>
        <v>0.23076923076923078</v>
      </c>
    </row>
    <row r="3274" spans="1:7" ht="16">
      <c r="A3274" s="12"/>
      <c r="B3274" s="7"/>
      <c r="C3274" s="11" t="s">
        <v>1531</v>
      </c>
      <c r="D3274" s="10" t="s">
        <v>1530</v>
      </c>
      <c r="E3274" s="9">
        <v>1</v>
      </c>
      <c r="F3274" s="9">
        <v>280</v>
      </c>
      <c r="G3274" s="8">
        <f>F3274/728</f>
        <v>0.38461538461538464</v>
      </c>
    </row>
    <row r="3275" spans="1:7" ht="16">
      <c r="A3275" s="12"/>
      <c r="B3275" s="7"/>
      <c r="C3275" s="11" t="s">
        <v>1508</v>
      </c>
      <c r="D3275" s="10" t="s">
        <v>1507</v>
      </c>
      <c r="E3275" s="9">
        <v>1</v>
      </c>
      <c r="F3275" s="9">
        <v>280</v>
      </c>
      <c r="G3275" s="8">
        <f>F3275/728</f>
        <v>0.38461538461538464</v>
      </c>
    </row>
    <row r="3276" spans="1:7" ht="16">
      <c r="A3276" s="10" t="s">
        <v>1572</v>
      </c>
      <c r="B3276" s="13">
        <v>3</v>
      </c>
      <c r="C3276" s="11" t="s">
        <v>1512</v>
      </c>
      <c r="D3276" s="10" t="s">
        <v>1511</v>
      </c>
      <c r="E3276" s="9">
        <v>1</v>
      </c>
      <c r="F3276" s="9">
        <v>168</v>
      </c>
      <c r="G3276" s="8">
        <f>F3276/728</f>
        <v>0.23076923076923078</v>
      </c>
    </row>
    <row r="3277" spans="1:7" ht="16">
      <c r="A3277" s="12"/>
      <c r="B3277" s="7"/>
      <c r="C3277" s="11" t="s">
        <v>1531</v>
      </c>
      <c r="D3277" s="10" t="s">
        <v>1530</v>
      </c>
      <c r="E3277" s="9">
        <v>1</v>
      </c>
      <c r="F3277" s="9">
        <v>280</v>
      </c>
      <c r="G3277" s="8">
        <f>F3277/728</f>
        <v>0.38461538461538464</v>
      </c>
    </row>
    <row r="3278" spans="1:7" ht="16">
      <c r="A3278" s="12"/>
      <c r="B3278" s="7"/>
      <c r="C3278" s="11" t="s">
        <v>1506</v>
      </c>
      <c r="D3278" s="10" t="s">
        <v>1505</v>
      </c>
      <c r="E3278" s="9">
        <v>1</v>
      </c>
      <c r="F3278" s="9">
        <v>280</v>
      </c>
      <c r="G3278" s="8">
        <f>F3278/728</f>
        <v>0.38461538461538464</v>
      </c>
    </row>
    <row r="3279" spans="1:7" ht="16">
      <c r="A3279" s="10" t="s">
        <v>1571</v>
      </c>
      <c r="B3279" s="13">
        <v>3</v>
      </c>
      <c r="C3279" s="11" t="s">
        <v>1512</v>
      </c>
      <c r="D3279" s="10" t="s">
        <v>1511</v>
      </c>
      <c r="E3279" s="9">
        <v>1</v>
      </c>
      <c r="F3279" s="9">
        <v>168</v>
      </c>
      <c r="G3279" s="8">
        <f>F3279/728</f>
        <v>0.23076923076923078</v>
      </c>
    </row>
    <row r="3280" spans="1:7" ht="16">
      <c r="A3280" s="12"/>
      <c r="B3280" s="7"/>
      <c r="C3280" s="11" t="s">
        <v>1526</v>
      </c>
      <c r="D3280" s="10" t="s">
        <v>1525</v>
      </c>
      <c r="E3280" s="9">
        <v>1</v>
      </c>
      <c r="F3280" s="9">
        <v>280</v>
      </c>
      <c r="G3280" s="8">
        <f>F3280/728</f>
        <v>0.38461538461538464</v>
      </c>
    </row>
    <row r="3281" spans="1:7" ht="16">
      <c r="A3281" s="12"/>
      <c r="B3281" s="7"/>
      <c r="C3281" s="11" t="s">
        <v>1510</v>
      </c>
      <c r="D3281" s="10" t="s">
        <v>1509</v>
      </c>
      <c r="E3281" s="9">
        <v>1</v>
      </c>
      <c r="F3281" s="9">
        <v>280</v>
      </c>
      <c r="G3281" s="8">
        <f>F3281/728</f>
        <v>0.38461538461538464</v>
      </c>
    </row>
    <row r="3282" spans="1:7" ht="16">
      <c r="A3282" s="10" t="s">
        <v>1570</v>
      </c>
      <c r="B3282" s="13">
        <v>3</v>
      </c>
      <c r="C3282" s="11" t="s">
        <v>1512</v>
      </c>
      <c r="D3282" s="10" t="s">
        <v>1511</v>
      </c>
      <c r="E3282" s="9">
        <v>1</v>
      </c>
      <c r="F3282" s="9">
        <v>168</v>
      </c>
      <c r="G3282" s="8">
        <f>F3282/728</f>
        <v>0.23076923076923078</v>
      </c>
    </row>
    <row r="3283" spans="1:7" ht="16">
      <c r="A3283" s="12"/>
      <c r="B3283" s="7"/>
      <c r="C3283" s="11" t="s">
        <v>1526</v>
      </c>
      <c r="D3283" s="10" t="s">
        <v>1525</v>
      </c>
      <c r="E3283" s="9">
        <v>1</v>
      </c>
      <c r="F3283" s="9">
        <v>280</v>
      </c>
      <c r="G3283" s="8">
        <f>F3283/728</f>
        <v>0.38461538461538464</v>
      </c>
    </row>
    <row r="3284" spans="1:7" ht="16">
      <c r="A3284" s="12"/>
      <c r="B3284" s="7"/>
      <c r="C3284" s="11" t="s">
        <v>1508</v>
      </c>
      <c r="D3284" s="10" t="s">
        <v>1507</v>
      </c>
      <c r="E3284" s="9">
        <v>1</v>
      </c>
      <c r="F3284" s="9">
        <v>280</v>
      </c>
      <c r="G3284" s="8">
        <f>F3284/728</f>
        <v>0.38461538461538464</v>
      </c>
    </row>
    <row r="3285" spans="1:7" ht="16">
      <c r="A3285" s="10" t="s">
        <v>1569</v>
      </c>
      <c r="B3285" s="13">
        <v>3</v>
      </c>
      <c r="C3285" s="11" t="s">
        <v>1512</v>
      </c>
      <c r="D3285" s="10" t="s">
        <v>1511</v>
      </c>
      <c r="E3285" s="9">
        <v>1</v>
      </c>
      <c r="F3285" s="9">
        <v>168</v>
      </c>
      <c r="G3285" s="8">
        <f>F3285/728</f>
        <v>0.23076923076923078</v>
      </c>
    </row>
    <row r="3286" spans="1:7" ht="16">
      <c r="A3286" s="12"/>
      <c r="B3286" s="7"/>
      <c r="C3286" s="11" t="s">
        <v>1526</v>
      </c>
      <c r="D3286" s="10" t="s">
        <v>1525</v>
      </c>
      <c r="E3286" s="9">
        <v>1</v>
      </c>
      <c r="F3286" s="9">
        <v>280</v>
      </c>
      <c r="G3286" s="8">
        <f>F3286/728</f>
        <v>0.38461538461538464</v>
      </c>
    </row>
    <row r="3287" spans="1:7" ht="16">
      <c r="A3287" s="12"/>
      <c r="B3287" s="7"/>
      <c r="C3287" s="11" t="s">
        <v>1506</v>
      </c>
      <c r="D3287" s="10" t="s">
        <v>1505</v>
      </c>
      <c r="E3287" s="9">
        <v>1</v>
      </c>
      <c r="F3287" s="9">
        <v>280</v>
      </c>
      <c r="G3287" s="8">
        <f>F3287/728</f>
        <v>0.38461538461538464</v>
      </c>
    </row>
    <row r="3288" spans="1:7" ht="16">
      <c r="A3288" s="10" t="s">
        <v>711</v>
      </c>
      <c r="B3288" s="13">
        <v>3</v>
      </c>
      <c r="C3288" s="11" t="s">
        <v>1512</v>
      </c>
      <c r="D3288" s="10" t="s">
        <v>1511</v>
      </c>
      <c r="E3288" s="9">
        <v>1</v>
      </c>
      <c r="F3288" s="9">
        <v>168</v>
      </c>
      <c r="G3288" s="8">
        <f>F3288/728</f>
        <v>0.23076923076923078</v>
      </c>
    </row>
    <row r="3289" spans="1:7" ht="16">
      <c r="A3289" s="12"/>
      <c r="B3289" s="7"/>
      <c r="C3289" s="11" t="s">
        <v>1510</v>
      </c>
      <c r="D3289" s="10" t="s">
        <v>1509</v>
      </c>
      <c r="E3289" s="9">
        <v>1</v>
      </c>
      <c r="F3289" s="9">
        <v>280</v>
      </c>
      <c r="G3289" s="8">
        <f>F3289/728</f>
        <v>0.38461538461538464</v>
      </c>
    </row>
    <row r="3290" spans="1:7" ht="16">
      <c r="A3290" s="12"/>
      <c r="B3290" s="7"/>
      <c r="C3290" s="11" t="s">
        <v>1506</v>
      </c>
      <c r="D3290" s="10" t="s">
        <v>1505</v>
      </c>
      <c r="E3290" s="9">
        <v>1</v>
      </c>
      <c r="F3290" s="9">
        <v>280</v>
      </c>
      <c r="G3290" s="8">
        <f>F3290/728</f>
        <v>0.38461538461538464</v>
      </c>
    </row>
    <row r="3291" spans="1:7" ht="16">
      <c r="A3291" s="10" t="s">
        <v>1568</v>
      </c>
      <c r="B3291" s="13">
        <v>3</v>
      </c>
      <c r="C3291" s="11" t="s">
        <v>1512</v>
      </c>
      <c r="D3291" s="10" t="s">
        <v>1511</v>
      </c>
      <c r="E3291" s="9">
        <v>1</v>
      </c>
      <c r="F3291" s="9">
        <v>168</v>
      </c>
      <c r="G3291" s="8">
        <f>F3291/728</f>
        <v>0.23076923076923078</v>
      </c>
    </row>
    <row r="3292" spans="1:7" ht="16">
      <c r="A3292" s="12"/>
      <c r="B3292" s="7"/>
      <c r="C3292" s="11" t="s">
        <v>1510</v>
      </c>
      <c r="D3292" s="10" t="s">
        <v>1509</v>
      </c>
      <c r="E3292" s="9">
        <v>1</v>
      </c>
      <c r="F3292" s="9">
        <v>280</v>
      </c>
      <c r="G3292" s="8">
        <f>F3292/728</f>
        <v>0.38461538461538464</v>
      </c>
    </row>
    <row r="3293" spans="1:7" ht="16">
      <c r="A3293" s="12"/>
      <c r="B3293" s="7"/>
      <c r="C3293" s="11" t="s">
        <v>1508</v>
      </c>
      <c r="D3293" s="10" t="s">
        <v>1507</v>
      </c>
      <c r="E3293" s="9">
        <v>1</v>
      </c>
      <c r="F3293" s="9">
        <v>280</v>
      </c>
      <c r="G3293" s="8">
        <f>F3293/728</f>
        <v>0.38461538461538464</v>
      </c>
    </row>
    <row r="3294" spans="1:7" ht="16">
      <c r="A3294" s="10" t="s">
        <v>1114</v>
      </c>
      <c r="B3294" s="13">
        <v>3</v>
      </c>
      <c r="C3294" s="11" t="s">
        <v>1512</v>
      </c>
      <c r="D3294" s="10" t="s">
        <v>1511</v>
      </c>
      <c r="E3294" s="9">
        <v>1</v>
      </c>
      <c r="F3294" s="9">
        <v>168</v>
      </c>
      <c r="G3294" s="8">
        <f>F3294/728</f>
        <v>0.23076923076923078</v>
      </c>
    </row>
    <row r="3295" spans="1:7" ht="16">
      <c r="A3295" s="12"/>
      <c r="B3295" s="7"/>
      <c r="C3295" s="11" t="s">
        <v>1506</v>
      </c>
      <c r="D3295" s="10" t="s">
        <v>1505</v>
      </c>
      <c r="E3295" s="9">
        <v>1</v>
      </c>
      <c r="F3295" s="9">
        <v>280</v>
      </c>
      <c r="G3295" s="8">
        <f>F3295/728</f>
        <v>0.38461538461538464</v>
      </c>
    </row>
    <row r="3296" spans="1:7" ht="16">
      <c r="A3296" s="12"/>
      <c r="B3296" s="7"/>
      <c r="C3296" s="11" t="s">
        <v>1508</v>
      </c>
      <c r="D3296" s="10" t="s">
        <v>1507</v>
      </c>
      <c r="E3296" s="9">
        <v>1</v>
      </c>
      <c r="F3296" s="9">
        <v>280</v>
      </c>
      <c r="G3296" s="8">
        <f>F3296/728</f>
        <v>0.38461538461538464</v>
      </c>
    </row>
    <row r="3297" spans="1:7" ht="16">
      <c r="A3297" s="10" t="s">
        <v>38</v>
      </c>
      <c r="B3297" s="13">
        <v>2</v>
      </c>
      <c r="C3297" s="11" t="s">
        <v>1517</v>
      </c>
      <c r="D3297" s="10" t="s">
        <v>1516</v>
      </c>
      <c r="E3297" s="9">
        <v>1</v>
      </c>
      <c r="F3297" s="9">
        <v>168</v>
      </c>
      <c r="G3297" s="8">
        <f>F3297/728</f>
        <v>0.23076923076923078</v>
      </c>
    </row>
    <row r="3298" spans="1:7" ht="16">
      <c r="A3298" s="12"/>
      <c r="B3298" s="7"/>
      <c r="C3298" s="11" t="s">
        <v>1510</v>
      </c>
      <c r="D3298" s="10" t="s">
        <v>1509</v>
      </c>
      <c r="E3298" s="9">
        <v>2</v>
      </c>
      <c r="F3298" s="9">
        <v>560</v>
      </c>
      <c r="G3298" s="8">
        <f>F3298/728</f>
        <v>0.76923076923076927</v>
      </c>
    </row>
    <row r="3299" spans="1:7" ht="16">
      <c r="A3299" s="10" t="s">
        <v>1567</v>
      </c>
      <c r="B3299" s="13">
        <v>2</v>
      </c>
      <c r="C3299" s="11" t="s">
        <v>1517</v>
      </c>
      <c r="D3299" s="10" t="s">
        <v>1516</v>
      </c>
      <c r="E3299" s="9">
        <v>1</v>
      </c>
      <c r="F3299" s="9">
        <v>168</v>
      </c>
      <c r="G3299" s="8">
        <f>F3299/728</f>
        <v>0.23076923076923078</v>
      </c>
    </row>
    <row r="3300" spans="1:7" ht="16">
      <c r="A3300" s="12"/>
      <c r="B3300" s="7"/>
      <c r="C3300" s="11" t="s">
        <v>1506</v>
      </c>
      <c r="D3300" s="10" t="s">
        <v>1505</v>
      </c>
      <c r="E3300" s="9">
        <v>2</v>
      </c>
      <c r="F3300" s="9">
        <v>560</v>
      </c>
      <c r="G3300" s="8">
        <f>F3300/728</f>
        <v>0.76923076923076927</v>
      </c>
    </row>
    <row r="3301" spans="1:7" ht="16">
      <c r="A3301" s="10" t="s">
        <v>1566</v>
      </c>
      <c r="B3301" s="13">
        <v>2</v>
      </c>
      <c r="C3301" s="11" t="s">
        <v>1517</v>
      </c>
      <c r="D3301" s="10" t="s">
        <v>1516</v>
      </c>
      <c r="E3301" s="9">
        <v>1</v>
      </c>
      <c r="F3301" s="9">
        <v>168</v>
      </c>
      <c r="G3301" s="8">
        <f>F3301/728</f>
        <v>0.23076923076923078</v>
      </c>
    </row>
    <row r="3302" spans="1:7" ht="16">
      <c r="A3302" s="12"/>
      <c r="B3302" s="7"/>
      <c r="C3302" s="11" t="s">
        <v>1508</v>
      </c>
      <c r="D3302" s="10" t="s">
        <v>1507</v>
      </c>
      <c r="E3302" s="9">
        <v>2</v>
      </c>
      <c r="F3302" s="9">
        <v>560</v>
      </c>
      <c r="G3302" s="8">
        <f>F3302/728</f>
        <v>0.76923076923076927</v>
      </c>
    </row>
    <row r="3303" spans="1:7" ht="16">
      <c r="A3303" s="10" t="s">
        <v>1565</v>
      </c>
      <c r="B3303" s="13">
        <v>2</v>
      </c>
      <c r="C3303" s="11" t="s">
        <v>1517</v>
      </c>
      <c r="D3303" s="10" t="s">
        <v>1516</v>
      </c>
      <c r="E3303" s="9">
        <v>1</v>
      </c>
      <c r="F3303" s="9">
        <v>168</v>
      </c>
      <c r="G3303" s="8">
        <f>F3303/728</f>
        <v>0.23076923076923078</v>
      </c>
    </row>
    <row r="3304" spans="1:7" ht="16">
      <c r="A3304" s="12"/>
      <c r="B3304" s="7"/>
      <c r="C3304" s="11" t="s">
        <v>1531</v>
      </c>
      <c r="D3304" s="10" t="s">
        <v>1530</v>
      </c>
      <c r="E3304" s="9">
        <v>2</v>
      </c>
      <c r="F3304" s="9">
        <v>560</v>
      </c>
      <c r="G3304" s="8">
        <f>F3304/728</f>
        <v>0.76923076923076927</v>
      </c>
    </row>
    <row r="3305" spans="1:7" ht="16">
      <c r="A3305" s="10" t="s">
        <v>1564</v>
      </c>
      <c r="B3305" s="13">
        <v>2</v>
      </c>
      <c r="C3305" s="11" t="s">
        <v>1517</v>
      </c>
      <c r="D3305" s="10" t="s">
        <v>1516</v>
      </c>
      <c r="E3305" s="9">
        <v>1</v>
      </c>
      <c r="F3305" s="9">
        <v>168</v>
      </c>
      <c r="G3305" s="8">
        <f>F3305/728</f>
        <v>0.23076923076923078</v>
      </c>
    </row>
    <row r="3306" spans="1:7" ht="16">
      <c r="A3306" s="12"/>
      <c r="B3306" s="7"/>
      <c r="C3306" s="11" t="s">
        <v>1526</v>
      </c>
      <c r="D3306" s="10" t="s">
        <v>1525</v>
      </c>
      <c r="E3306" s="9">
        <v>2</v>
      </c>
      <c r="F3306" s="9">
        <v>560</v>
      </c>
      <c r="G3306" s="8">
        <f>F3306/728</f>
        <v>0.76923076923076927</v>
      </c>
    </row>
    <row r="3307" spans="1:7" ht="16">
      <c r="A3307" s="10" t="s">
        <v>1563</v>
      </c>
      <c r="B3307" s="13">
        <v>3</v>
      </c>
      <c r="C3307" s="11" t="s">
        <v>1517</v>
      </c>
      <c r="D3307" s="10" t="s">
        <v>1516</v>
      </c>
      <c r="E3307" s="9">
        <v>1</v>
      </c>
      <c r="F3307" s="9">
        <v>168</v>
      </c>
      <c r="G3307" s="8">
        <f>F3307/728</f>
        <v>0.23076923076923078</v>
      </c>
    </row>
    <row r="3308" spans="1:7" ht="16">
      <c r="A3308" s="12"/>
      <c r="B3308" s="7"/>
      <c r="C3308" s="11" t="s">
        <v>1531</v>
      </c>
      <c r="D3308" s="10" t="s">
        <v>1530</v>
      </c>
      <c r="E3308" s="9">
        <v>1</v>
      </c>
      <c r="F3308" s="9">
        <v>280</v>
      </c>
      <c r="G3308" s="8">
        <f>F3308/728</f>
        <v>0.38461538461538464</v>
      </c>
    </row>
    <row r="3309" spans="1:7" ht="16">
      <c r="A3309" s="12"/>
      <c r="B3309" s="7"/>
      <c r="C3309" s="11" t="s">
        <v>1526</v>
      </c>
      <c r="D3309" s="10" t="s">
        <v>1525</v>
      </c>
      <c r="E3309" s="9">
        <v>1</v>
      </c>
      <c r="F3309" s="9">
        <v>280</v>
      </c>
      <c r="G3309" s="8">
        <f>F3309/728</f>
        <v>0.38461538461538464</v>
      </c>
    </row>
    <row r="3310" spans="1:7" ht="16">
      <c r="A3310" s="10" t="s">
        <v>1562</v>
      </c>
      <c r="B3310" s="13">
        <v>3</v>
      </c>
      <c r="C3310" s="11" t="s">
        <v>1517</v>
      </c>
      <c r="D3310" s="10" t="s">
        <v>1516</v>
      </c>
      <c r="E3310" s="9">
        <v>1</v>
      </c>
      <c r="F3310" s="9">
        <v>168</v>
      </c>
      <c r="G3310" s="8">
        <f>F3310/728</f>
        <v>0.23076923076923078</v>
      </c>
    </row>
    <row r="3311" spans="1:7" ht="16">
      <c r="A3311" s="12"/>
      <c r="B3311" s="7"/>
      <c r="C3311" s="11" t="s">
        <v>1531</v>
      </c>
      <c r="D3311" s="10" t="s">
        <v>1530</v>
      </c>
      <c r="E3311" s="9">
        <v>1</v>
      </c>
      <c r="F3311" s="9">
        <v>280</v>
      </c>
      <c r="G3311" s="8">
        <f>F3311/728</f>
        <v>0.38461538461538464</v>
      </c>
    </row>
    <row r="3312" spans="1:7" ht="16">
      <c r="A3312" s="12"/>
      <c r="B3312" s="7"/>
      <c r="C3312" s="11" t="s">
        <v>1510</v>
      </c>
      <c r="D3312" s="10" t="s">
        <v>1509</v>
      </c>
      <c r="E3312" s="9">
        <v>1</v>
      </c>
      <c r="F3312" s="9">
        <v>280</v>
      </c>
      <c r="G3312" s="8">
        <f>F3312/728</f>
        <v>0.38461538461538464</v>
      </c>
    </row>
    <row r="3313" spans="1:7" ht="16">
      <c r="A3313" s="10" t="s">
        <v>1561</v>
      </c>
      <c r="B3313" s="13">
        <v>3</v>
      </c>
      <c r="C3313" s="11" t="s">
        <v>1517</v>
      </c>
      <c r="D3313" s="10" t="s">
        <v>1516</v>
      </c>
      <c r="E3313" s="9">
        <v>1</v>
      </c>
      <c r="F3313" s="9">
        <v>168</v>
      </c>
      <c r="G3313" s="8">
        <f>F3313/728</f>
        <v>0.23076923076923078</v>
      </c>
    </row>
    <row r="3314" spans="1:7" ht="16">
      <c r="A3314" s="12"/>
      <c r="B3314" s="7"/>
      <c r="C3314" s="11" t="s">
        <v>1531</v>
      </c>
      <c r="D3314" s="10" t="s">
        <v>1530</v>
      </c>
      <c r="E3314" s="9">
        <v>1</v>
      </c>
      <c r="F3314" s="9">
        <v>280</v>
      </c>
      <c r="G3314" s="8">
        <f>F3314/728</f>
        <v>0.38461538461538464</v>
      </c>
    </row>
    <row r="3315" spans="1:7" ht="16">
      <c r="A3315" s="12"/>
      <c r="B3315" s="7"/>
      <c r="C3315" s="11" t="s">
        <v>1508</v>
      </c>
      <c r="D3315" s="10" t="s">
        <v>1507</v>
      </c>
      <c r="E3315" s="9">
        <v>1</v>
      </c>
      <c r="F3315" s="9">
        <v>280</v>
      </c>
      <c r="G3315" s="8">
        <f>F3315/728</f>
        <v>0.38461538461538464</v>
      </c>
    </row>
    <row r="3316" spans="1:7" ht="16">
      <c r="A3316" s="10" t="s">
        <v>1560</v>
      </c>
      <c r="B3316" s="13">
        <v>3</v>
      </c>
      <c r="C3316" s="11" t="s">
        <v>1517</v>
      </c>
      <c r="D3316" s="10" t="s">
        <v>1516</v>
      </c>
      <c r="E3316" s="9">
        <v>1</v>
      </c>
      <c r="F3316" s="9">
        <v>168</v>
      </c>
      <c r="G3316" s="8">
        <f>F3316/728</f>
        <v>0.23076923076923078</v>
      </c>
    </row>
    <row r="3317" spans="1:7" ht="16">
      <c r="A3317" s="12"/>
      <c r="B3317" s="7"/>
      <c r="C3317" s="11" t="s">
        <v>1531</v>
      </c>
      <c r="D3317" s="10" t="s">
        <v>1530</v>
      </c>
      <c r="E3317" s="9">
        <v>1</v>
      </c>
      <c r="F3317" s="9">
        <v>280</v>
      </c>
      <c r="G3317" s="8">
        <f>F3317/728</f>
        <v>0.38461538461538464</v>
      </c>
    </row>
    <row r="3318" spans="1:7" ht="16">
      <c r="A3318" s="12"/>
      <c r="B3318" s="7"/>
      <c r="C3318" s="11" t="s">
        <v>1506</v>
      </c>
      <c r="D3318" s="10" t="s">
        <v>1505</v>
      </c>
      <c r="E3318" s="9">
        <v>1</v>
      </c>
      <c r="F3318" s="9">
        <v>280</v>
      </c>
      <c r="G3318" s="8">
        <f>F3318/728</f>
        <v>0.38461538461538464</v>
      </c>
    </row>
    <row r="3319" spans="1:7" ht="16">
      <c r="A3319" s="10" t="s">
        <v>1559</v>
      </c>
      <c r="B3319" s="13">
        <v>3</v>
      </c>
      <c r="C3319" s="11" t="s">
        <v>1517</v>
      </c>
      <c r="D3319" s="10" t="s">
        <v>1516</v>
      </c>
      <c r="E3319" s="9">
        <v>1</v>
      </c>
      <c r="F3319" s="9">
        <v>168</v>
      </c>
      <c r="G3319" s="8">
        <f>F3319/728</f>
        <v>0.23076923076923078</v>
      </c>
    </row>
    <row r="3320" spans="1:7" ht="16">
      <c r="A3320" s="12"/>
      <c r="B3320" s="7"/>
      <c r="C3320" s="11" t="s">
        <v>1526</v>
      </c>
      <c r="D3320" s="10" t="s">
        <v>1525</v>
      </c>
      <c r="E3320" s="9">
        <v>1</v>
      </c>
      <c r="F3320" s="9">
        <v>280</v>
      </c>
      <c r="G3320" s="8">
        <f>F3320/728</f>
        <v>0.38461538461538464</v>
      </c>
    </row>
    <row r="3321" spans="1:7" ht="16">
      <c r="A3321" s="12"/>
      <c r="B3321" s="7"/>
      <c r="C3321" s="11" t="s">
        <v>1510</v>
      </c>
      <c r="D3321" s="10" t="s">
        <v>1509</v>
      </c>
      <c r="E3321" s="9">
        <v>1</v>
      </c>
      <c r="F3321" s="9">
        <v>280</v>
      </c>
      <c r="G3321" s="8">
        <f>F3321/728</f>
        <v>0.38461538461538464</v>
      </c>
    </row>
    <row r="3322" spans="1:7" ht="16">
      <c r="A3322" s="10" t="s">
        <v>1558</v>
      </c>
      <c r="B3322" s="13">
        <v>3</v>
      </c>
      <c r="C3322" s="11" t="s">
        <v>1517</v>
      </c>
      <c r="D3322" s="10" t="s">
        <v>1516</v>
      </c>
      <c r="E3322" s="9">
        <v>1</v>
      </c>
      <c r="F3322" s="9">
        <v>168</v>
      </c>
      <c r="G3322" s="8">
        <f>F3322/728</f>
        <v>0.23076923076923078</v>
      </c>
    </row>
    <row r="3323" spans="1:7" ht="16">
      <c r="A3323" s="12"/>
      <c r="B3323" s="7"/>
      <c r="C3323" s="11" t="s">
        <v>1526</v>
      </c>
      <c r="D3323" s="10" t="s">
        <v>1525</v>
      </c>
      <c r="E3323" s="9">
        <v>1</v>
      </c>
      <c r="F3323" s="9">
        <v>280</v>
      </c>
      <c r="G3323" s="8">
        <f>F3323/728</f>
        <v>0.38461538461538464</v>
      </c>
    </row>
    <row r="3324" spans="1:7" ht="16">
      <c r="A3324" s="12"/>
      <c r="B3324" s="7"/>
      <c r="C3324" s="11" t="s">
        <v>1508</v>
      </c>
      <c r="D3324" s="10" t="s">
        <v>1507</v>
      </c>
      <c r="E3324" s="9">
        <v>1</v>
      </c>
      <c r="F3324" s="9">
        <v>280</v>
      </c>
      <c r="G3324" s="8">
        <f>F3324/728</f>
        <v>0.38461538461538464</v>
      </c>
    </row>
    <row r="3325" spans="1:7" ht="16">
      <c r="A3325" s="10" t="s">
        <v>1557</v>
      </c>
      <c r="B3325" s="13">
        <v>3</v>
      </c>
      <c r="C3325" s="11" t="s">
        <v>1517</v>
      </c>
      <c r="D3325" s="10" t="s">
        <v>1516</v>
      </c>
      <c r="E3325" s="9">
        <v>1</v>
      </c>
      <c r="F3325" s="9">
        <v>168</v>
      </c>
      <c r="G3325" s="8">
        <f>F3325/728</f>
        <v>0.23076923076923078</v>
      </c>
    </row>
    <row r="3326" spans="1:7" ht="16">
      <c r="A3326" s="12"/>
      <c r="B3326" s="7"/>
      <c r="C3326" s="11" t="s">
        <v>1526</v>
      </c>
      <c r="D3326" s="10" t="s">
        <v>1525</v>
      </c>
      <c r="E3326" s="9">
        <v>1</v>
      </c>
      <c r="F3326" s="9">
        <v>280</v>
      </c>
      <c r="G3326" s="8">
        <f>F3326/728</f>
        <v>0.38461538461538464</v>
      </c>
    </row>
    <row r="3327" spans="1:7" ht="16">
      <c r="A3327" s="12"/>
      <c r="B3327" s="7"/>
      <c r="C3327" s="11" t="s">
        <v>1506</v>
      </c>
      <c r="D3327" s="10" t="s">
        <v>1505</v>
      </c>
      <c r="E3327" s="9">
        <v>1</v>
      </c>
      <c r="F3327" s="9">
        <v>280</v>
      </c>
      <c r="G3327" s="8">
        <f>F3327/728</f>
        <v>0.38461538461538464</v>
      </c>
    </row>
    <row r="3328" spans="1:7" ht="16">
      <c r="A3328" s="10" t="s">
        <v>1067</v>
      </c>
      <c r="B3328" s="13">
        <v>3</v>
      </c>
      <c r="C3328" s="11" t="s">
        <v>1517</v>
      </c>
      <c r="D3328" s="10" t="s">
        <v>1516</v>
      </c>
      <c r="E3328" s="9">
        <v>1</v>
      </c>
      <c r="F3328" s="9">
        <v>168</v>
      </c>
      <c r="G3328" s="8">
        <f>F3328/728</f>
        <v>0.23076923076923078</v>
      </c>
    </row>
    <row r="3329" spans="1:7" ht="16">
      <c r="A3329" s="12"/>
      <c r="B3329" s="7"/>
      <c r="C3329" s="11" t="s">
        <v>1510</v>
      </c>
      <c r="D3329" s="10" t="s">
        <v>1509</v>
      </c>
      <c r="E3329" s="9">
        <v>1</v>
      </c>
      <c r="F3329" s="9">
        <v>280</v>
      </c>
      <c r="G3329" s="8">
        <f>F3329/728</f>
        <v>0.38461538461538464</v>
      </c>
    </row>
    <row r="3330" spans="1:7" ht="16">
      <c r="A3330" s="12"/>
      <c r="B3330" s="7"/>
      <c r="C3330" s="11" t="s">
        <v>1506</v>
      </c>
      <c r="D3330" s="10" t="s">
        <v>1505</v>
      </c>
      <c r="E3330" s="9">
        <v>1</v>
      </c>
      <c r="F3330" s="9">
        <v>280</v>
      </c>
      <c r="G3330" s="8">
        <f>F3330/728</f>
        <v>0.38461538461538464</v>
      </c>
    </row>
    <row r="3331" spans="1:7" ht="16">
      <c r="A3331" s="10" t="s">
        <v>1556</v>
      </c>
      <c r="B3331" s="13">
        <v>3</v>
      </c>
      <c r="C3331" s="11" t="s">
        <v>1517</v>
      </c>
      <c r="D3331" s="10" t="s">
        <v>1516</v>
      </c>
      <c r="E3331" s="9">
        <v>1</v>
      </c>
      <c r="F3331" s="9">
        <v>168</v>
      </c>
      <c r="G3331" s="8">
        <f>F3331/728</f>
        <v>0.23076923076923078</v>
      </c>
    </row>
    <row r="3332" spans="1:7" ht="16">
      <c r="A3332" s="12"/>
      <c r="B3332" s="7"/>
      <c r="C3332" s="11" t="s">
        <v>1510</v>
      </c>
      <c r="D3332" s="10" t="s">
        <v>1509</v>
      </c>
      <c r="E3332" s="9">
        <v>1</v>
      </c>
      <c r="F3332" s="9">
        <v>280</v>
      </c>
      <c r="G3332" s="8">
        <f>F3332/728</f>
        <v>0.38461538461538464</v>
      </c>
    </row>
    <row r="3333" spans="1:7" ht="16">
      <c r="A3333" s="12"/>
      <c r="B3333" s="7"/>
      <c r="C3333" s="11" t="s">
        <v>1508</v>
      </c>
      <c r="D3333" s="10" t="s">
        <v>1507</v>
      </c>
      <c r="E3333" s="9">
        <v>1</v>
      </c>
      <c r="F3333" s="9">
        <v>280</v>
      </c>
      <c r="G3333" s="8">
        <f>F3333/728</f>
        <v>0.38461538461538464</v>
      </c>
    </row>
    <row r="3334" spans="1:7" ht="16">
      <c r="A3334" s="10" t="s">
        <v>1555</v>
      </c>
      <c r="B3334" s="13">
        <v>3</v>
      </c>
      <c r="C3334" s="11" t="s">
        <v>1517</v>
      </c>
      <c r="D3334" s="10" t="s">
        <v>1516</v>
      </c>
      <c r="E3334" s="9">
        <v>1</v>
      </c>
      <c r="F3334" s="9">
        <v>168</v>
      </c>
      <c r="G3334" s="8">
        <f>F3334/728</f>
        <v>0.23076923076923078</v>
      </c>
    </row>
    <row r="3335" spans="1:7" ht="16">
      <c r="A3335" s="12"/>
      <c r="B3335" s="7"/>
      <c r="C3335" s="11" t="s">
        <v>1506</v>
      </c>
      <c r="D3335" s="10" t="s">
        <v>1505</v>
      </c>
      <c r="E3335" s="9">
        <v>1</v>
      </c>
      <c r="F3335" s="9">
        <v>280</v>
      </c>
      <c r="G3335" s="8">
        <f>F3335/728</f>
        <v>0.38461538461538464</v>
      </c>
    </row>
    <row r="3336" spans="1:7" ht="16">
      <c r="A3336" s="12"/>
      <c r="B3336" s="7"/>
      <c r="C3336" s="11" t="s">
        <v>1508</v>
      </c>
      <c r="D3336" s="10" t="s">
        <v>1507</v>
      </c>
      <c r="E3336" s="9">
        <v>1</v>
      </c>
      <c r="F3336" s="9">
        <v>280</v>
      </c>
      <c r="G3336" s="8">
        <f>F3336/728</f>
        <v>0.38461538461538464</v>
      </c>
    </row>
    <row r="3337" spans="1:7" ht="16">
      <c r="A3337" s="10" t="s">
        <v>1554</v>
      </c>
      <c r="B3337" s="13">
        <v>2</v>
      </c>
      <c r="C3337" s="11" t="s">
        <v>1541</v>
      </c>
      <c r="D3337" s="13" t="s">
        <v>1540</v>
      </c>
      <c r="E3337" s="10">
        <v>1</v>
      </c>
      <c r="F3337" s="9">
        <v>119</v>
      </c>
      <c r="G3337" s="8">
        <f>F3337/699</f>
        <v>0.17024320457796852</v>
      </c>
    </row>
    <row r="3338" spans="1:7" ht="16">
      <c r="A3338" s="12"/>
      <c r="B3338" s="7"/>
      <c r="C3338" s="11" t="s">
        <v>1510</v>
      </c>
      <c r="D3338" s="10" t="s">
        <v>1509</v>
      </c>
      <c r="E3338" s="9">
        <v>2</v>
      </c>
      <c r="F3338" s="9">
        <v>580</v>
      </c>
      <c r="G3338" s="8">
        <f>F3338/699</f>
        <v>0.82975679542203151</v>
      </c>
    </row>
    <row r="3339" spans="1:7" ht="16">
      <c r="A3339" s="10" t="s">
        <v>1553</v>
      </c>
      <c r="B3339" s="13">
        <v>2</v>
      </c>
      <c r="C3339" s="11" t="s">
        <v>1541</v>
      </c>
      <c r="D3339" s="13" t="s">
        <v>1540</v>
      </c>
      <c r="E3339" s="10">
        <v>1</v>
      </c>
      <c r="F3339" s="9">
        <v>119</v>
      </c>
      <c r="G3339" s="8">
        <f>F3339/699</f>
        <v>0.17024320457796852</v>
      </c>
    </row>
    <row r="3340" spans="1:7" ht="16">
      <c r="A3340" s="12"/>
      <c r="B3340" s="7"/>
      <c r="C3340" s="11" t="s">
        <v>1506</v>
      </c>
      <c r="D3340" s="10" t="s">
        <v>1505</v>
      </c>
      <c r="E3340" s="9">
        <v>2</v>
      </c>
      <c r="F3340" s="9">
        <v>580</v>
      </c>
      <c r="G3340" s="8">
        <f>F3340/699</f>
        <v>0.82975679542203151</v>
      </c>
    </row>
    <row r="3341" spans="1:7" ht="16">
      <c r="A3341" s="10" t="s">
        <v>1552</v>
      </c>
      <c r="B3341" s="13">
        <v>2</v>
      </c>
      <c r="C3341" s="11" t="s">
        <v>1541</v>
      </c>
      <c r="D3341" s="13" t="s">
        <v>1540</v>
      </c>
      <c r="E3341" s="10">
        <v>1</v>
      </c>
      <c r="F3341" s="9">
        <v>119</v>
      </c>
      <c r="G3341" s="8">
        <f>F3341/699</f>
        <v>0.17024320457796852</v>
      </c>
    </row>
    <row r="3342" spans="1:7" ht="16">
      <c r="A3342" s="12"/>
      <c r="B3342" s="7"/>
      <c r="C3342" s="11" t="s">
        <v>1508</v>
      </c>
      <c r="D3342" s="10" t="s">
        <v>1507</v>
      </c>
      <c r="E3342" s="9">
        <v>2</v>
      </c>
      <c r="F3342" s="9">
        <v>580</v>
      </c>
      <c r="G3342" s="8">
        <f>F3342/699</f>
        <v>0.82975679542203151</v>
      </c>
    </row>
    <row r="3343" spans="1:7" ht="16">
      <c r="A3343" s="10" t="s">
        <v>1551</v>
      </c>
      <c r="B3343" s="13">
        <v>2</v>
      </c>
      <c r="C3343" s="11" t="s">
        <v>1541</v>
      </c>
      <c r="D3343" s="13" t="s">
        <v>1540</v>
      </c>
      <c r="E3343" s="10">
        <v>1</v>
      </c>
      <c r="F3343" s="9">
        <v>119</v>
      </c>
      <c r="G3343" s="8">
        <f>F3343/699</f>
        <v>0.17024320457796852</v>
      </c>
    </row>
    <row r="3344" spans="1:7" ht="16">
      <c r="A3344" s="12"/>
      <c r="B3344" s="7"/>
      <c r="C3344" s="11" t="s">
        <v>1531</v>
      </c>
      <c r="D3344" s="10" t="s">
        <v>1530</v>
      </c>
      <c r="E3344" s="9">
        <v>2</v>
      </c>
      <c r="F3344" s="9">
        <v>580</v>
      </c>
      <c r="G3344" s="8">
        <f>F3344/699</f>
        <v>0.82975679542203151</v>
      </c>
    </row>
    <row r="3345" spans="1:7" ht="16">
      <c r="A3345" s="10" t="s">
        <v>1550</v>
      </c>
      <c r="B3345" s="13">
        <v>2</v>
      </c>
      <c r="C3345" s="11" t="s">
        <v>1541</v>
      </c>
      <c r="D3345" s="13" t="s">
        <v>1540</v>
      </c>
      <c r="E3345" s="10">
        <v>1</v>
      </c>
      <c r="F3345" s="9">
        <v>119</v>
      </c>
      <c r="G3345" s="8">
        <f>F3345/699</f>
        <v>0.17024320457796852</v>
      </c>
    </row>
    <row r="3346" spans="1:7" ht="16">
      <c r="A3346" s="12"/>
      <c r="B3346" s="7"/>
      <c r="C3346" s="11" t="s">
        <v>1526</v>
      </c>
      <c r="D3346" s="10" t="s">
        <v>1525</v>
      </c>
      <c r="E3346" s="9">
        <v>2</v>
      </c>
      <c r="F3346" s="9">
        <v>580</v>
      </c>
      <c r="G3346" s="8">
        <f>F3346/699</f>
        <v>0.82975679542203151</v>
      </c>
    </row>
    <row r="3347" spans="1:7" ht="16">
      <c r="A3347" s="10" t="s">
        <v>1549</v>
      </c>
      <c r="B3347" s="13">
        <v>3</v>
      </c>
      <c r="C3347" s="11" t="s">
        <v>1541</v>
      </c>
      <c r="D3347" s="13" t="s">
        <v>1540</v>
      </c>
      <c r="E3347" s="10">
        <v>1</v>
      </c>
      <c r="F3347" s="9">
        <v>119</v>
      </c>
      <c r="G3347" s="8">
        <f>F3347/699</f>
        <v>0.17024320457796852</v>
      </c>
    </row>
    <row r="3348" spans="1:7" ht="16">
      <c r="A3348" s="12"/>
      <c r="B3348" s="7"/>
      <c r="C3348" s="11" t="s">
        <v>1531</v>
      </c>
      <c r="D3348" s="10" t="s">
        <v>1530</v>
      </c>
      <c r="E3348" s="9">
        <v>1</v>
      </c>
      <c r="F3348" s="9">
        <v>290</v>
      </c>
      <c r="G3348" s="8">
        <f>F3348/699</f>
        <v>0.41487839771101576</v>
      </c>
    </row>
    <row r="3349" spans="1:7" ht="16">
      <c r="A3349" s="12"/>
      <c r="B3349" s="7"/>
      <c r="C3349" s="11" t="s">
        <v>1526</v>
      </c>
      <c r="D3349" s="10" t="s">
        <v>1525</v>
      </c>
      <c r="E3349" s="9">
        <v>1</v>
      </c>
      <c r="F3349" s="9">
        <v>290</v>
      </c>
      <c r="G3349" s="8">
        <f>F3349/699</f>
        <v>0.41487839771101576</v>
      </c>
    </row>
    <row r="3350" spans="1:7" ht="16">
      <c r="A3350" s="10" t="s">
        <v>1548</v>
      </c>
      <c r="B3350" s="13">
        <v>3</v>
      </c>
      <c r="C3350" s="11" t="s">
        <v>1541</v>
      </c>
      <c r="D3350" s="13" t="s">
        <v>1540</v>
      </c>
      <c r="E3350" s="10">
        <v>1</v>
      </c>
      <c r="F3350" s="9">
        <v>119</v>
      </c>
      <c r="G3350" s="8">
        <f>F3350/699</f>
        <v>0.17024320457796852</v>
      </c>
    </row>
    <row r="3351" spans="1:7" ht="16">
      <c r="A3351" s="12"/>
      <c r="B3351" s="7"/>
      <c r="C3351" s="11" t="s">
        <v>1531</v>
      </c>
      <c r="D3351" s="10" t="s">
        <v>1530</v>
      </c>
      <c r="E3351" s="9">
        <v>1</v>
      </c>
      <c r="F3351" s="9">
        <v>290</v>
      </c>
      <c r="G3351" s="8">
        <f>F3351/699</f>
        <v>0.41487839771101576</v>
      </c>
    </row>
    <row r="3352" spans="1:7" ht="16">
      <c r="A3352" s="12"/>
      <c r="B3352" s="7"/>
      <c r="C3352" s="11" t="s">
        <v>1510</v>
      </c>
      <c r="D3352" s="10" t="s">
        <v>1509</v>
      </c>
      <c r="E3352" s="9">
        <v>1</v>
      </c>
      <c r="F3352" s="9">
        <v>290</v>
      </c>
      <c r="G3352" s="8">
        <f>F3352/699</f>
        <v>0.41487839771101576</v>
      </c>
    </row>
    <row r="3353" spans="1:7" ht="16">
      <c r="A3353" s="10" t="s">
        <v>1547</v>
      </c>
      <c r="B3353" s="13">
        <v>3</v>
      </c>
      <c r="C3353" s="11" t="s">
        <v>1541</v>
      </c>
      <c r="D3353" s="13" t="s">
        <v>1540</v>
      </c>
      <c r="E3353" s="10">
        <v>1</v>
      </c>
      <c r="F3353" s="9">
        <v>119</v>
      </c>
      <c r="G3353" s="8">
        <f>F3353/699</f>
        <v>0.17024320457796852</v>
      </c>
    </row>
    <row r="3354" spans="1:7" ht="16">
      <c r="A3354" s="12"/>
      <c r="B3354" s="7"/>
      <c r="C3354" s="11" t="s">
        <v>1531</v>
      </c>
      <c r="D3354" s="10" t="s">
        <v>1530</v>
      </c>
      <c r="E3354" s="9">
        <v>1</v>
      </c>
      <c r="F3354" s="9">
        <v>290</v>
      </c>
      <c r="G3354" s="8">
        <f>F3354/699</f>
        <v>0.41487839771101576</v>
      </c>
    </row>
    <row r="3355" spans="1:7" ht="16">
      <c r="A3355" s="12"/>
      <c r="B3355" s="7"/>
      <c r="C3355" s="11" t="s">
        <v>1508</v>
      </c>
      <c r="D3355" s="10" t="s">
        <v>1507</v>
      </c>
      <c r="E3355" s="9">
        <v>1</v>
      </c>
      <c r="F3355" s="9">
        <v>290</v>
      </c>
      <c r="G3355" s="8">
        <f>F3355/699</f>
        <v>0.41487839771101576</v>
      </c>
    </row>
    <row r="3356" spans="1:7" ht="16">
      <c r="A3356" s="10" t="s">
        <v>1546</v>
      </c>
      <c r="B3356" s="13">
        <v>3</v>
      </c>
      <c r="C3356" s="11" t="s">
        <v>1541</v>
      </c>
      <c r="D3356" s="13" t="s">
        <v>1540</v>
      </c>
      <c r="E3356" s="10">
        <v>1</v>
      </c>
      <c r="F3356" s="9">
        <v>119</v>
      </c>
      <c r="G3356" s="8">
        <f>F3356/699</f>
        <v>0.17024320457796852</v>
      </c>
    </row>
    <row r="3357" spans="1:7" ht="16">
      <c r="A3357" s="12"/>
      <c r="B3357" s="7"/>
      <c r="C3357" s="11" t="s">
        <v>1531</v>
      </c>
      <c r="D3357" s="10" t="s">
        <v>1530</v>
      </c>
      <c r="E3357" s="9">
        <v>1</v>
      </c>
      <c r="F3357" s="9">
        <v>290</v>
      </c>
      <c r="G3357" s="8">
        <f>F3357/699</f>
        <v>0.41487839771101576</v>
      </c>
    </row>
    <row r="3358" spans="1:7" ht="16">
      <c r="A3358" s="12"/>
      <c r="B3358" s="7"/>
      <c r="C3358" s="11" t="s">
        <v>1506</v>
      </c>
      <c r="D3358" s="10" t="s">
        <v>1505</v>
      </c>
      <c r="E3358" s="9">
        <v>1</v>
      </c>
      <c r="F3358" s="9">
        <v>290</v>
      </c>
      <c r="G3358" s="8">
        <f>F3358/699</f>
        <v>0.41487839771101576</v>
      </c>
    </row>
    <row r="3359" spans="1:7" ht="16">
      <c r="A3359" s="10" t="s">
        <v>1545</v>
      </c>
      <c r="B3359" s="13">
        <v>3</v>
      </c>
      <c r="C3359" s="11" t="s">
        <v>1541</v>
      </c>
      <c r="D3359" s="13" t="s">
        <v>1540</v>
      </c>
      <c r="E3359" s="10">
        <v>1</v>
      </c>
      <c r="F3359" s="9">
        <v>119</v>
      </c>
      <c r="G3359" s="8">
        <f>F3359/699</f>
        <v>0.17024320457796852</v>
      </c>
    </row>
    <row r="3360" spans="1:7" ht="16">
      <c r="A3360" s="12"/>
      <c r="B3360" s="7"/>
      <c r="C3360" s="11" t="s">
        <v>1526</v>
      </c>
      <c r="D3360" s="10" t="s">
        <v>1525</v>
      </c>
      <c r="E3360" s="9">
        <v>1</v>
      </c>
      <c r="F3360" s="9">
        <v>290</v>
      </c>
      <c r="G3360" s="8">
        <f>F3360/699</f>
        <v>0.41487839771101576</v>
      </c>
    </row>
    <row r="3361" spans="1:7" ht="16">
      <c r="A3361" s="12"/>
      <c r="B3361" s="7"/>
      <c r="C3361" s="11" t="s">
        <v>1510</v>
      </c>
      <c r="D3361" s="10" t="s">
        <v>1509</v>
      </c>
      <c r="E3361" s="9">
        <v>1</v>
      </c>
      <c r="F3361" s="9">
        <v>290</v>
      </c>
      <c r="G3361" s="8">
        <f>F3361/699</f>
        <v>0.41487839771101576</v>
      </c>
    </row>
    <row r="3362" spans="1:7" ht="16">
      <c r="A3362" s="10" t="s">
        <v>1544</v>
      </c>
      <c r="B3362" s="13">
        <v>3</v>
      </c>
      <c r="C3362" s="11" t="s">
        <v>1541</v>
      </c>
      <c r="D3362" s="13" t="s">
        <v>1540</v>
      </c>
      <c r="E3362" s="10">
        <v>1</v>
      </c>
      <c r="F3362" s="9">
        <v>119</v>
      </c>
      <c r="G3362" s="8">
        <f>F3362/699</f>
        <v>0.17024320457796852</v>
      </c>
    </row>
    <row r="3363" spans="1:7" ht="16">
      <c r="A3363" s="12"/>
      <c r="B3363" s="7"/>
      <c r="C3363" s="11" t="s">
        <v>1526</v>
      </c>
      <c r="D3363" s="10" t="s">
        <v>1525</v>
      </c>
      <c r="E3363" s="9">
        <v>1</v>
      </c>
      <c r="F3363" s="9">
        <v>290</v>
      </c>
      <c r="G3363" s="8">
        <f>F3363/699</f>
        <v>0.41487839771101576</v>
      </c>
    </row>
    <row r="3364" spans="1:7" ht="16">
      <c r="A3364" s="12"/>
      <c r="B3364" s="7"/>
      <c r="C3364" s="11" t="s">
        <v>1508</v>
      </c>
      <c r="D3364" s="10" t="s">
        <v>1507</v>
      </c>
      <c r="E3364" s="9">
        <v>1</v>
      </c>
      <c r="F3364" s="9">
        <v>290</v>
      </c>
      <c r="G3364" s="8">
        <f>F3364/699</f>
        <v>0.41487839771101576</v>
      </c>
    </row>
    <row r="3365" spans="1:7" ht="16">
      <c r="A3365" s="10" t="s">
        <v>1543</v>
      </c>
      <c r="B3365" s="13">
        <v>3</v>
      </c>
      <c r="C3365" s="11" t="s">
        <v>1541</v>
      </c>
      <c r="D3365" s="13" t="s">
        <v>1540</v>
      </c>
      <c r="E3365" s="10">
        <v>1</v>
      </c>
      <c r="F3365" s="9">
        <v>119</v>
      </c>
      <c r="G3365" s="8">
        <f>F3365/699</f>
        <v>0.17024320457796852</v>
      </c>
    </row>
    <row r="3366" spans="1:7" ht="16">
      <c r="A3366" s="12"/>
      <c r="B3366" s="7"/>
      <c r="C3366" s="11" t="s">
        <v>1526</v>
      </c>
      <c r="D3366" s="10" t="s">
        <v>1525</v>
      </c>
      <c r="E3366" s="9">
        <v>1</v>
      </c>
      <c r="F3366" s="9">
        <v>290</v>
      </c>
      <c r="G3366" s="8">
        <f>F3366/699</f>
        <v>0.41487839771101576</v>
      </c>
    </row>
    <row r="3367" spans="1:7" ht="16">
      <c r="A3367" s="12"/>
      <c r="B3367" s="7"/>
      <c r="C3367" s="11" t="s">
        <v>1506</v>
      </c>
      <c r="D3367" s="10" t="s">
        <v>1505</v>
      </c>
      <c r="E3367" s="9">
        <v>1</v>
      </c>
      <c r="F3367" s="9">
        <v>290</v>
      </c>
      <c r="G3367" s="8">
        <f>F3367/699</f>
        <v>0.41487839771101576</v>
      </c>
    </row>
    <row r="3368" spans="1:7" ht="16">
      <c r="A3368" s="10" t="s">
        <v>782</v>
      </c>
      <c r="B3368" s="13">
        <v>3</v>
      </c>
      <c r="C3368" s="11" t="s">
        <v>1541</v>
      </c>
      <c r="D3368" s="13" t="s">
        <v>1540</v>
      </c>
      <c r="E3368" s="10">
        <v>1</v>
      </c>
      <c r="F3368" s="9">
        <v>119</v>
      </c>
      <c r="G3368" s="8">
        <f>F3368/699</f>
        <v>0.17024320457796852</v>
      </c>
    </row>
    <row r="3369" spans="1:7" ht="16">
      <c r="A3369" s="12"/>
      <c r="B3369" s="7"/>
      <c r="C3369" s="11" t="s">
        <v>1510</v>
      </c>
      <c r="D3369" s="10" t="s">
        <v>1509</v>
      </c>
      <c r="E3369" s="9">
        <v>1</v>
      </c>
      <c r="F3369" s="9">
        <v>290</v>
      </c>
      <c r="G3369" s="8">
        <f>F3369/699</f>
        <v>0.41487839771101576</v>
      </c>
    </row>
    <row r="3370" spans="1:7" ht="16">
      <c r="A3370" s="12"/>
      <c r="B3370" s="7"/>
      <c r="C3370" s="11" t="s">
        <v>1506</v>
      </c>
      <c r="D3370" s="10" t="s">
        <v>1505</v>
      </c>
      <c r="E3370" s="9">
        <v>1</v>
      </c>
      <c r="F3370" s="9">
        <v>290</v>
      </c>
      <c r="G3370" s="8">
        <f>F3370/699</f>
        <v>0.41487839771101576</v>
      </c>
    </row>
    <row r="3371" spans="1:7" ht="16">
      <c r="A3371" s="10" t="s">
        <v>1542</v>
      </c>
      <c r="B3371" s="13">
        <v>3</v>
      </c>
      <c r="C3371" s="11" t="s">
        <v>1541</v>
      </c>
      <c r="D3371" s="13" t="s">
        <v>1540</v>
      </c>
      <c r="E3371" s="10">
        <v>1</v>
      </c>
      <c r="F3371" s="9">
        <v>119</v>
      </c>
      <c r="G3371" s="8">
        <f>F3371/699</f>
        <v>0.17024320457796852</v>
      </c>
    </row>
    <row r="3372" spans="1:7" ht="16">
      <c r="A3372" s="12"/>
      <c r="B3372" s="7"/>
      <c r="C3372" s="11" t="s">
        <v>1510</v>
      </c>
      <c r="D3372" s="10" t="s">
        <v>1509</v>
      </c>
      <c r="E3372" s="9">
        <v>1</v>
      </c>
      <c r="F3372" s="9">
        <v>290</v>
      </c>
      <c r="G3372" s="8">
        <f>F3372/699</f>
        <v>0.41487839771101576</v>
      </c>
    </row>
    <row r="3373" spans="1:7" ht="16">
      <c r="A3373" s="12"/>
      <c r="B3373" s="7"/>
      <c r="C3373" s="11" t="s">
        <v>1508</v>
      </c>
      <c r="D3373" s="10" t="s">
        <v>1507</v>
      </c>
      <c r="E3373" s="9">
        <v>1</v>
      </c>
      <c r="F3373" s="9">
        <v>290</v>
      </c>
      <c r="G3373" s="8">
        <f>F3373/699</f>
        <v>0.41487839771101576</v>
      </c>
    </row>
    <row r="3374" spans="1:7" ht="16">
      <c r="A3374" s="10" t="s">
        <v>935</v>
      </c>
      <c r="B3374" s="13">
        <v>3</v>
      </c>
      <c r="C3374" s="11" t="s">
        <v>1541</v>
      </c>
      <c r="D3374" s="13" t="s">
        <v>1540</v>
      </c>
      <c r="E3374" s="10">
        <v>1</v>
      </c>
      <c r="F3374" s="9">
        <v>119</v>
      </c>
      <c r="G3374" s="8">
        <f>F3374/699</f>
        <v>0.17024320457796852</v>
      </c>
    </row>
    <row r="3375" spans="1:7" ht="16">
      <c r="A3375" s="12"/>
      <c r="B3375" s="7"/>
      <c r="C3375" s="11" t="s">
        <v>1506</v>
      </c>
      <c r="D3375" s="10" t="s">
        <v>1505</v>
      </c>
      <c r="E3375" s="9">
        <v>1</v>
      </c>
      <c r="F3375" s="9">
        <v>290</v>
      </c>
      <c r="G3375" s="8">
        <f>F3375/699</f>
        <v>0.41487839771101576</v>
      </c>
    </row>
    <row r="3376" spans="1:7" ht="16">
      <c r="A3376" s="12"/>
      <c r="B3376" s="7"/>
      <c r="C3376" s="11" t="s">
        <v>1508</v>
      </c>
      <c r="D3376" s="10" t="s">
        <v>1507</v>
      </c>
      <c r="E3376" s="9">
        <v>1</v>
      </c>
      <c r="F3376" s="9">
        <v>290</v>
      </c>
      <c r="G3376" s="8">
        <f>F3376/699</f>
        <v>0.41487839771101576</v>
      </c>
    </row>
    <row r="3377" spans="1:7" ht="16">
      <c r="A3377" s="10" t="s">
        <v>1539</v>
      </c>
      <c r="B3377" s="13">
        <v>2</v>
      </c>
      <c r="C3377" s="11" t="s">
        <v>1523</v>
      </c>
      <c r="D3377" s="10" t="s">
        <v>1522</v>
      </c>
      <c r="E3377" s="9">
        <v>1</v>
      </c>
      <c r="F3377" s="9">
        <v>340</v>
      </c>
      <c r="G3377" s="8">
        <f>F3377/920</f>
        <v>0.36956521739130432</v>
      </c>
    </row>
    <row r="3378" spans="1:7" ht="16">
      <c r="A3378" s="12"/>
      <c r="B3378" s="7"/>
      <c r="C3378" s="11" t="s">
        <v>1510</v>
      </c>
      <c r="D3378" s="10" t="s">
        <v>1509</v>
      </c>
      <c r="E3378" s="9">
        <v>2</v>
      </c>
      <c r="F3378" s="9">
        <v>580</v>
      </c>
      <c r="G3378" s="8">
        <f>F3378/920</f>
        <v>0.63043478260869568</v>
      </c>
    </row>
    <row r="3379" spans="1:7" ht="16">
      <c r="A3379" s="10" t="s">
        <v>1538</v>
      </c>
      <c r="B3379" s="13">
        <v>2</v>
      </c>
      <c r="C3379" s="11" t="s">
        <v>1523</v>
      </c>
      <c r="D3379" s="10" t="s">
        <v>1522</v>
      </c>
      <c r="E3379" s="9">
        <v>1</v>
      </c>
      <c r="F3379" s="9">
        <v>340</v>
      </c>
      <c r="G3379" s="8">
        <f>F3379/920</f>
        <v>0.36956521739130432</v>
      </c>
    </row>
    <row r="3380" spans="1:7" ht="16">
      <c r="A3380" s="12"/>
      <c r="B3380" s="7"/>
      <c r="C3380" s="11" t="s">
        <v>1506</v>
      </c>
      <c r="D3380" s="10" t="s">
        <v>1505</v>
      </c>
      <c r="E3380" s="9">
        <v>2</v>
      </c>
      <c r="F3380" s="9">
        <v>580</v>
      </c>
      <c r="G3380" s="8">
        <f>F3380/920</f>
        <v>0.63043478260869568</v>
      </c>
    </row>
    <row r="3381" spans="1:7" ht="16">
      <c r="A3381" s="10" t="s">
        <v>1537</v>
      </c>
      <c r="B3381" s="13">
        <v>2</v>
      </c>
      <c r="C3381" s="11" t="s">
        <v>1523</v>
      </c>
      <c r="D3381" s="10" t="s">
        <v>1522</v>
      </c>
      <c r="E3381" s="9">
        <v>1</v>
      </c>
      <c r="F3381" s="9">
        <v>340</v>
      </c>
      <c r="G3381" s="8">
        <f>F3381/920</f>
        <v>0.36956521739130432</v>
      </c>
    </row>
    <row r="3382" spans="1:7" ht="16">
      <c r="A3382" s="12"/>
      <c r="B3382" s="7"/>
      <c r="C3382" s="11" t="s">
        <v>1508</v>
      </c>
      <c r="D3382" s="10" t="s">
        <v>1507</v>
      </c>
      <c r="E3382" s="9">
        <v>2</v>
      </c>
      <c r="F3382" s="9">
        <v>580</v>
      </c>
      <c r="G3382" s="8">
        <f>F3382/920</f>
        <v>0.63043478260869568</v>
      </c>
    </row>
    <row r="3383" spans="1:7" ht="16">
      <c r="A3383" s="10" t="s">
        <v>1536</v>
      </c>
      <c r="B3383" s="13">
        <v>2</v>
      </c>
      <c r="C3383" s="11" t="s">
        <v>1523</v>
      </c>
      <c r="D3383" s="10" t="s">
        <v>1522</v>
      </c>
      <c r="E3383" s="9">
        <v>1</v>
      </c>
      <c r="F3383" s="9">
        <v>340</v>
      </c>
      <c r="G3383" s="8">
        <f>F3383/920</f>
        <v>0.36956521739130432</v>
      </c>
    </row>
    <row r="3384" spans="1:7" ht="16">
      <c r="A3384" s="12"/>
      <c r="B3384" s="7"/>
      <c r="C3384" s="11" t="s">
        <v>1531</v>
      </c>
      <c r="D3384" s="10" t="s">
        <v>1530</v>
      </c>
      <c r="E3384" s="9">
        <v>2</v>
      </c>
      <c r="F3384" s="9">
        <v>580</v>
      </c>
      <c r="G3384" s="8">
        <f>F3384/920</f>
        <v>0.63043478260869568</v>
      </c>
    </row>
    <row r="3385" spans="1:7" ht="16">
      <c r="A3385" s="10" t="s">
        <v>1535</v>
      </c>
      <c r="B3385" s="13">
        <v>2</v>
      </c>
      <c r="C3385" s="11" t="s">
        <v>1523</v>
      </c>
      <c r="D3385" s="10" t="s">
        <v>1522</v>
      </c>
      <c r="E3385" s="9">
        <v>1</v>
      </c>
      <c r="F3385" s="9">
        <v>340</v>
      </c>
      <c r="G3385" s="8">
        <f>F3385/920</f>
        <v>0.36956521739130432</v>
      </c>
    </row>
    <row r="3386" spans="1:7" ht="16">
      <c r="A3386" s="12"/>
      <c r="B3386" s="7"/>
      <c r="C3386" s="11" t="s">
        <v>1526</v>
      </c>
      <c r="D3386" s="10" t="s">
        <v>1525</v>
      </c>
      <c r="E3386" s="9">
        <v>2</v>
      </c>
      <c r="F3386" s="9">
        <v>580</v>
      </c>
      <c r="G3386" s="8">
        <f>F3386/920</f>
        <v>0.63043478260869568</v>
      </c>
    </row>
    <row r="3387" spans="1:7" ht="16">
      <c r="A3387" s="10" t="s">
        <v>1534</v>
      </c>
      <c r="B3387" s="13">
        <v>3</v>
      </c>
      <c r="C3387" s="11" t="s">
        <v>1523</v>
      </c>
      <c r="D3387" s="10" t="s">
        <v>1522</v>
      </c>
      <c r="E3387" s="9">
        <v>1</v>
      </c>
      <c r="F3387" s="9">
        <v>340</v>
      </c>
      <c r="G3387" s="8">
        <f>F3387/920</f>
        <v>0.36956521739130432</v>
      </c>
    </row>
    <row r="3388" spans="1:7" ht="16">
      <c r="A3388" s="12"/>
      <c r="B3388" s="7"/>
      <c r="C3388" s="11" t="s">
        <v>1531</v>
      </c>
      <c r="D3388" s="10" t="s">
        <v>1530</v>
      </c>
      <c r="E3388" s="9">
        <v>1</v>
      </c>
      <c r="F3388" s="9">
        <v>290</v>
      </c>
      <c r="G3388" s="8">
        <f>F3388/920</f>
        <v>0.31521739130434784</v>
      </c>
    </row>
    <row r="3389" spans="1:7" ht="16">
      <c r="A3389" s="12"/>
      <c r="B3389" s="7"/>
      <c r="C3389" s="11" t="s">
        <v>1526</v>
      </c>
      <c r="D3389" s="10" t="s">
        <v>1525</v>
      </c>
      <c r="E3389" s="9">
        <v>1</v>
      </c>
      <c r="F3389" s="9">
        <v>290</v>
      </c>
      <c r="G3389" s="8">
        <f>F3389/920</f>
        <v>0.31521739130434784</v>
      </c>
    </row>
    <row r="3390" spans="1:7" ht="16">
      <c r="A3390" s="10" t="s">
        <v>1533</v>
      </c>
      <c r="B3390" s="13">
        <v>3</v>
      </c>
      <c r="C3390" s="11" t="s">
        <v>1523</v>
      </c>
      <c r="D3390" s="10" t="s">
        <v>1522</v>
      </c>
      <c r="E3390" s="9">
        <v>1</v>
      </c>
      <c r="F3390" s="9">
        <v>340</v>
      </c>
      <c r="G3390" s="8">
        <f>F3390/920</f>
        <v>0.36956521739130432</v>
      </c>
    </row>
    <row r="3391" spans="1:7" ht="16">
      <c r="A3391" s="12"/>
      <c r="B3391" s="7"/>
      <c r="C3391" s="11" t="s">
        <v>1531</v>
      </c>
      <c r="D3391" s="10" t="s">
        <v>1530</v>
      </c>
      <c r="E3391" s="9">
        <v>1</v>
      </c>
      <c r="F3391" s="9">
        <v>290</v>
      </c>
      <c r="G3391" s="8">
        <f>F3391/920</f>
        <v>0.31521739130434784</v>
      </c>
    </row>
    <row r="3392" spans="1:7" ht="16">
      <c r="A3392" s="12"/>
      <c r="B3392" s="7"/>
      <c r="C3392" s="11" t="s">
        <v>1510</v>
      </c>
      <c r="D3392" s="10" t="s">
        <v>1509</v>
      </c>
      <c r="E3392" s="9">
        <v>1</v>
      </c>
      <c r="F3392" s="9">
        <v>290</v>
      </c>
      <c r="G3392" s="8">
        <f>F3392/920</f>
        <v>0.31521739130434784</v>
      </c>
    </row>
    <row r="3393" spans="1:7" ht="16">
      <c r="A3393" s="10" t="s">
        <v>386</v>
      </c>
      <c r="B3393" s="13">
        <v>3</v>
      </c>
      <c r="C3393" s="11" t="s">
        <v>1523</v>
      </c>
      <c r="D3393" s="10" t="s">
        <v>1522</v>
      </c>
      <c r="E3393" s="9">
        <v>1</v>
      </c>
      <c r="F3393" s="9">
        <v>340</v>
      </c>
      <c r="G3393" s="8">
        <f>F3393/920</f>
        <v>0.36956521739130432</v>
      </c>
    </row>
    <row r="3394" spans="1:7" ht="16">
      <c r="A3394" s="12"/>
      <c r="B3394" s="7"/>
      <c r="C3394" s="11" t="s">
        <v>1531</v>
      </c>
      <c r="D3394" s="10" t="s">
        <v>1530</v>
      </c>
      <c r="E3394" s="9">
        <v>1</v>
      </c>
      <c r="F3394" s="9">
        <v>290</v>
      </c>
      <c r="G3394" s="8">
        <f>F3394/920</f>
        <v>0.31521739130434784</v>
      </c>
    </row>
    <row r="3395" spans="1:7" ht="16">
      <c r="A3395" s="12"/>
      <c r="B3395" s="7"/>
      <c r="C3395" s="11" t="s">
        <v>1508</v>
      </c>
      <c r="D3395" s="10" t="s">
        <v>1507</v>
      </c>
      <c r="E3395" s="9">
        <v>1</v>
      </c>
      <c r="F3395" s="9">
        <v>290</v>
      </c>
      <c r="G3395" s="8">
        <f>F3395/920</f>
        <v>0.31521739130434784</v>
      </c>
    </row>
    <row r="3396" spans="1:7" ht="16">
      <c r="A3396" s="10" t="s">
        <v>1532</v>
      </c>
      <c r="B3396" s="13">
        <v>3</v>
      </c>
      <c r="C3396" s="11" t="s">
        <v>1523</v>
      </c>
      <c r="D3396" s="10" t="s">
        <v>1522</v>
      </c>
      <c r="E3396" s="9">
        <v>1</v>
      </c>
      <c r="F3396" s="9">
        <v>340</v>
      </c>
      <c r="G3396" s="8">
        <f>F3396/920</f>
        <v>0.36956521739130432</v>
      </c>
    </row>
    <row r="3397" spans="1:7" ht="16">
      <c r="A3397" s="12"/>
      <c r="B3397" s="7"/>
      <c r="C3397" s="11" t="s">
        <v>1531</v>
      </c>
      <c r="D3397" s="10" t="s">
        <v>1530</v>
      </c>
      <c r="E3397" s="9">
        <v>1</v>
      </c>
      <c r="F3397" s="9">
        <v>290</v>
      </c>
      <c r="G3397" s="8">
        <f>F3397/920</f>
        <v>0.31521739130434784</v>
      </c>
    </row>
    <row r="3398" spans="1:7" ht="16">
      <c r="A3398" s="12"/>
      <c r="B3398" s="7"/>
      <c r="C3398" s="11" t="s">
        <v>1506</v>
      </c>
      <c r="D3398" s="10" t="s">
        <v>1505</v>
      </c>
      <c r="E3398" s="9">
        <v>1</v>
      </c>
      <c r="F3398" s="9">
        <v>290</v>
      </c>
      <c r="G3398" s="8">
        <f>F3398/920</f>
        <v>0.31521739130434784</v>
      </c>
    </row>
    <row r="3399" spans="1:7" ht="16">
      <c r="A3399" s="10" t="s">
        <v>1529</v>
      </c>
      <c r="B3399" s="13">
        <v>3</v>
      </c>
      <c r="C3399" s="11" t="s">
        <v>1523</v>
      </c>
      <c r="D3399" s="10" t="s">
        <v>1522</v>
      </c>
      <c r="E3399" s="9">
        <v>1</v>
      </c>
      <c r="F3399" s="9">
        <v>340</v>
      </c>
      <c r="G3399" s="8">
        <f>F3399/920</f>
        <v>0.36956521739130432</v>
      </c>
    </row>
    <row r="3400" spans="1:7" ht="16">
      <c r="A3400" s="12"/>
      <c r="B3400" s="7"/>
      <c r="C3400" s="11" t="s">
        <v>1526</v>
      </c>
      <c r="D3400" s="10" t="s">
        <v>1525</v>
      </c>
      <c r="E3400" s="9">
        <v>1</v>
      </c>
      <c r="F3400" s="9">
        <v>290</v>
      </c>
      <c r="G3400" s="8">
        <f>F3400/920</f>
        <v>0.31521739130434784</v>
      </c>
    </row>
    <row r="3401" spans="1:7" ht="16">
      <c r="A3401" s="12"/>
      <c r="B3401" s="7"/>
      <c r="C3401" s="11" t="s">
        <v>1510</v>
      </c>
      <c r="D3401" s="10" t="s">
        <v>1509</v>
      </c>
      <c r="E3401" s="9">
        <v>1</v>
      </c>
      <c r="F3401" s="9">
        <v>290</v>
      </c>
      <c r="G3401" s="8">
        <f>F3401/920</f>
        <v>0.31521739130434784</v>
      </c>
    </row>
    <row r="3402" spans="1:7" ht="16">
      <c r="A3402" s="10" t="s">
        <v>1528</v>
      </c>
      <c r="B3402" s="13">
        <v>3</v>
      </c>
      <c r="C3402" s="11" t="s">
        <v>1523</v>
      </c>
      <c r="D3402" s="10" t="s">
        <v>1522</v>
      </c>
      <c r="E3402" s="9">
        <v>1</v>
      </c>
      <c r="F3402" s="9">
        <v>340</v>
      </c>
      <c r="G3402" s="8">
        <f>F3402/920</f>
        <v>0.36956521739130432</v>
      </c>
    </row>
    <row r="3403" spans="1:7" ht="16">
      <c r="A3403" s="12"/>
      <c r="B3403" s="7"/>
      <c r="C3403" s="11" t="s">
        <v>1526</v>
      </c>
      <c r="D3403" s="10" t="s">
        <v>1525</v>
      </c>
      <c r="E3403" s="9">
        <v>1</v>
      </c>
      <c r="F3403" s="9">
        <v>290</v>
      </c>
      <c r="G3403" s="8">
        <f>F3403/920</f>
        <v>0.31521739130434784</v>
      </c>
    </row>
    <row r="3404" spans="1:7" ht="16">
      <c r="A3404" s="12"/>
      <c r="B3404" s="7"/>
      <c r="C3404" s="11" t="s">
        <v>1508</v>
      </c>
      <c r="D3404" s="10" t="s">
        <v>1507</v>
      </c>
      <c r="E3404" s="9">
        <v>1</v>
      </c>
      <c r="F3404" s="9">
        <v>290</v>
      </c>
      <c r="G3404" s="8">
        <f>F3404/920</f>
        <v>0.31521739130434784</v>
      </c>
    </row>
    <row r="3405" spans="1:7" ht="16">
      <c r="A3405" s="10" t="s">
        <v>1527</v>
      </c>
      <c r="B3405" s="13">
        <v>3</v>
      </c>
      <c r="C3405" s="11" t="s">
        <v>1523</v>
      </c>
      <c r="D3405" s="10" t="s">
        <v>1522</v>
      </c>
      <c r="E3405" s="9">
        <v>1</v>
      </c>
      <c r="F3405" s="9">
        <v>340</v>
      </c>
      <c r="G3405" s="8">
        <f>F3405/920</f>
        <v>0.36956521739130432</v>
      </c>
    </row>
    <row r="3406" spans="1:7" ht="16">
      <c r="A3406" s="12"/>
      <c r="B3406" s="7"/>
      <c r="C3406" s="11" t="s">
        <v>1526</v>
      </c>
      <c r="D3406" s="10" t="s">
        <v>1525</v>
      </c>
      <c r="E3406" s="9">
        <v>1</v>
      </c>
      <c r="F3406" s="9">
        <v>290</v>
      </c>
      <c r="G3406" s="8">
        <f>F3406/920</f>
        <v>0.31521739130434784</v>
      </c>
    </row>
    <row r="3407" spans="1:7" ht="16">
      <c r="A3407" s="12"/>
      <c r="B3407" s="7"/>
      <c r="C3407" s="11" t="s">
        <v>1506</v>
      </c>
      <c r="D3407" s="10" t="s">
        <v>1505</v>
      </c>
      <c r="E3407" s="9">
        <v>1</v>
      </c>
      <c r="F3407" s="9">
        <v>290</v>
      </c>
      <c r="G3407" s="8">
        <f>F3407/920</f>
        <v>0.31521739130434784</v>
      </c>
    </row>
    <row r="3408" spans="1:7" ht="16">
      <c r="A3408" s="10" t="s">
        <v>1524</v>
      </c>
      <c r="B3408" s="13">
        <v>3</v>
      </c>
      <c r="C3408" s="11" t="s">
        <v>1523</v>
      </c>
      <c r="D3408" s="10" t="s">
        <v>1522</v>
      </c>
      <c r="E3408" s="9">
        <v>1</v>
      </c>
      <c r="F3408" s="9">
        <v>340</v>
      </c>
      <c r="G3408" s="8">
        <f>F3408/920</f>
        <v>0.36956521739130432</v>
      </c>
    </row>
    <row r="3409" spans="1:7" ht="16">
      <c r="A3409" s="12"/>
      <c r="B3409" s="7"/>
      <c r="C3409" s="11" t="s">
        <v>1510</v>
      </c>
      <c r="D3409" s="10" t="s">
        <v>1509</v>
      </c>
      <c r="E3409" s="9">
        <v>1</v>
      </c>
      <c r="F3409" s="9">
        <v>290</v>
      </c>
      <c r="G3409" s="8">
        <f>F3409/920</f>
        <v>0.31521739130434784</v>
      </c>
    </row>
    <row r="3410" spans="1:7" ht="16">
      <c r="A3410" s="12"/>
      <c r="B3410" s="7"/>
      <c r="C3410" s="11" t="s">
        <v>1506</v>
      </c>
      <c r="D3410" s="10" t="s">
        <v>1505</v>
      </c>
      <c r="E3410" s="9">
        <v>1</v>
      </c>
      <c r="F3410" s="9">
        <v>290</v>
      </c>
      <c r="G3410" s="8">
        <f>F3410/920</f>
        <v>0.31521739130434784</v>
      </c>
    </row>
    <row r="3411" spans="1:7" ht="16">
      <c r="A3411" s="10" t="s">
        <v>1047</v>
      </c>
      <c r="B3411" s="13">
        <v>3</v>
      </c>
      <c r="C3411" s="11" t="s">
        <v>1523</v>
      </c>
      <c r="D3411" s="10" t="s">
        <v>1522</v>
      </c>
      <c r="E3411" s="9">
        <v>1</v>
      </c>
      <c r="F3411" s="9">
        <v>340</v>
      </c>
      <c r="G3411" s="8">
        <f>F3411/920</f>
        <v>0.36956521739130432</v>
      </c>
    </row>
    <row r="3412" spans="1:7" ht="16">
      <c r="A3412" s="12"/>
      <c r="B3412" s="7"/>
      <c r="C3412" s="11" t="s">
        <v>1510</v>
      </c>
      <c r="D3412" s="10" t="s">
        <v>1509</v>
      </c>
      <c r="E3412" s="9">
        <v>1</v>
      </c>
      <c r="F3412" s="9">
        <v>290</v>
      </c>
      <c r="G3412" s="8">
        <f>F3412/920</f>
        <v>0.31521739130434784</v>
      </c>
    </row>
    <row r="3413" spans="1:7" ht="16">
      <c r="A3413" s="12"/>
      <c r="B3413" s="7"/>
      <c r="C3413" s="11" t="s">
        <v>1508</v>
      </c>
      <c r="D3413" s="10" t="s">
        <v>1507</v>
      </c>
      <c r="E3413" s="9">
        <v>1</v>
      </c>
      <c r="F3413" s="9">
        <v>290</v>
      </c>
      <c r="G3413" s="8">
        <f>F3413/920</f>
        <v>0.31521739130434784</v>
      </c>
    </row>
    <row r="3414" spans="1:7" ht="16">
      <c r="A3414" s="10" t="s">
        <v>750</v>
      </c>
      <c r="B3414" s="13">
        <v>3</v>
      </c>
      <c r="C3414" s="11" t="s">
        <v>1523</v>
      </c>
      <c r="D3414" s="10" t="s">
        <v>1522</v>
      </c>
      <c r="E3414" s="9">
        <v>1</v>
      </c>
      <c r="F3414" s="9">
        <v>340</v>
      </c>
      <c r="G3414" s="8">
        <f>F3414/920</f>
        <v>0.36956521739130432</v>
      </c>
    </row>
    <row r="3415" spans="1:7" ht="16">
      <c r="A3415" s="12"/>
      <c r="B3415" s="7"/>
      <c r="C3415" s="11" t="s">
        <v>1506</v>
      </c>
      <c r="D3415" s="10" t="s">
        <v>1505</v>
      </c>
      <c r="E3415" s="9">
        <v>1</v>
      </c>
      <c r="F3415" s="9">
        <v>290</v>
      </c>
      <c r="G3415" s="8">
        <f>F3415/920</f>
        <v>0.31521739130434784</v>
      </c>
    </row>
    <row r="3416" spans="1:7" ht="16">
      <c r="A3416" s="12"/>
      <c r="B3416" s="7"/>
      <c r="C3416" s="11" t="s">
        <v>1508</v>
      </c>
      <c r="D3416" s="10" t="s">
        <v>1507</v>
      </c>
      <c r="E3416" s="9">
        <v>1</v>
      </c>
      <c r="F3416" s="9">
        <v>290</v>
      </c>
      <c r="G3416" s="8">
        <f>F3416/920</f>
        <v>0.31521739130434784</v>
      </c>
    </row>
    <row r="3417" spans="1:7" ht="16">
      <c r="A3417" s="12" t="s">
        <v>98</v>
      </c>
      <c r="B3417" s="7">
        <v>3</v>
      </c>
      <c r="C3417" s="6" t="s">
        <v>1512</v>
      </c>
      <c r="D3417" s="12" t="s">
        <v>1511</v>
      </c>
      <c r="E3417" s="12">
        <v>1</v>
      </c>
      <c r="F3417" s="12">
        <v>150</v>
      </c>
      <c r="G3417" s="5">
        <v>0.33333333333333331</v>
      </c>
    </row>
    <row r="3418" spans="1:7" ht="16">
      <c r="B3418" s="7"/>
      <c r="C3418" s="6" t="s">
        <v>1517</v>
      </c>
      <c r="D3418" s="12" t="s">
        <v>1516</v>
      </c>
      <c r="E3418" s="12">
        <v>1</v>
      </c>
      <c r="F3418" s="12">
        <v>150</v>
      </c>
      <c r="G3418" s="5">
        <v>0.33333333333333331</v>
      </c>
    </row>
    <row r="3419" spans="1:7" ht="16">
      <c r="B3419" s="7"/>
      <c r="C3419" s="6" t="s">
        <v>1514</v>
      </c>
      <c r="D3419" s="12" t="s">
        <v>1513</v>
      </c>
      <c r="E3419" s="12">
        <v>1</v>
      </c>
      <c r="F3419" s="12">
        <v>150</v>
      </c>
      <c r="G3419" s="5">
        <v>0.33400000000000002</v>
      </c>
    </row>
    <row r="3420" spans="1:7" ht="16">
      <c r="A3420" s="12" t="s">
        <v>1521</v>
      </c>
      <c r="B3420" s="7">
        <v>1</v>
      </c>
      <c r="C3420" s="6" t="s">
        <v>1514</v>
      </c>
      <c r="D3420" s="12" t="s">
        <v>1513</v>
      </c>
      <c r="E3420" s="12">
        <v>3</v>
      </c>
      <c r="F3420" s="12">
        <v>450</v>
      </c>
      <c r="G3420" s="5">
        <v>1</v>
      </c>
    </row>
    <row r="3421" spans="1:7" ht="16">
      <c r="A3421" s="12" t="s">
        <v>255</v>
      </c>
      <c r="B3421" s="7">
        <v>1</v>
      </c>
      <c r="C3421" s="6" t="s">
        <v>1517</v>
      </c>
      <c r="D3421" s="12" t="s">
        <v>1516</v>
      </c>
      <c r="E3421" s="12">
        <v>3</v>
      </c>
      <c r="F3421" s="12">
        <v>450</v>
      </c>
      <c r="G3421" s="5">
        <v>1</v>
      </c>
    </row>
    <row r="3422" spans="1:7" ht="16">
      <c r="A3422" s="12" t="s">
        <v>1520</v>
      </c>
      <c r="B3422" s="7">
        <v>1</v>
      </c>
      <c r="C3422" s="6" t="s">
        <v>1512</v>
      </c>
      <c r="D3422" s="12" t="s">
        <v>1511</v>
      </c>
      <c r="E3422" s="12">
        <v>3</v>
      </c>
      <c r="F3422" s="12">
        <v>450</v>
      </c>
      <c r="G3422" s="5">
        <v>1</v>
      </c>
    </row>
    <row r="3423" spans="1:7" ht="16">
      <c r="A3423" s="12" t="s">
        <v>340</v>
      </c>
      <c r="B3423" s="7">
        <v>2</v>
      </c>
      <c r="C3423" s="6" t="s">
        <v>1517</v>
      </c>
      <c r="D3423" s="12" t="s">
        <v>1516</v>
      </c>
      <c r="E3423" s="12">
        <v>2</v>
      </c>
      <c r="F3423" s="12">
        <v>300</v>
      </c>
      <c r="G3423" s="5">
        <v>0.66666666666666663</v>
      </c>
    </row>
    <row r="3424" spans="1:7" ht="16">
      <c r="B3424" s="7"/>
      <c r="C3424" s="6" t="s">
        <v>1512</v>
      </c>
      <c r="D3424" s="12" t="s">
        <v>1511</v>
      </c>
      <c r="E3424" s="12">
        <v>1</v>
      </c>
      <c r="F3424" s="12">
        <v>150</v>
      </c>
      <c r="G3424" s="5">
        <v>0.33333333333333331</v>
      </c>
    </row>
    <row r="3425" spans="1:7" ht="16">
      <c r="A3425" s="12" t="s">
        <v>58</v>
      </c>
      <c r="B3425" s="7">
        <v>2</v>
      </c>
      <c r="C3425" s="6" t="s">
        <v>1517</v>
      </c>
      <c r="D3425" s="12" t="s">
        <v>1516</v>
      </c>
      <c r="E3425" s="12">
        <v>2</v>
      </c>
      <c r="F3425" s="12">
        <v>300</v>
      </c>
      <c r="G3425" s="5">
        <v>0.66666666666666663</v>
      </c>
    </row>
    <row r="3426" spans="1:7" ht="16">
      <c r="B3426" s="7"/>
      <c r="C3426" s="6" t="s">
        <v>1514</v>
      </c>
      <c r="D3426" s="12" t="s">
        <v>1513</v>
      </c>
      <c r="E3426" s="12">
        <v>1</v>
      </c>
      <c r="F3426" s="12">
        <v>150</v>
      </c>
      <c r="G3426" s="5">
        <v>0.33333333333333331</v>
      </c>
    </row>
    <row r="3427" spans="1:7" ht="16">
      <c r="A3427" s="12" t="s">
        <v>1519</v>
      </c>
      <c r="B3427" s="7">
        <v>2</v>
      </c>
      <c r="C3427" s="6" t="s">
        <v>1512</v>
      </c>
      <c r="D3427" s="12" t="s">
        <v>1511</v>
      </c>
      <c r="E3427" s="12">
        <v>2</v>
      </c>
      <c r="F3427" s="12">
        <v>300</v>
      </c>
      <c r="G3427" s="5">
        <v>0.66666666666666663</v>
      </c>
    </row>
    <row r="3428" spans="1:7" ht="16">
      <c r="B3428" s="7"/>
      <c r="C3428" s="6" t="s">
        <v>1517</v>
      </c>
      <c r="D3428" s="12" t="s">
        <v>1516</v>
      </c>
      <c r="E3428" s="12">
        <v>1</v>
      </c>
      <c r="F3428" s="12">
        <v>150</v>
      </c>
      <c r="G3428" s="5">
        <v>0.33333333333333331</v>
      </c>
    </row>
    <row r="3429" spans="1:7" ht="16">
      <c r="A3429" s="12" t="s">
        <v>1518</v>
      </c>
      <c r="B3429" s="7">
        <v>2</v>
      </c>
      <c r="C3429" s="6" t="s">
        <v>1512</v>
      </c>
      <c r="D3429" s="12" t="s">
        <v>1511</v>
      </c>
      <c r="E3429" s="12">
        <v>2</v>
      </c>
      <c r="F3429" s="12">
        <v>300</v>
      </c>
      <c r="G3429" s="5">
        <v>0.66666666666666663</v>
      </c>
    </row>
    <row r="3430" spans="1:7" ht="16">
      <c r="B3430" s="7"/>
      <c r="C3430" s="6" t="s">
        <v>1514</v>
      </c>
      <c r="D3430" s="12" t="s">
        <v>1513</v>
      </c>
      <c r="E3430" s="12">
        <v>1</v>
      </c>
      <c r="F3430" s="12">
        <v>150</v>
      </c>
      <c r="G3430" s="5">
        <v>0.33333333333333331</v>
      </c>
    </row>
    <row r="3431" spans="1:7" ht="16">
      <c r="A3431" s="12" t="s">
        <v>417</v>
      </c>
      <c r="B3431" s="7">
        <v>2</v>
      </c>
      <c r="C3431" s="6" t="s">
        <v>1514</v>
      </c>
      <c r="D3431" s="12" t="s">
        <v>1513</v>
      </c>
      <c r="E3431" s="12">
        <v>2</v>
      </c>
      <c r="F3431" s="12">
        <v>300</v>
      </c>
      <c r="G3431" s="5">
        <v>0.66666666666666663</v>
      </c>
    </row>
    <row r="3432" spans="1:7" ht="16">
      <c r="B3432" s="7"/>
      <c r="C3432" s="6" t="s">
        <v>1517</v>
      </c>
      <c r="D3432" s="12" t="s">
        <v>1516</v>
      </c>
      <c r="E3432" s="12">
        <v>1</v>
      </c>
      <c r="F3432" s="12">
        <v>150</v>
      </c>
      <c r="G3432" s="5">
        <v>0.33333333333333331</v>
      </c>
    </row>
    <row r="3433" spans="1:7" ht="16">
      <c r="A3433" s="12" t="s">
        <v>1515</v>
      </c>
      <c r="B3433" s="7">
        <v>2</v>
      </c>
      <c r="C3433" s="6" t="s">
        <v>1514</v>
      </c>
      <c r="D3433" s="12" t="s">
        <v>1513</v>
      </c>
      <c r="E3433" s="12">
        <v>2</v>
      </c>
      <c r="F3433" s="12">
        <v>300</v>
      </c>
      <c r="G3433" s="5">
        <v>0.66666666666666663</v>
      </c>
    </row>
    <row r="3434" spans="1:7" ht="16">
      <c r="B3434" s="7"/>
      <c r="C3434" s="6" t="s">
        <v>1512</v>
      </c>
      <c r="D3434" s="12" t="s">
        <v>1511</v>
      </c>
      <c r="E3434" s="12">
        <v>1</v>
      </c>
      <c r="F3434" s="12">
        <v>150</v>
      </c>
      <c r="G3434" s="5">
        <v>0.33333333333333331</v>
      </c>
    </row>
    <row r="3435" spans="1:7" ht="16">
      <c r="A3435" s="10" t="s">
        <v>21</v>
      </c>
      <c r="B3435" s="13">
        <v>3</v>
      </c>
      <c r="C3435" s="11" t="s">
        <v>1510</v>
      </c>
      <c r="D3435" s="10" t="s">
        <v>1509</v>
      </c>
      <c r="E3435" s="9">
        <v>1</v>
      </c>
      <c r="F3435" s="9">
        <v>296</v>
      </c>
      <c r="G3435" s="8">
        <f>1/3</f>
        <v>0.33333333333333331</v>
      </c>
    </row>
    <row r="3436" spans="1:7" ht="16">
      <c r="A3436" s="12"/>
      <c r="B3436" s="7"/>
      <c r="C3436" s="11" t="s">
        <v>1508</v>
      </c>
      <c r="D3436" s="10" t="s">
        <v>1507</v>
      </c>
      <c r="E3436" s="9">
        <v>1</v>
      </c>
      <c r="F3436" s="9">
        <v>296</v>
      </c>
      <c r="G3436" s="8">
        <f>1/3</f>
        <v>0.33333333333333331</v>
      </c>
    </row>
    <row r="3437" spans="1:7" ht="16">
      <c r="A3437" s="12"/>
      <c r="B3437" s="7"/>
      <c r="C3437" s="11" t="s">
        <v>1506</v>
      </c>
      <c r="D3437" s="10" t="s">
        <v>1505</v>
      </c>
      <c r="E3437" s="9">
        <v>1</v>
      </c>
      <c r="F3437" s="9">
        <v>296</v>
      </c>
      <c r="G3437" s="8">
        <f>1/3</f>
        <v>0.33333333333333331</v>
      </c>
    </row>
    <row r="3438" spans="1:7" ht="16">
      <c r="A3438" s="10" t="s">
        <v>1504</v>
      </c>
      <c r="B3438" s="13">
        <v>1</v>
      </c>
      <c r="C3438" s="11" t="s">
        <v>1503</v>
      </c>
      <c r="D3438" s="10" t="s">
        <v>1502</v>
      </c>
      <c r="E3438" s="9">
        <v>2</v>
      </c>
      <c r="F3438" s="9">
        <v>269</v>
      </c>
      <c r="G3438" s="8">
        <v>1</v>
      </c>
    </row>
    <row r="3439" spans="1:7" ht="16">
      <c r="A3439" s="10" t="s">
        <v>1501</v>
      </c>
      <c r="B3439" s="13">
        <v>2</v>
      </c>
      <c r="C3439" s="11" t="s">
        <v>1500</v>
      </c>
      <c r="D3439" s="10" t="s">
        <v>1499</v>
      </c>
      <c r="E3439" s="9">
        <v>1</v>
      </c>
      <c r="F3439" s="9">
        <v>140</v>
      </c>
      <c r="G3439" s="8">
        <f>F3439/335</f>
        <v>0.41791044776119401</v>
      </c>
    </row>
    <row r="3440" spans="1:7" ht="16">
      <c r="A3440" s="12"/>
      <c r="B3440" s="7"/>
      <c r="C3440" s="11" t="s">
        <v>1498</v>
      </c>
      <c r="D3440" s="10" t="s">
        <v>1497</v>
      </c>
      <c r="E3440" s="9">
        <v>1</v>
      </c>
      <c r="F3440" s="9">
        <v>195</v>
      </c>
      <c r="G3440" s="8">
        <f>F3440/335</f>
        <v>0.58208955223880599</v>
      </c>
    </row>
    <row r="3441" spans="1:7" ht="16">
      <c r="A3441" s="19" t="s">
        <v>1496</v>
      </c>
      <c r="B3441" s="7">
        <v>1</v>
      </c>
      <c r="C3441" s="16">
        <v>4714781021043</v>
      </c>
      <c r="D3441" s="15" t="s">
        <v>1495</v>
      </c>
      <c r="E3441" s="17">
        <v>5</v>
      </c>
      <c r="F3441" s="9">
        <v>1000</v>
      </c>
      <c r="G3441" s="14">
        <f>F3441/1000</f>
        <v>1</v>
      </c>
    </row>
    <row r="3442" spans="1:7" ht="16">
      <c r="A3442" s="10" t="s">
        <v>657</v>
      </c>
      <c r="B3442" s="13">
        <v>2</v>
      </c>
      <c r="C3442" s="11" t="s">
        <v>1486</v>
      </c>
      <c r="D3442" s="10" t="s">
        <v>1485</v>
      </c>
      <c r="E3442" s="9">
        <v>1</v>
      </c>
      <c r="F3442" s="9">
        <v>340</v>
      </c>
      <c r="G3442" s="8">
        <f>F3442/480</f>
        <v>0.70833333333333337</v>
      </c>
    </row>
    <row r="3443" spans="1:7" ht="16">
      <c r="A3443" s="10"/>
      <c r="B3443" s="7"/>
      <c r="C3443" s="11" t="s">
        <v>1491</v>
      </c>
      <c r="D3443" s="10" t="s">
        <v>1490</v>
      </c>
      <c r="E3443" s="9">
        <v>1</v>
      </c>
      <c r="F3443" s="9">
        <v>140</v>
      </c>
      <c r="G3443" s="8">
        <f>F3443/480</f>
        <v>0.29166666666666669</v>
      </c>
    </row>
    <row r="3444" spans="1:7" ht="16">
      <c r="A3444" s="10" t="s">
        <v>378</v>
      </c>
      <c r="B3444" s="13">
        <v>2</v>
      </c>
      <c r="C3444" s="11" t="s">
        <v>1486</v>
      </c>
      <c r="D3444" s="10" t="s">
        <v>1485</v>
      </c>
      <c r="E3444" s="9">
        <v>1</v>
      </c>
      <c r="F3444" s="9">
        <v>340</v>
      </c>
      <c r="G3444" s="8">
        <f>F3444/480</f>
        <v>0.70833333333333337</v>
      </c>
    </row>
    <row r="3445" spans="1:7" ht="16">
      <c r="A3445" s="10"/>
      <c r="B3445" s="7"/>
      <c r="C3445" s="11" t="s">
        <v>1493</v>
      </c>
      <c r="D3445" s="10" t="s">
        <v>1492</v>
      </c>
      <c r="E3445" s="9">
        <v>1</v>
      </c>
      <c r="F3445" s="9">
        <v>140</v>
      </c>
      <c r="G3445" s="8">
        <f>F3445/480</f>
        <v>0.29166666666666669</v>
      </c>
    </row>
    <row r="3446" spans="1:7" ht="16">
      <c r="A3446" s="10" t="s">
        <v>673</v>
      </c>
      <c r="B3446" s="13">
        <v>2</v>
      </c>
      <c r="C3446" s="11" t="s">
        <v>1484</v>
      </c>
      <c r="D3446" s="10" t="s">
        <v>1483</v>
      </c>
      <c r="E3446" s="9">
        <v>1</v>
      </c>
      <c r="F3446" s="9">
        <v>340</v>
      </c>
      <c r="G3446" s="8">
        <f>F3446/480</f>
        <v>0.70833333333333337</v>
      </c>
    </row>
    <row r="3447" spans="1:7" ht="16">
      <c r="A3447" s="10"/>
      <c r="B3447" s="7"/>
      <c r="C3447" s="11" t="s">
        <v>1493</v>
      </c>
      <c r="D3447" s="10" t="s">
        <v>1492</v>
      </c>
      <c r="E3447" s="9">
        <v>1</v>
      </c>
      <c r="F3447" s="9">
        <v>140</v>
      </c>
      <c r="G3447" s="8">
        <f>F3447/480</f>
        <v>0.29166666666666669</v>
      </c>
    </row>
    <row r="3448" spans="1:7" ht="16">
      <c r="A3448" s="10" t="s">
        <v>421</v>
      </c>
      <c r="B3448" s="13">
        <v>2</v>
      </c>
      <c r="C3448" s="11" t="s">
        <v>1484</v>
      </c>
      <c r="D3448" s="10" t="s">
        <v>1483</v>
      </c>
      <c r="E3448" s="9">
        <v>1</v>
      </c>
      <c r="F3448" s="9">
        <v>340</v>
      </c>
      <c r="G3448" s="8">
        <f>F3448/480</f>
        <v>0.70833333333333337</v>
      </c>
    </row>
    <row r="3449" spans="1:7" ht="16">
      <c r="A3449" s="10"/>
      <c r="B3449" s="7"/>
      <c r="C3449" s="11" t="s">
        <v>1491</v>
      </c>
      <c r="D3449" s="10" t="s">
        <v>1490</v>
      </c>
      <c r="E3449" s="9">
        <v>1</v>
      </c>
      <c r="F3449" s="9">
        <v>140</v>
      </c>
      <c r="G3449" s="8">
        <f>F3449/480</f>
        <v>0.29166666666666669</v>
      </c>
    </row>
    <row r="3450" spans="1:7" ht="16">
      <c r="A3450" s="10" t="s">
        <v>1494</v>
      </c>
      <c r="B3450" s="13">
        <v>1</v>
      </c>
      <c r="C3450" s="11" t="s">
        <v>1493</v>
      </c>
      <c r="D3450" s="10" t="s">
        <v>1492</v>
      </c>
      <c r="E3450" s="9">
        <v>2</v>
      </c>
      <c r="F3450" s="9">
        <v>280</v>
      </c>
      <c r="G3450" s="8">
        <f>F3450/280</f>
        <v>1</v>
      </c>
    </row>
    <row r="3451" spans="1:7" ht="16">
      <c r="A3451" s="10" t="s">
        <v>504</v>
      </c>
      <c r="B3451" s="13">
        <v>1</v>
      </c>
      <c r="C3451" s="11" t="s">
        <v>1491</v>
      </c>
      <c r="D3451" s="10" t="s">
        <v>1490</v>
      </c>
      <c r="E3451" s="9">
        <v>2</v>
      </c>
      <c r="F3451" s="9">
        <v>280</v>
      </c>
      <c r="G3451" s="8">
        <f>F3451/280</f>
        <v>1</v>
      </c>
    </row>
    <row r="3452" spans="1:7" ht="16">
      <c r="A3452" s="10" t="s">
        <v>318</v>
      </c>
      <c r="B3452" s="13">
        <v>2</v>
      </c>
      <c r="C3452" s="11" t="s">
        <v>1493</v>
      </c>
      <c r="D3452" s="10" t="s">
        <v>1492</v>
      </c>
      <c r="E3452" s="9">
        <v>1</v>
      </c>
      <c r="F3452" s="9">
        <v>140</v>
      </c>
      <c r="G3452" s="8">
        <f>F3452/280</f>
        <v>0.5</v>
      </c>
    </row>
    <row r="3453" spans="1:7" ht="16">
      <c r="A3453" s="10"/>
      <c r="B3453" s="7"/>
      <c r="C3453" s="11" t="s">
        <v>1491</v>
      </c>
      <c r="D3453" s="10" t="s">
        <v>1490</v>
      </c>
      <c r="E3453" s="9">
        <v>1</v>
      </c>
      <c r="F3453" s="9">
        <v>140</v>
      </c>
      <c r="G3453" s="8">
        <f>F3453/280</f>
        <v>0.5</v>
      </c>
    </row>
    <row r="3454" spans="1:7" ht="16">
      <c r="A3454" s="10" t="s">
        <v>1489</v>
      </c>
      <c r="B3454" s="13">
        <v>1</v>
      </c>
      <c r="C3454" s="11" t="s">
        <v>1486</v>
      </c>
      <c r="D3454" s="10" t="s">
        <v>1485</v>
      </c>
      <c r="E3454" s="9">
        <v>2</v>
      </c>
      <c r="F3454" s="9">
        <v>680</v>
      </c>
      <c r="G3454" s="8">
        <f>F3454/680</f>
        <v>1</v>
      </c>
    </row>
    <row r="3455" spans="1:7" ht="16">
      <c r="A3455" s="10" t="s">
        <v>1488</v>
      </c>
      <c r="B3455" s="13">
        <v>1</v>
      </c>
      <c r="C3455" s="11" t="s">
        <v>1484</v>
      </c>
      <c r="D3455" s="10" t="s">
        <v>1483</v>
      </c>
      <c r="E3455" s="9">
        <v>2</v>
      </c>
      <c r="F3455" s="9">
        <v>680</v>
      </c>
      <c r="G3455" s="8">
        <f>F3455/680</f>
        <v>1</v>
      </c>
    </row>
    <row r="3456" spans="1:7" ht="16">
      <c r="A3456" s="10" t="s">
        <v>1487</v>
      </c>
      <c r="B3456" s="13">
        <v>2</v>
      </c>
      <c r="C3456" s="11" t="s">
        <v>1486</v>
      </c>
      <c r="D3456" s="10" t="s">
        <v>1485</v>
      </c>
      <c r="E3456" s="9">
        <v>1</v>
      </c>
      <c r="F3456" s="9">
        <v>340</v>
      </c>
      <c r="G3456" s="8">
        <f>F3456/680</f>
        <v>0.5</v>
      </c>
    </row>
    <row r="3457" spans="1:7" ht="16">
      <c r="A3457" s="12"/>
      <c r="B3457" s="7"/>
      <c r="C3457" s="11" t="s">
        <v>1484</v>
      </c>
      <c r="D3457" s="10" t="s">
        <v>1483</v>
      </c>
      <c r="E3457" s="9">
        <v>1</v>
      </c>
      <c r="F3457" s="9">
        <v>340</v>
      </c>
      <c r="G3457" s="8">
        <f>F3457/680</f>
        <v>0.5</v>
      </c>
    </row>
    <row r="3458" spans="1:7" ht="16">
      <c r="A3458" s="12" t="s">
        <v>1482</v>
      </c>
      <c r="B3458" s="7">
        <v>2</v>
      </c>
      <c r="C3458" s="16">
        <v>4714781020770</v>
      </c>
      <c r="D3458" s="18" t="s">
        <v>1380</v>
      </c>
      <c r="E3458" s="9">
        <v>2</v>
      </c>
      <c r="F3458" s="17">
        <v>280</v>
      </c>
      <c r="G3458" s="14">
        <v>0.65116279069767447</v>
      </c>
    </row>
    <row r="3459" spans="1:7" ht="16">
      <c r="A3459" s="12"/>
      <c r="B3459" s="7"/>
      <c r="C3459" s="16">
        <v>4714781020954</v>
      </c>
      <c r="D3459" s="18" t="s">
        <v>140</v>
      </c>
      <c r="E3459" s="17">
        <v>1</v>
      </c>
      <c r="F3459" s="17">
        <v>150</v>
      </c>
      <c r="G3459" s="14">
        <v>0.34883720930232559</v>
      </c>
    </row>
    <row r="3460" spans="1:7" ht="16">
      <c r="A3460" s="12" t="s">
        <v>1481</v>
      </c>
      <c r="B3460" s="7">
        <v>2</v>
      </c>
      <c r="C3460" s="16">
        <v>4714781020787</v>
      </c>
      <c r="D3460" s="18" t="s">
        <v>1378</v>
      </c>
      <c r="E3460" s="17">
        <v>2</v>
      </c>
      <c r="F3460" s="17">
        <v>280</v>
      </c>
      <c r="G3460" s="14">
        <v>0.65116279069767447</v>
      </c>
    </row>
    <row r="3461" spans="1:7" ht="16">
      <c r="A3461" s="12"/>
      <c r="B3461" s="7"/>
      <c r="C3461" s="16">
        <v>4714781020954</v>
      </c>
      <c r="D3461" s="12" t="s">
        <v>140</v>
      </c>
      <c r="E3461" s="17">
        <v>1</v>
      </c>
      <c r="F3461" s="17">
        <v>150</v>
      </c>
      <c r="G3461" s="14">
        <v>0.34883720930232559</v>
      </c>
    </row>
    <row r="3462" spans="1:7" ht="16">
      <c r="A3462" s="12" t="s">
        <v>152</v>
      </c>
      <c r="B3462" s="7">
        <v>3</v>
      </c>
      <c r="C3462" s="16">
        <v>4714781020770</v>
      </c>
      <c r="D3462" s="18" t="s">
        <v>1380</v>
      </c>
      <c r="E3462" s="17">
        <v>1</v>
      </c>
      <c r="F3462" s="17">
        <v>140</v>
      </c>
      <c r="G3462" s="14">
        <v>0.32558139534883723</v>
      </c>
    </row>
    <row r="3463" spans="1:7" ht="16">
      <c r="A3463" s="12"/>
      <c r="B3463" s="7"/>
      <c r="C3463" s="16">
        <v>4714781020787</v>
      </c>
      <c r="D3463" s="12" t="s">
        <v>1378</v>
      </c>
      <c r="E3463" s="17">
        <v>1</v>
      </c>
      <c r="F3463" s="17">
        <v>140</v>
      </c>
      <c r="G3463" s="14">
        <v>0.32558139534883723</v>
      </c>
    </row>
    <row r="3464" spans="1:7" ht="16">
      <c r="A3464" s="12"/>
      <c r="B3464" s="7"/>
      <c r="C3464" s="16">
        <v>4714781020954</v>
      </c>
      <c r="D3464" s="12" t="s">
        <v>140</v>
      </c>
      <c r="E3464" s="17">
        <v>1</v>
      </c>
      <c r="F3464" s="17">
        <v>150</v>
      </c>
      <c r="G3464" s="14">
        <v>0.34883720930232559</v>
      </c>
    </row>
    <row r="3465" spans="1:7" ht="16">
      <c r="A3465" s="18" t="s">
        <v>544</v>
      </c>
      <c r="B3465" s="7">
        <v>1</v>
      </c>
      <c r="C3465" s="16">
        <v>4714781020954</v>
      </c>
      <c r="D3465" s="10" t="s">
        <v>1480</v>
      </c>
      <c r="E3465" s="17">
        <v>4</v>
      </c>
      <c r="F3465" s="17">
        <v>570</v>
      </c>
      <c r="G3465" s="14">
        <f>F3465/570</f>
        <v>1</v>
      </c>
    </row>
    <row r="3466" spans="1:7" ht="16">
      <c r="A3466" s="18" t="s">
        <v>1479</v>
      </c>
      <c r="B3466" s="7">
        <v>1</v>
      </c>
      <c r="C3466" s="16">
        <v>4714781020824</v>
      </c>
      <c r="D3466" s="15" t="s">
        <v>1478</v>
      </c>
      <c r="E3466" s="17">
        <v>5</v>
      </c>
      <c r="F3466" s="17">
        <v>1700</v>
      </c>
      <c r="G3466" s="14">
        <f>F3466/1700</f>
        <v>1</v>
      </c>
    </row>
    <row r="3467" spans="1:7" ht="16">
      <c r="A3467" s="18" t="s">
        <v>1477</v>
      </c>
      <c r="B3467" s="7">
        <v>1</v>
      </c>
      <c r="C3467" s="16">
        <v>4714781020831</v>
      </c>
      <c r="D3467" s="15" t="s">
        <v>1476</v>
      </c>
      <c r="E3467" s="17">
        <v>5</v>
      </c>
      <c r="F3467" s="17">
        <v>1700</v>
      </c>
      <c r="G3467" s="14">
        <f>F3467/1700</f>
        <v>1</v>
      </c>
    </row>
    <row r="3468" spans="1:7" ht="16">
      <c r="A3468" s="18" t="s">
        <v>886</v>
      </c>
      <c r="B3468" s="7">
        <v>2</v>
      </c>
      <c r="C3468" s="16">
        <v>4714781020824</v>
      </c>
      <c r="D3468" s="15" t="s">
        <v>1475</v>
      </c>
      <c r="E3468" s="17">
        <v>2</v>
      </c>
      <c r="F3468" s="17">
        <v>700</v>
      </c>
      <c r="G3468" s="14">
        <f>F3468/1700</f>
        <v>0.41176470588235292</v>
      </c>
    </row>
    <row r="3469" spans="1:7" ht="16">
      <c r="A3469" s="18"/>
      <c r="B3469" s="7"/>
      <c r="C3469" s="16">
        <v>4714781020831</v>
      </c>
      <c r="D3469" s="15" t="s">
        <v>1474</v>
      </c>
      <c r="E3469" s="17">
        <v>3</v>
      </c>
      <c r="F3469" s="17">
        <v>1000</v>
      </c>
      <c r="G3469" s="14">
        <f>F3469/1700</f>
        <v>0.58823529411764708</v>
      </c>
    </row>
    <row r="3470" spans="1:7" ht="16">
      <c r="A3470" s="18" t="s">
        <v>1473</v>
      </c>
      <c r="B3470" s="7">
        <v>2</v>
      </c>
      <c r="C3470" s="16">
        <v>4714781020824</v>
      </c>
      <c r="D3470" s="15" t="s">
        <v>1472</v>
      </c>
      <c r="E3470" s="17">
        <v>3</v>
      </c>
      <c r="F3470" s="17">
        <v>1000</v>
      </c>
      <c r="G3470" s="14">
        <f>F3470/1700</f>
        <v>0.58823529411764708</v>
      </c>
    </row>
    <row r="3471" spans="1:7" ht="16">
      <c r="A3471" s="18"/>
      <c r="B3471" s="7"/>
      <c r="C3471" s="16">
        <v>4714781020831</v>
      </c>
      <c r="D3471" s="15" t="s">
        <v>1471</v>
      </c>
      <c r="E3471" s="17">
        <v>2</v>
      </c>
      <c r="F3471" s="17">
        <v>700</v>
      </c>
      <c r="G3471" s="14">
        <f>F3471/1700</f>
        <v>0.41176470588235292</v>
      </c>
    </row>
    <row r="3472" spans="1:7" ht="16">
      <c r="A3472" s="18" t="s">
        <v>1470</v>
      </c>
      <c r="B3472" s="7">
        <v>1</v>
      </c>
      <c r="C3472" s="16">
        <v>4714781020848</v>
      </c>
      <c r="D3472" s="15" t="s">
        <v>1469</v>
      </c>
      <c r="E3472" s="17">
        <v>5</v>
      </c>
      <c r="F3472" s="17">
        <v>1700</v>
      </c>
      <c r="G3472" s="14">
        <f>F3472/1700</f>
        <v>1</v>
      </c>
    </row>
    <row r="3473" spans="1:7" ht="16">
      <c r="A3473" s="18" t="s">
        <v>1468</v>
      </c>
      <c r="B3473" s="7">
        <v>1</v>
      </c>
      <c r="C3473" s="16">
        <v>4714781020855</v>
      </c>
      <c r="D3473" s="15" t="s">
        <v>1467</v>
      </c>
      <c r="E3473" s="17">
        <v>5</v>
      </c>
      <c r="F3473" s="17">
        <v>1700</v>
      </c>
      <c r="G3473" s="14">
        <f>F3473/1700</f>
        <v>1</v>
      </c>
    </row>
    <row r="3474" spans="1:7" ht="16">
      <c r="A3474" s="18" t="s">
        <v>1466</v>
      </c>
      <c r="B3474" s="7">
        <v>2</v>
      </c>
      <c r="C3474" s="16">
        <v>4714781020848</v>
      </c>
      <c r="D3474" s="15" t="s">
        <v>1465</v>
      </c>
      <c r="E3474" s="17">
        <v>2</v>
      </c>
      <c r="F3474" s="17">
        <v>700</v>
      </c>
      <c r="G3474" s="14">
        <f>F3474/1700</f>
        <v>0.41176470588235292</v>
      </c>
    </row>
    <row r="3475" spans="1:7" ht="16">
      <c r="A3475" s="18"/>
      <c r="B3475" s="7"/>
      <c r="C3475" s="16">
        <v>4714781020855</v>
      </c>
      <c r="D3475" s="15" t="s">
        <v>1464</v>
      </c>
      <c r="E3475" s="17">
        <v>3</v>
      </c>
      <c r="F3475" s="17">
        <v>1000</v>
      </c>
      <c r="G3475" s="14">
        <f>F3475/1700</f>
        <v>0.58823529411764708</v>
      </c>
    </row>
    <row r="3476" spans="1:7" ht="16">
      <c r="A3476" s="18" t="s">
        <v>772</v>
      </c>
      <c r="B3476" s="7">
        <v>2</v>
      </c>
      <c r="C3476" s="16">
        <v>4714781020848</v>
      </c>
      <c r="D3476" s="15" t="s">
        <v>1463</v>
      </c>
      <c r="E3476" s="17">
        <v>3</v>
      </c>
      <c r="F3476" s="17">
        <v>1000</v>
      </c>
      <c r="G3476" s="14">
        <f>F3476/1700</f>
        <v>0.58823529411764708</v>
      </c>
    </row>
    <row r="3477" spans="1:7" ht="16">
      <c r="A3477" s="12"/>
      <c r="B3477" s="7"/>
      <c r="C3477" s="16">
        <v>4714781020855</v>
      </c>
      <c r="D3477" s="15" t="s">
        <v>1462</v>
      </c>
      <c r="E3477" s="17">
        <v>2</v>
      </c>
      <c r="F3477" s="17">
        <v>700</v>
      </c>
      <c r="G3477" s="14">
        <f>F3477/1700</f>
        <v>0.41176470588235292</v>
      </c>
    </row>
    <row r="3478" spans="1:7" ht="16">
      <c r="A3478" s="12" t="s">
        <v>1461</v>
      </c>
      <c r="B3478" s="13">
        <v>2</v>
      </c>
      <c r="C3478" s="6">
        <v>4714781020954</v>
      </c>
      <c r="D3478" s="12" t="s">
        <v>1398</v>
      </c>
      <c r="E3478" s="9">
        <v>1</v>
      </c>
      <c r="F3478" s="9">
        <v>140</v>
      </c>
      <c r="G3478" s="14">
        <f>F3478/390</f>
        <v>0.35897435897435898</v>
      </c>
    </row>
    <row r="3479" spans="1:7" ht="16">
      <c r="A3479" s="12"/>
      <c r="B3479" s="7"/>
      <c r="C3479" s="6">
        <v>4714781020794</v>
      </c>
      <c r="D3479" s="10" t="s">
        <v>1457</v>
      </c>
      <c r="E3479" s="9">
        <v>2</v>
      </c>
      <c r="F3479" s="9">
        <v>250</v>
      </c>
      <c r="G3479" s="14">
        <f>F3479/390</f>
        <v>0.64102564102564108</v>
      </c>
    </row>
    <row r="3480" spans="1:7" ht="16">
      <c r="A3480" s="12" t="s">
        <v>1460</v>
      </c>
      <c r="B3480" s="13">
        <v>2</v>
      </c>
      <c r="C3480" s="6">
        <v>4714781020954</v>
      </c>
      <c r="D3480" s="12" t="s">
        <v>1398</v>
      </c>
      <c r="E3480" s="9">
        <v>1</v>
      </c>
      <c r="F3480" s="9">
        <v>140</v>
      </c>
      <c r="G3480" s="14">
        <f>F3480/390</f>
        <v>0.35897435897435898</v>
      </c>
    </row>
    <row r="3481" spans="1:7" ht="16">
      <c r="A3481" s="12"/>
      <c r="B3481" s="7"/>
      <c r="C3481" s="6">
        <v>4714781020800</v>
      </c>
      <c r="D3481" s="10" t="s">
        <v>1456</v>
      </c>
      <c r="E3481" s="9">
        <v>2</v>
      </c>
      <c r="F3481" s="9">
        <v>250</v>
      </c>
      <c r="G3481" s="14">
        <f>F3481/390</f>
        <v>0.64102564102564108</v>
      </c>
    </row>
    <row r="3482" spans="1:7" ht="16">
      <c r="A3482" s="12" t="s">
        <v>1184</v>
      </c>
      <c r="B3482" s="13">
        <v>2</v>
      </c>
      <c r="C3482" s="6">
        <v>4714781020954</v>
      </c>
      <c r="D3482" s="12" t="s">
        <v>1398</v>
      </c>
      <c r="E3482" s="9">
        <v>1</v>
      </c>
      <c r="F3482" s="9">
        <v>140</v>
      </c>
      <c r="G3482" s="14">
        <f>F3482/390</f>
        <v>0.35897435897435898</v>
      </c>
    </row>
    <row r="3483" spans="1:7" ht="16">
      <c r="A3483" s="12"/>
      <c r="B3483" s="7"/>
      <c r="C3483" s="6">
        <v>4714781020817</v>
      </c>
      <c r="D3483" s="10" t="s">
        <v>1455</v>
      </c>
      <c r="E3483" s="9">
        <v>2</v>
      </c>
      <c r="F3483" s="9">
        <v>250</v>
      </c>
      <c r="G3483" s="14">
        <f>F3483/390</f>
        <v>0.64102564102564108</v>
      </c>
    </row>
    <row r="3484" spans="1:7" ht="16">
      <c r="A3484" s="12" t="s">
        <v>1459</v>
      </c>
      <c r="B3484" s="13">
        <v>3</v>
      </c>
      <c r="C3484" s="6">
        <v>4714781020954</v>
      </c>
      <c r="D3484" s="12" t="s">
        <v>1398</v>
      </c>
      <c r="E3484" s="9">
        <v>1</v>
      </c>
      <c r="F3484" s="9">
        <v>140</v>
      </c>
      <c r="G3484" s="14">
        <f>F3484/390</f>
        <v>0.35897435897435898</v>
      </c>
    </row>
    <row r="3485" spans="1:7" ht="16">
      <c r="A3485" s="12"/>
      <c r="B3485" s="7"/>
      <c r="C3485" s="6">
        <v>4714781020794</v>
      </c>
      <c r="D3485" s="10" t="s">
        <v>1457</v>
      </c>
      <c r="E3485" s="9">
        <v>1</v>
      </c>
      <c r="F3485" s="9">
        <v>125</v>
      </c>
      <c r="G3485" s="14">
        <f>F3485/390</f>
        <v>0.32051282051282054</v>
      </c>
    </row>
    <row r="3486" spans="1:7" ht="16">
      <c r="A3486" s="12"/>
      <c r="B3486" s="7"/>
      <c r="C3486" s="6">
        <v>4714781020800</v>
      </c>
      <c r="D3486" s="10" t="s">
        <v>1456</v>
      </c>
      <c r="E3486" s="9">
        <v>1</v>
      </c>
      <c r="F3486" s="9">
        <v>125</v>
      </c>
      <c r="G3486" s="14">
        <f>F3486/390</f>
        <v>0.32051282051282054</v>
      </c>
    </row>
    <row r="3487" spans="1:7" ht="16">
      <c r="A3487" s="12" t="s">
        <v>1458</v>
      </c>
      <c r="B3487" s="13">
        <v>3</v>
      </c>
      <c r="C3487" s="6">
        <v>4714781020954</v>
      </c>
      <c r="D3487" s="12" t="s">
        <v>1398</v>
      </c>
      <c r="E3487" s="9">
        <v>1</v>
      </c>
      <c r="F3487" s="9">
        <v>140</v>
      </c>
      <c r="G3487" s="14">
        <f>F3487/390</f>
        <v>0.35897435897435898</v>
      </c>
    </row>
    <row r="3488" spans="1:7" ht="16">
      <c r="A3488" s="12"/>
      <c r="B3488" s="7"/>
      <c r="C3488" s="6">
        <v>4714781020794</v>
      </c>
      <c r="D3488" s="10" t="s">
        <v>1457</v>
      </c>
      <c r="E3488" s="9">
        <v>1</v>
      </c>
      <c r="F3488" s="9">
        <v>125</v>
      </c>
      <c r="G3488" s="14">
        <f>F3488/390</f>
        <v>0.32051282051282054</v>
      </c>
    </row>
    <row r="3489" spans="1:7" ht="16">
      <c r="A3489" s="12"/>
      <c r="B3489" s="7"/>
      <c r="C3489" s="6">
        <v>4714781020817</v>
      </c>
      <c r="D3489" s="10" t="s">
        <v>1455</v>
      </c>
      <c r="E3489" s="9">
        <v>1</v>
      </c>
      <c r="F3489" s="9">
        <v>125</v>
      </c>
      <c r="G3489" s="14">
        <f>F3489/390</f>
        <v>0.32051282051282054</v>
      </c>
    </row>
    <row r="3490" spans="1:7" ht="16">
      <c r="A3490" s="12" t="s">
        <v>548</v>
      </c>
      <c r="B3490" s="13">
        <v>3</v>
      </c>
      <c r="C3490" s="6">
        <v>4714781020954</v>
      </c>
      <c r="D3490" s="12" t="s">
        <v>1398</v>
      </c>
      <c r="E3490" s="9">
        <v>1</v>
      </c>
      <c r="F3490" s="9">
        <v>140</v>
      </c>
      <c r="G3490" s="14">
        <f>F3490/390</f>
        <v>0.35897435897435898</v>
      </c>
    </row>
    <row r="3491" spans="1:7" ht="16">
      <c r="A3491" s="12"/>
      <c r="B3491" s="7"/>
      <c r="C3491" s="6">
        <v>4714781020800</v>
      </c>
      <c r="D3491" s="12" t="s">
        <v>1456</v>
      </c>
      <c r="E3491" s="9">
        <v>1</v>
      </c>
      <c r="F3491" s="9">
        <v>125</v>
      </c>
      <c r="G3491" s="14">
        <f>F3491/390</f>
        <v>0.32051282051282054</v>
      </c>
    </row>
    <row r="3492" spans="1:7" ht="16">
      <c r="A3492" s="12"/>
      <c r="B3492" s="7"/>
      <c r="C3492" s="6">
        <v>4714781020817</v>
      </c>
      <c r="D3492" s="10" t="s">
        <v>1455</v>
      </c>
      <c r="E3492" s="9">
        <v>1</v>
      </c>
      <c r="F3492" s="9">
        <v>125</v>
      </c>
      <c r="G3492" s="14">
        <f>F3492/390</f>
        <v>0.32051282051282054</v>
      </c>
    </row>
    <row r="3493" spans="1:7" ht="16">
      <c r="A3493" s="12" t="s">
        <v>85</v>
      </c>
      <c r="B3493" s="13">
        <v>3</v>
      </c>
      <c r="C3493" s="6">
        <v>4714781021609</v>
      </c>
      <c r="D3493" s="12" t="s">
        <v>1454</v>
      </c>
      <c r="E3493" s="9">
        <v>1</v>
      </c>
      <c r="F3493" s="9">
        <v>133</v>
      </c>
      <c r="G3493" s="8">
        <f>F3493/399</f>
        <v>0.33333333333333331</v>
      </c>
    </row>
    <row r="3494" spans="1:7" ht="16">
      <c r="A3494" s="12"/>
      <c r="B3494" s="13"/>
      <c r="C3494" s="6">
        <v>4714781021593</v>
      </c>
      <c r="D3494" s="12" t="s">
        <v>1453</v>
      </c>
      <c r="E3494" s="9">
        <v>1</v>
      </c>
      <c r="F3494" s="9">
        <v>133</v>
      </c>
      <c r="G3494" s="8">
        <f>F3494/399</f>
        <v>0.33333333333333331</v>
      </c>
    </row>
    <row r="3495" spans="1:7" ht="16">
      <c r="A3495" s="12"/>
      <c r="B3495" s="13"/>
      <c r="C3495" s="6">
        <v>4714781021029</v>
      </c>
      <c r="D3495" s="12" t="s">
        <v>1452</v>
      </c>
      <c r="E3495" s="9">
        <v>1</v>
      </c>
      <c r="F3495" s="9">
        <v>133</v>
      </c>
      <c r="G3495" s="8">
        <f>F3495/399</f>
        <v>0.33333333333333331</v>
      </c>
    </row>
    <row r="3496" spans="1:7" ht="16">
      <c r="A3496" s="12" t="s">
        <v>81</v>
      </c>
      <c r="B3496" s="13">
        <v>1</v>
      </c>
      <c r="C3496" s="6">
        <v>4714781021609</v>
      </c>
      <c r="D3496" s="12" t="s">
        <v>1454</v>
      </c>
      <c r="E3496" s="9">
        <v>3</v>
      </c>
      <c r="F3496" s="9">
        <v>399</v>
      </c>
      <c r="G3496" s="8">
        <f>F3496/399</f>
        <v>1</v>
      </c>
    </row>
    <row r="3497" spans="1:7" ht="16">
      <c r="A3497" s="12" t="s">
        <v>179</v>
      </c>
      <c r="B3497" s="13">
        <v>1</v>
      </c>
      <c r="C3497" s="6">
        <v>4714781021593</v>
      </c>
      <c r="D3497" s="12" t="s">
        <v>1453</v>
      </c>
      <c r="E3497" s="9">
        <v>3</v>
      </c>
      <c r="F3497" s="9">
        <v>399</v>
      </c>
      <c r="G3497" s="8">
        <f>F3497/399</f>
        <v>1</v>
      </c>
    </row>
    <row r="3498" spans="1:7" ht="16">
      <c r="A3498" s="12" t="s">
        <v>126</v>
      </c>
      <c r="B3498" s="13">
        <v>1</v>
      </c>
      <c r="C3498" s="6">
        <v>4714781021029</v>
      </c>
      <c r="D3498" s="12" t="s">
        <v>1452</v>
      </c>
      <c r="E3498" s="9">
        <v>3</v>
      </c>
      <c r="F3498" s="9">
        <v>399</v>
      </c>
      <c r="G3498" s="8">
        <f>F3498/399</f>
        <v>1</v>
      </c>
    </row>
    <row r="3499" spans="1:7" ht="16">
      <c r="A3499" s="12" t="s">
        <v>1451</v>
      </c>
      <c r="B3499" s="13">
        <v>1</v>
      </c>
      <c r="C3499" s="6">
        <v>4714781020282</v>
      </c>
      <c r="D3499" s="12" t="s">
        <v>1450</v>
      </c>
      <c r="E3499" s="9">
        <v>2</v>
      </c>
      <c r="F3499" s="9">
        <v>580</v>
      </c>
      <c r="G3499" s="14">
        <f>F3499/580</f>
        <v>1</v>
      </c>
    </row>
    <row r="3500" spans="1:7" ht="16">
      <c r="A3500" s="12" t="s">
        <v>1449</v>
      </c>
      <c r="B3500" s="13">
        <v>1</v>
      </c>
      <c r="C3500" s="6">
        <v>4714781020299</v>
      </c>
      <c r="D3500" s="12" t="s">
        <v>1448</v>
      </c>
      <c r="E3500" s="9">
        <v>2</v>
      </c>
      <c r="F3500" s="9">
        <v>580</v>
      </c>
      <c r="G3500" s="14">
        <f>F3500/580</f>
        <v>1</v>
      </c>
    </row>
    <row r="3501" spans="1:7" ht="16">
      <c r="A3501" s="12" t="s">
        <v>1447</v>
      </c>
      <c r="B3501" s="13">
        <v>1</v>
      </c>
      <c r="C3501" s="6">
        <v>4714781024716</v>
      </c>
      <c r="D3501" s="12" t="s">
        <v>1446</v>
      </c>
      <c r="E3501" s="9">
        <v>2</v>
      </c>
      <c r="F3501" s="9">
        <v>580</v>
      </c>
      <c r="G3501" s="14">
        <f>F3501/580</f>
        <v>1</v>
      </c>
    </row>
    <row r="3502" spans="1:7" ht="16">
      <c r="A3502" s="12" t="s">
        <v>1445</v>
      </c>
      <c r="B3502" s="13">
        <v>1</v>
      </c>
      <c r="C3502" s="6">
        <v>4714781024730</v>
      </c>
      <c r="D3502" s="12" t="s">
        <v>1444</v>
      </c>
      <c r="E3502" s="9">
        <v>2</v>
      </c>
      <c r="F3502" s="9">
        <v>580</v>
      </c>
      <c r="G3502" s="14">
        <f>F3502/580</f>
        <v>1</v>
      </c>
    </row>
    <row r="3503" spans="1:7" ht="16">
      <c r="A3503" s="12" t="s">
        <v>1443</v>
      </c>
      <c r="B3503" s="13">
        <v>1</v>
      </c>
      <c r="C3503" s="6">
        <v>4714781024723</v>
      </c>
      <c r="D3503" s="10" t="s">
        <v>1442</v>
      </c>
      <c r="E3503" s="9">
        <v>2</v>
      </c>
      <c r="F3503" s="9">
        <v>580</v>
      </c>
      <c r="G3503" s="14">
        <f>F3503/580</f>
        <v>1</v>
      </c>
    </row>
    <row r="3504" spans="1:7" ht="16">
      <c r="A3504" s="12" t="s">
        <v>1441</v>
      </c>
      <c r="B3504" s="13">
        <v>1</v>
      </c>
      <c r="C3504" s="6">
        <v>4714781020282</v>
      </c>
      <c r="D3504" s="12" t="s">
        <v>1437</v>
      </c>
      <c r="E3504" s="9">
        <v>1</v>
      </c>
      <c r="F3504" s="9">
        <v>290</v>
      </c>
      <c r="G3504" s="14">
        <f>F3504/580</f>
        <v>0.5</v>
      </c>
    </row>
    <row r="3505" spans="1:7" ht="16">
      <c r="A3505" s="12"/>
      <c r="B3505" s="7"/>
      <c r="C3505" s="6">
        <v>4714781020299</v>
      </c>
      <c r="D3505" s="12" t="s">
        <v>1433</v>
      </c>
      <c r="E3505" s="9">
        <v>1</v>
      </c>
      <c r="F3505" s="9">
        <v>290</v>
      </c>
      <c r="G3505" s="14">
        <f>F3505/580</f>
        <v>0.5</v>
      </c>
    </row>
    <row r="3506" spans="1:7" ht="16">
      <c r="A3506" s="12" t="s">
        <v>1440</v>
      </c>
      <c r="B3506" s="13">
        <v>2</v>
      </c>
      <c r="C3506" s="6">
        <v>4714781020282</v>
      </c>
      <c r="D3506" s="12" t="s">
        <v>1437</v>
      </c>
      <c r="E3506" s="9">
        <v>1</v>
      </c>
      <c r="F3506" s="9">
        <v>290</v>
      </c>
      <c r="G3506" s="14">
        <f>F3506/580</f>
        <v>0.5</v>
      </c>
    </row>
    <row r="3507" spans="1:7" ht="16">
      <c r="A3507" s="12"/>
      <c r="B3507" s="7"/>
      <c r="C3507" s="6">
        <v>4714781024723</v>
      </c>
      <c r="D3507" s="12" t="s">
        <v>1430</v>
      </c>
      <c r="E3507" s="9">
        <v>1</v>
      </c>
      <c r="F3507" s="9">
        <v>290</v>
      </c>
      <c r="G3507" s="14">
        <f>F3507/580</f>
        <v>0.5</v>
      </c>
    </row>
    <row r="3508" spans="1:7" ht="16">
      <c r="A3508" s="12" t="s">
        <v>1439</v>
      </c>
      <c r="B3508" s="13">
        <v>2</v>
      </c>
      <c r="C3508" s="6">
        <v>4714781020282</v>
      </c>
      <c r="D3508" s="12" t="s">
        <v>1437</v>
      </c>
      <c r="E3508" s="9">
        <v>1</v>
      </c>
      <c r="F3508" s="9">
        <v>290</v>
      </c>
      <c r="G3508" s="14">
        <f>F3508/580</f>
        <v>0.5</v>
      </c>
    </row>
    <row r="3509" spans="1:7" ht="16">
      <c r="A3509" s="12"/>
      <c r="B3509" s="7"/>
      <c r="C3509" s="6">
        <v>4714781024716</v>
      </c>
      <c r="D3509" s="12" t="s">
        <v>1428</v>
      </c>
      <c r="E3509" s="9">
        <v>1</v>
      </c>
      <c r="F3509" s="9">
        <v>290</v>
      </c>
      <c r="G3509" s="14">
        <f>F3509/580</f>
        <v>0.5</v>
      </c>
    </row>
    <row r="3510" spans="1:7" ht="16">
      <c r="A3510" s="12" t="s">
        <v>1438</v>
      </c>
      <c r="B3510" s="13">
        <v>2</v>
      </c>
      <c r="C3510" s="6">
        <v>4714781020282</v>
      </c>
      <c r="D3510" s="12" t="s">
        <v>1437</v>
      </c>
      <c r="E3510" s="9">
        <v>1</v>
      </c>
      <c r="F3510" s="9">
        <v>290</v>
      </c>
      <c r="G3510" s="14">
        <f>F3510/580</f>
        <v>0.5</v>
      </c>
    </row>
    <row r="3511" spans="1:7" ht="16">
      <c r="A3511" s="12"/>
      <c r="B3511" s="7"/>
      <c r="C3511" s="6">
        <v>4714781024730</v>
      </c>
      <c r="D3511" s="12" t="s">
        <v>1427</v>
      </c>
      <c r="E3511" s="9">
        <v>1</v>
      </c>
      <c r="F3511" s="9">
        <v>290</v>
      </c>
      <c r="G3511" s="14">
        <f>F3511/580</f>
        <v>0.5</v>
      </c>
    </row>
    <row r="3512" spans="1:7" ht="16">
      <c r="A3512" s="12" t="s">
        <v>1436</v>
      </c>
      <c r="B3512" s="13">
        <v>2</v>
      </c>
      <c r="C3512" s="6">
        <v>4714781020299</v>
      </c>
      <c r="D3512" s="12" t="s">
        <v>1433</v>
      </c>
      <c r="E3512" s="9">
        <v>1</v>
      </c>
      <c r="F3512" s="9">
        <v>290</v>
      </c>
      <c r="G3512" s="14">
        <f>F3512/580</f>
        <v>0.5</v>
      </c>
    </row>
    <row r="3513" spans="1:7" ht="16">
      <c r="A3513" s="12"/>
      <c r="B3513" s="7"/>
      <c r="C3513" s="6">
        <v>4714781024730</v>
      </c>
      <c r="D3513" s="12" t="s">
        <v>1427</v>
      </c>
      <c r="E3513" s="9">
        <v>1</v>
      </c>
      <c r="F3513" s="9">
        <v>290</v>
      </c>
      <c r="G3513" s="14">
        <f>F3513/580</f>
        <v>0.5</v>
      </c>
    </row>
    <row r="3514" spans="1:7" ht="16">
      <c r="A3514" s="12" t="s">
        <v>1435</v>
      </c>
      <c r="B3514" s="13">
        <v>2</v>
      </c>
      <c r="C3514" s="6">
        <v>4714781020299</v>
      </c>
      <c r="D3514" s="12" t="s">
        <v>1433</v>
      </c>
      <c r="E3514" s="9">
        <v>1</v>
      </c>
      <c r="F3514" s="9">
        <v>290</v>
      </c>
      <c r="G3514" s="14">
        <f>F3514/580</f>
        <v>0.5</v>
      </c>
    </row>
    <row r="3515" spans="1:7" ht="16">
      <c r="A3515" s="12"/>
      <c r="B3515" s="7"/>
      <c r="C3515" s="6">
        <v>4714781024716</v>
      </c>
      <c r="D3515" s="12" t="s">
        <v>1428</v>
      </c>
      <c r="E3515" s="9">
        <v>1</v>
      </c>
      <c r="F3515" s="9">
        <v>290</v>
      </c>
      <c r="G3515" s="14">
        <f>F3515/580</f>
        <v>0.5</v>
      </c>
    </row>
    <row r="3516" spans="1:7" ht="16">
      <c r="A3516" s="12" t="s">
        <v>1434</v>
      </c>
      <c r="B3516" s="13">
        <v>2</v>
      </c>
      <c r="C3516" s="6">
        <v>4714781020299</v>
      </c>
      <c r="D3516" s="12" t="s">
        <v>1433</v>
      </c>
      <c r="E3516" s="9">
        <v>1</v>
      </c>
      <c r="F3516" s="9">
        <v>290</v>
      </c>
      <c r="G3516" s="14">
        <f>F3516/580</f>
        <v>0.5</v>
      </c>
    </row>
    <row r="3517" spans="1:7" ht="16">
      <c r="A3517" s="12"/>
      <c r="B3517" s="7"/>
      <c r="C3517" s="6">
        <v>4714781024723</v>
      </c>
      <c r="D3517" s="12" t="s">
        <v>1430</v>
      </c>
      <c r="E3517" s="9">
        <v>1</v>
      </c>
      <c r="F3517" s="9">
        <v>290</v>
      </c>
      <c r="G3517" s="14">
        <f>F3517/580</f>
        <v>0.5</v>
      </c>
    </row>
    <row r="3518" spans="1:7" ht="16">
      <c r="A3518" s="12" t="s">
        <v>1432</v>
      </c>
      <c r="B3518" s="13">
        <v>2</v>
      </c>
      <c r="C3518" s="16">
        <v>4714781024723</v>
      </c>
      <c r="D3518" s="15" t="s">
        <v>1430</v>
      </c>
      <c r="E3518" s="9">
        <v>1</v>
      </c>
      <c r="F3518" s="9">
        <v>290</v>
      </c>
      <c r="G3518" s="14">
        <f>F3518/580</f>
        <v>0.5</v>
      </c>
    </row>
    <row r="3519" spans="1:7" ht="16">
      <c r="A3519" s="12"/>
      <c r="B3519" s="7"/>
      <c r="C3519" s="16">
        <v>4714781024716</v>
      </c>
      <c r="D3519" s="15" t="s">
        <v>1428</v>
      </c>
      <c r="E3519" s="9">
        <v>1</v>
      </c>
      <c r="F3519" s="9">
        <v>290</v>
      </c>
      <c r="G3519" s="14">
        <f>F3519/580</f>
        <v>0.5</v>
      </c>
    </row>
    <row r="3520" spans="1:7" ht="16">
      <c r="A3520" s="12" t="s">
        <v>1431</v>
      </c>
      <c r="B3520" s="13">
        <v>2</v>
      </c>
      <c r="C3520" s="6">
        <v>4714781024723</v>
      </c>
      <c r="D3520" s="12" t="s">
        <v>1430</v>
      </c>
      <c r="E3520" s="9">
        <v>1</v>
      </c>
      <c r="F3520" s="9">
        <v>290</v>
      </c>
      <c r="G3520" s="14">
        <f>F3520/580</f>
        <v>0.5</v>
      </c>
    </row>
    <row r="3521" spans="1:7" ht="16">
      <c r="A3521" s="12"/>
      <c r="B3521" s="7"/>
      <c r="C3521" s="6">
        <v>4714781024730</v>
      </c>
      <c r="D3521" s="12" t="s">
        <v>1427</v>
      </c>
      <c r="E3521" s="9">
        <v>1</v>
      </c>
      <c r="F3521" s="9">
        <v>290</v>
      </c>
      <c r="G3521" s="14">
        <f>F3521/580</f>
        <v>0.5</v>
      </c>
    </row>
    <row r="3522" spans="1:7" ht="16">
      <c r="A3522" s="12" t="s">
        <v>1429</v>
      </c>
      <c r="B3522" s="13">
        <v>2</v>
      </c>
      <c r="C3522" s="6">
        <v>4714781024716</v>
      </c>
      <c r="D3522" s="12" t="s">
        <v>1428</v>
      </c>
      <c r="E3522" s="9">
        <v>1</v>
      </c>
      <c r="F3522" s="9">
        <v>290</v>
      </c>
      <c r="G3522" s="14">
        <f>F3522/580</f>
        <v>0.5</v>
      </c>
    </row>
    <row r="3523" spans="1:7" ht="16">
      <c r="A3523" s="12"/>
      <c r="B3523" s="7"/>
      <c r="C3523" s="6">
        <v>4714781024730</v>
      </c>
      <c r="D3523" s="12" t="s">
        <v>1427</v>
      </c>
      <c r="E3523" s="9">
        <v>1</v>
      </c>
      <c r="F3523" s="9">
        <v>290</v>
      </c>
      <c r="G3523" s="14">
        <f>F3523/580</f>
        <v>0.5</v>
      </c>
    </row>
    <row r="3524" spans="1:7" ht="16">
      <c r="A3524" s="12" t="s">
        <v>1426</v>
      </c>
      <c r="B3524" s="13">
        <v>1</v>
      </c>
      <c r="C3524" s="6">
        <v>4714781020107</v>
      </c>
      <c r="D3524" s="12" t="s">
        <v>271</v>
      </c>
      <c r="E3524" s="9">
        <v>2</v>
      </c>
      <c r="F3524" s="9">
        <v>740</v>
      </c>
      <c r="G3524" s="14">
        <f>F3524/740</f>
        <v>1</v>
      </c>
    </row>
    <row r="3525" spans="1:7" ht="16">
      <c r="A3525" s="12" t="s">
        <v>1425</v>
      </c>
      <c r="B3525" s="13">
        <v>1</v>
      </c>
      <c r="C3525" s="6">
        <v>4714781020466</v>
      </c>
      <c r="D3525" s="10" t="s">
        <v>1424</v>
      </c>
      <c r="E3525" s="9">
        <v>2</v>
      </c>
      <c r="F3525" s="9">
        <v>300</v>
      </c>
      <c r="G3525" s="14">
        <f>F3525/300</f>
        <v>1</v>
      </c>
    </row>
    <row r="3526" spans="1:7" ht="16">
      <c r="A3526" s="12" t="s">
        <v>1423</v>
      </c>
      <c r="B3526" s="13">
        <v>1</v>
      </c>
      <c r="C3526" s="6">
        <v>4714781020503</v>
      </c>
      <c r="D3526" s="10" t="s">
        <v>1422</v>
      </c>
      <c r="E3526" s="9">
        <v>2</v>
      </c>
      <c r="F3526" s="9">
        <v>300</v>
      </c>
      <c r="G3526" s="14">
        <f>F3526/300</f>
        <v>1</v>
      </c>
    </row>
    <row r="3527" spans="1:7" ht="16">
      <c r="A3527" s="12" t="s">
        <v>1421</v>
      </c>
      <c r="B3527" s="13">
        <v>1</v>
      </c>
      <c r="C3527" s="6">
        <v>4714781020558</v>
      </c>
      <c r="D3527" s="10" t="s">
        <v>1420</v>
      </c>
      <c r="E3527" s="9">
        <v>2</v>
      </c>
      <c r="F3527" s="9">
        <v>300</v>
      </c>
      <c r="G3527" s="14">
        <f>F3527/300</f>
        <v>1</v>
      </c>
    </row>
    <row r="3528" spans="1:7" ht="16">
      <c r="A3528" s="12" t="s">
        <v>1419</v>
      </c>
      <c r="B3528" s="13">
        <v>1</v>
      </c>
      <c r="C3528" s="6">
        <v>4714781020466</v>
      </c>
      <c r="D3528" s="10" t="s">
        <v>1417</v>
      </c>
      <c r="E3528" s="9">
        <v>1</v>
      </c>
      <c r="F3528" s="9">
        <v>150</v>
      </c>
      <c r="G3528" s="14">
        <f>F3528/300</f>
        <v>0.5</v>
      </c>
    </row>
    <row r="3529" spans="1:7" ht="16">
      <c r="A3529" s="12"/>
      <c r="B3529" s="7"/>
      <c r="C3529" s="6">
        <v>4714781020503</v>
      </c>
      <c r="D3529" s="10" t="s">
        <v>1415</v>
      </c>
      <c r="E3529" s="9">
        <v>1</v>
      </c>
      <c r="F3529" s="9">
        <v>150</v>
      </c>
      <c r="G3529" s="14">
        <f>F3529/300</f>
        <v>0.5</v>
      </c>
    </row>
    <row r="3530" spans="1:7" ht="16">
      <c r="A3530" s="12" t="s">
        <v>1418</v>
      </c>
      <c r="B3530" s="13">
        <v>2</v>
      </c>
      <c r="C3530" s="6">
        <v>4714781020466</v>
      </c>
      <c r="D3530" s="10" t="s">
        <v>1417</v>
      </c>
      <c r="E3530" s="9">
        <v>1</v>
      </c>
      <c r="F3530" s="9">
        <v>150</v>
      </c>
      <c r="G3530" s="14">
        <f>F3530/300</f>
        <v>0.5</v>
      </c>
    </row>
    <row r="3531" spans="1:7" ht="16">
      <c r="A3531" s="12"/>
      <c r="B3531" s="7"/>
      <c r="C3531" s="6">
        <v>4714781020558</v>
      </c>
      <c r="D3531" s="10" t="s">
        <v>1414</v>
      </c>
      <c r="E3531" s="9">
        <v>1</v>
      </c>
      <c r="F3531" s="9">
        <v>150</v>
      </c>
      <c r="G3531" s="14">
        <f>F3531/300</f>
        <v>0.5</v>
      </c>
    </row>
    <row r="3532" spans="1:7" ht="16">
      <c r="A3532" s="12" t="s">
        <v>1416</v>
      </c>
      <c r="B3532" s="13">
        <v>2</v>
      </c>
      <c r="C3532" s="6">
        <v>4714781020503</v>
      </c>
      <c r="D3532" s="10" t="s">
        <v>1415</v>
      </c>
      <c r="E3532" s="9">
        <v>1</v>
      </c>
      <c r="F3532" s="9">
        <v>150</v>
      </c>
      <c r="G3532" s="14">
        <f>F3532/300</f>
        <v>0.5</v>
      </c>
    </row>
    <row r="3533" spans="1:7" ht="16">
      <c r="A3533" s="12"/>
      <c r="B3533" s="7"/>
      <c r="C3533" s="6">
        <v>4714781020558</v>
      </c>
      <c r="D3533" s="10" t="s">
        <v>1414</v>
      </c>
      <c r="E3533" s="9">
        <v>1</v>
      </c>
      <c r="F3533" s="9">
        <v>150</v>
      </c>
      <c r="G3533" s="14">
        <f>F3533/300</f>
        <v>0.5</v>
      </c>
    </row>
    <row r="3534" spans="1:7" ht="16">
      <c r="A3534" s="12" t="s">
        <v>1413</v>
      </c>
      <c r="B3534" s="13">
        <v>2</v>
      </c>
      <c r="C3534" s="6">
        <v>4714781020824</v>
      </c>
      <c r="D3534" s="12" t="s">
        <v>1391</v>
      </c>
      <c r="E3534" s="9">
        <v>1</v>
      </c>
      <c r="F3534" s="9">
        <v>320</v>
      </c>
      <c r="G3534" s="14">
        <f>F3534/455</f>
        <v>0.70329670329670335</v>
      </c>
    </row>
    <row r="3535" spans="1:7" ht="16">
      <c r="A3535" s="12"/>
      <c r="B3535" s="7"/>
      <c r="C3535" s="6">
        <v>4714781020800</v>
      </c>
      <c r="D3535" s="12" t="s">
        <v>1319</v>
      </c>
      <c r="E3535" s="9">
        <v>1</v>
      </c>
      <c r="F3535" s="9">
        <v>135</v>
      </c>
      <c r="G3535" s="14">
        <f>F3535/455</f>
        <v>0.2967032967032967</v>
      </c>
    </row>
    <row r="3536" spans="1:7" ht="16">
      <c r="A3536" s="12" t="s">
        <v>1412</v>
      </c>
      <c r="B3536" s="13">
        <v>2</v>
      </c>
      <c r="C3536" s="6">
        <v>4714781020824</v>
      </c>
      <c r="D3536" s="12" t="s">
        <v>1391</v>
      </c>
      <c r="E3536" s="9">
        <v>1</v>
      </c>
      <c r="F3536" s="9">
        <v>320</v>
      </c>
      <c r="G3536" s="14">
        <f>F3536/455</f>
        <v>0.70329670329670335</v>
      </c>
    </row>
    <row r="3537" spans="1:7" ht="16">
      <c r="A3537" s="12"/>
      <c r="B3537" s="7"/>
      <c r="C3537" s="6">
        <v>4714781020817</v>
      </c>
      <c r="D3537" s="12" t="s">
        <v>1317</v>
      </c>
      <c r="E3537" s="9">
        <v>1</v>
      </c>
      <c r="F3537" s="9">
        <v>135</v>
      </c>
      <c r="G3537" s="14">
        <f>F3537/455</f>
        <v>0.2967032967032967</v>
      </c>
    </row>
    <row r="3538" spans="1:7" ht="16">
      <c r="A3538" s="12" t="s">
        <v>1411</v>
      </c>
      <c r="B3538" s="13">
        <v>2</v>
      </c>
      <c r="C3538" s="6">
        <v>4714781020824</v>
      </c>
      <c r="D3538" s="12" t="s">
        <v>1391</v>
      </c>
      <c r="E3538" s="9">
        <v>1</v>
      </c>
      <c r="F3538" s="9">
        <v>320</v>
      </c>
      <c r="G3538" s="14">
        <f>F3538/455</f>
        <v>0.70329670329670335</v>
      </c>
    </row>
    <row r="3539" spans="1:7" ht="16">
      <c r="A3539" s="12"/>
      <c r="B3539" s="7"/>
      <c r="C3539" s="6">
        <v>4714781020794</v>
      </c>
      <c r="D3539" s="12" t="s">
        <v>1320</v>
      </c>
      <c r="E3539" s="9">
        <v>1</v>
      </c>
      <c r="F3539" s="9">
        <v>135</v>
      </c>
      <c r="G3539" s="14">
        <f>F3539/455</f>
        <v>0.2967032967032967</v>
      </c>
    </row>
    <row r="3540" spans="1:7" ht="16">
      <c r="A3540" s="12" t="s">
        <v>1410</v>
      </c>
      <c r="B3540" s="13">
        <v>2</v>
      </c>
      <c r="C3540" s="6">
        <v>4714781020831</v>
      </c>
      <c r="D3540" s="12" t="s">
        <v>1389</v>
      </c>
      <c r="E3540" s="9">
        <v>1</v>
      </c>
      <c r="F3540" s="9">
        <v>320</v>
      </c>
      <c r="G3540" s="14">
        <f>F3540/455</f>
        <v>0.70329670329670335</v>
      </c>
    </row>
    <row r="3541" spans="1:7" ht="16">
      <c r="A3541" s="12"/>
      <c r="B3541" s="7"/>
      <c r="C3541" s="6">
        <v>4714781020817</v>
      </c>
      <c r="D3541" s="12" t="s">
        <v>1317</v>
      </c>
      <c r="E3541" s="9">
        <v>1</v>
      </c>
      <c r="F3541" s="9">
        <v>135</v>
      </c>
      <c r="G3541" s="14">
        <f>F3541/455</f>
        <v>0.2967032967032967</v>
      </c>
    </row>
    <row r="3542" spans="1:7" ht="16">
      <c r="A3542" s="12" t="s">
        <v>1409</v>
      </c>
      <c r="B3542" s="13">
        <v>2</v>
      </c>
      <c r="C3542" s="6">
        <v>4714781020831</v>
      </c>
      <c r="D3542" s="12" t="s">
        <v>1389</v>
      </c>
      <c r="E3542" s="9">
        <v>1</v>
      </c>
      <c r="F3542" s="9">
        <v>320</v>
      </c>
      <c r="G3542" s="14">
        <f>F3542/455</f>
        <v>0.70329670329670335</v>
      </c>
    </row>
    <row r="3543" spans="1:7" ht="16">
      <c r="A3543" s="12"/>
      <c r="B3543" s="7"/>
      <c r="C3543" s="6">
        <v>4714781020800</v>
      </c>
      <c r="D3543" s="12" t="s">
        <v>1319</v>
      </c>
      <c r="E3543" s="9">
        <v>1</v>
      </c>
      <c r="F3543" s="9">
        <v>135</v>
      </c>
      <c r="G3543" s="14">
        <f>F3543/455</f>
        <v>0.2967032967032967</v>
      </c>
    </row>
    <row r="3544" spans="1:7" ht="16">
      <c r="A3544" s="12" t="s">
        <v>1408</v>
      </c>
      <c r="B3544" s="13">
        <v>2</v>
      </c>
      <c r="C3544" s="6">
        <v>4714781020831</v>
      </c>
      <c r="D3544" s="12" t="s">
        <v>1389</v>
      </c>
      <c r="E3544" s="9">
        <v>1</v>
      </c>
      <c r="F3544" s="9">
        <v>320</v>
      </c>
      <c r="G3544" s="14">
        <f>F3544/455</f>
        <v>0.70329670329670335</v>
      </c>
    </row>
    <row r="3545" spans="1:7" ht="16">
      <c r="A3545" s="12"/>
      <c r="B3545" s="7"/>
      <c r="C3545" s="6">
        <v>4714781020794</v>
      </c>
      <c r="D3545" s="12" t="s">
        <v>1320</v>
      </c>
      <c r="E3545" s="9">
        <v>1</v>
      </c>
      <c r="F3545" s="9">
        <v>135</v>
      </c>
      <c r="G3545" s="14">
        <f>F3545/455</f>
        <v>0.2967032967032967</v>
      </c>
    </row>
    <row r="3546" spans="1:7" ht="16">
      <c r="A3546" s="12" t="s">
        <v>1407</v>
      </c>
      <c r="B3546" s="13">
        <v>2</v>
      </c>
      <c r="C3546" s="6">
        <v>4714781020848</v>
      </c>
      <c r="D3546" s="12" t="s">
        <v>1382</v>
      </c>
      <c r="E3546" s="9">
        <v>1</v>
      </c>
      <c r="F3546" s="9">
        <v>340</v>
      </c>
      <c r="G3546" s="14">
        <f>F3546/475</f>
        <v>0.71578947368421053</v>
      </c>
    </row>
    <row r="3547" spans="1:7" ht="16">
      <c r="A3547" s="12"/>
      <c r="B3547" s="7"/>
      <c r="C3547" s="6">
        <v>4714781020787</v>
      </c>
      <c r="D3547" s="12" t="s">
        <v>1378</v>
      </c>
      <c r="E3547" s="9">
        <v>1</v>
      </c>
      <c r="F3547" s="9">
        <v>135</v>
      </c>
      <c r="G3547" s="14">
        <f>F3547/475</f>
        <v>0.28421052631578947</v>
      </c>
    </row>
    <row r="3548" spans="1:7" ht="16">
      <c r="A3548" s="12" t="s">
        <v>1406</v>
      </c>
      <c r="B3548" s="13">
        <v>2</v>
      </c>
      <c r="C3548" s="6">
        <v>4714781020848</v>
      </c>
      <c r="D3548" s="12" t="s">
        <v>1382</v>
      </c>
      <c r="E3548" s="9">
        <v>1</v>
      </c>
      <c r="F3548" s="9">
        <v>340</v>
      </c>
      <c r="G3548" s="14">
        <f>F3548/475</f>
        <v>0.71578947368421053</v>
      </c>
    </row>
    <row r="3549" spans="1:7" ht="16">
      <c r="A3549" s="12"/>
      <c r="B3549" s="7"/>
      <c r="C3549" s="6">
        <v>4714781020770</v>
      </c>
      <c r="D3549" s="12" t="s">
        <v>1380</v>
      </c>
      <c r="E3549" s="9">
        <v>1</v>
      </c>
      <c r="F3549" s="9">
        <v>135</v>
      </c>
      <c r="G3549" s="14">
        <f>F3549/475</f>
        <v>0.28421052631578947</v>
      </c>
    </row>
    <row r="3550" spans="1:7" ht="16">
      <c r="A3550" s="12" t="s">
        <v>1405</v>
      </c>
      <c r="B3550" s="13">
        <v>2</v>
      </c>
      <c r="C3550" s="6">
        <v>4714781020855</v>
      </c>
      <c r="D3550" s="12" t="s">
        <v>1384</v>
      </c>
      <c r="E3550" s="9">
        <v>1</v>
      </c>
      <c r="F3550" s="9">
        <v>340</v>
      </c>
      <c r="G3550" s="14">
        <f>F3550/475</f>
        <v>0.71578947368421053</v>
      </c>
    </row>
    <row r="3551" spans="1:7" ht="16">
      <c r="A3551" s="12"/>
      <c r="B3551" s="7"/>
      <c r="C3551" s="6">
        <v>4714781020770</v>
      </c>
      <c r="D3551" s="12" t="s">
        <v>1380</v>
      </c>
      <c r="E3551" s="9">
        <v>1</v>
      </c>
      <c r="F3551" s="9">
        <v>135</v>
      </c>
      <c r="G3551" s="14">
        <f>F3551/475</f>
        <v>0.28421052631578947</v>
      </c>
    </row>
    <row r="3552" spans="1:7" ht="16">
      <c r="A3552" s="12" t="s">
        <v>1404</v>
      </c>
      <c r="B3552" s="13">
        <v>2</v>
      </c>
      <c r="C3552" s="6">
        <v>4714781020855</v>
      </c>
      <c r="D3552" s="12" t="s">
        <v>1384</v>
      </c>
      <c r="E3552" s="9">
        <v>1</v>
      </c>
      <c r="F3552" s="9">
        <v>340</v>
      </c>
      <c r="G3552" s="14">
        <f>F3552/475</f>
        <v>0.71578947368421053</v>
      </c>
    </row>
    <row r="3553" spans="1:7" ht="16">
      <c r="A3553" s="12"/>
      <c r="B3553" s="7"/>
      <c r="C3553" s="6">
        <v>4714781020787</v>
      </c>
      <c r="D3553" s="12" t="s">
        <v>1378</v>
      </c>
      <c r="E3553" s="9">
        <v>1</v>
      </c>
      <c r="F3553" s="9">
        <v>135</v>
      </c>
      <c r="G3553" s="14">
        <f>F3553/475</f>
        <v>0.28421052631578947</v>
      </c>
    </row>
    <row r="3554" spans="1:7" ht="16">
      <c r="A3554" s="12" t="s">
        <v>1403</v>
      </c>
      <c r="B3554" s="13">
        <v>2</v>
      </c>
      <c r="C3554" s="6">
        <v>4714781020954</v>
      </c>
      <c r="D3554" s="12" t="s">
        <v>1398</v>
      </c>
      <c r="E3554" s="9">
        <v>1</v>
      </c>
      <c r="F3554" s="9">
        <v>140</v>
      </c>
      <c r="G3554" s="14">
        <f>F3554/265</f>
        <v>0.52830188679245282</v>
      </c>
    </row>
    <row r="3555" spans="1:7" ht="16">
      <c r="A3555" s="12"/>
      <c r="B3555" s="7"/>
      <c r="C3555" s="6">
        <v>4714781020794</v>
      </c>
      <c r="D3555" s="12" t="s">
        <v>1320</v>
      </c>
      <c r="E3555" s="9">
        <v>1</v>
      </c>
      <c r="F3555" s="9">
        <v>120</v>
      </c>
      <c r="G3555" s="14">
        <f>F3555/265</f>
        <v>0.45283018867924529</v>
      </c>
    </row>
    <row r="3556" spans="1:7" ht="16">
      <c r="A3556" s="12" t="s">
        <v>1402</v>
      </c>
      <c r="B3556" s="13">
        <v>2</v>
      </c>
      <c r="C3556" s="6">
        <v>4714781020954</v>
      </c>
      <c r="D3556" s="12" t="s">
        <v>1398</v>
      </c>
      <c r="E3556" s="9">
        <v>1</v>
      </c>
      <c r="F3556" s="9">
        <v>140</v>
      </c>
      <c r="G3556" s="14">
        <f>F3556/265</f>
        <v>0.52830188679245282</v>
      </c>
    </row>
    <row r="3557" spans="1:7" ht="16">
      <c r="A3557" s="12"/>
      <c r="B3557" s="7"/>
      <c r="C3557" s="6">
        <v>4714781020800</v>
      </c>
      <c r="D3557" s="12" t="s">
        <v>1319</v>
      </c>
      <c r="E3557" s="9">
        <v>1</v>
      </c>
      <c r="F3557" s="9">
        <v>120</v>
      </c>
      <c r="G3557" s="14">
        <f>F3557/265</f>
        <v>0.45283018867924529</v>
      </c>
    </row>
    <row r="3558" spans="1:7" ht="16">
      <c r="A3558" s="12" t="s">
        <v>1401</v>
      </c>
      <c r="B3558" s="13">
        <v>2</v>
      </c>
      <c r="C3558" s="6">
        <v>4714781020954</v>
      </c>
      <c r="D3558" s="12" t="s">
        <v>1398</v>
      </c>
      <c r="E3558" s="9">
        <v>1</v>
      </c>
      <c r="F3558" s="9">
        <v>140</v>
      </c>
      <c r="G3558" s="14">
        <f>F3558/265</f>
        <v>0.52830188679245282</v>
      </c>
    </row>
    <row r="3559" spans="1:7" ht="16">
      <c r="A3559" s="12"/>
      <c r="B3559" s="7"/>
      <c r="C3559" s="6">
        <v>4714781020817</v>
      </c>
      <c r="D3559" s="12" t="s">
        <v>1317</v>
      </c>
      <c r="E3559" s="9">
        <v>1</v>
      </c>
      <c r="F3559" s="9">
        <v>120</v>
      </c>
      <c r="G3559" s="14">
        <f>F3559/265</f>
        <v>0.45283018867924529</v>
      </c>
    </row>
    <row r="3560" spans="1:7" ht="16">
      <c r="A3560" s="12" t="s">
        <v>1400</v>
      </c>
      <c r="B3560" s="13">
        <v>2</v>
      </c>
      <c r="C3560" s="6">
        <v>4714781020954</v>
      </c>
      <c r="D3560" s="12" t="s">
        <v>1398</v>
      </c>
      <c r="E3560" s="9">
        <v>1</v>
      </c>
      <c r="F3560" s="9">
        <v>145</v>
      </c>
      <c r="G3560" s="14">
        <f>F3560/285</f>
        <v>0.50877192982456143</v>
      </c>
    </row>
    <row r="3561" spans="1:7" ht="16">
      <c r="A3561" s="12"/>
      <c r="B3561" s="7"/>
      <c r="C3561" s="6">
        <v>4714781020770</v>
      </c>
      <c r="D3561" s="12" t="s">
        <v>1380</v>
      </c>
      <c r="E3561" s="9">
        <v>1</v>
      </c>
      <c r="F3561" s="9">
        <v>140</v>
      </c>
      <c r="G3561" s="14">
        <f>F3561/285</f>
        <v>0.49122807017543857</v>
      </c>
    </row>
    <row r="3562" spans="1:7" ht="16">
      <c r="A3562" s="12" t="s">
        <v>1399</v>
      </c>
      <c r="B3562" s="13">
        <v>2</v>
      </c>
      <c r="C3562" s="6">
        <v>4714781020954</v>
      </c>
      <c r="D3562" s="12" t="s">
        <v>1398</v>
      </c>
      <c r="E3562" s="9">
        <v>1</v>
      </c>
      <c r="F3562" s="9">
        <v>145</v>
      </c>
      <c r="G3562" s="14">
        <f>F3562/285</f>
        <v>0.50877192982456143</v>
      </c>
    </row>
    <row r="3563" spans="1:7" ht="16">
      <c r="A3563" s="12"/>
      <c r="B3563" s="7"/>
      <c r="C3563" s="6">
        <v>4714781020787</v>
      </c>
      <c r="D3563" s="12" t="s">
        <v>1378</v>
      </c>
      <c r="E3563" s="9">
        <v>1</v>
      </c>
      <c r="F3563" s="9">
        <v>140</v>
      </c>
      <c r="G3563" s="14">
        <f>F3563/285</f>
        <v>0.49122807017543857</v>
      </c>
    </row>
    <row r="3564" spans="1:7" ht="16">
      <c r="A3564" s="12" t="s">
        <v>1397</v>
      </c>
      <c r="B3564" s="13">
        <v>1</v>
      </c>
      <c r="C3564" s="11" t="s">
        <v>1396</v>
      </c>
      <c r="D3564" s="15" t="s">
        <v>1395</v>
      </c>
      <c r="E3564" s="9">
        <v>1</v>
      </c>
      <c r="F3564" s="9">
        <v>290</v>
      </c>
      <c r="G3564" s="14">
        <f>F3564/290</f>
        <v>1</v>
      </c>
    </row>
    <row r="3565" spans="1:7" ht="16">
      <c r="A3565" s="12" t="s">
        <v>1394</v>
      </c>
      <c r="B3565" s="13">
        <v>2</v>
      </c>
      <c r="C3565" s="11">
        <v>4714781021043</v>
      </c>
      <c r="D3565" s="12" t="s">
        <v>1393</v>
      </c>
      <c r="E3565" s="9">
        <v>2</v>
      </c>
      <c r="F3565" s="9">
        <v>400</v>
      </c>
      <c r="G3565" s="14">
        <f>F3565/500</f>
        <v>0.8</v>
      </c>
    </row>
    <row r="3566" spans="1:7" ht="16">
      <c r="A3566" s="12"/>
      <c r="B3566" s="7"/>
      <c r="C3566" s="11">
        <v>4714781021050</v>
      </c>
      <c r="D3566" s="12" t="s">
        <v>1358</v>
      </c>
      <c r="E3566" s="9">
        <v>1</v>
      </c>
      <c r="F3566" s="9">
        <v>100</v>
      </c>
      <c r="G3566" s="14">
        <f>F3566/500</f>
        <v>0.2</v>
      </c>
    </row>
    <row r="3567" spans="1:7" ht="16">
      <c r="A3567" s="12" t="s">
        <v>1392</v>
      </c>
      <c r="B3567" s="13">
        <v>1</v>
      </c>
      <c r="C3567" s="6">
        <v>4714781020824</v>
      </c>
      <c r="D3567" s="12" t="s">
        <v>1391</v>
      </c>
      <c r="E3567" s="9">
        <v>1</v>
      </c>
      <c r="F3567" s="9">
        <v>350</v>
      </c>
      <c r="G3567" s="8">
        <f>F3567/350</f>
        <v>1</v>
      </c>
    </row>
    <row r="3568" spans="1:7" ht="16">
      <c r="A3568" s="12" t="s">
        <v>1390</v>
      </c>
      <c r="B3568" s="13">
        <v>1</v>
      </c>
      <c r="C3568" s="6">
        <v>4714781020831</v>
      </c>
      <c r="D3568" s="12" t="s">
        <v>1389</v>
      </c>
      <c r="E3568" s="9">
        <v>1</v>
      </c>
      <c r="F3568" s="9">
        <v>350</v>
      </c>
      <c r="G3568" s="8">
        <f>F3568/350</f>
        <v>1</v>
      </c>
    </row>
    <row r="3569" spans="1:7" ht="16">
      <c r="A3569" s="12" t="s">
        <v>1388</v>
      </c>
      <c r="B3569" s="13">
        <v>1</v>
      </c>
      <c r="C3569" s="6">
        <v>4714781020817</v>
      </c>
      <c r="D3569" s="12" t="s">
        <v>1317</v>
      </c>
      <c r="E3569" s="9">
        <v>1</v>
      </c>
      <c r="F3569" s="9">
        <v>128</v>
      </c>
      <c r="G3569" s="8">
        <f>F3569/128</f>
        <v>1</v>
      </c>
    </row>
    <row r="3570" spans="1:7" ht="16">
      <c r="A3570" s="12" t="s">
        <v>1387</v>
      </c>
      <c r="B3570" s="13">
        <v>1</v>
      </c>
      <c r="C3570" s="6">
        <v>4714781020800</v>
      </c>
      <c r="D3570" s="12" t="s">
        <v>1319</v>
      </c>
      <c r="E3570" s="9">
        <v>1</v>
      </c>
      <c r="F3570" s="9">
        <v>128</v>
      </c>
      <c r="G3570" s="8">
        <f>F3570/128</f>
        <v>1</v>
      </c>
    </row>
    <row r="3571" spans="1:7" ht="16">
      <c r="A3571" s="12" t="s">
        <v>1386</v>
      </c>
      <c r="B3571" s="13">
        <v>1</v>
      </c>
      <c r="C3571" s="6">
        <v>4714781020794</v>
      </c>
      <c r="D3571" s="12" t="s">
        <v>1320</v>
      </c>
      <c r="E3571" s="9">
        <v>1</v>
      </c>
      <c r="F3571" s="9">
        <v>128</v>
      </c>
      <c r="G3571" s="8">
        <f>F3571/128</f>
        <v>1</v>
      </c>
    </row>
    <row r="3572" spans="1:7" ht="16">
      <c r="A3572" s="12" t="s">
        <v>1385</v>
      </c>
      <c r="B3572" s="13">
        <v>1</v>
      </c>
      <c r="C3572" s="6">
        <v>4714781020855</v>
      </c>
      <c r="D3572" s="12" t="s">
        <v>1384</v>
      </c>
      <c r="E3572" s="9">
        <v>1</v>
      </c>
      <c r="F3572" s="9">
        <v>350</v>
      </c>
      <c r="G3572" s="8">
        <f>F3572/350</f>
        <v>1</v>
      </c>
    </row>
    <row r="3573" spans="1:7" ht="16">
      <c r="A3573" s="12" t="s">
        <v>1383</v>
      </c>
      <c r="B3573" s="13">
        <v>1</v>
      </c>
      <c r="C3573" s="6">
        <v>4714781020848</v>
      </c>
      <c r="D3573" s="12" t="s">
        <v>1382</v>
      </c>
      <c r="E3573" s="9">
        <v>1</v>
      </c>
      <c r="F3573" s="9">
        <v>350</v>
      </c>
      <c r="G3573" s="8">
        <f>F3573/350</f>
        <v>1</v>
      </c>
    </row>
    <row r="3574" spans="1:7" ht="16">
      <c r="A3574" s="12" t="s">
        <v>1381</v>
      </c>
      <c r="B3574" s="13">
        <v>1</v>
      </c>
      <c r="C3574" s="6">
        <v>4714781020770</v>
      </c>
      <c r="D3574" s="12" t="s">
        <v>1380</v>
      </c>
      <c r="E3574" s="9">
        <v>1</v>
      </c>
      <c r="F3574" s="9">
        <v>149</v>
      </c>
      <c r="G3574" s="8">
        <f>F3574/149</f>
        <v>1</v>
      </c>
    </row>
    <row r="3575" spans="1:7" ht="16">
      <c r="A3575" s="12" t="s">
        <v>1379</v>
      </c>
      <c r="B3575" s="13">
        <v>1</v>
      </c>
      <c r="C3575" s="6">
        <v>4714781020787</v>
      </c>
      <c r="D3575" s="12" t="s">
        <v>1378</v>
      </c>
      <c r="E3575" s="9">
        <v>1</v>
      </c>
      <c r="F3575" s="9">
        <v>149</v>
      </c>
      <c r="G3575" s="8">
        <f>F3575/149</f>
        <v>1</v>
      </c>
    </row>
    <row r="3576" spans="1:7" ht="16">
      <c r="A3576" s="12" t="s">
        <v>1377</v>
      </c>
      <c r="B3576" s="13">
        <v>1</v>
      </c>
      <c r="C3576" s="6">
        <v>4714781020954</v>
      </c>
      <c r="D3576" s="12" t="s">
        <v>1376</v>
      </c>
      <c r="E3576" s="9">
        <v>1</v>
      </c>
      <c r="F3576" s="9">
        <v>149</v>
      </c>
      <c r="G3576" s="8">
        <f>F3576/149</f>
        <v>1</v>
      </c>
    </row>
    <row r="3577" spans="1:7" ht="16">
      <c r="A3577" s="12" t="s">
        <v>1375</v>
      </c>
      <c r="B3577" s="13">
        <v>1</v>
      </c>
      <c r="C3577" s="6">
        <v>4714781020466</v>
      </c>
      <c r="D3577" s="12" t="s">
        <v>1374</v>
      </c>
      <c r="E3577" s="9">
        <v>1</v>
      </c>
      <c r="F3577" s="9">
        <v>168</v>
      </c>
      <c r="G3577" s="8">
        <f>F3577/168</f>
        <v>1</v>
      </c>
    </row>
    <row r="3578" spans="1:7" ht="16">
      <c r="A3578" s="12" t="s">
        <v>1373</v>
      </c>
      <c r="B3578" s="13">
        <v>1</v>
      </c>
      <c r="C3578" s="6">
        <v>4714781020503</v>
      </c>
      <c r="D3578" s="12" t="s">
        <v>1372</v>
      </c>
      <c r="E3578" s="9">
        <v>1</v>
      </c>
      <c r="F3578" s="9">
        <v>168</v>
      </c>
      <c r="G3578" s="8">
        <f>F3578/168</f>
        <v>1</v>
      </c>
    </row>
    <row r="3579" spans="1:7" ht="16">
      <c r="A3579" s="12" t="s">
        <v>1371</v>
      </c>
      <c r="B3579" s="13">
        <v>1</v>
      </c>
      <c r="C3579" s="6">
        <v>4714781020558</v>
      </c>
      <c r="D3579" s="12" t="s">
        <v>1370</v>
      </c>
      <c r="E3579" s="9">
        <v>1</v>
      </c>
      <c r="F3579" s="9">
        <v>168</v>
      </c>
      <c r="G3579" s="8">
        <f>F3579/168</f>
        <v>1</v>
      </c>
    </row>
    <row r="3580" spans="1:7" ht="16">
      <c r="A3580" s="12" t="s">
        <v>1369</v>
      </c>
      <c r="B3580" s="13">
        <v>1</v>
      </c>
      <c r="C3580" s="6">
        <v>4714781020282</v>
      </c>
      <c r="D3580" s="12" t="s">
        <v>275</v>
      </c>
      <c r="E3580" s="9">
        <v>1</v>
      </c>
      <c r="F3580" s="9">
        <v>299</v>
      </c>
      <c r="G3580" s="8">
        <f>F3580/299</f>
        <v>1</v>
      </c>
    </row>
    <row r="3581" spans="1:7" ht="16">
      <c r="A3581" s="12" t="s">
        <v>1368</v>
      </c>
      <c r="B3581" s="13">
        <v>1</v>
      </c>
      <c r="C3581" s="6">
        <v>4714781020299</v>
      </c>
      <c r="D3581" s="12" t="s">
        <v>1367</v>
      </c>
      <c r="E3581" s="9">
        <v>1</v>
      </c>
      <c r="F3581" s="9">
        <v>299</v>
      </c>
      <c r="G3581" s="8">
        <f>F3581/299</f>
        <v>1</v>
      </c>
    </row>
    <row r="3582" spans="1:7" ht="16">
      <c r="A3582" s="12" t="s">
        <v>1366</v>
      </c>
      <c r="B3582" s="13">
        <v>1</v>
      </c>
      <c r="C3582" s="6">
        <v>4714781024730</v>
      </c>
      <c r="D3582" s="12" t="s">
        <v>264</v>
      </c>
      <c r="E3582" s="9">
        <v>1</v>
      </c>
      <c r="F3582" s="9">
        <v>299</v>
      </c>
      <c r="G3582" s="8">
        <f>F3582/299</f>
        <v>1</v>
      </c>
    </row>
    <row r="3583" spans="1:7" ht="16">
      <c r="A3583" s="12" t="s">
        <v>1365</v>
      </c>
      <c r="B3583" s="13">
        <v>1</v>
      </c>
      <c r="C3583" s="6">
        <v>4714781024723</v>
      </c>
      <c r="D3583" s="12" t="s">
        <v>359</v>
      </c>
      <c r="E3583" s="9">
        <v>1</v>
      </c>
      <c r="F3583" s="9">
        <v>299</v>
      </c>
      <c r="G3583" s="8">
        <f>F3583/299</f>
        <v>1</v>
      </c>
    </row>
    <row r="3584" spans="1:7" ht="16">
      <c r="A3584" s="12" t="s">
        <v>1364</v>
      </c>
      <c r="B3584" s="13">
        <v>1</v>
      </c>
      <c r="C3584" s="6">
        <v>4714781024716</v>
      </c>
      <c r="D3584" s="12" t="s">
        <v>373</v>
      </c>
      <c r="E3584" s="9">
        <v>1</v>
      </c>
      <c r="F3584" s="9">
        <v>299</v>
      </c>
      <c r="G3584" s="8">
        <f>F3584/299</f>
        <v>1</v>
      </c>
    </row>
    <row r="3585" spans="1:7" ht="16">
      <c r="A3585" s="12" t="s">
        <v>1363</v>
      </c>
      <c r="B3585" s="13">
        <v>1</v>
      </c>
      <c r="C3585" s="6">
        <v>4714781021043</v>
      </c>
      <c r="D3585" s="12" t="s">
        <v>1362</v>
      </c>
      <c r="E3585" s="9">
        <v>1</v>
      </c>
      <c r="F3585" s="9">
        <v>199</v>
      </c>
      <c r="G3585" s="8">
        <f>F3585/199</f>
        <v>1</v>
      </c>
    </row>
    <row r="3586" spans="1:7" ht="16">
      <c r="A3586" s="12" t="s">
        <v>1361</v>
      </c>
      <c r="B3586" s="13">
        <v>1</v>
      </c>
      <c r="C3586" s="6">
        <v>4714781021036</v>
      </c>
      <c r="D3586" s="12" t="s">
        <v>1360</v>
      </c>
      <c r="E3586" s="9">
        <v>1</v>
      </c>
      <c r="F3586" s="9">
        <v>149</v>
      </c>
      <c r="G3586" s="8">
        <f>F3586/149</f>
        <v>1</v>
      </c>
    </row>
    <row r="3587" spans="1:7" ht="16">
      <c r="A3587" s="12" t="s">
        <v>1359</v>
      </c>
      <c r="B3587" s="13">
        <v>1</v>
      </c>
      <c r="C3587" s="6">
        <v>4714781021050</v>
      </c>
      <c r="D3587" s="12" t="s">
        <v>1358</v>
      </c>
      <c r="E3587" s="9">
        <v>1</v>
      </c>
      <c r="F3587" s="9">
        <v>129</v>
      </c>
      <c r="G3587" s="8">
        <f>F3587/129</f>
        <v>1</v>
      </c>
    </row>
    <row r="3588" spans="1:7" ht="16">
      <c r="A3588" s="10" t="s">
        <v>1357</v>
      </c>
      <c r="B3588" s="13">
        <v>1</v>
      </c>
      <c r="C3588" s="11" t="s">
        <v>1354</v>
      </c>
      <c r="D3588" s="10" t="s">
        <v>1198</v>
      </c>
      <c r="E3588" s="9">
        <v>6</v>
      </c>
      <c r="F3588" s="9">
        <v>300</v>
      </c>
      <c r="G3588" s="8">
        <f>F3588/300</f>
        <v>1</v>
      </c>
    </row>
    <row r="3589" spans="1:7" ht="16">
      <c r="A3589" s="10" t="s">
        <v>1356</v>
      </c>
      <c r="B3589" s="13">
        <v>1</v>
      </c>
      <c r="C3589" s="11" t="s">
        <v>1353</v>
      </c>
      <c r="D3589" s="10" t="s">
        <v>1352</v>
      </c>
      <c r="E3589" s="9">
        <v>6</v>
      </c>
      <c r="F3589" s="9">
        <v>300</v>
      </c>
      <c r="G3589" s="8">
        <f>F3589/300</f>
        <v>1</v>
      </c>
    </row>
    <row r="3590" spans="1:7" ht="16">
      <c r="A3590" s="10" t="s">
        <v>1355</v>
      </c>
      <c r="B3590" s="13">
        <v>2</v>
      </c>
      <c r="C3590" s="11" t="s">
        <v>1354</v>
      </c>
      <c r="D3590" s="10" t="s">
        <v>1198</v>
      </c>
      <c r="E3590" s="9">
        <v>3</v>
      </c>
      <c r="F3590" s="9">
        <v>150</v>
      </c>
      <c r="G3590" s="8">
        <f>F3590/300</f>
        <v>0.5</v>
      </c>
    </row>
    <row r="3591" spans="1:7" ht="16">
      <c r="A3591" s="12"/>
      <c r="B3591" s="7"/>
      <c r="C3591" s="11" t="s">
        <v>1353</v>
      </c>
      <c r="D3591" s="10" t="s">
        <v>1352</v>
      </c>
      <c r="E3591" s="9">
        <v>3</v>
      </c>
      <c r="F3591" s="9">
        <v>150</v>
      </c>
      <c r="G3591" s="8">
        <f>F3591/300</f>
        <v>0.5</v>
      </c>
    </row>
    <row r="3592" spans="1:7" ht="16">
      <c r="A3592" s="10" t="s">
        <v>1351</v>
      </c>
      <c r="B3592" s="13">
        <v>2</v>
      </c>
      <c r="C3592" s="11" t="s">
        <v>1350</v>
      </c>
      <c r="D3592" s="10" t="s">
        <v>1349</v>
      </c>
      <c r="E3592" s="9">
        <v>1</v>
      </c>
      <c r="F3592" s="9">
        <v>378</v>
      </c>
      <c r="G3592" s="8">
        <f>F3592/517</f>
        <v>0.7311411992263056</v>
      </c>
    </row>
    <row r="3593" spans="1:7" ht="16">
      <c r="A3593" s="12"/>
      <c r="B3593" s="7"/>
      <c r="C3593" s="11" t="s">
        <v>1339</v>
      </c>
      <c r="D3593" s="10" t="s">
        <v>1338</v>
      </c>
      <c r="E3593" s="9">
        <v>1</v>
      </c>
      <c r="F3593" s="9">
        <v>139</v>
      </c>
      <c r="G3593" s="8">
        <f>F3593/517</f>
        <v>0.2688588007736944</v>
      </c>
    </row>
    <row r="3594" spans="1:7" ht="16">
      <c r="A3594" s="10" t="s">
        <v>1348</v>
      </c>
      <c r="B3594" s="13">
        <v>2</v>
      </c>
      <c r="C3594" s="11" t="s">
        <v>1347</v>
      </c>
      <c r="D3594" s="10" t="s">
        <v>1346</v>
      </c>
      <c r="E3594" s="9">
        <v>1</v>
      </c>
      <c r="F3594" s="9">
        <v>378</v>
      </c>
      <c r="G3594" s="8">
        <f>F3594/517</f>
        <v>0.7311411992263056</v>
      </c>
    </row>
    <row r="3595" spans="1:7" ht="16">
      <c r="A3595" s="12"/>
      <c r="B3595" s="7"/>
      <c r="C3595" s="11" t="s">
        <v>1339</v>
      </c>
      <c r="D3595" s="10" t="s">
        <v>1338</v>
      </c>
      <c r="E3595" s="9">
        <v>1</v>
      </c>
      <c r="F3595" s="9">
        <v>139</v>
      </c>
      <c r="G3595" s="8">
        <f>F3595/517</f>
        <v>0.2688588007736944</v>
      </c>
    </row>
    <row r="3596" spans="1:7" ht="16">
      <c r="A3596" s="10" t="s">
        <v>1345</v>
      </c>
      <c r="B3596" s="13">
        <v>2</v>
      </c>
      <c r="C3596" s="11" t="s">
        <v>1343</v>
      </c>
      <c r="D3596" s="10" t="s">
        <v>1342</v>
      </c>
      <c r="E3596" s="9">
        <v>1</v>
      </c>
      <c r="F3596" s="9">
        <v>435</v>
      </c>
      <c r="G3596" s="8">
        <f>F3596/500</f>
        <v>0.87</v>
      </c>
    </row>
    <row r="3597" spans="1:7" ht="16">
      <c r="A3597" s="12"/>
      <c r="B3597" s="7"/>
      <c r="C3597" s="11" t="s">
        <v>1332</v>
      </c>
      <c r="D3597" s="10" t="s">
        <v>1331</v>
      </c>
      <c r="E3597" s="9">
        <v>1</v>
      </c>
      <c r="F3597" s="9">
        <v>65</v>
      </c>
      <c r="G3597" s="8">
        <f>F3597/500</f>
        <v>0.13</v>
      </c>
    </row>
    <row r="3598" spans="1:7" ht="16">
      <c r="A3598" s="10" t="s">
        <v>1344</v>
      </c>
      <c r="B3598" s="13">
        <v>2</v>
      </c>
      <c r="C3598" s="11" t="s">
        <v>1343</v>
      </c>
      <c r="D3598" s="10" t="s">
        <v>1342</v>
      </c>
      <c r="E3598" s="9">
        <v>1</v>
      </c>
      <c r="F3598" s="9">
        <v>400</v>
      </c>
      <c r="G3598" s="8">
        <f>F3598/765</f>
        <v>0.52287581699346408</v>
      </c>
    </row>
    <row r="3599" spans="1:7" ht="16">
      <c r="A3599" s="12"/>
      <c r="B3599" s="7"/>
      <c r="C3599" s="11" t="s">
        <v>1327</v>
      </c>
      <c r="D3599" s="10" t="s">
        <v>1326</v>
      </c>
      <c r="E3599" s="9">
        <v>1</v>
      </c>
      <c r="F3599" s="9">
        <v>365</v>
      </c>
      <c r="G3599" s="8">
        <f>F3599/765</f>
        <v>0.47712418300653597</v>
      </c>
    </row>
    <row r="3600" spans="1:7" ht="16">
      <c r="A3600" s="10" t="s">
        <v>206</v>
      </c>
      <c r="B3600" s="13">
        <v>2</v>
      </c>
      <c r="C3600" s="11" t="s">
        <v>1341</v>
      </c>
      <c r="D3600" s="10" t="s">
        <v>1340</v>
      </c>
      <c r="E3600" s="9">
        <v>1</v>
      </c>
      <c r="F3600" s="9">
        <v>400</v>
      </c>
      <c r="G3600" s="8">
        <f>F3600/528</f>
        <v>0.75757575757575757</v>
      </c>
    </row>
    <row r="3601" spans="1:7" ht="16">
      <c r="A3601" s="12"/>
      <c r="B3601" s="7"/>
      <c r="C3601" s="11" t="s">
        <v>1339</v>
      </c>
      <c r="D3601" s="10" t="s">
        <v>1338</v>
      </c>
      <c r="E3601" s="9">
        <v>1</v>
      </c>
      <c r="F3601" s="9">
        <v>128</v>
      </c>
      <c r="G3601" s="8">
        <f>F3601/528</f>
        <v>0.24242424242424243</v>
      </c>
    </row>
    <row r="3602" spans="1:7" ht="16">
      <c r="A3602" s="10" t="s">
        <v>1337</v>
      </c>
      <c r="B3602" s="13">
        <v>2</v>
      </c>
      <c r="C3602" s="11" t="s">
        <v>1324</v>
      </c>
      <c r="D3602" s="10" t="s">
        <v>1323</v>
      </c>
      <c r="E3602" s="9">
        <v>1</v>
      </c>
      <c r="F3602" s="9">
        <v>500</v>
      </c>
      <c r="G3602" s="8">
        <f>F3602/900</f>
        <v>0.55555555555555558</v>
      </c>
    </row>
    <row r="3603" spans="1:7" ht="16">
      <c r="A3603" s="12"/>
      <c r="B3603" s="7"/>
      <c r="C3603" s="11" t="s">
        <v>1336</v>
      </c>
      <c r="D3603" s="10" t="s">
        <v>1335</v>
      </c>
      <c r="E3603" s="9">
        <v>1</v>
      </c>
      <c r="F3603" s="9">
        <v>400</v>
      </c>
      <c r="G3603" s="8">
        <f>F3603/900</f>
        <v>0.44444444444444442</v>
      </c>
    </row>
    <row r="3604" spans="1:7" ht="16">
      <c r="A3604" s="10" t="s">
        <v>229</v>
      </c>
      <c r="B3604" s="13">
        <v>2</v>
      </c>
      <c r="C3604" s="11" t="s">
        <v>1334</v>
      </c>
      <c r="D3604" s="10" t="s">
        <v>1333</v>
      </c>
      <c r="E3604" s="9">
        <v>1</v>
      </c>
      <c r="F3604" s="9">
        <v>700</v>
      </c>
      <c r="G3604" s="8">
        <f>F3604/769</f>
        <v>0.91027308192457734</v>
      </c>
    </row>
    <row r="3605" spans="1:7" ht="16">
      <c r="A3605" s="12"/>
      <c r="B3605" s="7"/>
      <c r="C3605" s="11" t="s">
        <v>1332</v>
      </c>
      <c r="D3605" s="10" t="s">
        <v>1331</v>
      </c>
      <c r="E3605" s="9">
        <v>2</v>
      </c>
      <c r="F3605" s="9">
        <v>69</v>
      </c>
      <c r="G3605" s="8">
        <f>F3605/769</f>
        <v>8.9726918075422629E-2</v>
      </c>
    </row>
    <row r="3606" spans="1:7" ht="16">
      <c r="A3606" s="10" t="s">
        <v>1330</v>
      </c>
      <c r="B3606" s="13">
        <v>1</v>
      </c>
      <c r="C3606" s="11" t="s">
        <v>1329</v>
      </c>
      <c r="D3606" s="10" t="s">
        <v>1328</v>
      </c>
      <c r="E3606" s="9">
        <v>2</v>
      </c>
      <c r="F3606" s="9">
        <v>300</v>
      </c>
      <c r="G3606" s="8">
        <v>1</v>
      </c>
    </row>
    <row r="3607" spans="1:7" ht="16">
      <c r="A3607" s="10" t="s">
        <v>224</v>
      </c>
      <c r="B3607" s="13">
        <v>1</v>
      </c>
      <c r="C3607" s="11" t="s">
        <v>1327</v>
      </c>
      <c r="D3607" s="10" t="s">
        <v>1326</v>
      </c>
      <c r="E3607" s="9">
        <v>2</v>
      </c>
      <c r="F3607" s="9">
        <v>720</v>
      </c>
      <c r="G3607" s="8">
        <v>1</v>
      </c>
    </row>
    <row r="3608" spans="1:7" ht="16">
      <c r="A3608" s="10" t="s">
        <v>1325</v>
      </c>
      <c r="B3608" s="13">
        <v>1</v>
      </c>
      <c r="C3608" s="11" t="s">
        <v>1324</v>
      </c>
      <c r="D3608" s="10" t="s">
        <v>1323</v>
      </c>
      <c r="E3608" s="9">
        <v>2</v>
      </c>
      <c r="F3608" s="9">
        <v>900</v>
      </c>
      <c r="G3608" s="8">
        <v>1</v>
      </c>
    </row>
    <row r="3609" spans="1:7" ht="16">
      <c r="A3609" s="10" t="s">
        <v>199</v>
      </c>
      <c r="B3609" s="13">
        <v>2</v>
      </c>
      <c r="C3609" s="11">
        <v>4714781020824</v>
      </c>
      <c r="D3609" s="10" t="s">
        <v>1322</v>
      </c>
      <c r="E3609" s="9">
        <v>1</v>
      </c>
      <c r="F3609" s="9">
        <v>340</v>
      </c>
      <c r="G3609" s="8">
        <v>0.73913043478260865</v>
      </c>
    </row>
    <row r="3610" spans="1:7" ht="16">
      <c r="A3610" s="12"/>
      <c r="B3610" s="7"/>
      <c r="C3610" s="11">
        <v>4714781020794</v>
      </c>
      <c r="D3610" s="10" t="s">
        <v>1320</v>
      </c>
      <c r="E3610" s="9">
        <v>1</v>
      </c>
      <c r="F3610" s="9">
        <v>120</v>
      </c>
      <c r="G3610" s="8">
        <v>0.2608695652173913</v>
      </c>
    </row>
    <row r="3611" spans="1:7" ht="16">
      <c r="A3611" s="10" t="s">
        <v>118</v>
      </c>
      <c r="B3611" s="13">
        <v>2</v>
      </c>
      <c r="C3611" s="11">
        <v>4714781020824</v>
      </c>
      <c r="D3611" s="10" t="s">
        <v>1322</v>
      </c>
      <c r="E3611" s="9">
        <v>1</v>
      </c>
      <c r="F3611" s="9">
        <v>340</v>
      </c>
      <c r="G3611" s="8">
        <v>0.73913043478260865</v>
      </c>
    </row>
    <row r="3612" spans="1:7" ht="16">
      <c r="A3612" s="10"/>
      <c r="B3612" s="7"/>
      <c r="C3612" s="11">
        <v>4714781020800</v>
      </c>
      <c r="D3612" s="10" t="s">
        <v>1319</v>
      </c>
      <c r="E3612" s="9">
        <v>1</v>
      </c>
      <c r="F3612" s="9">
        <v>120</v>
      </c>
      <c r="G3612" s="8">
        <v>0.2608695652173913</v>
      </c>
    </row>
    <row r="3613" spans="1:7" ht="16">
      <c r="A3613" s="10" t="s">
        <v>862</v>
      </c>
      <c r="B3613" s="13">
        <v>2</v>
      </c>
      <c r="C3613" s="11">
        <v>4714781020824</v>
      </c>
      <c r="D3613" s="10" t="s">
        <v>1322</v>
      </c>
      <c r="E3613" s="9">
        <v>1</v>
      </c>
      <c r="F3613" s="9">
        <v>340</v>
      </c>
      <c r="G3613" s="8">
        <v>0.73913043478260865</v>
      </c>
    </row>
    <row r="3614" spans="1:7" ht="16">
      <c r="A3614" s="10"/>
      <c r="B3614" s="13"/>
      <c r="C3614" s="11">
        <v>4714781020817</v>
      </c>
      <c r="D3614" s="10" t="s">
        <v>1317</v>
      </c>
      <c r="E3614" s="9">
        <v>1</v>
      </c>
      <c r="F3614" s="9">
        <v>120</v>
      </c>
      <c r="G3614" s="8">
        <v>0.2608695652173913</v>
      </c>
    </row>
    <row r="3615" spans="1:7" ht="16">
      <c r="A3615" s="10" t="s">
        <v>1321</v>
      </c>
      <c r="B3615" s="13">
        <v>2</v>
      </c>
      <c r="C3615" s="11">
        <v>4714781020831</v>
      </c>
      <c r="D3615" s="10" t="s">
        <v>1318</v>
      </c>
      <c r="E3615" s="9">
        <v>1</v>
      </c>
      <c r="F3615" s="9">
        <v>340</v>
      </c>
      <c r="G3615" s="8">
        <v>0.73913043478260865</v>
      </c>
    </row>
    <row r="3616" spans="1:7" ht="16">
      <c r="A3616" s="10"/>
      <c r="B3616" s="13"/>
      <c r="C3616" s="11">
        <v>4714781020794</v>
      </c>
      <c r="D3616" s="10" t="s">
        <v>1320</v>
      </c>
      <c r="E3616" s="9">
        <v>1</v>
      </c>
      <c r="F3616" s="9">
        <v>120</v>
      </c>
      <c r="G3616" s="8">
        <v>0.2608695652173913</v>
      </c>
    </row>
    <row r="3617" spans="1:7" ht="16">
      <c r="A3617" s="10" t="s">
        <v>1110</v>
      </c>
      <c r="B3617" s="13">
        <v>2</v>
      </c>
      <c r="C3617" s="11">
        <v>4714781020831</v>
      </c>
      <c r="D3617" s="10" t="s">
        <v>1318</v>
      </c>
      <c r="E3617" s="9">
        <v>1</v>
      </c>
      <c r="F3617" s="9">
        <v>340</v>
      </c>
      <c r="G3617" s="8">
        <v>0.73913043478260865</v>
      </c>
    </row>
    <row r="3618" spans="1:7" ht="16">
      <c r="A3618" s="10"/>
      <c r="B3618" s="7"/>
      <c r="C3618" s="11">
        <v>4714781020800</v>
      </c>
      <c r="D3618" s="10" t="s">
        <v>1319</v>
      </c>
      <c r="E3618" s="9">
        <v>1</v>
      </c>
      <c r="F3618" s="9">
        <v>120</v>
      </c>
      <c r="G3618" s="8">
        <v>0.2608695652173913</v>
      </c>
    </row>
    <row r="3619" spans="1:7" ht="16">
      <c r="A3619" s="10" t="s">
        <v>1112</v>
      </c>
      <c r="B3619" s="13">
        <v>2</v>
      </c>
      <c r="C3619" s="11">
        <v>4714781020831</v>
      </c>
      <c r="D3619" s="10" t="s">
        <v>1318</v>
      </c>
      <c r="E3619" s="9">
        <v>1</v>
      </c>
      <c r="F3619" s="9">
        <v>340</v>
      </c>
      <c r="G3619" s="8">
        <v>0.73913043478260865</v>
      </c>
    </row>
    <row r="3620" spans="1:7" ht="16">
      <c r="A3620" s="12"/>
      <c r="B3620" s="7"/>
      <c r="C3620" s="11">
        <v>4714781020817</v>
      </c>
      <c r="D3620" s="10" t="s">
        <v>1317</v>
      </c>
      <c r="E3620" s="9">
        <v>1</v>
      </c>
      <c r="F3620" s="9">
        <v>120</v>
      </c>
      <c r="G3620" s="8">
        <v>0.2608695652173913</v>
      </c>
    </row>
    <row r="3621" spans="1:7" ht="16">
      <c r="B3621" s="7"/>
      <c r="C3621" s="6"/>
      <c r="G3621" s="5"/>
    </row>
    <row r="3622" spans="1:7" ht="16">
      <c r="B3622" s="7"/>
      <c r="C3622" s="6"/>
      <c r="G3622" s="5"/>
    </row>
    <row r="3623" spans="1:7" ht="16">
      <c r="B3623" s="7"/>
      <c r="C3623" s="6"/>
      <c r="G3623" s="5"/>
    </row>
    <row r="3624" spans="1:7" ht="16">
      <c r="B3624" s="7"/>
      <c r="C3624" s="6"/>
      <c r="G3624" s="5"/>
    </row>
    <row r="3625" spans="1:7" ht="16">
      <c r="B3625" s="7"/>
      <c r="C3625" s="6"/>
      <c r="G3625" s="5"/>
    </row>
    <row r="3626" spans="1:7" ht="16">
      <c r="B3626" s="7"/>
      <c r="C3626" s="6"/>
      <c r="G3626" s="5"/>
    </row>
    <row r="3627" spans="1:7" ht="16">
      <c r="B3627" s="7"/>
      <c r="C3627" s="6"/>
      <c r="G3627" s="5"/>
    </row>
    <row r="3628" spans="1:7" ht="16">
      <c r="B3628" s="7"/>
      <c r="C3628" s="6"/>
      <c r="G3628" s="5"/>
    </row>
    <row r="3629" spans="1:7" ht="16">
      <c r="B3629" s="7"/>
      <c r="C3629" s="6"/>
      <c r="G3629" s="5"/>
    </row>
    <row r="3630" spans="1:7" ht="16">
      <c r="B3630" s="7"/>
      <c r="C3630" s="6"/>
      <c r="G3630" s="5"/>
    </row>
    <row r="3631" spans="1:7" ht="16">
      <c r="B3631" s="7"/>
      <c r="C3631" s="6"/>
      <c r="G3631" s="5"/>
    </row>
    <row r="3632" spans="1:7" ht="16">
      <c r="B3632" s="7"/>
      <c r="C3632" s="6"/>
      <c r="G3632" s="5"/>
    </row>
    <row r="3633" spans="2:7" ht="16">
      <c r="B3633" s="7"/>
      <c r="C3633" s="6"/>
      <c r="G3633" s="5"/>
    </row>
    <row r="3634" spans="2:7" ht="16">
      <c r="B3634" s="7"/>
      <c r="C3634" s="6"/>
      <c r="G3634" s="5"/>
    </row>
    <row r="3635" spans="2:7" ht="16">
      <c r="B3635" s="7"/>
      <c r="C3635" s="6"/>
      <c r="G3635" s="5"/>
    </row>
    <row r="3636" spans="2:7" ht="16">
      <c r="B3636" s="7"/>
      <c r="C3636" s="6"/>
      <c r="G3636" s="5"/>
    </row>
    <row r="3637" spans="2:7" ht="16">
      <c r="B3637" s="7"/>
      <c r="C3637" s="6"/>
      <c r="G3637" s="5"/>
    </row>
    <row r="3638" spans="2:7" ht="16">
      <c r="B3638" s="7"/>
      <c r="C3638" s="6"/>
      <c r="G3638" s="5"/>
    </row>
    <row r="3639" spans="2:7" ht="16">
      <c r="B3639" s="7"/>
      <c r="C3639" s="6"/>
      <c r="G3639" s="5"/>
    </row>
    <row r="3640" spans="2:7" ht="16">
      <c r="B3640" s="7"/>
      <c r="C3640" s="6"/>
      <c r="G3640" s="5"/>
    </row>
    <row r="3641" spans="2:7" ht="16">
      <c r="B3641" s="7"/>
      <c r="C3641" s="6"/>
      <c r="G3641" s="5"/>
    </row>
    <row r="3642" spans="2:7" ht="16">
      <c r="B3642" s="7"/>
      <c r="C3642" s="6"/>
      <c r="G3642" s="5"/>
    </row>
    <row r="3643" spans="2:7" ht="16">
      <c r="B3643" s="7"/>
      <c r="C3643" s="6"/>
      <c r="G3643" s="5"/>
    </row>
    <row r="3644" spans="2:7" ht="16">
      <c r="B3644" s="7"/>
      <c r="C3644" s="6"/>
      <c r="G3644" s="5"/>
    </row>
    <row r="3645" spans="2:7" ht="16">
      <c r="B3645" s="7"/>
      <c r="C3645" s="6"/>
      <c r="G3645" s="5"/>
    </row>
    <row r="3646" spans="2:7" ht="16">
      <c r="B3646" s="7"/>
      <c r="C3646" s="6"/>
      <c r="G3646" s="5"/>
    </row>
    <row r="3647" spans="2:7" ht="16">
      <c r="B3647" s="7"/>
      <c r="C3647" s="6"/>
      <c r="G3647" s="5"/>
    </row>
    <row r="3648" spans="2:7" ht="16">
      <c r="B3648" s="7"/>
      <c r="C3648" s="6"/>
      <c r="G3648" s="5"/>
    </row>
    <row r="3649" spans="2:7" ht="16">
      <c r="B3649" s="7"/>
      <c r="C3649" s="6"/>
      <c r="G3649" s="5"/>
    </row>
    <row r="3650" spans="2:7" ht="16">
      <c r="B3650" s="7"/>
      <c r="C3650" s="6"/>
      <c r="G3650" s="5"/>
    </row>
    <row r="3651" spans="2:7" ht="16">
      <c r="B3651" s="7"/>
      <c r="C3651" s="6"/>
      <c r="G3651" s="5"/>
    </row>
    <row r="3652" spans="2:7" ht="16">
      <c r="B3652" s="7"/>
      <c r="C3652" s="6"/>
      <c r="G3652" s="5"/>
    </row>
    <row r="3653" spans="2:7" ht="16">
      <c r="B3653" s="7"/>
      <c r="C3653" s="6"/>
      <c r="G3653" s="5"/>
    </row>
    <row r="3654" spans="2:7" ht="16">
      <c r="B3654" s="7"/>
      <c r="C3654" s="6"/>
      <c r="G3654" s="5"/>
    </row>
    <row r="3655" spans="2:7" ht="16">
      <c r="B3655" s="7"/>
      <c r="C3655" s="6"/>
      <c r="G3655" s="5"/>
    </row>
    <row r="3656" spans="2:7" ht="16">
      <c r="B3656" s="7"/>
      <c r="C3656" s="6"/>
      <c r="G3656" s="5"/>
    </row>
    <row r="3657" spans="2:7" ht="16">
      <c r="B3657" s="7"/>
      <c r="C3657" s="6"/>
      <c r="G3657" s="5"/>
    </row>
    <row r="3658" spans="2:7" ht="16">
      <c r="B3658" s="7"/>
      <c r="C3658" s="6"/>
      <c r="G3658" s="5"/>
    </row>
    <row r="3659" spans="2:7" ht="16">
      <c r="B3659" s="7"/>
      <c r="C3659" s="6"/>
      <c r="G3659" s="5"/>
    </row>
    <row r="3660" spans="2:7" ht="16">
      <c r="B3660" s="7"/>
      <c r="C3660" s="6"/>
      <c r="G3660" s="5"/>
    </row>
    <row r="3661" spans="2:7" ht="16">
      <c r="B3661" s="7"/>
      <c r="C3661" s="6"/>
      <c r="G3661" s="5"/>
    </row>
    <row r="3662" spans="2:7" ht="16">
      <c r="B3662" s="7"/>
      <c r="C3662" s="6"/>
      <c r="G3662" s="5"/>
    </row>
    <row r="3663" spans="2:7" ht="16">
      <c r="B3663" s="7"/>
      <c r="C3663" s="6"/>
      <c r="G3663" s="5"/>
    </row>
    <row r="3664" spans="2:7" ht="16">
      <c r="B3664" s="7"/>
      <c r="C3664" s="6"/>
      <c r="G3664" s="5"/>
    </row>
    <row r="3665" spans="2:7" ht="16">
      <c r="B3665" s="7"/>
      <c r="C3665" s="6"/>
      <c r="G3665" s="5"/>
    </row>
    <row r="3666" spans="2:7" ht="16">
      <c r="B3666" s="7"/>
      <c r="C3666" s="6"/>
      <c r="G3666" s="5"/>
    </row>
    <row r="3667" spans="2:7" ht="16">
      <c r="B3667" s="7"/>
      <c r="C3667" s="6"/>
      <c r="G3667" s="5"/>
    </row>
    <row r="3668" spans="2:7" ht="16">
      <c r="B3668" s="7"/>
      <c r="C3668" s="6"/>
      <c r="G3668" s="5"/>
    </row>
    <row r="3669" spans="2:7" ht="16">
      <c r="B3669" s="7"/>
      <c r="C3669" s="6"/>
      <c r="G3669" s="5"/>
    </row>
    <row r="3670" spans="2:7" ht="16">
      <c r="B3670" s="7"/>
      <c r="C3670" s="6"/>
      <c r="G3670" s="5"/>
    </row>
    <row r="3671" spans="2:7" ht="16">
      <c r="B3671" s="7"/>
      <c r="C3671" s="6"/>
      <c r="G3671" s="5"/>
    </row>
    <row r="3672" spans="2:7" ht="16">
      <c r="B3672" s="7"/>
      <c r="C3672" s="6"/>
      <c r="G3672" s="5"/>
    </row>
    <row r="3673" spans="2:7" ht="16">
      <c r="B3673" s="7"/>
      <c r="C3673" s="6"/>
      <c r="G3673" s="5"/>
    </row>
    <row r="3674" spans="2:7" ht="16">
      <c r="B3674" s="7"/>
      <c r="C3674" s="6"/>
      <c r="G3674" s="5"/>
    </row>
    <row r="3675" spans="2:7" ht="16">
      <c r="B3675" s="7"/>
      <c r="C3675" s="6"/>
      <c r="G3675" s="5"/>
    </row>
    <row r="3676" spans="2:7" ht="16">
      <c r="B3676" s="7"/>
      <c r="C3676" s="6"/>
      <c r="G3676" s="5"/>
    </row>
    <row r="3677" spans="2:7" ht="16">
      <c r="B3677" s="7"/>
      <c r="C3677" s="6"/>
      <c r="G3677" s="5"/>
    </row>
    <row r="3678" spans="2:7" ht="16">
      <c r="B3678" s="7"/>
      <c r="C3678" s="6"/>
      <c r="G3678" s="5"/>
    </row>
    <row r="3679" spans="2:7" ht="16">
      <c r="B3679" s="7"/>
      <c r="C3679" s="6"/>
      <c r="G3679" s="5"/>
    </row>
    <row r="3680" spans="2:7" ht="16">
      <c r="B3680" s="7"/>
      <c r="C3680" s="6"/>
      <c r="G3680" s="5"/>
    </row>
    <row r="3681" spans="2:7" ht="16">
      <c r="B3681" s="7"/>
      <c r="C3681" s="6"/>
      <c r="G3681" s="5"/>
    </row>
    <row r="3682" spans="2:7" ht="16">
      <c r="B3682" s="7"/>
      <c r="C3682" s="6"/>
      <c r="G3682" s="5"/>
    </row>
    <row r="3683" spans="2:7" ht="16">
      <c r="B3683" s="7"/>
      <c r="C3683" s="6"/>
      <c r="G3683" s="5"/>
    </row>
    <row r="3684" spans="2:7" ht="16">
      <c r="B3684" s="7"/>
      <c r="C3684" s="6"/>
      <c r="G3684" s="5"/>
    </row>
    <row r="3685" spans="2:7" ht="16">
      <c r="B3685" s="7"/>
      <c r="C3685" s="6"/>
      <c r="G3685" s="5"/>
    </row>
    <row r="3686" spans="2:7" ht="16">
      <c r="B3686" s="7"/>
      <c r="C3686" s="6"/>
      <c r="G3686" s="5"/>
    </row>
    <row r="3687" spans="2:7" ht="16">
      <c r="B3687" s="7"/>
      <c r="C3687" s="6"/>
      <c r="G3687" s="5"/>
    </row>
    <row r="3688" spans="2:7" ht="16">
      <c r="B3688" s="7"/>
      <c r="C3688" s="6"/>
      <c r="G3688" s="5"/>
    </row>
    <row r="3689" spans="2:7" ht="16">
      <c r="B3689" s="7"/>
      <c r="C3689" s="6"/>
      <c r="G3689" s="5"/>
    </row>
    <row r="3690" spans="2:7" ht="16">
      <c r="B3690" s="7"/>
      <c r="C3690" s="6"/>
      <c r="G3690" s="5"/>
    </row>
    <row r="3691" spans="2:7" ht="16">
      <c r="B3691" s="7"/>
      <c r="C3691" s="6"/>
      <c r="G3691" s="5"/>
    </row>
    <row r="3692" spans="2:7" ht="16">
      <c r="B3692" s="7"/>
      <c r="C3692" s="6"/>
      <c r="G3692" s="5"/>
    </row>
    <row r="3693" spans="2:7" ht="16">
      <c r="B3693" s="7"/>
      <c r="C3693" s="6"/>
      <c r="G3693" s="5"/>
    </row>
    <row r="3694" spans="2:7" ht="16">
      <c r="B3694" s="7"/>
      <c r="C3694" s="6"/>
      <c r="G3694" s="5"/>
    </row>
    <row r="3695" spans="2:7" ht="16">
      <c r="B3695" s="7"/>
      <c r="C3695" s="6"/>
      <c r="G3695" s="5"/>
    </row>
    <row r="3696" spans="2:7" ht="16">
      <c r="B3696" s="7"/>
      <c r="C3696" s="6"/>
      <c r="G3696" s="5"/>
    </row>
    <row r="3697" spans="2:7" ht="16">
      <c r="B3697" s="7"/>
      <c r="C3697" s="6"/>
      <c r="G3697" s="5"/>
    </row>
    <row r="3698" spans="2:7" ht="16">
      <c r="B3698" s="7"/>
      <c r="C3698" s="6"/>
      <c r="G3698" s="5"/>
    </row>
    <row r="3699" spans="2:7" ht="16">
      <c r="B3699" s="7"/>
      <c r="C3699" s="6"/>
      <c r="G3699" s="5"/>
    </row>
    <row r="3700" spans="2:7" ht="16">
      <c r="B3700" s="7"/>
      <c r="C3700" s="6"/>
      <c r="G3700" s="5"/>
    </row>
    <row r="3701" spans="2:7" ht="16">
      <c r="B3701" s="7"/>
      <c r="C3701" s="6"/>
      <c r="G3701" s="5"/>
    </row>
    <row r="3702" spans="2:7" ht="16">
      <c r="B3702" s="7"/>
      <c r="C3702" s="6"/>
      <c r="G3702" s="5"/>
    </row>
    <row r="3703" spans="2:7" ht="16">
      <c r="B3703" s="7"/>
      <c r="C3703" s="6"/>
      <c r="G3703" s="5"/>
    </row>
    <row r="3704" spans="2:7" ht="16">
      <c r="B3704" s="7"/>
      <c r="C3704" s="6"/>
      <c r="G3704" s="5"/>
    </row>
    <row r="3705" spans="2:7" ht="16">
      <c r="B3705" s="7"/>
      <c r="C3705" s="6"/>
      <c r="G3705" s="5"/>
    </row>
    <row r="3706" spans="2:7" ht="16">
      <c r="B3706" s="7"/>
      <c r="C3706" s="6"/>
      <c r="G3706" s="5"/>
    </row>
    <row r="3707" spans="2:7" ht="16">
      <c r="B3707" s="7"/>
      <c r="C3707" s="6"/>
      <c r="G3707" s="5"/>
    </row>
    <row r="3708" spans="2:7" ht="16">
      <c r="B3708" s="7"/>
      <c r="C3708" s="6"/>
      <c r="G3708" s="5"/>
    </row>
    <row r="3709" spans="2:7" ht="16">
      <c r="B3709" s="7"/>
      <c r="C3709" s="6"/>
      <c r="G3709" s="5"/>
    </row>
    <row r="3710" spans="2:7" ht="16">
      <c r="B3710" s="7"/>
      <c r="C3710" s="6"/>
      <c r="G3710" s="5"/>
    </row>
    <row r="3711" spans="2:7" ht="16">
      <c r="B3711" s="7"/>
      <c r="C3711" s="6"/>
      <c r="G3711" s="5"/>
    </row>
    <row r="3712" spans="2:7" ht="16">
      <c r="B3712" s="7"/>
      <c r="C3712" s="6"/>
      <c r="G3712" s="5"/>
    </row>
    <row r="3713" spans="2:7" ht="16">
      <c r="B3713" s="7"/>
      <c r="C3713" s="6"/>
      <c r="G3713" s="5"/>
    </row>
    <row r="3714" spans="2:7" ht="16">
      <c r="B3714" s="7"/>
      <c r="C3714" s="6"/>
      <c r="G3714" s="5"/>
    </row>
    <row r="3715" spans="2:7" ht="16">
      <c r="B3715" s="7"/>
      <c r="C3715" s="6"/>
      <c r="G3715" s="5"/>
    </row>
    <row r="3716" spans="2:7" ht="16">
      <c r="B3716" s="7"/>
      <c r="C3716" s="6"/>
      <c r="G3716" s="5"/>
    </row>
    <row r="3717" spans="2:7" ht="16">
      <c r="B3717" s="7"/>
      <c r="C3717" s="6"/>
      <c r="G3717" s="5"/>
    </row>
    <row r="3718" spans="2:7" ht="16">
      <c r="B3718" s="7"/>
      <c r="C3718" s="6"/>
      <c r="G3718" s="5"/>
    </row>
    <row r="3719" spans="2:7" ht="16">
      <c r="B3719" s="7"/>
      <c r="C3719" s="6"/>
      <c r="G3719" s="5"/>
    </row>
    <row r="3720" spans="2:7" ht="16">
      <c r="B3720" s="7"/>
      <c r="C3720" s="6"/>
      <c r="G3720" s="5"/>
    </row>
    <row r="3721" spans="2:7" ht="16">
      <c r="B3721" s="7"/>
      <c r="C3721" s="6"/>
      <c r="G3721" s="5"/>
    </row>
    <row r="3722" spans="2:7" ht="16">
      <c r="B3722" s="7"/>
      <c r="C3722" s="6"/>
      <c r="G3722" s="5"/>
    </row>
    <row r="3723" spans="2:7" ht="16">
      <c r="B3723" s="7"/>
      <c r="C3723" s="6"/>
      <c r="G3723" s="5"/>
    </row>
    <row r="3724" spans="2:7" ht="16">
      <c r="B3724" s="7"/>
      <c r="C3724" s="6"/>
      <c r="G3724" s="5"/>
    </row>
    <row r="3725" spans="2:7" ht="16">
      <c r="B3725" s="7"/>
      <c r="C3725" s="6"/>
      <c r="G3725" s="5"/>
    </row>
    <row r="3726" spans="2:7" ht="16">
      <c r="B3726" s="7"/>
      <c r="C3726" s="6"/>
      <c r="G3726" s="5"/>
    </row>
    <row r="3727" spans="2:7" ht="16">
      <c r="B3727" s="7"/>
      <c r="C3727" s="6"/>
      <c r="G3727" s="5"/>
    </row>
    <row r="3728" spans="2:7" ht="16">
      <c r="B3728" s="7"/>
      <c r="C3728" s="6"/>
      <c r="G3728" s="5"/>
    </row>
    <row r="3729" spans="2:7" ht="16">
      <c r="B3729" s="7"/>
      <c r="C3729" s="6"/>
      <c r="G3729" s="5"/>
    </row>
    <row r="3730" spans="2:7" ht="16">
      <c r="B3730" s="7"/>
      <c r="C3730" s="6"/>
      <c r="G3730" s="5"/>
    </row>
    <row r="3731" spans="2:7" ht="16">
      <c r="B3731" s="7"/>
      <c r="C3731" s="6"/>
      <c r="G3731" s="5"/>
    </row>
    <row r="3732" spans="2:7" ht="16">
      <c r="B3732" s="7"/>
      <c r="C3732" s="6"/>
      <c r="G3732" s="5"/>
    </row>
    <row r="3733" spans="2:7" ht="16">
      <c r="B3733" s="7"/>
      <c r="C3733" s="6"/>
      <c r="G3733" s="5"/>
    </row>
    <row r="3734" spans="2:7" ht="16">
      <c r="B3734" s="7"/>
      <c r="C3734" s="6"/>
      <c r="G3734" s="5"/>
    </row>
    <row r="3735" spans="2:7" ht="16">
      <c r="B3735" s="7"/>
      <c r="C3735" s="6"/>
      <c r="G3735" s="5"/>
    </row>
    <row r="3736" spans="2:7" ht="16">
      <c r="B3736" s="7"/>
      <c r="C3736" s="6"/>
      <c r="G3736" s="5"/>
    </row>
    <row r="3737" spans="2:7" ht="16">
      <c r="B3737" s="7"/>
      <c r="C3737" s="6"/>
      <c r="G3737" s="5"/>
    </row>
    <row r="3738" spans="2:7" ht="16">
      <c r="B3738" s="7"/>
      <c r="C3738" s="6"/>
      <c r="G3738" s="5"/>
    </row>
    <row r="3739" spans="2:7" ht="16">
      <c r="B3739" s="7"/>
      <c r="C3739" s="6"/>
      <c r="G3739" s="5"/>
    </row>
    <row r="3740" spans="2:7" ht="16">
      <c r="B3740" s="7"/>
      <c r="C3740" s="6"/>
      <c r="G3740" s="5"/>
    </row>
    <row r="3741" spans="2:7" ht="16">
      <c r="B3741" s="7"/>
      <c r="C3741" s="6"/>
      <c r="G3741" s="5"/>
    </row>
    <row r="3742" spans="2:7" ht="16">
      <c r="B3742" s="7"/>
      <c r="C3742" s="6"/>
      <c r="G3742" s="5"/>
    </row>
    <row r="3743" spans="2:7" ht="16">
      <c r="B3743" s="7"/>
      <c r="C3743" s="6"/>
      <c r="G3743" s="5"/>
    </row>
    <row r="3744" spans="2:7" ht="16">
      <c r="B3744" s="7"/>
      <c r="C3744" s="6"/>
      <c r="G3744" s="5"/>
    </row>
    <row r="3745" spans="2:7" ht="16">
      <c r="B3745" s="7"/>
      <c r="C3745" s="6"/>
      <c r="G3745" s="5"/>
    </row>
    <row r="3746" spans="2:7" ht="16">
      <c r="B3746" s="7"/>
      <c r="C3746" s="6"/>
      <c r="G3746" s="5"/>
    </row>
    <row r="3747" spans="2:7" ht="16">
      <c r="B3747" s="7"/>
      <c r="C3747" s="6"/>
      <c r="G3747" s="5"/>
    </row>
    <row r="3748" spans="2:7" ht="16">
      <c r="B3748" s="7"/>
      <c r="C3748" s="6"/>
      <c r="G3748" s="5"/>
    </row>
    <row r="3749" spans="2:7" ht="16">
      <c r="B3749" s="7"/>
      <c r="C3749" s="6"/>
      <c r="G3749" s="5"/>
    </row>
    <row r="3750" spans="2:7" ht="16">
      <c r="B3750" s="7"/>
      <c r="C3750" s="6"/>
      <c r="G3750" s="5"/>
    </row>
    <row r="3751" spans="2:7" ht="16">
      <c r="B3751" s="7"/>
      <c r="C3751" s="6"/>
      <c r="G3751" s="5"/>
    </row>
    <row r="3752" spans="2:7" ht="16">
      <c r="B3752" s="7"/>
      <c r="C3752" s="6"/>
      <c r="G3752" s="5"/>
    </row>
    <row r="3753" spans="2:7" ht="16">
      <c r="B3753" s="7"/>
      <c r="C3753" s="6"/>
      <c r="G3753" s="5"/>
    </row>
    <row r="3754" spans="2:7" ht="16">
      <c r="B3754" s="7"/>
      <c r="C3754" s="6"/>
      <c r="G3754" s="5"/>
    </row>
    <row r="3755" spans="2:7" ht="16">
      <c r="B3755" s="7"/>
      <c r="C3755" s="6"/>
      <c r="G3755" s="5"/>
    </row>
    <row r="3756" spans="2:7" ht="16">
      <c r="B3756" s="7"/>
      <c r="C3756" s="6"/>
      <c r="G3756" s="5"/>
    </row>
    <row r="3757" spans="2:7" ht="16">
      <c r="B3757" s="7"/>
      <c r="C3757" s="6"/>
      <c r="G3757" s="5"/>
    </row>
    <row r="3758" spans="2:7" ht="16">
      <c r="B3758" s="7"/>
      <c r="C3758" s="6"/>
      <c r="G3758" s="5"/>
    </row>
    <row r="3759" spans="2:7" ht="16">
      <c r="B3759" s="7"/>
      <c r="C3759" s="6"/>
      <c r="G3759" s="5"/>
    </row>
    <row r="3760" spans="2:7" ht="16">
      <c r="B3760" s="7"/>
      <c r="C3760" s="6"/>
      <c r="G3760" s="5"/>
    </row>
    <row r="3761" spans="2:7" ht="16">
      <c r="B3761" s="7"/>
      <c r="C3761" s="6"/>
      <c r="G3761" s="5"/>
    </row>
    <row r="3762" spans="2:7" ht="16">
      <c r="B3762" s="7"/>
      <c r="C3762" s="6"/>
      <c r="G3762" s="5"/>
    </row>
    <row r="3763" spans="2:7" ht="16">
      <c r="B3763" s="7"/>
      <c r="C3763" s="6"/>
      <c r="G3763" s="5"/>
    </row>
    <row r="3764" spans="2:7" ht="16">
      <c r="B3764" s="7"/>
      <c r="C3764" s="6"/>
      <c r="G3764" s="5"/>
    </row>
    <row r="3765" spans="2:7" ht="16">
      <c r="B3765" s="7"/>
      <c r="C3765" s="6"/>
      <c r="G3765" s="5"/>
    </row>
    <row r="3766" spans="2:7" ht="16">
      <c r="B3766" s="7"/>
      <c r="C3766" s="6"/>
      <c r="G3766" s="5"/>
    </row>
    <row r="3767" spans="2:7" ht="16">
      <c r="B3767" s="7"/>
      <c r="C3767" s="6"/>
      <c r="G3767" s="5"/>
    </row>
    <row r="3768" spans="2:7" ht="16">
      <c r="B3768" s="7"/>
      <c r="C3768" s="6"/>
      <c r="G3768" s="5"/>
    </row>
    <row r="3769" spans="2:7" ht="16">
      <c r="B3769" s="7"/>
      <c r="C3769" s="6"/>
      <c r="G3769" s="5"/>
    </row>
    <row r="3770" spans="2:7" ht="16">
      <c r="B3770" s="7"/>
      <c r="C3770" s="6"/>
      <c r="G3770" s="5"/>
    </row>
    <row r="3771" spans="2:7" ht="16">
      <c r="B3771" s="7"/>
      <c r="C3771" s="6"/>
      <c r="G3771" s="5"/>
    </row>
    <row r="3772" spans="2:7" ht="16">
      <c r="B3772" s="7"/>
      <c r="C3772" s="6"/>
      <c r="G3772" s="5"/>
    </row>
    <row r="3773" spans="2:7" ht="16">
      <c r="B3773" s="7"/>
      <c r="C3773" s="6"/>
      <c r="G3773" s="5"/>
    </row>
    <row r="3774" spans="2:7" ht="16">
      <c r="B3774" s="7"/>
      <c r="C3774" s="6"/>
      <c r="G3774" s="5"/>
    </row>
    <row r="3775" spans="2:7" ht="16">
      <c r="B3775" s="7"/>
      <c r="C3775" s="6"/>
      <c r="G3775" s="5"/>
    </row>
    <row r="3776" spans="2:7" ht="16">
      <c r="B3776" s="7"/>
      <c r="C3776" s="6"/>
      <c r="G3776" s="5"/>
    </row>
    <row r="3777" spans="2:7" ht="16">
      <c r="B3777" s="7"/>
      <c r="C3777" s="6"/>
      <c r="G3777" s="5"/>
    </row>
    <row r="3778" spans="2:7" ht="16">
      <c r="B3778" s="7"/>
      <c r="C3778" s="6"/>
      <c r="G3778" s="5"/>
    </row>
    <row r="3779" spans="2:7" ht="16">
      <c r="B3779" s="7"/>
      <c r="C3779" s="6"/>
      <c r="G3779" s="5"/>
    </row>
    <row r="3780" spans="2:7" ht="16">
      <c r="B3780" s="7"/>
      <c r="C3780" s="6"/>
      <c r="G3780" s="5"/>
    </row>
    <row r="3781" spans="2:7" ht="16">
      <c r="B3781" s="7"/>
      <c r="C3781" s="6"/>
      <c r="G3781" s="5"/>
    </row>
    <row r="3782" spans="2:7" ht="16">
      <c r="B3782" s="7"/>
      <c r="C3782" s="6"/>
      <c r="G3782" s="5"/>
    </row>
    <row r="3783" spans="2:7" ht="16">
      <c r="B3783" s="7"/>
      <c r="C3783" s="6"/>
      <c r="G3783" s="5"/>
    </row>
    <row r="3784" spans="2:7" ht="16">
      <c r="B3784" s="7"/>
      <c r="C3784" s="6"/>
      <c r="G3784" s="5"/>
    </row>
    <row r="3785" spans="2:7" ht="16">
      <c r="B3785" s="7"/>
      <c r="C3785" s="6"/>
      <c r="G3785" s="5"/>
    </row>
    <row r="3786" spans="2:7" ht="16">
      <c r="B3786" s="7"/>
      <c r="C3786" s="6"/>
      <c r="G3786" s="5"/>
    </row>
    <row r="3787" spans="2:7" ht="16">
      <c r="B3787" s="7"/>
      <c r="C3787" s="6"/>
      <c r="G3787" s="5"/>
    </row>
    <row r="3788" spans="2:7" ht="16">
      <c r="B3788" s="7"/>
      <c r="C3788" s="6"/>
      <c r="G3788" s="5"/>
    </row>
    <row r="3789" spans="2:7" ht="16">
      <c r="B3789" s="7"/>
      <c r="C3789" s="6"/>
      <c r="G3789" s="5"/>
    </row>
    <row r="3790" spans="2:7" ht="16">
      <c r="B3790" s="7"/>
      <c r="C3790" s="6"/>
      <c r="G3790" s="5"/>
    </row>
    <row r="3791" spans="2:7" ht="16">
      <c r="B3791" s="7"/>
      <c r="C3791" s="6"/>
      <c r="G3791" s="5"/>
    </row>
    <row r="3792" spans="2:7" ht="16">
      <c r="B3792" s="7"/>
      <c r="C3792" s="6"/>
      <c r="G3792" s="5"/>
    </row>
    <row r="3793" spans="2:7" ht="16">
      <c r="B3793" s="7"/>
      <c r="C3793" s="6"/>
      <c r="G3793" s="5"/>
    </row>
    <row r="3794" spans="2:7" ht="16">
      <c r="B3794" s="7"/>
      <c r="C3794" s="6"/>
      <c r="G3794" s="5"/>
    </row>
    <row r="3795" spans="2:7" ht="16">
      <c r="B3795" s="7"/>
      <c r="C3795" s="6"/>
      <c r="G3795" s="5"/>
    </row>
    <row r="3796" spans="2:7" ht="16">
      <c r="B3796" s="7"/>
      <c r="C3796" s="6"/>
      <c r="G3796" s="5"/>
    </row>
    <row r="3797" spans="2:7" ht="16">
      <c r="B3797" s="7"/>
      <c r="C3797" s="6"/>
      <c r="G3797" s="5"/>
    </row>
    <row r="3798" spans="2:7" ht="16">
      <c r="B3798" s="7"/>
      <c r="C3798" s="6"/>
      <c r="G3798" s="5"/>
    </row>
    <row r="3799" spans="2:7" ht="16">
      <c r="B3799" s="7"/>
      <c r="C3799" s="6"/>
      <c r="G3799" s="5"/>
    </row>
    <row r="3800" spans="2:7" ht="16">
      <c r="B3800" s="7"/>
      <c r="C3800" s="6"/>
      <c r="G3800" s="5"/>
    </row>
    <row r="3801" spans="2:7" ht="16">
      <c r="B3801" s="7"/>
      <c r="C3801" s="6"/>
      <c r="G3801" s="5"/>
    </row>
    <row r="3802" spans="2:7" ht="16">
      <c r="B3802" s="7"/>
      <c r="C3802" s="6"/>
      <c r="G3802" s="5"/>
    </row>
    <row r="3803" spans="2:7" ht="16">
      <c r="B3803" s="7"/>
      <c r="C3803" s="6"/>
      <c r="G3803" s="5"/>
    </row>
    <row r="3804" spans="2:7" ht="16">
      <c r="B3804" s="7"/>
      <c r="C3804" s="6"/>
      <c r="G3804" s="5"/>
    </row>
    <row r="3805" spans="2:7" ht="16">
      <c r="B3805" s="7"/>
      <c r="C3805" s="6"/>
      <c r="G3805" s="5"/>
    </row>
    <row r="3806" spans="2:7" ht="16">
      <c r="B3806" s="7"/>
      <c r="C3806" s="6"/>
      <c r="G3806" s="5"/>
    </row>
    <row r="3807" spans="2:7" ht="16">
      <c r="B3807" s="7"/>
      <c r="C3807" s="6"/>
      <c r="G3807" s="5"/>
    </row>
    <row r="3808" spans="2:7" ht="16">
      <c r="B3808" s="7"/>
      <c r="C3808" s="6"/>
      <c r="G3808" s="5"/>
    </row>
    <row r="3809" spans="2:7" ht="16">
      <c r="B3809" s="7"/>
      <c r="C3809" s="6"/>
      <c r="G3809" s="5"/>
    </row>
    <row r="3810" spans="2:7" ht="16">
      <c r="B3810" s="7"/>
      <c r="C3810" s="6"/>
      <c r="G3810" s="5"/>
    </row>
    <row r="3811" spans="2:7" ht="16">
      <c r="B3811" s="7"/>
      <c r="C3811" s="6"/>
      <c r="G3811" s="5"/>
    </row>
    <row r="3812" spans="2:7" ht="16">
      <c r="B3812" s="7"/>
      <c r="C3812" s="6"/>
      <c r="G3812" s="5"/>
    </row>
    <row r="3813" spans="2:7" ht="16">
      <c r="B3813" s="7"/>
      <c r="C3813" s="6"/>
      <c r="G3813" s="5"/>
    </row>
    <row r="3814" spans="2:7" ht="16">
      <c r="B3814" s="7"/>
      <c r="C3814" s="6"/>
      <c r="G3814" s="5"/>
    </row>
    <row r="3815" spans="2:7" ht="16">
      <c r="B3815" s="7"/>
      <c r="C3815" s="6"/>
      <c r="G3815" s="5"/>
    </row>
    <row r="3816" spans="2:7" ht="16">
      <c r="B3816" s="7"/>
      <c r="C3816" s="6"/>
      <c r="G3816" s="5"/>
    </row>
    <row r="3817" spans="2:7" ht="16">
      <c r="B3817" s="7"/>
      <c r="C3817" s="6"/>
      <c r="G3817" s="5"/>
    </row>
    <row r="3818" spans="2:7" ht="16">
      <c r="B3818" s="7"/>
      <c r="C3818" s="6"/>
      <c r="G3818" s="5"/>
    </row>
    <row r="3819" spans="2:7" ht="16">
      <c r="B3819" s="7"/>
      <c r="C3819" s="6"/>
      <c r="G3819" s="5"/>
    </row>
    <row r="3820" spans="2:7" ht="16">
      <c r="B3820" s="7"/>
      <c r="C3820" s="6"/>
      <c r="G3820" s="5"/>
    </row>
    <row r="3821" spans="2:7" ht="16">
      <c r="B3821" s="7"/>
      <c r="C3821" s="6"/>
      <c r="G3821" s="5"/>
    </row>
    <row r="3822" spans="2:7" ht="16">
      <c r="B3822" s="7"/>
      <c r="C3822" s="6"/>
      <c r="G3822" s="5"/>
    </row>
    <row r="3823" spans="2:7" ht="16">
      <c r="B3823" s="7"/>
      <c r="C3823" s="6"/>
      <c r="G3823" s="5"/>
    </row>
    <row r="3824" spans="2:7" ht="16">
      <c r="B3824" s="7"/>
      <c r="C3824" s="6"/>
      <c r="G3824" s="5"/>
    </row>
    <row r="3825" spans="2:7" ht="16">
      <c r="B3825" s="7"/>
      <c r="C3825" s="6"/>
      <c r="G3825" s="5"/>
    </row>
    <row r="3826" spans="2:7" ht="16">
      <c r="B3826" s="7"/>
      <c r="C3826" s="6"/>
      <c r="G3826" s="5"/>
    </row>
    <row r="3827" spans="2:7" ht="16">
      <c r="B3827" s="7"/>
      <c r="C3827" s="6"/>
      <c r="G3827" s="5"/>
    </row>
    <row r="3828" spans="2:7" ht="16">
      <c r="B3828" s="7"/>
      <c r="C3828" s="6"/>
      <c r="G3828" s="5"/>
    </row>
    <row r="3829" spans="2:7" ht="16">
      <c r="B3829" s="7"/>
      <c r="C3829" s="6"/>
      <c r="G3829" s="5"/>
    </row>
    <row r="3830" spans="2:7" ht="16">
      <c r="B3830" s="7"/>
      <c r="C3830" s="6"/>
      <c r="G3830" s="5"/>
    </row>
    <row r="3831" spans="2:7" ht="16">
      <c r="B3831" s="7"/>
      <c r="C3831" s="6"/>
      <c r="G3831" s="5"/>
    </row>
    <row r="3832" spans="2:7" ht="16">
      <c r="B3832" s="7"/>
      <c r="C3832" s="6"/>
      <c r="G3832" s="5"/>
    </row>
    <row r="3833" spans="2:7" ht="16">
      <c r="B3833" s="7"/>
      <c r="C3833" s="6"/>
      <c r="G3833" s="5"/>
    </row>
    <row r="3834" spans="2:7" ht="16">
      <c r="B3834" s="7"/>
      <c r="C3834" s="6"/>
      <c r="G3834" s="5"/>
    </row>
    <row r="3835" spans="2:7" ht="16">
      <c r="B3835" s="7"/>
      <c r="C3835" s="6"/>
      <c r="G3835" s="5"/>
    </row>
    <row r="3836" spans="2:7" ht="16">
      <c r="B3836" s="7"/>
      <c r="C3836" s="6"/>
      <c r="G3836" s="5"/>
    </row>
    <row r="3837" spans="2:7" ht="16">
      <c r="B3837" s="7"/>
      <c r="C3837" s="6"/>
      <c r="G3837" s="5"/>
    </row>
    <row r="3838" spans="2:7" ht="16">
      <c r="B3838" s="7"/>
      <c r="C3838" s="6"/>
      <c r="G3838" s="5"/>
    </row>
    <row r="3839" spans="2:7" ht="16">
      <c r="B3839" s="7"/>
      <c r="C3839" s="6"/>
      <c r="G3839" s="5"/>
    </row>
    <row r="3840" spans="2:7" ht="16">
      <c r="B3840" s="7"/>
      <c r="C3840" s="6"/>
      <c r="G3840" s="5"/>
    </row>
    <row r="3841" spans="2:7" ht="16">
      <c r="B3841" s="7"/>
      <c r="C3841" s="6"/>
      <c r="G3841" s="5"/>
    </row>
    <row r="3842" spans="2:7" ht="16">
      <c r="B3842" s="7"/>
      <c r="C3842" s="6"/>
      <c r="G3842" s="5"/>
    </row>
    <row r="3843" spans="2:7" ht="16">
      <c r="B3843" s="7"/>
      <c r="C3843" s="6"/>
      <c r="G3843" s="5"/>
    </row>
    <row r="3844" spans="2:7" ht="16">
      <c r="B3844" s="7"/>
      <c r="C3844" s="6"/>
      <c r="G3844" s="5"/>
    </row>
    <row r="3845" spans="2:7" ht="16">
      <c r="B3845" s="7"/>
      <c r="C3845" s="6"/>
      <c r="G3845" s="5"/>
    </row>
    <row r="3846" spans="2:7" ht="16">
      <c r="B3846" s="7"/>
      <c r="C3846" s="6"/>
      <c r="G3846" s="5"/>
    </row>
    <row r="3847" spans="2:7" ht="16">
      <c r="B3847" s="7"/>
      <c r="C3847" s="6"/>
      <c r="G3847" s="5"/>
    </row>
    <row r="3848" spans="2:7" ht="16">
      <c r="B3848" s="7"/>
      <c r="C3848" s="6"/>
      <c r="G3848" s="5"/>
    </row>
    <row r="3849" spans="2:7" ht="16">
      <c r="B3849" s="7"/>
      <c r="C3849" s="6"/>
      <c r="G3849" s="5"/>
    </row>
    <row r="3850" spans="2:7" ht="16">
      <c r="B3850" s="7"/>
      <c r="C3850" s="6"/>
      <c r="G3850" s="5"/>
    </row>
    <row r="3851" spans="2:7" ht="16">
      <c r="B3851" s="7"/>
      <c r="C3851" s="6"/>
      <c r="G3851" s="5"/>
    </row>
    <row r="3852" spans="2:7" ht="16">
      <c r="B3852" s="7"/>
      <c r="C3852" s="6"/>
      <c r="G3852" s="5"/>
    </row>
    <row r="3853" spans="2:7" ht="16">
      <c r="B3853" s="7"/>
      <c r="C3853" s="6"/>
      <c r="G3853" s="5"/>
    </row>
    <row r="3854" spans="2:7" ht="16">
      <c r="B3854" s="7"/>
      <c r="C3854" s="6"/>
      <c r="G3854" s="5"/>
    </row>
    <row r="3855" spans="2:7" ht="16">
      <c r="B3855" s="7"/>
      <c r="C3855" s="6"/>
      <c r="G3855" s="5"/>
    </row>
    <row r="3856" spans="2:7" ht="16">
      <c r="B3856" s="7"/>
      <c r="C3856" s="6"/>
      <c r="G3856" s="5"/>
    </row>
    <row r="3857" spans="2:7" ht="16">
      <c r="B3857" s="7"/>
      <c r="C3857" s="6"/>
      <c r="G3857" s="5"/>
    </row>
    <row r="3858" spans="2:7" ht="16">
      <c r="B3858" s="7"/>
      <c r="C3858" s="6"/>
      <c r="G3858" s="5"/>
    </row>
    <row r="3859" spans="2:7" ht="16">
      <c r="B3859" s="7"/>
      <c r="C3859" s="6"/>
      <c r="G3859" s="5"/>
    </row>
    <row r="3860" spans="2:7" ht="16">
      <c r="B3860" s="7"/>
      <c r="C3860" s="6"/>
      <c r="G3860" s="5"/>
    </row>
    <row r="3861" spans="2:7" ht="16">
      <c r="B3861" s="7"/>
      <c r="C3861" s="6"/>
      <c r="G3861" s="5"/>
    </row>
    <row r="3862" spans="2:7" ht="16">
      <c r="B3862" s="7"/>
      <c r="C3862" s="6"/>
      <c r="G3862" s="5"/>
    </row>
    <row r="3863" spans="2:7" ht="16">
      <c r="B3863" s="7"/>
      <c r="C3863" s="6"/>
      <c r="G3863" s="5"/>
    </row>
    <row r="3864" spans="2:7" ht="16">
      <c r="B3864" s="7"/>
      <c r="C3864" s="6"/>
      <c r="G3864" s="5"/>
    </row>
    <row r="3865" spans="2:7" ht="16">
      <c r="B3865" s="7"/>
      <c r="C3865" s="6"/>
      <c r="G3865" s="5"/>
    </row>
    <row r="3866" spans="2:7" ht="16">
      <c r="B3866" s="7"/>
      <c r="C3866" s="6"/>
      <c r="G3866" s="5"/>
    </row>
    <row r="3867" spans="2:7" ht="16">
      <c r="B3867" s="7"/>
      <c r="C3867" s="6"/>
      <c r="G3867" s="5"/>
    </row>
    <row r="3868" spans="2:7" ht="16">
      <c r="B3868" s="7"/>
      <c r="C3868" s="6"/>
      <c r="G3868" s="5"/>
    </row>
    <row r="3869" spans="2:7" ht="16">
      <c r="B3869" s="7"/>
      <c r="C3869" s="6"/>
      <c r="G3869" s="5"/>
    </row>
    <row r="3870" spans="2:7" ht="16">
      <c r="B3870" s="7"/>
      <c r="C3870" s="6"/>
      <c r="G3870" s="5"/>
    </row>
    <row r="3871" spans="2:7" ht="16">
      <c r="B3871" s="7"/>
      <c r="C3871" s="6"/>
      <c r="G3871" s="5"/>
    </row>
    <row r="3872" spans="2:7" ht="16">
      <c r="B3872" s="7"/>
      <c r="C3872" s="6"/>
      <c r="G3872" s="5"/>
    </row>
    <row r="3873" spans="2:7" ht="16">
      <c r="B3873" s="7"/>
      <c r="C3873" s="6"/>
      <c r="G3873" s="5"/>
    </row>
    <row r="3874" spans="2:7" ht="16">
      <c r="B3874" s="7"/>
      <c r="C3874" s="6"/>
      <c r="G3874" s="5"/>
    </row>
    <row r="3875" spans="2:7" ht="16">
      <c r="B3875" s="7"/>
      <c r="C3875" s="6"/>
      <c r="G3875" s="5"/>
    </row>
    <row r="3876" spans="2:7" ht="16">
      <c r="B3876" s="7"/>
      <c r="C3876" s="6"/>
      <c r="G3876" s="5"/>
    </row>
    <row r="3877" spans="2:7" ht="16">
      <c r="B3877" s="7"/>
      <c r="C3877" s="6"/>
      <c r="G3877" s="5"/>
    </row>
    <row r="3878" spans="2:7" ht="16">
      <c r="B3878" s="7"/>
      <c r="C3878" s="6"/>
      <c r="G3878" s="5"/>
    </row>
    <row r="3879" spans="2:7" ht="16">
      <c r="B3879" s="7"/>
      <c r="C3879" s="6"/>
      <c r="G3879" s="5"/>
    </row>
    <row r="3880" spans="2:7" ht="16">
      <c r="B3880" s="7"/>
      <c r="C3880" s="6"/>
      <c r="G3880" s="5"/>
    </row>
    <row r="3881" spans="2:7" ht="16">
      <c r="B3881" s="7"/>
      <c r="C3881" s="6"/>
      <c r="G3881" s="5"/>
    </row>
    <row r="3882" spans="2:7" ht="16">
      <c r="B3882" s="7"/>
      <c r="C3882" s="6"/>
      <c r="G3882" s="5"/>
    </row>
    <row r="3883" spans="2:7" ht="16">
      <c r="B3883" s="7"/>
      <c r="C3883" s="6"/>
      <c r="G3883" s="5"/>
    </row>
    <row r="3884" spans="2:7" ht="16">
      <c r="B3884" s="7"/>
      <c r="C3884" s="6"/>
      <c r="G3884" s="5"/>
    </row>
    <row r="3885" spans="2:7" ht="16">
      <c r="B3885" s="7"/>
      <c r="C3885" s="6"/>
      <c r="G3885" s="5"/>
    </row>
    <row r="3886" spans="2:7" ht="16">
      <c r="B3886" s="7"/>
      <c r="C3886" s="6"/>
      <c r="G3886" s="5"/>
    </row>
    <row r="3887" spans="2:7" ht="16">
      <c r="B3887" s="7"/>
      <c r="C3887" s="6"/>
      <c r="G3887" s="5"/>
    </row>
    <row r="3888" spans="2:7" ht="16">
      <c r="B3888" s="7"/>
      <c r="C3888" s="6"/>
      <c r="G3888" s="5"/>
    </row>
    <row r="3889" spans="2:7" ht="16">
      <c r="B3889" s="7"/>
      <c r="C3889" s="6"/>
      <c r="G3889" s="5"/>
    </row>
    <row r="3890" spans="2:7" ht="16">
      <c r="B3890" s="7"/>
      <c r="C3890" s="6"/>
      <c r="G3890" s="5"/>
    </row>
    <row r="3891" spans="2:7" ht="16">
      <c r="B3891" s="7"/>
      <c r="C3891" s="6"/>
      <c r="G3891" s="5"/>
    </row>
    <row r="3892" spans="2:7" ht="16">
      <c r="B3892" s="7"/>
      <c r="C3892" s="6"/>
      <c r="G3892" s="5"/>
    </row>
    <row r="3893" spans="2:7" ht="16">
      <c r="B3893" s="7"/>
      <c r="C3893" s="6"/>
      <c r="G3893" s="5"/>
    </row>
    <row r="3894" spans="2:7" ht="16">
      <c r="B3894" s="7"/>
      <c r="C3894" s="6"/>
      <c r="G3894" s="5"/>
    </row>
    <row r="3895" spans="2:7" ht="16">
      <c r="B3895" s="7"/>
      <c r="C3895" s="6"/>
      <c r="G3895" s="5"/>
    </row>
    <row r="3896" spans="2:7" ht="16">
      <c r="B3896" s="7"/>
      <c r="C3896" s="6"/>
      <c r="G3896" s="5"/>
    </row>
    <row r="3897" spans="2:7" ht="16">
      <c r="B3897" s="7"/>
      <c r="C3897" s="6"/>
      <c r="G3897" s="5"/>
    </row>
    <row r="3898" spans="2:7" ht="16">
      <c r="B3898" s="7"/>
      <c r="C3898" s="6"/>
      <c r="G3898" s="5"/>
    </row>
    <row r="3899" spans="2:7" ht="16">
      <c r="B3899" s="7"/>
      <c r="C3899" s="6"/>
      <c r="G3899" s="5"/>
    </row>
    <row r="3900" spans="2:7" ht="16">
      <c r="B3900" s="7"/>
      <c r="C3900" s="6"/>
      <c r="G3900" s="5"/>
    </row>
    <row r="3901" spans="2:7" ht="16">
      <c r="B3901" s="7"/>
      <c r="C3901" s="6"/>
      <c r="G3901" s="5"/>
    </row>
    <row r="3902" spans="2:7" ht="16">
      <c r="B3902" s="7"/>
      <c r="C3902" s="6"/>
      <c r="G3902" s="5"/>
    </row>
    <row r="3903" spans="2:7" ht="16">
      <c r="B3903" s="7"/>
      <c r="C3903" s="6"/>
      <c r="G3903" s="5"/>
    </row>
    <row r="3904" spans="2:7" ht="16">
      <c r="B3904" s="7"/>
      <c r="C3904" s="6"/>
      <c r="G3904" s="5"/>
    </row>
    <row r="3905" spans="2:7" ht="16">
      <c r="B3905" s="7"/>
      <c r="C3905" s="6"/>
      <c r="G3905" s="5"/>
    </row>
    <row r="3906" spans="2:7" ht="16">
      <c r="B3906" s="7"/>
      <c r="C3906" s="6"/>
      <c r="G3906" s="5"/>
    </row>
    <row r="3907" spans="2:7" ht="16">
      <c r="B3907" s="7"/>
      <c r="C3907" s="6"/>
      <c r="G3907" s="5"/>
    </row>
    <row r="3908" spans="2:7" ht="16">
      <c r="B3908" s="7"/>
      <c r="C3908" s="6"/>
      <c r="G3908" s="5"/>
    </row>
    <row r="3909" spans="2:7" ht="16">
      <c r="B3909" s="7"/>
      <c r="C3909" s="6"/>
      <c r="G3909" s="5"/>
    </row>
    <row r="3910" spans="2:7" ht="16">
      <c r="B3910" s="7"/>
      <c r="C3910" s="6"/>
      <c r="G3910" s="5"/>
    </row>
    <row r="3911" spans="2:7" ht="16">
      <c r="B3911" s="7"/>
      <c r="C3911" s="6"/>
      <c r="G3911" s="5"/>
    </row>
    <row r="3912" spans="2:7" ht="16">
      <c r="B3912" s="7"/>
      <c r="C3912" s="6"/>
      <c r="G3912" s="5"/>
    </row>
    <row r="3913" spans="2:7" ht="16">
      <c r="B3913" s="7"/>
      <c r="C3913" s="6"/>
      <c r="G3913" s="5"/>
    </row>
    <row r="3914" spans="2:7" ht="16">
      <c r="B3914" s="7"/>
      <c r="C3914" s="6"/>
      <c r="G3914" s="5"/>
    </row>
    <row r="3915" spans="2:7" ht="16">
      <c r="B3915" s="7"/>
      <c r="C3915" s="6"/>
      <c r="G3915" s="5"/>
    </row>
    <row r="3916" spans="2:7" ht="16">
      <c r="B3916" s="7"/>
      <c r="C3916" s="6"/>
      <c r="G3916" s="5"/>
    </row>
    <row r="3917" spans="2:7" ht="16">
      <c r="B3917" s="7"/>
      <c r="C3917" s="6"/>
      <c r="G3917" s="5"/>
    </row>
    <row r="3918" spans="2:7" ht="16">
      <c r="B3918" s="7"/>
      <c r="C3918" s="6"/>
      <c r="G3918" s="5"/>
    </row>
    <row r="3919" spans="2:7" ht="16">
      <c r="B3919" s="7"/>
      <c r="C3919" s="6"/>
      <c r="G3919" s="5"/>
    </row>
    <row r="3920" spans="2:7" ht="16">
      <c r="B3920" s="7"/>
      <c r="C3920" s="6"/>
      <c r="G3920" s="5"/>
    </row>
    <row r="3921" spans="2:7" ht="16">
      <c r="B3921" s="7"/>
      <c r="C3921" s="6"/>
      <c r="G3921" s="5"/>
    </row>
    <row r="3922" spans="2:7" ht="16">
      <c r="B3922" s="7"/>
      <c r="C3922" s="6"/>
      <c r="G3922" s="5"/>
    </row>
    <row r="3923" spans="2:7" ht="16">
      <c r="B3923" s="7"/>
      <c r="C3923" s="6"/>
      <c r="G3923" s="5"/>
    </row>
    <row r="3924" spans="2:7" ht="16">
      <c r="B3924" s="7"/>
      <c r="C3924" s="6"/>
      <c r="G3924" s="5"/>
    </row>
    <row r="3925" spans="2:7" ht="16">
      <c r="B3925" s="7"/>
      <c r="C3925" s="6"/>
      <c r="G3925" s="5"/>
    </row>
    <row r="3926" spans="2:7" ht="16">
      <c r="B3926" s="7"/>
      <c r="C3926" s="6"/>
      <c r="G3926" s="5"/>
    </row>
    <row r="3927" spans="2:7" ht="16">
      <c r="B3927" s="7"/>
      <c r="C3927" s="6"/>
      <c r="G3927" s="5"/>
    </row>
    <row r="3928" spans="2:7" ht="16">
      <c r="B3928" s="7"/>
      <c r="C3928" s="6"/>
      <c r="G3928" s="5"/>
    </row>
    <row r="3929" spans="2:7" ht="16">
      <c r="B3929" s="7"/>
      <c r="C3929" s="6"/>
      <c r="G3929" s="5"/>
    </row>
    <row r="3930" spans="2:7" ht="16">
      <c r="B3930" s="7"/>
      <c r="C3930" s="6"/>
      <c r="G3930" s="5"/>
    </row>
    <row r="3931" spans="2:7" ht="16">
      <c r="B3931" s="7"/>
      <c r="C3931" s="6"/>
      <c r="G3931" s="5"/>
    </row>
    <row r="3932" spans="2:7" ht="16">
      <c r="B3932" s="7"/>
      <c r="C3932" s="6"/>
      <c r="G3932" s="5"/>
    </row>
    <row r="3933" spans="2:7" ht="16">
      <c r="B3933" s="7"/>
      <c r="C3933" s="6"/>
      <c r="G3933" s="5"/>
    </row>
    <row r="3934" spans="2:7" ht="16">
      <c r="B3934" s="7"/>
      <c r="C3934" s="6"/>
      <c r="G3934" s="5"/>
    </row>
    <row r="3935" spans="2:7" ht="16">
      <c r="B3935" s="7"/>
      <c r="C3935" s="6"/>
      <c r="G3935" s="5"/>
    </row>
    <row r="3936" spans="2:7" ht="16">
      <c r="B3936" s="7"/>
      <c r="C3936" s="6"/>
      <c r="G3936" s="5"/>
    </row>
    <row r="3937" spans="2:7" ht="16">
      <c r="B3937" s="7"/>
      <c r="C3937" s="6"/>
      <c r="G3937" s="5"/>
    </row>
    <row r="3938" spans="2:7" ht="16">
      <c r="B3938" s="7"/>
      <c r="C3938" s="6"/>
      <c r="G3938" s="5"/>
    </row>
    <row r="3939" spans="2:7" ht="16">
      <c r="B3939" s="7"/>
      <c r="C3939" s="6"/>
      <c r="G3939" s="5"/>
    </row>
    <row r="3940" spans="2:7" ht="16">
      <c r="B3940" s="7"/>
      <c r="C3940" s="6"/>
      <c r="G3940" s="5"/>
    </row>
    <row r="3941" spans="2:7" ht="16">
      <c r="B3941" s="7"/>
      <c r="C3941" s="6"/>
      <c r="G3941" s="5"/>
    </row>
    <row r="3942" spans="2:7" ht="16">
      <c r="B3942" s="7"/>
      <c r="C3942" s="6"/>
      <c r="G3942" s="5"/>
    </row>
    <row r="3943" spans="2:7" ht="16">
      <c r="B3943" s="7"/>
      <c r="C3943" s="6"/>
      <c r="G3943" s="5"/>
    </row>
    <row r="3944" spans="2:7" ht="16">
      <c r="B3944" s="7"/>
      <c r="C3944" s="6"/>
      <c r="G3944" s="5"/>
    </row>
    <row r="3945" spans="2:7" ht="16">
      <c r="B3945" s="7"/>
      <c r="C3945" s="6"/>
      <c r="G3945" s="5"/>
    </row>
    <row r="3946" spans="2:7" ht="16">
      <c r="B3946" s="7"/>
      <c r="C3946" s="6"/>
      <c r="G3946" s="5"/>
    </row>
    <row r="3947" spans="2:7" ht="16">
      <c r="B3947" s="7"/>
      <c r="C3947" s="6"/>
      <c r="G3947" s="5"/>
    </row>
    <row r="3948" spans="2:7" ht="16">
      <c r="B3948" s="7"/>
      <c r="C3948" s="6"/>
      <c r="G3948" s="5"/>
    </row>
    <row r="3949" spans="2:7" ht="16">
      <c r="B3949" s="7"/>
      <c r="C3949" s="6"/>
      <c r="G3949" s="5"/>
    </row>
    <row r="3950" spans="2:7" ht="16">
      <c r="B3950" s="7"/>
      <c r="C3950" s="6"/>
      <c r="G3950" s="5"/>
    </row>
    <row r="3951" spans="2:7" ht="16">
      <c r="B3951" s="7"/>
      <c r="C3951" s="6"/>
      <c r="G3951" s="5"/>
    </row>
    <row r="3952" spans="2:7" ht="16">
      <c r="B3952" s="7"/>
      <c r="C3952" s="6"/>
      <c r="G3952" s="5"/>
    </row>
    <row r="3953" spans="2:7" ht="16">
      <c r="B3953" s="7"/>
      <c r="C3953" s="6"/>
      <c r="G3953" s="5"/>
    </row>
    <row r="3954" spans="2:7" ht="16">
      <c r="B3954" s="7"/>
      <c r="C3954" s="6"/>
      <c r="G3954" s="5"/>
    </row>
    <row r="3955" spans="2:7" ht="16">
      <c r="B3955" s="7"/>
      <c r="C3955" s="6"/>
      <c r="G3955" s="5"/>
    </row>
    <row r="3956" spans="2:7" ht="16">
      <c r="B3956" s="7"/>
      <c r="C3956" s="6"/>
      <c r="G3956" s="5"/>
    </row>
    <row r="3957" spans="2:7" ht="16">
      <c r="B3957" s="7"/>
      <c r="C3957" s="6"/>
      <c r="G3957" s="5"/>
    </row>
    <row r="3958" spans="2:7" ht="16">
      <c r="B3958" s="7"/>
      <c r="C3958" s="6"/>
      <c r="G3958" s="5"/>
    </row>
    <row r="3959" spans="2:7" ht="16">
      <c r="B3959" s="7"/>
      <c r="C3959" s="6"/>
      <c r="G3959" s="5"/>
    </row>
    <row r="3960" spans="2:7" ht="16">
      <c r="B3960" s="7"/>
      <c r="C3960" s="6"/>
      <c r="G3960" s="5"/>
    </row>
    <row r="3961" spans="2:7" ht="16">
      <c r="B3961" s="7"/>
      <c r="C3961" s="6"/>
      <c r="G3961" s="5"/>
    </row>
    <row r="3962" spans="2:7" ht="16">
      <c r="B3962" s="7"/>
      <c r="C3962" s="6"/>
      <c r="G3962" s="5"/>
    </row>
    <row r="3963" spans="2:7" ht="16">
      <c r="B3963" s="7"/>
      <c r="C3963" s="6"/>
      <c r="G3963" s="5"/>
    </row>
    <row r="3964" spans="2:7" ht="16">
      <c r="B3964" s="7"/>
      <c r="C3964" s="6"/>
      <c r="G3964" s="5"/>
    </row>
    <row r="3965" spans="2:7" ht="16">
      <c r="B3965" s="7"/>
      <c r="C3965" s="6"/>
      <c r="G3965" s="5"/>
    </row>
    <row r="3966" spans="2:7" ht="16">
      <c r="B3966" s="7"/>
      <c r="C3966" s="6"/>
      <c r="G3966" s="5"/>
    </row>
    <row r="3967" spans="2:7" ht="16">
      <c r="B3967" s="7"/>
      <c r="C3967" s="6"/>
      <c r="G3967" s="5"/>
    </row>
    <row r="3968" spans="2:7" ht="16">
      <c r="B3968" s="7"/>
      <c r="C3968" s="6"/>
      <c r="G3968" s="5"/>
    </row>
    <row r="3969" spans="2:7" ht="16">
      <c r="B3969" s="7"/>
      <c r="C3969" s="6"/>
      <c r="G3969" s="5"/>
    </row>
    <row r="3970" spans="2:7" ht="16">
      <c r="B3970" s="7"/>
      <c r="C3970" s="6"/>
      <c r="G3970" s="5"/>
    </row>
    <row r="3971" spans="2:7" ht="16">
      <c r="B3971" s="7"/>
      <c r="C3971" s="6"/>
      <c r="G3971" s="5"/>
    </row>
    <row r="3972" spans="2:7" ht="16">
      <c r="B3972" s="7"/>
      <c r="C3972" s="6"/>
      <c r="G3972" s="5"/>
    </row>
    <row r="3973" spans="2:7" ht="16">
      <c r="B3973" s="7"/>
      <c r="C3973" s="6"/>
      <c r="G3973" s="5"/>
    </row>
    <row r="3974" spans="2:7" ht="16">
      <c r="B3974" s="7"/>
      <c r="C3974" s="6"/>
      <c r="G3974" s="5"/>
    </row>
    <row r="3975" spans="2:7" ht="16">
      <c r="B3975" s="7"/>
      <c r="C3975" s="6"/>
      <c r="G3975" s="5"/>
    </row>
    <row r="3976" spans="2:7" ht="16">
      <c r="B3976" s="7"/>
      <c r="C3976" s="6"/>
      <c r="G3976" s="5"/>
    </row>
    <row r="3977" spans="2:7" ht="16">
      <c r="B3977" s="7"/>
      <c r="C3977" s="6"/>
      <c r="G3977" s="5"/>
    </row>
    <row r="3978" spans="2:7" ht="16">
      <c r="B3978" s="7"/>
      <c r="C3978" s="6"/>
      <c r="G3978" s="5"/>
    </row>
    <row r="3979" spans="2:7" ht="16">
      <c r="B3979" s="7"/>
      <c r="C3979" s="6"/>
      <c r="G3979" s="5"/>
    </row>
    <row r="3980" spans="2:7" ht="16">
      <c r="B3980" s="7"/>
      <c r="C3980" s="6"/>
      <c r="G3980" s="5"/>
    </row>
    <row r="3981" spans="2:7" ht="16">
      <c r="B3981" s="7"/>
      <c r="C3981" s="6"/>
      <c r="G3981" s="5"/>
    </row>
    <row r="3982" spans="2:7" ht="16">
      <c r="B3982" s="7"/>
      <c r="C3982" s="6"/>
      <c r="G3982" s="5"/>
    </row>
    <row r="3983" spans="2:7" ht="16">
      <c r="B3983" s="7"/>
      <c r="C3983" s="6"/>
      <c r="G3983" s="5"/>
    </row>
    <row r="3984" spans="2:7" ht="16">
      <c r="B3984" s="7"/>
      <c r="C3984" s="6"/>
      <c r="G3984" s="5"/>
    </row>
    <row r="3985" spans="2:7" ht="16">
      <c r="B3985" s="7"/>
      <c r="C3985" s="6"/>
      <c r="G3985" s="5"/>
    </row>
    <row r="3986" spans="2:7" ht="16">
      <c r="B3986" s="7"/>
      <c r="C3986" s="6"/>
      <c r="G3986" s="5"/>
    </row>
    <row r="3987" spans="2:7" ht="16">
      <c r="B3987" s="7"/>
      <c r="C3987" s="6"/>
      <c r="G3987" s="5"/>
    </row>
    <row r="3988" spans="2:7" ht="16">
      <c r="B3988" s="7"/>
      <c r="C3988" s="6"/>
      <c r="G3988" s="5"/>
    </row>
    <row r="3989" spans="2:7" ht="16">
      <c r="B3989" s="7"/>
      <c r="C3989" s="6"/>
      <c r="G3989" s="5"/>
    </row>
    <row r="3990" spans="2:7" ht="16">
      <c r="B3990" s="7"/>
      <c r="C3990" s="6"/>
      <c r="G3990" s="5"/>
    </row>
    <row r="3991" spans="2:7" ht="16">
      <c r="B3991" s="7"/>
      <c r="C3991" s="6"/>
      <c r="G3991" s="5"/>
    </row>
    <row r="3992" spans="2:7" ht="16">
      <c r="B3992" s="7"/>
      <c r="C3992" s="6"/>
      <c r="G3992" s="5"/>
    </row>
    <row r="3993" spans="2:7" ht="16">
      <c r="B3993" s="7"/>
      <c r="C3993" s="6"/>
      <c r="G3993" s="5"/>
    </row>
    <row r="3994" spans="2:7" ht="16">
      <c r="B3994" s="7"/>
      <c r="C3994" s="6"/>
      <c r="G3994" s="5"/>
    </row>
    <row r="3995" spans="2:7" ht="16">
      <c r="B3995" s="7"/>
      <c r="C3995" s="6"/>
      <c r="G3995" s="5"/>
    </row>
    <row r="3996" spans="2:7" ht="16">
      <c r="B3996" s="7"/>
      <c r="C3996" s="6"/>
      <c r="G3996" s="5"/>
    </row>
    <row r="3997" spans="2:7" ht="16">
      <c r="B3997" s="7"/>
      <c r="C3997" s="6"/>
      <c r="G3997" s="5"/>
    </row>
    <row r="3998" spans="2:7" ht="16">
      <c r="B3998" s="7"/>
      <c r="C3998" s="6"/>
      <c r="G3998" s="5"/>
    </row>
    <row r="3999" spans="2:7" ht="16">
      <c r="B3999" s="7"/>
      <c r="C3999" s="6"/>
      <c r="G3999" s="5"/>
    </row>
    <row r="4000" spans="2:7" ht="16">
      <c r="B4000" s="7"/>
      <c r="C4000" s="6"/>
      <c r="G4000" s="5"/>
    </row>
    <row r="4001" spans="2:7" ht="16">
      <c r="B4001" s="7"/>
      <c r="C4001" s="6"/>
      <c r="G4001" s="5"/>
    </row>
    <row r="4002" spans="2:7" ht="16">
      <c r="B4002" s="7"/>
      <c r="C4002" s="6"/>
      <c r="G4002" s="5"/>
    </row>
    <row r="4003" spans="2:7" ht="16">
      <c r="B4003" s="7"/>
      <c r="C4003" s="6"/>
      <c r="G4003" s="5"/>
    </row>
    <row r="4004" spans="2:7" ht="16">
      <c r="B4004" s="7"/>
      <c r="C4004" s="6"/>
      <c r="G4004" s="5"/>
    </row>
    <row r="4005" spans="2:7" ht="16">
      <c r="B4005" s="7"/>
      <c r="C4005" s="6"/>
      <c r="G4005" s="5"/>
    </row>
    <row r="4006" spans="2:7" ht="16">
      <c r="B4006" s="7"/>
      <c r="C4006" s="6"/>
      <c r="G4006" s="5"/>
    </row>
    <row r="4007" spans="2:7" ht="16">
      <c r="B4007" s="7"/>
      <c r="C4007" s="6"/>
      <c r="G4007" s="5"/>
    </row>
    <row r="4008" spans="2:7" ht="16">
      <c r="B4008" s="7"/>
      <c r="C4008" s="6"/>
      <c r="G4008" s="5"/>
    </row>
    <row r="4009" spans="2:7" ht="16">
      <c r="B4009" s="7"/>
      <c r="C4009" s="6"/>
      <c r="G4009" s="5"/>
    </row>
    <row r="4010" spans="2:7" ht="16">
      <c r="B4010" s="7"/>
      <c r="C4010" s="6"/>
      <c r="G4010" s="5"/>
    </row>
    <row r="4011" spans="2:7" ht="16">
      <c r="B4011" s="7"/>
      <c r="C4011" s="6"/>
      <c r="G4011" s="5"/>
    </row>
    <row r="4012" spans="2:7" ht="16">
      <c r="B4012" s="7"/>
      <c r="C4012" s="6"/>
      <c r="G4012" s="5"/>
    </row>
    <row r="4013" spans="2:7" ht="16">
      <c r="B4013" s="7"/>
      <c r="C4013" s="6"/>
      <c r="G4013" s="5"/>
    </row>
    <row r="4014" spans="2:7" ht="16">
      <c r="B4014" s="7"/>
      <c r="C4014" s="6"/>
      <c r="G4014" s="5"/>
    </row>
    <row r="4015" spans="2:7" ht="16">
      <c r="B4015" s="7"/>
      <c r="C4015" s="6"/>
      <c r="G4015" s="5"/>
    </row>
    <row r="4016" spans="2:7" ht="16">
      <c r="B4016" s="7"/>
      <c r="C4016" s="6"/>
      <c r="G4016" s="5"/>
    </row>
    <row r="4017" spans="2:7" ht="16">
      <c r="B4017" s="7"/>
      <c r="C4017" s="6"/>
      <c r="G4017" s="5"/>
    </row>
    <row r="4018" spans="2:7" ht="16">
      <c r="B4018" s="7"/>
      <c r="C4018" s="6"/>
      <c r="G4018" s="5"/>
    </row>
    <row r="4019" spans="2:7" ht="16">
      <c r="B4019" s="7"/>
      <c r="C4019" s="6"/>
      <c r="G4019" s="5"/>
    </row>
    <row r="4020" spans="2:7" ht="16">
      <c r="B4020" s="7"/>
      <c r="C4020" s="6"/>
      <c r="G4020" s="5"/>
    </row>
    <row r="4021" spans="2:7" ht="16">
      <c r="B4021" s="7"/>
      <c r="C4021" s="6"/>
      <c r="G4021" s="5"/>
    </row>
    <row r="4022" spans="2:7" ht="16">
      <c r="B4022" s="7"/>
      <c r="C4022" s="6"/>
      <c r="G4022" s="5"/>
    </row>
    <row r="4023" spans="2:7" ht="16">
      <c r="B4023" s="7"/>
      <c r="C4023" s="6"/>
      <c r="G4023" s="5"/>
    </row>
    <row r="4024" spans="2:7" ht="16">
      <c r="B4024" s="7"/>
      <c r="C4024" s="6"/>
      <c r="G4024" s="5"/>
    </row>
    <row r="4025" spans="2:7" ht="16">
      <c r="B4025" s="7"/>
      <c r="C4025" s="6"/>
      <c r="G4025" s="5"/>
    </row>
    <row r="4026" spans="2:7" ht="16">
      <c r="B4026" s="7"/>
      <c r="C4026" s="6"/>
      <c r="G4026" s="5"/>
    </row>
    <row r="4027" spans="2:7" ht="16">
      <c r="B4027" s="7"/>
      <c r="C4027" s="6"/>
      <c r="G4027" s="5"/>
    </row>
    <row r="4028" spans="2:7" ht="16">
      <c r="B4028" s="7"/>
      <c r="C4028" s="6"/>
      <c r="G4028" s="5"/>
    </row>
    <row r="4029" spans="2:7" ht="16">
      <c r="B4029" s="7"/>
      <c r="C4029" s="6"/>
      <c r="G4029" s="5"/>
    </row>
    <row r="4030" spans="2:7" ht="16">
      <c r="B4030" s="7"/>
      <c r="C4030" s="6"/>
      <c r="G4030" s="5"/>
    </row>
    <row r="4031" spans="2:7" ht="16">
      <c r="B4031" s="7"/>
      <c r="C4031" s="6"/>
      <c r="G4031" s="5"/>
    </row>
    <row r="4032" spans="2:7" ht="16">
      <c r="B4032" s="7"/>
      <c r="C4032" s="6"/>
      <c r="G4032" s="5"/>
    </row>
    <row r="4033" spans="2:7" ht="16">
      <c r="B4033" s="7"/>
      <c r="C4033" s="6"/>
      <c r="G4033" s="5"/>
    </row>
    <row r="4034" spans="2:7" ht="16">
      <c r="B4034" s="7"/>
      <c r="C4034" s="6"/>
      <c r="G4034" s="5"/>
    </row>
    <row r="4035" spans="2:7" ht="16">
      <c r="B4035" s="7"/>
      <c r="C4035" s="6"/>
      <c r="G4035" s="5"/>
    </row>
    <row r="4036" spans="2:7" ht="16">
      <c r="B4036" s="7"/>
      <c r="C4036" s="6"/>
      <c r="G4036" s="5"/>
    </row>
    <row r="4037" spans="2:7" ht="16">
      <c r="B4037" s="7"/>
      <c r="C4037" s="6"/>
      <c r="G4037" s="5"/>
    </row>
    <row r="4038" spans="2:7" ht="16">
      <c r="B4038" s="7"/>
      <c r="C4038" s="6"/>
      <c r="G4038" s="5"/>
    </row>
    <row r="4039" spans="2:7" ht="16">
      <c r="B4039" s="7"/>
      <c r="C4039" s="6"/>
      <c r="G4039" s="5"/>
    </row>
    <row r="4040" spans="2:7" ht="16">
      <c r="B4040" s="7"/>
      <c r="C4040" s="6"/>
      <c r="G4040" s="5"/>
    </row>
    <row r="4041" spans="2:7" ht="16">
      <c r="B4041" s="7"/>
      <c r="C4041" s="6"/>
      <c r="G4041" s="5"/>
    </row>
    <row r="4042" spans="2:7" ht="16">
      <c r="B4042" s="7"/>
      <c r="C4042" s="6"/>
      <c r="G4042" s="5"/>
    </row>
    <row r="4043" spans="2:7" ht="16">
      <c r="B4043" s="7"/>
      <c r="C4043" s="6"/>
      <c r="G4043" s="5"/>
    </row>
    <row r="4044" spans="2:7" ht="16">
      <c r="B4044" s="7"/>
      <c r="C4044" s="6"/>
      <c r="G4044" s="5"/>
    </row>
    <row r="4045" spans="2:7" ht="16">
      <c r="B4045" s="7"/>
      <c r="C4045" s="6"/>
      <c r="G4045" s="5"/>
    </row>
    <row r="4046" spans="2:7" ht="16">
      <c r="B4046" s="7"/>
      <c r="C4046" s="6"/>
      <c r="G4046" s="5"/>
    </row>
    <row r="4047" spans="2:7" ht="16">
      <c r="B4047" s="7"/>
      <c r="C4047" s="6"/>
      <c r="G4047" s="5"/>
    </row>
    <row r="4048" spans="2:7" ht="16">
      <c r="B4048" s="7"/>
      <c r="C4048" s="6"/>
      <c r="G4048" s="5"/>
    </row>
    <row r="4049" spans="2:7" ht="16">
      <c r="B4049" s="7"/>
      <c r="C4049" s="6"/>
      <c r="G4049" s="5"/>
    </row>
    <row r="4050" spans="2:7" ht="16">
      <c r="B4050" s="7"/>
      <c r="C4050" s="6"/>
      <c r="G4050" s="5"/>
    </row>
    <row r="4051" spans="2:7" ht="16">
      <c r="B4051" s="7"/>
      <c r="C4051" s="6"/>
      <c r="G4051" s="5"/>
    </row>
    <row r="4052" spans="2:7" ht="16">
      <c r="B4052" s="7"/>
      <c r="C4052" s="6"/>
      <c r="G4052" s="5"/>
    </row>
    <row r="4053" spans="2:7" ht="16">
      <c r="B4053" s="7"/>
      <c r="C4053" s="6"/>
      <c r="G4053" s="5"/>
    </row>
    <row r="4054" spans="2:7" ht="16">
      <c r="B4054" s="7"/>
      <c r="C4054" s="6"/>
      <c r="G4054" s="5"/>
    </row>
    <row r="4055" spans="2:7" ht="16">
      <c r="B4055" s="7"/>
      <c r="C4055" s="6"/>
      <c r="G4055" s="5"/>
    </row>
    <row r="4056" spans="2:7" ht="16">
      <c r="B4056" s="7"/>
      <c r="C4056" s="6"/>
      <c r="G4056" s="5"/>
    </row>
    <row r="4057" spans="2:7" ht="16">
      <c r="B4057" s="7"/>
      <c r="C4057" s="6"/>
      <c r="G4057" s="5"/>
    </row>
    <row r="4058" spans="2:7" ht="16">
      <c r="B4058" s="7"/>
      <c r="C4058" s="6"/>
      <c r="G4058" s="5"/>
    </row>
    <row r="4059" spans="2:7" ht="16">
      <c r="B4059" s="7"/>
      <c r="C4059" s="6"/>
      <c r="G4059" s="5"/>
    </row>
    <row r="4060" spans="2:7" ht="16">
      <c r="B4060" s="7"/>
      <c r="C4060" s="6"/>
      <c r="G4060" s="5"/>
    </row>
    <row r="4061" spans="2:7" ht="16">
      <c r="B4061" s="7"/>
      <c r="C4061" s="6"/>
      <c r="G4061" s="5"/>
    </row>
    <row r="4062" spans="2:7" ht="16">
      <c r="B4062" s="7"/>
      <c r="C4062" s="6"/>
      <c r="G4062" s="5"/>
    </row>
    <row r="4063" spans="2:7" ht="16">
      <c r="B4063" s="7"/>
      <c r="C4063" s="6"/>
      <c r="G4063" s="5"/>
    </row>
    <row r="4064" spans="2:7" ht="16">
      <c r="B4064" s="7"/>
      <c r="C4064" s="6"/>
      <c r="G4064" s="5"/>
    </row>
    <row r="4065" spans="2:7" ht="16">
      <c r="B4065" s="7"/>
      <c r="C4065" s="6"/>
      <c r="G4065" s="5"/>
    </row>
    <row r="4066" spans="2:7" ht="16">
      <c r="B4066" s="7"/>
      <c r="C4066" s="6"/>
      <c r="G4066" s="5"/>
    </row>
    <row r="4067" spans="2:7" ht="16">
      <c r="B4067" s="7"/>
      <c r="C4067" s="6"/>
      <c r="G4067" s="5"/>
    </row>
    <row r="4068" spans="2:7" ht="16">
      <c r="B4068" s="7"/>
      <c r="C4068" s="6"/>
      <c r="G4068" s="5"/>
    </row>
    <row r="4069" spans="2:7" ht="16">
      <c r="B4069" s="7"/>
      <c r="C4069" s="6"/>
      <c r="G4069" s="5"/>
    </row>
    <row r="4070" spans="2:7" ht="16">
      <c r="B4070" s="7"/>
      <c r="C4070" s="6"/>
      <c r="G4070" s="5"/>
    </row>
    <row r="4071" spans="2:7" ht="16">
      <c r="B4071" s="7"/>
      <c r="C4071" s="6"/>
      <c r="G4071" s="5"/>
    </row>
    <row r="4072" spans="2:7" ht="16">
      <c r="B4072" s="7"/>
      <c r="C4072" s="6"/>
      <c r="G4072" s="5"/>
    </row>
    <row r="4073" spans="2:7" ht="16">
      <c r="B4073" s="7"/>
      <c r="C4073" s="6"/>
      <c r="G4073" s="5"/>
    </row>
    <row r="4074" spans="2:7" ht="16">
      <c r="B4074" s="7"/>
      <c r="C4074" s="6"/>
      <c r="G4074" s="5"/>
    </row>
    <row r="4075" spans="2:7" ht="16">
      <c r="B4075" s="7"/>
      <c r="C4075" s="6"/>
      <c r="G4075" s="5"/>
    </row>
    <row r="4076" spans="2:7" ht="16">
      <c r="B4076" s="7"/>
      <c r="C4076" s="6"/>
      <c r="G4076" s="5"/>
    </row>
    <row r="4077" spans="2:7" ht="16">
      <c r="B4077" s="7"/>
      <c r="C4077" s="6"/>
      <c r="G4077" s="5"/>
    </row>
    <row r="4078" spans="2:7" ht="16">
      <c r="B4078" s="7"/>
      <c r="C4078" s="6"/>
      <c r="G4078" s="5"/>
    </row>
    <row r="4079" spans="2:7" ht="16">
      <c r="B4079" s="7"/>
      <c r="C4079" s="6"/>
      <c r="G4079" s="5"/>
    </row>
    <row r="4080" spans="2:7" ht="16">
      <c r="B4080" s="7"/>
      <c r="C4080" s="6"/>
      <c r="G4080" s="5"/>
    </row>
    <row r="4081" spans="2:7" ht="16">
      <c r="B4081" s="7"/>
      <c r="C4081" s="6"/>
      <c r="G4081" s="5"/>
    </row>
    <row r="4082" spans="2:7" ht="16">
      <c r="B4082" s="7"/>
      <c r="C4082" s="6"/>
      <c r="G4082" s="5"/>
    </row>
    <row r="4083" spans="2:7" ht="16">
      <c r="B4083" s="7"/>
      <c r="C4083" s="6"/>
      <c r="G4083" s="5"/>
    </row>
    <row r="4084" spans="2:7" ht="16">
      <c r="B4084" s="7"/>
      <c r="C4084" s="6"/>
      <c r="G4084" s="5"/>
    </row>
    <row r="4085" spans="2:7" ht="16">
      <c r="B4085" s="7"/>
      <c r="C4085" s="6"/>
      <c r="G4085" s="5"/>
    </row>
    <row r="4086" spans="2:7" ht="16">
      <c r="B4086" s="7"/>
      <c r="C4086" s="6"/>
      <c r="G4086" s="5"/>
    </row>
    <row r="4087" spans="2:7" ht="16">
      <c r="B4087" s="7"/>
      <c r="C4087" s="6"/>
      <c r="G4087" s="5"/>
    </row>
    <row r="4088" spans="2:7" ht="16">
      <c r="B4088" s="7"/>
      <c r="C4088" s="6"/>
      <c r="G4088" s="5"/>
    </row>
    <row r="4089" spans="2:7" ht="16">
      <c r="B4089" s="7"/>
      <c r="C4089" s="6"/>
      <c r="G4089" s="5"/>
    </row>
    <row r="4090" spans="2:7" ht="16">
      <c r="B4090" s="7"/>
      <c r="C4090" s="6"/>
      <c r="G4090" s="5"/>
    </row>
    <row r="4091" spans="2:7" ht="16">
      <c r="B4091" s="7"/>
      <c r="C4091" s="6"/>
      <c r="G4091" s="5"/>
    </row>
    <row r="4092" spans="2:7" ht="16">
      <c r="B4092" s="7"/>
      <c r="C4092" s="6"/>
      <c r="G4092" s="5"/>
    </row>
    <row r="4093" spans="2:7" ht="16">
      <c r="B4093" s="7"/>
      <c r="C4093" s="6"/>
      <c r="G4093" s="5"/>
    </row>
    <row r="4094" spans="2:7" ht="16">
      <c r="B4094" s="7"/>
      <c r="C4094" s="6"/>
      <c r="G4094" s="5"/>
    </row>
    <row r="4095" spans="2:7" ht="16">
      <c r="B4095" s="7"/>
      <c r="C4095" s="6"/>
      <c r="G4095" s="5"/>
    </row>
    <row r="4096" spans="2:7" ht="16">
      <c r="B4096" s="7"/>
      <c r="C4096" s="6"/>
      <c r="G4096" s="5"/>
    </row>
    <row r="4097" spans="2:7" ht="16">
      <c r="B4097" s="7"/>
      <c r="C4097" s="6"/>
      <c r="G4097" s="5"/>
    </row>
    <row r="4098" spans="2:7" ht="16">
      <c r="B4098" s="7"/>
      <c r="C4098" s="6"/>
      <c r="G4098" s="5"/>
    </row>
    <row r="4099" spans="2:7" ht="16">
      <c r="B4099" s="7"/>
      <c r="C4099" s="6"/>
      <c r="G4099" s="5"/>
    </row>
    <row r="4100" spans="2:7" ht="16">
      <c r="B4100" s="7"/>
      <c r="C4100" s="6"/>
      <c r="G4100" s="5"/>
    </row>
    <row r="4101" spans="2:7" ht="16">
      <c r="B4101" s="7"/>
      <c r="C4101" s="6"/>
      <c r="G4101" s="5"/>
    </row>
    <row r="4102" spans="2:7" ht="16">
      <c r="B4102" s="7"/>
      <c r="C4102" s="6"/>
      <c r="G4102" s="5"/>
    </row>
    <row r="4103" spans="2:7" ht="16">
      <c r="B4103" s="7"/>
      <c r="C4103" s="6"/>
      <c r="G4103" s="5"/>
    </row>
    <row r="4104" spans="2:7" ht="16">
      <c r="B4104" s="7"/>
      <c r="C4104" s="6"/>
      <c r="G4104" s="5"/>
    </row>
    <row r="4105" spans="2:7" ht="16">
      <c r="B4105" s="7"/>
      <c r="C4105" s="6"/>
      <c r="G4105" s="5"/>
    </row>
    <row r="4106" spans="2:7" ht="16">
      <c r="B4106" s="7"/>
      <c r="C4106" s="6"/>
      <c r="G4106" s="5"/>
    </row>
    <row r="4107" spans="2:7" ht="16">
      <c r="B4107" s="7"/>
      <c r="C4107" s="6"/>
      <c r="G4107" s="5"/>
    </row>
    <row r="4108" spans="2:7" ht="16">
      <c r="B4108" s="7"/>
      <c r="C4108" s="6"/>
      <c r="G4108" s="5"/>
    </row>
    <row r="4109" spans="2:7" ht="16">
      <c r="B4109" s="7"/>
      <c r="C4109" s="6"/>
      <c r="G4109" s="5"/>
    </row>
    <row r="4110" spans="2:7" ht="16">
      <c r="B4110" s="7"/>
      <c r="C4110" s="6"/>
      <c r="G4110" s="5"/>
    </row>
    <row r="4111" spans="2:7" ht="16">
      <c r="B4111" s="7"/>
      <c r="C4111" s="6"/>
      <c r="G4111" s="5"/>
    </row>
    <row r="4112" spans="2:7" ht="16">
      <c r="B4112" s="7"/>
      <c r="C4112" s="6"/>
      <c r="G4112" s="5"/>
    </row>
    <row r="4113" spans="2:7" ht="16">
      <c r="B4113" s="7"/>
      <c r="C4113" s="6"/>
      <c r="G4113" s="5"/>
    </row>
    <row r="4114" spans="2:7" ht="16">
      <c r="B4114" s="7"/>
      <c r="C4114" s="6"/>
      <c r="G4114" s="5"/>
    </row>
    <row r="4115" spans="2:7" ht="16">
      <c r="B4115" s="7"/>
      <c r="C4115" s="6"/>
      <c r="G4115" s="5"/>
    </row>
    <row r="4116" spans="2:7" ht="16">
      <c r="B4116" s="7"/>
      <c r="C4116" s="6"/>
      <c r="G4116" s="5"/>
    </row>
    <row r="4117" spans="2:7" ht="16">
      <c r="B4117" s="7"/>
      <c r="C4117" s="6"/>
      <c r="G4117" s="5"/>
    </row>
    <row r="4118" spans="2:7" ht="16">
      <c r="B4118" s="7"/>
      <c r="C4118" s="6"/>
      <c r="G4118" s="5"/>
    </row>
    <row r="4119" spans="2:7" ht="16">
      <c r="B4119" s="7"/>
      <c r="C4119" s="6"/>
      <c r="G4119" s="5"/>
    </row>
    <row r="4120" spans="2:7" ht="16">
      <c r="B4120" s="7"/>
      <c r="C4120" s="6"/>
      <c r="G4120" s="5"/>
    </row>
    <row r="4121" spans="2:7" ht="16">
      <c r="B4121" s="7"/>
      <c r="C4121" s="6"/>
      <c r="G4121" s="5"/>
    </row>
    <row r="4122" spans="2:7" ht="16">
      <c r="B4122" s="7"/>
      <c r="C4122" s="6"/>
      <c r="G4122" s="5"/>
    </row>
    <row r="4123" spans="2:7" ht="16">
      <c r="B4123" s="7"/>
      <c r="C4123" s="6"/>
      <c r="G4123" s="5"/>
    </row>
    <row r="4124" spans="2:7" ht="16">
      <c r="B4124" s="7"/>
      <c r="C4124" s="6"/>
      <c r="G4124" s="5"/>
    </row>
    <row r="4125" spans="2:7" ht="16">
      <c r="B4125" s="7"/>
      <c r="C4125" s="6"/>
      <c r="G4125" s="5"/>
    </row>
    <row r="4126" spans="2:7" ht="16">
      <c r="B4126" s="7"/>
      <c r="C4126" s="6"/>
      <c r="G4126" s="5"/>
    </row>
    <row r="4127" spans="2:7" ht="16">
      <c r="B4127" s="7"/>
      <c r="C4127" s="6"/>
      <c r="G4127" s="5"/>
    </row>
    <row r="4128" spans="2:7" ht="16">
      <c r="B4128" s="7"/>
      <c r="C4128" s="6"/>
      <c r="G4128" s="5"/>
    </row>
    <row r="4129" spans="2:7" ht="16">
      <c r="B4129" s="7"/>
      <c r="C4129" s="6"/>
      <c r="G4129" s="5"/>
    </row>
    <row r="4130" spans="2:7" ht="16">
      <c r="B4130" s="7"/>
      <c r="C4130" s="6"/>
      <c r="G4130" s="5"/>
    </row>
    <row r="4131" spans="2:7" ht="16">
      <c r="B4131" s="7"/>
      <c r="C4131" s="6"/>
      <c r="G4131" s="5"/>
    </row>
    <row r="4132" spans="2:7" ht="16">
      <c r="B4132" s="7"/>
      <c r="C4132" s="6"/>
      <c r="G4132" s="5"/>
    </row>
    <row r="4133" spans="2:7" ht="16">
      <c r="B4133" s="7"/>
      <c r="C4133" s="6"/>
      <c r="G4133" s="5"/>
    </row>
    <row r="4134" spans="2:7" ht="16">
      <c r="B4134" s="7"/>
      <c r="C4134" s="6"/>
      <c r="G4134" s="5"/>
    </row>
    <row r="4135" spans="2:7" ht="16">
      <c r="B4135" s="7"/>
      <c r="C4135" s="6"/>
      <c r="G4135" s="5"/>
    </row>
    <row r="4136" spans="2:7" ht="16">
      <c r="B4136" s="7"/>
      <c r="C4136" s="6"/>
      <c r="G4136" s="5"/>
    </row>
    <row r="4137" spans="2:7" ht="16">
      <c r="B4137" s="7"/>
      <c r="C4137" s="6"/>
      <c r="G4137" s="5"/>
    </row>
    <row r="4138" spans="2:7" ht="16">
      <c r="B4138" s="7"/>
      <c r="C4138" s="6"/>
      <c r="G4138" s="5"/>
    </row>
    <row r="4139" spans="2:7" ht="16">
      <c r="B4139" s="7"/>
      <c r="C4139" s="6"/>
      <c r="G4139" s="5"/>
    </row>
    <row r="4140" spans="2:7" ht="16">
      <c r="B4140" s="7"/>
      <c r="C4140" s="6"/>
      <c r="G4140" s="5"/>
    </row>
    <row r="4141" spans="2:7" ht="16">
      <c r="B4141" s="7"/>
      <c r="C4141" s="6"/>
      <c r="G4141" s="5"/>
    </row>
    <row r="4142" spans="2:7" ht="16">
      <c r="B4142" s="7"/>
      <c r="C4142" s="6"/>
      <c r="G4142" s="5"/>
    </row>
    <row r="4143" spans="2:7" ht="16">
      <c r="B4143" s="7"/>
      <c r="C4143" s="6"/>
      <c r="G4143" s="5"/>
    </row>
    <row r="4144" spans="2:7" ht="16">
      <c r="B4144" s="7"/>
      <c r="C4144" s="6"/>
      <c r="G4144" s="5"/>
    </row>
    <row r="4145" spans="2:7" ht="16">
      <c r="B4145" s="7"/>
      <c r="C4145" s="6"/>
      <c r="G4145" s="5"/>
    </row>
    <row r="4146" spans="2:7" ht="16">
      <c r="B4146" s="7"/>
      <c r="C4146" s="6"/>
      <c r="G4146" s="5"/>
    </row>
    <row r="4147" spans="2:7" ht="16">
      <c r="B4147" s="7"/>
      <c r="C4147" s="6"/>
      <c r="G4147" s="5"/>
    </row>
    <row r="4148" spans="2:7" ht="16">
      <c r="B4148" s="7"/>
      <c r="C4148" s="6"/>
      <c r="G4148" s="5"/>
    </row>
    <row r="4149" spans="2:7" ht="16">
      <c r="B4149" s="7"/>
      <c r="C4149" s="6"/>
      <c r="G4149" s="5"/>
    </row>
    <row r="4150" spans="2:7" ht="16">
      <c r="B4150" s="7"/>
      <c r="C4150" s="6"/>
      <c r="G4150" s="5"/>
    </row>
    <row r="4151" spans="2:7" ht="16">
      <c r="B4151" s="7"/>
      <c r="C4151" s="6"/>
      <c r="G4151" s="5"/>
    </row>
    <row r="4152" spans="2:7" ht="16">
      <c r="B4152" s="7"/>
      <c r="C4152" s="6"/>
      <c r="G4152" s="5"/>
    </row>
    <row r="4153" spans="2:7" ht="16">
      <c r="B4153" s="7"/>
      <c r="C4153" s="6"/>
      <c r="G4153" s="5"/>
    </row>
    <row r="4154" spans="2:7" ht="16">
      <c r="B4154" s="7"/>
      <c r="C4154" s="6"/>
      <c r="G4154" s="5"/>
    </row>
    <row r="4155" spans="2:7" ht="16">
      <c r="B4155" s="7"/>
      <c r="C4155" s="6"/>
      <c r="G4155" s="5"/>
    </row>
    <row r="4156" spans="2:7" ht="16">
      <c r="B4156" s="7"/>
      <c r="C4156" s="6"/>
      <c r="G4156" s="5"/>
    </row>
    <row r="4157" spans="2:7" ht="16">
      <c r="B4157" s="7"/>
      <c r="C4157" s="6"/>
      <c r="G4157" s="5"/>
    </row>
    <row r="4158" spans="2:7" ht="16">
      <c r="B4158" s="7"/>
      <c r="C4158" s="6"/>
      <c r="G4158" s="5"/>
    </row>
    <row r="4159" spans="2:7" ht="16">
      <c r="B4159" s="7"/>
      <c r="C4159" s="6"/>
      <c r="G4159" s="5"/>
    </row>
    <row r="4160" spans="2:7" ht="16">
      <c r="B4160" s="7"/>
      <c r="C4160" s="6"/>
      <c r="G4160" s="5"/>
    </row>
    <row r="4161" spans="2:7" ht="16">
      <c r="B4161" s="7"/>
      <c r="C4161" s="6"/>
      <c r="G4161" s="5"/>
    </row>
    <row r="4162" spans="2:7" ht="16">
      <c r="B4162" s="7"/>
      <c r="C4162" s="6"/>
      <c r="G4162" s="5"/>
    </row>
    <row r="4163" spans="2:7" ht="16">
      <c r="B4163" s="7"/>
      <c r="C4163" s="6"/>
      <c r="G4163" s="5"/>
    </row>
    <row r="4164" spans="2:7" ht="16">
      <c r="B4164" s="7"/>
      <c r="C4164" s="6"/>
      <c r="G4164" s="5"/>
    </row>
    <row r="4165" spans="2:7" ht="16">
      <c r="B4165" s="7"/>
      <c r="C4165" s="6"/>
      <c r="G4165" s="5"/>
    </row>
    <row r="4166" spans="2:7" ht="16">
      <c r="B4166" s="7"/>
      <c r="C4166" s="6"/>
      <c r="G4166" s="5"/>
    </row>
    <row r="4167" spans="2:7" ht="16">
      <c r="B4167" s="7"/>
      <c r="C4167" s="6"/>
      <c r="G4167" s="5"/>
    </row>
    <row r="4168" spans="2:7" ht="16">
      <c r="B4168" s="7"/>
      <c r="C4168" s="6"/>
      <c r="G4168" s="5"/>
    </row>
    <row r="4169" spans="2:7" ht="16">
      <c r="B4169" s="7"/>
      <c r="C4169" s="6"/>
      <c r="G4169" s="5"/>
    </row>
    <row r="4170" spans="2:7" ht="16">
      <c r="B4170" s="7"/>
      <c r="C4170" s="6"/>
      <c r="G4170" s="5"/>
    </row>
    <row r="4171" spans="2:7" ht="16">
      <c r="B4171" s="7"/>
      <c r="C4171" s="6"/>
      <c r="G4171" s="5"/>
    </row>
    <row r="4172" spans="2:7" ht="16">
      <c r="B4172" s="7"/>
      <c r="C4172" s="6"/>
      <c r="G4172" s="5"/>
    </row>
    <row r="4173" spans="2:7" ht="16">
      <c r="B4173" s="7"/>
      <c r="C4173" s="6"/>
      <c r="G4173" s="5"/>
    </row>
    <row r="4174" spans="2:7" ht="16">
      <c r="B4174" s="7"/>
      <c r="C4174" s="6"/>
      <c r="G4174" s="5"/>
    </row>
    <row r="4175" spans="2:7" ht="16">
      <c r="B4175" s="7"/>
      <c r="C4175" s="6"/>
      <c r="G4175" s="5"/>
    </row>
    <row r="4176" spans="2:7" ht="16">
      <c r="B4176" s="7"/>
      <c r="C4176" s="6"/>
      <c r="G4176" s="5"/>
    </row>
    <row r="4177" spans="2:7" ht="16">
      <c r="B4177" s="7"/>
      <c r="C4177" s="6"/>
      <c r="G4177" s="5"/>
    </row>
    <row r="4178" spans="2:7" ht="16">
      <c r="B4178" s="7"/>
      <c r="C4178" s="6"/>
      <c r="G4178" s="5"/>
    </row>
    <row r="4179" spans="2:7" ht="16">
      <c r="B4179" s="7"/>
      <c r="C4179" s="6"/>
      <c r="G4179" s="5"/>
    </row>
    <row r="4180" spans="2:7" ht="16">
      <c r="B4180" s="7"/>
      <c r="C4180" s="6"/>
      <c r="G4180" s="5"/>
    </row>
    <row r="4181" spans="2:7" ht="16">
      <c r="B4181" s="7"/>
      <c r="C4181" s="6"/>
      <c r="G4181" s="5"/>
    </row>
    <row r="4182" spans="2:7" ht="16">
      <c r="B4182" s="7"/>
      <c r="C4182" s="6"/>
      <c r="G4182" s="5"/>
    </row>
    <row r="4183" spans="2:7" ht="16">
      <c r="B4183" s="7"/>
      <c r="C4183" s="6"/>
      <c r="G4183" s="5"/>
    </row>
    <row r="4184" spans="2:7" ht="16">
      <c r="B4184" s="7"/>
      <c r="C4184" s="6"/>
      <c r="G4184" s="5"/>
    </row>
    <row r="4185" spans="2:7" ht="16">
      <c r="B4185" s="7"/>
      <c r="C4185" s="6"/>
      <c r="G4185" s="5"/>
    </row>
    <row r="4186" spans="2:7" ht="16">
      <c r="B4186" s="7"/>
      <c r="C4186" s="6"/>
      <c r="G4186" s="5"/>
    </row>
    <row r="4187" spans="2:7" ht="16">
      <c r="B4187" s="7"/>
      <c r="C4187" s="6"/>
      <c r="G4187" s="5"/>
    </row>
    <row r="4188" spans="2:7" ht="16">
      <c r="B4188" s="7"/>
      <c r="C4188" s="6"/>
      <c r="G4188" s="5"/>
    </row>
    <row r="4189" spans="2:7" ht="16">
      <c r="B4189" s="7"/>
      <c r="C4189" s="6"/>
      <c r="G4189" s="5"/>
    </row>
    <row r="4190" spans="2:7" ht="16">
      <c r="B4190" s="7"/>
      <c r="C4190" s="6"/>
      <c r="G4190" s="5"/>
    </row>
    <row r="4191" spans="2:7" ht="16">
      <c r="B4191" s="7"/>
      <c r="C4191" s="6"/>
      <c r="G4191" s="5"/>
    </row>
    <row r="4192" spans="2:7" ht="16">
      <c r="B4192" s="7"/>
      <c r="C4192" s="6"/>
      <c r="G4192" s="5"/>
    </row>
    <row r="4193" spans="2:7" ht="16">
      <c r="B4193" s="7"/>
      <c r="C4193" s="6"/>
      <c r="G4193" s="5"/>
    </row>
    <row r="4194" spans="2:7" ht="16">
      <c r="B4194" s="7"/>
      <c r="C4194" s="6"/>
      <c r="G4194" s="5"/>
    </row>
    <row r="4195" spans="2:7" ht="16">
      <c r="B4195" s="7"/>
      <c r="C4195" s="6"/>
      <c r="G4195" s="5"/>
    </row>
    <row r="4196" spans="2:7" ht="16">
      <c r="B4196" s="7"/>
      <c r="C4196" s="6"/>
      <c r="G4196" s="5"/>
    </row>
    <row r="4197" spans="2:7" ht="16">
      <c r="B4197" s="7"/>
      <c r="C4197" s="6"/>
      <c r="G4197" s="5"/>
    </row>
    <row r="4198" spans="2:7" ht="16">
      <c r="B4198" s="7"/>
      <c r="C4198" s="6"/>
      <c r="G4198" s="5"/>
    </row>
    <row r="4199" spans="2:7" ht="16">
      <c r="B4199" s="7"/>
      <c r="C4199" s="6"/>
      <c r="G4199" s="5"/>
    </row>
    <row r="4200" spans="2:7" ht="16">
      <c r="B4200" s="7"/>
      <c r="C4200" s="6"/>
      <c r="G4200" s="5"/>
    </row>
    <row r="4201" spans="2:7" ht="16">
      <c r="B4201" s="7"/>
      <c r="C4201" s="6"/>
      <c r="G4201" s="5"/>
    </row>
    <row r="4202" spans="2:7" ht="16">
      <c r="B4202" s="7"/>
      <c r="C4202" s="6"/>
      <c r="G4202" s="5"/>
    </row>
    <row r="4203" spans="2:7" ht="16">
      <c r="B4203" s="7"/>
      <c r="C4203" s="6"/>
      <c r="G4203" s="5"/>
    </row>
    <row r="4204" spans="2:7" ht="16">
      <c r="B4204" s="7"/>
      <c r="C4204" s="6"/>
      <c r="G4204" s="5"/>
    </row>
    <row r="4205" spans="2:7" ht="16">
      <c r="B4205" s="7"/>
      <c r="C4205" s="6"/>
      <c r="G4205" s="5"/>
    </row>
    <row r="4206" spans="2:7" ht="16">
      <c r="B4206" s="7"/>
      <c r="C4206" s="6"/>
      <c r="G4206" s="5"/>
    </row>
    <row r="4207" spans="2:7" ht="16">
      <c r="B4207" s="7"/>
      <c r="C4207" s="6"/>
      <c r="G4207" s="5"/>
    </row>
    <row r="4208" spans="2:7" ht="16">
      <c r="B4208" s="7"/>
      <c r="C4208" s="6"/>
      <c r="G4208" s="5"/>
    </row>
    <row r="4209" spans="2:7" ht="16">
      <c r="B4209" s="7"/>
      <c r="C4209" s="6"/>
      <c r="G4209" s="5"/>
    </row>
    <row r="4210" spans="2:7" ht="16">
      <c r="B4210" s="7"/>
      <c r="C4210" s="6"/>
      <c r="G4210" s="5"/>
    </row>
    <row r="4211" spans="2:7" ht="16">
      <c r="B4211" s="7"/>
      <c r="C4211" s="6"/>
      <c r="G4211" s="5"/>
    </row>
    <row r="4212" spans="2:7" ht="16">
      <c r="B4212" s="7"/>
      <c r="C4212" s="6"/>
      <c r="G4212" s="5"/>
    </row>
    <row r="4213" spans="2:7" ht="16">
      <c r="B4213" s="7"/>
      <c r="C4213" s="6"/>
      <c r="G4213" s="5"/>
    </row>
    <row r="4214" spans="2:7" ht="16">
      <c r="B4214" s="7"/>
      <c r="C4214" s="6"/>
      <c r="G4214" s="5"/>
    </row>
    <row r="4215" spans="2:7" ht="16">
      <c r="B4215" s="7"/>
      <c r="C4215" s="6"/>
      <c r="G4215" s="5"/>
    </row>
    <row r="4216" spans="2:7" ht="16">
      <c r="B4216" s="7"/>
      <c r="C4216" s="6"/>
      <c r="G4216" s="5"/>
    </row>
    <row r="4217" spans="2:7" ht="16">
      <c r="B4217" s="7"/>
      <c r="C4217" s="6"/>
      <c r="G4217" s="5"/>
    </row>
    <row r="4218" spans="2:7" ht="16">
      <c r="B4218" s="7"/>
      <c r="C4218" s="6"/>
      <c r="G4218" s="5"/>
    </row>
    <row r="4219" spans="2:7" ht="16">
      <c r="B4219" s="7"/>
      <c r="C4219" s="6"/>
      <c r="G4219" s="5"/>
    </row>
    <row r="4220" spans="2:7" ht="16">
      <c r="B4220" s="7"/>
      <c r="C4220" s="6"/>
      <c r="G4220" s="5"/>
    </row>
    <row r="4221" spans="2:7" ht="16">
      <c r="B4221" s="7"/>
      <c r="C4221" s="6"/>
      <c r="G4221" s="5"/>
    </row>
    <row r="4222" spans="2:7" ht="16">
      <c r="B4222" s="7"/>
      <c r="C4222" s="6"/>
      <c r="G4222" s="5"/>
    </row>
    <row r="4223" spans="2:7" ht="16">
      <c r="B4223" s="7"/>
      <c r="C4223" s="6"/>
      <c r="G4223" s="5"/>
    </row>
    <row r="4224" spans="2:7" ht="16">
      <c r="B4224" s="7"/>
      <c r="C4224" s="6"/>
      <c r="G4224" s="5"/>
    </row>
    <row r="4225" spans="2:7" ht="16">
      <c r="B4225" s="7"/>
      <c r="C4225" s="6"/>
      <c r="G4225" s="5"/>
    </row>
    <row r="4226" spans="2:7" ht="16">
      <c r="B4226" s="7"/>
      <c r="C4226" s="6"/>
      <c r="G4226" s="5"/>
    </row>
    <row r="4227" spans="2:7" ht="16">
      <c r="B4227" s="7"/>
      <c r="C4227" s="6"/>
      <c r="G4227" s="5"/>
    </row>
    <row r="4228" spans="2:7" ht="16">
      <c r="B4228" s="7"/>
      <c r="C4228" s="6"/>
      <c r="G4228" s="5"/>
    </row>
    <row r="4229" spans="2:7" ht="16">
      <c r="B4229" s="7"/>
      <c r="C4229" s="6"/>
      <c r="G4229" s="5"/>
    </row>
    <row r="4230" spans="2:7" ht="16">
      <c r="B4230" s="7"/>
      <c r="C4230" s="6"/>
      <c r="G4230" s="5"/>
    </row>
    <row r="4231" spans="2:7" ht="16">
      <c r="B4231" s="7"/>
      <c r="C4231" s="6"/>
      <c r="G4231" s="5"/>
    </row>
    <row r="4232" spans="2:7" ht="16">
      <c r="B4232" s="7"/>
      <c r="C4232" s="6"/>
      <c r="G4232" s="5"/>
    </row>
    <row r="4233" spans="2:7" ht="16">
      <c r="B4233" s="7"/>
      <c r="C4233" s="6"/>
      <c r="G4233" s="5"/>
    </row>
    <row r="4234" spans="2:7" ht="16">
      <c r="B4234" s="7"/>
      <c r="C4234" s="6"/>
      <c r="G4234" s="5"/>
    </row>
    <row r="4235" spans="2:7" ht="16">
      <c r="B4235" s="7"/>
      <c r="C4235" s="6"/>
      <c r="G4235" s="5"/>
    </row>
    <row r="4236" spans="2:7" ht="16">
      <c r="B4236" s="7"/>
      <c r="C4236" s="6"/>
      <c r="G4236" s="5"/>
    </row>
    <row r="4237" spans="2:7" ht="16">
      <c r="B4237" s="7"/>
      <c r="C4237" s="6"/>
      <c r="G4237" s="5"/>
    </row>
    <row r="4238" spans="2:7" ht="16">
      <c r="B4238" s="7"/>
      <c r="C4238" s="6"/>
      <c r="G4238" s="5"/>
    </row>
    <row r="4239" spans="2:7" ht="16">
      <c r="B4239" s="7"/>
      <c r="C4239" s="6"/>
      <c r="G4239" s="5"/>
    </row>
    <row r="4240" spans="2:7" ht="16">
      <c r="B4240" s="7"/>
      <c r="C4240" s="6"/>
      <c r="G4240" s="5"/>
    </row>
    <row r="4241" spans="2:7" ht="16">
      <c r="B4241" s="7"/>
      <c r="C4241" s="6"/>
      <c r="G4241" s="5"/>
    </row>
    <row r="4242" spans="2:7" ht="16">
      <c r="B4242" s="7"/>
      <c r="C4242" s="6"/>
      <c r="G4242" s="5"/>
    </row>
    <row r="4243" spans="2:7" ht="16">
      <c r="B4243" s="7"/>
      <c r="C4243" s="6"/>
      <c r="G4243" s="5"/>
    </row>
    <row r="4244" spans="2:7" ht="16">
      <c r="B4244" s="7"/>
      <c r="C4244" s="6"/>
      <c r="G4244" s="5"/>
    </row>
    <row r="4245" spans="2:7" ht="16">
      <c r="B4245" s="7"/>
      <c r="C4245" s="6"/>
      <c r="G4245" s="5"/>
    </row>
    <row r="4246" spans="2:7" ht="16">
      <c r="B4246" s="7"/>
      <c r="C4246" s="6"/>
      <c r="G4246" s="5"/>
    </row>
    <row r="4247" spans="2:7" ht="16">
      <c r="B4247" s="7"/>
      <c r="C4247" s="6"/>
      <c r="G4247" s="5"/>
    </row>
    <row r="4248" spans="2:7" ht="16">
      <c r="B4248" s="7"/>
      <c r="C4248" s="6"/>
      <c r="G4248" s="5"/>
    </row>
    <row r="4249" spans="2:7" ht="16">
      <c r="B4249" s="7"/>
      <c r="C4249" s="6"/>
      <c r="G4249" s="5"/>
    </row>
    <row r="4250" spans="2:7" ht="16">
      <c r="B4250" s="7"/>
      <c r="C4250" s="6"/>
      <c r="G4250" s="5"/>
    </row>
    <row r="4251" spans="2:7" ht="16">
      <c r="B4251" s="7"/>
      <c r="C4251" s="6"/>
      <c r="G4251" s="5"/>
    </row>
    <row r="4252" spans="2:7" ht="16">
      <c r="B4252" s="7"/>
      <c r="C4252" s="6"/>
      <c r="G4252" s="5"/>
    </row>
    <row r="4253" spans="2:7" ht="16">
      <c r="B4253" s="7"/>
      <c r="C4253" s="6"/>
      <c r="G4253" s="5"/>
    </row>
    <row r="4254" spans="2:7" ht="16">
      <c r="B4254" s="7"/>
      <c r="C4254" s="6"/>
      <c r="G4254" s="5"/>
    </row>
    <row r="4255" spans="2:7" ht="16">
      <c r="B4255" s="7"/>
      <c r="C4255" s="6"/>
      <c r="G4255" s="5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9877-F36B-9142-8918-4209129C4634}">
  <sheetPr codeName="Sheet3"/>
  <dimension ref="A1:U135"/>
  <sheetViews>
    <sheetView topLeftCell="B6" zoomScale="247" workbookViewId="0">
      <selection activeCell="C20" sqref="C20"/>
    </sheetView>
  </sheetViews>
  <sheetFormatPr baseColWidth="10" defaultRowHeight="16"/>
  <cols>
    <col min="1" max="1" width="17.6640625" style="34" customWidth="1"/>
    <col min="2" max="2" width="38.6640625" style="34" customWidth="1"/>
    <col min="3" max="3" width="12.6640625" style="34" customWidth="1"/>
    <col min="4" max="5" width="18.6640625" style="34" customWidth="1"/>
    <col min="6" max="6" width="24.6640625" style="34" customWidth="1"/>
    <col min="7" max="7" width="19.6640625" style="33" customWidth="1"/>
    <col min="8" max="8" width="22.6640625" style="33" customWidth="1"/>
    <col min="9" max="9" width="10.6640625" style="33" customWidth="1"/>
    <col min="10" max="10" width="18.6640625" style="33" customWidth="1"/>
    <col min="11" max="11" width="10.6640625" style="33" customWidth="1"/>
    <col min="12" max="12" width="18.6640625" style="33" customWidth="1"/>
    <col min="13" max="13" width="10.6640625" style="33" customWidth="1"/>
    <col min="14" max="14" width="17.6640625" style="33" customWidth="1"/>
    <col min="15" max="15" width="12.6640625" style="33" customWidth="1"/>
    <col min="16" max="16" width="18.6640625" style="33" customWidth="1"/>
    <col min="17" max="17" width="12.6640625" style="33" customWidth="1"/>
    <col min="18" max="18" width="20.6640625" style="33" customWidth="1"/>
    <col min="19" max="19" width="11.6640625" style="33" customWidth="1"/>
    <col min="20" max="20" width="18.6640625" style="33" customWidth="1"/>
    <col min="21" max="21" width="14.6640625" style="33" customWidth="1"/>
    <col min="22" max="256" width="8.83203125" style="32" customWidth="1"/>
    <col min="257" max="16384" width="10.83203125" style="32"/>
  </cols>
  <sheetData>
    <row r="1" spans="1:21">
      <c r="A1" s="45" t="s">
        <v>3345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5" t="s">
        <v>3344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3" t="s">
        <v>3343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>
      <c r="A4" s="43" t="s">
        <v>3342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1">
      <c r="A5" s="43" t="s">
        <v>3341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</row>
    <row r="6" spans="1:21">
      <c r="A6" s="43" t="s">
        <v>3340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 t="s">
        <v>3339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2" t="s">
        <v>3338</v>
      </c>
      <c r="B8" s="42" t="s">
        <v>3337</v>
      </c>
      <c r="C8" s="42" t="s">
        <v>3336</v>
      </c>
      <c r="D8" s="42" t="s">
        <v>3335</v>
      </c>
      <c r="E8" s="42" t="s">
        <v>3334</v>
      </c>
      <c r="F8" s="42" t="s">
        <v>3333</v>
      </c>
      <c r="G8" s="41" t="s">
        <v>3332</v>
      </c>
      <c r="H8" s="41" t="s">
        <v>3331</v>
      </c>
      <c r="I8" s="41" t="s">
        <v>3330</v>
      </c>
      <c r="J8" s="41" t="s">
        <v>3329</v>
      </c>
      <c r="K8" s="41" t="s">
        <v>3328</v>
      </c>
      <c r="L8" s="41" t="s">
        <v>3327</v>
      </c>
      <c r="M8" s="41" t="s">
        <v>3326</v>
      </c>
      <c r="N8" s="41" t="s">
        <v>3325</v>
      </c>
      <c r="O8" s="41" t="s">
        <v>3324</v>
      </c>
      <c r="P8" s="41" t="s">
        <v>3323</v>
      </c>
      <c r="Q8" s="41" t="s">
        <v>3322</v>
      </c>
      <c r="R8" s="41" t="s">
        <v>3321</v>
      </c>
      <c r="S8" s="41" t="s">
        <v>3320</v>
      </c>
      <c r="T8" s="41" t="s">
        <v>3319</v>
      </c>
      <c r="U8" s="41" t="s">
        <v>3318</v>
      </c>
    </row>
    <row r="9" spans="1:21">
      <c r="A9" s="40" t="s">
        <v>1324</v>
      </c>
      <c r="B9" s="40" t="s">
        <v>1323</v>
      </c>
      <c r="C9" s="40" t="s">
        <v>3160</v>
      </c>
      <c r="D9" s="40" t="s">
        <v>3159</v>
      </c>
      <c r="E9" s="40" t="s">
        <v>3194</v>
      </c>
      <c r="F9" s="40"/>
      <c r="G9" s="39">
        <v>110</v>
      </c>
      <c r="H9" s="39">
        <v>4229.8567999999996</v>
      </c>
      <c r="I9" s="39"/>
      <c r="J9" s="39"/>
      <c r="K9" s="39"/>
      <c r="L9" s="39"/>
      <c r="M9" s="39"/>
      <c r="N9" s="39"/>
      <c r="O9" s="39"/>
      <c r="P9" s="39"/>
      <c r="Q9" s="39">
        <v>110</v>
      </c>
      <c r="R9" s="39">
        <v>4229.8567999999996</v>
      </c>
      <c r="S9" s="39"/>
      <c r="T9" s="39"/>
      <c r="U9" s="39"/>
    </row>
    <row r="10" spans="1:21">
      <c r="A10" s="40"/>
      <c r="B10" s="40"/>
      <c r="C10" s="40"/>
      <c r="D10" s="40"/>
      <c r="E10" s="40" t="s">
        <v>3273</v>
      </c>
      <c r="F10" s="40"/>
      <c r="G10" s="39">
        <v>291</v>
      </c>
      <c r="H10" s="39">
        <v>10826.280699999999</v>
      </c>
      <c r="I10" s="39"/>
      <c r="J10" s="39"/>
      <c r="K10" s="39"/>
      <c r="L10" s="39"/>
      <c r="M10" s="39"/>
      <c r="N10" s="39"/>
      <c r="O10" s="39"/>
      <c r="P10" s="39"/>
      <c r="Q10" s="39">
        <v>291</v>
      </c>
      <c r="R10" s="39">
        <v>10826.280699999999</v>
      </c>
      <c r="S10" s="39">
        <v>401</v>
      </c>
      <c r="T10" s="39">
        <v>15056.137500000001</v>
      </c>
      <c r="U10" s="39">
        <v>37.546500000000002</v>
      </c>
    </row>
    <row r="11" spans="1:21">
      <c r="A11" s="40" t="s">
        <v>1336</v>
      </c>
      <c r="B11" s="40" t="s">
        <v>1335</v>
      </c>
      <c r="C11" s="40" t="s">
        <v>3160</v>
      </c>
      <c r="D11" s="40" t="s">
        <v>3159</v>
      </c>
      <c r="E11" s="40" t="s">
        <v>3317</v>
      </c>
      <c r="F11" s="40"/>
      <c r="G11" s="39">
        <v>252</v>
      </c>
      <c r="H11" s="39">
        <v>9853.4015999999992</v>
      </c>
      <c r="I11" s="39"/>
      <c r="J11" s="39"/>
      <c r="K11" s="39"/>
      <c r="L11" s="39"/>
      <c r="M11" s="39"/>
      <c r="N11" s="39"/>
      <c r="O11" s="39"/>
      <c r="P11" s="39"/>
      <c r="Q11" s="39">
        <v>252</v>
      </c>
      <c r="R11" s="39">
        <v>9853.4015999999992</v>
      </c>
      <c r="S11" s="39">
        <v>252</v>
      </c>
      <c r="T11" s="39">
        <v>9853.4015999999992</v>
      </c>
      <c r="U11" s="39">
        <v>39.1008</v>
      </c>
    </row>
    <row r="12" spans="1:21">
      <c r="A12" s="40" t="s">
        <v>3316</v>
      </c>
      <c r="B12" s="40" t="s">
        <v>3315</v>
      </c>
      <c r="C12" s="40" t="s">
        <v>3160</v>
      </c>
      <c r="D12" s="40" t="s">
        <v>3159</v>
      </c>
      <c r="E12" s="40" t="s">
        <v>3314</v>
      </c>
      <c r="F12" s="40"/>
      <c r="G12" s="39">
        <v>72</v>
      </c>
      <c r="H12" s="39">
        <v>1642.6614999999999</v>
      </c>
      <c r="I12" s="39"/>
      <c r="J12" s="39"/>
      <c r="K12" s="39"/>
      <c r="L12" s="39"/>
      <c r="M12" s="39"/>
      <c r="N12" s="39"/>
      <c r="O12" s="39"/>
      <c r="P12" s="39"/>
      <c r="Q12" s="39">
        <v>72</v>
      </c>
      <c r="R12" s="39">
        <v>1642.6614999999999</v>
      </c>
      <c r="S12" s="39"/>
      <c r="T12" s="39"/>
      <c r="U12" s="39"/>
    </row>
    <row r="13" spans="1:21">
      <c r="A13" s="40"/>
      <c r="B13" s="40"/>
      <c r="C13" s="40"/>
      <c r="D13" s="40"/>
      <c r="E13" s="40" t="s">
        <v>3169</v>
      </c>
      <c r="F13" s="40"/>
      <c r="G13" s="39">
        <v>68</v>
      </c>
      <c r="H13" s="39">
        <v>6472.3335999999999</v>
      </c>
      <c r="I13" s="39"/>
      <c r="J13" s="39"/>
      <c r="K13" s="39"/>
      <c r="L13" s="39"/>
      <c r="M13" s="39"/>
      <c r="N13" s="39"/>
      <c r="O13" s="39"/>
      <c r="P13" s="39"/>
      <c r="Q13" s="39">
        <v>68</v>
      </c>
      <c r="R13" s="39">
        <v>6472.3335999999999</v>
      </c>
      <c r="S13" s="39">
        <v>140</v>
      </c>
      <c r="T13" s="39">
        <v>8114.9951000000001</v>
      </c>
      <c r="U13" s="39">
        <v>57.964300000000001</v>
      </c>
    </row>
    <row r="14" spans="1:21">
      <c r="A14" s="40" t="s">
        <v>1347</v>
      </c>
      <c r="B14" s="40" t="s">
        <v>1346</v>
      </c>
      <c r="C14" s="40" t="s">
        <v>3160</v>
      </c>
      <c r="D14" s="40" t="s">
        <v>3159</v>
      </c>
      <c r="E14" s="40" t="s">
        <v>3313</v>
      </c>
      <c r="F14" s="40"/>
      <c r="G14" s="39">
        <v>10</v>
      </c>
      <c r="H14" s="39">
        <v>414.66199999999998</v>
      </c>
      <c r="I14" s="39"/>
      <c r="J14" s="39"/>
      <c r="K14" s="39"/>
      <c r="L14" s="39"/>
      <c r="M14" s="39"/>
      <c r="N14" s="39"/>
      <c r="O14" s="39"/>
      <c r="P14" s="39"/>
      <c r="Q14" s="39">
        <v>10</v>
      </c>
      <c r="R14" s="39">
        <v>414.66199999999998</v>
      </c>
      <c r="S14" s="39">
        <v>10</v>
      </c>
      <c r="T14" s="39">
        <v>414.66199999999998</v>
      </c>
      <c r="U14" s="39">
        <v>41.466200000000001</v>
      </c>
    </row>
    <row r="15" spans="1:21">
      <c r="A15" s="40" t="s">
        <v>1327</v>
      </c>
      <c r="B15" s="40" t="s">
        <v>1326</v>
      </c>
      <c r="C15" s="40" t="s">
        <v>3160</v>
      </c>
      <c r="D15" s="40" t="s">
        <v>3159</v>
      </c>
      <c r="E15" s="40" t="s">
        <v>3312</v>
      </c>
      <c r="F15" s="40"/>
      <c r="G15" s="39">
        <v>244</v>
      </c>
      <c r="H15" s="39">
        <v>13942.924300000001</v>
      </c>
      <c r="I15" s="39"/>
      <c r="J15" s="39"/>
      <c r="K15" s="39"/>
      <c r="L15" s="39"/>
      <c r="M15" s="39"/>
      <c r="N15" s="39"/>
      <c r="O15" s="39"/>
      <c r="P15" s="39"/>
      <c r="Q15" s="39">
        <v>244</v>
      </c>
      <c r="R15" s="39">
        <v>13942.924300000001</v>
      </c>
      <c r="S15" s="39">
        <v>244</v>
      </c>
      <c r="T15" s="39">
        <v>13942.924300000001</v>
      </c>
      <c r="U15" s="39">
        <v>57.143099999999997</v>
      </c>
    </row>
    <row r="16" spans="1:21">
      <c r="A16" s="40" t="s">
        <v>1354</v>
      </c>
      <c r="B16" s="40" t="s">
        <v>3311</v>
      </c>
      <c r="C16" s="40" t="s">
        <v>3160</v>
      </c>
      <c r="D16" s="40" t="s">
        <v>3159</v>
      </c>
      <c r="E16" s="40" t="s">
        <v>3262</v>
      </c>
      <c r="F16" s="40"/>
      <c r="G16" s="39">
        <v>369</v>
      </c>
      <c r="H16" s="39">
        <v>7184.1108000000004</v>
      </c>
      <c r="I16" s="39"/>
      <c r="J16" s="39"/>
      <c r="K16" s="39"/>
      <c r="L16" s="39"/>
      <c r="M16" s="39"/>
      <c r="N16" s="39"/>
      <c r="O16" s="39"/>
      <c r="P16" s="39"/>
      <c r="Q16" s="39">
        <v>369</v>
      </c>
      <c r="R16" s="39">
        <v>7184.1108000000004</v>
      </c>
      <c r="S16" s="39">
        <v>369</v>
      </c>
      <c r="T16" s="39">
        <v>7184.1108000000004</v>
      </c>
      <c r="U16" s="39">
        <v>19.469100000000001</v>
      </c>
    </row>
    <row r="17" spans="1:21">
      <c r="A17" s="40" t="s">
        <v>1353</v>
      </c>
      <c r="B17" s="40" t="s">
        <v>3310</v>
      </c>
      <c r="C17" s="40" t="s">
        <v>3160</v>
      </c>
      <c r="D17" s="40" t="s">
        <v>3159</v>
      </c>
      <c r="E17" s="40" t="s">
        <v>3270</v>
      </c>
      <c r="F17" s="40"/>
      <c r="G17" s="39">
        <v>24</v>
      </c>
      <c r="H17" s="39">
        <v>490.51679999999999</v>
      </c>
      <c r="I17" s="39"/>
      <c r="J17" s="39"/>
      <c r="K17" s="39"/>
      <c r="L17" s="39"/>
      <c r="M17" s="39"/>
      <c r="N17" s="39"/>
      <c r="O17" s="39"/>
      <c r="P17" s="39"/>
      <c r="Q17" s="39">
        <v>24</v>
      </c>
      <c r="R17" s="39">
        <v>490.51679999999999</v>
      </c>
      <c r="S17" s="39"/>
      <c r="T17" s="39"/>
      <c r="U17" s="39"/>
    </row>
    <row r="18" spans="1:21">
      <c r="A18" s="40"/>
      <c r="B18" s="40"/>
      <c r="C18" s="40"/>
      <c r="D18" s="40"/>
      <c r="E18" s="40" t="s">
        <v>3172</v>
      </c>
      <c r="F18" s="40"/>
      <c r="G18" s="39">
        <v>1199</v>
      </c>
      <c r="H18" s="39">
        <v>26021.4918</v>
      </c>
      <c r="I18" s="39"/>
      <c r="J18" s="39"/>
      <c r="K18" s="39"/>
      <c r="L18" s="39"/>
      <c r="M18" s="39"/>
      <c r="N18" s="39"/>
      <c r="O18" s="39"/>
      <c r="P18" s="39"/>
      <c r="Q18" s="39">
        <v>1199</v>
      </c>
      <c r="R18" s="39">
        <v>26021.4918</v>
      </c>
      <c r="S18" s="39">
        <v>1223</v>
      </c>
      <c r="T18" s="39">
        <v>26512.008600000001</v>
      </c>
      <c r="U18" s="39">
        <v>21.677800000000001</v>
      </c>
    </row>
    <row r="19" spans="1:21">
      <c r="A19" s="40" t="s">
        <v>1341</v>
      </c>
      <c r="B19" s="40" t="s">
        <v>1340</v>
      </c>
      <c r="C19" s="40" t="s">
        <v>3160</v>
      </c>
      <c r="D19" s="40" t="s">
        <v>3159</v>
      </c>
      <c r="E19" s="40" t="s">
        <v>3309</v>
      </c>
      <c r="F19" s="40"/>
      <c r="G19" s="39">
        <v>153</v>
      </c>
      <c r="H19" s="39">
        <v>10041.6711</v>
      </c>
      <c r="I19" s="39"/>
      <c r="J19" s="39"/>
      <c r="K19" s="39"/>
      <c r="L19" s="39"/>
      <c r="M19" s="39"/>
      <c r="N19" s="39"/>
      <c r="O19" s="39"/>
      <c r="P19" s="39"/>
      <c r="Q19" s="39">
        <v>153</v>
      </c>
      <c r="R19" s="39">
        <v>10041.6711</v>
      </c>
      <c r="S19" s="39">
        <v>153</v>
      </c>
      <c r="T19" s="39">
        <v>10041.6711</v>
      </c>
      <c r="U19" s="39">
        <v>65.631799999999998</v>
      </c>
    </row>
    <row r="20" spans="1:21">
      <c r="A20" s="40" t="s">
        <v>1339</v>
      </c>
      <c r="B20" s="40" t="s">
        <v>1338</v>
      </c>
      <c r="C20" s="40" t="s">
        <v>3160</v>
      </c>
      <c r="D20" s="40" t="s">
        <v>3159</v>
      </c>
      <c r="E20" s="40" t="s">
        <v>3308</v>
      </c>
      <c r="F20" s="40"/>
      <c r="G20" s="39">
        <v>1542</v>
      </c>
      <c r="H20" s="39">
        <v>56708.591999999997</v>
      </c>
      <c r="I20" s="39"/>
      <c r="J20" s="39"/>
      <c r="K20" s="39"/>
      <c r="L20" s="39"/>
      <c r="M20" s="39"/>
      <c r="N20" s="39"/>
      <c r="O20" s="39"/>
      <c r="P20" s="39"/>
      <c r="Q20" s="39">
        <v>1542</v>
      </c>
      <c r="R20" s="39">
        <v>56708.591999999997</v>
      </c>
      <c r="S20" s="39">
        <v>1542</v>
      </c>
      <c r="T20" s="39">
        <v>56708.591999999997</v>
      </c>
      <c r="U20" s="39">
        <v>36.776000000000003</v>
      </c>
    </row>
    <row r="21" spans="1:21">
      <c r="A21" s="40" t="s">
        <v>1531</v>
      </c>
      <c r="B21" s="40" t="s">
        <v>1530</v>
      </c>
      <c r="C21" s="40" t="s">
        <v>3160</v>
      </c>
      <c r="D21" s="40" t="s">
        <v>3159</v>
      </c>
      <c r="E21" s="40" t="s">
        <v>3254</v>
      </c>
      <c r="F21" s="40"/>
      <c r="G21" s="39">
        <v>4</v>
      </c>
      <c r="H21" s="39">
        <v>80.375600000000006</v>
      </c>
      <c r="I21" s="39"/>
      <c r="J21" s="39"/>
      <c r="K21" s="39"/>
      <c r="L21" s="39"/>
      <c r="M21" s="39"/>
      <c r="N21" s="39"/>
      <c r="O21" s="39"/>
      <c r="P21" s="39"/>
      <c r="Q21" s="39">
        <v>4</v>
      </c>
      <c r="R21" s="39">
        <v>80.375600000000006</v>
      </c>
      <c r="S21" s="39"/>
      <c r="T21" s="39"/>
      <c r="U21" s="39"/>
    </row>
    <row r="22" spans="1:21">
      <c r="A22" s="40"/>
      <c r="B22" s="40"/>
      <c r="C22" s="40"/>
      <c r="D22" s="40"/>
      <c r="E22" s="40" t="s">
        <v>3307</v>
      </c>
      <c r="F22" s="40"/>
      <c r="G22" s="39">
        <v>67</v>
      </c>
      <c r="H22" s="39">
        <v>1963.0539000000001</v>
      </c>
      <c r="I22" s="39"/>
      <c r="J22" s="39"/>
      <c r="K22" s="39"/>
      <c r="L22" s="39"/>
      <c r="M22" s="39"/>
      <c r="N22" s="39"/>
      <c r="O22" s="39"/>
      <c r="P22" s="39"/>
      <c r="Q22" s="39">
        <v>67</v>
      </c>
      <c r="R22" s="39">
        <v>1963.0539000000001</v>
      </c>
      <c r="S22" s="39"/>
      <c r="T22" s="39"/>
      <c r="U22" s="39"/>
    </row>
    <row r="23" spans="1:21">
      <c r="A23" s="40"/>
      <c r="B23" s="40"/>
      <c r="C23" s="40"/>
      <c r="D23" s="40"/>
      <c r="E23" s="40" t="s">
        <v>3166</v>
      </c>
      <c r="F23" s="40"/>
      <c r="G23" s="39">
        <v>918</v>
      </c>
      <c r="H23" s="39">
        <v>22903.364799999999</v>
      </c>
      <c r="I23" s="39"/>
      <c r="J23" s="39"/>
      <c r="K23" s="39"/>
      <c r="L23" s="39"/>
      <c r="M23" s="39"/>
      <c r="N23" s="39"/>
      <c r="O23" s="39"/>
      <c r="P23" s="39"/>
      <c r="Q23" s="39">
        <v>918</v>
      </c>
      <c r="R23" s="39">
        <v>22903.364799999999</v>
      </c>
      <c r="S23" s="39">
        <v>989</v>
      </c>
      <c r="T23" s="39">
        <v>24946.794300000001</v>
      </c>
      <c r="U23" s="39">
        <v>25.224299999999999</v>
      </c>
    </row>
    <row r="24" spans="1:21">
      <c r="A24" s="40" t="s">
        <v>1526</v>
      </c>
      <c r="B24" s="40" t="s">
        <v>1525</v>
      </c>
      <c r="C24" s="40" t="s">
        <v>3160</v>
      </c>
      <c r="D24" s="40" t="s">
        <v>3159</v>
      </c>
      <c r="E24" s="40" t="s">
        <v>3306</v>
      </c>
      <c r="F24" s="40"/>
      <c r="G24" s="39">
        <v>12</v>
      </c>
      <c r="H24" s="39">
        <v>329.03370000000001</v>
      </c>
      <c r="I24" s="39"/>
      <c r="J24" s="39"/>
      <c r="K24" s="39"/>
      <c r="L24" s="39"/>
      <c r="M24" s="39"/>
      <c r="N24" s="39"/>
      <c r="O24" s="39"/>
      <c r="P24" s="39"/>
      <c r="Q24" s="39">
        <v>12</v>
      </c>
      <c r="R24" s="39">
        <v>329.03370000000001</v>
      </c>
      <c r="S24" s="39"/>
      <c r="T24" s="39"/>
      <c r="U24" s="39"/>
    </row>
    <row r="25" spans="1:21">
      <c r="A25" s="40"/>
      <c r="B25" s="40"/>
      <c r="C25" s="40"/>
      <c r="D25" s="40"/>
      <c r="E25" s="40" t="s">
        <v>3281</v>
      </c>
      <c r="F25" s="40"/>
      <c r="G25" s="39">
        <v>585</v>
      </c>
      <c r="H25" s="39">
        <v>14931.7713</v>
      </c>
      <c r="I25" s="39"/>
      <c r="J25" s="39"/>
      <c r="K25" s="39"/>
      <c r="L25" s="39"/>
      <c r="M25" s="39"/>
      <c r="N25" s="39"/>
      <c r="O25" s="39"/>
      <c r="P25" s="39"/>
      <c r="Q25" s="39">
        <v>585</v>
      </c>
      <c r="R25" s="39">
        <v>14931.7713</v>
      </c>
      <c r="S25" s="39"/>
      <c r="T25" s="39"/>
      <c r="U25" s="39"/>
    </row>
    <row r="26" spans="1:21">
      <c r="A26" s="40"/>
      <c r="B26" s="40"/>
      <c r="C26" s="40"/>
      <c r="D26" s="40"/>
      <c r="E26" s="40" t="s">
        <v>3305</v>
      </c>
      <c r="F26" s="40"/>
      <c r="G26" s="39">
        <v>1029</v>
      </c>
      <c r="H26" s="39">
        <v>26753.687699999999</v>
      </c>
      <c r="I26" s="39"/>
      <c r="J26" s="39"/>
      <c r="K26" s="39"/>
      <c r="L26" s="39"/>
      <c r="M26" s="39"/>
      <c r="N26" s="39"/>
      <c r="O26" s="39"/>
      <c r="P26" s="39"/>
      <c r="Q26" s="39">
        <v>1029</v>
      </c>
      <c r="R26" s="39">
        <v>26753.687699999999</v>
      </c>
      <c r="S26" s="39">
        <v>1626</v>
      </c>
      <c r="T26" s="39">
        <v>42014.492700000003</v>
      </c>
      <c r="U26" s="39">
        <v>25.839200000000002</v>
      </c>
    </row>
    <row r="27" spans="1:21">
      <c r="A27" s="40" t="s">
        <v>1329</v>
      </c>
      <c r="B27" s="40" t="s">
        <v>1328</v>
      </c>
      <c r="C27" s="40" t="s">
        <v>3160</v>
      </c>
      <c r="D27" s="40" t="s">
        <v>3159</v>
      </c>
      <c r="E27" s="40" t="s">
        <v>3304</v>
      </c>
      <c r="F27" s="40"/>
      <c r="G27" s="39">
        <v>5</v>
      </c>
      <c r="H27" s="39">
        <v>334.5265</v>
      </c>
      <c r="I27" s="39"/>
      <c r="J27" s="39"/>
      <c r="K27" s="39"/>
      <c r="L27" s="39"/>
      <c r="M27" s="39"/>
      <c r="N27" s="39"/>
      <c r="O27" s="39"/>
      <c r="P27" s="39"/>
      <c r="Q27" s="39">
        <v>5</v>
      </c>
      <c r="R27" s="39">
        <v>334.5265</v>
      </c>
      <c r="S27" s="39">
        <v>5</v>
      </c>
      <c r="T27" s="39">
        <v>334.5265</v>
      </c>
      <c r="U27" s="39">
        <v>66.905299999999997</v>
      </c>
    </row>
    <row r="28" spans="1:21">
      <c r="A28" s="40" t="s">
        <v>1512</v>
      </c>
      <c r="B28" s="40" t="s">
        <v>1511</v>
      </c>
      <c r="C28" s="40" t="s">
        <v>3160</v>
      </c>
      <c r="D28" s="40" t="s">
        <v>3159</v>
      </c>
      <c r="E28" s="40" t="s">
        <v>3210</v>
      </c>
      <c r="F28" s="40"/>
      <c r="G28" s="39">
        <v>3</v>
      </c>
      <c r="H28" s="39">
        <v>530.60609999999997</v>
      </c>
      <c r="I28" s="39"/>
      <c r="J28" s="39"/>
      <c r="K28" s="39"/>
      <c r="L28" s="39"/>
      <c r="M28" s="39"/>
      <c r="N28" s="39"/>
      <c r="O28" s="39"/>
      <c r="P28" s="39"/>
      <c r="Q28" s="39">
        <v>3</v>
      </c>
      <c r="R28" s="39">
        <v>530.60609999999997</v>
      </c>
      <c r="S28" s="39"/>
      <c r="T28" s="39"/>
      <c r="U28" s="39"/>
    </row>
    <row r="29" spans="1:21">
      <c r="A29" s="40"/>
      <c r="B29" s="40"/>
      <c r="C29" s="40"/>
      <c r="D29" s="40"/>
      <c r="E29" s="40" t="s">
        <v>3194</v>
      </c>
      <c r="F29" s="40"/>
      <c r="G29" s="39">
        <v>3860</v>
      </c>
      <c r="H29" s="39">
        <v>154927.6734</v>
      </c>
      <c r="I29" s="39"/>
      <c r="J29" s="39"/>
      <c r="K29" s="39"/>
      <c r="L29" s="39"/>
      <c r="M29" s="39"/>
      <c r="N29" s="39"/>
      <c r="O29" s="39"/>
      <c r="P29" s="39"/>
      <c r="Q29" s="39">
        <v>3860</v>
      </c>
      <c r="R29" s="39">
        <v>154927.6734</v>
      </c>
      <c r="S29" s="39">
        <v>3863</v>
      </c>
      <c r="T29" s="39">
        <v>155458.2795</v>
      </c>
      <c r="U29" s="39">
        <v>40.242899999999999</v>
      </c>
    </row>
    <row r="30" spans="1:21">
      <c r="A30" s="40" t="s">
        <v>3303</v>
      </c>
      <c r="B30" s="40" t="s">
        <v>3302</v>
      </c>
      <c r="C30" s="40" t="s">
        <v>3160</v>
      </c>
      <c r="D30" s="40" t="s">
        <v>3159</v>
      </c>
      <c r="E30" s="40" t="s">
        <v>3301</v>
      </c>
      <c r="F30" s="40"/>
      <c r="G30" s="39">
        <v>3</v>
      </c>
      <c r="H30" s="39">
        <v>140.57429999999999</v>
      </c>
      <c r="I30" s="39"/>
      <c r="J30" s="39"/>
      <c r="K30" s="39"/>
      <c r="L30" s="39"/>
      <c r="M30" s="39"/>
      <c r="N30" s="39"/>
      <c r="O30" s="39"/>
      <c r="P30" s="39"/>
      <c r="Q30" s="39">
        <v>3</v>
      </c>
      <c r="R30" s="39">
        <v>140.57429999999999</v>
      </c>
      <c r="S30" s="39"/>
      <c r="T30" s="39"/>
      <c r="U30" s="39"/>
    </row>
    <row r="31" spans="1:21">
      <c r="A31" s="40"/>
      <c r="B31" s="40"/>
      <c r="C31" s="40"/>
      <c r="D31" s="40"/>
      <c r="E31" s="40" t="s">
        <v>3300</v>
      </c>
      <c r="F31" s="40"/>
      <c r="G31" s="39">
        <v>1</v>
      </c>
      <c r="H31" s="39">
        <v>46.8581</v>
      </c>
      <c r="I31" s="39"/>
      <c r="J31" s="39"/>
      <c r="K31" s="39"/>
      <c r="L31" s="39"/>
      <c r="M31" s="39"/>
      <c r="N31" s="39"/>
      <c r="O31" s="39"/>
      <c r="P31" s="39"/>
      <c r="Q31" s="39">
        <v>1</v>
      </c>
      <c r="R31" s="39">
        <v>46.8581</v>
      </c>
      <c r="S31" s="39">
        <v>4</v>
      </c>
      <c r="T31" s="39">
        <v>187.4324</v>
      </c>
      <c r="U31" s="39">
        <v>46.8581</v>
      </c>
    </row>
    <row r="32" spans="1:21">
      <c r="A32" s="40" t="s">
        <v>1517</v>
      </c>
      <c r="B32" s="40" t="s">
        <v>1516</v>
      </c>
      <c r="C32" s="40" t="s">
        <v>3160</v>
      </c>
      <c r="D32" s="40" t="s">
        <v>3159</v>
      </c>
      <c r="E32" s="40" t="s">
        <v>3207</v>
      </c>
      <c r="F32" s="40"/>
      <c r="G32" s="39">
        <v>2</v>
      </c>
      <c r="H32" s="39">
        <v>-299.1001</v>
      </c>
      <c r="I32" s="39"/>
      <c r="J32" s="39"/>
      <c r="K32" s="39"/>
      <c r="L32" s="39"/>
      <c r="M32" s="39"/>
      <c r="N32" s="39"/>
      <c r="O32" s="39"/>
      <c r="P32" s="39"/>
      <c r="Q32" s="39">
        <v>2</v>
      </c>
      <c r="R32" s="39">
        <v>-299.1001</v>
      </c>
      <c r="S32" s="39"/>
      <c r="T32" s="39"/>
      <c r="U32" s="39"/>
    </row>
    <row r="33" spans="1:21">
      <c r="A33" s="40"/>
      <c r="B33" s="40"/>
      <c r="C33" s="40"/>
      <c r="D33" s="40"/>
      <c r="E33" s="40" t="s">
        <v>3278</v>
      </c>
      <c r="F33" s="40"/>
      <c r="G33" s="39">
        <v>4</v>
      </c>
      <c r="H33" s="39">
        <v>146.2902</v>
      </c>
      <c r="I33" s="39"/>
      <c r="J33" s="39"/>
      <c r="K33" s="39"/>
      <c r="L33" s="39"/>
      <c r="M33" s="39"/>
      <c r="N33" s="39"/>
      <c r="O33" s="39"/>
      <c r="P33" s="39"/>
      <c r="Q33" s="39">
        <v>4</v>
      </c>
      <c r="R33" s="39">
        <v>146.2902</v>
      </c>
      <c r="S33" s="39"/>
      <c r="T33" s="39"/>
      <c r="U33" s="39"/>
    </row>
    <row r="34" spans="1:21">
      <c r="A34" s="40"/>
      <c r="B34" s="40"/>
      <c r="C34" s="40"/>
      <c r="D34" s="40"/>
      <c r="E34" s="40" t="s">
        <v>3295</v>
      </c>
      <c r="F34" s="40"/>
      <c r="G34" s="39">
        <v>2134</v>
      </c>
      <c r="H34" s="39">
        <v>88148.783899999995</v>
      </c>
      <c r="I34" s="39"/>
      <c r="J34" s="39"/>
      <c r="K34" s="39"/>
      <c r="L34" s="39"/>
      <c r="M34" s="39"/>
      <c r="N34" s="39"/>
      <c r="O34" s="39"/>
      <c r="P34" s="39"/>
      <c r="Q34" s="39">
        <v>2134</v>
      </c>
      <c r="R34" s="39">
        <v>88148.783899999995</v>
      </c>
      <c r="S34" s="39">
        <v>2140</v>
      </c>
      <c r="T34" s="39">
        <v>87995.974000000002</v>
      </c>
      <c r="U34" s="39">
        <v>41.119599999999998</v>
      </c>
    </row>
    <row r="35" spans="1:21">
      <c r="A35" s="40" t="s">
        <v>3299</v>
      </c>
      <c r="B35" s="40" t="s">
        <v>3298</v>
      </c>
      <c r="C35" s="40" t="s">
        <v>3160</v>
      </c>
      <c r="D35" s="40" t="s">
        <v>3159</v>
      </c>
      <c r="E35" s="40" t="s">
        <v>3166</v>
      </c>
      <c r="F35" s="40"/>
      <c r="G35" s="39">
        <v>400</v>
      </c>
      <c r="H35" s="39">
        <v>18813.9427</v>
      </c>
      <c r="I35" s="39"/>
      <c r="J35" s="39"/>
      <c r="K35" s="39"/>
      <c r="L35" s="39"/>
      <c r="M35" s="39"/>
      <c r="N35" s="39"/>
      <c r="O35" s="39"/>
      <c r="P35" s="39"/>
      <c r="Q35" s="39">
        <v>400</v>
      </c>
      <c r="R35" s="39">
        <v>18813.9427</v>
      </c>
      <c r="S35" s="39">
        <v>400</v>
      </c>
      <c r="T35" s="39">
        <v>18813.9427</v>
      </c>
      <c r="U35" s="39">
        <v>47.0349</v>
      </c>
    </row>
    <row r="36" spans="1:21">
      <c r="A36" s="40" t="s">
        <v>3297</v>
      </c>
      <c r="B36" s="40" t="s">
        <v>3296</v>
      </c>
      <c r="C36" s="40" t="s">
        <v>3160</v>
      </c>
      <c r="D36" s="40" t="s">
        <v>3159</v>
      </c>
      <c r="E36" s="40" t="s">
        <v>3162</v>
      </c>
      <c r="F36" s="40"/>
      <c r="G36" s="39">
        <v>814</v>
      </c>
      <c r="H36" s="39">
        <v>46792.517599999999</v>
      </c>
      <c r="I36" s="39"/>
      <c r="J36" s="39"/>
      <c r="K36" s="39"/>
      <c r="L36" s="39"/>
      <c r="M36" s="39"/>
      <c r="N36" s="39"/>
      <c r="O36" s="39"/>
      <c r="P36" s="39"/>
      <c r="Q36" s="39">
        <v>814</v>
      </c>
      <c r="R36" s="39">
        <v>46792.517599999999</v>
      </c>
      <c r="S36" s="39">
        <v>814</v>
      </c>
      <c r="T36" s="39">
        <v>46792.517599999999</v>
      </c>
      <c r="U36" s="39">
        <v>57.484699999999997</v>
      </c>
    </row>
    <row r="37" spans="1:21">
      <c r="A37" s="40" t="s">
        <v>1514</v>
      </c>
      <c r="B37" s="40" t="s">
        <v>1513</v>
      </c>
      <c r="C37" s="40" t="s">
        <v>3160</v>
      </c>
      <c r="D37" s="40" t="s">
        <v>3159</v>
      </c>
      <c r="E37" s="40" t="s">
        <v>3210</v>
      </c>
      <c r="F37" s="40"/>
      <c r="G37" s="39">
        <v>3</v>
      </c>
      <c r="H37" s="39">
        <v>80.609099999999998</v>
      </c>
      <c r="I37" s="39"/>
      <c r="J37" s="39"/>
      <c r="K37" s="39"/>
      <c r="L37" s="39"/>
      <c r="M37" s="39"/>
      <c r="N37" s="39"/>
      <c r="O37" s="39"/>
      <c r="P37" s="39"/>
      <c r="Q37" s="39">
        <v>3</v>
      </c>
      <c r="R37" s="39">
        <v>80.609099999999998</v>
      </c>
      <c r="S37" s="39"/>
      <c r="T37" s="39"/>
      <c r="U37" s="39"/>
    </row>
    <row r="38" spans="1:21">
      <c r="A38" s="40"/>
      <c r="B38" s="40"/>
      <c r="C38" s="40"/>
      <c r="D38" s="40"/>
      <c r="E38" s="40" t="s">
        <v>3295</v>
      </c>
      <c r="F38" s="40"/>
      <c r="G38" s="39">
        <v>3200</v>
      </c>
      <c r="H38" s="39">
        <v>130817.11569999999</v>
      </c>
      <c r="I38" s="39"/>
      <c r="J38" s="39"/>
      <c r="K38" s="39"/>
      <c r="L38" s="39"/>
      <c r="M38" s="39"/>
      <c r="N38" s="39"/>
      <c r="O38" s="39"/>
      <c r="P38" s="39"/>
      <c r="Q38" s="39">
        <v>3200</v>
      </c>
      <c r="R38" s="39">
        <v>130817.11569999999</v>
      </c>
      <c r="S38" s="39">
        <v>3203</v>
      </c>
      <c r="T38" s="39">
        <v>130897.7248</v>
      </c>
      <c r="U38" s="39">
        <v>40.867199999999997</v>
      </c>
    </row>
    <row r="39" spans="1:21">
      <c r="A39" s="40" t="s">
        <v>3294</v>
      </c>
      <c r="B39" s="40" t="s">
        <v>3293</v>
      </c>
      <c r="C39" s="40" t="s">
        <v>3160</v>
      </c>
      <c r="D39" s="40" t="s">
        <v>3159</v>
      </c>
      <c r="E39" s="40" t="s">
        <v>3292</v>
      </c>
      <c r="F39" s="40"/>
      <c r="G39" s="39">
        <v>169</v>
      </c>
      <c r="H39" s="39">
        <v>3467.1702</v>
      </c>
      <c r="I39" s="39"/>
      <c r="J39" s="39"/>
      <c r="K39" s="39"/>
      <c r="L39" s="39"/>
      <c r="M39" s="39"/>
      <c r="N39" s="39"/>
      <c r="O39" s="39"/>
      <c r="P39" s="39"/>
      <c r="Q39" s="39">
        <v>169</v>
      </c>
      <c r="R39" s="39">
        <v>3467.1702</v>
      </c>
      <c r="S39" s="39">
        <v>169</v>
      </c>
      <c r="T39" s="39">
        <v>3467.1702</v>
      </c>
      <c r="U39" s="39">
        <v>20.515799999999999</v>
      </c>
    </row>
    <row r="40" spans="1:21">
      <c r="A40" s="40" t="s">
        <v>1503</v>
      </c>
      <c r="B40" s="40" t="s">
        <v>3291</v>
      </c>
      <c r="C40" s="40" t="s">
        <v>3160</v>
      </c>
      <c r="D40" s="40" t="s">
        <v>3159</v>
      </c>
      <c r="E40" s="40" t="s">
        <v>3290</v>
      </c>
      <c r="F40" s="40"/>
      <c r="G40" s="39">
        <v>47</v>
      </c>
      <c r="H40" s="39">
        <v>2311.6104</v>
      </c>
      <c r="I40" s="39"/>
      <c r="J40" s="39"/>
      <c r="K40" s="39"/>
      <c r="L40" s="39"/>
      <c r="M40" s="39"/>
      <c r="N40" s="39"/>
      <c r="O40" s="39"/>
      <c r="P40" s="39"/>
      <c r="Q40" s="39">
        <v>47</v>
      </c>
      <c r="R40" s="39">
        <v>2311.6104</v>
      </c>
      <c r="S40" s="39">
        <v>47</v>
      </c>
      <c r="T40" s="39">
        <v>2311.6104</v>
      </c>
      <c r="U40" s="39">
        <v>49.183199999999999</v>
      </c>
    </row>
    <row r="41" spans="1:21">
      <c r="A41" s="40" t="s">
        <v>2182</v>
      </c>
      <c r="B41" s="40" t="s">
        <v>3289</v>
      </c>
      <c r="C41" s="40" t="s">
        <v>3160</v>
      </c>
      <c r="D41" s="40" t="s">
        <v>3159</v>
      </c>
      <c r="E41" s="40" t="s">
        <v>3287</v>
      </c>
      <c r="F41" s="40"/>
      <c r="G41" s="39">
        <v>16</v>
      </c>
      <c r="H41" s="39">
        <v>340.53919999999999</v>
      </c>
      <c r="I41" s="39"/>
      <c r="J41" s="39"/>
      <c r="K41" s="39"/>
      <c r="L41" s="39"/>
      <c r="M41" s="39"/>
      <c r="N41" s="39"/>
      <c r="O41" s="39"/>
      <c r="P41" s="39"/>
      <c r="Q41" s="39">
        <v>16</v>
      </c>
      <c r="R41" s="39">
        <v>340.53919999999999</v>
      </c>
      <c r="S41" s="39">
        <v>16</v>
      </c>
      <c r="T41" s="39">
        <v>340.53919999999999</v>
      </c>
      <c r="U41" s="39">
        <v>21.2837</v>
      </c>
    </row>
    <row r="42" spans="1:21">
      <c r="A42" s="40" t="s">
        <v>2181</v>
      </c>
      <c r="B42" s="40" t="s">
        <v>3288</v>
      </c>
      <c r="C42" s="40" t="s">
        <v>3160</v>
      </c>
      <c r="D42" s="40" t="s">
        <v>3159</v>
      </c>
      <c r="E42" s="40" t="s">
        <v>3287</v>
      </c>
      <c r="F42" s="40"/>
      <c r="G42" s="39">
        <v>3</v>
      </c>
      <c r="H42" s="39">
        <v>54.389699999999998</v>
      </c>
      <c r="I42" s="39"/>
      <c r="J42" s="39"/>
      <c r="K42" s="39"/>
      <c r="L42" s="39"/>
      <c r="M42" s="39"/>
      <c r="N42" s="39"/>
      <c r="O42" s="39"/>
      <c r="P42" s="39"/>
      <c r="Q42" s="39">
        <v>3</v>
      </c>
      <c r="R42" s="39">
        <v>54.389699999999998</v>
      </c>
      <c r="S42" s="39">
        <v>3</v>
      </c>
      <c r="T42" s="39">
        <v>54.389699999999998</v>
      </c>
      <c r="U42" s="39">
        <v>18.129899999999999</v>
      </c>
    </row>
    <row r="43" spans="1:21">
      <c r="A43" s="40" t="s">
        <v>1916</v>
      </c>
      <c r="B43" s="40" t="s">
        <v>3286</v>
      </c>
      <c r="C43" s="40" t="s">
        <v>3160</v>
      </c>
      <c r="D43" s="40" t="s">
        <v>3159</v>
      </c>
      <c r="E43" s="40" t="s">
        <v>3285</v>
      </c>
      <c r="F43" s="40"/>
      <c r="G43" s="39">
        <v>3</v>
      </c>
      <c r="H43" s="39">
        <v>32.025199999999998</v>
      </c>
      <c r="I43" s="39"/>
      <c r="J43" s="39"/>
      <c r="K43" s="39"/>
      <c r="L43" s="39"/>
      <c r="M43" s="39"/>
      <c r="N43" s="39"/>
      <c r="O43" s="39"/>
      <c r="P43" s="39"/>
      <c r="Q43" s="39">
        <v>3</v>
      </c>
      <c r="R43" s="39">
        <v>32.025199999999998</v>
      </c>
      <c r="S43" s="39"/>
      <c r="T43" s="39"/>
      <c r="U43" s="39"/>
    </row>
    <row r="44" spans="1:21">
      <c r="A44" s="40"/>
      <c r="B44" s="40"/>
      <c r="C44" s="40"/>
      <c r="D44" s="40"/>
      <c r="E44" s="40" t="s">
        <v>3284</v>
      </c>
      <c r="F44" s="40"/>
      <c r="G44" s="39">
        <v>35</v>
      </c>
      <c r="H44" s="39">
        <v>592.21259999999995</v>
      </c>
      <c r="I44" s="39"/>
      <c r="J44" s="39"/>
      <c r="K44" s="39"/>
      <c r="L44" s="39"/>
      <c r="M44" s="39"/>
      <c r="N44" s="39"/>
      <c r="O44" s="39"/>
      <c r="P44" s="39"/>
      <c r="Q44" s="39">
        <v>35</v>
      </c>
      <c r="R44" s="39">
        <v>592.21259999999995</v>
      </c>
      <c r="S44" s="39">
        <v>38</v>
      </c>
      <c r="T44" s="39">
        <v>624.23779999999999</v>
      </c>
      <c r="U44" s="39">
        <v>16.427299999999999</v>
      </c>
    </row>
    <row r="45" spans="1:21">
      <c r="A45" s="40" t="s">
        <v>1911</v>
      </c>
      <c r="B45" s="40" t="s">
        <v>3283</v>
      </c>
      <c r="C45" s="40" t="s">
        <v>3160</v>
      </c>
      <c r="D45" s="40" t="s">
        <v>3159</v>
      </c>
      <c r="E45" s="40" t="s">
        <v>3278</v>
      </c>
      <c r="F45" s="40"/>
      <c r="G45" s="39">
        <v>227</v>
      </c>
      <c r="H45" s="39">
        <v>3856.5688</v>
      </c>
      <c r="I45" s="39"/>
      <c r="J45" s="39"/>
      <c r="K45" s="39"/>
      <c r="L45" s="39"/>
      <c r="M45" s="39"/>
      <c r="N45" s="39"/>
      <c r="O45" s="39"/>
      <c r="P45" s="39"/>
      <c r="Q45" s="39">
        <v>227</v>
      </c>
      <c r="R45" s="39">
        <v>3856.5688</v>
      </c>
      <c r="S45" s="39">
        <v>227</v>
      </c>
      <c r="T45" s="39">
        <v>3856.5688</v>
      </c>
      <c r="U45" s="39">
        <v>16.9893</v>
      </c>
    </row>
    <row r="46" spans="1:21">
      <c r="A46" s="40" t="s">
        <v>1913</v>
      </c>
      <c r="B46" s="40" t="s">
        <v>3282</v>
      </c>
      <c r="C46" s="40" t="s">
        <v>3160</v>
      </c>
      <c r="D46" s="40" t="s">
        <v>3159</v>
      </c>
      <c r="E46" s="40" t="s">
        <v>3281</v>
      </c>
      <c r="F46" s="40"/>
      <c r="G46" s="39">
        <v>1</v>
      </c>
      <c r="H46" s="39">
        <v>-28.181999999999999</v>
      </c>
      <c r="I46" s="39"/>
      <c r="J46" s="39"/>
      <c r="K46" s="39"/>
      <c r="L46" s="39"/>
      <c r="M46" s="39"/>
      <c r="N46" s="39"/>
      <c r="O46" s="39"/>
      <c r="P46" s="39"/>
      <c r="Q46" s="39">
        <v>1</v>
      </c>
      <c r="R46" s="39">
        <v>-28.181999999999999</v>
      </c>
      <c r="S46" s="39"/>
      <c r="T46" s="39"/>
      <c r="U46" s="39"/>
    </row>
    <row r="47" spans="1:21">
      <c r="A47" s="40"/>
      <c r="B47" s="40"/>
      <c r="C47" s="40"/>
      <c r="D47" s="40"/>
      <c r="E47" s="40" t="s">
        <v>3280</v>
      </c>
      <c r="F47" s="40"/>
      <c r="G47" s="39">
        <v>2</v>
      </c>
      <c r="H47" s="39">
        <v>89.961299999999994</v>
      </c>
      <c r="I47" s="39"/>
      <c r="J47" s="39"/>
      <c r="K47" s="39"/>
      <c r="L47" s="39"/>
      <c r="M47" s="39"/>
      <c r="N47" s="39"/>
      <c r="O47" s="39"/>
      <c r="P47" s="39"/>
      <c r="Q47" s="39">
        <v>2</v>
      </c>
      <c r="R47" s="39">
        <v>89.961299999999994</v>
      </c>
      <c r="S47" s="39"/>
      <c r="T47" s="39"/>
      <c r="U47" s="39"/>
    </row>
    <row r="48" spans="1:21">
      <c r="A48" s="40"/>
      <c r="B48" s="40"/>
      <c r="C48" s="40"/>
      <c r="D48" s="40"/>
      <c r="E48" s="40" t="s">
        <v>3279</v>
      </c>
      <c r="F48" s="40"/>
      <c r="G48" s="39">
        <v>9</v>
      </c>
      <c r="H48" s="39">
        <v>175.69569999999999</v>
      </c>
      <c r="I48" s="39"/>
      <c r="J48" s="39"/>
      <c r="K48" s="39"/>
      <c r="L48" s="39"/>
      <c r="M48" s="39"/>
      <c r="N48" s="39"/>
      <c r="O48" s="39"/>
      <c r="P48" s="39"/>
      <c r="Q48" s="39">
        <v>9</v>
      </c>
      <c r="R48" s="39">
        <v>175.69569999999999</v>
      </c>
      <c r="S48" s="39"/>
      <c r="T48" s="39"/>
      <c r="U48" s="39"/>
    </row>
    <row r="49" spans="1:21">
      <c r="A49" s="40"/>
      <c r="B49" s="40"/>
      <c r="C49" s="40"/>
      <c r="D49" s="40"/>
      <c r="E49" s="40" t="s">
        <v>3278</v>
      </c>
      <c r="F49" s="40"/>
      <c r="G49" s="39">
        <v>43</v>
      </c>
      <c r="H49" s="39">
        <v>1008.1583000000001</v>
      </c>
      <c r="I49" s="39"/>
      <c r="J49" s="39"/>
      <c r="K49" s="39"/>
      <c r="L49" s="39"/>
      <c r="M49" s="39"/>
      <c r="N49" s="39"/>
      <c r="O49" s="39"/>
      <c r="P49" s="39"/>
      <c r="Q49" s="39">
        <v>43</v>
      </c>
      <c r="R49" s="39">
        <v>1008.1583000000001</v>
      </c>
      <c r="S49" s="39">
        <v>55</v>
      </c>
      <c r="T49" s="39">
        <v>1245.6333</v>
      </c>
      <c r="U49" s="39">
        <v>22.6479</v>
      </c>
    </row>
    <row r="50" spans="1:21">
      <c r="A50" s="40" t="s">
        <v>1493</v>
      </c>
      <c r="B50" s="40" t="s">
        <v>3277</v>
      </c>
      <c r="C50" s="40" t="s">
        <v>3160</v>
      </c>
      <c r="D50" s="40" t="s">
        <v>3159</v>
      </c>
      <c r="E50" s="40" t="s">
        <v>3276</v>
      </c>
      <c r="F50" s="40"/>
      <c r="G50" s="39">
        <v>1197</v>
      </c>
      <c r="H50" s="39">
        <v>24749.548900000002</v>
      </c>
      <c r="I50" s="39"/>
      <c r="J50" s="39"/>
      <c r="K50" s="39"/>
      <c r="L50" s="39"/>
      <c r="M50" s="39"/>
      <c r="N50" s="39"/>
      <c r="O50" s="39"/>
      <c r="P50" s="39"/>
      <c r="Q50" s="39">
        <v>1197</v>
      </c>
      <c r="R50" s="39">
        <v>24749.548900000002</v>
      </c>
      <c r="S50" s="39"/>
      <c r="T50" s="39"/>
      <c r="U50" s="39"/>
    </row>
    <row r="51" spans="1:21">
      <c r="A51" s="40"/>
      <c r="B51" s="40"/>
      <c r="C51" s="40"/>
      <c r="D51" s="40"/>
      <c r="E51" s="40" t="s">
        <v>3275</v>
      </c>
      <c r="F51" s="40"/>
      <c r="G51" s="39">
        <v>4450</v>
      </c>
      <c r="H51" s="39">
        <v>90432.209600000002</v>
      </c>
      <c r="I51" s="39"/>
      <c r="J51" s="39"/>
      <c r="K51" s="39"/>
      <c r="L51" s="39"/>
      <c r="M51" s="39"/>
      <c r="N51" s="39"/>
      <c r="O51" s="39"/>
      <c r="P51" s="39"/>
      <c r="Q51" s="39">
        <v>4450</v>
      </c>
      <c r="R51" s="39">
        <v>90432.209600000002</v>
      </c>
      <c r="S51" s="39">
        <v>5647</v>
      </c>
      <c r="T51" s="39">
        <v>115181.7585</v>
      </c>
      <c r="U51" s="39">
        <v>20.396999999999998</v>
      </c>
    </row>
    <row r="52" spans="1:21">
      <c r="A52" s="40" t="s">
        <v>1491</v>
      </c>
      <c r="B52" s="40" t="s">
        <v>3274</v>
      </c>
      <c r="C52" s="40" t="s">
        <v>3160</v>
      </c>
      <c r="D52" s="40" t="s">
        <v>3159</v>
      </c>
      <c r="E52" s="40" t="s">
        <v>3262</v>
      </c>
      <c r="F52" s="40"/>
      <c r="G52" s="39">
        <v>8</v>
      </c>
      <c r="H52" s="39">
        <v>798.96579999999994</v>
      </c>
      <c r="I52" s="39"/>
      <c r="J52" s="39"/>
      <c r="K52" s="39"/>
      <c r="L52" s="39"/>
      <c r="M52" s="39"/>
      <c r="N52" s="39"/>
      <c r="O52" s="39"/>
      <c r="P52" s="39"/>
      <c r="Q52" s="39">
        <v>8</v>
      </c>
      <c r="R52" s="39">
        <v>798.96579999999994</v>
      </c>
      <c r="S52" s="39"/>
      <c r="T52" s="39"/>
      <c r="U52" s="39"/>
    </row>
    <row r="53" spans="1:21">
      <c r="A53" s="40"/>
      <c r="B53" s="40"/>
      <c r="C53" s="40"/>
      <c r="D53" s="40"/>
      <c r="E53" s="40" t="s">
        <v>3273</v>
      </c>
      <c r="F53" s="40"/>
      <c r="G53" s="39">
        <v>775</v>
      </c>
      <c r="H53" s="39">
        <v>15589.2361</v>
      </c>
      <c r="I53" s="39"/>
      <c r="J53" s="39"/>
      <c r="K53" s="39"/>
      <c r="L53" s="39"/>
      <c r="M53" s="39"/>
      <c r="N53" s="39"/>
      <c r="O53" s="39"/>
      <c r="P53" s="39"/>
      <c r="Q53" s="39">
        <v>775</v>
      </c>
      <c r="R53" s="39">
        <v>15589.2361</v>
      </c>
      <c r="S53" s="39"/>
      <c r="T53" s="39"/>
      <c r="U53" s="39"/>
    </row>
    <row r="54" spans="1:21">
      <c r="A54" s="40"/>
      <c r="B54" s="40"/>
      <c r="C54" s="40"/>
      <c r="D54" s="40"/>
      <c r="E54" s="40" t="s">
        <v>3272</v>
      </c>
      <c r="F54" s="40"/>
      <c r="G54" s="39">
        <v>4473</v>
      </c>
      <c r="H54" s="39">
        <v>88596.198699999994</v>
      </c>
      <c r="I54" s="39"/>
      <c r="J54" s="39"/>
      <c r="K54" s="39"/>
      <c r="L54" s="39"/>
      <c r="M54" s="39"/>
      <c r="N54" s="39"/>
      <c r="O54" s="39"/>
      <c r="P54" s="39"/>
      <c r="Q54" s="39">
        <v>4473</v>
      </c>
      <c r="R54" s="39">
        <v>88596.198699999994</v>
      </c>
      <c r="S54" s="39">
        <v>5256</v>
      </c>
      <c r="T54" s="39">
        <v>104984.40059999999</v>
      </c>
      <c r="U54" s="39">
        <v>19.9742</v>
      </c>
    </row>
    <row r="55" spans="1:21">
      <c r="A55" s="40" t="s">
        <v>2165</v>
      </c>
      <c r="B55" s="40" t="s">
        <v>3271</v>
      </c>
      <c r="C55" s="40" t="s">
        <v>3160</v>
      </c>
      <c r="D55" s="40" t="s">
        <v>3159</v>
      </c>
      <c r="E55" s="40" t="s">
        <v>3270</v>
      </c>
      <c r="F55" s="40"/>
      <c r="G55" s="39">
        <v>3</v>
      </c>
      <c r="H55" s="39">
        <v>-201.06540000000001</v>
      </c>
      <c r="I55" s="39"/>
      <c r="J55" s="39"/>
      <c r="K55" s="39"/>
      <c r="L55" s="39"/>
      <c r="M55" s="39"/>
      <c r="N55" s="39"/>
      <c r="O55" s="39"/>
      <c r="P55" s="39"/>
      <c r="Q55" s="39">
        <v>3</v>
      </c>
      <c r="R55" s="39">
        <v>-201.06540000000001</v>
      </c>
      <c r="S55" s="39"/>
      <c r="T55" s="39"/>
      <c r="U55" s="39"/>
    </row>
    <row r="56" spans="1:21">
      <c r="A56" s="40"/>
      <c r="B56" s="40"/>
      <c r="C56" s="40"/>
      <c r="D56" s="40"/>
      <c r="E56" s="40" t="s">
        <v>3266</v>
      </c>
      <c r="F56" s="40"/>
      <c r="G56" s="39">
        <v>4</v>
      </c>
      <c r="H56" s="39">
        <v>3615.9789999999998</v>
      </c>
      <c r="I56" s="39"/>
      <c r="J56" s="39"/>
      <c r="K56" s="39"/>
      <c r="L56" s="39"/>
      <c r="M56" s="39"/>
      <c r="N56" s="39"/>
      <c r="O56" s="39"/>
      <c r="P56" s="39"/>
      <c r="Q56" s="39">
        <v>4</v>
      </c>
      <c r="R56" s="39">
        <v>3615.9789999999998</v>
      </c>
      <c r="S56" s="39"/>
      <c r="T56" s="39"/>
      <c r="U56" s="39"/>
    </row>
    <row r="57" spans="1:21">
      <c r="A57" s="40"/>
      <c r="B57" s="40"/>
      <c r="C57" s="40"/>
      <c r="D57" s="40"/>
      <c r="E57" s="40" t="s">
        <v>3162</v>
      </c>
      <c r="F57" s="40"/>
      <c r="G57" s="39">
        <v>1420</v>
      </c>
      <c r="H57" s="39">
        <v>26908.0088</v>
      </c>
      <c r="I57" s="39"/>
      <c r="J57" s="39"/>
      <c r="K57" s="39"/>
      <c r="L57" s="39"/>
      <c r="M57" s="39"/>
      <c r="N57" s="39"/>
      <c r="O57" s="39"/>
      <c r="P57" s="39"/>
      <c r="Q57" s="39">
        <v>1420</v>
      </c>
      <c r="R57" s="39">
        <v>26908.0088</v>
      </c>
      <c r="S57" s="39"/>
      <c r="T57" s="39"/>
      <c r="U57" s="39"/>
    </row>
    <row r="58" spans="1:21">
      <c r="A58" s="40"/>
      <c r="B58" s="40"/>
      <c r="C58" s="40"/>
      <c r="D58" s="40"/>
      <c r="E58" s="40" t="s">
        <v>3269</v>
      </c>
      <c r="F58" s="40"/>
      <c r="G58" s="39">
        <v>1139</v>
      </c>
      <c r="H58" s="39">
        <v>21071.204699999998</v>
      </c>
      <c r="I58" s="39"/>
      <c r="J58" s="39"/>
      <c r="K58" s="39"/>
      <c r="L58" s="39"/>
      <c r="M58" s="39"/>
      <c r="N58" s="39"/>
      <c r="O58" s="39"/>
      <c r="P58" s="39"/>
      <c r="Q58" s="39">
        <v>1139</v>
      </c>
      <c r="R58" s="39">
        <v>21071.204699999998</v>
      </c>
      <c r="S58" s="39">
        <v>2566</v>
      </c>
      <c r="T58" s="39">
        <v>51394.127099999998</v>
      </c>
      <c r="U58" s="39">
        <v>20.0289</v>
      </c>
    </row>
    <row r="59" spans="1:21">
      <c r="A59" s="40" t="s">
        <v>2163</v>
      </c>
      <c r="B59" s="40" t="s">
        <v>3268</v>
      </c>
      <c r="C59" s="40" t="s">
        <v>3160</v>
      </c>
      <c r="D59" s="40" t="s">
        <v>3159</v>
      </c>
      <c r="E59" s="40" t="s">
        <v>3266</v>
      </c>
      <c r="F59" s="40"/>
      <c r="G59" s="39">
        <v>4</v>
      </c>
      <c r="H59" s="39">
        <v>1697.222</v>
      </c>
      <c r="I59" s="39"/>
      <c r="J59" s="39"/>
      <c r="K59" s="39"/>
      <c r="L59" s="39"/>
      <c r="M59" s="39"/>
      <c r="N59" s="39"/>
      <c r="O59" s="39"/>
      <c r="P59" s="39"/>
      <c r="Q59" s="39">
        <v>4</v>
      </c>
      <c r="R59" s="39">
        <v>1697.222</v>
      </c>
      <c r="S59" s="39"/>
      <c r="T59" s="39"/>
      <c r="U59" s="39"/>
    </row>
    <row r="60" spans="1:21">
      <c r="A60" s="40"/>
      <c r="B60" s="40"/>
      <c r="C60" s="40"/>
      <c r="D60" s="40"/>
      <c r="E60" s="40" t="s">
        <v>3220</v>
      </c>
      <c r="F60" s="40"/>
      <c r="G60" s="39">
        <v>161</v>
      </c>
      <c r="H60" s="39">
        <v>4544.1180999999997</v>
      </c>
      <c r="I60" s="39"/>
      <c r="J60" s="39"/>
      <c r="K60" s="39"/>
      <c r="L60" s="39"/>
      <c r="M60" s="39"/>
      <c r="N60" s="39"/>
      <c r="O60" s="39"/>
      <c r="P60" s="39"/>
      <c r="Q60" s="39">
        <v>161</v>
      </c>
      <c r="R60" s="39">
        <v>4544.1180999999997</v>
      </c>
      <c r="S60" s="39"/>
      <c r="T60" s="39"/>
      <c r="U60" s="39"/>
    </row>
    <row r="61" spans="1:21">
      <c r="A61" s="40"/>
      <c r="B61" s="40"/>
      <c r="C61" s="40"/>
      <c r="D61" s="40"/>
      <c r="E61" s="40" t="s">
        <v>3265</v>
      </c>
      <c r="F61" s="40"/>
      <c r="G61" s="39">
        <v>1347</v>
      </c>
      <c r="H61" s="39">
        <v>24855.002700000001</v>
      </c>
      <c r="I61" s="39"/>
      <c r="J61" s="39"/>
      <c r="K61" s="39"/>
      <c r="L61" s="39"/>
      <c r="M61" s="39"/>
      <c r="N61" s="39"/>
      <c r="O61" s="39"/>
      <c r="P61" s="39"/>
      <c r="Q61" s="39">
        <v>1347</v>
      </c>
      <c r="R61" s="39">
        <v>24855.002700000001</v>
      </c>
      <c r="S61" s="39"/>
      <c r="T61" s="39"/>
      <c r="U61" s="39"/>
    </row>
    <row r="62" spans="1:21">
      <c r="A62" s="40"/>
      <c r="B62" s="40"/>
      <c r="C62" s="40"/>
      <c r="D62" s="40"/>
      <c r="E62" s="40" t="s">
        <v>3264</v>
      </c>
      <c r="F62" s="40"/>
      <c r="G62" s="39">
        <v>2777</v>
      </c>
      <c r="H62" s="39">
        <v>49941.046000000002</v>
      </c>
      <c r="I62" s="39"/>
      <c r="J62" s="39"/>
      <c r="K62" s="39"/>
      <c r="L62" s="39"/>
      <c r="M62" s="39"/>
      <c r="N62" s="39"/>
      <c r="O62" s="39"/>
      <c r="P62" s="39"/>
      <c r="Q62" s="39">
        <v>2777</v>
      </c>
      <c r="R62" s="39">
        <v>49941.046000000002</v>
      </c>
      <c r="S62" s="39">
        <v>4289</v>
      </c>
      <c r="T62" s="39">
        <v>81037.388800000001</v>
      </c>
      <c r="U62" s="39">
        <v>18.894200000000001</v>
      </c>
    </row>
    <row r="63" spans="1:21">
      <c r="A63" s="40" t="s">
        <v>2161</v>
      </c>
      <c r="B63" s="40" t="s">
        <v>3267</v>
      </c>
      <c r="C63" s="40" t="s">
        <v>3160</v>
      </c>
      <c r="D63" s="40" t="s">
        <v>3159</v>
      </c>
      <c r="E63" s="40" t="s">
        <v>3266</v>
      </c>
      <c r="F63" s="40"/>
      <c r="G63" s="39">
        <v>1</v>
      </c>
      <c r="H63" s="39">
        <v>996.41920000000005</v>
      </c>
      <c r="I63" s="39"/>
      <c r="J63" s="39"/>
      <c r="K63" s="39"/>
      <c r="L63" s="39"/>
      <c r="M63" s="39"/>
      <c r="N63" s="39"/>
      <c r="O63" s="39"/>
      <c r="P63" s="39"/>
      <c r="Q63" s="39">
        <v>1</v>
      </c>
      <c r="R63" s="39">
        <v>996.41920000000005</v>
      </c>
      <c r="S63" s="39"/>
      <c r="T63" s="39"/>
      <c r="U63" s="39"/>
    </row>
    <row r="64" spans="1:21">
      <c r="A64" s="40"/>
      <c r="B64" s="40"/>
      <c r="C64" s="40"/>
      <c r="D64" s="40"/>
      <c r="E64" s="40" t="s">
        <v>3223</v>
      </c>
      <c r="F64" s="40"/>
      <c r="G64" s="39">
        <v>25</v>
      </c>
      <c r="H64" s="39">
        <v>818.01819999999998</v>
      </c>
      <c r="I64" s="39"/>
      <c r="J64" s="39"/>
      <c r="K64" s="39"/>
      <c r="L64" s="39"/>
      <c r="M64" s="39"/>
      <c r="N64" s="39"/>
      <c r="O64" s="39"/>
      <c r="P64" s="39"/>
      <c r="Q64" s="39">
        <v>25</v>
      </c>
      <c r="R64" s="39">
        <v>818.01819999999998</v>
      </c>
      <c r="S64" s="39"/>
      <c r="T64" s="39"/>
      <c r="U64" s="39"/>
    </row>
    <row r="65" spans="1:21">
      <c r="A65" s="40"/>
      <c r="B65" s="40"/>
      <c r="C65" s="40"/>
      <c r="D65" s="40"/>
      <c r="E65" s="40" t="s">
        <v>3265</v>
      </c>
      <c r="F65" s="40"/>
      <c r="G65" s="39">
        <v>1043</v>
      </c>
      <c r="H65" s="39">
        <v>19275.9794</v>
      </c>
      <c r="I65" s="39"/>
      <c r="J65" s="39"/>
      <c r="K65" s="39"/>
      <c r="L65" s="39"/>
      <c r="M65" s="39"/>
      <c r="N65" s="39"/>
      <c r="O65" s="39"/>
      <c r="P65" s="39"/>
      <c r="Q65" s="39">
        <v>1043</v>
      </c>
      <c r="R65" s="39">
        <v>19275.9794</v>
      </c>
      <c r="S65" s="39"/>
      <c r="T65" s="39"/>
      <c r="U65" s="39"/>
    </row>
    <row r="66" spans="1:21">
      <c r="A66" s="40"/>
      <c r="B66" s="40"/>
      <c r="C66" s="40"/>
      <c r="D66" s="40"/>
      <c r="E66" s="40" t="s">
        <v>3264</v>
      </c>
      <c r="F66" s="40"/>
      <c r="G66" s="39">
        <v>2674</v>
      </c>
      <c r="H66" s="39">
        <v>49245.849600000001</v>
      </c>
      <c r="I66" s="39"/>
      <c r="J66" s="39"/>
      <c r="K66" s="39"/>
      <c r="L66" s="39"/>
      <c r="M66" s="39"/>
      <c r="N66" s="39"/>
      <c r="O66" s="39"/>
      <c r="P66" s="39"/>
      <c r="Q66" s="39">
        <v>2674</v>
      </c>
      <c r="R66" s="39">
        <v>49245.849600000001</v>
      </c>
      <c r="S66" s="39">
        <v>3743</v>
      </c>
      <c r="T66" s="39">
        <v>70336.266399999993</v>
      </c>
      <c r="U66" s="39">
        <v>18.791399999999999</v>
      </c>
    </row>
    <row r="67" spans="1:21">
      <c r="A67" s="40" t="s">
        <v>2171</v>
      </c>
      <c r="B67" s="40" t="s">
        <v>3263</v>
      </c>
      <c r="C67" s="40" t="s">
        <v>3160</v>
      </c>
      <c r="D67" s="40" t="s">
        <v>3159</v>
      </c>
      <c r="E67" s="40" t="s">
        <v>3262</v>
      </c>
      <c r="F67" s="40"/>
      <c r="G67" s="39">
        <v>1</v>
      </c>
      <c r="H67" s="39">
        <v>-311.99560000000002</v>
      </c>
      <c r="I67" s="39"/>
      <c r="J67" s="39"/>
      <c r="K67" s="39"/>
      <c r="L67" s="39"/>
      <c r="M67" s="39"/>
      <c r="N67" s="39"/>
      <c r="O67" s="39"/>
      <c r="P67" s="39"/>
      <c r="Q67" s="39">
        <v>1</v>
      </c>
      <c r="R67" s="39">
        <v>-311.99560000000002</v>
      </c>
      <c r="S67" s="39"/>
      <c r="T67" s="39"/>
      <c r="U67" s="39"/>
    </row>
    <row r="68" spans="1:21">
      <c r="A68" s="40"/>
      <c r="B68" s="40"/>
      <c r="C68" s="40"/>
      <c r="D68" s="40"/>
      <c r="E68" s="40" t="s">
        <v>3261</v>
      </c>
      <c r="F68" s="40"/>
      <c r="G68" s="39">
        <v>726</v>
      </c>
      <c r="H68" s="39">
        <v>39826.421199999997</v>
      </c>
      <c r="I68" s="39"/>
      <c r="J68" s="39"/>
      <c r="K68" s="39"/>
      <c r="L68" s="39"/>
      <c r="M68" s="39"/>
      <c r="N68" s="39"/>
      <c r="O68" s="39"/>
      <c r="P68" s="39"/>
      <c r="Q68" s="39">
        <v>726</v>
      </c>
      <c r="R68" s="39">
        <v>39826.421199999997</v>
      </c>
      <c r="S68" s="39">
        <v>727</v>
      </c>
      <c r="T68" s="39">
        <v>39514.425600000002</v>
      </c>
      <c r="U68" s="39">
        <v>54.352699999999999</v>
      </c>
    </row>
    <row r="69" spans="1:21">
      <c r="A69" s="40" t="s">
        <v>2169</v>
      </c>
      <c r="B69" s="40" t="s">
        <v>3260</v>
      </c>
      <c r="C69" s="40" t="s">
        <v>3160</v>
      </c>
      <c r="D69" s="40" t="s">
        <v>3159</v>
      </c>
      <c r="E69" s="40" t="s">
        <v>3259</v>
      </c>
      <c r="F69" s="40"/>
      <c r="G69" s="39">
        <v>2</v>
      </c>
      <c r="H69" s="39">
        <v>106.4418</v>
      </c>
      <c r="I69" s="39"/>
      <c r="J69" s="39"/>
      <c r="K69" s="39"/>
      <c r="L69" s="39"/>
      <c r="M69" s="39"/>
      <c r="N69" s="39"/>
      <c r="O69" s="39"/>
      <c r="P69" s="39"/>
      <c r="Q69" s="39">
        <v>2</v>
      </c>
      <c r="R69" s="39">
        <v>106.4418</v>
      </c>
      <c r="S69" s="39"/>
      <c r="T69" s="39"/>
      <c r="U69" s="39"/>
    </row>
    <row r="70" spans="1:21">
      <c r="A70" s="40"/>
      <c r="B70" s="40"/>
      <c r="C70" s="40"/>
      <c r="D70" s="40"/>
      <c r="E70" s="40" t="s">
        <v>3215</v>
      </c>
      <c r="F70" s="40"/>
      <c r="G70" s="39">
        <v>3</v>
      </c>
      <c r="H70" s="39">
        <v>49.1479</v>
      </c>
      <c r="I70" s="39"/>
      <c r="J70" s="39"/>
      <c r="K70" s="39"/>
      <c r="L70" s="39"/>
      <c r="M70" s="39"/>
      <c r="N70" s="39"/>
      <c r="O70" s="39"/>
      <c r="P70" s="39"/>
      <c r="Q70" s="39">
        <v>3</v>
      </c>
      <c r="R70" s="39">
        <v>49.1479</v>
      </c>
      <c r="S70" s="39"/>
      <c r="T70" s="39"/>
      <c r="U70" s="39"/>
    </row>
    <row r="71" spans="1:21">
      <c r="A71" s="40"/>
      <c r="B71" s="40"/>
      <c r="C71" s="40"/>
      <c r="D71" s="40"/>
      <c r="E71" s="40" t="s">
        <v>3258</v>
      </c>
      <c r="F71" s="40"/>
      <c r="G71" s="39">
        <v>1040</v>
      </c>
      <c r="H71" s="39">
        <v>57302.114999999998</v>
      </c>
      <c r="I71" s="39"/>
      <c r="J71" s="39"/>
      <c r="K71" s="39"/>
      <c r="L71" s="39"/>
      <c r="M71" s="39"/>
      <c r="N71" s="39"/>
      <c r="O71" s="39"/>
      <c r="P71" s="39"/>
      <c r="Q71" s="39">
        <v>1040</v>
      </c>
      <c r="R71" s="39">
        <v>57302.114999999998</v>
      </c>
      <c r="S71" s="39">
        <v>1045</v>
      </c>
      <c r="T71" s="39">
        <v>57457.704700000002</v>
      </c>
      <c r="U71" s="39">
        <v>54.983400000000003</v>
      </c>
    </row>
    <row r="72" spans="1:21">
      <c r="A72" s="40" t="s">
        <v>1486</v>
      </c>
      <c r="B72" s="40" t="s">
        <v>3257</v>
      </c>
      <c r="C72" s="40" t="s">
        <v>3160</v>
      </c>
      <c r="D72" s="40" t="s">
        <v>3159</v>
      </c>
      <c r="E72" s="40" t="s">
        <v>3256</v>
      </c>
      <c r="F72" s="40"/>
      <c r="G72" s="39">
        <v>5</v>
      </c>
      <c r="H72" s="39">
        <v>445.6035</v>
      </c>
      <c r="I72" s="39"/>
      <c r="J72" s="39"/>
      <c r="K72" s="39"/>
      <c r="L72" s="39"/>
      <c r="M72" s="39"/>
      <c r="N72" s="39"/>
      <c r="O72" s="39"/>
      <c r="P72" s="39"/>
      <c r="Q72" s="39">
        <v>5</v>
      </c>
      <c r="R72" s="39">
        <v>445.6035</v>
      </c>
      <c r="S72" s="39"/>
      <c r="T72" s="39"/>
      <c r="U72" s="39"/>
    </row>
    <row r="73" spans="1:21">
      <c r="A73" s="40"/>
      <c r="B73" s="40"/>
      <c r="C73" s="40"/>
      <c r="D73" s="40"/>
      <c r="E73" s="40" t="s">
        <v>3253</v>
      </c>
      <c r="F73" s="40"/>
      <c r="G73" s="39">
        <v>137</v>
      </c>
      <c r="H73" s="39">
        <v>7191.0573000000004</v>
      </c>
      <c r="I73" s="39"/>
      <c r="J73" s="39"/>
      <c r="K73" s="39"/>
      <c r="L73" s="39"/>
      <c r="M73" s="39"/>
      <c r="N73" s="39"/>
      <c r="O73" s="39"/>
      <c r="P73" s="39"/>
      <c r="Q73" s="39">
        <v>137</v>
      </c>
      <c r="R73" s="39">
        <v>7191.0573000000004</v>
      </c>
      <c r="S73" s="39"/>
      <c r="T73" s="39"/>
      <c r="U73" s="39"/>
    </row>
    <row r="74" spans="1:21">
      <c r="A74" s="40"/>
      <c r="B74" s="40"/>
      <c r="C74" s="40"/>
      <c r="D74" s="40"/>
      <c r="E74" s="40" t="s">
        <v>3193</v>
      </c>
      <c r="F74" s="40"/>
      <c r="G74" s="39">
        <v>1628</v>
      </c>
      <c r="H74" s="39">
        <v>64913.234100000001</v>
      </c>
      <c r="I74" s="39"/>
      <c r="J74" s="39"/>
      <c r="K74" s="39"/>
      <c r="L74" s="39"/>
      <c r="M74" s="39"/>
      <c r="N74" s="39"/>
      <c r="O74" s="39"/>
      <c r="P74" s="39"/>
      <c r="Q74" s="39">
        <v>1628</v>
      </c>
      <c r="R74" s="39">
        <v>64913.234100000001</v>
      </c>
      <c r="S74" s="39">
        <v>1770</v>
      </c>
      <c r="T74" s="39">
        <v>72549.894899999999</v>
      </c>
      <c r="U74" s="39">
        <v>40.988599999999998</v>
      </c>
    </row>
    <row r="75" spans="1:21">
      <c r="A75" s="40" t="s">
        <v>1484</v>
      </c>
      <c r="B75" s="40" t="s">
        <v>3255</v>
      </c>
      <c r="C75" s="40" t="s">
        <v>3160</v>
      </c>
      <c r="D75" s="40" t="s">
        <v>3159</v>
      </c>
      <c r="E75" s="40" t="s">
        <v>3254</v>
      </c>
      <c r="F75" s="40"/>
      <c r="G75" s="39">
        <v>2</v>
      </c>
      <c r="H75" s="39">
        <v>-290.44139999999999</v>
      </c>
      <c r="I75" s="39"/>
      <c r="J75" s="39"/>
      <c r="K75" s="39"/>
      <c r="L75" s="39"/>
      <c r="M75" s="39"/>
      <c r="N75" s="39"/>
      <c r="O75" s="39"/>
      <c r="P75" s="39"/>
      <c r="Q75" s="39">
        <v>2</v>
      </c>
      <c r="R75" s="39">
        <v>-290.44139999999999</v>
      </c>
      <c r="S75" s="39"/>
      <c r="T75" s="39"/>
      <c r="U75" s="39"/>
    </row>
    <row r="76" spans="1:21">
      <c r="A76" s="40"/>
      <c r="B76" s="40"/>
      <c r="C76" s="40"/>
      <c r="D76" s="40"/>
      <c r="E76" s="40" t="s">
        <v>3194</v>
      </c>
      <c r="F76" s="40"/>
      <c r="G76" s="39">
        <v>3</v>
      </c>
      <c r="H76" s="39">
        <v>-623.37180000000001</v>
      </c>
      <c r="I76" s="39"/>
      <c r="J76" s="39"/>
      <c r="K76" s="39"/>
      <c r="L76" s="39"/>
      <c r="M76" s="39"/>
      <c r="N76" s="39"/>
      <c r="O76" s="39"/>
      <c r="P76" s="39"/>
      <c r="Q76" s="39">
        <v>3</v>
      </c>
      <c r="R76" s="39">
        <v>-623.37180000000001</v>
      </c>
      <c r="S76" s="39"/>
      <c r="T76" s="39"/>
      <c r="U76" s="39"/>
    </row>
    <row r="77" spans="1:21">
      <c r="A77" s="40"/>
      <c r="B77" s="40"/>
      <c r="C77" s="40"/>
      <c r="D77" s="40"/>
      <c r="E77" s="40" t="s">
        <v>3253</v>
      </c>
      <c r="F77" s="40"/>
      <c r="G77" s="39">
        <v>174</v>
      </c>
      <c r="H77" s="39">
        <v>9805.7723999999998</v>
      </c>
      <c r="I77" s="39"/>
      <c r="J77" s="39"/>
      <c r="K77" s="39"/>
      <c r="L77" s="39"/>
      <c r="M77" s="39"/>
      <c r="N77" s="39"/>
      <c r="O77" s="39"/>
      <c r="P77" s="39"/>
      <c r="Q77" s="39">
        <v>174</v>
      </c>
      <c r="R77" s="39">
        <v>9805.7723999999998</v>
      </c>
      <c r="S77" s="39"/>
      <c r="T77" s="39"/>
      <c r="U77" s="39"/>
    </row>
    <row r="78" spans="1:21">
      <c r="A78" s="40"/>
      <c r="B78" s="40"/>
      <c r="C78" s="40"/>
      <c r="D78" s="40"/>
      <c r="E78" s="40" t="s">
        <v>3172</v>
      </c>
      <c r="F78" s="40"/>
      <c r="G78" s="39">
        <v>1540</v>
      </c>
      <c r="H78" s="39">
        <v>57506.448799999998</v>
      </c>
      <c r="I78" s="39"/>
      <c r="J78" s="39"/>
      <c r="K78" s="39"/>
      <c r="L78" s="39"/>
      <c r="M78" s="39"/>
      <c r="N78" s="39"/>
      <c r="O78" s="39"/>
      <c r="P78" s="39"/>
      <c r="Q78" s="39">
        <v>1540</v>
      </c>
      <c r="R78" s="39">
        <v>57506.448799999998</v>
      </c>
      <c r="S78" s="39">
        <v>1719</v>
      </c>
      <c r="T78" s="39">
        <v>66398.407999999996</v>
      </c>
      <c r="U78" s="39">
        <v>38.626199999999997</v>
      </c>
    </row>
    <row r="79" spans="1:21">
      <c r="A79" s="40" t="s">
        <v>2156</v>
      </c>
      <c r="B79" s="40" t="s">
        <v>3252</v>
      </c>
      <c r="C79" s="40" t="s">
        <v>3160</v>
      </c>
      <c r="D79" s="40" t="s">
        <v>3159</v>
      </c>
      <c r="E79" s="40" t="s">
        <v>3251</v>
      </c>
      <c r="F79" s="40"/>
      <c r="G79" s="39">
        <v>6</v>
      </c>
      <c r="H79" s="39">
        <v>-13724.681399999999</v>
      </c>
      <c r="I79" s="39"/>
      <c r="J79" s="39"/>
      <c r="K79" s="39"/>
      <c r="L79" s="39"/>
      <c r="M79" s="39"/>
      <c r="N79" s="39"/>
      <c r="O79" s="39"/>
      <c r="P79" s="39"/>
      <c r="Q79" s="39">
        <v>6</v>
      </c>
      <c r="R79" s="39">
        <v>-13724.681399999999</v>
      </c>
      <c r="S79" s="39"/>
      <c r="T79" s="39"/>
      <c r="U79" s="39"/>
    </row>
    <row r="80" spans="1:21">
      <c r="A80" s="40"/>
      <c r="B80" s="40"/>
      <c r="C80" s="40"/>
      <c r="D80" s="40"/>
      <c r="E80" s="40" t="s">
        <v>3250</v>
      </c>
      <c r="F80" s="40"/>
      <c r="G80" s="39">
        <v>1215</v>
      </c>
      <c r="H80" s="39">
        <v>61188.714899999999</v>
      </c>
      <c r="I80" s="39"/>
      <c r="J80" s="39"/>
      <c r="K80" s="39"/>
      <c r="L80" s="39"/>
      <c r="M80" s="39"/>
      <c r="N80" s="39"/>
      <c r="O80" s="39"/>
      <c r="P80" s="39"/>
      <c r="Q80" s="39">
        <v>1215</v>
      </c>
      <c r="R80" s="39">
        <v>61188.714899999999</v>
      </c>
      <c r="S80" s="39">
        <v>1221</v>
      </c>
      <c r="T80" s="39">
        <v>47464.033499999998</v>
      </c>
      <c r="U80" s="39">
        <v>38.873100000000001</v>
      </c>
    </row>
    <row r="81" spans="1:21">
      <c r="A81" s="40" t="s">
        <v>3249</v>
      </c>
      <c r="B81" s="40" t="s">
        <v>3248</v>
      </c>
      <c r="C81" s="40" t="s">
        <v>3160</v>
      </c>
      <c r="D81" s="40" t="s">
        <v>3159</v>
      </c>
      <c r="E81" s="40" t="s">
        <v>3243</v>
      </c>
      <c r="F81" s="40"/>
      <c r="G81" s="39">
        <v>309</v>
      </c>
      <c r="H81" s="39">
        <v>5971.6001999999999</v>
      </c>
      <c r="I81" s="39"/>
      <c r="J81" s="39"/>
      <c r="K81" s="39"/>
      <c r="L81" s="39"/>
      <c r="M81" s="39"/>
      <c r="N81" s="39"/>
      <c r="O81" s="39"/>
      <c r="P81" s="39"/>
      <c r="Q81" s="39">
        <v>309</v>
      </c>
      <c r="R81" s="39">
        <v>5971.6001999999999</v>
      </c>
      <c r="S81" s="39">
        <v>309</v>
      </c>
      <c r="T81" s="39">
        <v>5971.6001999999999</v>
      </c>
      <c r="U81" s="39">
        <v>19.325600000000001</v>
      </c>
    </row>
    <row r="82" spans="1:21">
      <c r="A82" s="40" t="s">
        <v>3247</v>
      </c>
      <c r="B82" s="40" t="s">
        <v>3246</v>
      </c>
      <c r="C82" s="40" t="s">
        <v>3160</v>
      </c>
      <c r="D82" s="40" t="s">
        <v>3159</v>
      </c>
      <c r="E82" s="40" t="s">
        <v>3243</v>
      </c>
      <c r="F82" s="40"/>
      <c r="G82" s="39">
        <v>381</v>
      </c>
      <c r="H82" s="39">
        <v>7255.5245000000004</v>
      </c>
      <c r="I82" s="39"/>
      <c r="J82" s="39"/>
      <c r="K82" s="39"/>
      <c r="L82" s="39"/>
      <c r="M82" s="39"/>
      <c r="N82" s="39"/>
      <c r="O82" s="39"/>
      <c r="P82" s="39"/>
      <c r="Q82" s="39">
        <v>381</v>
      </c>
      <c r="R82" s="39">
        <v>7255.5245000000004</v>
      </c>
      <c r="S82" s="39">
        <v>381</v>
      </c>
      <c r="T82" s="39">
        <v>7255.5245000000004</v>
      </c>
      <c r="U82" s="39">
        <v>19.043399999999998</v>
      </c>
    </row>
    <row r="83" spans="1:21">
      <c r="A83" s="40" t="s">
        <v>3245</v>
      </c>
      <c r="B83" s="40" t="s">
        <v>3244</v>
      </c>
      <c r="C83" s="40" t="s">
        <v>3160</v>
      </c>
      <c r="D83" s="40" t="s">
        <v>3159</v>
      </c>
      <c r="E83" s="40" t="s">
        <v>3243</v>
      </c>
      <c r="F83" s="40"/>
      <c r="G83" s="39">
        <v>416</v>
      </c>
      <c r="H83" s="39">
        <v>8125.8716999999997</v>
      </c>
      <c r="I83" s="39"/>
      <c r="J83" s="39"/>
      <c r="K83" s="39"/>
      <c r="L83" s="39"/>
      <c r="M83" s="39"/>
      <c r="N83" s="39"/>
      <c r="O83" s="39"/>
      <c r="P83" s="39"/>
      <c r="Q83" s="39">
        <v>416</v>
      </c>
      <c r="R83" s="39">
        <v>8125.8716999999997</v>
      </c>
      <c r="S83" s="39">
        <v>416</v>
      </c>
      <c r="T83" s="39">
        <v>8125.8716999999997</v>
      </c>
      <c r="U83" s="39">
        <v>19.533300000000001</v>
      </c>
    </row>
    <row r="84" spans="1:21">
      <c r="A84" s="40" t="s">
        <v>3242</v>
      </c>
      <c r="B84" s="40" t="s">
        <v>3241</v>
      </c>
      <c r="C84" s="40" t="s">
        <v>3160</v>
      </c>
      <c r="D84" s="40" t="s">
        <v>3159</v>
      </c>
      <c r="E84" s="40" t="s">
        <v>3240</v>
      </c>
      <c r="F84" s="40"/>
      <c r="G84" s="39">
        <v>1201</v>
      </c>
      <c r="H84" s="39">
        <v>58990.6198</v>
      </c>
      <c r="I84" s="39"/>
      <c r="J84" s="39"/>
      <c r="K84" s="39"/>
      <c r="L84" s="39"/>
      <c r="M84" s="39"/>
      <c r="N84" s="39"/>
      <c r="O84" s="39"/>
      <c r="P84" s="39"/>
      <c r="Q84" s="39">
        <v>1201</v>
      </c>
      <c r="R84" s="39">
        <v>58990.6198</v>
      </c>
      <c r="S84" s="39">
        <v>1201</v>
      </c>
      <c r="T84" s="39">
        <v>58990.6198</v>
      </c>
      <c r="U84" s="39">
        <v>49.117899999999999</v>
      </c>
    </row>
    <row r="85" spans="1:21">
      <c r="A85" s="40" t="s">
        <v>3239</v>
      </c>
      <c r="B85" s="40" t="s">
        <v>3238</v>
      </c>
      <c r="C85" s="40" t="s">
        <v>3160</v>
      </c>
      <c r="D85" s="40" t="s">
        <v>3159</v>
      </c>
      <c r="E85" s="40" t="s">
        <v>3235</v>
      </c>
      <c r="F85" s="40"/>
      <c r="G85" s="39">
        <v>3</v>
      </c>
      <c r="H85" s="39">
        <v>1423.9486999999999</v>
      </c>
      <c r="I85" s="39"/>
      <c r="J85" s="39"/>
      <c r="K85" s="39"/>
      <c r="L85" s="39"/>
      <c r="M85" s="39"/>
      <c r="N85" s="39"/>
      <c r="O85" s="39"/>
      <c r="P85" s="39"/>
      <c r="Q85" s="39">
        <v>3</v>
      </c>
      <c r="R85" s="39">
        <v>1423.9486999999999</v>
      </c>
      <c r="S85" s="39"/>
      <c r="T85" s="39"/>
      <c r="U85" s="39"/>
    </row>
    <row r="86" spans="1:21">
      <c r="A86" s="40"/>
      <c r="B86" s="40"/>
      <c r="C86" s="40"/>
      <c r="D86" s="40"/>
      <c r="E86" s="40" t="s">
        <v>3215</v>
      </c>
      <c r="F86" s="40"/>
      <c r="G86" s="39">
        <v>567</v>
      </c>
      <c r="H86" s="39">
        <v>27703.604500000001</v>
      </c>
      <c r="I86" s="39"/>
      <c r="J86" s="39"/>
      <c r="K86" s="39"/>
      <c r="L86" s="39"/>
      <c r="M86" s="39"/>
      <c r="N86" s="39"/>
      <c r="O86" s="39"/>
      <c r="P86" s="39"/>
      <c r="Q86" s="39">
        <v>567</v>
      </c>
      <c r="R86" s="39">
        <v>27703.604500000001</v>
      </c>
      <c r="S86" s="39">
        <v>570</v>
      </c>
      <c r="T86" s="39">
        <v>29127.553199999998</v>
      </c>
      <c r="U86" s="39">
        <v>51.100999999999999</v>
      </c>
    </row>
    <row r="87" spans="1:21">
      <c r="A87" s="40" t="s">
        <v>1704</v>
      </c>
      <c r="B87" s="40" t="s">
        <v>3237</v>
      </c>
      <c r="C87" s="40" t="s">
        <v>3160</v>
      </c>
      <c r="D87" s="40" t="s">
        <v>3159</v>
      </c>
      <c r="E87" s="40" t="s">
        <v>3235</v>
      </c>
      <c r="F87" s="40"/>
      <c r="G87" s="39">
        <v>35</v>
      </c>
      <c r="H87" s="39">
        <v>17.1614</v>
      </c>
      <c r="I87" s="39"/>
      <c r="J87" s="39"/>
      <c r="K87" s="39"/>
      <c r="L87" s="39"/>
      <c r="M87" s="39"/>
      <c r="N87" s="39"/>
      <c r="O87" s="39"/>
      <c r="P87" s="39"/>
      <c r="Q87" s="39">
        <v>35</v>
      </c>
      <c r="R87" s="39">
        <v>17.1614</v>
      </c>
      <c r="S87" s="39"/>
      <c r="T87" s="39"/>
      <c r="U87" s="39"/>
    </row>
    <row r="88" spans="1:21">
      <c r="A88" s="40"/>
      <c r="B88" s="40"/>
      <c r="C88" s="40"/>
      <c r="D88" s="40"/>
      <c r="E88" s="40" t="s">
        <v>3200</v>
      </c>
      <c r="F88" s="40"/>
      <c r="G88" s="39">
        <v>5</v>
      </c>
      <c r="H88" s="39">
        <v>-225.56129999999999</v>
      </c>
      <c r="I88" s="39"/>
      <c r="J88" s="39"/>
      <c r="K88" s="39"/>
      <c r="L88" s="39"/>
      <c r="M88" s="39"/>
      <c r="N88" s="39"/>
      <c r="O88" s="39"/>
      <c r="P88" s="39"/>
      <c r="Q88" s="39">
        <v>5</v>
      </c>
      <c r="R88" s="39">
        <v>-225.56129999999999</v>
      </c>
      <c r="S88" s="39"/>
      <c r="T88" s="39"/>
      <c r="U88" s="39"/>
    </row>
    <row r="89" spans="1:21">
      <c r="A89" s="40"/>
      <c r="B89" s="40"/>
      <c r="C89" s="40"/>
      <c r="D89" s="40"/>
      <c r="E89" s="40" t="s">
        <v>3234</v>
      </c>
      <c r="F89" s="40"/>
      <c r="G89" s="39">
        <v>1062</v>
      </c>
      <c r="H89" s="39">
        <v>36321.9591</v>
      </c>
      <c r="I89" s="39"/>
      <c r="J89" s="39"/>
      <c r="K89" s="39"/>
      <c r="L89" s="39"/>
      <c r="M89" s="39"/>
      <c r="N89" s="39"/>
      <c r="O89" s="39"/>
      <c r="P89" s="39"/>
      <c r="Q89" s="39">
        <v>1062</v>
      </c>
      <c r="R89" s="39">
        <v>36321.9591</v>
      </c>
      <c r="S89" s="39">
        <v>1102</v>
      </c>
      <c r="T89" s="39">
        <v>36113.559200000003</v>
      </c>
      <c r="U89" s="39">
        <v>32.770899999999997</v>
      </c>
    </row>
    <row r="90" spans="1:21">
      <c r="A90" s="40" t="s">
        <v>1713</v>
      </c>
      <c r="B90" s="40" t="s">
        <v>3236</v>
      </c>
      <c r="C90" s="40" t="s">
        <v>3160</v>
      </c>
      <c r="D90" s="40" t="s">
        <v>3159</v>
      </c>
      <c r="E90" s="40" t="s">
        <v>3235</v>
      </c>
      <c r="F90" s="40"/>
      <c r="G90" s="39">
        <v>5</v>
      </c>
      <c r="H90" s="39">
        <v>-1135.5555999999999</v>
      </c>
      <c r="I90" s="39"/>
      <c r="J90" s="39"/>
      <c r="K90" s="39"/>
      <c r="L90" s="39"/>
      <c r="M90" s="39"/>
      <c r="N90" s="39"/>
      <c r="O90" s="39"/>
      <c r="P90" s="39"/>
      <c r="Q90" s="39">
        <v>5</v>
      </c>
      <c r="R90" s="39">
        <v>-1135.5555999999999</v>
      </c>
      <c r="S90" s="39"/>
      <c r="T90" s="39"/>
      <c r="U90" s="39"/>
    </row>
    <row r="91" spans="1:21">
      <c r="A91" s="40"/>
      <c r="B91" s="40"/>
      <c r="C91" s="40"/>
      <c r="D91" s="40"/>
      <c r="E91" s="40" t="s">
        <v>3234</v>
      </c>
      <c r="F91" s="40"/>
      <c r="G91" s="39">
        <v>2577</v>
      </c>
      <c r="H91" s="39">
        <v>87859.468500000003</v>
      </c>
      <c r="I91" s="39"/>
      <c r="J91" s="39"/>
      <c r="K91" s="39"/>
      <c r="L91" s="39"/>
      <c r="M91" s="39"/>
      <c r="N91" s="39"/>
      <c r="O91" s="39"/>
      <c r="P91" s="39"/>
      <c r="Q91" s="39">
        <v>2577</v>
      </c>
      <c r="R91" s="39">
        <v>87859.468500000003</v>
      </c>
      <c r="S91" s="39">
        <v>2582</v>
      </c>
      <c r="T91" s="39">
        <v>86723.912899999996</v>
      </c>
      <c r="U91" s="39">
        <v>33.587899999999998</v>
      </c>
    </row>
    <row r="92" spans="1:21">
      <c r="A92" s="40" t="s">
        <v>1498</v>
      </c>
      <c r="B92" s="40" t="s">
        <v>3233</v>
      </c>
      <c r="C92" s="40" t="s">
        <v>3160</v>
      </c>
      <c r="D92" s="40" t="s">
        <v>3159</v>
      </c>
      <c r="E92" s="40" t="s">
        <v>3232</v>
      </c>
      <c r="F92" s="40"/>
      <c r="G92" s="39">
        <v>492</v>
      </c>
      <c r="H92" s="39">
        <v>11713.5852</v>
      </c>
      <c r="I92" s="39"/>
      <c r="J92" s="39"/>
      <c r="K92" s="39"/>
      <c r="L92" s="39"/>
      <c r="M92" s="39"/>
      <c r="N92" s="39"/>
      <c r="O92" s="39"/>
      <c r="P92" s="39"/>
      <c r="Q92" s="39">
        <v>492</v>
      </c>
      <c r="R92" s="39">
        <v>11713.5852</v>
      </c>
      <c r="S92" s="39">
        <v>492</v>
      </c>
      <c r="T92" s="39">
        <v>11713.5852</v>
      </c>
      <c r="U92" s="39">
        <v>23.8081</v>
      </c>
    </row>
    <row r="93" spans="1:21">
      <c r="A93" s="40" t="s">
        <v>1500</v>
      </c>
      <c r="B93" s="40" t="s">
        <v>3231</v>
      </c>
      <c r="C93" s="40" t="s">
        <v>3160</v>
      </c>
      <c r="D93" s="40" t="s">
        <v>3159</v>
      </c>
      <c r="E93" s="40" t="s">
        <v>3230</v>
      </c>
      <c r="F93" s="40"/>
      <c r="G93" s="39">
        <v>260</v>
      </c>
      <c r="H93" s="39">
        <v>5829.7719999999999</v>
      </c>
      <c r="I93" s="39"/>
      <c r="J93" s="39"/>
      <c r="K93" s="39"/>
      <c r="L93" s="39"/>
      <c r="M93" s="39"/>
      <c r="N93" s="39"/>
      <c r="O93" s="39"/>
      <c r="P93" s="39"/>
      <c r="Q93" s="39">
        <v>260</v>
      </c>
      <c r="R93" s="39">
        <v>5829.7719999999999</v>
      </c>
      <c r="S93" s="39">
        <v>260</v>
      </c>
      <c r="T93" s="39">
        <v>5829.7719999999999</v>
      </c>
      <c r="U93" s="39">
        <v>22.4222</v>
      </c>
    </row>
    <row r="94" spans="1:21">
      <c r="A94" s="40" t="s">
        <v>3229</v>
      </c>
      <c r="B94" s="40" t="s">
        <v>3228</v>
      </c>
      <c r="C94" s="40" t="s">
        <v>3160</v>
      </c>
      <c r="D94" s="40" t="s">
        <v>3159</v>
      </c>
      <c r="E94" s="40" t="s">
        <v>3227</v>
      </c>
      <c r="F94" s="40"/>
      <c r="G94" s="39">
        <v>68</v>
      </c>
      <c r="H94" s="39">
        <v>1941.23</v>
      </c>
      <c r="I94" s="39"/>
      <c r="J94" s="39"/>
      <c r="K94" s="39"/>
      <c r="L94" s="39"/>
      <c r="M94" s="39"/>
      <c r="N94" s="39"/>
      <c r="O94" s="39"/>
      <c r="P94" s="39"/>
      <c r="Q94" s="39">
        <v>68</v>
      </c>
      <c r="R94" s="39">
        <v>1941.23</v>
      </c>
      <c r="S94" s="39">
        <v>68</v>
      </c>
      <c r="T94" s="39">
        <v>1941.23</v>
      </c>
      <c r="U94" s="39">
        <v>28.547499999999999</v>
      </c>
    </row>
    <row r="95" spans="1:21">
      <c r="A95" s="40" t="s">
        <v>3226</v>
      </c>
      <c r="B95" s="40" t="s">
        <v>3225</v>
      </c>
      <c r="C95" s="40" t="s">
        <v>3160</v>
      </c>
      <c r="D95" s="40" t="s">
        <v>3159</v>
      </c>
      <c r="E95" s="40" t="s">
        <v>3224</v>
      </c>
      <c r="F95" s="40"/>
      <c r="G95" s="39">
        <v>1</v>
      </c>
      <c r="H95" s="39">
        <v>328.81380000000001</v>
      </c>
      <c r="I95" s="39"/>
      <c r="J95" s="39"/>
      <c r="K95" s="39"/>
      <c r="L95" s="39"/>
      <c r="M95" s="39"/>
      <c r="N95" s="39"/>
      <c r="O95" s="39"/>
      <c r="P95" s="39"/>
      <c r="Q95" s="39">
        <v>1</v>
      </c>
      <c r="R95" s="39">
        <v>328.81380000000001</v>
      </c>
      <c r="S95" s="39"/>
      <c r="T95" s="39"/>
      <c r="U95" s="39"/>
    </row>
    <row r="96" spans="1:21">
      <c r="A96" s="40"/>
      <c r="B96" s="40"/>
      <c r="C96" s="40"/>
      <c r="D96" s="40"/>
      <c r="E96" s="40" t="s">
        <v>3223</v>
      </c>
      <c r="F96" s="40"/>
      <c r="G96" s="39">
        <v>1</v>
      </c>
      <c r="H96" s="39">
        <v>71.523899999999998</v>
      </c>
      <c r="I96" s="39"/>
      <c r="J96" s="39"/>
      <c r="K96" s="39"/>
      <c r="L96" s="39"/>
      <c r="M96" s="39"/>
      <c r="N96" s="39"/>
      <c r="O96" s="39"/>
      <c r="P96" s="39"/>
      <c r="Q96" s="39">
        <v>1</v>
      </c>
      <c r="R96" s="39">
        <v>71.523899999999998</v>
      </c>
      <c r="S96" s="39"/>
      <c r="T96" s="39"/>
      <c r="U96" s="39"/>
    </row>
    <row r="97" spans="1:21">
      <c r="A97" s="40"/>
      <c r="B97" s="40"/>
      <c r="C97" s="40"/>
      <c r="D97" s="40"/>
      <c r="E97" s="40" t="s">
        <v>3166</v>
      </c>
      <c r="F97" s="40"/>
      <c r="G97" s="39">
        <v>306</v>
      </c>
      <c r="H97" s="39">
        <v>23238.256600000001</v>
      </c>
      <c r="I97" s="39"/>
      <c r="J97" s="39"/>
      <c r="K97" s="39"/>
      <c r="L97" s="39"/>
      <c r="M97" s="39"/>
      <c r="N97" s="39"/>
      <c r="O97" s="39"/>
      <c r="P97" s="39"/>
      <c r="Q97" s="39">
        <v>306</v>
      </c>
      <c r="R97" s="39">
        <v>23238.256600000001</v>
      </c>
      <c r="S97" s="39">
        <v>308</v>
      </c>
      <c r="T97" s="39">
        <v>23638.594300000001</v>
      </c>
      <c r="U97" s="39">
        <v>76.748699999999999</v>
      </c>
    </row>
    <row r="98" spans="1:21">
      <c r="A98" s="40" t="s">
        <v>3222</v>
      </c>
      <c r="B98" s="40" t="s">
        <v>3221</v>
      </c>
      <c r="C98" s="40" t="s">
        <v>3160</v>
      </c>
      <c r="D98" s="40" t="s">
        <v>3159</v>
      </c>
      <c r="E98" s="40" t="s">
        <v>3220</v>
      </c>
      <c r="F98" s="40"/>
      <c r="G98" s="39">
        <v>3639</v>
      </c>
      <c r="H98" s="39">
        <v>73716.631800000003</v>
      </c>
      <c r="I98" s="39"/>
      <c r="J98" s="39"/>
      <c r="K98" s="39"/>
      <c r="L98" s="39"/>
      <c r="M98" s="39"/>
      <c r="N98" s="39"/>
      <c r="O98" s="39"/>
      <c r="P98" s="39"/>
      <c r="Q98" s="39">
        <v>3639</v>
      </c>
      <c r="R98" s="39">
        <v>73716.631800000003</v>
      </c>
      <c r="S98" s="39">
        <v>3639</v>
      </c>
      <c r="T98" s="39">
        <v>73716.631800000003</v>
      </c>
      <c r="U98" s="39">
        <v>20.257400000000001</v>
      </c>
    </row>
    <row r="99" spans="1:21">
      <c r="A99" s="40" t="s">
        <v>3219</v>
      </c>
      <c r="B99" s="40" t="s">
        <v>3218</v>
      </c>
      <c r="C99" s="40" t="s">
        <v>3160</v>
      </c>
      <c r="D99" s="40" t="s">
        <v>3159</v>
      </c>
      <c r="E99" s="40" t="s">
        <v>3215</v>
      </c>
      <c r="F99" s="40"/>
      <c r="G99" s="39">
        <v>2479</v>
      </c>
      <c r="H99" s="39">
        <v>50541.723700000002</v>
      </c>
      <c r="I99" s="39"/>
      <c r="J99" s="39"/>
      <c r="K99" s="39"/>
      <c r="L99" s="39"/>
      <c r="M99" s="39"/>
      <c r="N99" s="39"/>
      <c r="O99" s="39"/>
      <c r="P99" s="39"/>
      <c r="Q99" s="39">
        <v>2479</v>
      </c>
      <c r="R99" s="39">
        <v>50541.723700000002</v>
      </c>
      <c r="S99" s="39">
        <v>2479</v>
      </c>
      <c r="T99" s="39">
        <v>50541.723700000002</v>
      </c>
      <c r="U99" s="39">
        <v>20.387899999999998</v>
      </c>
    </row>
    <row r="100" spans="1:21">
      <c r="A100" s="40" t="s">
        <v>3217</v>
      </c>
      <c r="B100" s="40" t="s">
        <v>3216</v>
      </c>
      <c r="C100" s="40" t="s">
        <v>3160</v>
      </c>
      <c r="D100" s="40" t="s">
        <v>3159</v>
      </c>
      <c r="E100" s="40" t="s">
        <v>3215</v>
      </c>
      <c r="F100" s="40"/>
      <c r="G100" s="39">
        <v>3169</v>
      </c>
      <c r="H100" s="39">
        <v>64221.585800000001</v>
      </c>
      <c r="I100" s="39"/>
      <c r="J100" s="39"/>
      <c r="K100" s="39"/>
      <c r="L100" s="39"/>
      <c r="M100" s="39"/>
      <c r="N100" s="39"/>
      <c r="O100" s="39"/>
      <c r="P100" s="39"/>
      <c r="Q100" s="39">
        <v>3169</v>
      </c>
      <c r="R100" s="39">
        <v>64221.585800000001</v>
      </c>
      <c r="S100" s="39">
        <v>3169</v>
      </c>
      <c r="T100" s="39">
        <v>64221.585800000001</v>
      </c>
      <c r="U100" s="39">
        <v>20.265599999999999</v>
      </c>
    </row>
    <row r="101" spans="1:21">
      <c r="A101" s="40" t="s">
        <v>1541</v>
      </c>
      <c r="B101" s="40" t="s">
        <v>3214</v>
      </c>
      <c r="C101" s="40" t="s">
        <v>3160</v>
      </c>
      <c r="D101" s="40" t="s">
        <v>3159</v>
      </c>
      <c r="E101" s="40" t="s">
        <v>3213</v>
      </c>
      <c r="F101" s="40"/>
      <c r="G101" s="39">
        <v>1365</v>
      </c>
      <c r="H101" s="39">
        <v>53892.93</v>
      </c>
      <c r="I101" s="39"/>
      <c r="J101" s="39"/>
      <c r="K101" s="39"/>
      <c r="L101" s="39"/>
      <c r="M101" s="39"/>
      <c r="N101" s="39"/>
      <c r="O101" s="39"/>
      <c r="P101" s="39"/>
      <c r="Q101" s="39">
        <v>1365</v>
      </c>
      <c r="R101" s="39">
        <v>53892.93</v>
      </c>
      <c r="S101" s="39">
        <v>1365</v>
      </c>
      <c r="T101" s="39">
        <v>53892.93</v>
      </c>
      <c r="U101" s="39">
        <v>39.481999999999999</v>
      </c>
    </row>
    <row r="102" spans="1:21">
      <c r="A102" s="40" t="s">
        <v>3212</v>
      </c>
      <c r="B102" s="40" t="s">
        <v>3211</v>
      </c>
      <c r="C102" s="40" t="s">
        <v>3160</v>
      </c>
      <c r="D102" s="40" t="s">
        <v>3159</v>
      </c>
      <c r="E102" s="40" t="s">
        <v>3210</v>
      </c>
      <c r="F102" s="40"/>
      <c r="G102" s="39">
        <v>26</v>
      </c>
      <c r="H102" s="39">
        <v>2536.2166999999999</v>
      </c>
      <c r="I102" s="39"/>
      <c r="J102" s="39"/>
      <c r="K102" s="39"/>
      <c r="L102" s="39"/>
      <c r="M102" s="39"/>
      <c r="N102" s="39"/>
      <c r="O102" s="39"/>
      <c r="P102" s="39"/>
      <c r="Q102" s="39">
        <v>26</v>
      </c>
      <c r="R102" s="39">
        <v>2536.2166999999999</v>
      </c>
      <c r="S102" s="39">
        <v>26</v>
      </c>
      <c r="T102" s="39">
        <v>2536.2166999999999</v>
      </c>
      <c r="U102" s="39">
        <v>97.546800000000005</v>
      </c>
    </row>
    <row r="103" spans="1:21">
      <c r="A103" s="40" t="s">
        <v>3209</v>
      </c>
      <c r="B103" s="40" t="s">
        <v>3208</v>
      </c>
      <c r="C103" s="40" t="s">
        <v>3160</v>
      </c>
      <c r="D103" s="40" t="s">
        <v>3159</v>
      </c>
      <c r="E103" s="40" t="s">
        <v>3207</v>
      </c>
      <c r="F103" s="40"/>
      <c r="G103" s="39">
        <v>22</v>
      </c>
      <c r="H103" s="39">
        <v>2297.9738000000002</v>
      </c>
      <c r="I103" s="39"/>
      <c r="J103" s="39"/>
      <c r="K103" s="39"/>
      <c r="L103" s="39"/>
      <c r="M103" s="39"/>
      <c r="N103" s="39"/>
      <c r="O103" s="39"/>
      <c r="P103" s="39"/>
      <c r="Q103" s="39">
        <v>22</v>
      </c>
      <c r="R103" s="39">
        <v>2297.9738000000002</v>
      </c>
      <c r="S103" s="39">
        <v>22</v>
      </c>
      <c r="T103" s="39">
        <v>2297.9738000000002</v>
      </c>
      <c r="U103" s="39">
        <v>104.4534</v>
      </c>
    </row>
    <row r="104" spans="1:21">
      <c r="A104" s="40" t="s">
        <v>3206</v>
      </c>
      <c r="B104" s="40" t="s">
        <v>3205</v>
      </c>
      <c r="C104" s="40" t="s">
        <v>3160</v>
      </c>
      <c r="D104" s="40" t="s">
        <v>3159</v>
      </c>
      <c r="E104" s="40" t="s">
        <v>3204</v>
      </c>
      <c r="F104" s="40"/>
      <c r="G104" s="39">
        <v>17</v>
      </c>
      <c r="H104" s="39">
        <v>-12251.1651</v>
      </c>
      <c r="I104" s="39"/>
      <c r="J104" s="39"/>
      <c r="K104" s="39"/>
      <c r="L104" s="39"/>
      <c r="M104" s="39"/>
      <c r="N104" s="39"/>
      <c r="O104" s="39"/>
      <c r="P104" s="39"/>
      <c r="Q104" s="39">
        <v>17</v>
      </c>
      <c r="R104" s="39">
        <v>-12251.1651</v>
      </c>
      <c r="S104" s="39">
        <v>17</v>
      </c>
      <c r="T104" s="39">
        <v>-12251.1651</v>
      </c>
      <c r="U104" s="39" t="s">
        <v>3203</v>
      </c>
    </row>
    <row r="105" spans="1:21">
      <c r="A105" s="40" t="s">
        <v>3202</v>
      </c>
      <c r="B105" s="40" t="s">
        <v>3201</v>
      </c>
      <c r="C105" s="40" t="s">
        <v>3160</v>
      </c>
      <c r="D105" s="40" t="s">
        <v>3159</v>
      </c>
      <c r="E105" s="40" t="s">
        <v>3200</v>
      </c>
      <c r="F105" s="40"/>
      <c r="G105" s="39">
        <v>1746</v>
      </c>
      <c r="H105" s="39">
        <v>63896.6924</v>
      </c>
      <c r="I105" s="39"/>
      <c r="J105" s="39"/>
      <c r="K105" s="39"/>
      <c r="L105" s="39"/>
      <c r="M105" s="39"/>
      <c r="N105" s="39"/>
      <c r="O105" s="39"/>
      <c r="P105" s="39"/>
      <c r="Q105" s="39">
        <v>1746</v>
      </c>
      <c r="R105" s="39">
        <v>63896.6924</v>
      </c>
      <c r="S105" s="39">
        <v>1746</v>
      </c>
      <c r="T105" s="39">
        <v>63896.6924</v>
      </c>
      <c r="U105" s="39">
        <v>36.595999999999997</v>
      </c>
    </row>
    <row r="106" spans="1:21">
      <c r="A106" s="40" t="s">
        <v>3199</v>
      </c>
      <c r="B106" s="40" t="s">
        <v>3198</v>
      </c>
      <c r="C106" s="40" t="s">
        <v>3160</v>
      </c>
      <c r="D106" s="40" t="s">
        <v>3159</v>
      </c>
      <c r="E106" s="40" t="s">
        <v>3197</v>
      </c>
      <c r="F106" s="40"/>
      <c r="G106" s="39">
        <v>118</v>
      </c>
      <c r="H106" s="39">
        <v>2243.877</v>
      </c>
      <c r="I106" s="39"/>
      <c r="J106" s="39"/>
      <c r="K106" s="39"/>
      <c r="L106" s="39"/>
      <c r="M106" s="39"/>
      <c r="N106" s="39"/>
      <c r="O106" s="39"/>
      <c r="P106" s="39"/>
      <c r="Q106" s="39">
        <v>118</v>
      </c>
      <c r="R106" s="39">
        <v>2243.877</v>
      </c>
      <c r="S106" s="39"/>
      <c r="T106" s="39"/>
      <c r="U106" s="39"/>
    </row>
    <row r="107" spans="1:21">
      <c r="A107" s="40"/>
      <c r="B107" s="40"/>
      <c r="C107" s="40"/>
      <c r="D107" s="40"/>
      <c r="E107" s="40" t="s">
        <v>3172</v>
      </c>
      <c r="F107" s="40"/>
      <c r="G107" s="39">
        <v>984</v>
      </c>
      <c r="H107" s="39">
        <v>18627.386399999999</v>
      </c>
      <c r="I107" s="39"/>
      <c r="J107" s="39"/>
      <c r="K107" s="39"/>
      <c r="L107" s="39"/>
      <c r="M107" s="39"/>
      <c r="N107" s="39"/>
      <c r="O107" s="39"/>
      <c r="P107" s="39"/>
      <c r="Q107" s="39">
        <v>984</v>
      </c>
      <c r="R107" s="39">
        <v>18627.386399999999</v>
      </c>
      <c r="S107" s="39">
        <v>1102</v>
      </c>
      <c r="T107" s="39">
        <v>20871.2634</v>
      </c>
      <c r="U107" s="39">
        <v>18.939399999999999</v>
      </c>
    </row>
    <row r="108" spans="1:21">
      <c r="A108" s="40" t="s">
        <v>3196</v>
      </c>
      <c r="B108" s="40" t="s">
        <v>3195</v>
      </c>
      <c r="C108" s="40" t="s">
        <v>3160</v>
      </c>
      <c r="D108" s="40" t="s">
        <v>3159</v>
      </c>
      <c r="E108" s="40" t="s">
        <v>3194</v>
      </c>
      <c r="F108" s="40"/>
      <c r="G108" s="39">
        <v>295</v>
      </c>
      <c r="H108" s="39">
        <v>5926.6081999999997</v>
      </c>
      <c r="I108" s="39"/>
      <c r="J108" s="39"/>
      <c r="K108" s="39"/>
      <c r="L108" s="39"/>
      <c r="M108" s="39"/>
      <c r="N108" s="39"/>
      <c r="O108" s="39"/>
      <c r="P108" s="39"/>
      <c r="Q108" s="39">
        <v>295</v>
      </c>
      <c r="R108" s="39">
        <v>5926.6081999999997</v>
      </c>
      <c r="S108" s="39"/>
      <c r="T108" s="39"/>
      <c r="U108" s="39"/>
    </row>
    <row r="109" spans="1:21">
      <c r="A109" s="40"/>
      <c r="B109" s="40"/>
      <c r="C109" s="40"/>
      <c r="D109" s="40"/>
      <c r="E109" s="40" t="s">
        <v>3193</v>
      </c>
      <c r="F109" s="40"/>
      <c r="G109" s="39">
        <v>1581</v>
      </c>
      <c r="H109" s="39">
        <v>30984.396199999999</v>
      </c>
      <c r="I109" s="39"/>
      <c r="J109" s="39"/>
      <c r="K109" s="39"/>
      <c r="L109" s="39"/>
      <c r="M109" s="39"/>
      <c r="N109" s="39"/>
      <c r="O109" s="39"/>
      <c r="P109" s="39"/>
      <c r="Q109" s="39">
        <v>1581</v>
      </c>
      <c r="R109" s="39">
        <v>30984.396199999999</v>
      </c>
      <c r="S109" s="39">
        <v>1876</v>
      </c>
      <c r="T109" s="39">
        <v>36911.004399999998</v>
      </c>
      <c r="U109" s="39">
        <v>19.6754</v>
      </c>
    </row>
    <row r="110" spans="1:21">
      <c r="A110" s="40" t="s">
        <v>3192</v>
      </c>
      <c r="B110" s="40" t="s">
        <v>3191</v>
      </c>
      <c r="C110" s="40" t="s">
        <v>3160</v>
      </c>
      <c r="D110" s="40" t="s">
        <v>3159</v>
      </c>
      <c r="E110" s="40" t="s">
        <v>3190</v>
      </c>
      <c r="F110" s="40"/>
      <c r="G110" s="39">
        <v>4970</v>
      </c>
      <c r="H110" s="39">
        <v>188021.83979999999</v>
      </c>
      <c r="I110" s="39"/>
      <c r="J110" s="39"/>
      <c r="K110" s="39"/>
      <c r="L110" s="39"/>
      <c r="M110" s="39"/>
      <c r="N110" s="39"/>
      <c r="O110" s="39"/>
      <c r="P110" s="39"/>
      <c r="Q110" s="39">
        <v>4970</v>
      </c>
      <c r="R110" s="39">
        <v>188021.83979999999</v>
      </c>
      <c r="S110" s="39">
        <v>4970</v>
      </c>
      <c r="T110" s="39">
        <v>188021.83979999999</v>
      </c>
      <c r="U110" s="39">
        <v>37.831400000000002</v>
      </c>
    </row>
    <row r="111" spans="1:21">
      <c r="A111" s="40" t="s">
        <v>3189</v>
      </c>
      <c r="B111" s="40" t="s">
        <v>3188</v>
      </c>
      <c r="C111" s="40" t="s">
        <v>3160</v>
      </c>
      <c r="D111" s="40" t="s">
        <v>3159</v>
      </c>
      <c r="E111" s="40" t="s">
        <v>3183</v>
      </c>
      <c r="F111" s="40"/>
      <c r="G111" s="39">
        <v>3894</v>
      </c>
      <c r="H111" s="39">
        <v>133720.32339999999</v>
      </c>
      <c r="I111" s="39"/>
      <c r="J111" s="39"/>
      <c r="K111" s="39"/>
      <c r="L111" s="39"/>
      <c r="M111" s="39"/>
      <c r="N111" s="39"/>
      <c r="O111" s="39"/>
      <c r="P111" s="39"/>
      <c r="Q111" s="39">
        <v>3894</v>
      </c>
      <c r="R111" s="39">
        <v>133720.32339999999</v>
      </c>
      <c r="S111" s="39">
        <v>3894</v>
      </c>
      <c r="T111" s="39">
        <v>133720.32339999999</v>
      </c>
      <c r="U111" s="39">
        <v>34.3401</v>
      </c>
    </row>
    <row r="112" spans="1:21">
      <c r="A112" s="40" t="s">
        <v>3187</v>
      </c>
      <c r="B112" s="40" t="s">
        <v>3186</v>
      </c>
      <c r="C112" s="40" t="s">
        <v>3160</v>
      </c>
      <c r="D112" s="40" t="s">
        <v>3159</v>
      </c>
      <c r="E112" s="40" t="s">
        <v>3183</v>
      </c>
      <c r="F112" s="40"/>
      <c r="G112" s="39">
        <v>3158</v>
      </c>
      <c r="H112" s="39">
        <v>109351.022</v>
      </c>
      <c r="I112" s="39"/>
      <c r="J112" s="39"/>
      <c r="K112" s="39"/>
      <c r="L112" s="39"/>
      <c r="M112" s="39"/>
      <c r="N112" s="39"/>
      <c r="O112" s="39"/>
      <c r="P112" s="39"/>
      <c r="Q112" s="39">
        <v>3158</v>
      </c>
      <c r="R112" s="39">
        <v>109351.022</v>
      </c>
      <c r="S112" s="39">
        <v>3158</v>
      </c>
      <c r="T112" s="39">
        <v>109351.022</v>
      </c>
      <c r="U112" s="39">
        <v>34.6267</v>
      </c>
    </row>
    <row r="113" spans="1:21">
      <c r="A113" s="40" t="s">
        <v>3185</v>
      </c>
      <c r="B113" s="40" t="s">
        <v>3184</v>
      </c>
      <c r="C113" s="40" t="s">
        <v>3160</v>
      </c>
      <c r="D113" s="40" t="s">
        <v>3159</v>
      </c>
      <c r="E113" s="40" t="s">
        <v>3183</v>
      </c>
      <c r="F113" s="40"/>
      <c r="G113" s="39">
        <v>6180</v>
      </c>
      <c r="H113" s="39">
        <v>210189.39540000001</v>
      </c>
      <c r="I113" s="39"/>
      <c r="J113" s="39"/>
      <c r="K113" s="39"/>
      <c r="L113" s="39"/>
      <c r="M113" s="39"/>
      <c r="N113" s="39"/>
      <c r="O113" s="39"/>
      <c r="P113" s="39"/>
      <c r="Q113" s="39">
        <v>6180</v>
      </c>
      <c r="R113" s="39">
        <v>210189.39540000001</v>
      </c>
      <c r="S113" s="39">
        <v>6180</v>
      </c>
      <c r="T113" s="39">
        <v>210189.39540000001</v>
      </c>
      <c r="U113" s="39">
        <v>34.011200000000002</v>
      </c>
    </row>
    <row r="114" spans="1:21">
      <c r="A114" s="40" t="s">
        <v>3182</v>
      </c>
      <c r="B114" s="40" t="s">
        <v>3181</v>
      </c>
      <c r="C114" s="40" t="s">
        <v>3160</v>
      </c>
      <c r="D114" s="40" t="s">
        <v>3159</v>
      </c>
      <c r="E114" s="40" t="s">
        <v>3178</v>
      </c>
      <c r="F114" s="40"/>
      <c r="G114" s="39">
        <v>1836</v>
      </c>
      <c r="H114" s="39">
        <v>30389.633699999998</v>
      </c>
      <c r="I114" s="39"/>
      <c r="J114" s="39"/>
      <c r="K114" s="39"/>
      <c r="L114" s="39"/>
      <c r="M114" s="39"/>
      <c r="N114" s="39"/>
      <c r="O114" s="39"/>
      <c r="P114" s="39"/>
      <c r="Q114" s="39">
        <v>1836</v>
      </c>
      <c r="R114" s="39">
        <v>30389.633699999998</v>
      </c>
      <c r="S114" s="39">
        <v>1836</v>
      </c>
      <c r="T114" s="39">
        <v>30389.633699999998</v>
      </c>
      <c r="U114" s="39">
        <v>16.552099999999999</v>
      </c>
    </row>
    <row r="115" spans="1:21">
      <c r="A115" s="40" t="s">
        <v>3180</v>
      </c>
      <c r="B115" s="40" t="s">
        <v>3179</v>
      </c>
      <c r="C115" s="40" t="s">
        <v>3160</v>
      </c>
      <c r="D115" s="40" t="s">
        <v>3159</v>
      </c>
      <c r="E115" s="40" t="s">
        <v>3178</v>
      </c>
      <c r="F115" s="40"/>
      <c r="G115" s="39">
        <v>3744</v>
      </c>
      <c r="H115" s="39">
        <v>61739.762699999999</v>
      </c>
      <c r="I115" s="39"/>
      <c r="J115" s="39"/>
      <c r="K115" s="39"/>
      <c r="L115" s="39"/>
      <c r="M115" s="39"/>
      <c r="N115" s="39"/>
      <c r="O115" s="39"/>
      <c r="P115" s="39"/>
      <c r="Q115" s="39">
        <v>3744</v>
      </c>
      <c r="R115" s="39">
        <v>61739.762699999999</v>
      </c>
      <c r="S115" s="39">
        <v>3744</v>
      </c>
      <c r="T115" s="39">
        <v>61739.762699999999</v>
      </c>
      <c r="U115" s="39">
        <v>16.490300000000001</v>
      </c>
    </row>
    <row r="116" spans="1:21">
      <c r="A116" s="40" t="s">
        <v>3177</v>
      </c>
      <c r="B116" s="40" t="s">
        <v>3176</v>
      </c>
      <c r="C116" s="40" t="s">
        <v>3160</v>
      </c>
      <c r="D116" s="40" t="s">
        <v>3159</v>
      </c>
      <c r="E116" s="40" t="s">
        <v>3175</v>
      </c>
      <c r="F116" s="40"/>
      <c r="G116" s="39">
        <v>3288</v>
      </c>
      <c r="H116" s="39">
        <v>54579.164799999999</v>
      </c>
      <c r="I116" s="39"/>
      <c r="J116" s="39"/>
      <c r="K116" s="39"/>
      <c r="L116" s="39"/>
      <c r="M116" s="39"/>
      <c r="N116" s="39"/>
      <c r="O116" s="39"/>
      <c r="P116" s="39"/>
      <c r="Q116" s="39">
        <v>3288</v>
      </c>
      <c r="R116" s="39">
        <v>54579.164799999999</v>
      </c>
      <c r="S116" s="39">
        <v>3288</v>
      </c>
      <c r="T116" s="39">
        <v>54579.164799999999</v>
      </c>
      <c r="U116" s="39">
        <v>16.599499999999999</v>
      </c>
    </row>
    <row r="117" spans="1:21">
      <c r="A117" s="40" t="s">
        <v>3174</v>
      </c>
      <c r="B117" s="40" t="s">
        <v>3173</v>
      </c>
      <c r="C117" s="40" t="s">
        <v>3160</v>
      </c>
      <c r="D117" s="40" t="s">
        <v>3159</v>
      </c>
      <c r="E117" s="40" t="s">
        <v>3162</v>
      </c>
      <c r="F117" s="40"/>
      <c r="G117" s="39">
        <v>1140</v>
      </c>
      <c r="H117" s="39">
        <v>27542.792700000002</v>
      </c>
      <c r="I117" s="39"/>
      <c r="J117" s="39"/>
      <c r="K117" s="39"/>
      <c r="L117" s="39"/>
      <c r="M117" s="39"/>
      <c r="N117" s="39"/>
      <c r="O117" s="39"/>
      <c r="P117" s="39"/>
      <c r="Q117" s="39">
        <v>1140</v>
      </c>
      <c r="R117" s="39">
        <v>27542.792700000002</v>
      </c>
      <c r="S117" s="39"/>
      <c r="T117" s="39"/>
      <c r="U117" s="39"/>
    </row>
    <row r="118" spans="1:21">
      <c r="A118" s="40"/>
      <c r="B118" s="40"/>
      <c r="C118" s="40"/>
      <c r="D118" s="40"/>
      <c r="E118" s="40" t="s">
        <v>3172</v>
      </c>
      <c r="F118" s="40"/>
      <c r="G118" s="39">
        <v>3080</v>
      </c>
      <c r="H118" s="39">
        <v>66744.548500000004</v>
      </c>
      <c r="I118" s="39"/>
      <c r="J118" s="39"/>
      <c r="K118" s="39"/>
      <c r="L118" s="39"/>
      <c r="M118" s="39"/>
      <c r="N118" s="39"/>
      <c r="O118" s="39"/>
      <c r="P118" s="39"/>
      <c r="Q118" s="39">
        <v>3080</v>
      </c>
      <c r="R118" s="39">
        <v>66744.548500000004</v>
      </c>
      <c r="S118" s="39">
        <v>4220</v>
      </c>
      <c r="T118" s="39">
        <v>94287.341199999995</v>
      </c>
      <c r="U118" s="39">
        <v>22.343</v>
      </c>
    </row>
    <row r="119" spans="1:21">
      <c r="A119" s="40" t="s">
        <v>3171</v>
      </c>
      <c r="B119" s="40" t="s">
        <v>3170</v>
      </c>
      <c r="C119" s="40" t="s">
        <v>3160</v>
      </c>
      <c r="D119" s="40" t="s">
        <v>3159</v>
      </c>
      <c r="E119" s="40" t="s">
        <v>3169</v>
      </c>
      <c r="F119" s="40"/>
      <c r="G119" s="39">
        <v>1777</v>
      </c>
      <c r="H119" s="39">
        <v>195987.209</v>
      </c>
      <c r="I119" s="39"/>
      <c r="J119" s="39"/>
      <c r="K119" s="39"/>
      <c r="L119" s="39"/>
      <c r="M119" s="39"/>
      <c r="N119" s="39"/>
      <c r="O119" s="39"/>
      <c r="P119" s="39"/>
      <c r="Q119" s="39">
        <v>1777</v>
      </c>
      <c r="R119" s="39">
        <v>195987.209</v>
      </c>
      <c r="S119" s="39">
        <v>1777</v>
      </c>
      <c r="T119" s="39">
        <v>195987.209</v>
      </c>
      <c r="U119" s="39">
        <v>110.2911</v>
      </c>
    </row>
    <row r="120" spans="1:21">
      <c r="A120" s="40" t="s">
        <v>1506</v>
      </c>
      <c r="B120" s="40" t="s">
        <v>1505</v>
      </c>
      <c r="C120" s="40" t="s">
        <v>3160</v>
      </c>
      <c r="D120" s="40" t="s">
        <v>3159</v>
      </c>
      <c r="E120" s="40" t="s">
        <v>3167</v>
      </c>
      <c r="F120" s="40"/>
      <c r="G120" s="39">
        <v>1</v>
      </c>
      <c r="H120" s="39">
        <v>-38.028799999999997</v>
      </c>
      <c r="I120" s="39"/>
      <c r="J120" s="39"/>
      <c r="K120" s="39"/>
      <c r="L120" s="39"/>
      <c r="M120" s="39"/>
      <c r="N120" s="39"/>
      <c r="O120" s="39"/>
      <c r="P120" s="39"/>
      <c r="Q120" s="39">
        <v>1</v>
      </c>
      <c r="R120" s="39">
        <v>-38.028799999999997</v>
      </c>
      <c r="S120" s="39"/>
      <c r="T120" s="39"/>
      <c r="U120" s="39"/>
    </row>
    <row r="121" spans="1:21">
      <c r="A121" s="40"/>
      <c r="B121" s="40"/>
      <c r="C121" s="40"/>
      <c r="D121" s="40"/>
      <c r="E121" s="40" t="s">
        <v>3168</v>
      </c>
      <c r="F121" s="40"/>
      <c r="G121" s="39">
        <v>18</v>
      </c>
      <c r="H121" s="39">
        <v>414.15600000000001</v>
      </c>
      <c r="I121" s="39"/>
      <c r="J121" s="39"/>
      <c r="K121" s="39"/>
      <c r="L121" s="39"/>
      <c r="M121" s="39"/>
      <c r="N121" s="39"/>
      <c r="O121" s="39"/>
      <c r="P121" s="39"/>
      <c r="Q121" s="39">
        <v>18</v>
      </c>
      <c r="R121" s="39">
        <v>414.15600000000001</v>
      </c>
      <c r="S121" s="39"/>
      <c r="T121" s="39"/>
      <c r="U121" s="39"/>
    </row>
    <row r="122" spans="1:21">
      <c r="A122" s="40"/>
      <c r="B122" s="40"/>
      <c r="C122" s="40"/>
      <c r="D122" s="40"/>
      <c r="E122" s="40" t="s">
        <v>3166</v>
      </c>
      <c r="F122" s="40"/>
      <c r="G122" s="39">
        <v>650</v>
      </c>
      <c r="H122" s="39">
        <v>16087.4722</v>
      </c>
      <c r="I122" s="39"/>
      <c r="J122" s="39"/>
      <c r="K122" s="39"/>
      <c r="L122" s="39"/>
      <c r="M122" s="39"/>
      <c r="N122" s="39"/>
      <c r="O122" s="39"/>
      <c r="P122" s="39"/>
      <c r="Q122" s="39">
        <v>650</v>
      </c>
      <c r="R122" s="39">
        <v>16087.4722</v>
      </c>
      <c r="S122" s="39">
        <v>669</v>
      </c>
      <c r="T122" s="39">
        <v>16463.599399999999</v>
      </c>
      <c r="U122" s="39">
        <v>24.609300000000001</v>
      </c>
    </row>
    <row r="123" spans="1:21">
      <c r="A123" s="40" t="s">
        <v>1510</v>
      </c>
      <c r="B123" s="40" t="s">
        <v>1509</v>
      </c>
      <c r="C123" s="40" t="s">
        <v>3160</v>
      </c>
      <c r="D123" s="40" t="s">
        <v>3159</v>
      </c>
      <c r="E123" s="40" t="s">
        <v>3168</v>
      </c>
      <c r="F123" s="40"/>
      <c r="G123" s="39">
        <v>1237</v>
      </c>
      <c r="H123" s="39">
        <v>31379.606299999999</v>
      </c>
      <c r="I123" s="39"/>
      <c r="J123" s="39"/>
      <c r="K123" s="39"/>
      <c r="L123" s="39"/>
      <c r="M123" s="39"/>
      <c r="N123" s="39"/>
      <c r="O123" s="39"/>
      <c r="P123" s="39"/>
      <c r="Q123" s="39">
        <v>1237</v>
      </c>
      <c r="R123" s="39">
        <v>31379.606299999999</v>
      </c>
      <c r="S123" s="39"/>
      <c r="T123" s="39"/>
      <c r="U123" s="39"/>
    </row>
    <row r="124" spans="1:21">
      <c r="A124" s="40"/>
      <c r="B124" s="40"/>
      <c r="C124" s="40"/>
      <c r="D124" s="40"/>
      <c r="E124" s="40" t="s">
        <v>3166</v>
      </c>
      <c r="F124" s="40"/>
      <c r="G124" s="39">
        <v>1435</v>
      </c>
      <c r="H124" s="39">
        <v>35755.341</v>
      </c>
      <c r="I124" s="39"/>
      <c r="J124" s="39"/>
      <c r="K124" s="39"/>
      <c r="L124" s="39"/>
      <c r="M124" s="39"/>
      <c r="N124" s="39"/>
      <c r="O124" s="39"/>
      <c r="P124" s="39"/>
      <c r="Q124" s="39">
        <v>1435</v>
      </c>
      <c r="R124" s="39">
        <v>35755.341</v>
      </c>
      <c r="S124" s="39">
        <v>2672</v>
      </c>
      <c r="T124" s="39">
        <v>67134.9473</v>
      </c>
      <c r="U124" s="39">
        <v>25.125399999999999</v>
      </c>
    </row>
    <row r="125" spans="1:21">
      <c r="A125" s="40" t="s">
        <v>1508</v>
      </c>
      <c r="B125" s="40" t="s">
        <v>1507</v>
      </c>
      <c r="C125" s="40" t="s">
        <v>3160</v>
      </c>
      <c r="D125" s="40" t="s">
        <v>3159</v>
      </c>
      <c r="E125" s="40" t="s">
        <v>3167</v>
      </c>
      <c r="F125" s="40"/>
      <c r="G125" s="39">
        <v>8</v>
      </c>
      <c r="H125" s="39">
        <v>142.84479999999999</v>
      </c>
      <c r="I125" s="39"/>
      <c r="J125" s="39"/>
      <c r="K125" s="39"/>
      <c r="L125" s="39"/>
      <c r="M125" s="39"/>
      <c r="N125" s="39"/>
      <c r="O125" s="39"/>
      <c r="P125" s="39"/>
      <c r="Q125" s="39">
        <v>8</v>
      </c>
      <c r="R125" s="39">
        <v>142.84479999999999</v>
      </c>
      <c r="S125" s="39"/>
      <c r="T125" s="39"/>
      <c r="U125" s="39"/>
    </row>
    <row r="126" spans="1:21">
      <c r="A126" s="40"/>
      <c r="B126" s="40"/>
      <c r="C126" s="40"/>
      <c r="D126" s="40"/>
      <c r="E126" s="40" t="s">
        <v>3166</v>
      </c>
      <c r="F126" s="40"/>
      <c r="G126" s="39">
        <v>915</v>
      </c>
      <c r="H126" s="39">
        <v>24002.557400000002</v>
      </c>
      <c r="I126" s="39"/>
      <c r="J126" s="39"/>
      <c r="K126" s="39"/>
      <c r="L126" s="39"/>
      <c r="M126" s="39"/>
      <c r="N126" s="39"/>
      <c r="O126" s="39"/>
      <c r="P126" s="39"/>
      <c r="Q126" s="39">
        <v>915</v>
      </c>
      <c r="R126" s="39">
        <v>24002.557400000002</v>
      </c>
      <c r="S126" s="39">
        <v>923</v>
      </c>
      <c r="T126" s="39">
        <v>24145.4022</v>
      </c>
      <c r="U126" s="39">
        <v>26.159700000000001</v>
      </c>
    </row>
    <row r="127" spans="1:21">
      <c r="A127" s="40" t="s">
        <v>1334</v>
      </c>
      <c r="B127" s="40" t="s">
        <v>1333</v>
      </c>
      <c r="C127" s="40" t="s">
        <v>3160</v>
      </c>
      <c r="D127" s="40" t="s">
        <v>3159</v>
      </c>
      <c r="E127" s="40" t="s">
        <v>3165</v>
      </c>
      <c r="F127" s="40"/>
      <c r="G127" s="39">
        <v>5</v>
      </c>
      <c r="H127" s="39">
        <v>-288.7647</v>
      </c>
      <c r="I127" s="39"/>
      <c r="J127" s="39"/>
      <c r="K127" s="39"/>
      <c r="L127" s="39"/>
      <c r="M127" s="39"/>
      <c r="N127" s="39"/>
      <c r="O127" s="39"/>
      <c r="P127" s="39"/>
      <c r="Q127" s="39">
        <v>5</v>
      </c>
      <c r="R127" s="39">
        <v>-288.7647</v>
      </c>
      <c r="S127" s="39"/>
      <c r="T127" s="39"/>
      <c r="U127" s="39"/>
    </row>
    <row r="128" spans="1:21">
      <c r="A128" s="40"/>
      <c r="B128" s="40"/>
      <c r="C128" s="40"/>
      <c r="D128" s="40"/>
      <c r="E128" s="40" t="s">
        <v>3164</v>
      </c>
      <c r="F128" s="40"/>
      <c r="G128" s="39">
        <v>12</v>
      </c>
      <c r="H128" s="39">
        <v>-567.07439999999997</v>
      </c>
      <c r="I128" s="39"/>
      <c r="J128" s="39"/>
      <c r="K128" s="39"/>
      <c r="L128" s="39"/>
      <c r="M128" s="39"/>
      <c r="N128" s="39"/>
      <c r="O128" s="39"/>
      <c r="P128" s="39"/>
      <c r="Q128" s="39">
        <v>12</v>
      </c>
      <c r="R128" s="39">
        <v>-567.07439999999997</v>
      </c>
      <c r="S128" s="39"/>
      <c r="T128" s="39"/>
      <c r="U128" s="39"/>
    </row>
    <row r="129" spans="1:21">
      <c r="A129" s="40"/>
      <c r="B129" s="40"/>
      <c r="C129" s="40"/>
      <c r="D129" s="40"/>
      <c r="E129" s="40" t="s">
        <v>3162</v>
      </c>
      <c r="F129" s="40"/>
      <c r="G129" s="39">
        <v>703</v>
      </c>
      <c r="H129" s="39">
        <v>39979.117599999998</v>
      </c>
      <c r="I129" s="39"/>
      <c r="J129" s="39"/>
      <c r="K129" s="39"/>
      <c r="L129" s="39"/>
      <c r="M129" s="39"/>
      <c r="N129" s="39"/>
      <c r="O129" s="39"/>
      <c r="P129" s="39"/>
      <c r="Q129" s="39">
        <v>703</v>
      </c>
      <c r="R129" s="39">
        <v>39979.117599999998</v>
      </c>
      <c r="S129" s="39">
        <v>720</v>
      </c>
      <c r="T129" s="39">
        <v>39123.2785</v>
      </c>
      <c r="U129" s="39">
        <v>54.337899999999998</v>
      </c>
    </row>
    <row r="130" spans="1:21">
      <c r="A130" s="40" t="s">
        <v>1343</v>
      </c>
      <c r="B130" s="40" t="s">
        <v>1342</v>
      </c>
      <c r="C130" s="40" t="s">
        <v>3160</v>
      </c>
      <c r="D130" s="40" t="s">
        <v>3159</v>
      </c>
      <c r="E130" s="40" t="s">
        <v>3163</v>
      </c>
      <c r="F130" s="40"/>
      <c r="G130" s="39">
        <v>133</v>
      </c>
      <c r="H130" s="39">
        <v>5678.5654000000004</v>
      </c>
      <c r="I130" s="39"/>
      <c r="J130" s="39"/>
      <c r="K130" s="39"/>
      <c r="L130" s="39"/>
      <c r="M130" s="39"/>
      <c r="N130" s="39"/>
      <c r="O130" s="39"/>
      <c r="P130" s="39"/>
      <c r="Q130" s="39">
        <v>133</v>
      </c>
      <c r="R130" s="39">
        <v>5678.5654000000004</v>
      </c>
      <c r="S130" s="39"/>
      <c r="T130" s="39"/>
      <c r="U130" s="39"/>
    </row>
    <row r="131" spans="1:21">
      <c r="A131" s="40"/>
      <c r="B131" s="40"/>
      <c r="C131" s="40"/>
      <c r="D131" s="40"/>
      <c r="E131" s="40" t="s">
        <v>3162</v>
      </c>
      <c r="F131" s="40"/>
      <c r="G131" s="39">
        <v>425</v>
      </c>
      <c r="H131" s="39">
        <v>18516.783899999999</v>
      </c>
      <c r="I131" s="39"/>
      <c r="J131" s="39"/>
      <c r="K131" s="39"/>
      <c r="L131" s="39"/>
      <c r="M131" s="39"/>
      <c r="N131" s="39"/>
      <c r="O131" s="39"/>
      <c r="P131" s="39"/>
      <c r="Q131" s="39">
        <v>425</v>
      </c>
      <c r="R131" s="39">
        <v>18516.783899999999</v>
      </c>
      <c r="S131" s="39">
        <v>558</v>
      </c>
      <c r="T131" s="39">
        <v>24195.349300000002</v>
      </c>
      <c r="U131" s="39">
        <v>43.360799999999998</v>
      </c>
    </row>
    <row r="132" spans="1:21">
      <c r="A132" s="40" t="s">
        <v>1332</v>
      </c>
      <c r="B132" s="40" t="s">
        <v>1331</v>
      </c>
      <c r="C132" s="40" t="s">
        <v>3160</v>
      </c>
      <c r="D132" s="40" t="s">
        <v>3159</v>
      </c>
      <c r="E132" s="40" t="s">
        <v>3161</v>
      </c>
      <c r="F132" s="40"/>
      <c r="G132" s="39">
        <v>458</v>
      </c>
      <c r="H132" s="39">
        <v>5343.6234000000004</v>
      </c>
      <c r="I132" s="39"/>
      <c r="J132" s="39"/>
      <c r="K132" s="39"/>
      <c r="L132" s="39"/>
      <c r="M132" s="39"/>
      <c r="N132" s="39"/>
      <c r="O132" s="39"/>
      <c r="P132" s="39"/>
      <c r="Q132" s="39">
        <v>458</v>
      </c>
      <c r="R132" s="39">
        <v>5343.6234000000004</v>
      </c>
      <c r="S132" s="39">
        <v>458</v>
      </c>
      <c r="T132" s="39">
        <v>5343.6234000000004</v>
      </c>
      <c r="U132" s="39">
        <v>11.667299999999999</v>
      </c>
    </row>
    <row r="133" spans="1:21">
      <c r="A133" s="40" t="s">
        <v>1350</v>
      </c>
      <c r="B133" s="40" t="s">
        <v>1349</v>
      </c>
      <c r="C133" s="40" t="s">
        <v>3160</v>
      </c>
      <c r="D133" s="40" t="s">
        <v>3159</v>
      </c>
      <c r="E133" s="40" t="s">
        <v>3158</v>
      </c>
      <c r="F133" s="40"/>
      <c r="G133" s="39">
        <v>7</v>
      </c>
      <c r="H133" s="39">
        <v>303.16649999999998</v>
      </c>
      <c r="I133" s="39"/>
      <c r="J133" s="39"/>
      <c r="K133" s="39"/>
      <c r="L133" s="39"/>
      <c r="M133" s="39"/>
      <c r="N133" s="39"/>
      <c r="O133" s="39"/>
      <c r="P133" s="39"/>
      <c r="Q133" s="39">
        <v>7</v>
      </c>
      <c r="R133" s="39">
        <v>303.16649999999998</v>
      </c>
      <c r="S133" s="39">
        <v>7</v>
      </c>
      <c r="T133" s="39">
        <v>303.16649999999998</v>
      </c>
      <c r="U133" s="39">
        <v>43.3095</v>
      </c>
    </row>
    <row r="134" spans="1:21">
      <c r="A134" s="38" t="s">
        <v>3157</v>
      </c>
      <c r="B134" s="38" t="s">
        <v>3156</v>
      </c>
      <c r="C134" s="38" t="s">
        <v>3156</v>
      </c>
      <c r="D134" s="38" t="s">
        <v>3156</v>
      </c>
      <c r="E134" s="38" t="s">
        <v>3156</v>
      </c>
      <c r="F134" s="38" t="s">
        <v>3156</v>
      </c>
      <c r="G134" s="37"/>
      <c r="H134" s="37">
        <v>3260530.4835000001</v>
      </c>
      <c r="I134" s="37"/>
      <c r="J134" s="37"/>
      <c r="K134" s="37"/>
      <c r="L134" s="37"/>
      <c r="M134" s="37"/>
      <c r="N134" s="37"/>
      <c r="O134" s="37"/>
      <c r="P134" s="37"/>
      <c r="Q134" s="37"/>
      <c r="R134" s="37">
        <v>3260530.4835000001</v>
      </c>
      <c r="S134" s="37"/>
      <c r="T134" s="37">
        <v>3260530.4835000001</v>
      </c>
      <c r="U134" s="37"/>
    </row>
    <row r="135" spans="1:21">
      <c r="A135" s="36"/>
      <c r="B135" s="36"/>
      <c r="C135" s="36"/>
      <c r="D135" s="36"/>
      <c r="E135" s="36"/>
      <c r="F135" s="36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</row>
  </sheetData>
  <mergeCells count="7">
    <mergeCell ref="A7:U7"/>
    <mergeCell ref="A1:U1"/>
    <mergeCell ref="A2:U2"/>
    <mergeCell ref="A3:U3"/>
    <mergeCell ref="A4:U4"/>
    <mergeCell ref="A5:U5"/>
    <mergeCell ref="A6:U6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6A50-2E29-E340-9DCC-A415F1216F1B}">
  <sheetPr codeName="Worksheet___1"/>
  <dimension ref="A1:Z4277"/>
  <sheetViews>
    <sheetView topLeftCell="D1" zoomScale="159" workbookViewId="0">
      <selection activeCell="L11" sqref="L11"/>
    </sheetView>
  </sheetViews>
  <sheetFormatPr baseColWidth="10" defaultColWidth="8.83203125" defaultRowHeight="16"/>
  <cols>
    <col min="1" max="1" width="9.83203125" style="46" bestFit="1" customWidth="1"/>
    <col min="2" max="2" width="16.6640625" style="48" bestFit="1" customWidth="1"/>
    <col min="3" max="3" width="8.83203125" style="46"/>
    <col min="4" max="4" width="16.6640625" style="46" bestFit="1" customWidth="1"/>
    <col min="5" max="5" width="10.1640625" style="46" bestFit="1" customWidth="1"/>
    <col min="6" max="6" width="8.83203125" style="46"/>
    <col min="7" max="7" width="18.1640625" style="46" bestFit="1" customWidth="1"/>
    <col min="8" max="8" width="23.5" style="47" customWidth="1"/>
    <col min="9" max="9" width="16.1640625" style="46" customWidth="1"/>
    <col min="10" max="10" width="8.83203125" style="46"/>
    <col min="11" max="12" width="9" style="46" bestFit="1" customWidth="1"/>
    <col min="13" max="13" width="8.83203125" style="46"/>
    <col min="14" max="14" width="55" style="46" bestFit="1" customWidth="1"/>
    <col min="15" max="15" width="8.83203125" style="46"/>
    <col min="16" max="16" width="9" style="46" bestFit="1" customWidth="1"/>
    <col min="17" max="17" width="8.83203125" style="46"/>
    <col min="18" max="18" width="27.1640625" style="46" customWidth="1"/>
    <col min="19" max="16384" width="8.83203125" style="46"/>
  </cols>
  <sheetData>
    <row r="1" spans="1:26">
      <c r="A1" s="46" t="s">
        <v>0</v>
      </c>
      <c r="B1" s="48" t="s">
        <v>1</v>
      </c>
      <c r="C1" s="54" t="s">
        <v>3540</v>
      </c>
      <c r="D1" s="54" t="s">
        <v>3539</v>
      </c>
      <c r="E1" s="46" t="s">
        <v>3538</v>
      </c>
      <c r="F1" s="54" t="s">
        <v>3537</v>
      </c>
      <c r="G1" s="46" t="s">
        <v>3536</v>
      </c>
      <c r="H1" s="47" t="s">
        <v>183</v>
      </c>
      <c r="I1" s="46" t="s">
        <v>3535</v>
      </c>
      <c r="J1" s="46" t="s">
        <v>3534</v>
      </c>
      <c r="K1" s="46" t="s">
        <v>184</v>
      </c>
      <c r="L1" s="46" t="s">
        <v>3151</v>
      </c>
      <c r="M1" s="46" t="s">
        <v>3533</v>
      </c>
      <c r="N1" s="46" t="s">
        <v>3532</v>
      </c>
      <c r="O1" s="46" t="s">
        <v>3531</v>
      </c>
      <c r="P1" s="46" t="s">
        <v>3151</v>
      </c>
      <c r="Q1" s="46" t="s">
        <v>185</v>
      </c>
      <c r="R1" s="46" t="s">
        <v>8</v>
      </c>
      <c r="S1" s="46" t="s">
        <v>187</v>
      </c>
      <c r="T1" s="46" t="s">
        <v>3530</v>
      </c>
      <c r="U1" s="46" t="s">
        <v>3529</v>
      </c>
      <c r="V1" s="46" t="s">
        <v>3528</v>
      </c>
      <c r="W1" s="46" t="s">
        <v>3527</v>
      </c>
      <c r="X1" s="46" t="s">
        <v>3526</v>
      </c>
      <c r="Y1" s="46" t="s">
        <v>3525</v>
      </c>
      <c r="Z1" s="46" t="s">
        <v>3524</v>
      </c>
    </row>
    <row r="2" spans="1:26">
      <c r="A2" s="49">
        <v>44362</v>
      </c>
      <c r="B2" s="48">
        <v>202106151001</v>
      </c>
      <c r="C2" s="46" t="s">
        <v>3350</v>
      </c>
      <c r="D2" s="46" t="s">
        <v>3523</v>
      </c>
      <c r="E2" s="46" t="s">
        <v>632</v>
      </c>
      <c r="F2" s="46" t="s">
        <v>3348</v>
      </c>
      <c r="G2" s="46" t="s">
        <v>633</v>
      </c>
      <c r="H2" s="47" t="s">
        <v>1517</v>
      </c>
      <c r="I2" s="46" t="s">
        <v>3278</v>
      </c>
      <c r="J2" s="46" t="s">
        <v>3160</v>
      </c>
      <c r="K2" s="46">
        <v>3</v>
      </c>
      <c r="L2" s="46">
        <v>450</v>
      </c>
      <c r="N2" s="46" t="s">
        <v>1516</v>
      </c>
      <c r="O2" s="52"/>
      <c r="P2" s="52">
        <v>515</v>
      </c>
      <c r="Q2" s="52" t="s">
        <v>633</v>
      </c>
      <c r="R2" s="52" t="s">
        <v>634</v>
      </c>
      <c r="T2" s="52">
        <v>210993</v>
      </c>
      <c r="U2" s="52" t="s">
        <v>636</v>
      </c>
      <c r="V2" s="52" t="s">
        <v>637</v>
      </c>
      <c r="W2" s="52"/>
      <c r="X2" s="52"/>
      <c r="Y2" s="52"/>
      <c r="Z2" s="46" t="s">
        <v>630</v>
      </c>
    </row>
    <row r="3" spans="1:26">
      <c r="A3" s="49">
        <v>44362</v>
      </c>
      <c r="B3" s="48">
        <v>202106151001</v>
      </c>
      <c r="C3" s="46" t="s">
        <v>3350</v>
      </c>
      <c r="D3" s="46" t="s">
        <v>3523</v>
      </c>
      <c r="E3" s="46" t="s">
        <v>632</v>
      </c>
      <c r="F3" s="46" t="s">
        <v>3348</v>
      </c>
      <c r="G3" s="46" t="s">
        <v>633</v>
      </c>
      <c r="H3" s="55" t="s">
        <v>3347</v>
      </c>
      <c r="J3" s="46" t="s">
        <v>3346</v>
      </c>
      <c r="K3" s="46">
        <v>1</v>
      </c>
      <c r="L3" s="46">
        <v>65</v>
      </c>
      <c r="O3" s="52"/>
      <c r="P3" s="52"/>
      <c r="Q3" s="52"/>
      <c r="R3" s="52"/>
      <c r="T3" s="52"/>
      <c r="U3" s="52"/>
      <c r="V3" s="52"/>
      <c r="W3" s="52"/>
      <c r="X3" s="52"/>
      <c r="Y3" s="52"/>
    </row>
    <row r="4" spans="1:26">
      <c r="A4" s="49">
        <v>44362</v>
      </c>
      <c r="B4" s="48">
        <v>202106151002</v>
      </c>
      <c r="C4" s="46" t="s">
        <v>3350</v>
      </c>
      <c r="D4" s="46" t="s">
        <v>3522</v>
      </c>
      <c r="E4" s="46" t="s">
        <v>641</v>
      </c>
      <c r="F4" s="46" t="s">
        <v>3348</v>
      </c>
      <c r="G4" s="46" t="s">
        <v>633</v>
      </c>
      <c r="H4" s="47">
        <v>4714781021593</v>
      </c>
      <c r="I4" s="46" t="s">
        <v>3183</v>
      </c>
      <c r="J4" s="46" t="s">
        <v>3160</v>
      </c>
      <c r="K4" s="46">
        <v>3</v>
      </c>
      <c r="L4" s="46">
        <v>399</v>
      </c>
      <c r="N4" s="46" t="s">
        <v>1453</v>
      </c>
      <c r="O4" s="52"/>
      <c r="P4" s="52">
        <v>464</v>
      </c>
      <c r="Q4" s="52" t="s">
        <v>633</v>
      </c>
      <c r="R4" s="52" t="s">
        <v>634</v>
      </c>
      <c r="T4" s="52">
        <v>195885</v>
      </c>
      <c r="U4" s="52" t="s">
        <v>642</v>
      </c>
      <c r="V4" s="52" t="s">
        <v>643</v>
      </c>
      <c r="W4" s="52"/>
      <c r="X4" s="52"/>
      <c r="Y4" s="52"/>
      <c r="Z4" s="46" t="s">
        <v>639</v>
      </c>
    </row>
    <row r="5" spans="1:26">
      <c r="A5" s="49">
        <v>44362</v>
      </c>
      <c r="B5" s="48">
        <v>202106151002</v>
      </c>
      <c r="C5" s="46" t="s">
        <v>3350</v>
      </c>
      <c r="D5" s="46" t="s">
        <v>3522</v>
      </c>
      <c r="E5" s="46" t="s">
        <v>641</v>
      </c>
      <c r="F5" s="46" t="s">
        <v>3348</v>
      </c>
      <c r="G5" s="46" t="s">
        <v>633</v>
      </c>
      <c r="H5" s="47" t="s">
        <v>3347</v>
      </c>
      <c r="J5" s="46" t="s">
        <v>3346</v>
      </c>
      <c r="K5" s="46">
        <v>1</v>
      </c>
      <c r="L5" s="46">
        <v>65</v>
      </c>
      <c r="O5" s="52"/>
      <c r="P5" s="52"/>
      <c r="Q5" s="52"/>
      <c r="R5" s="52"/>
      <c r="T5" s="52"/>
      <c r="U5" s="52"/>
      <c r="V5" s="52"/>
      <c r="W5" s="52"/>
      <c r="X5" s="52"/>
      <c r="Y5" s="52"/>
    </row>
    <row r="6" spans="1:26">
      <c r="A6" s="49">
        <v>44362</v>
      </c>
      <c r="B6" s="48">
        <v>202106151003</v>
      </c>
      <c r="C6" s="46" t="s">
        <v>3350</v>
      </c>
      <c r="D6" s="46" t="s">
        <v>3521</v>
      </c>
      <c r="E6" s="46" t="s">
        <v>647</v>
      </c>
      <c r="F6" s="46" t="s">
        <v>3348</v>
      </c>
      <c r="G6" s="46" t="s">
        <v>633</v>
      </c>
      <c r="H6" s="47" t="s">
        <v>1517</v>
      </c>
      <c r="I6" s="46" t="s">
        <v>3295</v>
      </c>
      <c r="J6" s="46" t="s">
        <v>3160</v>
      </c>
      <c r="K6" s="46">
        <v>3</v>
      </c>
      <c r="L6" s="46">
        <v>450</v>
      </c>
      <c r="N6" s="46" t="s">
        <v>1516</v>
      </c>
      <c r="O6" s="52"/>
      <c r="P6" s="52">
        <v>515</v>
      </c>
      <c r="Q6" s="52" t="s">
        <v>633</v>
      </c>
      <c r="R6" s="52" t="s">
        <v>634</v>
      </c>
      <c r="T6" s="52">
        <v>162966</v>
      </c>
      <c r="U6" s="52" t="s">
        <v>648</v>
      </c>
      <c r="V6" s="52" t="s">
        <v>649</v>
      </c>
      <c r="W6" s="52"/>
      <c r="X6" s="52"/>
      <c r="Y6" s="52"/>
      <c r="Z6" s="46" t="s">
        <v>645</v>
      </c>
    </row>
    <row r="7" spans="1:26">
      <c r="A7" s="49">
        <v>44362</v>
      </c>
      <c r="B7" s="48">
        <v>202106151003</v>
      </c>
      <c r="C7" s="46" t="s">
        <v>3350</v>
      </c>
      <c r="D7" s="46" t="s">
        <v>3521</v>
      </c>
      <c r="E7" s="46" t="s">
        <v>647</v>
      </c>
      <c r="F7" s="46" t="s">
        <v>3348</v>
      </c>
      <c r="G7" s="46" t="s">
        <v>633</v>
      </c>
      <c r="H7" s="47" t="s">
        <v>3347</v>
      </c>
      <c r="J7" s="46" t="s">
        <v>3346</v>
      </c>
      <c r="K7" s="46">
        <v>1</v>
      </c>
      <c r="L7" s="46">
        <v>65</v>
      </c>
      <c r="O7" s="52"/>
      <c r="P7" s="52"/>
      <c r="Q7" s="52"/>
      <c r="R7" s="52"/>
      <c r="T7" s="52"/>
      <c r="U7" s="52"/>
      <c r="V7" s="52"/>
      <c r="W7" s="52"/>
      <c r="X7" s="52"/>
      <c r="Y7" s="52"/>
    </row>
    <row r="8" spans="1:26">
      <c r="A8" s="49">
        <v>44362</v>
      </c>
      <c r="B8" s="48">
        <v>202106151004</v>
      </c>
      <c r="C8" s="46" t="s">
        <v>3350</v>
      </c>
      <c r="D8" s="46" t="s">
        <v>3520</v>
      </c>
      <c r="E8" s="46" t="s">
        <v>653</v>
      </c>
      <c r="F8" s="46" t="s">
        <v>3348</v>
      </c>
      <c r="G8" s="46" t="s">
        <v>633</v>
      </c>
      <c r="H8" s="47">
        <v>4714781021609</v>
      </c>
      <c r="I8" s="46" t="s">
        <v>3183</v>
      </c>
      <c r="J8" s="46" t="s">
        <v>3160</v>
      </c>
      <c r="K8" s="46">
        <v>1</v>
      </c>
      <c r="L8" s="46">
        <v>133</v>
      </c>
      <c r="N8" s="46" t="s">
        <v>1454</v>
      </c>
      <c r="O8" s="52"/>
      <c r="P8" s="52">
        <v>879</v>
      </c>
      <c r="Q8" s="52" t="s">
        <v>633</v>
      </c>
      <c r="R8" s="52" t="s">
        <v>634</v>
      </c>
      <c r="T8" s="52">
        <v>209041</v>
      </c>
      <c r="U8" s="52" t="s">
        <v>654</v>
      </c>
      <c r="V8" s="52" t="s">
        <v>655</v>
      </c>
      <c r="W8" s="52"/>
      <c r="X8" s="52"/>
      <c r="Y8" s="52"/>
      <c r="Z8" s="46" t="s">
        <v>651</v>
      </c>
    </row>
    <row r="9" spans="1:26">
      <c r="A9" s="49">
        <v>44362</v>
      </c>
      <c r="B9" s="48">
        <v>202106151004</v>
      </c>
      <c r="C9" s="46" t="s">
        <v>3350</v>
      </c>
      <c r="D9" s="46" t="s">
        <v>3520</v>
      </c>
      <c r="E9" s="46" t="s">
        <v>653</v>
      </c>
      <c r="F9" s="46" t="s">
        <v>3348</v>
      </c>
      <c r="G9" s="46" t="s">
        <v>633</v>
      </c>
      <c r="H9" s="47">
        <v>4714781021593</v>
      </c>
      <c r="I9" s="46" t="s">
        <v>3183</v>
      </c>
      <c r="J9" s="46" t="s">
        <v>3160</v>
      </c>
      <c r="K9" s="46">
        <v>1</v>
      </c>
      <c r="L9" s="46">
        <v>133</v>
      </c>
      <c r="N9" s="46" t="s">
        <v>1453</v>
      </c>
      <c r="O9" s="52"/>
      <c r="P9" s="52">
        <v>879</v>
      </c>
      <c r="Q9" s="52" t="s">
        <v>633</v>
      </c>
      <c r="R9" s="52" t="s">
        <v>634</v>
      </c>
      <c r="T9" s="52">
        <v>209041</v>
      </c>
      <c r="U9" s="52" t="s">
        <v>654</v>
      </c>
      <c r="V9" s="52" t="s">
        <v>655</v>
      </c>
      <c r="W9" s="52"/>
      <c r="X9" s="52"/>
      <c r="Y9" s="52"/>
      <c r="Z9" s="46" t="s">
        <v>651</v>
      </c>
    </row>
    <row r="10" spans="1:26">
      <c r="A10" s="49">
        <v>44362</v>
      </c>
      <c r="B10" s="48">
        <v>202106151004</v>
      </c>
      <c r="C10" s="46" t="s">
        <v>3350</v>
      </c>
      <c r="D10" s="46" t="s">
        <v>3520</v>
      </c>
      <c r="E10" s="46" t="s">
        <v>653</v>
      </c>
      <c r="F10" s="46" t="s">
        <v>3348</v>
      </c>
      <c r="G10" s="46" t="s">
        <v>633</v>
      </c>
      <c r="H10" s="47">
        <v>4714781021029</v>
      </c>
      <c r="I10" s="46" t="s">
        <v>3235</v>
      </c>
      <c r="J10" s="46" t="s">
        <v>3160</v>
      </c>
      <c r="K10" s="46">
        <v>1</v>
      </c>
      <c r="L10" s="46">
        <v>133</v>
      </c>
      <c r="N10" s="46" t="s">
        <v>1452</v>
      </c>
      <c r="O10" s="52"/>
      <c r="P10" s="52">
        <v>879</v>
      </c>
      <c r="Q10" s="52" t="s">
        <v>633</v>
      </c>
      <c r="R10" s="52" t="s">
        <v>634</v>
      </c>
      <c r="T10" s="52">
        <v>209041</v>
      </c>
      <c r="U10" s="52" t="s">
        <v>654</v>
      </c>
      <c r="V10" s="52" t="s">
        <v>655</v>
      </c>
      <c r="W10" s="52"/>
      <c r="X10" s="52"/>
      <c r="Y10" s="52"/>
      <c r="Z10" s="46" t="s">
        <v>651</v>
      </c>
    </row>
    <row r="11" spans="1:26">
      <c r="A11" s="49">
        <v>44362</v>
      </c>
      <c r="B11" s="48">
        <v>202106151004</v>
      </c>
      <c r="C11" s="46" t="s">
        <v>3350</v>
      </c>
      <c r="D11" s="46" t="s">
        <v>3520</v>
      </c>
      <c r="E11" s="46" t="s">
        <v>653</v>
      </c>
      <c r="F11" s="46" t="s">
        <v>3348</v>
      </c>
      <c r="G11" s="46" t="s">
        <v>633</v>
      </c>
      <c r="H11" s="47" t="s">
        <v>1486</v>
      </c>
      <c r="I11" s="46" t="s">
        <v>3256</v>
      </c>
      <c r="J11" s="46" t="s">
        <v>3160</v>
      </c>
      <c r="K11" s="46">
        <v>1</v>
      </c>
      <c r="L11" s="46">
        <v>340</v>
      </c>
      <c r="N11" s="46" t="s">
        <v>1485</v>
      </c>
      <c r="O11" s="52"/>
      <c r="P11" s="52">
        <v>879</v>
      </c>
      <c r="Q11" s="52" t="s">
        <v>633</v>
      </c>
      <c r="R11" s="52" t="s">
        <v>634</v>
      </c>
      <c r="T11" s="52">
        <v>209041</v>
      </c>
      <c r="U11" s="52" t="s">
        <v>654</v>
      </c>
      <c r="V11" s="52" t="s">
        <v>655</v>
      </c>
      <c r="W11" s="52"/>
      <c r="X11" s="52"/>
      <c r="Y11" s="52"/>
      <c r="Z11" s="46" t="s">
        <v>651</v>
      </c>
    </row>
    <row r="12" spans="1:26">
      <c r="A12" s="49">
        <v>44362</v>
      </c>
      <c r="B12" s="48">
        <v>202106151004</v>
      </c>
      <c r="C12" s="46" t="s">
        <v>3350</v>
      </c>
      <c r="D12" s="46" t="s">
        <v>3520</v>
      </c>
      <c r="E12" s="46" t="s">
        <v>653</v>
      </c>
      <c r="F12" s="46" t="s">
        <v>3348</v>
      </c>
      <c r="G12" s="46" t="s">
        <v>633</v>
      </c>
      <c r="H12" s="47" t="s">
        <v>1491</v>
      </c>
      <c r="I12" s="46" t="s">
        <v>3262</v>
      </c>
      <c r="J12" s="46" t="s">
        <v>3160</v>
      </c>
      <c r="K12" s="46">
        <v>1</v>
      </c>
      <c r="L12" s="46">
        <v>140</v>
      </c>
      <c r="N12" s="46" t="s">
        <v>1490</v>
      </c>
      <c r="O12" s="52"/>
      <c r="P12" s="52">
        <v>879</v>
      </c>
      <c r="Q12" s="52" t="s">
        <v>633</v>
      </c>
      <c r="R12" s="52" t="s">
        <v>634</v>
      </c>
      <c r="T12" s="52">
        <v>209041</v>
      </c>
      <c r="U12" s="52" t="s">
        <v>654</v>
      </c>
      <c r="V12" s="52" t="s">
        <v>655</v>
      </c>
      <c r="W12" s="52"/>
      <c r="X12" s="52"/>
      <c r="Y12" s="52"/>
      <c r="Z12" s="46" t="s">
        <v>651</v>
      </c>
    </row>
    <row r="13" spans="1:26">
      <c r="A13" s="49">
        <v>44362</v>
      </c>
      <c r="B13" s="48">
        <v>202106151005</v>
      </c>
      <c r="C13" s="46" t="s">
        <v>3350</v>
      </c>
      <c r="D13" s="46" t="s">
        <v>3519</v>
      </c>
      <c r="E13" s="46" t="s">
        <v>661</v>
      </c>
      <c r="F13" s="46" t="s">
        <v>3348</v>
      </c>
      <c r="G13" s="46" t="s">
        <v>633</v>
      </c>
      <c r="H13" s="47" t="s">
        <v>1512</v>
      </c>
      <c r="I13" s="46" t="s">
        <v>3210</v>
      </c>
      <c r="J13" s="46" t="s">
        <v>3160</v>
      </c>
      <c r="K13" s="46">
        <v>1</v>
      </c>
      <c r="L13" s="46">
        <v>130</v>
      </c>
      <c r="N13" s="46" t="s">
        <v>1511</v>
      </c>
      <c r="O13" s="52"/>
      <c r="P13" s="52">
        <v>1139</v>
      </c>
      <c r="Q13" s="52" t="s">
        <v>633</v>
      </c>
      <c r="R13" s="52" t="s">
        <v>59</v>
      </c>
      <c r="T13" s="52">
        <v>991517</v>
      </c>
      <c r="U13" s="52" t="s">
        <v>662</v>
      </c>
      <c r="V13" s="52" t="s">
        <v>663</v>
      </c>
      <c r="W13" s="52"/>
      <c r="X13" s="52"/>
      <c r="Y13" s="52"/>
      <c r="Z13" s="46" t="s">
        <v>659</v>
      </c>
    </row>
    <row r="14" spans="1:26">
      <c r="A14" s="49">
        <v>44362</v>
      </c>
      <c r="B14" s="48">
        <v>202106151005</v>
      </c>
      <c r="C14" s="46" t="s">
        <v>3350</v>
      </c>
      <c r="D14" s="46" t="s">
        <v>3519</v>
      </c>
      <c r="E14" s="46" t="s">
        <v>661</v>
      </c>
      <c r="F14" s="46" t="s">
        <v>3348</v>
      </c>
      <c r="G14" s="46" t="s">
        <v>633</v>
      </c>
      <c r="H14" s="47" t="s">
        <v>1517</v>
      </c>
      <c r="I14" s="46" t="s">
        <v>3207</v>
      </c>
      <c r="J14" s="46" t="s">
        <v>3160</v>
      </c>
      <c r="K14" s="46">
        <v>1</v>
      </c>
      <c r="L14" s="46">
        <v>130</v>
      </c>
      <c r="N14" s="46" t="s">
        <v>1516</v>
      </c>
      <c r="O14" s="52"/>
      <c r="P14" s="52">
        <v>1139</v>
      </c>
      <c r="Q14" s="52" t="s">
        <v>633</v>
      </c>
      <c r="R14" s="52" t="s">
        <v>59</v>
      </c>
      <c r="T14" s="52">
        <v>991517</v>
      </c>
      <c r="U14" s="52" t="s">
        <v>662</v>
      </c>
      <c r="V14" s="52" t="s">
        <v>663</v>
      </c>
      <c r="W14" s="52"/>
      <c r="X14" s="52"/>
      <c r="Y14" s="52"/>
      <c r="Z14" s="46" t="s">
        <v>659</v>
      </c>
    </row>
    <row r="15" spans="1:26">
      <c r="A15" s="49">
        <v>44362</v>
      </c>
      <c r="B15" s="48">
        <v>202106151005</v>
      </c>
      <c r="C15" s="46" t="s">
        <v>3350</v>
      </c>
      <c r="D15" s="46" t="s">
        <v>3519</v>
      </c>
      <c r="E15" s="46" t="s">
        <v>661</v>
      </c>
      <c r="F15" s="46" t="s">
        <v>3348</v>
      </c>
      <c r="G15" s="46" t="s">
        <v>633</v>
      </c>
      <c r="H15" s="47" t="s">
        <v>1514</v>
      </c>
      <c r="I15" s="46" t="s">
        <v>3210</v>
      </c>
      <c r="J15" s="46" t="s">
        <v>3160</v>
      </c>
      <c r="K15" s="46">
        <v>1</v>
      </c>
      <c r="L15" s="46">
        <v>130</v>
      </c>
      <c r="N15" s="46" t="s">
        <v>1513</v>
      </c>
      <c r="O15" s="52"/>
      <c r="P15" s="52">
        <v>1139</v>
      </c>
      <c r="Q15" s="52" t="s">
        <v>633</v>
      </c>
      <c r="R15" s="52" t="s">
        <v>59</v>
      </c>
      <c r="T15" s="52">
        <v>991517</v>
      </c>
      <c r="U15" s="52" t="s">
        <v>662</v>
      </c>
      <c r="V15" s="52" t="s">
        <v>663</v>
      </c>
      <c r="W15" s="52"/>
      <c r="X15" s="52"/>
      <c r="Y15" s="52"/>
      <c r="Z15" s="46" t="s">
        <v>659</v>
      </c>
    </row>
    <row r="16" spans="1:26">
      <c r="A16" s="49">
        <v>44362</v>
      </c>
      <c r="B16" s="48">
        <v>202106151005</v>
      </c>
      <c r="C16" s="46" t="s">
        <v>3350</v>
      </c>
      <c r="D16" s="46" t="s">
        <v>3519</v>
      </c>
      <c r="E16" s="46" t="s">
        <v>661</v>
      </c>
      <c r="F16" s="46" t="s">
        <v>3348</v>
      </c>
      <c r="G16" s="46" t="s">
        <v>633</v>
      </c>
      <c r="H16" s="47">
        <v>4714781020824</v>
      </c>
      <c r="I16" s="46" t="s">
        <v>3262</v>
      </c>
      <c r="J16" s="46" t="s">
        <v>3160</v>
      </c>
      <c r="K16" s="46">
        <v>1</v>
      </c>
      <c r="L16" s="46">
        <v>350</v>
      </c>
      <c r="N16" s="46" t="s">
        <v>665</v>
      </c>
      <c r="O16" s="52"/>
      <c r="P16" s="52">
        <v>1139</v>
      </c>
      <c r="Q16" s="52" t="s">
        <v>633</v>
      </c>
      <c r="R16" s="52" t="s">
        <v>59</v>
      </c>
      <c r="T16" s="52">
        <v>991517</v>
      </c>
      <c r="U16" s="52" t="s">
        <v>662</v>
      </c>
      <c r="V16" s="52" t="s">
        <v>663</v>
      </c>
      <c r="W16" s="52"/>
      <c r="X16" s="52"/>
      <c r="Y16" s="52"/>
      <c r="Z16" s="46" t="s">
        <v>659</v>
      </c>
    </row>
    <row r="17" spans="1:26">
      <c r="A17" s="49">
        <v>44362</v>
      </c>
      <c r="B17" s="48">
        <v>202106151005</v>
      </c>
      <c r="C17" s="46" t="s">
        <v>3350</v>
      </c>
      <c r="D17" s="46" t="s">
        <v>3519</v>
      </c>
      <c r="E17" s="46" t="s">
        <v>661</v>
      </c>
      <c r="F17" s="46" t="s">
        <v>3348</v>
      </c>
      <c r="G17" s="46" t="s">
        <v>633</v>
      </c>
      <c r="H17" s="47">
        <v>4714781021609</v>
      </c>
      <c r="I17" s="46" t="s">
        <v>3183</v>
      </c>
      <c r="J17" s="46" t="s">
        <v>3160</v>
      </c>
      <c r="K17" s="46">
        <v>2</v>
      </c>
      <c r="L17" s="46">
        <v>266</v>
      </c>
      <c r="N17" s="46" t="s">
        <v>1454</v>
      </c>
      <c r="O17" s="52"/>
      <c r="P17" s="52">
        <v>1139</v>
      </c>
      <c r="Q17" s="52" t="s">
        <v>633</v>
      </c>
      <c r="R17" s="52" t="s">
        <v>59</v>
      </c>
      <c r="T17" s="52">
        <v>991517</v>
      </c>
      <c r="U17" s="52" t="s">
        <v>662</v>
      </c>
      <c r="V17" s="52" t="s">
        <v>663</v>
      </c>
      <c r="W17" s="52"/>
      <c r="X17" s="52"/>
      <c r="Y17" s="52"/>
      <c r="Z17" s="46" t="s">
        <v>659</v>
      </c>
    </row>
    <row r="18" spans="1:26">
      <c r="A18" s="49">
        <v>44362</v>
      </c>
      <c r="B18" s="48">
        <v>202106151005</v>
      </c>
      <c r="C18" s="46" t="s">
        <v>3350</v>
      </c>
      <c r="D18" s="46" t="s">
        <v>3519</v>
      </c>
      <c r="E18" s="46" t="s">
        <v>661</v>
      </c>
      <c r="F18" s="46" t="s">
        <v>3348</v>
      </c>
      <c r="G18" s="46" t="s">
        <v>633</v>
      </c>
      <c r="H18" s="47">
        <v>4714781021593</v>
      </c>
      <c r="I18" s="46" t="s">
        <v>3183</v>
      </c>
      <c r="J18" s="46" t="s">
        <v>3160</v>
      </c>
      <c r="K18" s="46">
        <v>1</v>
      </c>
      <c r="L18" s="46">
        <v>133</v>
      </c>
      <c r="N18" s="46" t="s">
        <v>1453</v>
      </c>
      <c r="O18" s="52"/>
      <c r="P18" s="52">
        <v>1139</v>
      </c>
      <c r="Q18" s="52" t="s">
        <v>633</v>
      </c>
      <c r="R18" s="52" t="s">
        <v>59</v>
      </c>
      <c r="T18" s="52">
        <v>991517</v>
      </c>
      <c r="U18" s="52" t="s">
        <v>662</v>
      </c>
      <c r="V18" s="52" t="s">
        <v>663</v>
      </c>
      <c r="W18" s="52"/>
      <c r="X18" s="52"/>
      <c r="Y18" s="52"/>
      <c r="Z18" s="46" t="s">
        <v>659</v>
      </c>
    </row>
    <row r="19" spans="1:26">
      <c r="A19" s="49">
        <v>44362</v>
      </c>
      <c r="B19" s="48">
        <v>202106151006</v>
      </c>
      <c r="C19" s="46" t="s">
        <v>3350</v>
      </c>
      <c r="D19" s="46" t="s">
        <v>3518</v>
      </c>
      <c r="E19" s="46" t="s">
        <v>671</v>
      </c>
      <c r="F19" s="46" t="s">
        <v>3348</v>
      </c>
      <c r="G19" s="46" t="s">
        <v>633</v>
      </c>
      <c r="H19" s="47" t="s">
        <v>1484</v>
      </c>
      <c r="I19" s="46" t="s">
        <v>3254</v>
      </c>
      <c r="J19" s="46" t="s">
        <v>3160</v>
      </c>
      <c r="K19" s="46">
        <v>1</v>
      </c>
      <c r="L19" s="46">
        <v>304</v>
      </c>
      <c r="N19" s="46" t="s">
        <v>1483</v>
      </c>
      <c r="O19" s="52"/>
      <c r="P19" s="52">
        <v>969</v>
      </c>
      <c r="Q19" s="52" t="s">
        <v>633</v>
      </c>
      <c r="R19" s="52" t="s">
        <v>634</v>
      </c>
      <c r="T19" s="52">
        <v>217101</v>
      </c>
      <c r="U19" s="52" t="s">
        <v>674</v>
      </c>
      <c r="V19" s="52" t="s">
        <v>675</v>
      </c>
      <c r="W19" s="52"/>
      <c r="X19" s="52"/>
      <c r="Y19" s="52"/>
      <c r="Z19" s="46" t="s">
        <v>669</v>
      </c>
    </row>
    <row r="20" spans="1:26">
      <c r="A20" s="49">
        <v>44362</v>
      </c>
      <c r="B20" s="48">
        <v>202106151006</v>
      </c>
      <c r="C20" s="46" t="s">
        <v>3350</v>
      </c>
      <c r="D20" s="46" t="s">
        <v>3518</v>
      </c>
      <c r="E20" s="46" t="s">
        <v>671</v>
      </c>
      <c r="F20" s="46" t="s">
        <v>3348</v>
      </c>
      <c r="G20" s="46" t="s">
        <v>633</v>
      </c>
      <c r="H20" s="47" t="s">
        <v>1493</v>
      </c>
      <c r="I20" s="46" t="s">
        <v>3276</v>
      </c>
      <c r="J20" s="46" t="s">
        <v>3160</v>
      </c>
      <c r="K20" s="46">
        <v>1</v>
      </c>
      <c r="L20" s="46">
        <v>125</v>
      </c>
      <c r="N20" s="46" t="s">
        <v>1492</v>
      </c>
      <c r="O20" s="52"/>
      <c r="P20" s="52">
        <v>969</v>
      </c>
      <c r="Q20" s="52" t="s">
        <v>633</v>
      </c>
      <c r="R20" s="52" t="s">
        <v>634</v>
      </c>
      <c r="T20" s="52">
        <v>217101</v>
      </c>
      <c r="U20" s="52" t="s">
        <v>674</v>
      </c>
      <c r="V20" s="52" t="s">
        <v>675</v>
      </c>
      <c r="W20" s="52"/>
      <c r="X20" s="52"/>
      <c r="Y20" s="52"/>
      <c r="Z20" s="46" t="s">
        <v>669</v>
      </c>
    </row>
    <row r="21" spans="1:26">
      <c r="A21" s="49">
        <v>44362</v>
      </c>
      <c r="B21" s="48">
        <v>202106151006</v>
      </c>
      <c r="C21" s="46" t="s">
        <v>3350</v>
      </c>
      <c r="D21" s="46" t="s">
        <v>3518</v>
      </c>
      <c r="E21" s="46" t="s">
        <v>671</v>
      </c>
      <c r="F21" s="46" t="s">
        <v>3348</v>
      </c>
      <c r="G21" s="46" t="s">
        <v>633</v>
      </c>
      <c r="H21" s="47">
        <v>4714781020510</v>
      </c>
      <c r="I21" s="46" t="s">
        <v>3166</v>
      </c>
      <c r="J21" s="46" t="s">
        <v>3160</v>
      </c>
      <c r="K21" s="46">
        <v>1</v>
      </c>
      <c r="L21" s="46">
        <v>260</v>
      </c>
      <c r="N21" s="46" t="s">
        <v>155</v>
      </c>
      <c r="O21" s="52"/>
      <c r="P21" s="52">
        <v>969</v>
      </c>
      <c r="Q21" s="52" t="s">
        <v>633</v>
      </c>
      <c r="R21" s="52" t="s">
        <v>634</v>
      </c>
      <c r="T21" s="52">
        <v>217101</v>
      </c>
      <c r="U21" s="52" t="s">
        <v>674</v>
      </c>
      <c r="V21" s="52" t="s">
        <v>675</v>
      </c>
      <c r="W21" s="52"/>
      <c r="X21" s="52"/>
      <c r="Y21" s="52"/>
      <c r="Z21" s="46" t="s">
        <v>669</v>
      </c>
    </row>
    <row r="22" spans="1:26">
      <c r="A22" s="49">
        <v>44362</v>
      </c>
      <c r="B22" s="48">
        <v>202106151006</v>
      </c>
      <c r="C22" s="46" t="s">
        <v>3350</v>
      </c>
      <c r="D22" s="46" t="s">
        <v>3518</v>
      </c>
      <c r="E22" s="46" t="s">
        <v>671</v>
      </c>
      <c r="F22" s="46" t="s">
        <v>3348</v>
      </c>
      <c r="G22" s="46" t="s">
        <v>633</v>
      </c>
      <c r="H22" s="47" t="s">
        <v>1493</v>
      </c>
      <c r="I22" s="46" t="s">
        <v>3276</v>
      </c>
      <c r="J22" s="46" t="s">
        <v>3160</v>
      </c>
      <c r="K22" s="46">
        <v>1</v>
      </c>
      <c r="L22" s="46">
        <v>140</v>
      </c>
      <c r="N22" s="46" t="s">
        <v>1492</v>
      </c>
      <c r="O22" s="52"/>
      <c r="P22" s="52">
        <v>969</v>
      </c>
      <c r="Q22" s="52" t="s">
        <v>633</v>
      </c>
      <c r="R22" s="52" t="s">
        <v>634</v>
      </c>
      <c r="T22" s="52">
        <v>217101</v>
      </c>
      <c r="U22" s="52" t="s">
        <v>674</v>
      </c>
      <c r="V22" s="52" t="s">
        <v>675</v>
      </c>
      <c r="W22" s="52"/>
      <c r="X22" s="52"/>
      <c r="Y22" s="52"/>
      <c r="Z22" s="46" t="s">
        <v>669</v>
      </c>
    </row>
    <row r="23" spans="1:26">
      <c r="A23" s="49">
        <v>44362</v>
      </c>
      <c r="B23" s="48">
        <v>202106151006</v>
      </c>
      <c r="C23" s="46" t="s">
        <v>3350</v>
      </c>
      <c r="D23" s="46" t="s">
        <v>3518</v>
      </c>
      <c r="E23" s="46" t="s">
        <v>671</v>
      </c>
      <c r="F23" s="46" t="s">
        <v>3348</v>
      </c>
      <c r="G23" s="46" t="s">
        <v>633</v>
      </c>
      <c r="H23" s="47" t="s">
        <v>1491</v>
      </c>
      <c r="I23" s="46" t="s">
        <v>3262</v>
      </c>
      <c r="J23" s="46" t="s">
        <v>3160</v>
      </c>
      <c r="K23" s="46">
        <v>1</v>
      </c>
      <c r="L23" s="46">
        <v>140</v>
      </c>
      <c r="N23" s="46" t="s">
        <v>1490</v>
      </c>
      <c r="O23" s="52"/>
      <c r="P23" s="52">
        <v>969</v>
      </c>
      <c r="Q23" s="52" t="s">
        <v>633</v>
      </c>
      <c r="R23" s="52" t="s">
        <v>634</v>
      </c>
      <c r="T23" s="52">
        <v>217101</v>
      </c>
      <c r="U23" s="52" t="s">
        <v>674</v>
      </c>
      <c r="V23" s="52" t="s">
        <v>675</v>
      </c>
      <c r="W23" s="52"/>
      <c r="X23" s="52"/>
      <c r="Y23" s="52"/>
      <c r="Z23" s="46" t="s">
        <v>669</v>
      </c>
    </row>
    <row r="24" spans="1:26">
      <c r="A24" s="49">
        <v>44362</v>
      </c>
      <c r="B24" s="48">
        <v>202106151007</v>
      </c>
      <c r="C24" s="46" t="s">
        <v>3350</v>
      </c>
      <c r="D24" s="46" t="s">
        <v>3517</v>
      </c>
      <c r="E24" s="46" t="s">
        <v>176</v>
      </c>
      <c r="F24" s="46" t="s">
        <v>3348</v>
      </c>
      <c r="G24" s="46" t="s">
        <v>39</v>
      </c>
      <c r="H24" s="47">
        <v>4714781021609</v>
      </c>
      <c r="I24" s="46" t="s">
        <v>3183</v>
      </c>
      <c r="J24" s="46" t="s">
        <v>3160</v>
      </c>
      <c r="K24" s="46">
        <v>3</v>
      </c>
      <c r="L24" s="46">
        <v>399</v>
      </c>
      <c r="N24" s="46" t="s">
        <v>1454</v>
      </c>
      <c r="O24" s="52"/>
      <c r="P24" s="52">
        <v>798</v>
      </c>
      <c r="Q24" s="52" t="s">
        <v>39</v>
      </c>
      <c r="R24" s="52" t="s">
        <v>40</v>
      </c>
      <c r="T24" s="52"/>
      <c r="U24" s="52"/>
      <c r="V24" s="52"/>
      <c r="W24" s="52">
        <v>326</v>
      </c>
      <c r="X24" s="52" t="s">
        <v>177</v>
      </c>
      <c r="Y24" s="52"/>
      <c r="Z24" s="46" t="s">
        <v>174</v>
      </c>
    </row>
    <row r="25" spans="1:26">
      <c r="A25" s="49">
        <v>44362</v>
      </c>
      <c r="B25" s="48">
        <v>202106151007</v>
      </c>
      <c r="C25" s="46" t="s">
        <v>3350</v>
      </c>
      <c r="D25" s="46" t="s">
        <v>3517</v>
      </c>
      <c r="E25" s="46" t="s">
        <v>176</v>
      </c>
      <c r="F25" s="46" t="s">
        <v>3348</v>
      </c>
      <c r="G25" s="46" t="s">
        <v>39</v>
      </c>
      <c r="H25" s="47">
        <v>4714781021593</v>
      </c>
      <c r="I25" s="46" t="s">
        <v>3183</v>
      </c>
      <c r="J25" s="46" t="s">
        <v>3160</v>
      </c>
      <c r="K25" s="46">
        <v>3</v>
      </c>
      <c r="L25" s="46">
        <v>399</v>
      </c>
      <c r="N25" s="46" t="s">
        <v>1453</v>
      </c>
      <c r="O25" s="52"/>
      <c r="P25" s="52">
        <v>798</v>
      </c>
      <c r="Q25" s="52" t="s">
        <v>39</v>
      </c>
      <c r="R25" s="52" t="s">
        <v>40</v>
      </c>
      <c r="T25" s="52"/>
      <c r="U25" s="52"/>
      <c r="V25" s="52"/>
      <c r="W25" s="52">
        <v>326</v>
      </c>
      <c r="X25" s="52" t="s">
        <v>177</v>
      </c>
      <c r="Y25" s="52"/>
      <c r="Z25" s="46" t="s">
        <v>174</v>
      </c>
    </row>
    <row r="26" spans="1:26">
      <c r="A26" s="49">
        <v>44362</v>
      </c>
      <c r="B26" s="48">
        <v>202106151008</v>
      </c>
      <c r="C26" s="46" t="s">
        <v>3350</v>
      </c>
      <c r="D26" s="46" t="s">
        <v>3516</v>
      </c>
      <c r="E26" s="46" t="s">
        <v>170</v>
      </c>
      <c r="F26" s="46" t="s">
        <v>3348</v>
      </c>
      <c r="G26" s="46" t="s">
        <v>39</v>
      </c>
      <c r="H26" s="47">
        <v>4714781021609</v>
      </c>
      <c r="I26" s="46" t="s">
        <v>3183</v>
      </c>
      <c r="J26" s="46" t="s">
        <v>3160</v>
      </c>
      <c r="K26" s="46">
        <v>5</v>
      </c>
      <c r="L26" s="46">
        <v>632</v>
      </c>
      <c r="N26" s="46" t="s">
        <v>1454</v>
      </c>
      <c r="O26" s="52"/>
      <c r="P26" s="52">
        <v>1895</v>
      </c>
      <c r="Q26" s="52" t="s">
        <v>39</v>
      </c>
      <c r="R26" s="52" t="s">
        <v>171</v>
      </c>
      <c r="T26" s="52"/>
      <c r="U26" s="52"/>
      <c r="V26" s="52"/>
      <c r="W26" s="52">
        <v>300</v>
      </c>
      <c r="X26" s="52" t="s">
        <v>172</v>
      </c>
      <c r="Y26" s="52"/>
      <c r="Z26" s="46" t="s">
        <v>168</v>
      </c>
    </row>
    <row r="27" spans="1:26">
      <c r="A27" s="49">
        <v>44362</v>
      </c>
      <c r="B27" s="48">
        <v>202106151008</v>
      </c>
      <c r="C27" s="46" t="s">
        <v>3350</v>
      </c>
      <c r="D27" s="46" t="s">
        <v>3516</v>
      </c>
      <c r="E27" s="46" t="s">
        <v>170</v>
      </c>
      <c r="F27" s="46" t="s">
        <v>3348</v>
      </c>
      <c r="G27" s="46" t="s">
        <v>39</v>
      </c>
      <c r="H27" s="47">
        <v>4714781021593</v>
      </c>
      <c r="I27" s="46" t="s">
        <v>3183</v>
      </c>
      <c r="J27" s="46" t="s">
        <v>3160</v>
      </c>
      <c r="K27" s="46">
        <v>5</v>
      </c>
      <c r="L27" s="46">
        <v>632</v>
      </c>
      <c r="N27" s="46" t="s">
        <v>1453</v>
      </c>
      <c r="O27" s="52"/>
      <c r="P27" s="52">
        <v>1895</v>
      </c>
      <c r="Q27" s="52" t="s">
        <v>39</v>
      </c>
      <c r="R27" s="52" t="s">
        <v>171</v>
      </c>
      <c r="T27" s="52"/>
      <c r="U27" s="52"/>
      <c r="V27" s="52"/>
      <c r="W27" s="52">
        <v>300</v>
      </c>
      <c r="X27" s="52" t="s">
        <v>172</v>
      </c>
      <c r="Y27" s="52"/>
      <c r="Z27" s="46" t="s">
        <v>168</v>
      </c>
    </row>
    <row r="28" spans="1:26">
      <c r="A28" s="49">
        <v>44362</v>
      </c>
      <c r="B28" s="48">
        <v>202106151008</v>
      </c>
      <c r="C28" s="46" t="s">
        <v>3350</v>
      </c>
      <c r="D28" s="46" t="s">
        <v>3516</v>
      </c>
      <c r="E28" s="46" t="s">
        <v>170</v>
      </c>
      <c r="F28" s="46" t="s">
        <v>3348</v>
      </c>
      <c r="G28" s="46" t="s">
        <v>39</v>
      </c>
      <c r="H28" s="47">
        <v>4714781021029</v>
      </c>
      <c r="I28" s="46" t="s">
        <v>3234</v>
      </c>
      <c r="J28" s="46" t="s">
        <v>3160</v>
      </c>
      <c r="K28" s="46">
        <v>5</v>
      </c>
      <c r="L28" s="46">
        <v>631</v>
      </c>
      <c r="N28" s="46" t="s">
        <v>1452</v>
      </c>
      <c r="O28" s="52"/>
      <c r="P28" s="52">
        <v>1895</v>
      </c>
      <c r="Q28" s="52" t="s">
        <v>39</v>
      </c>
      <c r="R28" s="52" t="s">
        <v>171</v>
      </c>
      <c r="T28" s="52"/>
      <c r="U28" s="52"/>
      <c r="V28" s="52"/>
      <c r="W28" s="52">
        <v>300</v>
      </c>
      <c r="X28" s="52" t="s">
        <v>172</v>
      </c>
      <c r="Y28" s="52"/>
      <c r="Z28" s="46" t="s">
        <v>168</v>
      </c>
    </row>
    <row r="29" spans="1:26">
      <c r="A29" s="49">
        <v>44362</v>
      </c>
      <c r="B29" s="48">
        <v>202106151009</v>
      </c>
      <c r="C29" s="46" t="s">
        <v>3350</v>
      </c>
      <c r="D29" s="46" t="s">
        <v>3515</v>
      </c>
      <c r="E29" s="46" t="s">
        <v>679</v>
      </c>
      <c r="F29" s="46" t="s">
        <v>3348</v>
      </c>
      <c r="G29" s="46" t="s">
        <v>633</v>
      </c>
      <c r="H29" s="47" t="s">
        <v>1510</v>
      </c>
      <c r="I29" s="46" t="s">
        <v>3168</v>
      </c>
      <c r="J29" s="46" t="s">
        <v>3160</v>
      </c>
      <c r="K29" s="46">
        <v>1</v>
      </c>
      <c r="L29" s="46">
        <v>296</v>
      </c>
      <c r="N29" s="46" t="s">
        <v>1509</v>
      </c>
      <c r="O29" s="52"/>
      <c r="P29" s="52">
        <v>888</v>
      </c>
      <c r="Q29" s="52" t="s">
        <v>633</v>
      </c>
      <c r="R29" s="52" t="s">
        <v>634</v>
      </c>
      <c r="T29" s="52">
        <v>111957</v>
      </c>
      <c r="U29" s="52" t="s">
        <v>680</v>
      </c>
      <c r="V29" s="52" t="s">
        <v>681</v>
      </c>
      <c r="W29" s="52"/>
      <c r="X29" s="52"/>
      <c r="Y29" s="52"/>
      <c r="Z29" s="46" t="s">
        <v>677</v>
      </c>
    </row>
    <row r="30" spans="1:26">
      <c r="A30" s="49">
        <v>44362</v>
      </c>
      <c r="B30" s="48">
        <v>202106151009</v>
      </c>
      <c r="C30" s="46" t="s">
        <v>3350</v>
      </c>
      <c r="D30" s="46" t="s">
        <v>3515</v>
      </c>
      <c r="E30" s="46" t="s">
        <v>679</v>
      </c>
      <c r="F30" s="46" t="s">
        <v>3348</v>
      </c>
      <c r="G30" s="46" t="s">
        <v>633</v>
      </c>
      <c r="H30" s="47" t="s">
        <v>1508</v>
      </c>
      <c r="I30" s="46" t="s">
        <v>3167</v>
      </c>
      <c r="J30" s="46" t="s">
        <v>3160</v>
      </c>
      <c r="K30" s="46">
        <v>1</v>
      </c>
      <c r="L30" s="46">
        <v>296</v>
      </c>
      <c r="N30" s="46" t="s">
        <v>1507</v>
      </c>
      <c r="O30" s="52"/>
      <c r="P30" s="52">
        <v>888</v>
      </c>
      <c r="Q30" s="52" t="s">
        <v>633</v>
      </c>
      <c r="R30" s="52" t="s">
        <v>634</v>
      </c>
      <c r="T30" s="52">
        <v>111957</v>
      </c>
      <c r="U30" s="52" t="s">
        <v>680</v>
      </c>
      <c r="V30" s="52" t="s">
        <v>681</v>
      </c>
      <c r="W30" s="52"/>
      <c r="X30" s="52"/>
      <c r="Y30" s="52"/>
      <c r="Z30" s="46" t="s">
        <v>677</v>
      </c>
    </row>
    <row r="31" spans="1:26">
      <c r="A31" s="49">
        <v>44362</v>
      </c>
      <c r="B31" s="48">
        <v>202106151009</v>
      </c>
      <c r="C31" s="46" t="s">
        <v>3350</v>
      </c>
      <c r="D31" s="46" t="s">
        <v>3515</v>
      </c>
      <c r="E31" s="46" t="s">
        <v>679</v>
      </c>
      <c r="F31" s="46" t="s">
        <v>3348</v>
      </c>
      <c r="G31" s="46" t="s">
        <v>633</v>
      </c>
      <c r="H31" s="47" t="s">
        <v>1506</v>
      </c>
      <c r="I31" s="46" t="s">
        <v>3167</v>
      </c>
      <c r="J31" s="46" t="s">
        <v>3160</v>
      </c>
      <c r="K31" s="46">
        <v>1</v>
      </c>
      <c r="L31" s="46">
        <v>296</v>
      </c>
      <c r="N31" s="46" t="s">
        <v>1505</v>
      </c>
      <c r="O31" s="52"/>
      <c r="P31" s="52">
        <v>888</v>
      </c>
      <c r="Q31" s="52" t="s">
        <v>633</v>
      </c>
      <c r="R31" s="52" t="s">
        <v>634</v>
      </c>
      <c r="T31" s="52">
        <v>111957</v>
      </c>
      <c r="U31" s="52" t="s">
        <v>680</v>
      </c>
      <c r="V31" s="52" t="s">
        <v>681</v>
      </c>
      <c r="W31" s="52"/>
      <c r="X31" s="52"/>
      <c r="Y31" s="52"/>
      <c r="Z31" s="46" t="s">
        <v>677</v>
      </c>
    </row>
    <row r="32" spans="1:26">
      <c r="A32" s="49">
        <v>44362</v>
      </c>
      <c r="B32" s="48">
        <v>202106151010</v>
      </c>
      <c r="C32" s="46" t="s">
        <v>3350</v>
      </c>
      <c r="D32" s="46" t="s">
        <v>3514</v>
      </c>
      <c r="E32" s="46" t="s">
        <v>685</v>
      </c>
      <c r="F32" s="46" t="s">
        <v>3348</v>
      </c>
      <c r="G32" s="46" t="s">
        <v>633</v>
      </c>
      <c r="H32" s="47" t="s">
        <v>1510</v>
      </c>
      <c r="I32" s="46" t="s">
        <v>3168</v>
      </c>
      <c r="J32" s="46" t="s">
        <v>3160</v>
      </c>
      <c r="K32" s="46">
        <v>1</v>
      </c>
      <c r="L32" s="46">
        <v>296</v>
      </c>
      <c r="N32" s="46" t="s">
        <v>1509</v>
      </c>
      <c r="O32" s="52"/>
      <c r="P32" s="52">
        <v>888</v>
      </c>
      <c r="Q32" s="52" t="s">
        <v>633</v>
      </c>
      <c r="R32" s="52" t="s">
        <v>634</v>
      </c>
      <c r="T32" s="52">
        <v>143840</v>
      </c>
      <c r="U32" s="52" t="s">
        <v>686</v>
      </c>
      <c r="V32" s="52" t="s">
        <v>687</v>
      </c>
      <c r="W32" s="52"/>
      <c r="X32" s="52"/>
      <c r="Y32" s="52"/>
      <c r="Z32" s="46" t="s">
        <v>683</v>
      </c>
    </row>
    <row r="33" spans="1:26">
      <c r="A33" s="49">
        <v>44362</v>
      </c>
      <c r="B33" s="48">
        <v>202106151010</v>
      </c>
      <c r="C33" s="46" t="s">
        <v>3350</v>
      </c>
      <c r="D33" s="46" t="s">
        <v>3514</v>
      </c>
      <c r="E33" s="46" t="s">
        <v>685</v>
      </c>
      <c r="F33" s="46" t="s">
        <v>3348</v>
      </c>
      <c r="G33" s="46" t="s">
        <v>633</v>
      </c>
      <c r="H33" s="47" t="s">
        <v>1508</v>
      </c>
      <c r="I33" s="46" t="s">
        <v>3167</v>
      </c>
      <c r="J33" s="46" t="s">
        <v>3160</v>
      </c>
      <c r="K33" s="46">
        <v>1</v>
      </c>
      <c r="L33" s="46">
        <v>296</v>
      </c>
      <c r="N33" s="46" t="s">
        <v>1507</v>
      </c>
      <c r="O33" s="52"/>
      <c r="P33" s="52">
        <v>888</v>
      </c>
      <c r="Q33" s="52" t="s">
        <v>633</v>
      </c>
      <c r="R33" s="52" t="s">
        <v>634</v>
      </c>
      <c r="T33" s="52">
        <v>143840</v>
      </c>
      <c r="U33" s="52" t="s">
        <v>686</v>
      </c>
      <c r="V33" s="52" t="s">
        <v>687</v>
      </c>
      <c r="W33" s="52"/>
      <c r="X33" s="52"/>
      <c r="Y33" s="52"/>
      <c r="Z33" s="46" t="s">
        <v>683</v>
      </c>
    </row>
    <row r="34" spans="1:26">
      <c r="A34" s="49">
        <v>44362</v>
      </c>
      <c r="B34" s="48">
        <v>202106151010</v>
      </c>
      <c r="C34" s="46" t="s">
        <v>3350</v>
      </c>
      <c r="D34" s="46" t="s">
        <v>3514</v>
      </c>
      <c r="E34" s="46" t="s">
        <v>685</v>
      </c>
      <c r="F34" s="46" t="s">
        <v>3348</v>
      </c>
      <c r="G34" s="46" t="s">
        <v>633</v>
      </c>
      <c r="H34" s="47" t="s">
        <v>1506</v>
      </c>
      <c r="I34" s="46" t="s">
        <v>3168</v>
      </c>
      <c r="J34" s="46" t="s">
        <v>3160</v>
      </c>
      <c r="K34" s="46">
        <v>1</v>
      </c>
      <c r="L34" s="46">
        <v>296</v>
      </c>
      <c r="N34" s="46" t="s">
        <v>1505</v>
      </c>
      <c r="O34" s="52"/>
      <c r="P34" s="52">
        <v>888</v>
      </c>
      <c r="Q34" s="52" t="s">
        <v>633</v>
      </c>
      <c r="R34" s="52" t="s">
        <v>634</v>
      </c>
      <c r="T34" s="52">
        <v>143840</v>
      </c>
      <c r="U34" s="52" t="s">
        <v>686</v>
      </c>
      <c r="V34" s="52" t="s">
        <v>687</v>
      </c>
      <c r="W34" s="52"/>
      <c r="X34" s="52"/>
      <c r="Y34" s="52"/>
      <c r="Z34" s="46" t="s">
        <v>683</v>
      </c>
    </row>
    <row r="35" spans="1:26">
      <c r="A35" s="49">
        <v>44362</v>
      </c>
      <c r="B35" s="48">
        <v>202106151011</v>
      </c>
      <c r="C35" s="46" t="s">
        <v>3350</v>
      </c>
      <c r="D35" s="46" t="s">
        <v>3513</v>
      </c>
      <c r="E35" s="46" t="s">
        <v>163</v>
      </c>
      <c r="F35" s="46" t="s">
        <v>3348</v>
      </c>
      <c r="G35" s="46" t="s">
        <v>39</v>
      </c>
      <c r="H35" s="47">
        <v>4714781021609</v>
      </c>
      <c r="I35" s="46" t="s">
        <v>3183</v>
      </c>
      <c r="J35" s="46" t="s">
        <v>3160</v>
      </c>
      <c r="K35" s="46">
        <v>2</v>
      </c>
      <c r="L35" s="46">
        <v>266</v>
      </c>
      <c r="N35" s="46" t="s">
        <v>1454</v>
      </c>
      <c r="O35" s="52"/>
      <c r="P35" s="52">
        <v>798</v>
      </c>
      <c r="Q35" s="52" t="s">
        <v>39</v>
      </c>
      <c r="R35" s="52" t="s">
        <v>40</v>
      </c>
      <c r="T35" s="52"/>
      <c r="U35" s="52"/>
      <c r="V35" s="52"/>
      <c r="W35" s="52">
        <v>831</v>
      </c>
      <c r="X35" s="52" t="s">
        <v>164</v>
      </c>
      <c r="Y35" s="52"/>
      <c r="Z35" s="46" t="s">
        <v>161</v>
      </c>
    </row>
    <row r="36" spans="1:26">
      <c r="A36" s="49">
        <v>44362</v>
      </c>
      <c r="B36" s="48">
        <v>202106151011</v>
      </c>
      <c r="C36" s="46" t="s">
        <v>3350</v>
      </c>
      <c r="D36" s="46" t="s">
        <v>3513</v>
      </c>
      <c r="E36" s="46" t="s">
        <v>163</v>
      </c>
      <c r="F36" s="46" t="s">
        <v>3348</v>
      </c>
      <c r="G36" s="46" t="s">
        <v>39</v>
      </c>
      <c r="H36" s="47">
        <v>4714781021029</v>
      </c>
      <c r="I36" s="46" t="s">
        <v>3235</v>
      </c>
      <c r="J36" s="46" t="s">
        <v>3160</v>
      </c>
      <c r="K36" s="46">
        <v>1</v>
      </c>
      <c r="L36" s="46">
        <v>133</v>
      </c>
      <c r="N36" s="46" t="s">
        <v>2072</v>
      </c>
      <c r="O36" s="52"/>
      <c r="P36" s="52">
        <v>798</v>
      </c>
      <c r="Q36" s="52" t="s">
        <v>39</v>
      </c>
      <c r="R36" s="52" t="s">
        <v>40</v>
      </c>
      <c r="T36" s="52"/>
      <c r="U36" s="52"/>
      <c r="V36" s="52"/>
      <c r="W36" s="52">
        <v>831</v>
      </c>
      <c r="X36" s="52" t="s">
        <v>164</v>
      </c>
      <c r="Y36" s="52"/>
      <c r="Z36" s="46" t="s">
        <v>161</v>
      </c>
    </row>
    <row r="37" spans="1:26">
      <c r="A37" s="49">
        <v>44362</v>
      </c>
      <c r="B37" s="48">
        <v>202106151011</v>
      </c>
      <c r="C37" s="46" t="s">
        <v>3350</v>
      </c>
      <c r="D37" s="46" t="s">
        <v>3513</v>
      </c>
      <c r="E37" s="46" t="s">
        <v>163</v>
      </c>
      <c r="F37" s="46" t="s">
        <v>3348</v>
      </c>
      <c r="G37" s="46" t="s">
        <v>39</v>
      </c>
      <c r="H37" s="47">
        <v>4714781021029</v>
      </c>
      <c r="I37" s="46" t="s">
        <v>3235</v>
      </c>
      <c r="J37" s="46" t="s">
        <v>3160</v>
      </c>
      <c r="K37" s="46">
        <v>2</v>
      </c>
      <c r="L37" s="46">
        <v>266</v>
      </c>
      <c r="N37" s="46" t="s">
        <v>2072</v>
      </c>
      <c r="O37" s="52"/>
      <c r="P37" s="52">
        <v>798</v>
      </c>
      <c r="Q37" s="52" t="s">
        <v>39</v>
      </c>
      <c r="R37" s="52" t="s">
        <v>40</v>
      </c>
      <c r="T37" s="52"/>
      <c r="U37" s="52"/>
      <c r="V37" s="52"/>
      <c r="W37" s="52">
        <v>831</v>
      </c>
      <c r="X37" s="52" t="s">
        <v>164</v>
      </c>
      <c r="Y37" s="52"/>
      <c r="Z37" s="46" t="s">
        <v>161</v>
      </c>
    </row>
    <row r="38" spans="1:26">
      <c r="A38" s="49">
        <v>44362</v>
      </c>
      <c r="B38" s="48">
        <v>202106151011</v>
      </c>
      <c r="C38" s="46" t="s">
        <v>3350</v>
      </c>
      <c r="D38" s="46" t="s">
        <v>3513</v>
      </c>
      <c r="E38" s="46" t="s">
        <v>163</v>
      </c>
      <c r="F38" s="46" t="s">
        <v>3348</v>
      </c>
      <c r="G38" s="46" t="s">
        <v>39</v>
      </c>
      <c r="H38" s="47">
        <v>4714781021609</v>
      </c>
      <c r="I38" s="46" t="s">
        <v>3183</v>
      </c>
      <c r="J38" s="46" t="s">
        <v>3160</v>
      </c>
      <c r="K38" s="46">
        <v>1</v>
      </c>
      <c r="L38" s="46">
        <v>133</v>
      </c>
      <c r="N38" s="46" t="s">
        <v>1454</v>
      </c>
      <c r="O38" s="52"/>
      <c r="P38" s="52">
        <v>798</v>
      </c>
      <c r="Q38" s="52" t="s">
        <v>39</v>
      </c>
      <c r="R38" s="52" t="s">
        <v>40</v>
      </c>
      <c r="T38" s="52"/>
      <c r="U38" s="52"/>
      <c r="V38" s="52"/>
      <c r="W38" s="52">
        <v>831</v>
      </c>
      <c r="X38" s="52" t="s">
        <v>164</v>
      </c>
      <c r="Y38" s="52"/>
      <c r="Z38" s="46" t="s">
        <v>161</v>
      </c>
    </row>
    <row r="39" spans="1:26">
      <c r="A39" s="49">
        <v>44362</v>
      </c>
      <c r="B39" s="48">
        <v>202106151012</v>
      </c>
      <c r="C39" s="46" t="s">
        <v>3350</v>
      </c>
      <c r="D39" s="46" t="s">
        <v>3512</v>
      </c>
      <c r="E39" s="46" t="s">
        <v>691</v>
      </c>
      <c r="F39" s="46" t="s">
        <v>3348</v>
      </c>
      <c r="G39" s="46" t="s">
        <v>633</v>
      </c>
      <c r="H39" s="47">
        <v>4714781021609</v>
      </c>
      <c r="I39" s="46" t="s">
        <v>3183</v>
      </c>
      <c r="J39" s="46" t="s">
        <v>3160</v>
      </c>
      <c r="K39" s="46">
        <v>2</v>
      </c>
      <c r="L39" s="46">
        <v>266</v>
      </c>
      <c r="N39" s="46" t="s">
        <v>1454</v>
      </c>
      <c r="O39" s="52"/>
      <c r="P39" s="52">
        <v>464</v>
      </c>
      <c r="Q39" s="52" t="s">
        <v>633</v>
      </c>
      <c r="R39" s="52" t="s">
        <v>634</v>
      </c>
      <c r="T39" s="52">
        <v>874506</v>
      </c>
      <c r="U39" s="52" t="s">
        <v>692</v>
      </c>
      <c r="V39" s="52" t="s">
        <v>693</v>
      </c>
      <c r="W39" s="52"/>
      <c r="X39" s="52"/>
      <c r="Y39" s="52"/>
      <c r="Z39" s="46" t="s">
        <v>689</v>
      </c>
    </row>
    <row r="40" spans="1:26">
      <c r="A40" s="49">
        <v>44362</v>
      </c>
      <c r="B40" s="48">
        <v>202106151012</v>
      </c>
      <c r="C40" s="46" t="s">
        <v>3350</v>
      </c>
      <c r="D40" s="46" t="s">
        <v>3512</v>
      </c>
      <c r="E40" s="46" t="s">
        <v>691</v>
      </c>
      <c r="F40" s="46" t="s">
        <v>3348</v>
      </c>
      <c r="G40" s="46" t="s">
        <v>633</v>
      </c>
      <c r="H40" s="47">
        <v>4714781021593</v>
      </c>
      <c r="I40" s="46" t="s">
        <v>3183</v>
      </c>
      <c r="J40" s="46" t="s">
        <v>3160</v>
      </c>
      <c r="K40" s="46">
        <v>1</v>
      </c>
      <c r="L40" s="46">
        <v>133</v>
      </c>
      <c r="N40" s="46" t="s">
        <v>1453</v>
      </c>
      <c r="O40" s="52"/>
      <c r="P40" s="52">
        <v>464</v>
      </c>
      <c r="Q40" s="52" t="s">
        <v>633</v>
      </c>
      <c r="R40" s="52" t="s">
        <v>634</v>
      </c>
      <c r="T40" s="52">
        <v>874506</v>
      </c>
      <c r="U40" s="52" t="s">
        <v>692</v>
      </c>
      <c r="V40" s="52" t="s">
        <v>693</v>
      </c>
      <c r="W40" s="52"/>
      <c r="X40" s="52"/>
      <c r="Y40" s="52"/>
      <c r="Z40" s="46" t="s">
        <v>689</v>
      </c>
    </row>
    <row r="41" spans="1:26">
      <c r="A41" s="49">
        <v>44362</v>
      </c>
      <c r="B41" s="48">
        <v>202106151012</v>
      </c>
      <c r="C41" s="46" t="s">
        <v>3350</v>
      </c>
      <c r="D41" s="46" t="s">
        <v>3512</v>
      </c>
      <c r="E41" s="46" t="s">
        <v>691</v>
      </c>
      <c r="F41" s="46" t="s">
        <v>3348</v>
      </c>
      <c r="G41" s="46" t="s">
        <v>633</v>
      </c>
      <c r="H41" s="47" t="s">
        <v>3347</v>
      </c>
      <c r="J41" s="46" t="s">
        <v>3346</v>
      </c>
      <c r="K41" s="46">
        <v>1</v>
      </c>
      <c r="L41" s="46">
        <v>65</v>
      </c>
      <c r="O41" s="52"/>
      <c r="P41" s="52"/>
      <c r="Q41" s="52"/>
      <c r="R41" s="52"/>
      <c r="T41" s="52"/>
      <c r="U41" s="52"/>
      <c r="V41" s="52"/>
      <c r="W41" s="52"/>
      <c r="X41" s="52"/>
      <c r="Y41" s="52"/>
    </row>
    <row r="42" spans="1:26">
      <c r="A42" s="49">
        <v>44362</v>
      </c>
      <c r="B42" s="48">
        <v>202106151013</v>
      </c>
      <c r="C42" s="46" t="s">
        <v>3350</v>
      </c>
      <c r="D42" s="46" t="s">
        <v>3511</v>
      </c>
      <c r="E42" s="46" t="s">
        <v>697</v>
      </c>
      <c r="F42" s="46" t="s">
        <v>3348</v>
      </c>
      <c r="G42" s="46" t="s">
        <v>633</v>
      </c>
      <c r="H42" s="47" t="s">
        <v>1512</v>
      </c>
      <c r="I42" s="46" t="s">
        <v>3210</v>
      </c>
      <c r="J42" s="46" t="s">
        <v>3160</v>
      </c>
      <c r="K42" s="46">
        <v>1</v>
      </c>
      <c r="L42" s="46">
        <v>150</v>
      </c>
      <c r="N42" s="46" t="s">
        <v>1511</v>
      </c>
      <c r="O42" s="52"/>
      <c r="P42" s="52">
        <v>849</v>
      </c>
      <c r="Q42" s="52" t="s">
        <v>633</v>
      </c>
      <c r="R42" s="52" t="s">
        <v>634</v>
      </c>
      <c r="T42" s="52">
        <v>187932</v>
      </c>
      <c r="U42" s="52" t="s">
        <v>698</v>
      </c>
      <c r="V42" s="52" t="s">
        <v>699</v>
      </c>
      <c r="W42" s="52"/>
      <c r="X42" s="52"/>
      <c r="Y42" s="52"/>
      <c r="Z42" s="46" t="s">
        <v>695</v>
      </c>
    </row>
    <row r="43" spans="1:26">
      <c r="A43" s="49">
        <v>44362</v>
      </c>
      <c r="B43" s="48">
        <v>202106151013</v>
      </c>
      <c r="C43" s="46" t="s">
        <v>3350</v>
      </c>
      <c r="D43" s="46" t="s">
        <v>3511</v>
      </c>
      <c r="E43" s="46" t="s">
        <v>697</v>
      </c>
      <c r="F43" s="46" t="s">
        <v>3348</v>
      </c>
      <c r="G43" s="46" t="s">
        <v>633</v>
      </c>
      <c r="H43" s="47" t="s">
        <v>1517</v>
      </c>
      <c r="I43" s="46" t="s">
        <v>3207</v>
      </c>
      <c r="J43" s="46" t="s">
        <v>3160</v>
      </c>
      <c r="K43" s="46">
        <v>1</v>
      </c>
      <c r="L43" s="46">
        <v>150</v>
      </c>
      <c r="N43" s="46" t="s">
        <v>1516</v>
      </c>
      <c r="O43" s="52"/>
      <c r="P43" s="52">
        <v>849</v>
      </c>
      <c r="Q43" s="52" t="s">
        <v>633</v>
      </c>
      <c r="R43" s="52" t="s">
        <v>634</v>
      </c>
      <c r="T43" s="52">
        <v>187932</v>
      </c>
      <c r="U43" s="52" t="s">
        <v>698</v>
      </c>
      <c r="V43" s="52" t="s">
        <v>699</v>
      </c>
      <c r="W43" s="52"/>
      <c r="X43" s="52"/>
      <c r="Y43" s="52"/>
      <c r="Z43" s="46" t="s">
        <v>695</v>
      </c>
    </row>
    <row r="44" spans="1:26">
      <c r="A44" s="49">
        <v>44362</v>
      </c>
      <c r="B44" s="48">
        <v>202106151013</v>
      </c>
      <c r="C44" s="46" t="s">
        <v>3350</v>
      </c>
      <c r="D44" s="46" t="s">
        <v>3511</v>
      </c>
      <c r="E44" s="46" t="s">
        <v>697</v>
      </c>
      <c r="F44" s="46" t="s">
        <v>3348</v>
      </c>
      <c r="G44" s="46" t="s">
        <v>633</v>
      </c>
      <c r="H44" s="47" t="s">
        <v>1514</v>
      </c>
      <c r="I44" s="46" t="s">
        <v>3210</v>
      </c>
      <c r="J44" s="46" t="s">
        <v>3160</v>
      </c>
      <c r="K44" s="46">
        <v>1</v>
      </c>
      <c r="L44" s="46">
        <v>150</v>
      </c>
      <c r="N44" s="46" t="s">
        <v>1513</v>
      </c>
      <c r="O44" s="52"/>
      <c r="P44" s="52">
        <v>849</v>
      </c>
      <c r="Q44" s="52" t="s">
        <v>633</v>
      </c>
      <c r="R44" s="52" t="s">
        <v>634</v>
      </c>
      <c r="T44" s="52">
        <v>187932</v>
      </c>
      <c r="U44" s="52" t="s">
        <v>698</v>
      </c>
      <c r="V44" s="52" t="s">
        <v>699</v>
      </c>
      <c r="W44" s="52"/>
      <c r="X44" s="52"/>
      <c r="Y44" s="52"/>
      <c r="Z44" s="46" t="s">
        <v>695</v>
      </c>
    </row>
    <row r="45" spans="1:26">
      <c r="A45" s="49">
        <v>44362</v>
      </c>
      <c r="B45" s="48">
        <v>202106151013</v>
      </c>
      <c r="C45" s="46" t="s">
        <v>3350</v>
      </c>
      <c r="D45" s="46" t="s">
        <v>3511</v>
      </c>
      <c r="E45" s="46" t="s">
        <v>697</v>
      </c>
      <c r="F45" s="46" t="s">
        <v>3348</v>
      </c>
      <c r="G45" s="46" t="s">
        <v>633</v>
      </c>
      <c r="H45" s="47">
        <v>4714781021609</v>
      </c>
      <c r="I45" s="46" t="s">
        <v>3183</v>
      </c>
      <c r="J45" s="46" t="s">
        <v>3160</v>
      </c>
      <c r="K45" s="46">
        <v>2</v>
      </c>
      <c r="L45" s="46">
        <v>266</v>
      </c>
      <c r="N45" s="46" t="s">
        <v>1454</v>
      </c>
      <c r="O45" s="52"/>
      <c r="P45" s="52">
        <v>849</v>
      </c>
      <c r="Q45" s="52" t="s">
        <v>633</v>
      </c>
      <c r="R45" s="52" t="s">
        <v>634</v>
      </c>
      <c r="T45" s="52">
        <v>187932</v>
      </c>
      <c r="U45" s="52" t="s">
        <v>698</v>
      </c>
      <c r="V45" s="52" t="s">
        <v>699</v>
      </c>
      <c r="W45" s="52"/>
      <c r="X45" s="52"/>
      <c r="Y45" s="52"/>
      <c r="Z45" s="46" t="s">
        <v>695</v>
      </c>
    </row>
    <row r="46" spans="1:26">
      <c r="A46" s="49">
        <v>44362</v>
      </c>
      <c r="B46" s="48">
        <v>202106151013</v>
      </c>
      <c r="C46" s="46" t="s">
        <v>3350</v>
      </c>
      <c r="D46" s="46" t="s">
        <v>3511</v>
      </c>
      <c r="E46" s="46" t="s">
        <v>697</v>
      </c>
      <c r="F46" s="46" t="s">
        <v>3348</v>
      </c>
      <c r="G46" s="46" t="s">
        <v>633</v>
      </c>
      <c r="H46" s="47">
        <v>4714781021593</v>
      </c>
      <c r="I46" s="46" t="s">
        <v>3183</v>
      </c>
      <c r="J46" s="46" t="s">
        <v>3160</v>
      </c>
      <c r="K46" s="46">
        <v>1</v>
      </c>
      <c r="L46" s="46">
        <v>133</v>
      </c>
      <c r="N46" s="46" t="s">
        <v>1453</v>
      </c>
      <c r="O46" s="52"/>
      <c r="P46" s="52">
        <v>849</v>
      </c>
      <c r="Q46" s="52" t="s">
        <v>633</v>
      </c>
      <c r="R46" s="52" t="s">
        <v>634</v>
      </c>
      <c r="T46" s="52">
        <v>187932</v>
      </c>
      <c r="U46" s="52" t="s">
        <v>698</v>
      </c>
      <c r="V46" s="52" t="s">
        <v>699</v>
      </c>
      <c r="W46" s="52"/>
      <c r="X46" s="52"/>
      <c r="Y46" s="52"/>
      <c r="Z46" s="46" t="s">
        <v>695</v>
      </c>
    </row>
    <row r="47" spans="1:26">
      <c r="A47" s="49">
        <v>44362</v>
      </c>
      <c r="B47" s="48">
        <v>202106151014</v>
      </c>
      <c r="C47" s="46" t="s">
        <v>3350</v>
      </c>
      <c r="D47" s="46" t="s">
        <v>3510</v>
      </c>
      <c r="E47" s="46" t="s">
        <v>148</v>
      </c>
      <c r="F47" s="46" t="s">
        <v>3348</v>
      </c>
      <c r="G47" s="46" t="s">
        <v>39</v>
      </c>
      <c r="H47" s="47">
        <v>4714781020770</v>
      </c>
      <c r="I47" s="46" t="s">
        <v>3276</v>
      </c>
      <c r="J47" s="46" t="s">
        <v>3160</v>
      </c>
      <c r="K47" s="46">
        <v>1</v>
      </c>
      <c r="L47" s="46">
        <v>122</v>
      </c>
      <c r="N47" s="46" t="s">
        <v>1380</v>
      </c>
      <c r="O47" s="52"/>
      <c r="P47" s="52">
        <v>1025</v>
      </c>
      <c r="Q47" s="52" t="s">
        <v>39</v>
      </c>
      <c r="R47" s="52" t="s">
        <v>40</v>
      </c>
      <c r="T47" s="52"/>
      <c r="U47" s="52"/>
      <c r="V47" s="52"/>
      <c r="W47" s="52">
        <v>111</v>
      </c>
      <c r="X47" s="52" t="s">
        <v>153</v>
      </c>
      <c r="Y47" s="52"/>
      <c r="Z47" s="46" t="s">
        <v>146</v>
      </c>
    </row>
    <row r="48" spans="1:26">
      <c r="A48" s="49">
        <v>44362</v>
      </c>
      <c r="B48" s="48">
        <v>202106151014</v>
      </c>
      <c r="C48" s="46" t="s">
        <v>3350</v>
      </c>
      <c r="D48" s="46" t="s">
        <v>3510</v>
      </c>
      <c r="E48" s="46" t="s">
        <v>148</v>
      </c>
      <c r="F48" s="46" t="s">
        <v>3348</v>
      </c>
      <c r="G48" s="46" t="s">
        <v>39</v>
      </c>
      <c r="H48" s="47">
        <v>4714781020787</v>
      </c>
      <c r="I48" s="46" t="s">
        <v>3262</v>
      </c>
      <c r="J48" s="46" t="s">
        <v>3160</v>
      </c>
      <c r="K48" s="46">
        <v>1</v>
      </c>
      <c r="L48" s="46">
        <v>122</v>
      </c>
      <c r="N48" s="46" t="s">
        <v>1378</v>
      </c>
      <c r="O48" s="52"/>
      <c r="P48" s="52">
        <v>1025</v>
      </c>
      <c r="Q48" s="52" t="s">
        <v>39</v>
      </c>
      <c r="R48" s="52" t="s">
        <v>40</v>
      </c>
      <c r="T48" s="52"/>
      <c r="U48" s="52"/>
      <c r="V48" s="52"/>
      <c r="W48" s="52">
        <v>111</v>
      </c>
      <c r="X48" s="52" t="s">
        <v>153</v>
      </c>
      <c r="Y48" s="52"/>
      <c r="Z48" s="46" t="s">
        <v>146</v>
      </c>
    </row>
    <row r="49" spans="1:26">
      <c r="A49" s="49">
        <v>44362</v>
      </c>
      <c r="B49" s="48">
        <v>202106151014</v>
      </c>
      <c r="C49" s="46" t="s">
        <v>3350</v>
      </c>
      <c r="D49" s="46" t="s">
        <v>3510</v>
      </c>
      <c r="E49" s="46" t="s">
        <v>148</v>
      </c>
      <c r="F49" s="46" t="s">
        <v>3348</v>
      </c>
      <c r="G49" s="46" t="s">
        <v>39</v>
      </c>
      <c r="H49" s="47">
        <v>4714781020954</v>
      </c>
      <c r="I49" s="46" t="s">
        <v>3251</v>
      </c>
      <c r="J49" s="46" t="s">
        <v>3160</v>
      </c>
      <c r="K49" s="46">
        <v>1</v>
      </c>
      <c r="L49" s="46">
        <v>132</v>
      </c>
      <c r="N49" s="46" t="s">
        <v>140</v>
      </c>
      <c r="O49" s="52"/>
      <c r="P49" s="52">
        <v>1025</v>
      </c>
      <c r="Q49" s="52" t="s">
        <v>39</v>
      </c>
      <c r="R49" s="52" t="s">
        <v>40</v>
      </c>
      <c r="T49" s="52"/>
      <c r="U49" s="52"/>
      <c r="V49" s="52"/>
      <c r="W49" s="52">
        <v>111</v>
      </c>
      <c r="X49" s="52" t="s">
        <v>153</v>
      </c>
      <c r="Y49" s="52"/>
      <c r="Z49" s="46" t="s">
        <v>146</v>
      </c>
    </row>
    <row r="50" spans="1:26">
      <c r="A50" s="49">
        <v>44362</v>
      </c>
      <c r="B50" s="48">
        <v>202106151014</v>
      </c>
      <c r="C50" s="46" t="s">
        <v>3350</v>
      </c>
      <c r="D50" s="46" t="s">
        <v>3510</v>
      </c>
      <c r="E50" s="46" t="s">
        <v>148</v>
      </c>
      <c r="F50" s="46" t="s">
        <v>3348</v>
      </c>
      <c r="G50" s="46" t="s">
        <v>39</v>
      </c>
      <c r="H50" s="47">
        <v>4714781020510</v>
      </c>
      <c r="I50" s="46" t="s">
        <v>3166</v>
      </c>
      <c r="J50" s="46" t="s">
        <v>3160</v>
      </c>
      <c r="K50" s="46">
        <v>1</v>
      </c>
      <c r="L50" s="46">
        <v>260</v>
      </c>
      <c r="N50" s="46" t="s">
        <v>155</v>
      </c>
      <c r="O50" s="52"/>
      <c r="P50" s="52">
        <v>1025</v>
      </c>
      <c r="Q50" s="52" t="s">
        <v>39</v>
      </c>
      <c r="R50" s="52" t="s">
        <v>40</v>
      </c>
      <c r="T50" s="52"/>
      <c r="U50" s="52"/>
      <c r="V50" s="52"/>
      <c r="W50" s="52">
        <v>111</v>
      </c>
      <c r="X50" s="52" t="s">
        <v>153</v>
      </c>
      <c r="Y50" s="52"/>
      <c r="Z50" s="46" t="s">
        <v>146</v>
      </c>
    </row>
    <row r="51" spans="1:26">
      <c r="A51" s="49">
        <v>44362</v>
      </c>
      <c r="B51" s="48">
        <v>202106151014</v>
      </c>
      <c r="C51" s="46" t="s">
        <v>3350</v>
      </c>
      <c r="D51" s="46" t="s">
        <v>3510</v>
      </c>
      <c r="E51" s="46" t="s">
        <v>148</v>
      </c>
      <c r="F51" s="46" t="s">
        <v>3348</v>
      </c>
      <c r="G51" s="46" t="s">
        <v>39</v>
      </c>
      <c r="H51" s="47">
        <v>4714781021463</v>
      </c>
      <c r="I51" s="46" t="s">
        <v>3194</v>
      </c>
      <c r="J51" s="46" t="s">
        <v>3160</v>
      </c>
      <c r="K51" s="46">
        <v>2</v>
      </c>
      <c r="L51" s="46">
        <v>240</v>
      </c>
      <c r="N51" s="46" t="s">
        <v>158</v>
      </c>
      <c r="O51" s="52"/>
      <c r="P51" s="52">
        <v>1025</v>
      </c>
      <c r="Q51" s="52" t="s">
        <v>39</v>
      </c>
      <c r="R51" s="52" t="s">
        <v>40</v>
      </c>
      <c r="T51" s="52"/>
      <c r="U51" s="52"/>
      <c r="V51" s="52"/>
      <c r="W51" s="52">
        <v>111</v>
      </c>
      <c r="X51" s="52" t="s">
        <v>153</v>
      </c>
      <c r="Y51" s="52"/>
      <c r="Z51" s="46" t="s">
        <v>146</v>
      </c>
    </row>
    <row r="52" spans="1:26">
      <c r="A52" s="49">
        <v>44362</v>
      </c>
      <c r="B52" s="48">
        <v>202106151014</v>
      </c>
      <c r="C52" s="46" t="s">
        <v>3350</v>
      </c>
      <c r="D52" s="46" t="s">
        <v>3510</v>
      </c>
      <c r="E52" s="46" t="s">
        <v>148</v>
      </c>
      <c r="F52" s="46" t="s">
        <v>3348</v>
      </c>
      <c r="G52" s="46" t="s">
        <v>39</v>
      </c>
      <c r="H52" s="47">
        <v>4714781020954</v>
      </c>
      <c r="I52" s="46" t="s">
        <v>3251</v>
      </c>
      <c r="J52" s="46" t="s">
        <v>3160</v>
      </c>
      <c r="K52" s="46">
        <v>1</v>
      </c>
      <c r="L52" s="46">
        <v>149</v>
      </c>
      <c r="N52" s="46" t="s">
        <v>139</v>
      </c>
      <c r="O52" s="52"/>
      <c r="P52" s="52">
        <v>1025</v>
      </c>
      <c r="Q52" s="52" t="s">
        <v>39</v>
      </c>
      <c r="R52" s="52" t="s">
        <v>40</v>
      </c>
      <c r="T52" s="52"/>
      <c r="U52" s="52"/>
      <c r="V52" s="52"/>
      <c r="W52" s="52">
        <v>111</v>
      </c>
      <c r="X52" s="52" t="s">
        <v>153</v>
      </c>
      <c r="Y52" s="52"/>
      <c r="Z52" s="46" t="s">
        <v>146</v>
      </c>
    </row>
    <row r="53" spans="1:26">
      <c r="A53" s="49">
        <v>44362</v>
      </c>
      <c r="B53" s="48">
        <v>202106151015</v>
      </c>
      <c r="C53" s="46" t="s">
        <v>3350</v>
      </c>
      <c r="D53" s="46" t="s">
        <v>3509</v>
      </c>
      <c r="E53" s="46" t="s">
        <v>137</v>
      </c>
      <c r="F53" s="46" t="s">
        <v>3348</v>
      </c>
      <c r="G53" s="46" t="s">
        <v>39</v>
      </c>
      <c r="H53" s="47">
        <v>4714781020954</v>
      </c>
      <c r="I53" s="46" t="s">
        <v>3251</v>
      </c>
      <c r="J53" s="46" t="s">
        <v>3160</v>
      </c>
      <c r="K53" s="46">
        <v>1</v>
      </c>
      <c r="L53" s="46">
        <v>149</v>
      </c>
      <c r="N53" s="46" t="s">
        <v>139</v>
      </c>
      <c r="O53" s="52"/>
      <c r="P53" s="52">
        <v>1146</v>
      </c>
      <c r="Q53" s="52" t="s">
        <v>39</v>
      </c>
      <c r="R53" s="52" t="s">
        <v>40</v>
      </c>
      <c r="T53" s="52"/>
      <c r="U53" s="52"/>
      <c r="V53" s="52"/>
      <c r="W53" s="52">
        <v>333</v>
      </c>
      <c r="X53" s="52" t="s">
        <v>141</v>
      </c>
      <c r="Y53" s="52"/>
      <c r="Z53" s="46" t="s">
        <v>135</v>
      </c>
    </row>
    <row r="54" spans="1:26">
      <c r="A54" s="49">
        <v>44362</v>
      </c>
      <c r="B54" s="48">
        <v>202106151015</v>
      </c>
      <c r="C54" s="46" t="s">
        <v>3350</v>
      </c>
      <c r="D54" s="46" t="s">
        <v>3509</v>
      </c>
      <c r="E54" s="46" t="s">
        <v>137</v>
      </c>
      <c r="F54" s="46" t="s">
        <v>3348</v>
      </c>
      <c r="G54" s="46" t="s">
        <v>39</v>
      </c>
      <c r="H54" s="47">
        <v>4714781020794</v>
      </c>
      <c r="I54" s="46" t="s">
        <v>3270</v>
      </c>
      <c r="J54" s="46" t="s">
        <v>3160</v>
      </c>
      <c r="K54" s="46">
        <v>1</v>
      </c>
      <c r="L54" s="46">
        <v>109</v>
      </c>
      <c r="N54" s="46" t="s">
        <v>143</v>
      </c>
      <c r="O54" s="52"/>
      <c r="P54" s="52">
        <v>1146</v>
      </c>
      <c r="Q54" s="52" t="s">
        <v>39</v>
      </c>
      <c r="R54" s="52" t="s">
        <v>40</v>
      </c>
      <c r="T54" s="52"/>
      <c r="U54" s="52"/>
      <c r="V54" s="52"/>
      <c r="W54" s="52">
        <v>333</v>
      </c>
      <c r="X54" s="52" t="s">
        <v>141</v>
      </c>
      <c r="Y54" s="52"/>
      <c r="Z54" s="46" t="s">
        <v>135</v>
      </c>
    </row>
    <row r="55" spans="1:26">
      <c r="A55" s="49">
        <v>44362</v>
      </c>
      <c r="B55" s="48">
        <v>202106151015</v>
      </c>
      <c r="C55" s="46" t="s">
        <v>3350</v>
      </c>
      <c r="D55" s="46" t="s">
        <v>3509</v>
      </c>
      <c r="E55" s="46" t="s">
        <v>137</v>
      </c>
      <c r="F55" s="46" t="s">
        <v>3348</v>
      </c>
      <c r="G55" s="46" t="s">
        <v>39</v>
      </c>
      <c r="H55" s="47" t="s">
        <v>1510</v>
      </c>
      <c r="I55" s="46" t="s">
        <v>3168</v>
      </c>
      <c r="J55" s="46" t="s">
        <v>3160</v>
      </c>
      <c r="K55" s="46">
        <v>1</v>
      </c>
      <c r="L55" s="46">
        <v>296</v>
      </c>
      <c r="N55" s="46" t="s">
        <v>1509</v>
      </c>
      <c r="O55" s="52"/>
      <c r="P55" s="52">
        <v>1146</v>
      </c>
      <c r="Q55" s="52" t="s">
        <v>39</v>
      </c>
      <c r="R55" s="52" t="s">
        <v>40</v>
      </c>
      <c r="T55" s="52"/>
      <c r="U55" s="52"/>
      <c r="V55" s="52"/>
      <c r="W55" s="52">
        <v>333</v>
      </c>
      <c r="X55" s="52" t="s">
        <v>141</v>
      </c>
      <c r="Y55" s="52"/>
      <c r="Z55" s="46" t="s">
        <v>135</v>
      </c>
    </row>
    <row r="56" spans="1:26">
      <c r="A56" s="49">
        <v>44362</v>
      </c>
      <c r="B56" s="48">
        <v>202106151015</v>
      </c>
      <c r="C56" s="46" t="s">
        <v>3350</v>
      </c>
      <c r="D56" s="46" t="s">
        <v>3509</v>
      </c>
      <c r="E56" s="46" t="s">
        <v>137</v>
      </c>
      <c r="F56" s="46" t="s">
        <v>3348</v>
      </c>
      <c r="G56" s="46" t="s">
        <v>39</v>
      </c>
      <c r="H56" s="47" t="s">
        <v>1508</v>
      </c>
      <c r="I56" s="46" t="s">
        <v>3167</v>
      </c>
      <c r="J56" s="46" t="s">
        <v>3160</v>
      </c>
      <c r="K56" s="46">
        <v>1</v>
      </c>
      <c r="L56" s="46">
        <v>296</v>
      </c>
      <c r="N56" s="46" t="s">
        <v>1507</v>
      </c>
      <c r="O56" s="52"/>
      <c r="P56" s="52">
        <v>1146</v>
      </c>
      <c r="Q56" s="52" t="s">
        <v>39</v>
      </c>
      <c r="R56" s="52" t="s">
        <v>40</v>
      </c>
      <c r="T56" s="52"/>
      <c r="U56" s="52"/>
      <c r="V56" s="52"/>
      <c r="W56" s="52">
        <v>333</v>
      </c>
      <c r="X56" s="52" t="s">
        <v>141</v>
      </c>
      <c r="Y56" s="52"/>
      <c r="Z56" s="46" t="s">
        <v>135</v>
      </c>
    </row>
    <row r="57" spans="1:26">
      <c r="A57" s="49">
        <v>44362</v>
      </c>
      <c r="B57" s="48">
        <v>202106151015</v>
      </c>
      <c r="C57" s="46" t="s">
        <v>3350</v>
      </c>
      <c r="D57" s="46" t="s">
        <v>3509</v>
      </c>
      <c r="E57" s="46" t="s">
        <v>137</v>
      </c>
      <c r="F57" s="46" t="s">
        <v>3348</v>
      </c>
      <c r="G57" s="46" t="s">
        <v>39</v>
      </c>
      <c r="H57" s="47" t="s">
        <v>1506</v>
      </c>
      <c r="I57" s="46" t="s">
        <v>3168</v>
      </c>
      <c r="J57" s="46" t="s">
        <v>3160</v>
      </c>
      <c r="K57" s="46">
        <v>1</v>
      </c>
      <c r="L57" s="46">
        <v>296</v>
      </c>
      <c r="N57" s="46" t="s">
        <v>1505</v>
      </c>
      <c r="O57" s="52"/>
      <c r="P57" s="52">
        <v>1146</v>
      </c>
      <c r="Q57" s="52" t="s">
        <v>39</v>
      </c>
      <c r="R57" s="52" t="s">
        <v>40</v>
      </c>
      <c r="T57" s="52"/>
      <c r="U57" s="52"/>
      <c r="V57" s="52"/>
      <c r="W57" s="52">
        <v>333</v>
      </c>
      <c r="X57" s="52" t="s">
        <v>141</v>
      </c>
      <c r="Y57" s="52"/>
      <c r="Z57" s="46" t="s">
        <v>135</v>
      </c>
    </row>
    <row r="58" spans="1:26">
      <c r="A58" s="49">
        <v>44362</v>
      </c>
      <c r="B58" s="48">
        <v>202106151016</v>
      </c>
      <c r="C58" s="46" t="s">
        <v>3350</v>
      </c>
      <c r="D58" s="46" t="s">
        <v>3508</v>
      </c>
      <c r="E58" s="46" t="s">
        <v>703</v>
      </c>
      <c r="F58" s="46" t="s">
        <v>3348</v>
      </c>
      <c r="G58" s="46" t="s">
        <v>633</v>
      </c>
      <c r="H58" s="47">
        <v>4714781024716</v>
      </c>
      <c r="I58" s="46" t="s">
        <v>3168</v>
      </c>
      <c r="J58" s="46" t="s">
        <v>3160</v>
      </c>
      <c r="K58" s="46">
        <v>1</v>
      </c>
      <c r="L58" s="46">
        <v>299</v>
      </c>
      <c r="N58" s="46" t="s">
        <v>372</v>
      </c>
      <c r="O58" s="52"/>
      <c r="P58" s="52">
        <v>364</v>
      </c>
      <c r="Q58" s="52" t="s">
        <v>633</v>
      </c>
      <c r="R58" s="52" t="s">
        <v>634</v>
      </c>
      <c r="T58" s="52">
        <v>151069</v>
      </c>
      <c r="U58" s="52" t="s">
        <v>704</v>
      </c>
      <c r="V58" s="52" t="s">
        <v>705</v>
      </c>
      <c r="W58" s="52"/>
      <c r="X58" s="52"/>
      <c r="Y58" s="52"/>
      <c r="Z58" s="46" t="s">
        <v>701</v>
      </c>
    </row>
    <row r="59" spans="1:26">
      <c r="A59" s="49">
        <v>44362</v>
      </c>
      <c r="B59" s="48">
        <v>202106151016</v>
      </c>
      <c r="C59" s="46" t="s">
        <v>3350</v>
      </c>
      <c r="D59" s="46" t="s">
        <v>3508</v>
      </c>
      <c r="E59" s="46" t="s">
        <v>703</v>
      </c>
      <c r="F59" s="46" t="s">
        <v>3348</v>
      </c>
      <c r="G59" s="46" t="s">
        <v>633</v>
      </c>
      <c r="H59" s="47" t="s">
        <v>3347</v>
      </c>
      <c r="J59" s="46" t="s">
        <v>3346</v>
      </c>
      <c r="K59" s="46">
        <v>1</v>
      </c>
      <c r="L59" s="46">
        <v>65</v>
      </c>
      <c r="O59" s="52"/>
      <c r="P59" s="52"/>
      <c r="Q59" s="52"/>
      <c r="R59" s="52"/>
      <c r="T59" s="52"/>
      <c r="U59" s="52"/>
      <c r="V59" s="52"/>
      <c r="W59" s="52"/>
      <c r="X59" s="52"/>
      <c r="Y59" s="52"/>
    </row>
    <row r="60" spans="1:26">
      <c r="A60" s="49">
        <v>44362</v>
      </c>
      <c r="B60" s="48">
        <v>202106151017</v>
      </c>
      <c r="C60" s="46" t="s">
        <v>3350</v>
      </c>
      <c r="D60" s="46" t="s">
        <v>3507</v>
      </c>
      <c r="E60" s="46" t="s">
        <v>131</v>
      </c>
      <c r="F60" s="46" t="s">
        <v>3348</v>
      </c>
      <c r="G60" s="46" t="s">
        <v>22</v>
      </c>
      <c r="H60" s="47" t="s">
        <v>1510</v>
      </c>
      <c r="I60" s="46" t="s">
        <v>3168</v>
      </c>
      <c r="J60" s="46" t="s">
        <v>3160</v>
      </c>
      <c r="K60" s="46">
        <v>2</v>
      </c>
      <c r="L60" s="46">
        <v>592</v>
      </c>
      <c r="N60" s="46" t="s">
        <v>1509</v>
      </c>
      <c r="O60" s="52"/>
      <c r="P60" s="52">
        <v>1776</v>
      </c>
      <c r="Q60" s="52" t="s">
        <v>22</v>
      </c>
      <c r="R60" s="52" t="s">
        <v>23</v>
      </c>
      <c r="T60" s="52"/>
      <c r="U60" s="52"/>
      <c r="V60" s="52"/>
      <c r="W60" s="52">
        <v>556</v>
      </c>
      <c r="X60" s="52" t="s">
        <v>132</v>
      </c>
      <c r="Y60" s="52" t="s">
        <v>133</v>
      </c>
      <c r="Z60" s="46" t="s">
        <v>129</v>
      </c>
    </row>
    <row r="61" spans="1:26">
      <c r="A61" s="49">
        <v>44362</v>
      </c>
      <c r="B61" s="48">
        <v>202106151017</v>
      </c>
      <c r="C61" s="46" t="s">
        <v>3350</v>
      </c>
      <c r="D61" s="46" t="s">
        <v>3507</v>
      </c>
      <c r="E61" s="46" t="s">
        <v>131</v>
      </c>
      <c r="F61" s="46" t="s">
        <v>3348</v>
      </c>
      <c r="G61" s="46" t="s">
        <v>22</v>
      </c>
      <c r="H61" s="47" t="s">
        <v>1508</v>
      </c>
      <c r="I61" s="46" t="s">
        <v>3167</v>
      </c>
      <c r="J61" s="46" t="s">
        <v>3160</v>
      </c>
      <c r="K61" s="46">
        <v>2</v>
      </c>
      <c r="L61" s="46">
        <v>592</v>
      </c>
      <c r="N61" s="46" t="s">
        <v>1507</v>
      </c>
      <c r="O61" s="52"/>
      <c r="P61" s="52">
        <v>1776</v>
      </c>
      <c r="Q61" s="52" t="s">
        <v>22</v>
      </c>
      <c r="R61" s="52" t="s">
        <v>23</v>
      </c>
      <c r="T61" s="52"/>
      <c r="U61" s="52"/>
      <c r="V61" s="52"/>
      <c r="W61" s="52">
        <v>556</v>
      </c>
      <c r="X61" s="52" t="s">
        <v>132</v>
      </c>
      <c r="Y61" s="52" t="s">
        <v>133</v>
      </c>
      <c r="Z61" s="46" t="s">
        <v>129</v>
      </c>
    </row>
    <row r="62" spans="1:26">
      <c r="A62" s="49">
        <v>44362</v>
      </c>
      <c r="B62" s="48">
        <v>202106151017</v>
      </c>
      <c r="C62" s="46" t="s">
        <v>3350</v>
      </c>
      <c r="D62" s="46" t="s">
        <v>3507</v>
      </c>
      <c r="E62" s="46" t="s">
        <v>131</v>
      </c>
      <c r="F62" s="46" t="s">
        <v>3348</v>
      </c>
      <c r="G62" s="46" t="s">
        <v>22</v>
      </c>
      <c r="H62" s="47" t="s">
        <v>1506</v>
      </c>
      <c r="I62" s="46" t="s">
        <v>3168</v>
      </c>
      <c r="J62" s="46" t="s">
        <v>3160</v>
      </c>
      <c r="K62" s="46">
        <v>2</v>
      </c>
      <c r="L62" s="46">
        <v>592</v>
      </c>
      <c r="N62" s="46" t="s">
        <v>1505</v>
      </c>
      <c r="O62" s="52"/>
      <c r="P62" s="52">
        <v>1776</v>
      </c>
      <c r="Q62" s="52" t="s">
        <v>22</v>
      </c>
      <c r="R62" s="52" t="s">
        <v>23</v>
      </c>
      <c r="T62" s="52"/>
      <c r="U62" s="52"/>
      <c r="V62" s="52"/>
      <c r="W62" s="52">
        <v>556</v>
      </c>
      <c r="X62" s="52" t="s">
        <v>132</v>
      </c>
      <c r="Y62" s="52" t="s">
        <v>133</v>
      </c>
      <c r="Z62" s="46" t="s">
        <v>129</v>
      </c>
    </row>
    <row r="63" spans="1:26">
      <c r="A63" s="49">
        <v>44362</v>
      </c>
      <c r="B63" s="48">
        <v>202106151018</v>
      </c>
      <c r="C63" s="46" t="s">
        <v>3350</v>
      </c>
      <c r="D63" s="46" t="s">
        <v>3506</v>
      </c>
      <c r="E63" s="46" t="s">
        <v>123</v>
      </c>
      <c r="F63" s="46" t="s">
        <v>3348</v>
      </c>
      <c r="G63" s="46" t="s">
        <v>39</v>
      </c>
      <c r="H63" s="47">
        <v>4714781021609</v>
      </c>
      <c r="I63" s="46" t="s">
        <v>3183</v>
      </c>
      <c r="J63" s="46" t="s">
        <v>3160</v>
      </c>
      <c r="K63" s="46">
        <v>3</v>
      </c>
      <c r="L63" s="46">
        <v>344</v>
      </c>
      <c r="N63" s="46" t="s">
        <v>1454</v>
      </c>
      <c r="O63" s="52"/>
      <c r="P63" s="52">
        <v>1041</v>
      </c>
      <c r="Q63" s="52" t="s">
        <v>39</v>
      </c>
      <c r="R63" s="52" t="s">
        <v>40</v>
      </c>
      <c r="T63" s="52"/>
      <c r="U63" s="52"/>
      <c r="V63" s="52"/>
      <c r="W63" s="52">
        <v>717</v>
      </c>
      <c r="X63" s="52" t="s">
        <v>124</v>
      </c>
      <c r="Y63" s="52"/>
      <c r="Z63" s="46" t="s">
        <v>121</v>
      </c>
    </row>
    <row r="64" spans="1:26">
      <c r="A64" s="49">
        <v>44362</v>
      </c>
      <c r="B64" s="48">
        <v>202106151018</v>
      </c>
      <c r="C64" s="46" t="s">
        <v>3350</v>
      </c>
      <c r="D64" s="46" t="s">
        <v>3506</v>
      </c>
      <c r="E64" s="46" t="s">
        <v>123</v>
      </c>
      <c r="F64" s="46" t="s">
        <v>3348</v>
      </c>
      <c r="G64" s="46" t="s">
        <v>39</v>
      </c>
      <c r="H64" s="47">
        <v>4714781021029</v>
      </c>
      <c r="I64" s="46" t="s">
        <v>3234</v>
      </c>
      <c r="J64" s="46" t="s">
        <v>3160</v>
      </c>
      <c r="K64" s="46">
        <v>3</v>
      </c>
      <c r="L64" s="46">
        <v>399</v>
      </c>
      <c r="N64" s="46" t="s">
        <v>1452</v>
      </c>
      <c r="O64" s="52"/>
      <c r="P64" s="52">
        <v>1041</v>
      </c>
      <c r="Q64" s="52" t="s">
        <v>39</v>
      </c>
      <c r="R64" s="52" t="s">
        <v>40</v>
      </c>
      <c r="T64" s="52"/>
      <c r="U64" s="52"/>
      <c r="V64" s="52"/>
      <c r="W64" s="52">
        <v>717</v>
      </c>
      <c r="X64" s="52" t="s">
        <v>124</v>
      </c>
      <c r="Y64" s="52"/>
      <c r="Z64" s="46" t="s">
        <v>121</v>
      </c>
    </row>
    <row r="65" spans="1:26">
      <c r="A65" s="49">
        <v>44362</v>
      </c>
      <c r="B65" s="48">
        <v>202106151018</v>
      </c>
      <c r="C65" s="46" t="s">
        <v>3350</v>
      </c>
      <c r="D65" s="46" t="s">
        <v>3506</v>
      </c>
      <c r="E65" s="46" t="s">
        <v>123</v>
      </c>
      <c r="F65" s="46" t="s">
        <v>3348</v>
      </c>
      <c r="G65" s="46" t="s">
        <v>39</v>
      </c>
      <c r="H65" s="47">
        <v>4714781020787</v>
      </c>
      <c r="I65" s="46" t="s">
        <v>3262</v>
      </c>
      <c r="J65" s="46" t="s">
        <v>3160</v>
      </c>
      <c r="K65" s="46">
        <v>2</v>
      </c>
      <c r="L65" s="46">
        <v>298</v>
      </c>
      <c r="N65" s="46" t="s">
        <v>127</v>
      </c>
      <c r="O65" s="52"/>
      <c r="P65" s="52">
        <v>1041</v>
      </c>
      <c r="Q65" s="52" t="s">
        <v>39</v>
      </c>
      <c r="R65" s="52" t="s">
        <v>40</v>
      </c>
      <c r="T65" s="52"/>
      <c r="U65" s="52"/>
      <c r="V65" s="52"/>
      <c r="W65" s="52">
        <v>717</v>
      </c>
      <c r="X65" s="52" t="s">
        <v>124</v>
      </c>
      <c r="Y65" s="52"/>
      <c r="Z65" s="46" t="s">
        <v>121</v>
      </c>
    </row>
    <row r="66" spans="1:26">
      <c r="A66" s="49">
        <v>44362</v>
      </c>
      <c r="B66" s="48">
        <v>202106151019</v>
      </c>
      <c r="C66" s="46" t="s">
        <v>3350</v>
      </c>
      <c r="D66" s="46" t="s">
        <v>3505</v>
      </c>
      <c r="E66" s="46" t="s">
        <v>709</v>
      </c>
      <c r="F66" s="46" t="s">
        <v>3348</v>
      </c>
      <c r="G66" s="46" t="s">
        <v>633</v>
      </c>
      <c r="H66" s="47" t="s">
        <v>1512</v>
      </c>
      <c r="I66" s="46" t="s">
        <v>3210</v>
      </c>
      <c r="J66" s="46" t="s">
        <v>3160</v>
      </c>
      <c r="K66" s="46">
        <v>1</v>
      </c>
      <c r="L66" s="46">
        <v>173</v>
      </c>
      <c r="N66" s="46" t="s">
        <v>1511</v>
      </c>
      <c r="O66" s="52"/>
      <c r="P66" s="52">
        <v>748</v>
      </c>
      <c r="Q66" s="52" t="s">
        <v>633</v>
      </c>
      <c r="R66" s="52" t="s">
        <v>634</v>
      </c>
      <c r="T66" s="52">
        <v>122278</v>
      </c>
      <c r="U66" s="52" t="s">
        <v>712</v>
      </c>
      <c r="V66" s="52" t="s">
        <v>713</v>
      </c>
      <c r="W66" s="52"/>
      <c r="X66" s="52"/>
      <c r="Y66" s="52"/>
      <c r="Z66" s="46" t="s">
        <v>707</v>
      </c>
    </row>
    <row r="67" spans="1:26">
      <c r="A67" s="49">
        <v>44362</v>
      </c>
      <c r="B67" s="48">
        <v>202106151019</v>
      </c>
      <c r="C67" s="46" t="s">
        <v>3350</v>
      </c>
      <c r="D67" s="46" t="s">
        <v>3505</v>
      </c>
      <c r="E67" s="46" t="s">
        <v>709</v>
      </c>
      <c r="F67" s="46" t="s">
        <v>3348</v>
      </c>
      <c r="G67" s="46" t="s">
        <v>633</v>
      </c>
      <c r="H67" s="47" t="s">
        <v>1510</v>
      </c>
      <c r="I67" s="46" t="s">
        <v>3168</v>
      </c>
      <c r="J67" s="46" t="s">
        <v>3160</v>
      </c>
      <c r="K67" s="46">
        <v>1</v>
      </c>
      <c r="L67" s="46">
        <v>288</v>
      </c>
      <c r="N67" s="46" t="s">
        <v>1509</v>
      </c>
      <c r="O67" s="52"/>
      <c r="P67" s="52">
        <v>748</v>
      </c>
      <c r="Q67" s="52" t="s">
        <v>633</v>
      </c>
      <c r="R67" s="52" t="s">
        <v>634</v>
      </c>
      <c r="T67" s="52">
        <v>122278</v>
      </c>
      <c r="U67" s="52" t="s">
        <v>712</v>
      </c>
      <c r="V67" s="52" t="s">
        <v>713</v>
      </c>
      <c r="W67" s="52"/>
      <c r="X67" s="52"/>
      <c r="Y67" s="52"/>
      <c r="Z67" s="46" t="s">
        <v>707</v>
      </c>
    </row>
    <row r="68" spans="1:26">
      <c r="A68" s="49">
        <v>44362</v>
      </c>
      <c r="B68" s="48">
        <v>202106151019</v>
      </c>
      <c r="C68" s="46" t="s">
        <v>3350</v>
      </c>
      <c r="D68" s="46" t="s">
        <v>3505</v>
      </c>
      <c r="E68" s="46" t="s">
        <v>709</v>
      </c>
      <c r="F68" s="46" t="s">
        <v>3348</v>
      </c>
      <c r="G68" s="46" t="s">
        <v>633</v>
      </c>
      <c r="H68" s="47" t="s">
        <v>1506</v>
      </c>
      <c r="I68" s="46" t="s">
        <v>3168</v>
      </c>
      <c r="J68" s="46" t="s">
        <v>3160</v>
      </c>
      <c r="K68" s="46">
        <v>1</v>
      </c>
      <c r="L68" s="46">
        <v>287</v>
      </c>
      <c r="N68" s="46" t="s">
        <v>1505</v>
      </c>
      <c r="O68" s="52"/>
      <c r="P68" s="52">
        <v>748</v>
      </c>
      <c r="Q68" s="52" t="s">
        <v>633</v>
      </c>
      <c r="R68" s="52" t="s">
        <v>634</v>
      </c>
      <c r="T68" s="52">
        <v>122278</v>
      </c>
      <c r="U68" s="52" t="s">
        <v>712</v>
      </c>
      <c r="V68" s="52" t="s">
        <v>713</v>
      </c>
      <c r="W68" s="52"/>
      <c r="X68" s="52"/>
      <c r="Y68" s="52"/>
      <c r="Z68" s="46" t="s">
        <v>707</v>
      </c>
    </row>
    <row r="69" spans="1:26">
      <c r="A69" s="49">
        <v>44362</v>
      </c>
      <c r="B69" s="48">
        <v>202106151020</v>
      </c>
      <c r="C69" s="46" t="s">
        <v>3350</v>
      </c>
      <c r="D69" s="46" t="s">
        <v>3504</v>
      </c>
      <c r="E69" s="46" t="s">
        <v>114</v>
      </c>
      <c r="F69" s="46" t="s">
        <v>3348</v>
      </c>
      <c r="G69" s="46" t="s">
        <v>22</v>
      </c>
      <c r="H69" s="47">
        <v>4714781020824</v>
      </c>
      <c r="I69" s="46" t="s">
        <v>3261</v>
      </c>
      <c r="J69" s="46" t="s">
        <v>3160</v>
      </c>
      <c r="K69" s="46">
        <v>2</v>
      </c>
      <c r="L69" s="46">
        <v>680</v>
      </c>
      <c r="N69" s="46" t="s">
        <v>1322</v>
      </c>
      <c r="O69" s="52"/>
      <c r="P69" s="52">
        <v>920</v>
      </c>
      <c r="Q69" s="52" t="s">
        <v>22</v>
      </c>
      <c r="R69" s="52" t="s">
        <v>23</v>
      </c>
      <c r="T69" s="52"/>
      <c r="U69" s="52"/>
      <c r="V69" s="52"/>
      <c r="W69" s="52">
        <v>241</v>
      </c>
      <c r="X69" s="52" t="s">
        <v>119</v>
      </c>
      <c r="Y69" s="52"/>
      <c r="Z69" s="46" t="s">
        <v>112</v>
      </c>
    </row>
    <row r="70" spans="1:26">
      <c r="A70" s="49">
        <v>44362</v>
      </c>
      <c r="B70" s="48">
        <v>202106151020</v>
      </c>
      <c r="C70" s="46" t="s">
        <v>3350</v>
      </c>
      <c r="D70" s="46" t="s">
        <v>3504</v>
      </c>
      <c r="E70" s="46" t="s">
        <v>114</v>
      </c>
      <c r="F70" s="46" t="s">
        <v>3348</v>
      </c>
      <c r="G70" s="46" t="s">
        <v>22</v>
      </c>
      <c r="H70" s="47">
        <v>4714781020800</v>
      </c>
      <c r="I70" s="46" t="s">
        <v>3266</v>
      </c>
      <c r="J70" s="46" t="s">
        <v>3160</v>
      </c>
      <c r="K70" s="46">
        <v>2</v>
      </c>
      <c r="L70" s="46">
        <v>240</v>
      </c>
      <c r="N70" s="46" t="s">
        <v>1319</v>
      </c>
      <c r="O70" s="52"/>
      <c r="P70" s="52">
        <v>920</v>
      </c>
      <c r="Q70" s="52" t="s">
        <v>22</v>
      </c>
      <c r="R70" s="52" t="s">
        <v>23</v>
      </c>
      <c r="T70" s="52"/>
      <c r="U70" s="52"/>
      <c r="V70" s="52"/>
      <c r="W70" s="52">
        <v>241</v>
      </c>
      <c r="X70" s="52" t="s">
        <v>119</v>
      </c>
      <c r="Y70" s="52"/>
      <c r="Z70" s="46" t="s">
        <v>112</v>
      </c>
    </row>
    <row r="71" spans="1:26">
      <c r="A71" s="49">
        <v>44362</v>
      </c>
      <c r="B71" s="48">
        <v>202106151021</v>
      </c>
      <c r="C71" s="46" t="s">
        <v>3350</v>
      </c>
      <c r="D71" s="46" t="s">
        <v>3503</v>
      </c>
      <c r="E71" s="46" t="s">
        <v>92</v>
      </c>
      <c r="F71" s="46" t="s">
        <v>3348</v>
      </c>
      <c r="G71" s="46" t="s">
        <v>39</v>
      </c>
      <c r="H71" s="47">
        <v>4714781021609</v>
      </c>
      <c r="I71" s="46" t="s">
        <v>3183</v>
      </c>
      <c r="J71" s="46" t="s">
        <v>3160</v>
      </c>
      <c r="K71" s="46">
        <v>1</v>
      </c>
      <c r="L71" s="46">
        <v>107</v>
      </c>
      <c r="N71" s="46" t="s">
        <v>1454</v>
      </c>
      <c r="O71" s="52"/>
      <c r="P71" s="52">
        <v>1491</v>
      </c>
      <c r="Q71" s="52" t="s">
        <v>39</v>
      </c>
      <c r="R71" s="52" t="s">
        <v>59</v>
      </c>
      <c r="T71" s="52"/>
      <c r="U71" s="52"/>
      <c r="V71" s="52"/>
      <c r="W71" s="52">
        <v>249</v>
      </c>
      <c r="X71" s="52" t="s">
        <v>93</v>
      </c>
      <c r="Y71" s="52"/>
      <c r="Z71" s="46" t="s">
        <v>90</v>
      </c>
    </row>
    <row r="72" spans="1:26">
      <c r="A72" s="49">
        <v>44362</v>
      </c>
      <c r="B72" s="48">
        <v>202106151021</v>
      </c>
      <c r="C72" s="46" t="s">
        <v>3350</v>
      </c>
      <c r="D72" s="46" t="s">
        <v>3503</v>
      </c>
      <c r="E72" s="46" t="s">
        <v>92</v>
      </c>
      <c r="F72" s="46" t="s">
        <v>3348</v>
      </c>
      <c r="G72" s="46" t="s">
        <v>39</v>
      </c>
      <c r="H72" s="47">
        <v>4714781021593</v>
      </c>
      <c r="I72" s="46" t="s">
        <v>3183</v>
      </c>
      <c r="J72" s="46" t="s">
        <v>3160</v>
      </c>
      <c r="K72" s="46">
        <v>1</v>
      </c>
      <c r="L72" s="46">
        <v>107</v>
      </c>
      <c r="N72" s="46" t="s">
        <v>1453</v>
      </c>
      <c r="O72" s="52"/>
      <c r="P72" s="52">
        <v>1491</v>
      </c>
      <c r="Q72" s="52" t="s">
        <v>39</v>
      </c>
      <c r="R72" s="52" t="s">
        <v>59</v>
      </c>
      <c r="T72" s="52"/>
      <c r="U72" s="52"/>
      <c r="V72" s="52"/>
      <c r="W72" s="52">
        <v>249</v>
      </c>
      <c r="X72" s="52" t="s">
        <v>93</v>
      </c>
      <c r="Y72" s="52"/>
      <c r="Z72" s="46" t="s">
        <v>90</v>
      </c>
    </row>
    <row r="73" spans="1:26">
      <c r="A73" s="49">
        <v>44362</v>
      </c>
      <c r="B73" s="48">
        <v>202106151021</v>
      </c>
      <c r="C73" s="46" t="s">
        <v>3350</v>
      </c>
      <c r="D73" s="46" t="s">
        <v>3503</v>
      </c>
      <c r="E73" s="46" t="s">
        <v>92</v>
      </c>
      <c r="F73" s="46" t="s">
        <v>3348</v>
      </c>
      <c r="G73" s="46" t="s">
        <v>39</v>
      </c>
      <c r="H73" s="47">
        <v>4714781021029</v>
      </c>
      <c r="I73" s="46" t="s">
        <v>3235</v>
      </c>
      <c r="J73" s="46" t="s">
        <v>3160</v>
      </c>
      <c r="K73" s="46">
        <v>1</v>
      </c>
      <c r="L73" s="46">
        <v>107</v>
      </c>
      <c r="N73" s="46" t="s">
        <v>1452</v>
      </c>
      <c r="O73" s="52"/>
      <c r="P73" s="52">
        <v>1491</v>
      </c>
      <c r="Q73" s="52" t="s">
        <v>39</v>
      </c>
      <c r="R73" s="52" t="s">
        <v>59</v>
      </c>
      <c r="T73" s="52"/>
      <c r="U73" s="52"/>
      <c r="V73" s="52"/>
      <c r="W73" s="52">
        <v>249</v>
      </c>
      <c r="X73" s="52" t="s">
        <v>93</v>
      </c>
      <c r="Y73" s="52"/>
      <c r="Z73" s="46" t="s">
        <v>90</v>
      </c>
    </row>
    <row r="74" spans="1:26">
      <c r="A74" s="49">
        <v>44362</v>
      </c>
      <c r="B74" s="48">
        <v>202106151021</v>
      </c>
      <c r="C74" s="46" t="s">
        <v>3350</v>
      </c>
      <c r="D74" s="46" t="s">
        <v>3503</v>
      </c>
      <c r="E74" s="46" t="s">
        <v>92</v>
      </c>
      <c r="F74" s="46" t="s">
        <v>3348</v>
      </c>
      <c r="G74" s="46" t="s">
        <v>39</v>
      </c>
      <c r="H74" s="47">
        <v>4714781020787</v>
      </c>
      <c r="I74" s="46" t="s">
        <v>3262</v>
      </c>
      <c r="J74" s="46" t="s">
        <v>3160</v>
      </c>
      <c r="K74" s="46">
        <v>1</v>
      </c>
      <c r="L74" s="46">
        <v>135</v>
      </c>
      <c r="N74" s="46" t="s">
        <v>95</v>
      </c>
      <c r="O74" s="52"/>
      <c r="P74" s="52">
        <v>1491</v>
      </c>
      <c r="Q74" s="52" t="s">
        <v>39</v>
      </c>
      <c r="R74" s="52" t="s">
        <v>59</v>
      </c>
      <c r="T74" s="52"/>
      <c r="U74" s="52"/>
      <c r="V74" s="52"/>
      <c r="W74" s="52">
        <v>249</v>
      </c>
      <c r="X74" s="52" t="s">
        <v>93</v>
      </c>
      <c r="Y74" s="52"/>
      <c r="Z74" s="46" t="s">
        <v>90</v>
      </c>
    </row>
    <row r="75" spans="1:26">
      <c r="A75" s="49">
        <v>44362</v>
      </c>
      <c r="B75" s="48">
        <v>202106151021</v>
      </c>
      <c r="C75" s="46" t="s">
        <v>3350</v>
      </c>
      <c r="D75" s="46" t="s">
        <v>3503</v>
      </c>
      <c r="E75" s="46" t="s">
        <v>92</v>
      </c>
      <c r="F75" s="46" t="s">
        <v>3348</v>
      </c>
      <c r="G75" s="46" t="s">
        <v>39</v>
      </c>
      <c r="H75" s="47" t="s">
        <v>1512</v>
      </c>
      <c r="I75" s="46" t="s">
        <v>3194</v>
      </c>
      <c r="J75" s="46" t="s">
        <v>3160</v>
      </c>
      <c r="K75" s="46">
        <v>2</v>
      </c>
      <c r="L75" s="46">
        <v>300</v>
      </c>
      <c r="N75" s="46" t="s">
        <v>1511</v>
      </c>
      <c r="O75" s="52"/>
      <c r="P75" s="52">
        <v>1491</v>
      </c>
      <c r="Q75" s="52" t="s">
        <v>39</v>
      </c>
      <c r="R75" s="52" t="s">
        <v>59</v>
      </c>
      <c r="T75" s="52"/>
      <c r="U75" s="52"/>
      <c r="V75" s="52"/>
      <c r="W75" s="52">
        <v>249</v>
      </c>
      <c r="X75" s="52" t="s">
        <v>93</v>
      </c>
      <c r="Y75" s="52"/>
      <c r="Z75" s="46" t="s">
        <v>90</v>
      </c>
    </row>
    <row r="76" spans="1:26">
      <c r="A76" s="49">
        <v>44362</v>
      </c>
      <c r="B76" s="48">
        <v>202106151021</v>
      </c>
      <c r="C76" s="46" t="s">
        <v>3350</v>
      </c>
      <c r="D76" s="46" t="s">
        <v>3503</v>
      </c>
      <c r="E76" s="46" t="s">
        <v>92</v>
      </c>
      <c r="F76" s="46" t="s">
        <v>3348</v>
      </c>
      <c r="G76" s="46" t="s">
        <v>39</v>
      </c>
      <c r="H76" s="47" t="s">
        <v>1517</v>
      </c>
      <c r="I76" s="46" t="s">
        <v>3295</v>
      </c>
      <c r="J76" s="46" t="s">
        <v>3160</v>
      </c>
      <c r="K76" s="46">
        <v>2</v>
      </c>
      <c r="L76" s="46">
        <v>300</v>
      </c>
      <c r="N76" s="46" t="s">
        <v>1516</v>
      </c>
      <c r="O76" s="52"/>
      <c r="P76" s="52">
        <v>1491</v>
      </c>
      <c r="Q76" s="52" t="s">
        <v>39</v>
      </c>
      <c r="R76" s="52" t="s">
        <v>59</v>
      </c>
      <c r="T76" s="52"/>
      <c r="U76" s="52"/>
      <c r="V76" s="52"/>
      <c r="W76" s="52">
        <v>249</v>
      </c>
      <c r="X76" s="52" t="s">
        <v>93</v>
      </c>
      <c r="Y76" s="52"/>
      <c r="Z76" s="46" t="s">
        <v>90</v>
      </c>
    </row>
    <row r="77" spans="1:26">
      <c r="A77" s="49">
        <v>44362</v>
      </c>
      <c r="B77" s="48">
        <v>202106151021</v>
      </c>
      <c r="C77" s="46" t="s">
        <v>3350</v>
      </c>
      <c r="D77" s="46" t="s">
        <v>3503</v>
      </c>
      <c r="E77" s="46" t="s">
        <v>92</v>
      </c>
      <c r="F77" s="46" t="s">
        <v>3348</v>
      </c>
      <c r="G77" s="46" t="s">
        <v>39</v>
      </c>
      <c r="H77" s="47" t="s">
        <v>1514</v>
      </c>
      <c r="I77" s="46" t="s">
        <v>3295</v>
      </c>
      <c r="J77" s="46" t="s">
        <v>3160</v>
      </c>
      <c r="K77" s="46">
        <v>2</v>
      </c>
      <c r="L77" s="46">
        <v>300</v>
      </c>
      <c r="N77" s="46" t="s">
        <v>1513</v>
      </c>
      <c r="O77" s="52"/>
      <c r="P77" s="52">
        <v>1491</v>
      </c>
      <c r="Q77" s="52" t="s">
        <v>39</v>
      </c>
      <c r="R77" s="52" t="s">
        <v>59</v>
      </c>
      <c r="T77" s="52"/>
      <c r="U77" s="52"/>
      <c r="V77" s="52"/>
      <c r="W77" s="52">
        <v>249</v>
      </c>
      <c r="X77" s="52" t="s">
        <v>93</v>
      </c>
      <c r="Y77" s="52"/>
      <c r="Z77" s="46" t="s">
        <v>90</v>
      </c>
    </row>
    <row r="78" spans="1:26">
      <c r="A78" s="49">
        <v>44362</v>
      </c>
      <c r="B78" s="48">
        <v>202106151021</v>
      </c>
      <c r="C78" s="46" t="s">
        <v>3350</v>
      </c>
      <c r="D78" s="46" t="s">
        <v>3503</v>
      </c>
      <c r="E78" s="46" t="s">
        <v>92</v>
      </c>
      <c r="F78" s="46" t="s">
        <v>3348</v>
      </c>
      <c r="G78" s="46" t="s">
        <v>39</v>
      </c>
      <c r="H78" s="47">
        <v>4714781020770</v>
      </c>
      <c r="I78" s="46" t="s">
        <v>3276</v>
      </c>
      <c r="J78" s="46" t="s">
        <v>3160</v>
      </c>
      <c r="K78" s="46">
        <v>1</v>
      </c>
      <c r="L78" s="46">
        <v>135</v>
      </c>
      <c r="N78" s="46" t="s">
        <v>100</v>
      </c>
      <c r="O78" s="52"/>
      <c r="P78" s="52">
        <v>1491</v>
      </c>
      <c r="Q78" s="52" t="s">
        <v>39</v>
      </c>
      <c r="R78" s="52" t="s">
        <v>59</v>
      </c>
      <c r="T78" s="52"/>
      <c r="U78" s="52"/>
      <c r="V78" s="52"/>
      <c r="W78" s="52">
        <v>249</v>
      </c>
      <c r="X78" s="52" t="s">
        <v>93</v>
      </c>
      <c r="Y78" s="52"/>
      <c r="Z78" s="46" t="s">
        <v>90</v>
      </c>
    </row>
    <row r="79" spans="1:26">
      <c r="A79" s="49">
        <v>44362</v>
      </c>
      <c r="B79" s="48">
        <v>202106151022</v>
      </c>
      <c r="C79" s="46" t="s">
        <v>3350</v>
      </c>
      <c r="D79" s="46" t="s">
        <v>3502</v>
      </c>
      <c r="E79" s="46" t="s">
        <v>717</v>
      </c>
      <c r="F79" s="46" t="s">
        <v>3348</v>
      </c>
      <c r="G79" s="46" t="s">
        <v>633</v>
      </c>
      <c r="H79" s="47">
        <v>4714781020541</v>
      </c>
      <c r="I79" s="46" t="s">
        <v>3162</v>
      </c>
      <c r="J79" s="46" t="s">
        <v>3160</v>
      </c>
      <c r="K79" s="46">
        <v>1</v>
      </c>
      <c r="L79" s="46">
        <v>186</v>
      </c>
      <c r="N79" s="46" t="s">
        <v>719</v>
      </c>
      <c r="O79" s="52"/>
      <c r="P79" s="52">
        <v>2174</v>
      </c>
      <c r="Q79" s="52" t="s">
        <v>633</v>
      </c>
      <c r="R79" s="52" t="s">
        <v>634</v>
      </c>
      <c r="T79" s="52">
        <v>873400</v>
      </c>
      <c r="U79" s="52" t="s">
        <v>721</v>
      </c>
      <c r="V79" s="52" t="s">
        <v>722</v>
      </c>
      <c r="W79" s="52"/>
      <c r="X79" s="52"/>
      <c r="Y79" s="52"/>
      <c r="Z79" s="46" t="s">
        <v>715</v>
      </c>
    </row>
    <row r="80" spans="1:26">
      <c r="A80" s="49">
        <v>44362</v>
      </c>
      <c r="B80" s="48">
        <v>202106151022</v>
      </c>
      <c r="C80" s="46" t="s">
        <v>3350</v>
      </c>
      <c r="D80" s="46" t="s">
        <v>3502</v>
      </c>
      <c r="E80" s="46" t="s">
        <v>717</v>
      </c>
      <c r="F80" s="46" t="s">
        <v>3348</v>
      </c>
      <c r="G80" s="46" t="s">
        <v>633</v>
      </c>
      <c r="H80" s="47">
        <v>4714781020268</v>
      </c>
      <c r="I80" s="46" t="s">
        <v>3309</v>
      </c>
      <c r="J80" s="46" t="s">
        <v>3160</v>
      </c>
      <c r="K80" s="46">
        <v>1</v>
      </c>
      <c r="L80" s="46">
        <v>350</v>
      </c>
      <c r="N80" s="46" t="s">
        <v>723</v>
      </c>
      <c r="O80" s="52"/>
      <c r="P80" s="52">
        <v>2174</v>
      </c>
      <c r="Q80" s="52" t="s">
        <v>633</v>
      </c>
      <c r="R80" s="52" t="s">
        <v>634</v>
      </c>
      <c r="T80" s="52">
        <v>873400</v>
      </c>
      <c r="U80" s="52" t="s">
        <v>721</v>
      </c>
      <c r="V80" s="52" t="s">
        <v>722</v>
      </c>
      <c r="W80" s="52"/>
      <c r="X80" s="52"/>
      <c r="Y80" s="52"/>
      <c r="Z80" s="46" t="s">
        <v>715</v>
      </c>
    </row>
    <row r="81" spans="1:26">
      <c r="A81" s="49">
        <v>44362</v>
      </c>
      <c r="B81" s="48">
        <v>202106151022</v>
      </c>
      <c r="C81" s="46" t="s">
        <v>3350</v>
      </c>
      <c r="D81" s="46" t="s">
        <v>3502</v>
      </c>
      <c r="E81" s="46" t="s">
        <v>717</v>
      </c>
      <c r="F81" s="46" t="s">
        <v>3348</v>
      </c>
      <c r="G81" s="46" t="s">
        <v>633</v>
      </c>
      <c r="H81" s="47">
        <v>4714781020275</v>
      </c>
      <c r="I81" s="46" t="s">
        <v>3308</v>
      </c>
      <c r="J81" s="46" t="s">
        <v>3160</v>
      </c>
      <c r="K81" s="46">
        <v>1</v>
      </c>
      <c r="L81" s="46">
        <v>149</v>
      </c>
      <c r="N81" s="46" t="s">
        <v>725</v>
      </c>
      <c r="O81" s="52"/>
      <c r="P81" s="52">
        <v>2174</v>
      </c>
      <c r="Q81" s="52" t="s">
        <v>633</v>
      </c>
      <c r="R81" s="52" t="s">
        <v>634</v>
      </c>
      <c r="T81" s="52">
        <v>873400</v>
      </c>
      <c r="U81" s="52" t="s">
        <v>721</v>
      </c>
      <c r="V81" s="52" t="s">
        <v>722</v>
      </c>
      <c r="W81" s="52"/>
      <c r="X81" s="52"/>
      <c r="Y81" s="52"/>
      <c r="Z81" s="46" t="s">
        <v>715</v>
      </c>
    </row>
    <row r="82" spans="1:26">
      <c r="A82" s="49">
        <v>44362</v>
      </c>
      <c r="B82" s="48">
        <v>202106151022</v>
      </c>
      <c r="C82" s="46" t="s">
        <v>3350</v>
      </c>
      <c r="D82" s="46" t="s">
        <v>3502</v>
      </c>
      <c r="E82" s="46" t="s">
        <v>717</v>
      </c>
      <c r="F82" s="46" t="s">
        <v>3348</v>
      </c>
      <c r="G82" s="46" t="s">
        <v>633</v>
      </c>
      <c r="H82" s="47" t="s">
        <v>1334</v>
      </c>
      <c r="I82" s="46" t="s">
        <v>3165</v>
      </c>
      <c r="J82" s="46" t="s">
        <v>3160</v>
      </c>
      <c r="K82" s="46">
        <v>1</v>
      </c>
      <c r="L82" s="46">
        <v>700</v>
      </c>
      <c r="N82" s="46" t="s">
        <v>1333</v>
      </c>
      <c r="O82" s="52"/>
      <c r="P82" s="52">
        <v>2174</v>
      </c>
      <c r="Q82" s="52" t="s">
        <v>633</v>
      </c>
      <c r="R82" s="52" t="s">
        <v>634</v>
      </c>
      <c r="T82" s="52">
        <v>873400</v>
      </c>
      <c r="U82" s="52" t="s">
        <v>721</v>
      </c>
      <c r="V82" s="52" t="s">
        <v>722</v>
      </c>
      <c r="W82" s="52"/>
      <c r="X82" s="52"/>
      <c r="Y82" s="52"/>
      <c r="Z82" s="46" t="s">
        <v>715</v>
      </c>
    </row>
    <row r="83" spans="1:26">
      <c r="A83" s="49">
        <v>44362</v>
      </c>
      <c r="B83" s="48">
        <v>202106151022</v>
      </c>
      <c r="C83" s="46" t="s">
        <v>3350</v>
      </c>
      <c r="D83" s="46" t="s">
        <v>3502</v>
      </c>
      <c r="E83" s="46" t="s">
        <v>717</v>
      </c>
      <c r="F83" s="46" t="s">
        <v>3348</v>
      </c>
      <c r="G83" s="46" t="s">
        <v>633</v>
      </c>
      <c r="H83" s="47" t="s">
        <v>1332</v>
      </c>
      <c r="I83" s="46" t="s">
        <v>3161</v>
      </c>
      <c r="J83" s="46" t="s">
        <v>3160</v>
      </c>
      <c r="K83" s="46">
        <v>2</v>
      </c>
      <c r="L83" s="46">
        <v>69</v>
      </c>
      <c r="N83" s="46" t="s">
        <v>1331</v>
      </c>
      <c r="O83" s="52"/>
      <c r="P83" s="52">
        <v>2174</v>
      </c>
      <c r="Q83" s="52" t="s">
        <v>633</v>
      </c>
      <c r="R83" s="52" t="s">
        <v>634</v>
      </c>
      <c r="T83" s="52">
        <v>873400</v>
      </c>
      <c r="U83" s="52" t="s">
        <v>721</v>
      </c>
      <c r="V83" s="52" t="s">
        <v>722</v>
      </c>
      <c r="W83" s="52"/>
      <c r="X83" s="52"/>
      <c r="Y83" s="52"/>
      <c r="Z83" s="46" t="s">
        <v>715</v>
      </c>
    </row>
    <row r="84" spans="1:26">
      <c r="A84" s="49">
        <v>44362</v>
      </c>
      <c r="B84" s="48">
        <v>202106151022</v>
      </c>
      <c r="C84" s="46" t="s">
        <v>3350</v>
      </c>
      <c r="D84" s="46" t="s">
        <v>3502</v>
      </c>
      <c r="E84" s="46" t="s">
        <v>717</v>
      </c>
      <c r="F84" s="46" t="s">
        <v>3348</v>
      </c>
      <c r="G84" s="46" t="s">
        <v>633</v>
      </c>
      <c r="H84" s="47" t="s">
        <v>1327</v>
      </c>
      <c r="I84" s="46" t="s">
        <v>3312</v>
      </c>
      <c r="J84" s="46" t="s">
        <v>3160</v>
      </c>
      <c r="K84" s="46">
        <v>2</v>
      </c>
      <c r="L84" s="46">
        <v>720</v>
      </c>
      <c r="N84" s="46" t="s">
        <v>1326</v>
      </c>
      <c r="O84" s="52"/>
      <c r="P84" s="52">
        <v>2174</v>
      </c>
      <c r="Q84" s="52" t="s">
        <v>633</v>
      </c>
      <c r="R84" s="52" t="s">
        <v>634</v>
      </c>
      <c r="T84" s="52">
        <v>873400</v>
      </c>
      <c r="U84" s="52" t="s">
        <v>721</v>
      </c>
      <c r="V84" s="52" t="s">
        <v>722</v>
      </c>
      <c r="W84" s="52"/>
      <c r="X84" s="52"/>
      <c r="Y84" s="52"/>
      <c r="Z84" s="46" t="s">
        <v>715</v>
      </c>
    </row>
    <row r="85" spans="1:26">
      <c r="A85" s="49">
        <v>44362</v>
      </c>
      <c r="B85" s="48">
        <v>202106151023</v>
      </c>
      <c r="C85" s="46" t="s">
        <v>3350</v>
      </c>
      <c r="D85" s="46" t="s">
        <v>3501</v>
      </c>
      <c r="E85" s="46" t="s">
        <v>79</v>
      </c>
      <c r="F85" s="46" t="s">
        <v>3348</v>
      </c>
      <c r="G85" s="46" t="s">
        <v>39</v>
      </c>
      <c r="H85" s="47">
        <v>4714781021609</v>
      </c>
      <c r="I85" s="46" t="s">
        <v>3183</v>
      </c>
      <c r="J85" s="46" t="s">
        <v>3160</v>
      </c>
      <c r="K85" s="46">
        <v>3</v>
      </c>
      <c r="L85" s="46">
        <v>399</v>
      </c>
      <c r="N85" s="46" t="s">
        <v>1454</v>
      </c>
      <c r="O85" s="52"/>
      <c r="P85" s="52">
        <v>857</v>
      </c>
      <c r="Q85" s="52" t="s">
        <v>39</v>
      </c>
      <c r="R85" s="52" t="s">
        <v>59</v>
      </c>
      <c r="T85" s="52"/>
      <c r="U85" s="52"/>
      <c r="V85" s="52"/>
      <c r="W85" s="52">
        <v>731</v>
      </c>
      <c r="X85" s="52" t="s">
        <v>82</v>
      </c>
      <c r="Y85" s="52" t="s">
        <v>83</v>
      </c>
      <c r="Z85" s="46" t="s">
        <v>77</v>
      </c>
    </row>
    <row r="86" spans="1:26">
      <c r="A86" s="49">
        <v>44362</v>
      </c>
      <c r="B86" s="48">
        <v>202106151023</v>
      </c>
      <c r="C86" s="46" t="s">
        <v>3350</v>
      </c>
      <c r="D86" s="46" t="s">
        <v>3501</v>
      </c>
      <c r="E86" s="46" t="s">
        <v>79</v>
      </c>
      <c r="F86" s="46" t="s">
        <v>3348</v>
      </c>
      <c r="G86" s="46" t="s">
        <v>39</v>
      </c>
      <c r="H86" s="47">
        <v>4714781021609</v>
      </c>
      <c r="I86" s="46" t="s">
        <v>3183</v>
      </c>
      <c r="J86" s="46" t="s">
        <v>3160</v>
      </c>
      <c r="K86" s="46">
        <v>1</v>
      </c>
      <c r="L86" s="46">
        <v>133</v>
      </c>
      <c r="N86" s="46" t="s">
        <v>1454</v>
      </c>
      <c r="O86" s="52"/>
      <c r="P86" s="52">
        <v>857</v>
      </c>
      <c r="Q86" s="52" t="s">
        <v>39</v>
      </c>
      <c r="R86" s="52" t="s">
        <v>59</v>
      </c>
      <c r="T86" s="52"/>
      <c r="U86" s="52"/>
      <c r="V86" s="52"/>
      <c r="W86" s="52">
        <v>731</v>
      </c>
      <c r="X86" s="52" t="s">
        <v>82</v>
      </c>
      <c r="Y86" s="52" t="s">
        <v>83</v>
      </c>
      <c r="Z86" s="46" t="s">
        <v>77</v>
      </c>
    </row>
    <row r="87" spans="1:26">
      <c r="A87" s="49">
        <v>44362</v>
      </c>
      <c r="B87" s="48">
        <v>202106151023</v>
      </c>
      <c r="C87" s="46" t="s">
        <v>3350</v>
      </c>
      <c r="D87" s="46" t="s">
        <v>3501</v>
      </c>
      <c r="E87" s="46" t="s">
        <v>79</v>
      </c>
      <c r="F87" s="46" t="s">
        <v>3348</v>
      </c>
      <c r="G87" s="46" t="s">
        <v>39</v>
      </c>
      <c r="H87" s="47">
        <v>4714781021593</v>
      </c>
      <c r="I87" s="46" t="s">
        <v>3183</v>
      </c>
      <c r="J87" s="46" t="s">
        <v>3160</v>
      </c>
      <c r="K87" s="46">
        <v>1</v>
      </c>
      <c r="L87" s="46">
        <v>133</v>
      </c>
      <c r="N87" s="46" t="s">
        <v>1453</v>
      </c>
      <c r="O87" s="52"/>
      <c r="P87" s="52">
        <v>857</v>
      </c>
      <c r="Q87" s="52" t="s">
        <v>39</v>
      </c>
      <c r="R87" s="52" t="s">
        <v>59</v>
      </c>
      <c r="T87" s="52"/>
      <c r="U87" s="52"/>
      <c r="V87" s="52"/>
      <c r="W87" s="52">
        <v>731</v>
      </c>
      <c r="X87" s="52" t="s">
        <v>82</v>
      </c>
      <c r="Y87" s="52" t="s">
        <v>83</v>
      </c>
      <c r="Z87" s="46" t="s">
        <v>77</v>
      </c>
    </row>
    <row r="88" spans="1:26">
      <c r="A88" s="49">
        <v>44362</v>
      </c>
      <c r="B88" s="48">
        <v>202106151023</v>
      </c>
      <c r="C88" s="46" t="s">
        <v>3350</v>
      </c>
      <c r="D88" s="46" t="s">
        <v>3501</v>
      </c>
      <c r="E88" s="46" t="s">
        <v>79</v>
      </c>
      <c r="F88" s="46" t="s">
        <v>3348</v>
      </c>
      <c r="G88" s="46" t="s">
        <v>39</v>
      </c>
      <c r="H88" s="47">
        <v>4714781021029</v>
      </c>
      <c r="I88" s="46" t="s">
        <v>3234</v>
      </c>
      <c r="J88" s="46" t="s">
        <v>3160</v>
      </c>
      <c r="K88" s="46">
        <v>1</v>
      </c>
      <c r="L88" s="46">
        <v>133</v>
      </c>
      <c r="N88" s="46" t="s">
        <v>1452</v>
      </c>
      <c r="O88" s="52"/>
      <c r="P88" s="52">
        <v>857</v>
      </c>
      <c r="Q88" s="52" t="s">
        <v>39</v>
      </c>
      <c r="R88" s="52" t="s">
        <v>59</v>
      </c>
      <c r="T88" s="52"/>
      <c r="U88" s="52"/>
      <c r="V88" s="52"/>
      <c r="W88" s="52">
        <v>731</v>
      </c>
      <c r="X88" s="52" t="s">
        <v>82</v>
      </c>
      <c r="Y88" s="52" t="s">
        <v>83</v>
      </c>
      <c r="Z88" s="46" t="s">
        <v>77</v>
      </c>
    </row>
    <row r="89" spans="1:26">
      <c r="A89" s="49">
        <v>44362</v>
      </c>
      <c r="B89" s="48">
        <v>202106151023</v>
      </c>
      <c r="C89" s="46" t="s">
        <v>3350</v>
      </c>
      <c r="D89" s="46" t="s">
        <v>3501</v>
      </c>
      <c r="E89" s="46" t="s">
        <v>79</v>
      </c>
      <c r="F89" s="46" t="s">
        <v>3348</v>
      </c>
      <c r="G89" s="46" t="s">
        <v>39</v>
      </c>
      <c r="H89" s="47">
        <v>4714781021234</v>
      </c>
      <c r="I89" s="46" t="s">
        <v>3215</v>
      </c>
      <c r="J89" s="46" t="s">
        <v>3160</v>
      </c>
      <c r="K89" s="46">
        <v>1</v>
      </c>
      <c r="L89" s="46">
        <v>59</v>
      </c>
      <c r="N89" s="46" t="s">
        <v>87</v>
      </c>
      <c r="O89" s="52"/>
      <c r="P89" s="52">
        <v>857</v>
      </c>
      <c r="Q89" s="52" t="s">
        <v>39</v>
      </c>
      <c r="R89" s="52" t="s">
        <v>59</v>
      </c>
      <c r="T89" s="52"/>
      <c r="U89" s="52"/>
      <c r="V89" s="52"/>
      <c r="W89" s="52">
        <v>731</v>
      </c>
      <c r="X89" s="52" t="s">
        <v>82</v>
      </c>
      <c r="Y89" s="52" t="s">
        <v>83</v>
      </c>
      <c r="Z89" s="46" t="s">
        <v>77</v>
      </c>
    </row>
    <row r="90" spans="1:26">
      <c r="A90" s="49">
        <v>44362</v>
      </c>
      <c r="B90" s="48">
        <v>202106151024</v>
      </c>
      <c r="C90" s="46" t="s">
        <v>3350</v>
      </c>
      <c r="D90" s="46" t="s">
        <v>3500</v>
      </c>
      <c r="E90" s="46" t="s">
        <v>730</v>
      </c>
      <c r="F90" s="46" t="s">
        <v>3348</v>
      </c>
      <c r="G90" s="46" t="s">
        <v>633</v>
      </c>
      <c r="H90" s="47">
        <v>4714781021609</v>
      </c>
      <c r="I90" s="46" t="s">
        <v>3183</v>
      </c>
      <c r="J90" s="46" t="s">
        <v>3160</v>
      </c>
      <c r="K90" s="46">
        <v>3</v>
      </c>
      <c r="L90" s="46">
        <v>399</v>
      </c>
      <c r="N90" s="46" t="s">
        <v>1454</v>
      </c>
      <c r="O90" s="52"/>
      <c r="P90" s="52">
        <v>464</v>
      </c>
      <c r="Q90" s="52" t="s">
        <v>633</v>
      </c>
      <c r="R90" s="52" t="s">
        <v>634</v>
      </c>
      <c r="T90" s="52">
        <v>891213</v>
      </c>
      <c r="U90" s="52" t="s">
        <v>731</v>
      </c>
      <c r="V90" s="52" t="s">
        <v>732</v>
      </c>
      <c r="W90" s="52"/>
      <c r="X90" s="52"/>
      <c r="Y90" s="52"/>
      <c r="Z90" s="46" t="s">
        <v>728</v>
      </c>
    </row>
    <row r="91" spans="1:26">
      <c r="A91" s="49">
        <v>44362</v>
      </c>
      <c r="B91" s="48">
        <v>202106151024</v>
      </c>
      <c r="C91" s="46" t="s">
        <v>3350</v>
      </c>
      <c r="D91" s="46" t="s">
        <v>3500</v>
      </c>
      <c r="E91" s="46" t="s">
        <v>730</v>
      </c>
      <c r="F91" s="46" t="s">
        <v>3348</v>
      </c>
      <c r="G91" s="46" t="s">
        <v>633</v>
      </c>
      <c r="H91" s="47" t="s">
        <v>3347</v>
      </c>
      <c r="J91" s="46" t="s">
        <v>3346</v>
      </c>
      <c r="K91" s="46">
        <v>1</v>
      </c>
      <c r="L91" s="46">
        <v>65</v>
      </c>
      <c r="O91" s="52"/>
      <c r="P91" s="52"/>
      <c r="Q91" s="52"/>
      <c r="R91" s="52"/>
      <c r="T91" s="52"/>
      <c r="U91" s="52"/>
      <c r="V91" s="52"/>
      <c r="W91" s="52"/>
      <c r="X91" s="52"/>
      <c r="Y91" s="52"/>
    </row>
    <row r="92" spans="1:26">
      <c r="A92" s="49">
        <v>44362</v>
      </c>
      <c r="B92" s="48">
        <v>202106151025</v>
      </c>
      <c r="C92" s="46" t="s">
        <v>3350</v>
      </c>
      <c r="D92" s="46" t="s">
        <v>3499</v>
      </c>
      <c r="E92" s="46" t="s">
        <v>736</v>
      </c>
      <c r="F92" s="46" t="s">
        <v>3348</v>
      </c>
      <c r="G92" s="46" t="s">
        <v>633</v>
      </c>
      <c r="H92" s="47" t="s">
        <v>1517</v>
      </c>
      <c r="I92" s="46" t="s">
        <v>3295</v>
      </c>
      <c r="J92" s="46" t="s">
        <v>3160</v>
      </c>
      <c r="K92" s="46">
        <v>3</v>
      </c>
      <c r="L92" s="46">
        <v>450</v>
      </c>
      <c r="N92" s="46" t="s">
        <v>1516</v>
      </c>
      <c r="O92" s="52"/>
      <c r="P92" s="52">
        <v>748</v>
      </c>
      <c r="Q92" s="52" t="s">
        <v>633</v>
      </c>
      <c r="R92" s="52" t="s">
        <v>634</v>
      </c>
      <c r="T92" s="52">
        <v>941051</v>
      </c>
      <c r="U92" s="52" t="s">
        <v>737</v>
      </c>
      <c r="V92" s="52" t="s">
        <v>738</v>
      </c>
      <c r="W92" s="52"/>
      <c r="X92" s="52"/>
      <c r="Y92" s="52"/>
      <c r="Z92" s="46" t="s">
        <v>734</v>
      </c>
    </row>
    <row r="93" spans="1:26">
      <c r="A93" s="49">
        <v>44362</v>
      </c>
      <c r="B93" s="48">
        <v>202106151025</v>
      </c>
      <c r="C93" s="46" t="s">
        <v>3350</v>
      </c>
      <c r="D93" s="46" t="s">
        <v>3499</v>
      </c>
      <c r="E93" s="46" t="s">
        <v>736</v>
      </c>
      <c r="F93" s="46" t="s">
        <v>3348</v>
      </c>
      <c r="G93" s="46" t="s">
        <v>633</v>
      </c>
      <c r="H93" s="47">
        <v>4714781021609</v>
      </c>
      <c r="I93" s="46" t="s">
        <v>3183</v>
      </c>
      <c r="J93" s="46" t="s">
        <v>3160</v>
      </c>
      <c r="K93" s="46">
        <v>2</v>
      </c>
      <c r="L93" s="46">
        <v>298</v>
      </c>
      <c r="N93" s="46" t="s">
        <v>474</v>
      </c>
      <c r="O93" s="52"/>
      <c r="P93" s="52">
        <v>748</v>
      </c>
      <c r="Q93" s="52" t="s">
        <v>633</v>
      </c>
      <c r="R93" s="52" t="s">
        <v>634</v>
      </c>
      <c r="T93" s="52">
        <v>941051</v>
      </c>
      <c r="U93" s="52" t="s">
        <v>737</v>
      </c>
      <c r="V93" s="52" t="s">
        <v>738</v>
      </c>
      <c r="W93" s="52"/>
      <c r="X93" s="52"/>
      <c r="Y93" s="52"/>
      <c r="Z93" s="46" t="s">
        <v>734</v>
      </c>
    </row>
    <row r="94" spans="1:26">
      <c r="A94" s="49">
        <v>44363</v>
      </c>
      <c r="B94" s="48">
        <v>202106161026</v>
      </c>
      <c r="C94" s="46" t="s">
        <v>3350</v>
      </c>
      <c r="D94" s="46" t="s">
        <v>3498</v>
      </c>
      <c r="E94" s="46" t="s">
        <v>74</v>
      </c>
      <c r="F94" s="46" t="s">
        <v>3348</v>
      </c>
      <c r="G94" s="46" t="s">
        <v>22</v>
      </c>
      <c r="H94" s="47" t="s">
        <v>1510</v>
      </c>
      <c r="I94" s="46" t="s">
        <v>3168</v>
      </c>
      <c r="J94" s="46" t="s">
        <v>3160</v>
      </c>
      <c r="K94" s="46">
        <v>1</v>
      </c>
      <c r="L94" s="46">
        <v>296</v>
      </c>
      <c r="N94" s="46" t="s">
        <v>1509</v>
      </c>
      <c r="O94" s="52"/>
      <c r="P94" s="52">
        <v>888</v>
      </c>
      <c r="Q94" s="52" t="s">
        <v>22</v>
      </c>
      <c r="R94" s="52" t="s">
        <v>23</v>
      </c>
      <c r="T94" s="52"/>
      <c r="U94" s="52"/>
      <c r="V94" s="52"/>
      <c r="W94" s="52">
        <v>852</v>
      </c>
      <c r="X94" s="52" t="s">
        <v>75</v>
      </c>
      <c r="Y94" s="52"/>
      <c r="Z94" s="46" t="s">
        <v>72</v>
      </c>
    </row>
    <row r="95" spans="1:26">
      <c r="A95" s="49">
        <v>44363</v>
      </c>
      <c r="B95" s="48">
        <v>202106161026</v>
      </c>
      <c r="C95" s="46" t="s">
        <v>3350</v>
      </c>
      <c r="D95" s="46" t="s">
        <v>3498</v>
      </c>
      <c r="E95" s="46" t="s">
        <v>74</v>
      </c>
      <c r="F95" s="46" t="s">
        <v>3348</v>
      </c>
      <c r="G95" s="46" t="s">
        <v>22</v>
      </c>
      <c r="H95" s="47" t="s">
        <v>1508</v>
      </c>
      <c r="I95" s="46" t="s">
        <v>3167</v>
      </c>
      <c r="J95" s="46" t="s">
        <v>3160</v>
      </c>
      <c r="K95" s="46">
        <v>1</v>
      </c>
      <c r="L95" s="46">
        <v>296</v>
      </c>
      <c r="N95" s="46" t="s">
        <v>1507</v>
      </c>
      <c r="O95" s="52"/>
      <c r="P95" s="52">
        <v>888</v>
      </c>
      <c r="Q95" s="52" t="s">
        <v>22</v>
      </c>
      <c r="R95" s="52" t="s">
        <v>23</v>
      </c>
      <c r="T95" s="52"/>
      <c r="U95" s="52"/>
      <c r="V95" s="52"/>
      <c r="W95" s="52">
        <v>852</v>
      </c>
      <c r="X95" s="52" t="s">
        <v>75</v>
      </c>
      <c r="Y95" s="52"/>
      <c r="Z95" s="46" t="s">
        <v>72</v>
      </c>
    </row>
    <row r="96" spans="1:26">
      <c r="A96" s="49">
        <v>44363</v>
      </c>
      <c r="B96" s="48">
        <v>202106161026</v>
      </c>
      <c r="C96" s="46" t="s">
        <v>3350</v>
      </c>
      <c r="D96" s="46" t="s">
        <v>3498</v>
      </c>
      <c r="E96" s="46" t="s">
        <v>74</v>
      </c>
      <c r="F96" s="46" t="s">
        <v>3348</v>
      </c>
      <c r="G96" s="46" t="s">
        <v>22</v>
      </c>
      <c r="H96" s="47" t="s">
        <v>1506</v>
      </c>
      <c r="I96" s="46" t="s">
        <v>3168</v>
      </c>
      <c r="J96" s="46" t="s">
        <v>3160</v>
      </c>
      <c r="K96" s="46">
        <v>1</v>
      </c>
      <c r="L96" s="46">
        <v>296</v>
      </c>
      <c r="N96" s="46" t="s">
        <v>1505</v>
      </c>
      <c r="O96" s="52"/>
      <c r="P96" s="52">
        <v>888</v>
      </c>
      <c r="Q96" s="52" t="s">
        <v>22</v>
      </c>
      <c r="R96" s="52" t="s">
        <v>23</v>
      </c>
      <c r="T96" s="52"/>
      <c r="U96" s="52"/>
      <c r="V96" s="52"/>
      <c r="W96" s="52">
        <v>852</v>
      </c>
      <c r="X96" s="52" t="s">
        <v>75</v>
      </c>
      <c r="Y96" s="52"/>
      <c r="Z96" s="46" t="s">
        <v>72</v>
      </c>
    </row>
    <row r="97" spans="1:26">
      <c r="A97" s="49">
        <v>44363</v>
      </c>
      <c r="B97" s="48">
        <v>202106161027</v>
      </c>
      <c r="C97" s="46" t="s">
        <v>3350</v>
      </c>
      <c r="D97" s="46" t="s">
        <v>3497</v>
      </c>
      <c r="E97" s="46" t="s">
        <v>54</v>
      </c>
      <c r="F97" s="46" t="s">
        <v>3348</v>
      </c>
      <c r="G97" s="46" t="s">
        <v>39</v>
      </c>
      <c r="H97" s="47" t="s">
        <v>1517</v>
      </c>
      <c r="I97" s="46" t="s">
        <v>3295</v>
      </c>
      <c r="J97" s="46" t="s">
        <v>3160</v>
      </c>
      <c r="K97" s="46">
        <v>2</v>
      </c>
      <c r="L97" s="46">
        <v>263</v>
      </c>
      <c r="N97" s="46" t="s">
        <v>1516</v>
      </c>
      <c r="O97" s="52"/>
      <c r="P97" s="52">
        <v>1070</v>
      </c>
      <c r="Q97" s="52" t="s">
        <v>39</v>
      </c>
      <c r="R97" s="52" t="s">
        <v>59</v>
      </c>
      <c r="T97" s="52"/>
      <c r="U97" s="52"/>
      <c r="V97" s="52"/>
      <c r="W97" s="52">
        <v>333</v>
      </c>
      <c r="X97" s="52" t="s">
        <v>60</v>
      </c>
      <c r="Y97" s="52"/>
      <c r="Z97" s="46" t="s">
        <v>52</v>
      </c>
    </row>
    <row r="98" spans="1:26">
      <c r="A98" s="49">
        <v>44363</v>
      </c>
      <c r="B98" s="48">
        <v>202106161027</v>
      </c>
      <c r="C98" s="46" t="s">
        <v>3350</v>
      </c>
      <c r="D98" s="46" t="s">
        <v>3497</v>
      </c>
      <c r="E98" s="46" t="s">
        <v>54</v>
      </c>
      <c r="F98" s="46" t="s">
        <v>3348</v>
      </c>
      <c r="G98" s="46" t="s">
        <v>39</v>
      </c>
      <c r="H98" s="47" t="s">
        <v>1514</v>
      </c>
      <c r="I98" s="46" t="s">
        <v>3210</v>
      </c>
      <c r="J98" s="46" t="s">
        <v>3160</v>
      </c>
      <c r="K98" s="46">
        <v>1</v>
      </c>
      <c r="L98" s="46">
        <v>131</v>
      </c>
      <c r="N98" s="46" t="s">
        <v>1513</v>
      </c>
      <c r="O98" s="52"/>
      <c r="P98" s="52">
        <v>1070</v>
      </c>
      <c r="Q98" s="52" t="s">
        <v>39</v>
      </c>
      <c r="R98" s="52" t="s">
        <v>59</v>
      </c>
      <c r="T98" s="52"/>
      <c r="U98" s="52"/>
      <c r="V98" s="52"/>
      <c r="W98" s="52">
        <v>333</v>
      </c>
      <c r="X98" s="52" t="s">
        <v>60</v>
      </c>
      <c r="Y98" s="52"/>
      <c r="Z98" s="46" t="s">
        <v>52</v>
      </c>
    </row>
    <row r="99" spans="1:26">
      <c r="A99" s="49">
        <v>44363</v>
      </c>
      <c r="B99" s="48">
        <v>202106161027</v>
      </c>
      <c r="C99" s="46" t="s">
        <v>3350</v>
      </c>
      <c r="D99" s="46" t="s">
        <v>3497</v>
      </c>
      <c r="E99" s="46" t="s">
        <v>54</v>
      </c>
      <c r="F99" s="46" t="s">
        <v>3348</v>
      </c>
      <c r="G99" s="46" t="s">
        <v>39</v>
      </c>
      <c r="H99" s="47">
        <v>4714781021609</v>
      </c>
      <c r="I99" s="46" t="s">
        <v>3183</v>
      </c>
      <c r="J99" s="46" t="s">
        <v>3160</v>
      </c>
      <c r="K99" s="46">
        <v>2</v>
      </c>
      <c r="L99" s="46">
        <v>266</v>
      </c>
      <c r="N99" s="46" t="s">
        <v>1454</v>
      </c>
      <c r="O99" s="52"/>
      <c r="P99" s="52">
        <v>1070</v>
      </c>
      <c r="Q99" s="52" t="s">
        <v>39</v>
      </c>
      <c r="R99" s="52" t="s">
        <v>59</v>
      </c>
      <c r="T99" s="52"/>
      <c r="U99" s="52"/>
      <c r="V99" s="52"/>
      <c r="W99" s="52">
        <v>333</v>
      </c>
      <c r="X99" s="52" t="s">
        <v>60</v>
      </c>
      <c r="Y99" s="52"/>
      <c r="Z99" s="46" t="s">
        <v>52</v>
      </c>
    </row>
    <row r="100" spans="1:26">
      <c r="A100" s="49">
        <v>44363</v>
      </c>
      <c r="B100" s="48">
        <v>202106161027</v>
      </c>
      <c r="C100" s="46" t="s">
        <v>3350</v>
      </c>
      <c r="D100" s="46" t="s">
        <v>3497</v>
      </c>
      <c r="E100" s="46" t="s">
        <v>54</v>
      </c>
      <c r="F100" s="46" t="s">
        <v>3348</v>
      </c>
      <c r="G100" s="46" t="s">
        <v>39</v>
      </c>
      <c r="H100" s="47">
        <v>4714781021029</v>
      </c>
      <c r="I100" s="46" t="s">
        <v>3234</v>
      </c>
      <c r="J100" s="46" t="s">
        <v>3160</v>
      </c>
      <c r="K100" s="46">
        <v>1</v>
      </c>
      <c r="L100" s="46">
        <v>133</v>
      </c>
      <c r="N100" s="46" t="s">
        <v>2072</v>
      </c>
      <c r="O100" s="52"/>
      <c r="P100" s="52">
        <v>1070</v>
      </c>
      <c r="Q100" s="52" t="s">
        <v>39</v>
      </c>
      <c r="R100" s="52" t="s">
        <v>59</v>
      </c>
      <c r="T100" s="52"/>
      <c r="U100" s="52"/>
      <c r="V100" s="52"/>
      <c r="W100" s="52">
        <v>333</v>
      </c>
      <c r="X100" s="52" t="s">
        <v>60</v>
      </c>
      <c r="Y100" s="52"/>
      <c r="Z100" s="46" t="s">
        <v>52</v>
      </c>
    </row>
    <row r="101" spans="1:26">
      <c r="A101" s="49">
        <v>44363</v>
      </c>
      <c r="B101" s="48">
        <v>202106161027</v>
      </c>
      <c r="C101" s="46" t="s">
        <v>3350</v>
      </c>
      <c r="D101" s="46" t="s">
        <v>3497</v>
      </c>
      <c r="E101" s="46" t="s">
        <v>54</v>
      </c>
      <c r="F101" s="46" t="s">
        <v>3348</v>
      </c>
      <c r="G101" s="46" t="s">
        <v>39</v>
      </c>
      <c r="H101" s="47">
        <v>4714781020800</v>
      </c>
      <c r="I101" s="46" t="s">
        <v>3266</v>
      </c>
      <c r="J101" s="46" t="s">
        <v>3160</v>
      </c>
      <c r="K101" s="46">
        <v>1</v>
      </c>
      <c r="L101" s="46">
        <v>128</v>
      </c>
      <c r="N101" s="46" t="s">
        <v>66</v>
      </c>
      <c r="O101" s="52"/>
      <c r="P101" s="52">
        <v>1070</v>
      </c>
      <c r="Q101" s="52" t="s">
        <v>39</v>
      </c>
      <c r="R101" s="52" t="s">
        <v>59</v>
      </c>
      <c r="T101" s="52"/>
      <c r="U101" s="52"/>
      <c r="V101" s="52"/>
      <c r="W101" s="52">
        <v>333</v>
      </c>
      <c r="X101" s="52" t="s">
        <v>60</v>
      </c>
      <c r="Y101" s="52"/>
      <c r="Z101" s="46" t="s">
        <v>52</v>
      </c>
    </row>
    <row r="102" spans="1:26">
      <c r="A102" s="49">
        <v>44363</v>
      </c>
      <c r="B102" s="48">
        <v>202106161027</v>
      </c>
      <c r="C102" s="46" t="s">
        <v>3350</v>
      </c>
      <c r="D102" s="46" t="s">
        <v>3497</v>
      </c>
      <c r="E102" s="46" t="s">
        <v>54</v>
      </c>
      <c r="F102" s="46" t="s">
        <v>3348</v>
      </c>
      <c r="G102" s="46" t="s">
        <v>39</v>
      </c>
      <c r="H102" s="47">
        <v>4714781021593</v>
      </c>
      <c r="I102" s="46" t="s">
        <v>3183</v>
      </c>
      <c r="J102" s="46" t="s">
        <v>3160</v>
      </c>
      <c r="K102" s="46">
        <v>1</v>
      </c>
      <c r="L102" s="46">
        <v>149</v>
      </c>
      <c r="N102" s="46" t="s">
        <v>69</v>
      </c>
      <c r="O102" s="52"/>
      <c r="P102" s="52">
        <v>1070</v>
      </c>
      <c r="Q102" s="52" t="s">
        <v>39</v>
      </c>
      <c r="R102" s="52" t="s">
        <v>59</v>
      </c>
      <c r="T102" s="52"/>
      <c r="U102" s="52"/>
      <c r="V102" s="52"/>
      <c r="W102" s="52">
        <v>333</v>
      </c>
      <c r="X102" s="52" t="s">
        <v>60</v>
      </c>
      <c r="Y102" s="52"/>
      <c r="Z102" s="46" t="s">
        <v>52</v>
      </c>
    </row>
    <row r="103" spans="1:26">
      <c r="A103" s="49">
        <v>44363</v>
      </c>
      <c r="B103" s="48">
        <v>202106161028</v>
      </c>
      <c r="C103" s="46" t="s">
        <v>3350</v>
      </c>
      <c r="D103" s="46" t="s">
        <v>3496</v>
      </c>
      <c r="E103" s="46" t="s">
        <v>34</v>
      </c>
      <c r="F103" s="46" t="s">
        <v>3348</v>
      </c>
      <c r="G103" s="46" t="s">
        <v>39</v>
      </c>
      <c r="H103" s="47" t="s">
        <v>1517</v>
      </c>
      <c r="I103" s="46" t="s">
        <v>3278</v>
      </c>
      <c r="J103" s="46" t="s">
        <v>3160</v>
      </c>
      <c r="K103" s="46">
        <v>1</v>
      </c>
      <c r="L103" s="46">
        <v>155</v>
      </c>
      <c r="N103" s="46" t="s">
        <v>1516</v>
      </c>
      <c r="O103" s="52"/>
      <c r="P103" s="52">
        <v>1421</v>
      </c>
      <c r="Q103" s="52" t="s">
        <v>39</v>
      </c>
      <c r="R103" s="52" t="s">
        <v>40</v>
      </c>
      <c r="T103" s="52"/>
      <c r="U103" s="52"/>
      <c r="V103" s="52"/>
      <c r="W103" s="52">
        <v>701</v>
      </c>
      <c r="X103" s="52" t="s">
        <v>41</v>
      </c>
      <c r="Y103" s="52"/>
      <c r="Z103" s="46" t="s">
        <v>32</v>
      </c>
    </row>
    <row r="104" spans="1:26">
      <c r="A104" s="49">
        <v>44363</v>
      </c>
      <c r="B104" s="48">
        <v>202106161028</v>
      </c>
      <c r="C104" s="46" t="s">
        <v>3350</v>
      </c>
      <c r="D104" s="46" t="s">
        <v>3496</v>
      </c>
      <c r="E104" s="46" t="s">
        <v>34</v>
      </c>
      <c r="F104" s="46" t="s">
        <v>3348</v>
      </c>
      <c r="G104" s="46" t="s">
        <v>39</v>
      </c>
      <c r="H104" s="47" t="s">
        <v>1510</v>
      </c>
      <c r="I104" s="46" t="s">
        <v>3168</v>
      </c>
      <c r="J104" s="46" t="s">
        <v>3160</v>
      </c>
      <c r="K104" s="46">
        <v>2</v>
      </c>
      <c r="L104" s="46">
        <v>518</v>
      </c>
      <c r="N104" s="46" t="s">
        <v>1509</v>
      </c>
      <c r="O104" s="52"/>
      <c r="P104" s="52">
        <v>1421</v>
      </c>
      <c r="Q104" s="52" t="s">
        <v>39</v>
      </c>
      <c r="R104" s="52" t="s">
        <v>40</v>
      </c>
      <c r="T104" s="52"/>
      <c r="U104" s="52"/>
      <c r="V104" s="52"/>
      <c r="W104" s="52">
        <v>701</v>
      </c>
      <c r="X104" s="52" t="s">
        <v>41</v>
      </c>
      <c r="Y104" s="52"/>
      <c r="Z104" s="46" t="s">
        <v>32</v>
      </c>
    </row>
    <row r="105" spans="1:26">
      <c r="A105" s="49">
        <v>44363</v>
      </c>
      <c r="B105" s="48">
        <v>202106161028</v>
      </c>
      <c r="C105" s="46" t="s">
        <v>3350</v>
      </c>
      <c r="D105" s="46" t="s">
        <v>3496</v>
      </c>
      <c r="E105" s="46" t="s">
        <v>34</v>
      </c>
      <c r="F105" s="46" t="s">
        <v>3348</v>
      </c>
      <c r="G105" s="46" t="s">
        <v>39</v>
      </c>
      <c r="H105" s="47" t="s">
        <v>1512</v>
      </c>
      <c r="I105" s="46" t="s">
        <v>3194</v>
      </c>
      <c r="J105" s="46" t="s">
        <v>3160</v>
      </c>
      <c r="K105" s="46">
        <v>1</v>
      </c>
      <c r="L105" s="46">
        <v>173</v>
      </c>
      <c r="N105" s="46" t="s">
        <v>1511</v>
      </c>
      <c r="O105" s="52"/>
      <c r="P105" s="52">
        <v>1421</v>
      </c>
      <c r="Q105" s="52" t="s">
        <v>39</v>
      </c>
      <c r="R105" s="52" t="s">
        <v>40</v>
      </c>
      <c r="T105" s="52"/>
      <c r="U105" s="52"/>
      <c r="V105" s="52"/>
      <c r="W105" s="52">
        <v>701</v>
      </c>
      <c r="X105" s="52" t="s">
        <v>41</v>
      </c>
      <c r="Y105" s="52"/>
      <c r="Z105" s="46" t="s">
        <v>32</v>
      </c>
    </row>
    <row r="106" spans="1:26">
      <c r="A106" s="49">
        <v>44363</v>
      </c>
      <c r="B106" s="48">
        <v>202106161028</v>
      </c>
      <c r="C106" s="46" t="s">
        <v>3350</v>
      </c>
      <c r="D106" s="46" t="s">
        <v>3496</v>
      </c>
      <c r="E106" s="46" t="s">
        <v>34</v>
      </c>
      <c r="F106" s="46" t="s">
        <v>3348</v>
      </c>
      <c r="G106" s="46" t="s">
        <v>39</v>
      </c>
      <c r="H106" s="47" t="s">
        <v>1510</v>
      </c>
      <c r="I106" s="46" t="s">
        <v>3168</v>
      </c>
      <c r="J106" s="46" t="s">
        <v>3160</v>
      </c>
      <c r="K106" s="46">
        <v>2</v>
      </c>
      <c r="L106" s="46">
        <v>575</v>
      </c>
      <c r="N106" s="46" t="s">
        <v>1509</v>
      </c>
      <c r="O106" s="52"/>
      <c r="P106" s="52">
        <v>1421</v>
      </c>
      <c r="Q106" s="52" t="s">
        <v>39</v>
      </c>
      <c r="R106" s="52" t="s">
        <v>40</v>
      </c>
      <c r="T106" s="52"/>
      <c r="U106" s="52"/>
      <c r="V106" s="52"/>
      <c r="W106" s="52">
        <v>701</v>
      </c>
      <c r="X106" s="52" t="s">
        <v>41</v>
      </c>
      <c r="Y106" s="52"/>
      <c r="Z106" s="46" t="s">
        <v>32</v>
      </c>
    </row>
    <row r="107" spans="1:26">
      <c r="A107" s="49">
        <v>44363</v>
      </c>
      <c r="B107" s="48">
        <v>202106161029</v>
      </c>
      <c r="C107" s="46" t="s">
        <v>3350</v>
      </c>
      <c r="D107" s="46" t="s">
        <v>3495</v>
      </c>
      <c r="E107" s="46" t="s">
        <v>742</v>
      </c>
      <c r="F107" s="46" t="s">
        <v>3348</v>
      </c>
      <c r="G107" s="46" t="s">
        <v>633</v>
      </c>
      <c r="H107" s="47">
        <v>4714781021609</v>
      </c>
      <c r="I107" s="46" t="s">
        <v>3183</v>
      </c>
      <c r="J107" s="46" t="s">
        <v>3160</v>
      </c>
      <c r="K107" s="46">
        <v>1</v>
      </c>
      <c r="L107" s="46">
        <v>133</v>
      </c>
      <c r="N107" s="46" t="s">
        <v>1454</v>
      </c>
      <c r="O107" s="52"/>
      <c r="P107" s="52">
        <v>849</v>
      </c>
      <c r="Q107" s="52" t="s">
        <v>633</v>
      </c>
      <c r="R107" s="52" t="s">
        <v>634</v>
      </c>
      <c r="T107" s="52">
        <v>971580</v>
      </c>
      <c r="U107" s="52" t="s">
        <v>743</v>
      </c>
      <c r="V107" s="52" t="s">
        <v>744</v>
      </c>
      <c r="W107" s="52"/>
      <c r="X107" s="52"/>
      <c r="Y107" s="52"/>
      <c r="Z107" s="46" t="s">
        <v>740</v>
      </c>
    </row>
    <row r="108" spans="1:26">
      <c r="A108" s="49">
        <v>44363</v>
      </c>
      <c r="B108" s="48">
        <v>202106161029</v>
      </c>
      <c r="C108" s="46" t="s">
        <v>3350</v>
      </c>
      <c r="D108" s="46" t="s">
        <v>3495</v>
      </c>
      <c r="E108" s="46" t="s">
        <v>742</v>
      </c>
      <c r="F108" s="46" t="s">
        <v>3348</v>
      </c>
      <c r="G108" s="46" t="s">
        <v>633</v>
      </c>
      <c r="H108" s="47">
        <v>4714781021593</v>
      </c>
      <c r="I108" s="46" t="s">
        <v>3183</v>
      </c>
      <c r="J108" s="46" t="s">
        <v>3160</v>
      </c>
      <c r="K108" s="46">
        <v>1</v>
      </c>
      <c r="L108" s="46">
        <v>133</v>
      </c>
      <c r="N108" s="46" t="s">
        <v>1453</v>
      </c>
      <c r="O108" s="52"/>
      <c r="P108" s="52">
        <v>849</v>
      </c>
      <c r="Q108" s="52" t="s">
        <v>633</v>
      </c>
      <c r="R108" s="52" t="s">
        <v>634</v>
      </c>
      <c r="T108" s="52">
        <v>971580</v>
      </c>
      <c r="U108" s="52" t="s">
        <v>743</v>
      </c>
      <c r="V108" s="52" t="s">
        <v>744</v>
      </c>
      <c r="W108" s="52"/>
      <c r="X108" s="52"/>
      <c r="Y108" s="52"/>
      <c r="Z108" s="46" t="s">
        <v>740</v>
      </c>
    </row>
    <row r="109" spans="1:26">
      <c r="A109" s="49">
        <v>44363</v>
      </c>
      <c r="B109" s="48">
        <v>202106161029</v>
      </c>
      <c r="C109" s="46" t="s">
        <v>3350</v>
      </c>
      <c r="D109" s="46" t="s">
        <v>3495</v>
      </c>
      <c r="E109" s="46" t="s">
        <v>742</v>
      </c>
      <c r="F109" s="46" t="s">
        <v>3348</v>
      </c>
      <c r="G109" s="46" t="s">
        <v>633</v>
      </c>
      <c r="H109" s="47">
        <v>4714781021029</v>
      </c>
      <c r="I109" s="46" t="s">
        <v>3234</v>
      </c>
      <c r="J109" s="46" t="s">
        <v>3160</v>
      </c>
      <c r="K109" s="46">
        <v>1</v>
      </c>
      <c r="L109" s="46">
        <v>133</v>
      </c>
      <c r="N109" s="46" t="s">
        <v>1452</v>
      </c>
      <c r="O109" s="52"/>
      <c r="P109" s="52">
        <v>849</v>
      </c>
      <c r="Q109" s="52" t="s">
        <v>633</v>
      </c>
      <c r="R109" s="52" t="s">
        <v>634</v>
      </c>
      <c r="T109" s="52">
        <v>971580</v>
      </c>
      <c r="U109" s="52" t="s">
        <v>743</v>
      </c>
      <c r="V109" s="52" t="s">
        <v>744</v>
      </c>
      <c r="W109" s="52"/>
      <c r="X109" s="52"/>
      <c r="Y109" s="52"/>
      <c r="Z109" s="46" t="s">
        <v>740</v>
      </c>
    </row>
    <row r="110" spans="1:26">
      <c r="A110" s="49">
        <v>44363</v>
      </c>
      <c r="B110" s="48">
        <v>202106161029</v>
      </c>
      <c r="C110" s="46" t="s">
        <v>3350</v>
      </c>
      <c r="D110" s="46" t="s">
        <v>3495</v>
      </c>
      <c r="E110" s="46" t="s">
        <v>742</v>
      </c>
      <c r="F110" s="46" t="s">
        <v>3348</v>
      </c>
      <c r="G110" s="46" t="s">
        <v>633</v>
      </c>
      <c r="H110" s="47" t="s">
        <v>1512</v>
      </c>
      <c r="I110" s="46" t="s">
        <v>3194</v>
      </c>
      <c r="J110" s="46" t="s">
        <v>3160</v>
      </c>
      <c r="K110" s="46">
        <v>1</v>
      </c>
      <c r="L110" s="46">
        <v>150</v>
      </c>
      <c r="N110" s="46" t="s">
        <v>1511</v>
      </c>
      <c r="O110" s="52"/>
      <c r="P110" s="52">
        <v>849</v>
      </c>
      <c r="Q110" s="52" t="s">
        <v>633</v>
      </c>
      <c r="R110" s="52" t="s">
        <v>634</v>
      </c>
      <c r="T110" s="52">
        <v>971580</v>
      </c>
      <c r="U110" s="52" t="s">
        <v>743</v>
      </c>
      <c r="V110" s="52" t="s">
        <v>744</v>
      </c>
      <c r="W110" s="52"/>
      <c r="X110" s="52"/>
      <c r="Y110" s="52"/>
      <c r="Z110" s="46" t="s">
        <v>740</v>
      </c>
    </row>
    <row r="111" spans="1:26">
      <c r="A111" s="49">
        <v>44363</v>
      </c>
      <c r="B111" s="48">
        <v>202106161029</v>
      </c>
      <c r="C111" s="46" t="s">
        <v>3350</v>
      </c>
      <c r="D111" s="46" t="s">
        <v>3495</v>
      </c>
      <c r="E111" s="46" t="s">
        <v>742</v>
      </c>
      <c r="F111" s="46" t="s">
        <v>3348</v>
      </c>
      <c r="G111" s="46" t="s">
        <v>633</v>
      </c>
      <c r="H111" s="47" t="s">
        <v>1517</v>
      </c>
      <c r="I111" s="46" t="s">
        <v>3295</v>
      </c>
      <c r="J111" s="46" t="s">
        <v>3160</v>
      </c>
      <c r="K111" s="46">
        <v>1</v>
      </c>
      <c r="L111" s="46">
        <v>150</v>
      </c>
      <c r="N111" s="46" t="s">
        <v>1516</v>
      </c>
      <c r="O111" s="52"/>
      <c r="P111" s="52">
        <v>849</v>
      </c>
      <c r="Q111" s="52" t="s">
        <v>633</v>
      </c>
      <c r="R111" s="52" t="s">
        <v>634</v>
      </c>
      <c r="T111" s="52">
        <v>971580</v>
      </c>
      <c r="U111" s="52" t="s">
        <v>743</v>
      </c>
      <c r="V111" s="52" t="s">
        <v>744</v>
      </c>
      <c r="W111" s="52"/>
      <c r="X111" s="52"/>
      <c r="Y111" s="52"/>
      <c r="Z111" s="46" t="s">
        <v>740</v>
      </c>
    </row>
    <row r="112" spans="1:26">
      <c r="A112" s="49">
        <v>44363</v>
      </c>
      <c r="B112" s="48">
        <v>202106161029</v>
      </c>
      <c r="C112" s="46" t="s">
        <v>3350</v>
      </c>
      <c r="D112" s="46" t="s">
        <v>3495</v>
      </c>
      <c r="E112" s="46" t="s">
        <v>742</v>
      </c>
      <c r="F112" s="46" t="s">
        <v>3348</v>
      </c>
      <c r="G112" s="46" t="s">
        <v>633</v>
      </c>
      <c r="H112" s="47" t="s">
        <v>1514</v>
      </c>
      <c r="I112" s="46" t="s">
        <v>3295</v>
      </c>
      <c r="J112" s="46" t="s">
        <v>3160</v>
      </c>
      <c r="K112" s="46">
        <v>1</v>
      </c>
      <c r="L112" s="46">
        <v>150</v>
      </c>
      <c r="N112" s="46" t="s">
        <v>1513</v>
      </c>
      <c r="O112" s="52"/>
      <c r="P112" s="52">
        <v>849</v>
      </c>
      <c r="Q112" s="52" t="s">
        <v>633</v>
      </c>
      <c r="R112" s="52" t="s">
        <v>634</v>
      </c>
      <c r="T112" s="52">
        <v>971580</v>
      </c>
      <c r="U112" s="52" t="s">
        <v>743</v>
      </c>
      <c r="V112" s="52" t="s">
        <v>744</v>
      </c>
      <c r="W112" s="52"/>
      <c r="X112" s="52"/>
      <c r="Y112" s="52"/>
      <c r="Z112" s="46" t="s">
        <v>740</v>
      </c>
    </row>
    <row r="113" spans="1:26">
      <c r="A113" s="49">
        <v>44363</v>
      </c>
      <c r="B113" s="48">
        <v>202106161030</v>
      </c>
      <c r="C113" s="46" t="s">
        <v>3350</v>
      </c>
      <c r="D113" s="46" t="s">
        <v>3494</v>
      </c>
      <c r="E113" s="46" t="s">
        <v>748</v>
      </c>
      <c r="F113" s="46" t="s">
        <v>3348</v>
      </c>
      <c r="G113" s="46" t="s">
        <v>633</v>
      </c>
      <c r="H113" s="47" t="s">
        <v>1523</v>
      </c>
      <c r="I113" s="46" t="s">
        <v>3169</v>
      </c>
      <c r="J113" s="46" t="s">
        <v>3160</v>
      </c>
      <c r="K113" s="46">
        <v>1</v>
      </c>
      <c r="L113" s="46">
        <v>355</v>
      </c>
      <c r="N113" s="46" t="s">
        <v>1522</v>
      </c>
      <c r="O113" s="52"/>
      <c r="P113" s="52">
        <v>960</v>
      </c>
      <c r="Q113" s="52" t="s">
        <v>633</v>
      </c>
      <c r="R113" s="52" t="s">
        <v>634</v>
      </c>
      <c r="T113" s="52">
        <v>215138</v>
      </c>
      <c r="U113" s="52" t="s">
        <v>751</v>
      </c>
      <c r="V113" s="52" t="s">
        <v>752</v>
      </c>
      <c r="W113" s="52"/>
      <c r="X113" s="52"/>
      <c r="Y113" s="52"/>
      <c r="Z113" s="46" t="s">
        <v>746</v>
      </c>
    </row>
    <row r="114" spans="1:26">
      <c r="A114" s="49">
        <v>44363</v>
      </c>
      <c r="B114" s="48">
        <v>202106161030</v>
      </c>
      <c r="C114" s="46" t="s">
        <v>3350</v>
      </c>
      <c r="D114" s="46" t="s">
        <v>3494</v>
      </c>
      <c r="E114" s="46" t="s">
        <v>748</v>
      </c>
      <c r="F114" s="46" t="s">
        <v>3348</v>
      </c>
      <c r="G114" s="46" t="s">
        <v>633</v>
      </c>
      <c r="H114" s="47" t="s">
        <v>1506</v>
      </c>
      <c r="I114" s="46" t="s">
        <v>3168</v>
      </c>
      <c r="J114" s="46" t="s">
        <v>3160</v>
      </c>
      <c r="K114" s="46">
        <v>1</v>
      </c>
      <c r="L114" s="46">
        <v>303</v>
      </c>
      <c r="N114" s="46" t="s">
        <v>1505</v>
      </c>
      <c r="O114" s="52"/>
      <c r="P114" s="52">
        <v>960</v>
      </c>
      <c r="Q114" s="52" t="s">
        <v>633</v>
      </c>
      <c r="R114" s="52" t="s">
        <v>634</v>
      </c>
      <c r="T114" s="52">
        <v>215138</v>
      </c>
      <c r="U114" s="52" t="s">
        <v>751</v>
      </c>
      <c r="V114" s="52" t="s">
        <v>752</v>
      </c>
      <c r="W114" s="52"/>
      <c r="X114" s="52"/>
      <c r="Y114" s="52"/>
      <c r="Z114" s="46" t="s">
        <v>746</v>
      </c>
    </row>
    <row r="115" spans="1:26">
      <c r="A115" s="49">
        <v>44363</v>
      </c>
      <c r="B115" s="48">
        <v>202106161030</v>
      </c>
      <c r="C115" s="46" t="s">
        <v>3350</v>
      </c>
      <c r="D115" s="46" t="s">
        <v>3494</v>
      </c>
      <c r="E115" s="46" t="s">
        <v>748</v>
      </c>
      <c r="F115" s="46" t="s">
        <v>3348</v>
      </c>
      <c r="G115" s="46" t="s">
        <v>633</v>
      </c>
      <c r="H115" s="47" t="s">
        <v>1508</v>
      </c>
      <c r="I115" s="46" t="s">
        <v>3167</v>
      </c>
      <c r="J115" s="46" t="s">
        <v>3160</v>
      </c>
      <c r="K115" s="46">
        <v>1</v>
      </c>
      <c r="L115" s="46">
        <v>302</v>
      </c>
      <c r="N115" s="46" t="s">
        <v>1507</v>
      </c>
      <c r="O115" s="52"/>
      <c r="P115" s="52">
        <v>960</v>
      </c>
      <c r="Q115" s="52" t="s">
        <v>633</v>
      </c>
      <c r="R115" s="52" t="s">
        <v>634</v>
      </c>
      <c r="T115" s="52">
        <v>215138</v>
      </c>
      <c r="U115" s="52" t="s">
        <v>751</v>
      </c>
      <c r="V115" s="52" t="s">
        <v>752</v>
      </c>
      <c r="W115" s="52"/>
      <c r="X115" s="52"/>
      <c r="Y115" s="52"/>
      <c r="Z115" s="46" t="s">
        <v>746</v>
      </c>
    </row>
    <row r="116" spans="1:26">
      <c r="A116" s="49">
        <v>44363</v>
      </c>
      <c r="B116" s="48">
        <v>202106161031</v>
      </c>
      <c r="C116" s="46" t="s">
        <v>3350</v>
      </c>
      <c r="D116" s="46" t="s">
        <v>3493</v>
      </c>
      <c r="E116" s="46" t="s">
        <v>17</v>
      </c>
      <c r="F116" s="46" t="s">
        <v>3348</v>
      </c>
      <c r="G116" s="46" t="s">
        <v>22</v>
      </c>
      <c r="H116" s="47" t="s">
        <v>1510</v>
      </c>
      <c r="I116" s="46" t="s">
        <v>3168</v>
      </c>
      <c r="J116" s="46" t="s">
        <v>3160</v>
      </c>
      <c r="K116" s="46">
        <v>1</v>
      </c>
      <c r="L116" s="46">
        <v>296</v>
      </c>
      <c r="N116" s="46" t="s">
        <v>1509</v>
      </c>
      <c r="O116" s="52"/>
      <c r="P116" s="52">
        <v>2084</v>
      </c>
      <c r="Q116" s="52" t="s">
        <v>22</v>
      </c>
      <c r="R116" s="52" t="s">
        <v>23</v>
      </c>
      <c r="T116" s="52"/>
      <c r="U116" s="52"/>
      <c r="V116" s="52"/>
      <c r="W116" s="52">
        <v>111</v>
      </c>
      <c r="X116" s="52" t="s">
        <v>26</v>
      </c>
      <c r="Y116" s="52"/>
      <c r="Z116" s="46" t="s">
        <v>15</v>
      </c>
    </row>
    <row r="117" spans="1:26">
      <c r="A117" s="49">
        <v>44363</v>
      </c>
      <c r="B117" s="48">
        <v>202106161031</v>
      </c>
      <c r="C117" s="46" t="s">
        <v>3350</v>
      </c>
      <c r="D117" s="46" t="s">
        <v>3493</v>
      </c>
      <c r="E117" s="46" t="s">
        <v>17</v>
      </c>
      <c r="F117" s="46" t="s">
        <v>3348</v>
      </c>
      <c r="G117" s="46" t="s">
        <v>22</v>
      </c>
      <c r="H117" s="47" t="s">
        <v>1508</v>
      </c>
      <c r="I117" s="46" t="s">
        <v>3167</v>
      </c>
      <c r="J117" s="46" t="s">
        <v>3160</v>
      </c>
      <c r="K117" s="46">
        <v>1</v>
      </c>
      <c r="L117" s="46">
        <v>296</v>
      </c>
      <c r="N117" s="46" t="s">
        <v>1507</v>
      </c>
      <c r="O117" s="52"/>
      <c r="P117" s="52">
        <v>2084</v>
      </c>
      <c r="Q117" s="52" t="s">
        <v>22</v>
      </c>
      <c r="R117" s="52" t="s">
        <v>23</v>
      </c>
      <c r="T117" s="52"/>
      <c r="U117" s="52"/>
      <c r="V117" s="52"/>
      <c r="W117" s="52">
        <v>111</v>
      </c>
      <c r="X117" s="52" t="s">
        <v>26</v>
      </c>
      <c r="Y117" s="52"/>
      <c r="Z117" s="46" t="s">
        <v>15</v>
      </c>
    </row>
    <row r="118" spans="1:26">
      <c r="A118" s="49">
        <v>44363</v>
      </c>
      <c r="B118" s="48">
        <v>202106161031</v>
      </c>
      <c r="C118" s="46" t="s">
        <v>3350</v>
      </c>
      <c r="D118" s="46" t="s">
        <v>3493</v>
      </c>
      <c r="E118" s="46" t="s">
        <v>17</v>
      </c>
      <c r="F118" s="46" t="s">
        <v>3348</v>
      </c>
      <c r="G118" s="46" t="s">
        <v>22</v>
      </c>
      <c r="H118" s="47" t="s">
        <v>1506</v>
      </c>
      <c r="I118" s="46" t="s">
        <v>3168</v>
      </c>
      <c r="J118" s="46" t="s">
        <v>3160</v>
      </c>
      <c r="K118" s="46">
        <v>1</v>
      </c>
      <c r="L118" s="46">
        <v>296</v>
      </c>
      <c r="N118" s="46" t="s">
        <v>1505</v>
      </c>
      <c r="O118" s="52"/>
      <c r="P118" s="52">
        <v>2084</v>
      </c>
      <c r="Q118" s="52" t="s">
        <v>22</v>
      </c>
      <c r="R118" s="52" t="s">
        <v>23</v>
      </c>
      <c r="T118" s="52"/>
      <c r="U118" s="52"/>
      <c r="V118" s="52"/>
      <c r="W118" s="52">
        <v>111</v>
      </c>
      <c r="X118" s="52" t="s">
        <v>26</v>
      </c>
      <c r="Y118" s="52"/>
      <c r="Z118" s="46" t="s">
        <v>15</v>
      </c>
    </row>
    <row r="119" spans="1:26">
      <c r="A119" s="49">
        <v>44363</v>
      </c>
      <c r="B119" s="48">
        <v>202106161031</v>
      </c>
      <c r="C119" s="46" t="s">
        <v>3350</v>
      </c>
      <c r="D119" s="46" t="s">
        <v>3493</v>
      </c>
      <c r="E119" s="46" t="s">
        <v>17</v>
      </c>
      <c r="F119" s="46" t="s">
        <v>3348</v>
      </c>
      <c r="G119" s="46" t="s">
        <v>22</v>
      </c>
      <c r="H119" s="47">
        <v>4714781021715</v>
      </c>
      <c r="I119" s="46" t="s">
        <v>3162</v>
      </c>
      <c r="J119" s="46" t="s">
        <v>3160</v>
      </c>
      <c r="K119" s="46">
        <v>4</v>
      </c>
      <c r="L119" s="46">
        <v>1196</v>
      </c>
      <c r="N119" s="46" t="s">
        <v>29</v>
      </c>
      <c r="O119" s="52"/>
      <c r="P119" s="52">
        <v>2084</v>
      </c>
      <c r="Q119" s="52" t="s">
        <v>22</v>
      </c>
      <c r="R119" s="52" t="s">
        <v>23</v>
      </c>
      <c r="T119" s="52"/>
      <c r="U119" s="52"/>
      <c r="V119" s="52"/>
      <c r="W119" s="52">
        <v>111</v>
      </c>
      <c r="X119" s="52" t="s">
        <v>26</v>
      </c>
      <c r="Y119" s="52"/>
      <c r="Z119" s="46" t="s">
        <v>15</v>
      </c>
    </row>
    <row r="120" spans="1:26">
      <c r="A120" s="49">
        <v>44363</v>
      </c>
      <c r="B120" s="48">
        <v>202106161032</v>
      </c>
      <c r="C120" s="46" t="s">
        <v>3350</v>
      </c>
      <c r="D120" s="46" t="s">
        <v>3492</v>
      </c>
      <c r="E120" s="46" t="s">
        <v>756</v>
      </c>
      <c r="F120" s="46" t="s">
        <v>3348</v>
      </c>
      <c r="G120" s="46" t="s">
        <v>633</v>
      </c>
      <c r="H120" s="47">
        <v>4714781020541</v>
      </c>
      <c r="I120" s="46" t="s">
        <v>3162</v>
      </c>
      <c r="J120" s="46" t="s">
        <v>3160</v>
      </c>
      <c r="K120" s="46">
        <v>1</v>
      </c>
      <c r="L120" s="46">
        <v>300</v>
      </c>
      <c r="N120" s="46" t="s">
        <v>719</v>
      </c>
      <c r="O120" s="52"/>
      <c r="P120" s="52">
        <v>365</v>
      </c>
      <c r="Q120" s="52" t="s">
        <v>633</v>
      </c>
      <c r="R120" s="52" t="s">
        <v>634</v>
      </c>
      <c r="T120" s="52">
        <v>120010</v>
      </c>
      <c r="U120" s="52" t="s">
        <v>757</v>
      </c>
      <c r="V120" s="52" t="s">
        <v>758</v>
      </c>
      <c r="W120" s="52"/>
      <c r="X120" s="52"/>
      <c r="Y120" s="52"/>
      <c r="Z120" s="46" t="s">
        <v>754</v>
      </c>
    </row>
    <row r="121" spans="1:26">
      <c r="A121" s="49">
        <v>44363</v>
      </c>
      <c r="B121" s="48">
        <v>202106161032</v>
      </c>
      <c r="C121" s="46" t="s">
        <v>3350</v>
      </c>
      <c r="D121" s="46" t="s">
        <v>3492</v>
      </c>
      <c r="E121" s="46" t="s">
        <v>756</v>
      </c>
      <c r="F121" s="46" t="s">
        <v>3348</v>
      </c>
      <c r="G121" s="46" t="s">
        <v>633</v>
      </c>
      <c r="H121" s="47" t="s">
        <v>3347</v>
      </c>
      <c r="J121" s="46" t="s">
        <v>3346</v>
      </c>
      <c r="K121" s="46">
        <v>1</v>
      </c>
      <c r="L121" s="46">
        <v>65</v>
      </c>
      <c r="O121" s="52"/>
      <c r="P121" s="52"/>
      <c r="Q121" s="52"/>
      <c r="R121" s="52"/>
      <c r="T121" s="52"/>
      <c r="U121" s="52"/>
      <c r="V121" s="52"/>
      <c r="W121" s="52"/>
      <c r="X121" s="52"/>
      <c r="Y121" s="52"/>
    </row>
    <row r="122" spans="1:26">
      <c r="A122" s="49">
        <v>44363</v>
      </c>
      <c r="B122" s="48">
        <v>202106161033</v>
      </c>
      <c r="C122" s="46" t="s">
        <v>3350</v>
      </c>
      <c r="D122" s="46" t="s">
        <v>3491</v>
      </c>
      <c r="E122" s="46" t="s">
        <v>762</v>
      </c>
      <c r="F122" s="46" t="s">
        <v>3348</v>
      </c>
      <c r="G122" s="46" t="s">
        <v>633</v>
      </c>
      <c r="H122" s="47">
        <v>4714781024716</v>
      </c>
      <c r="I122" s="46" t="s">
        <v>3168</v>
      </c>
      <c r="J122" s="46" t="s">
        <v>3160</v>
      </c>
      <c r="K122" s="46">
        <v>1</v>
      </c>
      <c r="L122" s="46">
        <v>299</v>
      </c>
      <c r="N122" s="46" t="s">
        <v>372</v>
      </c>
      <c r="O122" s="52"/>
      <c r="P122" s="52">
        <v>733</v>
      </c>
      <c r="Q122" s="52" t="s">
        <v>633</v>
      </c>
      <c r="R122" s="52" t="s">
        <v>59</v>
      </c>
      <c r="T122" s="52">
        <v>165046</v>
      </c>
      <c r="U122" s="52" t="s">
        <v>763</v>
      </c>
      <c r="V122" s="52" t="s">
        <v>764</v>
      </c>
      <c r="W122" s="52"/>
      <c r="X122" s="52"/>
      <c r="Y122" s="52"/>
      <c r="Z122" s="46" t="s">
        <v>760</v>
      </c>
    </row>
    <row r="123" spans="1:26">
      <c r="A123" s="49">
        <v>44363</v>
      </c>
      <c r="B123" s="48">
        <v>202106161033</v>
      </c>
      <c r="C123" s="46" t="s">
        <v>3350</v>
      </c>
      <c r="D123" s="46" t="s">
        <v>3491</v>
      </c>
      <c r="E123" s="46" t="s">
        <v>762</v>
      </c>
      <c r="F123" s="46" t="s">
        <v>3348</v>
      </c>
      <c r="G123" s="46" t="s">
        <v>633</v>
      </c>
      <c r="H123" s="47">
        <v>4714781020510</v>
      </c>
      <c r="I123" s="46" t="s">
        <v>3166</v>
      </c>
      <c r="J123" s="46" t="s">
        <v>3160</v>
      </c>
      <c r="K123" s="46">
        <v>1</v>
      </c>
      <c r="L123" s="46">
        <v>299</v>
      </c>
      <c r="N123" s="46" t="s">
        <v>324</v>
      </c>
      <c r="O123" s="52"/>
      <c r="P123" s="52">
        <v>733</v>
      </c>
      <c r="Q123" s="52" t="s">
        <v>633</v>
      </c>
      <c r="R123" s="52" t="s">
        <v>59</v>
      </c>
      <c r="T123" s="52">
        <v>165046</v>
      </c>
      <c r="U123" s="52" t="s">
        <v>763</v>
      </c>
      <c r="V123" s="52" t="s">
        <v>764</v>
      </c>
      <c r="W123" s="52"/>
      <c r="X123" s="52"/>
      <c r="Y123" s="52"/>
      <c r="Z123" s="46" t="s">
        <v>760</v>
      </c>
    </row>
    <row r="124" spans="1:26">
      <c r="A124" s="49">
        <v>44363</v>
      </c>
      <c r="B124" s="48">
        <v>202106161033</v>
      </c>
      <c r="C124" s="46" t="s">
        <v>3350</v>
      </c>
      <c r="D124" s="46" t="s">
        <v>3491</v>
      </c>
      <c r="E124" s="46" t="s">
        <v>762</v>
      </c>
      <c r="F124" s="46" t="s">
        <v>3348</v>
      </c>
      <c r="G124" s="46" t="s">
        <v>633</v>
      </c>
      <c r="H124" s="47">
        <v>4714781020787</v>
      </c>
      <c r="I124" s="46" t="s">
        <v>3262</v>
      </c>
      <c r="J124" s="46" t="s">
        <v>3160</v>
      </c>
      <c r="K124" s="46">
        <v>1</v>
      </c>
      <c r="L124" s="46">
        <v>135</v>
      </c>
      <c r="N124" s="46" t="s">
        <v>95</v>
      </c>
      <c r="O124" s="52"/>
      <c r="P124" s="52">
        <v>733</v>
      </c>
      <c r="Q124" s="52" t="s">
        <v>633</v>
      </c>
      <c r="R124" s="52" t="s">
        <v>59</v>
      </c>
      <c r="T124" s="52">
        <v>165046</v>
      </c>
      <c r="U124" s="52" t="s">
        <v>763</v>
      </c>
      <c r="V124" s="52" t="s">
        <v>764</v>
      </c>
      <c r="W124" s="52"/>
      <c r="X124" s="52"/>
      <c r="Y124" s="52"/>
      <c r="Z124" s="46" t="s">
        <v>760</v>
      </c>
    </row>
    <row r="125" spans="1:26">
      <c r="A125" s="49">
        <v>44363</v>
      </c>
      <c r="B125" s="48">
        <v>202106161034</v>
      </c>
      <c r="C125" s="46" t="s">
        <v>3350</v>
      </c>
      <c r="D125" s="46" t="s">
        <v>3488</v>
      </c>
      <c r="E125" s="46" t="s">
        <v>768</v>
      </c>
      <c r="F125" s="46" t="s">
        <v>3348</v>
      </c>
      <c r="G125" s="46" t="s">
        <v>633</v>
      </c>
      <c r="H125" s="47">
        <v>4714781020848</v>
      </c>
      <c r="I125" s="46" t="s">
        <v>3256</v>
      </c>
      <c r="J125" s="46" t="s">
        <v>3160</v>
      </c>
      <c r="K125" s="46">
        <v>3</v>
      </c>
      <c r="L125" s="46">
        <v>1000</v>
      </c>
      <c r="N125" s="46" t="s">
        <v>3490</v>
      </c>
      <c r="O125" s="52"/>
      <c r="P125" s="52">
        <v>2099</v>
      </c>
      <c r="Q125" s="52" t="s">
        <v>633</v>
      </c>
      <c r="R125" s="52" t="s">
        <v>634</v>
      </c>
      <c r="T125" s="52">
        <v>944658</v>
      </c>
      <c r="U125" s="52" t="s">
        <v>773</v>
      </c>
      <c r="V125" s="52" t="s">
        <v>774</v>
      </c>
      <c r="W125" s="52"/>
      <c r="X125" s="52"/>
      <c r="Y125" s="52"/>
      <c r="Z125" s="46" t="s">
        <v>766</v>
      </c>
    </row>
    <row r="126" spans="1:26">
      <c r="A126" s="49">
        <v>44363</v>
      </c>
      <c r="B126" s="48">
        <v>202106161034</v>
      </c>
      <c r="C126" s="46" t="s">
        <v>3350</v>
      </c>
      <c r="D126" s="46" t="s">
        <v>3488</v>
      </c>
      <c r="E126" s="46" t="s">
        <v>768</v>
      </c>
      <c r="F126" s="46" t="s">
        <v>3348</v>
      </c>
      <c r="G126" s="46" t="s">
        <v>633</v>
      </c>
      <c r="H126" s="47">
        <v>4714781020855</v>
      </c>
      <c r="I126" s="46" t="s">
        <v>3194</v>
      </c>
      <c r="J126" s="46" t="s">
        <v>3160</v>
      </c>
      <c r="K126" s="46">
        <v>2</v>
      </c>
      <c r="L126" s="46">
        <v>700</v>
      </c>
      <c r="N126" s="46" t="s">
        <v>3489</v>
      </c>
      <c r="O126" s="52"/>
      <c r="P126" s="52">
        <v>2099</v>
      </c>
      <c r="Q126" s="52" t="s">
        <v>633</v>
      </c>
      <c r="R126" s="52" t="s">
        <v>634</v>
      </c>
      <c r="T126" s="52">
        <v>944658</v>
      </c>
      <c r="U126" s="52" t="s">
        <v>773</v>
      </c>
      <c r="V126" s="52" t="s">
        <v>774</v>
      </c>
      <c r="W126" s="52"/>
      <c r="X126" s="52"/>
      <c r="Y126" s="52"/>
      <c r="Z126" s="46" t="s">
        <v>766</v>
      </c>
    </row>
    <row r="127" spans="1:26">
      <c r="A127" s="49">
        <v>44363</v>
      </c>
      <c r="B127" s="48">
        <v>202106161034</v>
      </c>
      <c r="C127" s="46" t="s">
        <v>3350</v>
      </c>
      <c r="D127" s="46" t="s">
        <v>3488</v>
      </c>
      <c r="E127" s="46" t="s">
        <v>768</v>
      </c>
      <c r="F127" s="46" t="s">
        <v>3348</v>
      </c>
      <c r="G127" s="46" t="s">
        <v>633</v>
      </c>
      <c r="H127" s="47">
        <v>4714781021609</v>
      </c>
      <c r="I127" s="46" t="s">
        <v>3183</v>
      </c>
      <c r="J127" s="46" t="s">
        <v>3160</v>
      </c>
      <c r="K127" s="46">
        <v>3</v>
      </c>
      <c r="L127" s="46">
        <v>399</v>
      </c>
      <c r="N127" s="46" t="s">
        <v>1454</v>
      </c>
      <c r="O127" s="52"/>
      <c r="P127" s="52">
        <v>2099</v>
      </c>
      <c r="Q127" s="52" t="s">
        <v>633</v>
      </c>
      <c r="R127" s="52" t="s">
        <v>634</v>
      </c>
      <c r="T127" s="52">
        <v>944658</v>
      </c>
      <c r="U127" s="52" t="s">
        <v>773</v>
      </c>
      <c r="V127" s="52" t="s">
        <v>774</v>
      </c>
      <c r="W127" s="52"/>
      <c r="X127" s="52"/>
      <c r="Y127" s="52"/>
      <c r="Z127" s="46" t="s">
        <v>766</v>
      </c>
    </row>
    <row r="128" spans="1:26">
      <c r="A128" s="49">
        <v>44363</v>
      </c>
      <c r="B128" s="48">
        <v>202106161035</v>
      </c>
      <c r="C128" s="46" t="s">
        <v>3350</v>
      </c>
      <c r="D128" s="46" t="s">
        <v>3487</v>
      </c>
      <c r="E128" s="46" t="s">
        <v>778</v>
      </c>
      <c r="F128" s="46" t="s">
        <v>3348</v>
      </c>
      <c r="G128" s="46" t="s">
        <v>633</v>
      </c>
      <c r="H128" s="47" t="s">
        <v>1541</v>
      </c>
      <c r="I128" s="46" t="s">
        <v>3213</v>
      </c>
      <c r="J128" s="46" t="s">
        <v>3160</v>
      </c>
      <c r="K128" s="46">
        <v>1</v>
      </c>
      <c r="L128" s="46">
        <v>119</v>
      </c>
      <c r="N128" s="46" t="s">
        <v>1540</v>
      </c>
      <c r="O128" s="52"/>
      <c r="P128" s="52">
        <v>699</v>
      </c>
      <c r="Q128" s="52" t="s">
        <v>633</v>
      </c>
      <c r="R128" s="52" t="s">
        <v>634</v>
      </c>
      <c r="T128" s="52">
        <v>131412</v>
      </c>
      <c r="U128" s="52" t="s">
        <v>783</v>
      </c>
      <c r="V128" s="52" t="s">
        <v>784</v>
      </c>
      <c r="W128" s="52"/>
      <c r="X128" s="52"/>
      <c r="Y128" s="52"/>
      <c r="Z128" s="46" t="s">
        <v>776</v>
      </c>
    </row>
    <row r="129" spans="1:26">
      <c r="A129" s="49">
        <v>44363</v>
      </c>
      <c r="B129" s="48">
        <v>202106161035</v>
      </c>
      <c r="C129" s="46" t="s">
        <v>3350</v>
      </c>
      <c r="D129" s="46" t="s">
        <v>3487</v>
      </c>
      <c r="E129" s="46" t="s">
        <v>778</v>
      </c>
      <c r="F129" s="46" t="s">
        <v>3348</v>
      </c>
      <c r="G129" s="46" t="s">
        <v>633</v>
      </c>
      <c r="H129" s="47" t="s">
        <v>1510</v>
      </c>
      <c r="I129" s="46" t="s">
        <v>3168</v>
      </c>
      <c r="J129" s="46" t="s">
        <v>3160</v>
      </c>
      <c r="K129" s="46">
        <v>1</v>
      </c>
      <c r="L129" s="46">
        <v>290</v>
      </c>
      <c r="N129" s="46" t="s">
        <v>1509</v>
      </c>
      <c r="O129" s="52"/>
      <c r="P129" s="52">
        <v>699</v>
      </c>
      <c r="Q129" s="52" t="s">
        <v>633</v>
      </c>
      <c r="R129" s="52" t="s">
        <v>634</v>
      </c>
      <c r="T129" s="52">
        <v>131412</v>
      </c>
      <c r="U129" s="52" t="s">
        <v>783</v>
      </c>
      <c r="V129" s="52" t="s">
        <v>784</v>
      </c>
      <c r="W129" s="52"/>
      <c r="X129" s="52"/>
      <c r="Y129" s="52"/>
      <c r="Z129" s="46" t="s">
        <v>776</v>
      </c>
    </row>
    <row r="130" spans="1:26">
      <c r="A130" s="49">
        <v>44363</v>
      </c>
      <c r="B130" s="48">
        <v>202106161035</v>
      </c>
      <c r="C130" s="46" t="s">
        <v>3350</v>
      </c>
      <c r="D130" s="46" t="s">
        <v>3487</v>
      </c>
      <c r="E130" s="46" t="s">
        <v>778</v>
      </c>
      <c r="F130" s="46" t="s">
        <v>3348</v>
      </c>
      <c r="G130" s="46" t="s">
        <v>633</v>
      </c>
      <c r="H130" s="47" t="s">
        <v>1506</v>
      </c>
      <c r="I130" s="46" t="s">
        <v>3168</v>
      </c>
      <c r="J130" s="46" t="s">
        <v>3160</v>
      </c>
      <c r="K130" s="46">
        <v>1</v>
      </c>
      <c r="L130" s="46">
        <v>290</v>
      </c>
      <c r="N130" s="46" t="s">
        <v>1505</v>
      </c>
      <c r="O130" s="52"/>
      <c r="P130" s="52">
        <v>699</v>
      </c>
      <c r="Q130" s="52" t="s">
        <v>633</v>
      </c>
      <c r="R130" s="52" t="s">
        <v>634</v>
      </c>
      <c r="T130" s="52">
        <v>131412</v>
      </c>
      <c r="U130" s="52" t="s">
        <v>783</v>
      </c>
      <c r="V130" s="52" t="s">
        <v>784</v>
      </c>
      <c r="W130" s="52"/>
      <c r="X130" s="52"/>
      <c r="Y130" s="52"/>
      <c r="Z130" s="46" t="s">
        <v>776</v>
      </c>
    </row>
    <row r="131" spans="1:26">
      <c r="A131" s="49">
        <v>44363</v>
      </c>
      <c r="B131" s="48">
        <v>202106161036</v>
      </c>
      <c r="C131" s="46" t="s">
        <v>3350</v>
      </c>
      <c r="D131" s="46" t="s">
        <v>3486</v>
      </c>
      <c r="E131" s="46" t="s">
        <v>253</v>
      </c>
      <c r="F131" s="46" t="s">
        <v>3348</v>
      </c>
      <c r="G131" s="46" t="s">
        <v>22</v>
      </c>
      <c r="H131" s="47" t="s">
        <v>1517</v>
      </c>
      <c r="I131" s="46" t="s">
        <v>3295</v>
      </c>
      <c r="J131" s="46" t="s">
        <v>3160</v>
      </c>
      <c r="K131" s="46">
        <v>3</v>
      </c>
      <c r="L131" s="46">
        <v>450</v>
      </c>
      <c r="N131" s="46" t="s">
        <v>1516</v>
      </c>
      <c r="O131" s="52"/>
      <c r="P131" s="52">
        <v>530</v>
      </c>
      <c r="Q131" s="52" t="s">
        <v>22</v>
      </c>
      <c r="R131" s="52" t="s">
        <v>23</v>
      </c>
      <c r="T131" s="52"/>
      <c r="U131" s="52"/>
      <c r="V131" s="52"/>
      <c r="W131" s="52">
        <v>116</v>
      </c>
      <c r="X131" s="52" t="s">
        <v>256</v>
      </c>
      <c r="Y131" s="52"/>
      <c r="Z131" s="46" t="s">
        <v>251</v>
      </c>
    </row>
    <row r="132" spans="1:26">
      <c r="A132" s="49">
        <v>44363</v>
      </c>
      <c r="B132" s="48">
        <v>202106161036</v>
      </c>
      <c r="C132" s="46" t="s">
        <v>3350</v>
      </c>
      <c r="D132" s="46" t="s">
        <v>3486</v>
      </c>
      <c r="E132" s="46" t="s">
        <v>253</v>
      </c>
      <c r="F132" s="46" t="s">
        <v>3348</v>
      </c>
      <c r="G132" s="46" t="s">
        <v>22</v>
      </c>
      <c r="H132" s="47" t="s">
        <v>3347</v>
      </c>
      <c r="J132" s="46" t="s">
        <v>3346</v>
      </c>
      <c r="K132" s="46">
        <v>1</v>
      </c>
      <c r="L132" s="46">
        <v>80</v>
      </c>
      <c r="O132" s="52"/>
      <c r="P132" s="52"/>
      <c r="Q132" s="52"/>
      <c r="R132" s="52"/>
      <c r="T132" s="52"/>
      <c r="U132" s="52"/>
      <c r="V132" s="52"/>
      <c r="W132" s="52"/>
      <c r="X132" s="52"/>
      <c r="Y132" s="52"/>
    </row>
    <row r="133" spans="1:26">
      <c r="A133" s="49">
        <v>44363</v>
      </c>
      <c r="B133" s="48">
        <v>202106161037</v>
      </c>
      <c r="C133" s="46" t="s">
        <v>3350</v>
      </c>
      <c r="D133" s="46" t="s">
        <v>3485</v>
      </c>
      <c r="E133" s="46" t="s">
        <v>788</v>
      </c>
      <c r="F133" s="46" t="s">
        <v>3348</v>
      </c>
      <c r="G133" s="46" t="s">
        <v>633</v>
      </c>
      <c r="H133" s="47">
        <v>4714781021609</v>
      </c>
      <c r="I133" s="46" t="s">
        <v>3183</v>
      </c>
      <c r="J133" s="46" t="s">
        <v>3160</v>
      </c>
      <c r="K133" s="46">
        <v>2</v>
      </c>
      <c r="L133" s="46">
        <v>266</v>
      </c>
      <c r="N133" s="46" t="s">
        <v>1454</v>
      </c>
      <c r="O133" s="52"/>
      <c r="P133" s="52">
        <v>798</v>
      </c>
      <c r="Q133" s="52" t="s">
        <v>633</v>
      </c>
      <c r="R133" s="52" t="s">
        <v>634</v>
      </c>
      <c r="T133" s="52">
        <v>130475</v>
      </c>
      <c r="U133" s="52" t="s">
        <v>789</v>
      </c>
      <c r="V133" s="52" t="s">
        <v>790</v>
      </c>
      <c r="W133" s="52"/>
      <c r="X133" s="52"/>
      <c r="Y133" s="52"/>
      <c r="Z133" s="46" t="s">
        <v>786</v>
      </c>
    </row>
    <row r="134" spans="1:26">
      <c r="A134" s="49">
        <v>44363</v>
      </c>
      <c r="B134" s="48">
        <v>202106161037</v>
      </c>
      <c r="C134" s="46" t="s">
        <v>3350</v>
      </c>
      <c r="D134" s="46" t="s">
        <v>3485</v>
      </c>
      <c r="E134" s="46" t="s">
        <v>788</v>
      </c>
      <c r="F134" s="46" t="s">
        <v>3348</v>
      </c>
      <c r="G134" s="46" t="s">
        <v>633</v>
      </c>
      <c r="H134" s="47">
        <v>4714781021593</v>
      </c>
      <c r="I134" s="46" t="s">
        <v>3183</v>
      </c>
      <c r="J134" s="46" t="s">
        <v>3160</v>
      </c>
      <c r="K134" s="46">
        <v>2</v>
      </c>
      <c r="L134" s="46">
        <v>266</v>
      </c>
      <c r="N134" s="46" t="s">
        <v>1453</v>
      </c>
      <c r="O134" s="52"/>
      <c r="P134" s="52">
        <v>798</v>
      </c>
      <c r="Q134" s="52" t="s">
        <v>633</v>
      </c>
      <c r="R134" s="52" t="s">
        <v>634</v>
      </c>
      <c r="T134" s="52">
        <v>130475</v>
      </c>
      <c r="U134" s="52" t="s">
        <v>789</v>
      </c>
      <c r="V134" s="52" t="s">
        <v>790</v>
      </c>
      <c r="W134" s="52"/>
      <c r="X134" s="52"/>
      <c r="Y134" s="52"/>
      <c r="Z134" s="46" t="s">
        <v>786</v>
      </c>
    </row>
    <row r="135" spans="1:26">
      <c r="A135" s="49">
        <v>44363</v>
      </c>
      <c r="B135" s="48">
        <v>202106161037</v>
      </c>
      <c r="C135" s="46" t="s">
        <v>3350</v>
      </c>
      <c r="D135" s="46" t="s">
        <v>3485</v>
      </c>
      <c r="E135" s="46" t="s">
        <v>788</v>
      </c>
      <c r="F135" s="46" t="s">
        <v>3348</v>
      </c>
      <c r="G135" s="46" t="s">
        <v>633</v>
      </c>
      <c r="H135" s="47">
        <v>4714781021029</v>
      </c>
      <c r="I135" s="46" t="s">
        <v>3234</v>
      </c>
      <c r="J135" s="46" t="s">
        <v>3160</v>
      </c>
      <c r="K135" s="46">
        <v>2</v>
      </c>
      <c r="L135" s="46">
        <v>266</v>
      </c>
      <c r="N135" s="46" t="s">
        <v>1452</v>
      </c>
      <c r="O135" s="52"/>
      <c r="P135" s="52">
        <v>798</v>
      </c>
      <c r="Q135" s="52" t="s">
        <v>633</v>
      </c>
      <c r="R135" s="52" t="s">
        <v>634</v>
      </c>
      <c r="T135" s="52">
        <v>130475</v>
      </c>
      <c r="U135" s="52" t="s">
        <v>789</v>
      </c>
      <c r="V135" s="52" t="s">
        <v>790</v>
      </c>
      <c r="W135" s="52"/>
      <c r="X135" s="52"/>
      <c r="Y135" s="52"/>
      <c r="Z135" s="46" t="s">
        <v>786</v>
      </c>
    </row>
    <row r="136" spans="1:26">
      <c r="A136" s="49">
        <v>44363</v>
      </c>
      <c r="B136" s="48">
        <v>202106161038</v>
      </c>
      <c r="C136" s="46" t="s">
        <v>3350</v>
      </c>
      <c r="D136" s="46" t="s">
        <v>3484</v>
      </c>
      <c r="E136" s="46" t="s">
        <v>794</v>
      </c>
      <c r="F136" s="46" t="s">
        <v>3348</v>
      </c>
      <c r="G136" s="46" t="s">
        <v>633</v>
      </c>
      <c r="H136" s="47">
        <v>4714781021609</v>
      </c>
      <c r="I136" s="46" t="s">
        <v>3183</v>
      </c>
      <c r="J136" s="46" t="s">
        <v>3160</v>
      </c>
      <c r="K136" s="46">
        <v>2</v>
      </c>
      <c r="L136" s="46">
        <v>266</v>
      </c>
      <c r="N136" s="46" t="s">
        <v>1454</v>
      </c>
      <c r="O136" s="52"/>
      <c r="P136" s="52">
        <v>897</v>
      </c>
      <c r="Q136" s="52" t="s">
        <v>633</v>
      </c>
      <c r="R136" s="52" t="s">
        <v>40</v>
      </c>
      <c r="T136" s="52">
        <v>977614</v>
      </c>
      <c r="U136" s="52" t="s">
        <v>795</v>
      </c>
      <c r="V136" s="52" t="s">
        <v>796</v>
      </c>
      <c r="W136" s="52"/>
      <c r="X136" s="52"/>
      <c r="Y136" s="52"/>
      <c r="Z136" s="46" t="s">
        <v>792</v>
      </c>
    </row>
    <row r="137" spans="1:26">
      <c r="A137" s="49">
        <v>44363</v>
      </c>
      <c r="B137" s="48">
        <v>202106161038</v>
      </c>
      <c r="C137" s="46" t="s">
        <v>3350</v>
      </c>
      <c r="D137" s="46" t="s">
        <v>3484</v>
      </c>
      <c r="E137" s="46" t="s">
        <v>794</v>
      </c>
      <c r="F137" s="46" t="s">
        <v>3348</v>
      </c>
      <c r="G137" s="46" t="s">
        <v>633</v>
      </c>
      <c r="H137" s="47">
        <v>4714781021593</v>
      </c>
      <c r="I137" s="46" t="s">
        <v>3183</v>
      </c>
      <c r="J137" s="46" t="s">
        <v>3160</v>
      </c>
      <c r="K137" s="46">
        <v>2</v>
      </c>
      <c r="L137" s="46">
        <v>266</v>
      </c>
      <c r="N137" s="46" t="s">
        <v>1453</v>
      </c>
      <c r="O137" s="52"/>
      <c r="P137" s="52">
        <v>897</v>
      </c>
      <c r="Q137" s="52" t="s">
        <v>633</v>
      </c>
      <c r="R137" s="52" t="s">
        <v>40</v>
      </c>
      <c r="T137" s="52">
        <v>977614</v>
      </c>
      <c r="U137" s="52" t="s">
        <v>795</v>
      </c>
      <c r="V137" s="52" t="s">
        <v>796</v>
      </c>
      <c r="W137" s="52"/>
      <c r="X137" s="52"/>
      <c r="Y137" s="52"/>
      <c r="Z137" s="46" t="s">
        <v>792</v>
      </c>
    </row>
    <row r="138" spans="1:26">
      <c r="A138" s="49">
        <v>44363</v>
      </c>
      <c r="B138" s="48">
        <v>202106161038</v>
      </c>
      <c r="C138" s="46" t="s">
        <v>3350</v>
      </c>
      <c r="D138" s="46" t="s">
        <v>3484</v>
      </c>
      <c r="E138" s="46" t="s">
        <v>794</v>
      </c>
      <c r="F138" s="46" t="s">
        <v>3348</v>
      </c>
      <c r="G138" s="46" t="s">
        <v>633</v>
      </c>
      <c r="H138" s="47">
        <v>4714781021029</v>
      </c>
      <c r="I138" s="46" t="s">
        <v>3234</v>
      </c>
      <c r="J138" s="46" t="s">
        <v>3160</v>
      </c>
      <c r="K138" s="46">
        <v>2</v>
      </c>
      <c r="L138" s="46">
        <v>266</v>
      </c>
      <c r="N138" s="46" t="s">
        <v>1452</v>
      </c>
      <c r="O138" s="52"/>
      <c r="P138" s="52">
        <v>897</v>
      </c>
      <c r="Q138" s="52" t="s">
        <v>633</v>
      </c>
      <c r="R138" s="52" t="s">
        <v>40</v>
      </c>
      <c r="T138" s="52">
        <v>977614</v>
      </c>
      <c r="U138" s="52" t="s">
        <v>795</v>
      </c>
      <c r="V138" s="52" t="s">
        <v>796</v>
      </c>
      <c r="W138" s="52"/>
      <c r="X138" s="52"/>
      <c r="Y138" s="52"/>
      <c r="Z138" s="46" t="s">
        <v>792</v>
      </c>
    </row>
    <row r="139" spans="1:26">
      <c r="A139" s="49">
        <v>44363</v>
      </c>
      <c r="B139" s="48">
        <v>202106161038</v>
      </c>
      <c r="C139" s="46" t="s">
        <v>3350</v>
      </c>
      <c r="D139" s="46" t="s">
        <v>3484</v>
      </c>
      <c r="E139" s="46" t="s">
        <v>794</v>
      </c>
      <c r="F139" s="46" t="s">
        <v>3348</v>
      </c>
      <c r="G139" s="46" t="s">
        <v>633</v>
      </c>
      <c r="H139" s="47">
        <v>4714781021050</v>
      </c>
      <c r="I139" s="46" t="s">
        <v>3227</v>
      </c>
      <c r="J139" s="46" t="s">
        <v>3160</v>
      </c>
      <c r="K139" s="46">
        <v>1</v>
      </c>
      <c r="L139" s="46">
        <v>99</v>
      </c>
      <c r="N139" s="46" t="s">
        <v>797</v>
      </c>
      <c r="O139" s="52"/>
      <c r="P139" s="52">
        <v>897</v>
      </c>
      <c r="Q139" s="52" t="s">
        <v>633</v>
      </c>
      <c r="R139" s="52" t="s">
        <v>40</v>
      </c>
      <c r="T139" s="52">
        <v>977614</v>
      </c>
      <c r="U139" s="52" t="s">
        <v>795</v>
      </c>
      <c r="V139" s="52" t="s">
        <v>796</v>
      </c>
      <c r="W139" s="52"/>
      <c r="X139" s="52"/>
      <c r="Y139" s="52"/>
      <c r="Z139" s="46" t="s">
        <v>792</v>
      </c>
    </row>
    <row r="140" spans="1:26">
      <c r="A140" s="49">
        <v>44363</v>
      </c>
      <c r="B140" s="48">
        <v>202106161039</v>
      </c>
      <c r="C140" s="46" t="s">
        <v>3350</v>
      </c>
      <c r="D140" s="46" t="s">
        <v>3483</v>
      </c>
      <c r="E140" s="46" t="s">
        <v>801</v>
      </c>
      <c r="F140" s="46" t="s">
        <v>3348</v>
      </c>
      <c r="G140" s="46" t="s">
        <v>633</v>
      </c>
      <c r="H140" s="47">
        <v>4714781021609</v>
      </c>
      <c r="I140" s="46" t="s">
        <v>3183</v>
      </c>
      <c r="J140" s="46" t="s">
        <v>3160</v>
      </c>
      <c r="K140" s="46">
        <v>2</v>
      </c>
      <c r="L140" s="46">
        <v>266</v>
      </c>
      <c r="N140" s="46" t="s">
        <v>1454</v>
      </c>
      <c r="O140" s="52"/>
      <c r="P140" s="52">
        <v>798</v>
      </c>
      <c r="Q140" s="52" t="s">
        <v>633</v>
      </c>
      <c r="R140" s="52" t="s">
        <v>634</v>
      </c>
      <c r="T140" s="52">
        <v>968908</v>
      </c>
      <c r="U140" s="52" t="s">
        <v>802</v>
      </c>
      <c r="V140" s="52" t="s">
        <v>803</v>
      </c>
      <c r="W140" s="52"/>
      <c r="X140" s="52"/>
      <c r="Y140" s="52"/>
      <c r="Z140" s="46" t="s">
        <v>799</v>
      </c>
    </row>
    <row r="141" spans="1:26">
      <c r="A141" s="49">
        <v>44363</v>
      </c>
      <c r="B141" s="48">
        <v>202106161039</v>
      </c>
      <c r="C141" s="46" t="s">
        <v>3350</v>
      </c>
      <c r="D141" s="46" t="s">
        <v>3483</v>
      </c>
      <c r="E141" s="46" t="s">
        <v>801</v>
      </c>
      <c r="F141" s="46" t="s">
        <v>3348</v>
      </c>
      <c r="G141" s="46" t="s">
        <v>633</v>
      </c>
      <c r="H141" s="47">
        <v>4714781021593</v>
      </c>
      <c r="I141" s="46" t="s">
        <v>3183</v>
      </c>
      <c r="J141" s="46" t="s">
        <v>3160</v>
      </c>
      <c r="K141" s="46">
        <v>2</v>
      </c>
      <c r="L141" s="46">
        <v>266</v>
      </c>
      <c r="N141" s="46" t="s">
        <v>1453</v>
      </c>
      <c r="O141" s="52"/>
      <c r="P141" s="52">
        <v>798</v>
      </c>
      <c r="Q141" s="52" t="s">
        <v>633</v>
      </c>
      <c r="R141" s="52" t="s">
        <v>634</v>
      </c>
      <c r="T141" s="52">
        <v>968908</v>
      </c>
      <c r="U141" s="52" t="s">
        <v>802</v>
      </c>
      <c r="V141" s="52" t="s">
        <v>803</v>
      </c>
      <c r="W141" s="52"/>
      <c r="X141" s="52"/>
      <c r="Y141" s="52"/>
      <c r="Z141" s="46" t="s">
        <v>799</v>
      </c>
    </row>
    <row r="142" spans="1:26">
      <c r="A142" s="49">
        <v>44363</v>
      </c>
      <c r="B142" s="48">
        <v>202106161039</v>
      </c>
      <c r="C142" s="46" t="s">
        <v>3350</v>
      </c>
      <c r="D142" s="46" t="s">
        <v>3483</v>
      </c>
      <c r="E142" s="46" t="s">
        <v>801</v>
      </c>
      <c r="F142" s="46" t="s">
        <v>3348</v>
      </c>
      <c r="G142" s="46" t="s">
        <v>633</v>
      </c>
      <c r="H142" s="47">
        <v>4714781021029</v>
      </c>
      <c r="I142" s="46" t="s">
        <v>3234</v>
      </c>
      <c r="J142" s="46" t="s">
        <v>3160</v>
      </c>
      <c r="K142" s="46">
        <v>2</v>
      </c>
      <c r="L142" s="46">
        <v>266</v>
      </c>
      <c r="N142" s="46" t="s">
        <v>1452</v>
      </c>
      <c r="O142" s="52"/>
      <c r="P142" s="52">
        <v>798</v>
      </c>
      <c r="Q142" s="52" t="s">
        <v>633</v>
      </c>
      <c r="R142" s="52" t="s">
        <v>634</v>
      </c>
      <c r="T142" s="52">
        <v>968908</v>
      </c>
      <c r="U142" s="52" t="s">
        <v>802</v>
      </c>
      <c r="V142" s="52" t="s">
        <v>803</v>
      </c>
      <c r="W142" s="52"/>
      <c r="X142" s="52"/>
      <c r="Y142" s="52"/>
      <c r="Z142" s="46" t="s">
        <v>799</v>
      </c>
    </row>
    <row r="143" spans="1:26">
      <c r="A143" s="49">
        <v>44363</v>
      </c>
      <c r="B143" s="48">
        <v>202106161040</v>
      </c>
      <c r="C143" s="46" t="s">
        <v>3350</v>
      </c>
      <c r="D143" s="46" t="s">
        <v>3482</v>
      </c>
      <c r="E143" s="46" t="s">
        <v>807</v>
      </c>
      <c r="F143" s="46" t="s">
        <v>3348</v>
      </c>
      <c r="G143" s="46" t="s">
        <v>633</v>
      </c>
      <c r="H143" s="47">
        <v>4714781024730</v>
      </c>
      <c r="I143" s="46" t="s">
        <v>3166</v>
      </c>
      <c r="J143" s="46" t="s">
        <v>3160</v>
      </c>
      <c r="K143" s="46">
        <v>1</v>
      </c>
      <c r="L143" s="46">
        <v>299</v>
      </c>
      <c r="N143" s="46" t="s">
        <v>263</v>
      </c>
      <c r="O143" s="52"/>
      <c r="P143" s="52">
        <v>513</v>
      </c>
      <c r="Q143" s="52" t="s">
        <v>633</v>
      </c>
      <c r="R143" s="52" t="s">
        <v>634</v>
      </c>
      <c r="T143" s="52">
        <v>912972</v>
      </c>
      <c r="U143" s="52" t="s">
        <v>808</v>
      </c>
      <c r="V143" s="52" t="s">
        <v>809</v>
      </c>
      <c r="W143" s="52"/>
      <c r="X143" s="52"/>
      <c r="Y143" s="52"/>
      <c r="Z143" s="46" t="s">
        <v>805</v>
      </c>
    </row>
    <row r="144" spans="1:26">
      <c r="A144" s="49">
        <v>44363</v>
      </c>
      <c r="B144" s="48">
        <v>202106161040</v>
      </c>
      <c r="C144" s="46" t="s">
        <v>3350</v>
      </c>
      <c r="D144" s="46" t="s">
        <v>3482</v>
      </c>
      <c r="E144" s="46" t="s">
        <v>807</v>
      </c>
      <c r="F144" s="46" t="s">
        <v>3348</v>
      </c>
      <c r="G144" s="46" t="s">
        <v>633</v>
      </c>
      <c r="H144" s="47">
        <v>4714781020787</v>
      </c>
      <c r="I144" s="46" t="s">
        <v>3262</v>
      </c>
      <c r="J144" s="46" t="s">
        <v>3160</v>
      </c>
      <c r="K144" s="46">
        <v>1</v>
      </c>
      <c r="L144" s="46">
        <v>149</v>
      </c>
      <c r="N144" s="46" t="s">
        <v>127</v>
      </c>
      <c r="O144" s="52"/>
      <c r="P144" s="52">
        <v>513</v>
      </c>
      <c r="Q144" s="52" t="s">
        <v>633</v>
      </c>
      <c r="R144" s="52" t="s">
        <v>634</v>
      </c>
      <c r="T144" s="52">
        <v>912972</v>
      </c>
      <c r="U144" s="52" t="s">
        <v>808</v>
      </c>
      <c r="V144" s="52" t="s">
        <v>809</v>
      </c>
      <c r="W144" s="52"/>
      <c r="X144" s="52"/>
      <c r="Y144" s="52"/>
      <c r="Z144" s="46" t="s">
        <v>805</v>
      </c>
    </row>
    <row r="145" spans="1:26">
      <c r="A145" s="49">
        <v>44363</v>
      </c>
      <c r="B145" s="48">
        <v>202106161040</v>
      </c>
      <c r="C145" s="46" t="s">
        <v>3350</v>
      </c>
      <c r="D145" s="46" t="s">
        <v>3482</v>
      </c>
      <c r="E145" s="46" t="s">
        <v>807</v>
      </c>
      <c r="F145" s="46" t="s">
        <v>3348</v>
      </c>
      <c r="G145" s="46" t="s">
        <v>633</v>
      </c>
      <c r="H145" s="47" t="s">
        <v>3347</v>
      </c>
      <c r="J145" s="46" t="s">
        <v>3346</v>
      </c>
      <c r="K145" s="46">
        <v>1</v>
      </c>
      <c r="L145" s="46">
        <v>65</v>
      </c>
      <c r="O145" s="52"/>
      <c r="P145" s="52"/>
      <c r="Q145" s="52"/>
      <c r="R145" s="52"/>
      <c r="T145" s="52"/>
      <c r="U145" s="52"/>
      <c r="V145" s="52"/>
      <c r="W145" s="52"/>
      <c r="X145" s="52"/>
      <c r="Y145" s="52"/>
    </row>
    <row r="146" spans="1:26">
      <c r="A146" s="49">
        <v>44363</v>
      </c>
      <c r="B146" s="48">
        <v>202106161041</v>
      </c>
      <c r="C146" s="46" t="s">
        <v>3350</v>
      </c>
      <c r="D146" s="46" t="s">
        <v>3481</v>
      </c>
      <c r="E146" s="46" t="s">
        <v>248</v>
      </c>
      <c r="F146" s="46" t="s">
        <v>3348</v>
      </c>
      <c r="G146" s="46" t="s">
        <v>39</v>
      </c>
      <c r="H146" s="47">
        <v>4714781021609</v>
      </c>
      <c r="I146" s="46" t="s">
        <v>3183</v>
      </c>
      <c r="J146" s="46" t="s">
        <v>3160</v>
      </c>
      <c r="K146" s="46">
        <v>1</v>
      </c>
      <c r="L146" s="46">
        <v>133</v>
      </c>
      <c r="N146" s="46" t="s">
        <v>1454</v>
      </c>
      <c r="O146" s="52"/>
      <c r="P146" s="52">
        <v>849</v>
      </c>
      <c r="Q146" s="52" t="s">
        <v>39</v>
      </c>
      <c r="R146" s="52" t="s">
        <v>40</v>
      </c>
      <c r="T146" s="52"/>
      <c r="U146" s="52"/>
      <c r="V146" s="52"/>
      <c r="W146" s="52">
        <v>407</v>
      </c>
      <c r="X146" s="52" t="s">
        <v>249</v>
      </c>
      <c r="Y146" s="52"/>
      <c r="Z146" s="46" t="s">
        <v>246</v>
      </c>
    </row>
    <row r="147" spans="1:26">
      <c r="A147" s="49">
        <v>44363</v>
      </c>
      <c r="B147" s="48">
        <v>202106161041</v>
      </c>
      <c r="C147" s="46" t="s">
        <v>3350</v>
      </c>
      <c r="D147" s="46" t="s">
        <v>3481</v>
      </c>
      <c r="E147" s="46" t="s">
        <v>248</v>
      </c>
      <c r="F147" s="46" t="s">
        <v>3348</v>
      </c>
      <c r="G147" s="46" t="s">
        <v>39</v>
      </c>
      <c r="H147" s="47">
        <v>4714781021593</v>
      </c>
      <c r="I147" s="46" t="s">
        <v>3183</v>
      </c>
      <c r="J147" s="46" t="s">
        <v>3160</v>
      </c>
      <c r="K147" s="46">
        <v>1</v>
      </c>
      <c r="L147" s="46">
        <v>133</v>
      </c>
      <c r="N147" s="46" t="s">
        <v>1453</v>
      </c>
      <c r="O147" s="52"/>
      <c r="P147" s="52">
        <v>849</v>
      </c>
      <c r="Q147" s="52" t="s">
        <v>39</v>
      </c>
      <c r="R147" s="52" t="s">
        <v>40</v>
      </c>
      <c r="T147" s="52"/>
      <c r="U147" s="52"/>
      <c r="V147" s="52"/>
      <c r="W147" s="52">
        <v>407</v>
      </c>
      <c r="X147" s="52" t="s">
        <v>249</v>
      </c>
      <c r="Y147" s="52"/>
      <c r="Z147" s="46" t="s">
        <v>246</v>
      </c>
    </row>
    <row r="148" spans="1:26">
      <c r="A148" s="49">
        <v>44363</v>
      </c>
      <c r="B148" s="48">
        <v>202106161041</v>
      </c>
      <c r="C148" s="46" t="s">
        <v>3350</v>
      </c>
      <c r="D148" s="46" t="s">
        <v>3481</v>
      </c>
      <c r="E148" s="46" t="s">
        <v>248</v>
      </c>
      <c r="F148" s="46" t="s">
        <v>3348</v>
      </c>
      <c r="G148" s="46" t="s">
        <v>39</v>
      </c>
      <c r="H148" s="47">
        <v>4714781021029</v>
      </c>
      <c r="I148" s="46" t="s">
        <v>3234</v>
      </c>
      <c r="J148" s="46" t="s">
        <v>3160</v>
      </c>
      <c r="K148" s="46">
        <v>1</v>
      </c>
      <c r="L148" s="46">
        <v>133</v>
      </c>
      <c r="N148" s="46" t="s">
        <v>1452</v>
      </c>
      <c r="O148" s="52"/>
      <c r="P148" s="52">
        <v>849</v>
      </c>
      <c r="Q148" s="52" t="s">
        <v>39</v>
      </c>
      <c r="R148" s="52" t="s">
        <v>40</v>
      </c>
      <c r="T148" s="52"/>
      <c r="U148" s="52"/>
      <c r="V148" s="52"/>
      <c r="W148" s="52">
        <v>407</v>
      </c>
      <c r="X148" s="52" t="s">
        <v>249</v>
      </c>
      <c r="Y148" s="52"/>
      <c r="Z148" s="46" t="s">
        <v>246</v>
      </c>
    </row>
    <row r="149" spans="1:26">
      <c r="A149" s="49">
        <v>44363</v>
      </c>
      <c r="B149" s="48">
        <v>202106161041</v>
      </c>
      <c r="C149" s="46" t="s">
        <v>3350</v>
      </c>
      <c r="D149" s="46" t="s">
        <v>3481</v>
      </c>
      <c r="E149" s="46" t="s">
        <v>248</v>
      </c>
      <c r="F149" s="46" t="s">
        <v>3348</v>
      </c>
      <c r="G149" s="46" t="s">
        <v>39</v>
      </c>
      <c r="H149" s="47" t="s">
        <v>1512</v>
      </c>
      <c r="I149" s="46" t="s">
        <v>3194</v>
      </c>
      <c r="J149" s="46" t="s">
        <v>3160</v>
      </c>
      <c r="K149" s="46">
        <v>1</v>
      </c>
      <c r="L149" s="46">
        <v>150</v>
      </c>
      <c r="N149" s="46" t="s">
        <v>1511</v>
      </c>
      <c r="O149" s="52"/>
      <c r="P149" s="52">
        <v>849</v>
      </c>
      <c r="Q149" s="52" t="s">
        <v>39</v>
      </c>
      <c r="R149" s="52" t="s">
        <v>40</v>
      </c>
      <c r="T149" s="52"/>
      <c r="U149" s="52"/>
      <c r="V149" s="52"/>
      <c r="W149" s="52">
        <v>407</v>
      </c>
      <c r="X149" s="52" t="s">
        <v>249</v>
      </c>
      <c r="Y149" s="52"/>
      <c r="Z149" s="46" t="s">
        <v>246</v>
      </c>
    </row>
    <row r="150" spans="1:26">
      <c r="A150" s="49">
        <v>44363</v>
      </c>
      <c r="B150" s="48">
        <v>202106161041</v>
      </c>
      <c r="C150" s="46" t="s">
        <v>3350</v>
      </c>
      <c r="D150" s="46" t="s">
        <v>3481</v>
      </c>
      <c r="E150" s="46" t="s">
        <v>248</v>
      </c>
      <c r="F150" s="46" t="s">
        <v>3348</v>
      </c>
      <c r="G150" s="46" t="s">
        <v>39</v>
      </c>
      <c r="H150" s="47" t="s">
        <v>1517</v>
      </c>
      <c r="I150" s="46" t="s">
        <v>3295</v>
      </c>
      <c r="J150" s="46" t="s">
        <v>3160</v>
      </c>
      <c r="K150" s="46">
        <v>1</v>
      </c>
      <c r="L150" s="46">
        <v>150</v>
      </c>
      <c r="N150" s="46" t="s">
        <v>1516</v>
      </c>
      <c r="O150" s="52"/>
      <c r="P150" s="52">
        <v>849</v>
      </c>
      <c r="Q150" s="52" t="s">
        <v>39</v>
      </c>
      <c r="R150" s="52" t="s">
        <v>40</v>
      </c>
      <c r="T150" s="52"/>
      <c r="U150" s="52"/>
      <c r="V150" s="52"/>
      <c r="W150" s="52">
        <v>407</v>
      </c>
      <c r="X150" s="52" t="s">
        <v>249</v>
      </c>
      <c r="Y150" s="52"/>
      <c r="Z150" s="46" t="s">
        <v>246</v>
      </c>
    </row>
    <row r="151" spans="1:26">
      <c r="A151" s="49">
        <v>44363</v>
      </c>
      <c r="B151" s="48">
        <v>202106161041</v>
      </c>
      <c r="C151" s="46" t="s">
        <v>3350</v>
      </c>
      <c r="D151" s="46" t="s">
        <v>3481</v>
      </c>
      <c r="E151" s="46" t="s">
        <v>248</v>
      </c>
      <c r="F151" s="46" t="s">
        <v>3348</v>
      </c>
      <c r="G151" s="46" t="s">
        <v>39</v>
      </c>
      <c r="H151" s="47" t="s">
        <v>1514</v>
      </c>
      <c r="I151" s="46" t="s">
        <v>3295</v>
      </c>
      <c r="J151" s="46" t="s">
        <v>3160</v>
      </c>
      <c r="K151" s="46">
        <v>1</v>
      </c>
      <c r="L151" s="46">
        <v>150</v>
      </c>
      <c r="N151" s="46" t="s">
        <v>1513</v>
      </c>
      <c r="O151" s="52"/>
      <c r="P151" s="52">
        <v>849</v>
      </c>
      <c r="Q151" s="52" t="s">
        <v>39</v>
      </c>
      <c r="R151" s="52" t="s">
        <v>40</v>
      </c>
      <c r="T151" s="52"/>
      <c r="U151" s="52"/>
      <c r="V151" s="52"/>
      <c r="W151" s="52">
        <v>407</v>
      </c>
      <c r="X151" s="52" t="s">
        <v>249</v>
      </c>
      <c r="Y151" s="52"/>
      <c r="Z151" s="46" t="s">
        <v>246</v>
      </c>
    </row>
    <row r="152" spans="1:26">
      <c r="A152" s="49">
        <v>44363</v>
      </c>
      <c r="B152" s="48">
        <v>202106161042</v>
      </c>
      <c r="C152" s="46" t="s">
        <v>3350</v>
      </c>
      <c r="D152" s="46" t="s">
        <v>3480</v>
      </c>
      <c r="E152" s="46" t="s">
        <v>243</v>
      </c>
      <c r="F152" s="46" t="s">
        <v>3348</v>
      </c>
      <c r="G152" s="46" t="s">
        <v>39</v>
      </c>
      <c r="H152" s="47">
        <v>4714781020954</v>
      </c>
      <c r="I152" s="46" t="s">
        <v>3251</v>
      </c>
      <c r="J152" s="46" t="s">
        <v>3160</v>
      </c>
      <c r="K152" s="46">
        <v>1</v>
      </c>
      <c r="L152" s="46">
        <v>90</v>
      </c>
      <c r="N152" s="46" t="s">
        <v>139</v>
      </c>
      <c r="O152" s="52"/>
      <c r="P152" s="52">
        <v>1113</v>
      </c>
      <c r="Q152" s="52" t="s">
        <v>39</v>
      </c>
      <c r="R152" s="52" t="s">
        <v>59</v>
      </c>
      <c r="T152" s="52"/>
      <c r="U152" s="52"/>
      <c r="V152" s="52"/>
      <c r="W152" s="52">
        <v>813</v>
      </c>
      <c r="X152" s="52" t="s">
        <v>244</v>
      </c>
      <c r="Y152" s="52"/>
      <c r="Z152" s="46" t="s">
        <v>241</v>
      </c>
    </row>
    <row r="153" spans="1:26">
      <c r="A153" s="49">
        <v>44363</v>
      </c>
      <c r="B153" s="48">
        <v>202106161042</v>
      </c>
      <c r="C153" s="46" t="s">
        <v>3350</v>
      </c>
      <c r="D153" s="46" t="s">
        <v>3480</v>
      </c>
      <c r="E153" s="46" t="s">
        <v>243</v>
      </c>
      <c r="F153" s="46" t="s">
        <v>3348</v>
      </c>
      <c r="G153" s="46" t="s">
        <v>39</v>
      </c>
      <c r="H153" s="47">
        <v>4714781020787</v>
      </c>
      <c r="I153" s="46" t="s">
        <v>3273</v>
      </c>
      <c r="J153" s="46" t="s">
        <v>3160</v>
      </c>
      <c r="K153" s="46">
        <v>1</v>
      </c>
      <c r="L153" s="46">
        <v>135</v>
      </c>
      <c r="N153" s="46" t="s">
        <v>95</v>
      </c>
      <c r="O153" s="52"/>
      <c r="P153" s="52">
        <v>1113</v>
      </c>
      <c r="Q153" s="52" t="s">
        <v>39</v>
      </c>
      <c r="R153" s="52" t="s">
        <v>59</v>
      </c>
      <c r="T153" s="52"/>
      <c r="U153" s="52"/>
      <c r="V153" s="52"/>
      <c r="W153" s="52">
        <v>813</v>
      </c>
      <c r="X153" s="52" t="s">
        <v>244</v>
      </c>
      <c r="Y153" s="52"/>
      <c r="Z153" s="46" t="s">
        <v>241</v>
      </c>
    </row>
    <row r="154" spans="1:26">
      <c r="A154" s="49">
        <v>44363</v>
      </c>
      <c r="B154" s="48">
        <v>202106161042</v>
      </c>
      <c r="C154" s="46" t="s">
        <v>3350</v>
      </c>
      <c r="D154" s="46" t="s">
        <v>3480</v>
      </c>
      <c r="E154" s="46" t="s">
        <v>243</v>
      </c>
      <c r="F154" s="46" t="s">
        <v>3348</v>
      </c>
      <c r="G154" s="46" t="s">
        <v>39</v>
      </c>
      <c r="H154" s="47" t="s">
        <v>1510</v>
      </c>
      <c r="I154" s="46" t="s">
        <v>3168</v>
      </c>
      <c r="J154" s="46" t="s">
        <v>3160</v>
      </c>
      <c r="K154" s="46">
        <v>1</v>
      </c>
      <c r="L154" s="46">
        <v>296</v>
      </c>
      <c r="N154" s="46" t="s">
        <v>1509</v>
      </c>
      <c r="O154" s="52"/>
      <c r="P154" s="52">
        <v>1113</v>
      </c>
      <c r="Q154" s="52" t="s">
        <v>39</v>
      </c>
      <c r="R154" s="52" t="s">
        <v>59</v>
      </c>
      <c r="T154" s="52"/>
      <c r="U154" s="52"/>
      <c r="V154" s="52"/>
      <c r="W154" s="52">
        <v>813</v>
      </c>
      <c r="X154" s="52" t="s">
        <v>244</v>
      </c>
      <c r="Y154" s="52"/>
      <c r="Z154" s="46" t="s">
        <v>241</v>
      </c>
    </row>
    <row r="155" spans="1:26">
      <c r="A155" s="49">
        <v>44363</v>
      </c>
      <c r="B155" s="48">
        <v>202106161042</v>
      </c>
      <c r="C155" s="46" t="s">
        <v>3350</v>
      </c>
      <c r="D155" s="46" t="s">
        <v>3480</v>
      </c>
      <c r="E155" s="46" t="s">
        <v>243</v>
      </c>
      <c r="F155" s="46" t="s">
        <v>3348</v>
      </c>
      <c r="G155" s="46" t="s">
        <v>39</v>
      </c>
      <c r="H155" s="47" t="s">
        <v>1508</v>
      </c>
      <c r="I155" s="46" t="s">
        <v>3166</v>
      </c>
      <c r="J155" s="46" t="s">
        <v>3160</v>
      </c>
      <c r="K155" s="46">
        <v>1</v>
      </c>
      <c r="L155" s="46">
        <v>296</v>
      </c>
      <c r="N155" s="46" t="s">
        <v>1507</v>
      </c>
      <c r="O155" s="52"/>
      <c r="P155" s="52">
        <v>1113</v>
      </c>
      <c r="Q155" s="52" t="s">
        <v>39</v>
      </c>
      <c r="R155" s="52" t="s">
        <v>59</v>
      </c>
      <c r="T155" s="52"/>
      <c r="U155" s="52"/>
      <c r="V155" s="52"/>
      <c r="W155" s="52">
        <v>813</v>
      </c>
      <c r="X155" s="52" t="s">
        <v>244</v>
      </c>
      <c r="Y155" s="52"/>
      <c r="Z155" s="46" t="s">
        <v>241</v>
      </c>
    </row>
    <row r="156" spans="1:26">
      <c r="A156" s="49">
        <v>44363</v>
      </c>
      <c r="B156" s="48">
        <v>202106161042</v>
      </c>
      <c r="C156" s="46" t="s">
        <v>3350</v>
      </c>
      <c r="D156" s="46" t="s">
        <v>3480</v>
      </c>
      <c r="E156" s="46" t="s">
        <v>243</v>
      </c>
      <c r="F156" s="46" t="s">
        <v>3348</v>
      </c>
      <c r="G156" s="46" t="s">
        <v>39</v>
      </c>
      <c r="H156" s="47" t="s">
        <v>1506</v>
      </c>
      <c r="I156" s="46" t="s">
        <v>3168</v>
      </c>
      <c r="J156" s="46" t="s">
        <v>3160</v>
      </c>
      <c r="K156" s="46">
        <v>1</v>
      </c>
      <c r="L156" s="46">
        <v>296</v>
      </c>
      <c r="N156" s="46" t="s">
        <v>1505</v>
      </c>
      <c r="O156" s="52"/>
      <c r="P156" s="52">
        <v>1113</v>
      </c>
      <c r="Q156" s="52" t="s">
        <v>39</v>
      </c>
      <c r="R156" s="52" t="s">
        <v>59</v>
      </c>
      <c r="T156" s="52"/>
      <c r="U156" s="52"/>
      <c r="V156" s="52"/>
      <c r="W156" s="52">
        <v>813</v>
      </c>
      <c r="X156" s="52" t="s">
        <v>244</v>
      </c>
      <c r="Y156" s="52"/>
      <c r="Z156" s="46" t="s">
        <v>241</v>
      </c>
    </row>
    <row r="157" spans="1:26">
      <c r="A157" s="49">
        <v>44363</v>
      </c>
      <c r="B157" s="48">
        <v>202106161043</v>
      </c>
      <c r="C157" s="46" t="s">
        <v>3350</v>
      </c>
      <c r="D157" s="46" t="s">
        <v>3479</v>
      </c>
      <c r="E157" s="46" t="s">
        <v>238</v>
      </c>
      <c r="F157" s="46" t="s">
        <v>3348</v>
      </c>
      <c r="G157" s="46" t="s">
        <v>39</v>
      </c>
      <c r="H157" s="47">
        <v>4714781021609</v>
      </c>
      <c r="I157" s="46" t="s">
        <v>3183</v>
      </c>
      <c r="J157" s="46" t="s">
        <v>3160</v>
      </c>
      <c r="K157" s="46">
        <v>6</v>
      </c>
      <c r="L157" s="46">
        <v>738</v>
      </c>
      <c r="N157" s="46" t="s">
        <v>1454</v>
      </c>
      <c r="O157" s="52"/>
      <c r="P157" s="52">
        <v>1137</v>
      </c>
      <c r="Q157" s="52" t="s">
        <v>39</v>
      </c>
      <c r="R157" s="52" t="s">
        <v>59</v>
      </c>
      <c r="T157" s="52"/>
      <c r="U157" s="52"/>
      <c r="V157" s="52"/>
      <c r="W157" s="52">
        <v>813</v>
      </c>
      <c r="X157" s="52" t="s">
        <v>239</v>
      </c>
      <c r="Y157" s="52"/>
      <c r="Z157" s="46" t="s">
        <v>236</v>
      </c>
    </row>
    <row r="158" spans="1:26">
      <c r="A158" s="49">
        <v>44363</v>
      </c>
      <c r="B158" s="48">
        <v>202106161043</v>
      </c>
      <c r="C158" s="46" t="s">
        <v>3350</v>
      </c>
      <c r="D158" s="46" t="s">
        <v>3479</v>
      </c>
      <c r="E158" s="46" t="s">
        <v>238</v>
      </c>
      <c r="F158" s="46" t="s">
        <v>3348</v>
      </c>
      <c r="G158" s="46" t="s">
        <v>39</v>
      </c>
      <c r="H158" s="47">
        <v>4714781021029</v>
      </c>
      <c r="I158" s="46" t="s">
        <v>3234</v>
      </c>
      <c r="J158" s="46" t="s">
        <v>3160</v>
      </c>
      <c r="K158" s="46">
        <v>3</v>
      </c>
      <c r="L158" s="46">
        <v>399</v>
      </c>
      <c r="N158" s="46" t="s">
        <v>1452</v>
      </c>
      <c r="O158" s="52"/>
      <c r="P158" s="52">
        <v>1137</v>
      </c>
      <c r="Q158" s="52" t="s">
        <v>39</v>
      </c>
      <c r="R158" s="52" t="s">
        <v>59</v>
      </c>
      <c r="T158" s="52"/>
      <c r="U158" s="52"/>
      <c r="V158" s="52"/>
      <c r="W158" s="52">
        <v>813</v>
      </c>
      <c r="X158" s="52" t="s">
        <v>239</v>
      </c>
      <c r="Y158" s="52"/>
      <c r="Z158" s="46" t="s">
        <v>236</v>
      </c>
    </row>
    <row r="159" spans="1:26">
      <c r="A159" s="49">
        <v>44363</v>
      </c>
      <c r="B159" s="48">
        <v>202106161044</v>
      </c>
      <c r="C159" s="46" t="s">
        <v>3350</v>
      </c>
      <c r="D159" s="46" t="s">
        <v>3478</v>
      </c>
      <c r="E159" s="46" t="s">
        <v>813</v>
      </c>
      <c r="F159" s="46" t="s">
        <v>3348</v>
      </c>
      <c r="G159" s="46" t="s">
        <v>633</v>
      </c>
      <c r="H159" s="47">
        <v>4714781024716</v>
      </c>
      <c r="I159" s="46" t="s">
        <v>3168</v>
      </c>
      <c r="J159" s="46" t="s">
        <v>3160</v>
      </c>
      <c r="K159" s="46">
        <v>3</v>
      </c>
      <c r="L159" s="46">
        <v>897</v>
      </c>
      <c r="N159" s="46" t="s">
        <v>372</v>
      </c>
      <c r="O159" s="52"/>
      <c r="P159" s="52">
        <v>897</v>
      </c>
      <c r="Q159" s="52" t="s">
        <v>633</v>
      </c>
      <c r="R159" s="52" t="s">
        <v>634</v>
      </c>
      <c r="T159" s="52">
        <v>982188</v>
      </c>
      <c r="U159" s="52" t="s">
        <v>814</v>
      </c>
      <c r="V159" s="52" t="s">
        <v>815</v>
      </c>
      <c r="W159" s="52"/>
      <c r="X159" s="52"/>
      <c r="Y159" s="52"/>
      <c r="Z159" s="46" t="s">
        <v>811</v>
      </c>
    </row>
    <row r="160" spans="1:26">
      <c r="A160" s="49">
        <v>44363</v>
      </c>
      <c r="B160" s="48">
        <v>202106161045</v>
      </c>
      <c r="C160" s="46" t="s">
        <v>3350</v>
      </c>
      <c r="D160" s="46" t="s">
        <v>3477</v>
      </c>
      <c r="E160" s="46" t="s">
        <v>819</v>
      </c>
      <c r="F160" s="46" t="s">
        <v>3348</v>
      </c>
      <c r="G160" s="46" t="s">
        <v>633</v>
      </c>
      <c r="H160" s="47" t="s">
        <v>1512</v>
      </c>
      <c r="I160" s="46" t="s">
        <v>3194</v>
      </c>
      <c r="J160" s="46" t="s">
        <v>3160</v>
      </c>
      <c r="K160" s="46">
        <v>1</v>
      </c>
      <c r="L160" s="46">
        <v>150</v>
      </c>
      <c r="N160" s="46" t="s">
        <v>1511</v>
      </c>
      <c r="O160" s="52"/>
      <c r="P160" s="52">
        <v>777</v>
      </c>
      <c r="Q160" s="52" t="s">
        <v>633</v>
      </c>
      <c r="R160" s="52" t="s">
        <v>634</v>
      </c>
      <c r="T160" s="52">
        <v>111832</v>
      </c>
      <c r="U160" s="52" t="s">
        <v>820</v>
      </c>
      <c r="V160" s="52" t="s">
        <v>821</v>
      </c>
      <c r="W160" s="52"/>
      <c r="X160" s="52"/>
      <c r="Y160" s="52"/>
      <c r="Z160" s="46" t="s">
        <v>817</v>
      </c>
    </row>
    <row r="161" spans="1:26">
      <c r="A161" s="49">
        <v>44363</v>
      </c>
      <c r="B161" s="48">
        <v>202106161045</v>
      </c>
      <c r="C161" s="46" t="s">
        <v>3350</v>
      </c>
      <c r="D161" s="46" t="s">
        <v>3477</v>
      </c>
      <c r="E161" s="46" t="s">
        <v>819</v>
      </c>
      <c r="F161" s="46" t="s">
        <v>3348</v>
      </c>
      <c r="G161" s="46" t="s">
        <v>633</v>
      </c>
      <c r="H161" s="47" t="s">
        <v>1517</v>
      </c>
      <c r="I161" s="46" t="s">
        <v>3295</v>
      </c>
      <c r="J161" s="46" t="s">
        <v>3160</v>
      </c>
      <c r="K161" s="46">
        <v>1</v>
      </c>
      <c r="L161" s="46">
        <v>150</v>
      </c>
      <c r="N161" s="46" t="s">
        <v>1516</v>
      </c>
      <c r="O161" s="52"/>
      <c r="P161" s="52">
        <v>777</v>
      </c>
      <c r="Q161" s="52" t="s">
        <v>633</v>
      </c>
      <c r="R161" s="52" t="s">
        <v>634</v>
      </c>
      <c r="T161" s="52">
        <v>111832</v>
      </c>
      <c r="U161" s="52" t="s">
        <v>820</v>
      </c>
      <c r="V161" s="52" t="s">
        <v>821</v>
      </c>
      <c r="W161" s="52"/>
      <c r="X161" s="52"/>
      <c r="Y161" s="52"/>
      <c r="Z161" s="46" t="s">
        <v>817</v>
      </c>
    </row>
    <row r="162" spans="1:26">
      <c r="A162" s="49">
        <v>44363</v>
      </c>
      <c r="B162" s="48">
        <v>202106161045</v>
      </c>
      <c r="C162" s="46" t="s">
        <v>3350</v>
      </c>
      <c r="D162" s="46" t="s">
        <v>3477</v>
      </c>
      <c r="E162" s="46" t="s">
        <v>819</v>
      </c>
      <c r="F162" s="46" t="s">
        <v>3348</v>
      </c>
      <c r="G162" s="46" t="s">
        <v>633</v>
      </c>
      <c r="H162" s="47" t="s">
        <v>1514</v>
      </c>
      <c r="I162" s="46" t="s">
        <v>3295</v>
      </c>
      <c r="J162" s="46" t="s">
        <v>3160</v>
      </c>
      <c r="K162" s="46">
        <v>1</v>
      </c>
      <c r="L162" s="46">
        <v>150</v>
      </c>
      <c r="N162" s="46" t="s">
        <v>1513</v>
      </c>
      <c r="O162" s="52"/>
      <c r="P162" s="52">
        <v>777</v>
      </c>
      <c r="Q162" s="52" t="s">
        <v>633</v>
      </c>
      <c r="R162" s="52" t="s">
        <v>634</v>
      </c>
      <c r="T162" s="52">
        <v>111832</v>
      </c>
      <c r="U162" s="52" t="s">
        <v>820</v>
      </c>
      <c r="V162" s="52" t="s">
        <v>821</v>
      </c>
      <c r="W162" s="52"/>
      <c r="X162" s="52"/>
      <c r="Y162" s="52"/>
      <c r="Z162" s="46" t="s">
        <v>817</v>
      </c>
    </row>
    <row r="163" spans="1:26">
      <c r="A163" s="49">
        <v>44363</v>
      </c>
      <c r="B163" s="48">
        <v>202106161045</v>
      </c>
      <c r="C163" s="46" t="s">
        <v>3350</v>
      </c>
      <c r="D163" s="46" t="s">
        <v>3477</v>
      </c>
      <c r="E163" s="46" t="s">
        <v>819</v>
      </c>
      <c r="F163" s="46" t="s">
        <v>3348</v>
      </c>
      <c r="G163" s="46" t="s">
        <v>633</v>
      </c>
      <c r="H163" s="47">
        <v>4714781020794</v>
      </c>
      <c r="I163" s="46" t="s">
        <v>3270</v>
      </c>
      <c r="J163" s="46" t="s">
        <v>3160</v>
      </c>
      <c r="K163" s="46">
        <v>1</v>
      </c>
      <c r="L163" s="46">
        <v>128</v>
      </c>
      <c r="N163" s="46" t="s">
        <v>477</v>
      </c>
      <c r="O163" s="52"/>
      <c r="P163" s="52">
        <v>777</v>
      </c>
      <c r="Q163" s="52" t="s">
        <v>633</v>
      </c>
      <c r="R163" s="52" t="s">
        <v>634</v>
      </c>
      <c r="T163" s="52">
        <v>111832</v>
      </c>
      <c r="U163" s="52" t="s">
        <v>820</v>
      </c>
      <c r="V163" s="52" t="s">
        <v>821</v>
      </c>
      <c r="W163" s="52"/>
      <c r="X163" s="52"/>
      <c r="Y163" s="52"/>
      <c r="Z163" s="46" t="s">
        <v>817</v>
      </c>
    </row>
    <row r="164" spans="1:26">
      <c r="A164" s="49">
        <v>44363</v>
      </c>
      <c r="B164" s="48">
        <v>202106161045</v>
      </c>
      <c r="C164" s="46" t="s">
        <v>3350</v>
      </c>
      <c r="D164" s="46" t="s">
        <v>3477</v>
      </c>
      <c r="E164" s="46" t="s">
        <v>819</v>
      </c>
      <c r="F164" s="46" t="s">
        <v>3348</v>
      </c>
      <c r="G164" s="46" t="s">
        <v>633</v>
      </c>
      <c r="H164" s="47">
        <v>4714781021227</v>
      </c>
      <c r="I164" s="46" t="s">
        <v>3220</v>
      </c>
      <c r="J164" s="46" t="s">
        <v>3160</v>
      </c>
      <c r="K164" s="46">
        <v>1</v>
      </c>
      <c r="L164" s="46">
        <v>66</v>
      </c>
      <c r="N164" s="46" t="s">
        <v>2137</v>
      </c>
      <c r="O164" s="52"/>
      <c r="P164" s="52">
        <v>777</v>
      </c>
      <c r="Q164" s="52" t="s">
        <v>633</v>
      </c>
      <c r="R164" s="52" t="s">
        <v>634</v>
      </c>
      <c r="T164" s="52">
        <v>111832</v>
      </c>
      <c r="U164" s="52" t="s">
        <v>820</v>
      </c>
      <c r="V164" s="52" t="s">
        <v>821</v>
      </c>
      <c r="W164" s="52"/>
      <c r="X164" s="52"/>
      <c r="Y164" s="52"/>
      <c r="Z164" s="46" t="s">
        <v>817</v>
      </c>
    </row>
    <row r="165" spans="1:26">
      <c r="A165" s="49">
        <v>44363</v>
      </c>
      <c r="B165" s="48">
        <v>202106161045</v>
      </c>
      <c r="C165" s="46" t="s">
        <v>3350</v>
      </c>
      <c r="D165" s="46" t="s">
        <v>3477</v>
      </c>
      <c r="E165" s="46" t="s">
        <v>819</v>
      </c>
      <c r="F165" s="46" t="s">
        <v>3348</v>
      </c>
      <c r="G165" s="46" t="s">
        <v>633</v>
      </c>
      <c r="H165" s="47">
        <v>4714781021234</v>
      </c>
      <c r="I165" s="46" t="s">
        <v>3215</v>
      </c>
      <c r="J165" s="46" t="s">
        <v>3160</v>
      </c>
      <c r="K165" s="46">
        <v>1</v>
      </c>
      <c r="L165" s="46">
        <v>66</v>
      </c>
      <c r="N165" s="46" t="s">
        <v>2135</v>
      </c>
      <c r="O165" s="52"/>
      <c r="P165" s="52">
        <v>777</v>
      </c>
      <c r="Q165" s="52" t="s">
        <v>633</v>
      </c>
      <c r="R165" s="52" t="s">
        <v>634</v>
      </c>
      <c r="T165" s="52">
        <v>111832</v>
      </c>
      <c r="U165" s="52" t="s">
        <v>820</v>
      </c>
      <c r="V165" s="52" t="s">
        <v>821</v>
      </c>
      <c r="W165" s="52"/>
      <c r="X165" s="52"/>
      <c r="Y165" s="52"/>
      <c r="Z165" s="46" t="s">
        <v>817</v>
      </c>
    </row>
    <row r="166" spans="1:26">
      <c r="A166" s="49">
        <v>44363</v>
      </c>
      <c r="B166" s="48">
        <v>202106161045</v>
      </c>
      <c r="C166" s="46" t="s">
        <v>3350</v>
      </c>
      <c r="D166" s="46" t="s">
        <v>3477</v>
      </c>
      <c r="E166" s="46" t="s">
        <v>819</v>
      </c>
      <c r="F166" s="46" t="s">
        <v>3348</v>
      </c>
      <c r="G166" s="46" t="s">
        <v>633</v>
      </c>
      <c r="H166" s="47">
        <v>4714781021241</v>
      </c>
      <c r="I166" s="46" t="s">
        <v>3215</v>
      </c>
      <c r="J166" s="46" t="s">
        <v>3160</v>
      </c>
      <c r="K166" s="46">
        <v>1</v>
      </c>
      <c r="L166" s="46">
        <v>67</v>
      </c>
      <c r="N166" s="46" t="s">
        <v>2133</v>
      </c>
      <c r="O166" s="52"/>
      <c r="P166" s="52">
        <v>777</v>
      </c>
      <c r="Q166" s="52" t="s">
        <v>633</v>
      </c>
      <c r="R166" s="52" t="s">
        <v>634</v>
      </c>
      <c r="T166" s="52">
        <v>111832</v>
      </c>
      <c r="U166" s="52" t="s">
        <v>820</v>
      </c>
      <c r="V166" s="52" t="s">
        <v>821</v>
      </c>
      <c r="W166" s="52"/>
      <c r="X166" s="52"/>
      <c r="Y166" s="52"/>
      <c r="Z166" s="46" t="s">
        <v>817</v>
      </c>
    </row>
    <row r="167" spans="1:26">
      <c r="A167" s="49">
        <v>44363</v>
      </c>
      <c r="B167" s="48">
        <v>202106161046</v>
      </c>
      <c r="C167" s="46" t="s">
        <v>3350</v>
      </c>
      <c r="D167" s="46" t="s">
        <v>3476</v>
      </c>
      <c r="E167" s="46" t="s">
        <v>825</v>
      </c>
      <c r="F167" s="46" t="s">
        <v>3348</v>
      </c>
      <c r="G167" s="46" t="s">
        <v>633</v>
      </c>
      <c r="H167" s="47">
        <v>4714781020800</v>
      </c>
      <c r="I167" s="46" t="s">
        <v>3220</v>
      </c>
      <c r="J167" s="46" t="s">
        <v>3160</v>
      </c>
      <c r="K167" s="46">
        <v>2</v>
      </c>
      <c r="L167" s="46">
        <v>256</v>
      </c>
      <c r="N167" s="46" t="s">
        <v>66</v>
      </c>
      <c r="O167" s="52"/>
      <c r="P167" s="52">
        <v>2060</v>
      </c>
      <c r="Q167" s="52" t="s">
        <v>633</v>
      </c>
      <c r="R167" s="52" t="s">
        <v>634</v>
      </c>
      <c r="T167" s="52">
        <v>944692</v>
      </c>
      <c r="U167" s="52" t="s">
        <v>826</v>
      </c>
      <c r="V167" s="52" t="s">
        <v>827</v>
      </c>
      <c r="W167" s="52"/>
      <c r="X167" s="52"/>
      <c r="Y167" s="52"/>
      <c r="Z167" s="46" t="s">
        <v>823</v>
      </c>
    </row>
    <row r="168" spans="1:26">
      <c r="A168" s="49">
        <v>44363</v>
      </c>
      <c r="B168" s="48">
        <v>202106161046</v>
      </c>
      <c r="C168" s="46" t="s">
        <v>3350</v>
      </c>
      <c r="D168" s="46" t="s">
        <v>3476</v>
      </c>
      <c r="E168" s="46" t="s">
        <v>825</v>
      </c>
      <c r="F168" s="46" t="s">
        <v>3348</v>
      </c>
      <c r="G168" s="46" t="s">
        <v>633</v>
      </c>
      <c r="H168" s="47">
        <v>4714781020770</v>
      </c>
      <c r="I168" s="46" t="s">
        <v>3276</v>
      </c>
      <c r="J168" s="46" t="s">
        <v>3160</v>
      </c>
      <c r="K168" s="46">
        <v>1</v>
      </c>
      <c r="L168" s="46">
        <v>149</v>
      </c>
      <c r="N168" s="46" t="s">
        <v>349</v>
      </c>
      <c r="O168" s="52"/>
      <c r="P168" s="52">
        <v>2060</v>
      </c>
      <c r="Q168" s="52" t="s">
        <v>633</v>
      </c>
      <c r="R168" s="52" t="s">
        <v>634</v>
      </c>
      <c r="T168" s="52">
        <v>944692</v>
      </c>
      <c r="U168" s="52" t="s">
        <v>826</v>
      </c>
      <c r="V168" s="52" t="s">
        <v>827</v>
      </c>
      <c r="W168" s="52"/>
      <c r="X168" s="52"/>
      <c r="Y168" s="52"/>
      <c r="Z168" s="46" t="s">
        <v>823</v>
      </c>
    </row>
    <row r="169" spans="1:26">
      <c r="A169" s="49">
        <v>44363</v>
      </c>
      <c r="B169" s="48">
        <v>202106161046</v>
      </c>
      <c r="C169" s="46" t="s">
        <v>3350</v>
      </c>
      <c r="D169" s="46" t="s">
        <v>3476</v>
      </c>
      <c r="E169" s="46" t="s">
        <v>825</v>
      </c>
      <c r="F169" s="46" t="s">
        <v>3348</v>
      </c>
      <c r="G169" s="46" t="s">
        <v>633</v>
      </c>
      <c r="H169" s="47">
        <v>4714781020831</v>
      </c>
      <c r="I169" s="46" t="s">
        <v>3259</v>
      </c>
      <c r="J169" s="46" t="s">
        <v>3160</v>
      </c>
      <c r="K169" s="46">
        <v>1</v>
      </c>
      <c r="L169" s="46">
        <v>350</v>
      </c>
      <c r="N169" s="46" t="s">
        <v>829</v>
      </c>
      <c r="O169" s="52"/>
      <c r="P169" s="52">
        <v>2060</v>
      </c>
      <c r="Q169" s="52" t="s">
        <v>633</v>
      </c>
      <c r="R169" s="52" t="s">
        <v>634</v>
      </c>
      <c r="T169" s="52">
        <v>944692</v>
      </c>
      <c r="U169" s="52" t="s">
        <v>826</v>
      </c>
      <c r="V169" s="52" t="s">
        <v>827</v>
      </c>
      <c r="W169" s="52"/>
      <c r="X169" s="52"/>
      <c r="Y169" s="52"/>
      <c r="Z169" s="46" t="s">
        <v>823</v>
      </c>
    </row>
    <row r="170" spans="1:26">
      <c r="A170" s="49">
        <v>44363</v>
      </c>
      <c r="B170" s="48">
        <v>202106161046</v>
      </c>
      <c r="C170" s="46" t="s">
        <v>3350</v>
      </c>
      <c r="D170" s="46" t="s">
        <v>3476</v>
      </c>
      <c r="E170" s="46" t="s">
        <v>825</v>
      </c>
      <c r="F170" s="46" t="s">
        <v>3348</v>
      </c>
      <c r="G170" s="46" t="s">
        <v>633</v>
      </c>
      <c r="H170" s="47">
        <v>4714781020282</v>
      </c>
      <c r="I170" s="46" t="s">
        <v>3254</v>
      </c>
      <c r="J170" s="46" t="s">
        <v>3160</v>
      </c>
      <c r="K170" s="46">
        <v>1</v>
      </c>
      <c r="L170" s="46">
        <v>299</v>
      </c>
      <c r="N170" s="46" t="s">
        <v>274</v>
      </c>
      <c r="O170" s="52"/>
      <c r="P170" s="52">
        <v>2060</v>
      </c>
      <c r="Q170" s="52" t="s">
        <v>633</v>
      </c>
      <c r="R170" s="52" t="s">
        <v>634</v>
      </c>
      <c r="T170" s="52">
        <v>944692</v>
      </c>
      <c r="U170" s="52" t="s">
        <v>826</v>
      </c>
      <c r="V170" s="52" t="s">
        <v>827</v>
      </c>
      <c r="W170" s="52"/>
      <c r="X170" s="52"/>
      <c r="Y170" s="52"/>
      <c r="Z170" s="46" t="s">
        <v>823</v>
      </c>
    </row>
    <row r="171" spans="1:26">
      <c r="A171" s="49">
        <v>44363</v>
      </c>
      <c r="B171" s="48">
        <v>202106161046</v>
      </c>
      <c r="C171" s="46" t="s">
        <v>3350</v>
      </c>
      <c r="D171" s="46" t="s">
        <v>3476</v>
      </c>
      <c r="E171" s="46" t="s">
        <v>825</v>
      </c>
      <c r="F171" s="46" t="s">
        <v>3348</v>
      </c>
      <c r="G171" s="46" t="s">
        <v>633</v>
      </c>
      <c r="H171" s="47">
        <v>4714781024723</v>
      </c>
      <c r="I171" s="46" t="s">
        <v>3168</v>
      </c>
      <c r="J171" s="46" t="s">
        <v>3160</v>
      </c>
      <c r="K171" s="46">
        <v>1</v>
      </c>
      <c r="L171" s="46">
        <v>299</v>
      </c>
      <c r="N171" s="46" t="s">
        <v>358</v>
      </c>
      <c r="O171" s="52"/>
      <c r="P171" s="52">
        <v>2060</v>
      </c>
      <c r="Q171" s="52" t="s">
        <v>633</v>
      </c>
      <c r="R171" s="52" t="s">
        <v>634</v>
      </c>
      <c r="T171" s="52">
        <v>944692</v>
      </c>
      <c r="U171" s="52" t="s">
        <v>826</v>
      </c>
      <c r="V171" s="52" t="s">
        <v>827</v>
      </c>
      <c r="W171" s="52"/>
      <c r="X171" s="52"/>
      <c r="Y171" s="52"/>
      <c r="Z171" s="46" t="s">
        <v>823</v>
      </c>
    </row>
    <row r="172" spans="1:26">
      <c r="A172" s="49">
        <v>44363</v>
      </c>
      <c r="B172" s="48">
        <v>202106161046</v>
      </c>
      <c r="C172" s="46" t="s">
        <v>3350</v>
      </c>
      <c r="D172" s="46" t="s">
        <v>3476</v>
      </c>
      <c r="E172" s="46" t="s">
        <v>825</v>
      </c>
      <c r="F172" s="46" t="s">
        <v>3348</v>
      </c>
      <c r="G172" s="46" t="s">
        <v>633</v>
      </c>
      <c r="H172" s="47">
        <v>4714781024730</v>
      </c>
      <c r="I172" s="46" t="s">
        <v>3166</v>
      </c>
      <c r="J172" s="46" t="s">
        <v>3160</v>
      </c>
      <c r="K172" s="46">
        <v>1</v>
      </c>
      <c r="L172" s="46">
        <v>299</v>
      </c>
      <c r="N172" s="46" t="s">
        <v>263</v>
      </c>
      <c r="O172" s="52"/>
      <c r="P172" s="52">
        <v>2060</v>
      </c>
      <c r="Q172" s="52" t="s">
        <v>633</v>
      </c>
      <c r="R172" s="52" t="s">
        <v>634</v>
      </c>
      <c r="T172" s="52">
        <v>944692</v>
      </c>
      <c r="U172" s="52" t="s">
        <v>826</v>
      </c>
      <c r="V172" s="52" t="s">
        <v>827</v>
      </c>
      <c r="W172" s="52"/>
      <c r="X172" s="52"/>
      <c r="Y172" s="52"/>
      <c r="Z172" s="46" t="s">
        <v>823</v>
      </c>
    </row>
    <row r="173" spans="1:26">
      <c r="A173" s="49">
        <v>44363</v>
      </c>
      <c r="B173" s="48">
        <v>202106161046</v>
      </c>
      <c r="C173" s="46" t="s">
        <v>3350</v>
      </c>
      <c r="D173" s="46" t="s">
        <v>3476</v>
      </c>
      <c r="E173" s="46" t="s">
        <v>825</v>
      </c>
      <c r="F173" s="46" t="s">
        <v>3348</v>
      </c>
      <c r="G173" s="46" t="s">
        <v>633</v>
      </c>
      <c r="H173" s="47">
        <v>4714781020794</v>
      </c>
      <c r="I173" s="46" t="s">
        <v>3270</v>
      </c>
      <c r="J173" s="46" t="s">
        <v>3160</v>
      </c>
      <c r="K173" s="46">
        <v>1</v>
      </c>
      <c r="L173" s="46">
        <v>109</v>
      </c>
      <c r="N173" s="46" t="s">
        <v>143</v>
      </c>
      <c r="O173" s="52"/>
      <c r="P173" s="52">
        <v>2060</v>
      </c>
      <c r="Q173" s="52" t="s">
        <v>633</v>
      </c>
      <c r="R173" s="52" t="s">
        <v>634</v>
      </c>
      <c r="T173" s="52">
        <v>944692</v>
      </c>
      <c r="U173" s="52" t="s">
        <v>826</v>
      </c>
      <c r="V173" s="52" t="s">
        <v>827</v>
      </c>
      <c r="W173" s="52"/>
      <c r="X173" s="52"/>
      <c r="Y173" s="52"/>
      <c r="Z173" s="46" t="s">
        <v>823</v>
      </c>
    </row>
    <row r="174" spans="1:26">
      <c r="A174" s="49">
        <v>44363</v>
      </c>
      <c r="B174" s="48">
        <v>202106161046</v>
      </c>
      <c r="C174" s="46" t="s">
        <v>3350</v>
      </c>
      <c r="D174" s="46" t="s">
        <v>3476</v>
      </c>
      <c r="E174" s="46" t="s">
        <v>825</v>
      </c>
      <c r="F174" s="46" t="s">
        <v>3348</v>
      </c>
      <c r="G174" s="46" t="s">
        <v>633</v>
      </c>
      <c r="H174" s="47">
        <v>4714781024716</v>
      </c>
      <c r="I174" s="46" t="s">
        <v>3168</v>
      </c>
      <c r="J174" s="46" t="s">
        <v>3160</v>
      </c>
      <c r="K174" s="46">
        <v>1</v>
      </c>
      <c r="L174" s="46">
        <v>299</v>
      </c>
      <c r="N174" s="46" t="s">
        <v>372</v>
      </c>
      <c r="O174" s="52"/>
      <c r="P174" s="52">
        <v>2060</v>
      </c>
      <c r="Q174" s="52" t="s">
        <v>633</v>
      </c>
      <c r="R174" s="52" t="s">
        <v>634</v>
      </c>
      <c r="T174" s="52">
        <v>944692</v>
      </c>
      <c r="U174" s="52" t="s">
        <v>826</v>
      </c>
      <c r="V174" s="52" t="s">
        <v>827</v>
      </c>
      <c r="W174" s="52"/>
      <c r="X174" s="52"/>
      <c r="Y174" s="52"/>
      <c r="Z174" s="46" t="s">
        <v>823</v>
      </c>
    </row>
    <row r="175" spans="1:26">
      <c r="A175" s="49">
        <v>44363</v>
      </c>
      <c r="B175" s="48">
        <v>202106161047</v>
      </c>
      <c r="C175" s="46" t="s">
        <v>3350</v>
      </c>
      <c r="D175" s="46" t="s">
        <v>3475</v>
      </c>
      <c r="E175" s="46" t="s">
        <v>834</v>
      </c>
      <c r="F175" s="46" t="s">
        <v>3348</v>
      </c>
      <c r="G175" s="46" t="s">
        <v>633</v>
      </c>
      <c r="H175" s="47">
        <v>4714781021401</v>
      </c>
      <c r="I175" s="46" t="s">
        <v>3197</v>
      </c>
      <c r="J175" s="46" t="s">
        <v>3160</v>
      </c>
      <c r="K175" s="46">
        <v>1</v>
      </c>
      <c r="L175" s="46">
        <v>99</v>
      </c>
      <c r="N175" s="46" t="s">
        <v>326</v>
      </c>
      <c r="O175" s="52"/>
      <c r="P175" s="52">
        <v>398</v>
      </c>
      <c r="Q175" s="52" t="s">
        <v>633</v>
      </c>
      <c r="R175" s="52" t="s">
        <v>634</v>
      </c>
      <c r="T175" s="52">
        <v>896045</v>
      </c>
      <c r="U175" s="52" t="s">
        <v>835</v>
      </c>
      <c r="V175" s="52" t="s">
        <v>836</v>
      </c>
      <c r="W175" s="52"/>
      <c r="X175" s="52"/>
      <c r="Y175" s="52"/>
      <c r="Z175" s="46" t="s">
        <v>832</v>
      </c>
    </row>
    <row r="176" spans="1:26">
      <c r="A176" s="49">
        <v>44363</v>
      </c>
      <c r="B176" s="48">
        <v>202106161047</v>
      </c>
      <c r="C176" s="46" t="s">
        <v>3350</v>
      </c>
      <c r="D176" s="46" t="s">
        <v>3475</v>
      </c>
      <c r="E176" s="46" t="s">
        <v>834</v>
      </c>
      <c r="F176" s="46" t="s">
        <v>3348</v>
      </c>
      <c r="G176" s="46" t="s">
        <v>633</v>
      </c>
      <c r="H176" s="47">
        <v>4714781024716</v>
      </c>
      <c r="I176" s="46" t="s">
        <v>3168</v>
      </c>
      <c r="J176" s="46" t="s">
        <v>3160</v>
      </c>
      <c r="K176" s="46">
        <v>1</v>
      </c>
      <c r="L176" s="46">
        <v>299</v>
      </c>
      <c r="N176" s="46" t="s">
        <v>372</v>
      </c>
      <c r="O176" s="52"/>
      <c r="P176" s="52">
        <v>398</v>
      </c>
      <c r="Q176" s="52" t="s">
        <v>633</v>
      </c>
      <c r="R176" s="52" t="s">
        <v>634</v>
      </c>
      <c r="T176" s="52">
        <v>896045</v>
      </c>
      <c r="U176" s="52" t="s">
        <v>835</v>
      </c>
      <c r="V176" s="52" t="s">
        <v>836</v>
      </c>
      <c r="W176" s="52"/>
      <c r="X176" s="52"/>
      <c r="Y176" s="52"/>
      <c r="Z176" s="46" t="s">
        <v>832</v>
      </c>
    </row>
    <row r="177" spans="1:26">
      <c r="A177" s="49">
        <v>44363</v>
      </c>
      <c r="B177" s="48">
        <v>202106161048</v>
      </c>
      <c r="C177" s="46" t="s">
        <v>3350</v>
      </c>
      <c r="D177" s="46" t="s">
        <v>3474</v>
      </c>
      <c r="E177" s="46" t="s">
        <v>233</v>
      </c>
      <c r="F177" s="46" t="s">
        <v>3348</v>
      </c>
      <c r="G177" s="46" t="s">
        <v>22</v>
      </c>
      <c r="H177" s="47">
        <v>4714781021609</v>
      </c>
      <c r="I177" s="46" t="s">
        <v>3183</v>
      </c>
      <c r="J177" s="46" t="s">
        <v>3160</v>
      </c>
      <c r="K177" s="46">
        <v>1</v>
      </c>
      <c r="L177" s="46">
        <v>133</v>
      </c>
      <c r="N177" s="46" t="s">
        <v>1454</v>
      </c>
      <c r="O177" s="52"/>
      <c r="P177" s="52">
        <v>849</v>
      </c>
      <c r="Q177" s="52" t="s">
        <v>22</v>
      </c>
      <c r="R177" s="52" t="s">
        <v>23</v>
      </c>
      <c r="T177" s="52"/>
      <c r="U177" s="52"/>
      <c r="V177" s="52"/>
      <c r="W177" s="52">
        <v>116</v>
      </c>
      <c r="X177" s="52" t="s">
        <v>234</v>
      </c>
      <c r="Y177" s="52"/>
      <c r="Z177" s="46" t="s">
        <v>231</v>
      </c>
    </row>
    <row r="178" spans="1:26">
      <c r="A178" s="49">
        <v>44363</v>
      </c>
      <c r="B178" s="48">
        <v>202106161048</v>
      </c>
      <c r="C178" s="46" t="s">
        <v>3350</v>
      </c>
      <c r="D178" s="46" t="s">
        <v>3474</v>
      </c>
      <c r="E178" s="46" t="s">
        <v>233</v>
      </c>
      <c r="F178" s="46" t="s">
        <v>3348</v>
      </c>
      <c r="G178" s="46" t="s">
        <v>22</v>
      </c>
      <c r="H178" s="47">
        <v>4714781021593</v>
      </c>
      <c r="I178" s="46" t="s">
        <v>3183</v>
      </c>
      <c r="J178" s="46" t="s">
        <v>3160</v>
      </c>
      <c r="K178" s="46">
        <v>1</v>
      </c>
      <c r="L178" s="46">
        <v>133</v>
      </c>
      <c r="N178" s="46" t="s">
        <v>1453</v>
      </c>
      <c r="O178" s="52"/>
      <c r="P178" s="52">
        <v>849</v>
      </c>
      <c r="Q178" s="52" t="s">
        <v>22</v>
      </c>
      <c r="R178" s="52" t="s">
        <v>23</v>
      </c>
      <c r="T178" s="52"/>
      <c r="U178" s="52"/>
      <c r="V178" s="52"/>
      <c r="W178" s="52">
        <v>116</v>
      </c>
      <c r="X178" s="52" t="s">
        <v>234</v>
      </c>
      <c r="Y178" s="52"/>
      <c r="Z178" s="46" t="s">
        <v>231</v>
      </c>
    </row>
    <row r="179" spans="1:26">
      <c r="A179" s="49">
        <v>44363</v>
      </c>
      <c r="B179" s="48">
        <v>202106161048</v>
      </c>
      <c r="C179" s="46" t="s">
        <v>3350</v>
      </c>
      <c r="D179" s="46" t="s">
        <v>3474</v>
      </c>
      <c r="E179" s="46" t="s">
        <v>233</v>
      </c>
      <c r="F179" s="46" t="s">
        <v>3348</v>
      </c>
      <c r="G179" s="46" t="s">
        <v>22</v>
      </c>
      <c r="H179" s="47">
        <v>4714781021029</v>
      </c>
      <c r="I179" s="46" t="s">
        <v>3234</v>
      </c>
      <c r="J179" s="46" t="s">
        <v>3160</v>
      </c>
      <c r="K179" s="46">
        <v>1</v>
      </c>
      <c r="L179" s="46">
        <v>133</v>
      </c>
      <c r="N179" s="46" t="s">
        <v>1452</v>
      </c>
      <c r="O179" s="52"/>
      <c r="P179" s="52">
        <v>849</v>
      </c>
      <c r="Q179" s="52" t="s">
        <v>22</v>
      </c>
      <c r="R179" s="52" t="s">
        <v>23</v>
      </c>
      <c r="T179" s="52"/>
      <c r="U179" s="52"/>
      <c r="V179" s="52"/>
      <c r="W179" s="52">
        <v>116</v>
      </c>
      <c r="X179" s="52" t="s">
        <v>234</v>
      </c>
      <c r="Y179" s="52"/>
      <c r="Z179" s="46" t="s">
        <v>231</v>
      </c>
    </row>
    <row r="180" spans="1:26">
      <c r="A180" s="49">
        <v>44363</v>
      </c>
      <c r="B180" s="48">
        <v>202106161048</v>
      </c>
      <c r="C180" s="46" t="s">
        <v>3350</v>
      </c>
      <c r="D180" s="46" t="s">
        <v>3474</v>
      </c>
      <c r="E180" s="46" t="s">
        <v>233</v>
      </c>
      <c r="F180" s="46" t="s">
        <v>3348</v>
      </c>
      <c r="G180" s="46" t="s">
        <v>22</v>
      </c>
      <c r="H180" s="47" t="s">
        <v>1512</v>
      </c>
      <c r="I180" s="46" t="s">
        <v>3194</v>
      </c>
      <c r="J180" s="46" t="s">
        <v>3160</v>
      </c>
      <c r="K180" s="46">
        <v>1</v>
      </c>
      <c r="L180" s="46">
        <v>150</v>
      </c>
      <c r="N180" s="46" t="s">
        <v>1511</v>
      </c>
      <c r="O180" s="52"/>
      <c r="P180" s="52">
        <v>849</v>
      </c>
      <c r="Q180" s="52" t="s">
        <v>22</v>
      </c>
      <c r="R180" s="52" t="s">
        <v>23</v>
      </c>
      <c r="T180" s="52"/>
      <c r="U180" s="52"/>
      <c r="V180" s="52"/>
      <c r="W180" s="52">
        <v>116</v>
      </c>
      <c r="X180" s="52" t="s">
        <v>234</v>
      </c>
      <c r="Y180" s="52"/>
      <c r="Z180" s="46" t="s">
        <v>231</v>
      </c>
    </row>
    <row r="181" spans="1:26">
      <c r="A181" s="49">
        <v>44363</v>
      </c>
      <c r="B181" s="48">
        <v>202106161048</v>
      </c>
      <c r="C181" s="46" t="s">
        <v>3350</v>
      </c>
      <c r="D181" s="46" t="s">
        <v>3474</v>
      </c>
      <c r="E181" s="46" t="s">
        <v>233</v>
      </c>
      <c r="F181" s="46" t="s">
        <v>3348</v>
      </c>
      <c r="G181" s="46" t="s">
        <v>22</v>
      </c>
      <c r="H181" s="47" t="s">
        <v>1517</v>
      </c>
      <c r="I181" s="46" t="s">
        <v>3295</v>
      </c>
      <c r="J181" s="46" t="s">
        <v>3160</v>
      </c>
      <c r="K181" s="46">
        <v>1</v>
      </c>
      <c r="L181" s="46">
        <v>150</v>
      </c>
      <c r="N181" s="46" t="s">
        <v>1516</v>
      </c>
      <c r="O181" s="52"/>
      <c r="P181" s="52">
        <v>849</v>
      </c>
      <c r="Q181" s="52" t="s">
        <v>22</v>
      </c>
      <c r="R181" s="52" t="s">
        <v>23</v>
      </c>
      <c r="T181" s="52"/>
      <c r="U181" s="52"/>
      <c r="V181" s="52"/>
      <c r="W181" s="52">
        <v>116</v>
      </c>
      <c r="X181" s="52" t="s">
        <v>234</v>
      </c>
      <c r="Y181" s="52"/>
      <c r="Z181" s="46" t="s">
        <v>231</v>
      </c>
    </row>
    <row r="182" spans="1:26">
      <c r="A182" s="49">
        <v>44363</v>
      </c>
      <c r="B182" s="48">
        <v>202106161048</v>
      </c>
      <c r="C182" s="46" t="s">
        <v>3350</v>
      </c>
      <c r="D182" s="46" t="s">
        <v>3474</v>
      </c>
      <c r="E182" s="46" t="s">
        <v>233</v>
      </c>
      <c r="F182" s="46" t="s">
        <v>3348</v>
      </c>
      <c r="G182" s="46" t="s">
        <v>22</v>
      </c>
      <c r="H182" s="47" t="s">
        <v>1514</v>
      </c>
      <c r="I182" s="46" t="s">
        <v>3295</v>
      </c>
      <c r="J182" s="46" t="s">
        <v>3160</v>
      </c>
      <c r="K182" s="46">
        <v>1</v>
      </c>
      <c r="L182" s="46">
        <v>150</v>
      </c>
      <c r="N182" s="46" t="s">
        <v>1513</v>
      </c>
      <c r="O182" s="52"/>
      <c r="P182" s="52">
        <v>849</v>
      </c>
      <c r="Q182" s="52" t="s">
        <v>22</v>
      </c>
      <c r="R182" s="52" t="s">
        <v>23</v>
      </c>
      <c r="T182" s="52"/>
      <c r="U182" s="52"/>
      <c r="V182" s="52"/>
      <c r="W182" s="52">
        <v>116</v>
      </c>
      <c r="X182" s="52" t="s">
        <v>234</v>
      </c>
      <c r="Y182" s="52"/>
      <c r="Z182" s="46" t="s">
        <v>231</v>
      </c>
    </row>
    <row r="183" spans="1:26">
      <c r="A183" s="49">
        <v>44363</v>
      </c>
      <c r="B183" s="48">
        <v>202106161049</v>
      </c>
      <c r="C183" s="46" t="s">
        <v>3350</v>
      </c>
      <c r="D183" s="46" t="s">
        <v>3473</v>
      </c>
      <c r="E183" s="46" t="s">
        <v>220</v>
      </c>
      <c r="F183" s="46" t="s">
        <v>3348</v>
      </c>
      <c r="G183" s="46" t="s">
        <v>39</v>
      </c>
      <c r="H183" s="47" t="s">
        <v>1327</v>
      </c>
      <c r="I183" s="46" t="s">
        <v>3312</v>
      </c>
      <c r="J183" s="46" t="s">
        <v>3160</v>
      </c>
      <c r="K183" s="46">
        <v>2</v>
      </c>
      <c r="L183" s="46">
        <v>607</v>
      </c>
      <c r="N183" s="46" t="s">
        <v>1326</v>
      </c>
      <c r="O183" s="52"/>
      <c r="P183" s="52">
        <v>2145</v>
      </c>
      <c r="Q183" s="52" t="s">
        <v>39</v>
      </c>
      <c r="R183" s="52" t="s">
        <v>40</v>
      </c>
      <c r="T183" s="52"/>
      <c r="U183" s="52"/>
      <c r="V183" s="52"/>
      <c r="W183" s="52">
        <v>412</v>
      </c>
      <c r="X183" s="52" t="s">
        <v>225</v>
      </c>
      <c r="Y183" s="52"/>
      <c r="Z183" s="46" t="s">
        <v>218</v>
      </c>
    </row>
    <row r="184" spans="1:26">
      <c r="A184" s="49">
        <v>44363</v>
      </c>
      <c r="B184" s="48">
        <v>202106161049</v>
      </c>
      <c r="C184" s="46" t="s">
        <v>3350</v>
      </c>
      <c r="D184" s="46" t="s">
        <v>3473</v>
      </c>
      <c r="E184" s="46" t="s">
        <v>220</v>
      </c>
      <c r="F184" s="46" t="s">
        <v>3348</v>
      </c>
      <c r="G184" s="46" t="s">
        <v>39</v>
      </c>
      <c r="H184" s="47" t="s">
        <v>1334</v>
      </c>
      <c r="I184" s="46" t="s">
        <v>3165</v>
      </c>
      <c r="J184" s="46" t="s">
        <v>3160</v>
      </c>
      <c r="K184" s="46">
        <v>2</v>
      </c>
      <c r="L184" s="46">
        <v>1400</v>
      </c>
      <c r="N184" s="46" t="s">
        <v>1333</v>
      </c>
      <c r="O184" s="52"/>
      <c r="P184" s="52">
        <v>2145</v>
      </c>
      <c r="Q184" s="52" t="s">
        <v>39</v>
      </c>
      <c r="R184" s="52" t="s">
        <v>40</v>
      </c>
      <c r="T184" s="52"/>
      <c r="U184" s="52"/>
      <c r="V184" s="52"/>
      <c r="W184" s="52">
        <v>412</v>
      </c>
      <c r="X184" s="52" t="s">
        <v>225</v>
      </c>
      <c r="Y184" s="52"/>
      <c r="Z184" s="46" t="s">
        <v>218</v>
      </c>
    </row>
    <row r="185" spans="1:26">
      <c r="A185" s="49">
        <v>44363</v>
      </c>
      <c r="B185" s="48">
        <v>202106161049</v>
      </c>
      <c r="C185" s="46" t="s">
        <v>3350</v>
      </c>
      <c r="D185" s="46" t="s">
        <v>3473</v>
      </c>
      <c r="E185" s="46" t="s">
        <v>220</v>
      </c>
      <c r="F185" s="46" t="s">
        <v>3348</v>
      </c>
      <c r="G185" s="46" t="s">
        <v>39</v>
      </c>
      <c r="H185" s="47" t="s">
        <v>1332</v>
      </c>
      <c r="I185" s="46" t="s">
        <v>3161</v>
      </c>
      <c r="J185" s="46" t="s">
        <v>3160</v>
      </c>
      <c r="K185" s="46">
        <v>4</v>
      </c>
      <c r="L185" s="46">
        <v>138</v>
      </c>
      <c r="N185" s="46" t="s">
        <v>1331</v>
      </c>
      <c r="O185" s="52"/>
      <c r="P185" s="52">
        <v>2145</v>
      </c>
      <c r="Q185" s="52" t="s">
        <v>39</v>
      </c>
      <c r="R185" s="52" t="s">
        <v>40</v>
      </c>
      <c r="T185" s="52"/>
      <c r="U185" s="52"/>
      <c r="V185" s="52"/>
      <c r="W185" s="52">
        <v>412</v>
      </c>
      <c r="X185" s="52" t="s">
        <v>225</v>
      </c>
      <c r="Y185" s="52"/>
      <c r="Z185" s="46" t="s">
        <v>218</v>
      </c>
    </row>
    <row r="186" spans="1:26">
      <c r="A186" s="49">
        <v>44363</v>
      </c>
      <c r="B186" s="48">
        <v>202106161050</v>
      </c>
      <c r="C186" s="46" t="s">
        <v>3350</v>
      </c>
      <c r="D186" s="46" t="s">
        <v>3472</v>
      </c>
      <c r="E186" s="46" t="s">
        <v>215</v>
      </c>
      <c r="F186" s="46" t="s">
        <v>3348</v>
      </c>
      <c r="G186" s="46" t="s">
        <v>39</v>
      </c>
      <c r="H186" s="47">
        <v>4714781021609</v>
      </c>
      <c r="I186" s="46" t="s">
        <v>3183</v>
      </c>
      <c r="J186" s="46" t="s">
        <v>3160</v>
      </c>
      <c r="K186" s="46">
        <v>2</v>
      </c>
      <c r="L186" s="46">
        <v>245</v>
      </c>
      <c r="N186" s="46" t="s">
        <v>1454</v>
      </c>
      <c r="O186" s="52"/>
      <c r="P186" s="52">
        <v>1186</v>
      </c>
      <c r="Q186" s="52" t="s">
        <v>39</v>
      </c>
      <c r="R186" s="52" t="s">
        <v>40</v>
      </c>
      <c r="T186" s="52"/>
      <c r="U186" s="52"/>
      <c r="V186" s="52"/>
      <c r="W186" s="52">
        <v>231</v>
      </c>
      <c r="X186" s="52" t="s">
        <v>216</v>
      </c>
      <c r="Y186" s="52"/>
      <c r="Z186" s="46" t="s">
        <v>213</v>
      </c>
    </row>
    <row r="187" spans="1:26">
      <c r="A187" s="49">
        <v>44363</v>
      </c>
      <c r="B187" s="48">
        <v>202106161050</v>
      </c>
      <c r="C187" s="46" t="s">
        <v>3350</v>
      </c>
      <c r="D187" s="46" t="s">
        <v>3472</v>
      </c>
      <c r="E187" s="46" t="s">
        <v>215</v>
      </c>
      <c r="F187" s="46" t="s">
        <v>3348</v>
      </c>
      <c r="G187" s="46" t="s">
        <v>39</v>
      </c>
      <c r="H187" s="47">
        <v>4714781021593</v>
      </c>
      <c r="I187" s="46" t="s">
        <v>3183</v>
      </c>
      <c r="J187" s="46" t="s">
        <v>3160</v>
      </c>
      <c r="K187" s="46">
        <v>2</v>
      </c>
      <c r="L187" s="46">
        <v>245</v>
      </c>
      <c r="N187" s="46" t="s">
        <v>1453</v>
      </c>
      <c r="O187" s="52"/>
      <c r="P187" s="52">
        <v>1186</v>
      </c>
      <c r="Q187" s="52" t="s">
        <v>39</v>
      </c>
      <c r="R187" s="52" t="s">
        <v>40</v>
      </c>
      <c r="T187" s="52"/>
      <c r="U187" s="52"/>
      <c r="V187" s="52"/>
      <c r="W187" s="52">
        <v>231</v>
      </c>
      <c r="X187" s="52" t="s">
        <v>216</v>
      </c>
      <c r="Y187" s="52"/>
      <c r="Z187" s="46" t="s">
        <v>213</v>
      </c>
    </row>
    <row r="188" spans="1:26">
      <c r="A188" s="49">
        <v>44363</v>
      </c>
      <c r="B188" s="48">
        <v>202106161050</v>
      </c>
      <c r="C188" s="46" t="s">
        <v>3350</v>
      </c>
      <c r="D188" s="46" t="s">
        <v>3472</v>
      </c>
      <c r="E188" s="46" t="s">
        <v>215</v>
      </c>
      <c r="F188" s="46" t="s">
        <v>3348</v>
      </c>
      <c r="G188" s="46" t="s">
        <v>39</v>
      </c>
      <c r="H188" s="47">
        <v>4714781021029</v>
      </c>
      <c r="I188" s="46" t="s">
        <v>3234</v>
      </c>
      <c r="J188" s="46" t="s">
        <v>3160</v>
      </c>
      <c r="K188" s="46">
        <v>2</v>
      </c>
      <c r="L188" s="46">
        <v>246</v>
      </c>
      <c r="N188" s="46" t="s">
        <v>1452</v>
      </c>
      <c r="O188" s="52"/>
      <c r="P188" s="52">
        <v>1186</v>
      </c>
      <c r="Q188" s="52" t="s">
        <v>39</v>
      </c>
      <c r="R188" s="52" t="s">
        <v>40</v>
      </c>
      <c r="T188" s="52"/>
      <c r="U188" s="52"/>
      <c r="V188" s="52"/>
      <c r="W188" s="52">
        <v>231</v>
      </c>
      <c r="X188" s="52" t="s">
        <v>216</v>
      </c>
      <c r="Y188" s="52"/>
      <c r="Z188" s="46" t="s">
        <v>213</v>
      </c>
    </row>
    <row r="189" spans="1:26">
      <c r="A189" s="49">
        <v>44363</v>
      </c>
      <c r="B189" s="48">
        <v>202106161050</v>
      </c>
      <c r="C189" s="46" t="s">
        <v>3350</v>
      </c>
      <c r="D189" s="46" t="s">
        <v>3472</v>
      </c>
      <c r="E189" s="46" t="s">
        <v>215</v>
      </c>
      <c r="F189" s="46" t="s">
        <v>3348</v>
      </c>
      <c r="G189" s="46" t="s">
        <v>39</v>
      </c>
      <c r="H189" s="47" t="s">
        <v>1512</v>
      </c>
      <c r="I189" s="46" t="s">
        <v>3194</v>
      </c>
      <c r="J189" s="46" t="s">
        <v>3160</v>
      </c>
      <c r="K189" s="46">
        <v>1</v>
      </c>
      <c r="L189" s="46">
        <v>150</v>
      </c>
      <c r="N189" s="46" t="s">
        <v>1511</v>
      </c>
      <c r="O189" s="52"/>
      <c r="P189" s="52">
        <v>1186</v>
      </c>
      <c r="Q189" s="52" t="s">
        <v>39</v>
      </c>
      <c r="R189" s="52" t="s">
        <v>40</v>
      </c>
      <c r="T189" s="52"/>
      <c r="U189" s="52"/>
      <c r="V189" s="52"/>
      <c r="W189" s="52">
        <v>231</v>
      </c>
      <c r="X189" s="52" t="s">
        <v>216</v>
      </c>
      <c r="Y189" s="52"/>
      <c r="Z189" s="46" t="s">
        <v>213</v>
      </c>
    </row>
    <row r="190" spans="1:26">
      <c r="A190" s="49">
        <v>44363</v>
      </c>
      <c r="B190" s="48">
        <v>202106161050</v>
      </c>
      <c r="C190" s="46" t="s">
        <v>3350</v>
      </c>
      <c r="D190" s="46" t="s">
        <v>3472</v>
      </c>
      <c r="E190" s="46" t="s">
        <v>215</v>
      </c>
      <c r="F190" s="46" t="s">
        <v>3348</v>
      </c>
      <c r="G190" s="46" t="s">
        <v>39</v>
      </c>
      <c r="H190" s="47" t="s">
        <v>1517</v>
      </c>
      <c r="I190" s="46" t="s">
        <v>3295</v>
      </c>
      <c r="J190" s="46" t="s">
        <v>3160</v>
      </c>
      <c r="K190" s="46">
        <v>1</v>
      </c>
      <c r="L190" s="46">
        <v>150</v>
      </c>
      <c r="N190" s="46" t="s">
        <v>1516</v>
      </c>
      <c r="O190" s="52"/>
      <c r="P190" s="52">
        <v>1186</v>
      </c>
      <c r="Q190" s="52" t="s">
        <v>39</v>
      </c>
      <c r="R190" s="52" t="s">
        <v>40</v>
      </c>
      <c r="T190" s="52"/>
      <c r="U190" s="52"/>
      <c r="V190" s="52"/>
      <c r="W190" s="52">
        <v>231</v>
      </c>
      <c r="X190" s="52" t="s">
        <v>216</v>
      </c>
      <c r="Y190" s="52"/>
      <c r="Z190" s="46" t="s">
        <v>213</v>
      </c>
    </row>
    <row r="191" spans="1:26">
      <c r="A191" s="49">
        <v>44363</v>
      </c>
      <c r="B191" s="48">
        <v>202106161050</v>
      </c>
      <c r="C191" s="46" t="s">
        <v>3350</v>
      </c>
      <c r="D191" s="46" t="s">
        <v>3472</v>
      </c>
      <c r="E191" s="46" t="s">
        <v>215</v>
      </c>
      <c r="F191" s="46" t="s">
        <v>3348</v>
      </c>
      <c r="G191" s="46" t="s">
        <v>39</v>
      </c>
      <c r="H191" s="47" t="s">
        <v>1514</v>
      </c>
      <c r="I191" s="46" t="s">
        <v>3295</v>
      </c>
      <c r="J191" s="46" t="s">
        <v>3160</v>
      </c>
      <c r="K191" s="46">
        <v>1</v>
      </c>
      <c r="L191" s="46">
        <v>150</v>
      </c>
      <c r="N191" s="46" t="s">
        <v>1513</v>
      </c>
      <c r="O191" s="52"/>
      <c r="P191" s="52">
        <v>1186</v>
      </c>
      <c r="Q191" s="52" t="s">
        <v>39</v>
      </c>
      <c r="R191" s="52" t="s">
        <v>40</v>
      </c>
      <c r="T191" s="52"/>
      <c r="U191" s="52"/>
      <c r="V191" s="52"/>
      <c r="W191" s="52">
        <v>231</v>
      </c>
      <c r="X191" s="52" t="s">
        <v>216</v>
      </c>
      <c r="Y191" s="52"/>
      <c r="Z191" s="46" t="s">
        <v>213</v>
      </c>
    </row>
    <row r="192" spans="1:26">
      <c r="A192" s="49">
        <v>44363</v>
      </c>
      <c r="B192" s="48">
        <v>202106161051</v>
      </c>
      <c r="C192" s="46" t="s">
        <v>3350</v>
      </c>
      <c r="D192" s="46" t="s">
        <v>3471</v>
      </c>
      <c r="E192" s="46" t="s">
        <v>840</v>
      </c>
      <c r="F192" s="46" t="s">
        <v>3348</v>
      </c>
      <c r="G192" s="46" t="s">
        <v>633</v>
      </c>
      <c r="H192" s="47" t="s">
        <v>1512</v>
      </c>
      <c r="I192" s="46" t="s">
        <v>3194</v>
      </c>
      <c r="J192" s="46" t="s">
        <v>3160</v>
      </c>
      <c r="K192" s="46">
        <v>1</v>
      </c>
      <c r="L192" s="46">
        <v>150</v>
      </c>
      <c r="N192" s="46" t="s">
        <v>1511</v>
      </c>
      <c r="O192" s="52"/>
      <c r="P192" s="52">
        <v>749</v>
      </c>
      <c r="Q192" s="52" t="s">
        <v>633</v>
      </c>
      <c r="R192" s="52" t="s">
        <v>634</v>
      </c>
      <c r="T192" s="52">
        <v>146540</v>
      </c>
      <c r="U192" s="52" t="s">
        <v>841</v>
      </c>
      <c r="V192" s="52" t="s">
        <v>842</v>
      </c>
      <c r="W192" s="52"/>
      <c r="X192" s="52"/>
      <c r="Y192" s="52"/>
      <c r="Z192" s="46" t="s">
        <v>838</v>
      </c>
    </row>
    <row r="193" spans="1:26">
      <c r="A193" s="49">
        <v>44363</v>
      </c>
      <c r="B193" s="48">
        <v>202106161051</v>
      </c>
      <c r="C193" s="46" t="s">
        <v>3350</v>
      </c>
      <c r="D193" s="46" t="s">
        <v>3471</v>
      </c>
      <c r="E193" s="46" t="s">
        <v>840</v>
      </c>
      <c r="F193" s="46" t="s">
        <v>3348</v>
      </c>
      <c r="G193" s="46" t="s">
        <v>633</v>
      </c>
      <c r="H193" s="47" t="s">
        <v>1517</v>
      </c>
      <c r="I193" s="46" t="s">
        <v>3295</v>
      </c>
      <c r="J193" s="46" t="s">
        <v>3160</v>
      </c>
      <c r="K193" s="46">
        <v>1</v>
      </c>
      <c r="L193" s="46">
        <v>150</v>
      </c>
      <c r="N193" s="46" t="s">
        <v>1516</v>
      </c>
      <c r="O193" s="52"/>
      <c r="P193" s="52">
        <v>749</v>
      </c>
      <c r="Q193" s="52" t="s">
        <v>633</v>
      </c>
      <c r="R193" s="52" t="s">
        <v>634</v>
      </c>
      <c r="T193" s="52">
        <v>146540</v>
      </c>
      <c r="U193" s="52" t="s">
        <v>841</v>
      </c>
      <c r="V193" s="52" t="s">
        <v>842</v>
      </c>
      <c r="W193" s="52"/>
      <c r="X193" s="52"/>
      <c r="Y193" s="52"/>
      <c r="Z193" s="46" t="s">
        <v>838</v>
      </c>
    </row>
    <row r="194" spans="1:26">
      <c r="A194" s="49">
        <v>44363</v>
      </c>
      <c r="B194" s="48">
        <v>202106161051</v>
      </c>
      <c r="C194" s="46" t="s">
        <v>3350</v>
      </c>
      <c r="D194" s="46" t="s">
        <v>3471</v>
      </c>
      <c r="E194" s="46" t="s">
        <v>840</v>
      </c>
      <c r="F194" s="46" t="s">
        <v>3348</v>
      </c>
      <c r="G194" s="46" t="s">
        <v>633</v>
      </c>
      <c r="H194" s="47" t="s">
        <v>1514</v>
      </c>
      <c r="I194" s="46" t="s">
        <v>3295</v>
      </c>
      <c r="J194" s="46" t="s">
        <v>3160</v>
      </c>
      <c r="K194" s="46">
        <v>1</v>
      </c>
      <c r="L194" s="46">
        <v>150</v>
      </c>
      <c r="N194" s="46" t="s">
        <v>1513</v>
      </c>
      <c r="O194" s="52"/>
      <c r="P194" s="52">
        <v>749</v>
      </c>
      <c r="Q194" s="52" t="s">
        <v>633</v>
      </c>
      <c r="R194" s="52" t="s">
        <v>634</v>
      </c>
      <c r="T194" s="52">
        <v>146540</v>
      </c>
      <c r="U194" s="52" t="s">
        <v>841</v>
      </c>
      <c r="V194" s="52" t="s">
        <v>842</v>
      </c>
      <c r="W194" s="52"/>
      <c r="X194" s="52"/>
      <c r="Y194" s="52"/>
      <c r="Z194" s="46" t="s">
        <v>838</v>
      </c>
    </row>
    <row r="195" spans="1:26">
      <c r="A195" s="49">
        <v>44363</v>
      </c>
      <c r="B195" s="48">
        <v>202106161051</v>
      </c>
      <c r="C195" s="46" t="s">
        <v>3350</v>
      </c>
      <c r="D195" s="46" t="s">
        <v>3471</v>
      </c>
      <c r="E195" s="46" t="s">
        <v>840</v>
      </c>
      <c r="F195" s="46" t="s">
        <v>3348</v>
      </c>
      <c r="G195" s="46" t="s">
        <v>633</v>
      </c>
      <c r="H195" s="47">
        <v>4714781024716</v>
      </c>
      <c r="I195" s="46" t="s">
        <v>3168</v>
      </c>
      <c r="J195" s="46" t="s">
        <v>3160</v>
      </c>
      <c r="K195" s="46">
        <v>1</v>
      </c>
      <c r="L195" s="46">
        <v>299</v>
      </c>
      <c r="N195" s="46" t="s">
        <v>372</v>
      </c>
      <c r="O195" s="52"/>
      <c r="P195" s="52">
        <v>749</v>
      </c>
      <c r="Q195" s="52" t="s">
        <v>633</v>
      </c>
      <c r="R195" s="52" t="s">
        <v>634</v>
      </c>
      <c r="T195" s="52">
        <v>146540</v>
      </c>
      <c r="U195" s="52" t="s">
        <v>841</v>
      </c>
      <c r="V195" s="52" t="s">
        <v>842</v>
      </c>
      <c r="W195" s="52"/>
      <c r="X195" s="52"/>
      <c r="Y195" s="52"/>
      <c r="Z195" s="46" t="s">
        <v>838</v>
      </c>
    </row>
    <row r="196" spans="1:26">
      <c r="A196" s="49">
        <v>44363</v>
      </c>
      <c r="B196" s="48">
        <v>202106161052</v>
      </c>
      <c r="C196" s="46" t="s">
        <v>3350</v>
      </c>
      <c r="D196" s="46" t="s">
        <v>3470</v>
      </c>
      <c r="E196" s="46" t="s">
        <v>846</v>
      </c>
      <c r="F196" s="46" t="s">
        <v>3348</v>
      </c>
      <c r="G196" s="46" t="s">
        <v>633</v>
      </c>
      <c r="H196" s="47" t="s">
        <v>1341</v>
      </c>
      <c r="I196" s="46" t="s">
        <v>3309</v>
      </c>
      <c r="J196" s="46" t="s">
        <v>3160</v>
      </c>
      <c r="K196" s="46">
        <v>1</v>
      </c>
      <c r="L196" s="46">
        <v>400</v>
      </c>
      <c r="N196" s="46" t="s">
        <v>1340</v>
      </c>
      <c r="O196" s="52"/>
      <c r="P196" s="52">
        <v>593</v>
      </c>
      <c r="Q196" s="52" t="s">
        <v>633</v>
      </c>
      <c r="R196" s="52" t="s">
        <v>634</v>
      </c>
      <c r="T196" s="52">
        <v>978558</v>
      </c>
      <c r="U196" s="52" t="s">
        <v>847</v>
      </c>
      <c r="V196" s="52" t="s">
        <v>848</v>
      </c>
      <c r="W196" s="52"/>
      <c r="X196" s="52"/>
      <c r="Y196" s="52"/>
      <c r="Z196" s="46" t="s">
        <v>844</v>
      </c>
    </row>
    <row r="197" spans="1:26">
      <c r="A197" s="49">
        <v>44363</v>
      </c>
      <c r="B197" s="48">
        <v>202106161052</v>
      </c>
      <c r="C197" s="46" t="s">
        <v>3350</v>
      </c>
      <c r="D197" s="46" t="s">
        <v>3470</v>
      </c>
      <c r="E197" s="46" t="s">
        <v>846</v>
      </c>
      <c r="F197" s="46" t="s">
        <v>3348</v>
      </c>
      <c r="G197" s="46" t="s">
        <v>633</v>
      </c>
      <c r="H197" s="47" t="s">
        <v>1339</v>
      </c>
      <c r="I197" s="46" t="s">
        <v>3308</v>
      </c>
      <c r="J197" s="46" t="s">
        <v>3160</v>
      </c>
      <c r="K197" s="46">
        <v>1</v>
      </c>
      <c r="L197" s="46">
        <v>128</v>
      </c>
      <c r="N197" s="46" t="s">
        <v>1338</v>
      </c>
      <c r="O197" s="52"/>
      <c r="P197" s="52">
        <v>593</v>
      </c>
      <c r="Q197" s="52" t="s">
        <v>633</v>
      </c>
      <c r="R197" s="52" t="s">
        <v>634</v>
      </c>
      <c r="T197" s="52">
        <v>978558</v>
      </c>
      <c r="U197" s="52" t="s">
        <v>847</v>
      </c>
      <c r="V197" s="52" t="s">
        <v>848</v>
      </c>
      <c r="W197" s="52"/>
      <c r="X197" s="52"/>
      <c r="Y197" s="52"/>
      <c r="Z197" s="46" t="s">
        <v>844</v>
      </c>
    </row>
    <row r="198" spans="1:26">
      <c r="A198" s="49">
        <v>44363</v>
      </c>
      <c r="B198" s="48">
        <v>202106161052</v>
      </c>
      <c r="C198" s="46" t="s">
        <v>3350</v>
      </c>
      <c r="D198" s="46" t="s">
        <v>3470</v>
      </c>
      <c r="E198" s="46" t="s">
        <v>846</v>
      </c>
      <c r="F198" s="46" t="s">
        <v>3348</v>
      </c>
      <c r="G198" s="46" t="s">
        <v>633</v>
      </c>
      <c r="H198" s="47" t="s">
        <v>3347</v>
      </c>
      <c r="J198" s="46" t="s">
        <v>3346</v>
      </c>
      <c r="K198" s="46">
        <v>1</v>
      </c>
      <c r="L198" s="46">
        <v>65</v>
      </c>
      <c r="O198" s="52"/>
      <c r="P198" s="52"/>
      <c r="Q198" s="52"/>
      <c r="R198" s="52"/>
      <c r="T198" s="52"/>
      <c r="U198" s="52"/>
      <c r="V198" s="52"/>
      <c r="W198" s="52"/>
      <c r="X198" s="52"/>
      <c r="Y198" s="52"/>
    </row>
    <row r="199" spans="1:26">
      <c r="A199" s="49">
        <v>44363</v>
      </c>
      <c r="B199" s="48">
        <v>202106161053</v>
      </c>
      <c r="C199" s="46" t="s">
        <v>3350</v>
      </c>
      <c r="D199" s="46" t="s">
        <v>3469</v>
      </c>
      <c r="E199" s="46" t="s">
        <v>210</v>
      </c>
      <c r="F199" s="46" t="s">
        <v>3348</v>
      </c>
      <c r="G199" s="46" t="s">
        <v>22</v>
      </c>
      <c r="H199" s="47">
        <v>4714781021609</v>
      </c>
      <c r="I199" s="46" t="s">
        <v>3183</v>
      </c>
      <c r="J199" s="46" t="s">
        <v>3160</v>
      </c>
      <c r="K199" s="46">
        <v>1</v>
      </c>
      <c r="L199" s="46">
        <v>133</v>
      </c>
      <c r="N199" s="46" t="s">
        <v>1454</v>
      </c>
      <c r="O199" s="52"/>
      <c r="P199" s="52">
        <v>479</v>
      </c>
      <c r="Q199" s="52" t="s">
        <v>22</v>
      </c>
      <c r="R199" s="52" t="s">
        <v>23</v>
      </c>
      <c r="T199" s="52"/>
      <c r="U199" s="52"/>
      <c r="V199" s="52"/>
      <c r="W199" s="52">
        <v>326</v>
      </c>
      <c r="X199" s="52" t="s">
        <v>211</v>
      </c>
      <c r="Y199" s="52"/>
      <c r="Z199" s="46" t="s">
        <v>208</v>
      </c>
    </row>
    <row r="200" spans="1:26">
      <c r="A200" s="49">
        <v>44363</v>
      </c>
      <c r="B200" s="48">
        <v>202106161053</v>
      </c>
      <c r="C200" s="46" t="s">
        <v>3350</v>
      </c>
      <c r="D200" s="46" t="s">
        <v>3469</v>
      </c>
      <c r="E200" s="46" t="s">
        <v>210</v>
      </c>
      <c r="F200" s="46" t="s">
        <v>3348</v>
      </c>
      <c r="G200" s="46" t="s">
        <v>22</v>
      </c>
      <c r="H200" s="47">
        <v>4714781021593</v>
      </c>
      <c r="I200" s="46" t="s">
        <v>3183</v>
      </c>
      <c r="J200" s="46" t="s">
        <v>3160</v>
      </c>
      <c r="K200" s="46">
        <v>1</v>
      </c>
      <c r="L200" s="46">
        <v>133</v>
      </c>
      <c r="N200" s="46" t="s">
        <v>1453</v>
      </c>
      <c r="O200" s="52"/>
      <c r="P200" s="52">
        <v>479</v>
      </c>
      <c r="Q200" s="52" t="s">
        <v>22</v>
      </c>
      <c r="R200" s="52" t="s">
        <v>23</v>
      </c>
      <c r="T200" s="52"/>
      <c r="U200" s="52"/>
      <c r="V200" s="52"/>
      <c r="W200" s="52">
        <v>326</v>
      </c>
      <c r="X200" s="52" t="s">
        <v>211</v>
      </c>
      <c r="Y200" s="52"/>
      <c r="Z200" s="46" t="s">
        <v>208</v>
      </c>
    </row>
    <row r="201" spans="1:26">
      <c r="A201" s="49">
        <v>44363</v>
      </c>
      <c r="B201" s="48">
        <v>202106161053</v>
      </c>
      <c r="C201" s="46" t="s">
        <v>3350</v>
      </c>
      <c r="D201" s="46" t="s">
        <v>3469</v>
      </c>
      <c r="E201" s="46" t="s">
        <v>210</v>
      </c>
      <c r="F201" s="46" t="s">
        <v>3348</v>
      </c>
      <c r="G201" s="46" t="s">
        <v>22</v>
      </c>
      <c r="H201" s="47">
        <v>4714781021029</v>
      </c>
      <c r="I201" s="46" t="s">
        <v>3234</v>
      </c>
      <c r="J201" s="46" t="s">
        <v>3160</v>
      </c>
      <c r="K201" s="46">
        <v>1</v>
      </c>
      <c r="L201" s="46">
        <v>133</v>
      </c>
      <c r="N201" s="46" t="s">
        <v>1452</v>
      </c>
      <c r="P201" s="52">
        <v>479</v>
      </c>
      <c r="Q201" s="52" t="s">
        <v>22</v>
      </c>
      <c r="R201" s="52" t="s">
        <v>23</v>
      </c>
      <c r="T201" s="52"/>
      <c r="U201" s="52"/>
      <c r="V201" s="52"/>
      <c r="W201" s="52">
        <v>326</v>
      </c>
      <c r="X201" s="52" t="s">
        <v>211</v>
      </c>
      <c r="Y201" s="52"/>
      <c r="Z201" s="46" t="s">
        <v>208</v>
      </c>
    </row>
    <row r="202" spans="1:26">
      <c r="A202" s="49">
        <v>44363</v>
      </c>
      <c r="B202" s="48">
        <v>202106161053</v>
      </c>
      <c r="C202" s="46" t="s">
        <v>3350</v>
      </c>
      <c r="D202" s="46" t="s">
        <v>3469</v>
      </c>
      <c r="E202" s="46" t="s">
        <v>210</v>
      </c>
      <c r="F202" s="46" t="s">
        <v>3348</v>
      </c>
      <c r="G202" s="46" t="s">
        <v>22</v>
      </c>
      <c r="H202" s="47" t="s">
        <v>3347</v>
      </c>
      <c r="J202" s="46" t="s">
        <v>3346</v>
      </c>
      <c r="K202" s="46">
        <v>1</v>
      </c>
      <c r="L202" s="46">
        <v>80</v>
      </c>
      <c r="P202" s="52"/>
      <c r="Q202" s="52"/>
      <c r="R202" s="52"/>
      <c r="T202" s="52"/>
      <c r="U202" s="52"/>
      <c r="V202" s="52"/>
      <c r="W202" s="52"/>
      <c r="X202" s="52"/>
      <c r="Y202" s="52"/>
    </row>
    <row r="203" spans="1:26">
      <c r="A203" s="49">
        <v>44363</v>
      </c>
      <c r="B203" s="48">
        <v>202106161054</v>
      </c>
      <c r="C203" s="46" t="s">
        <v>3350</v>
      </c>
      <c r="D203" s="46" t="s">
        <v>3468</v>
      </c>
      <c r="E203" s="46" t="s">
        <v>852</v>
      </c>
      <c r="F203" s="46" t="s">
        <v>3348</v>
      </c>
      <c r="G203" s="46" t="s">
        <v>633</v>
      </c>
      <c r="H203" s="47">
        <v>4714781021609</v>
      </c>
      <c r="I203" s="46" t="s">
        <v>3183</v>
      </c>
      <c r="J203" s="46" t="s">
        <v>3160</v>
      </c>
      <c r="K203" s="46">
        <v>3</v>
      </c>
      <c r="L203" s="46">
        <v>399</v>
      </c>
      <c r="N203" s="46" t="s">
        <v>1454</v>
      </c>
      <c r="P203" s="52">
        <v>984</v>
      </c>
      <c r="Q203" s="52" t="s">
        <v>633</v>
      </c>
      <c r="R203" s="52" t="s">
        <v>634</v>
      </c>
      <c r="T203" s="52">
        <v>951966</v>
      </c>
      <c r="U203" s="52" t="s">
        <v>853</v>
      </c>
      <c r="V203" s="52" t="s">
        <v>854</v>
      </c>
      <c r="W203" s="52"/>
      <c r="X203" s="52"/>
      <c r="Y203" s="52"/>
      <c r="Z203" s="46" t="s">
        <v>850</v>
      </c>
    </row>
    <row r="204" spans="1:26">
      <c r="A204" s="49">
        <v>44363</v>
      </c>
      <c r="B204" s="48">
        <v>202106161054</v>
      </c>
      <c r="C204" s="46" t="s">
        <v>3350</v>
      </c>
      <c r="D204" s="46" t="s">
        <v>3468</v>
      </c>
      <c r="E204" s="46" t="s">
        <v>852</v>
      </c>
      <c r="F204" s="46" t="s">
        <v>3348</v>
      </c>
      <c r="G204" s="46" t="s">
        <v>633</v>
      </c>
      <c r="H204" s="47">
        <v>4714781020787</v>
      </c>
      <c r="I204" s="46" t="s">
        <v>3273</v>
      </c>
      <c r="J204" s="46" t="s">
        <v>3160</v>
      </c>
      <c r="K204" s="46">
        <v>1</v>
      </c>
      <c r="L204" s="46">
        <v>135</v>
      </c>
      <c r="N204" s="46" t="s">
        <v>95</v>
      </c>
      <c r="P204" s="52">
        <v>984</v>
      </c>
      <c r="Q204" s="52" t="s">
        <v>633</v>
      </c>
      <c r="R204" s="52" t="s">
        <v>634</v>
      </c>
      <c r="T204" s="52">
        <v>951966</v>
      </c>
      <c r="U204" s="52" t="s">
        <v>853</v>
      </c>
      <c r="V204" s="52" t="s">
        <v>854</v>
      </c>
      <c r="W204" s="52"/>
      <c r="X204" s="52"/>
      <c r="Y204" s="52"/>
      <c r="Z204" s="46" t="s">
        <v>850</v>
      </c>
    </row>
    <row r="205" spans="1:26">
      <c r="A205" s="49">
        <v>44363</v>
      </c>
      <c r="B205" s="48">
        <v>202106161054</v>
      </c>
      <c r="C205" s="46" t="s">
        <v>3350</v>
      </c>
      <c r="D205" s="46" t="s">
        <v>3468</v>
      </c>
      <c r="E205" s="46" t="s">
        <v>852</v>
      </c>
      <c r="F205" s="46" t="s">
        <v>3348</v>
      </c>
      <c r="G205" s="46" t="s">
        <v>633</v>
      </c>
      <c r="H205" s="47" t="s">
        <v>1517</v>
      </c>
      <c r="I205" s="46" t="s">
        <v>3295</v>
      </c>
      <c r="J205" s="46" t="s">
        <v>3160</v>
      </c>
      <c r="K205" s="46">
        <v>3</v>
      </c>
      <c r="L205" s="46">
        <v>450</v>
      </c>
      <c r="N205" s="46" t="s">
        <v>1516</v>
      </c>
      <c r="P205" s="52">
        <v>984</v>
      </c>
      <c r="Q205" s="52" t="s">
        <v>633</v>
      </c>
      <c r="R205" s="52" t="s">
        <v>634</v>
      </c>
      <c r="T205" s="52">
        <v>951966</v>
      </c>
      <c r="U205" s="52" t="s">
        <v>853</v>
      </c>
      <c r="V205" s="52" t="s">
        <v>854</v>
      </c>
      <c r="W205" s="52"/>
      <c r="X205" s="52"/>
      <c r="Y205" s="52"/>
      <c r="Z205" s="46" t="s">
        <v>850</v>
      </c>
    </row>
    <row r="206" spans="1:26">
      <c r="A206" s="49">
        <v>44363</v>
      </c>
      <c r="B206" s="48">
        <v>202106161055</v>
      </c>
      <c r="C206" s="46" t="s">
        <v>3350</v>
      </c>
      <c r="D206" s="46" t="s">
        <v>3467</v>
      </c>
      <c r="E206" s="46" t="s">
        <v>858</v>
      </c>
      <c r="F206" s="46" t="s">
        <v>3348</v>
      </c>
      <c r="G206" s="46" t="s">
        <v>633</v>
      </c>
      <c r="H206" s="47" t="s">
        <v>1484</v>
      </c>
      <c r="I206" s="46" t="s">
        <v>3254</v>
      </c>
      <c r="J206" s="46" t="s">
        <v>3160</v>
      </c>
      <c r="K206" s="46">
        <v>1</v>
      </c>
      <c r="L206" s="46">
        <v>278</v>
      </c>
      <c r="N206" s="46" t="s">
        <v>1483</v>
      </c>
      <c r="P206" s="52">
        <v>1646</v>
      </c>
      <c r="Q206" s="52" t="s">
        <v>633</v>
      </c>
      <c r="R206" s="52" t="s">
        <v>634</v>
      </c>
      <c r="T206" s="52">
        <v>180997</v>
      </c>
      <c r="U206" s="52" t="s">
        <v>859</v>
      </c>
      <c r="V206" s="52" t="s">
        <v>860</v>
      </c>
      <c r="W206" s="52"/>
      <c r="X206" s="52"/>
      <c r="Y206" s="52"/>
      <c r="Z206" s="46" t="s">
        <v>856</v>
      </c>
    </row>
    <row r="207" spans="1:26">
      <c r="A207" s="49">
        <v>44363</v>
      </c>
      <c r="B207" s="48">
        <v>202106161055</v>
      </c>
      <c r="C207" s="46" t="s">
        <v>3350</v>
      </c>
      <c r="D207" s="46" t="s">
        <v>3467</v>
      </c>
      <c r="E207" s="46" t="s">
        <v>858</v>
      </c>
      <c r="F207" s="46" t="s">
        <v>3348</v>
      </c>
      <c r="G207" s="46" t="s">
        <v>633</v>
      </c>
      <c r="H207" s="47" t="s">
        <v>1493</v>
      </c>
      <c r="I207" s="46" t="s">
        <v>3276</v>
      </c>
      <c r="J207" s="46" t="s">
        <v>3160</v>
      </c>
      <c r="K207" s="46">
        <v>1</v>
      </c>
      <c r="L207" s="46">
        <v>115</v>
      </c>
      <c r="N207" s="46" t="s">
        <v>1492</v>
      </c>
      <c r="P207" s="52">
        <v>1646</v>
      </c>
      <c r="Q207" s="52" t="s">
        <v>633</v>
      </c>
      <c r="R207" s="52" t="s">
        <v>634</v>
      </c>
      <c r="T207" s="52">
        <v>180997</v>
      </c>
      <c r="U207" s="52" t="s">
        <v>859</v>
      </c>
      <c r="V207" s="52" t="s">
        <v>860</v>
      </c>
      <c r="W207" s="52"/>
      <c r="X207" s="52"/>
      <c r="Y207" s="52"/>
      <c r="Z207" s="46" t="s">
        <v>856</v>
      </c>
    </row>
    <row r="208" spans="1:26">
      <c r="A208" s="49">
        <v>44363</v>
      </c>
      <c r="B208" s="48">
        <v>202106161055</v>
      </c>
      <c r="C208" s="46" t="s">
        <v>3350</v>
      </c>
      <c r="D208" s="46" t="s">
        <v>3467</v>
      </c>
      <c r="E208" s="46" t="s">
        <v>858</v>
      </c>
      <c r="F208" s="46" t="s">
        <v>3348</v>
      </c>
      <c r="G208" s="46" t="s">
        <v>633</v>
      </c>
      <c r="H208" s="47">
        <v>4714781021050</v>
      </c>
      <c r="I208" s="46" t="s">
        <v>3227</v>
      </c>
      <c r="J208" s="46" t="s">
        <v>3160</v>
      </c>
      <c r="K208" s="46">
        <v>1</v>
      </c>
      <c r="L208" s="46">
        <v>99</v>
      </c>
      <c r="N208" s="46" t="s">
        <v>797</v>
      </c>
      <c r="O208" s="52"/>
      <c r="P208" s="52">
        <v>1646</v>
      </c>
      <c r="Q208" s="52" t="s">
        <v>633</v>
      </c>
      <c r="R208" s="52" t="s">
        <v>634</v>
      </c>
      <c r="T208" s="52">
        <v>180997</v>
      </c>
      <c r="U208" s="52" t="s">
        <v>859</v>
      </c>
      <c r="V208" s="52" t="s">
        <v>860</v>
      </c>
      <c r="W208" s="52"/>
      <c r="X208" s="52"/>
      <c r="Y208" s="52"/>
      <c r="Z208" s="46" t="s">
        <v>856</v>
      </c>
    </row>
    <row r="209" spans="1:26">
      <c r="A209" s="49">
        <v>44363</v>
      </c>
      <c r="B209" s="48">
        <v>202106161055</v>
      </c>
      <c r="C209" s="46" t="s">
        <v>3350</v>
      </c>
      <c r="D209" s="46" t="s">
        <v>3467</v>
      </c>
      <c r="E209" s="46" t="s">
        <v>858</v>
      </c>
      <c r="F209" s="46" t="s">
        <v>3348</v>
      </c>
      <c r="G209" s="46" t="s">
        <v>633</v>
      </c>
      <c r="H209" s="47">
        <v>4714781020824</v>
      </c>
      <c r="I209" s="46" t="s">
        <v>3261</v>
      </c>
      <c r="J209" s="46" t="s">
        <v>3160</v>
      </c>
      <c r="K209" s="46">
        <v>1</v>
      </c>
      <c r="L209" s="46">
        <v>340</v>
      </c>
      <c r="N209" s="46" t="s">
        <v>1322</v>
      </c>
      <c r="O209" s="52"/>
      <c r="P209" s="52">
        <v>1646</v>
      </c>
      <c r="Q209" s="52" t="s">
        <v>633</v>
      </c>
      <c r="R209" s="52" t="s">
        <v>634</v>
      </c>
      <c r="T209" s="52">
        <v>180997</v>
      </c>
      <c r="U209" s="52" t="s">
        <v>859</v>
      </c>
      <c r="V209" s="52" t="s">
        <v>860</v>
      </c>
      <c r="W209" s="52"/>
      <c r="X209" s="52"/>
      <c r="Y209" s="52"/>
      <c r="Z209" s="46" t="s">
        <v>856</v>
      </c>
    </row>
    <row r="210" spans="1:26">
      <c r="A210" s="49">
        <v>44363</v>
      </c>
      <c r="B210" s="48">
        <v>202106161055</v>
      </c>
      <c r="C210" s="46" t="s">
        <v>3350</v>
      </c>
      <c r="D210" s="46" t="s">
        <v>3467</v>
      </c>
      <c r="E210" s="46" t="s">
        <v>858</v>
      </c>
      <c r="F210" s="46" t="s">
        <v>3348</v>
      </c>
      <c r="G210" s="46" t="s">
        <v>633</v>
      </c>
      <c r="H210" s="47">
        <v>4714781020817</v>
      </c>
      <c r="I210" s="46" t="s">
        <v>3266</v>
      </c>
      <c r="J210" s="46" t="s">
        <v>3160</v>
      </c>
      <c r="K210" s="46">
        <v>1</v>
      </c>
      <c r="L210" s="46">
        <v>120</v>
      </c>
      <c r="N210" s="46" t="s">
        <v>1317</v>
      </c>
      <c r="O210" s="52"/>
      <c r="P210" s="52">
        <v>1646</v>
      </c>
      <c r="Q210" s="52" t="s">
        <v>633</v>
      </c>
      <c r="R210" s="52" t="s">
        <v>634</v>
      </c>
      <c r="T210" s="52">
        <v>180997</v>
      </c>
      <c r="U210" s="52" t="s">
        <v>859</v>
      </c>
      <c r="V210" s="52" t="s">
        <v>860</v>
      </c>
      <c r="W210" s="52"/>
      <c r="X210" s="52"/>
      <c r="Y210" s="52"/>
      <c r="Z210" s="46" t="s">
        <v>856</v>
      </c>
    </row>
    <row r="211" spans="1:26">
      <c r="A211" s="49">
        <v>44363</v>
      </c>
      <c r="B211" s="48">
        <v>202106161055</v>
      </c>
      <c r="C211" s="46" t="s">
        <v>3350</v>
      </c>
      <c r="D211" s="46" t="s">
        <v>3467</v>
      </c>
      <c r="E211" s="46" t="s">
        <v>858</v>
      </c>
      <c r="F211" s="46" t="s">
        <v>3348</v>
      </c>
      <c r="G211" s="46" t="s">
        <v>633</v>
      </c>
      <c r="H211" s="47">
        <v>4714781021043</v>
      </c>
      <c r="I211" s="46" t="s">
        <v>3230</v>
      </c>
      <c r="J211" s="46" t="s">
        <v>3160</v>
      </c>
      <c r="K211" s="46">
        <v>1</v>
      </c>
      <c r="L211" s="46">
        <v>150</v>
      </c>
      <c r="N211" s="46" t="s">
        <v>864</v>
      </c>
      <c r="P211" s="52">
        <v>1646</v>
      </c>
      <c r="Q211" s="52" t="s">
        <v>633</v>
      </c>
      <c r="R211" s="52" t="s">
        <v>634</v>
      </c>
      <c r="T211" s="52">
        <v>180997</v>
      </c>
      <c r="U211" s="52" t="s">
        <v>859</v>
      </c>
      <c r="V211" s="52" t="s">
        <v>860</v>
      </c>
      <c r="W211" s="52"/>
      <c r="X211" s="52"/>
      <c r="Y211" s="52"/>
      <c r="Z211" s="46" t="s">
        <v>856</v>
      </c>
    </row>
    <row r="212" spans="1:26">
      <c r="A212" s="49">
        <v>44363</v>
      </c>
      <c r="B212" s="48">
        <v>202106161055</v>
      </c>
      <c r="C212" s="46" t="s">
        <v>3350</v>
      </c>
      <c r="D212" s="46" t="s">
        <v>3467</v>
      </c>
      <c r="E212" s="46" t="s">
        <v>858</v>
      </c>
      <c r="F212" s="46" t="s">
        <v>3348</v>
      </c>
      <c r="G212" s="46" t="s">
        <v>633</v>
      </c>
      <c r="H212" s="47">
        <v>4714781020954</v>
      </c>
      <c r="I212" s="46" t="s">
        <v>3251</v>
      </c>
      <c r="J212" s="46" t="s">
        <v>3160</v>
      </c>
      <c r="K212" s="46">
        <v>1</v>
      </c>
      <c r="L212" s="46">
        <v>145</v>
      </c>
      <c r="N212" s="46" t="s">
        <v>361</v>
      </c>
      <c r="P212" s="52">
        <v>1646</v>
      </c>
      <c r="Q212" s="52" t="s">
        <v>633</v>
      </c>
      <c r="R212" s="52" t="s">
        <v>634</v>
      </c>
      <c r="T212" s="52">
        <v>180997</v>
      </c>
      <c r="U212" s="52" t="s">
        <v>859</v>
      </c>
      <c r="V212" s="52" t="s">
        <v>860</v>
      </c>
      <c r="W212" s="52"/>
      <c r="X212" s="52"/>
      <c r="Y212" s="52"/>
      <c r="Z212" s="46" t="s">
        <v>856</v>
      </c>
    </row>
    <row r="213" spans="1:26">
      <c r="A213" s="49">
        <v>44363</v>
      </c>
      <c r="B213" s="48">
        <v>202106161055</v>
      </c>
      <c r="C213" s="46" t="s">
        <v>3350</v>
      </c>
      <c r="D213" s="46" t="s">
        <v>3467</v>
      </c>
      <c r="E213" s="46" t="s">
        <v>858</v>
      </c>
      <c r="F213" s="46" t="s">
        <v>3348</v>
      </c>
      <c r="G213" s="46" t="s">
        <v>633</v>
      </c>
      <c r="H213" s="47">
        <v>4714781021609</v>
      </c>
      <c r="I213" s="46" t="s">
        <v>3183</v>
      </c>
      <c r="J213" s="46" t="s">
        <v>3160</v>
      </c>
      <c r="K213" s="46">
        <v>1</v>
      </c>
      <c r="L213" s="46">
        <v>133</v>
      </c>
      <c r="N213" s="46" t="s">
        <v>1454</v>
      </c>
      <c r="P213" s="52">
        <v>1646</v>
      </c>
      <c r="Q213" s="52" t="s">
        <v>633</v>
      </c>
      <c r="R213" s="52" t="s">
        <v>634</v>
      </c>
      <c r="T213" s="52">
        <v>180997</v>
      </c>
      <c r="U213" s="52" t="s">
        <v>859</v>
      </c>
      <c r="V213" s="52" t="s">
        <v>860</v>
      </c>
      <c r="W213" s="52"/>
      <c r="X213" s="52"/>
      <c r="Y213" s="52"/>
      <c r="Z213" s="46" t="s">
        <v>856</v>
      </c>
    </row>
    <row r="214" spans="1:26">
      <c r="A214" s="49">
        <v>44363</v>
      </c>
      <c r="B214" s="48">
        <v>202106161055</v>
      </c>
      <c r="C214" s="46" t="s">
        <v>3350</v>
      </c>
      <c r="D214" s="46" t="s">
        <v>3467</v>
      </c>
      <c r="E214" s="46" t="s">
        <v>858</v>
      </c>
      <c r="F214" s="46" t="s">
        <v>3348</v>
      </c>
      <c r="G214" s="46" t="s">
        <v>633</v>
      </c>
      <c r="H214" s="47">
        <v>4714781021593</v>
      </c>
      <c r="I214" s="46" t="s">
        <v>3183</v>
      </c>
      <c r="J214" s="46" t="s">
        <v>3160</v>
      </c>
      <c r="K214" s="46">
        <v>1</v>
      </c>
      <c r="L214" s="46">
        <v>133</v>
      </c>
      <c r="N214" s="46" t="s">
        <v>1453</v>
      </c>
      <c r="O214" s="52"/>
      <c r="P214" s="52">
        <v>1646</v>
      </c>
      <c r="Q214" s="52" t="s">
        <v>633</v>
      </c>
      <c r="R214" s="52" t="s">
        <v>634</v>
      </c>
      <c r="T214" s="52">
        <v>180997</v>
      </c>
      <c r="U214" s="52" t="s">
        <v>859</v>
      </c>
      <c r="V214" s="52" t="s">
        <v>860</v>
      </c>
      <c r="W214" s="52"/>
      <c r="X214" s="52"/>
      <c r="Y214" s="52"/>
      <c r="Z214" s="46" t="s">
        <v>856</v>
      </c>
    </row>
    <row r="215" spans="1:26">
      <c r="A215" s="49">
        <v>44363</v>
      </c>
      <c r="B215" s="48">
        <v>202106161055</v>
      </c>
      <c r="C215" s="46" t="s">
        <v>3350</v>
      </c>
      <c r="D215" s="46" t="s">
        <v>3467</v>
      </c>
      <c r="E215" s="46" t="s">
        <v>858</v>
      </c>
      <c r="F215" s="46" t="s">
        <v>3348</v>
      </c>
      <c r="G215" s="46" t="s">
        <v>633</v>
      </c>
      <c r="H215" s="47">
        <v>4714781021029</v>
      </c>
      <c r="I215" s="46" t="s">
        <v>3234</v>
      </c>
      <c r="J215" s="46" t="s">
        <v>3160</v>
      </c>
      <c r="K215" s="46">
        <v>1</v>
      </c>
      <c r="L215" s="46">
        <v>133</v>
      </c>
      <c r="N215" s="46" t="s">
        <v>1452</v>
      </c>
      <c r="O215" s="52"/>
      <c r="P215" s="52">
        <v>1646</v>
      </c>
      <c r="Q215" s="52" t="s">
        <v>633</v>
      </c>
      <c r="R215" s="52" t="s">
        <v>634</v>
      </c>
      <c r="T215" s="52">
        <v>180997</v>
      </c>
      <c r="U215" s="52" t="s">
        <v>859</v>
      </c>
      <c r="V215" s="52" t="s">
        <v>860</v>
      </c>
      <c r="W215" s="52"/>
      <c r="X215" s="52"/>
      <c r="Y215" s="52"/>
      <c r="Z215" s="46" t="s">
        <v>856</v>
      </c>
    </row>
    <row r="216" spans="1:26">
      <c r="A216" s="49">
        <v>44363</v>
      </c>
      <c r="B216" s="48">
        <v>202106161056</v>
      </c>
      <c r="C216" s="46" t="s">
        <v>3350</v>
      </c>
      <c r="D216" s="46" t="s">
        <v>3466</v>
      </c>
      <c r="E216" s="46" t="s">
        <v>103</v>
      </c>
      <c r="F216" s="46" t="s">
        <v>3348</v>
      </c>
      <c r="G216" s="46" t="s">
        <v>39</v>
      </c>
      <c r="H216" s="47" t="s">
        <v>1341</v>
      </c>
      <c r="I216" s="46" t="s">
        <v>3309</v>
      </c>
      <c r="J216" s="46" t="s">
        <v>3160</v>
      </c>
      <c r="K216" s="46">
        <v>2</v>
      </c>
      <c r="L216" s="46">
        <v>724</v>
      </c>
      <c r="N216" s="46" t="s">
        <v>1340</v>
      </c>
      <c r="P216" s="52">
        <v>956</v>
      </c>
      <c r="Q216" s="52" t="s">
        <v>39</v>
      </c>
      <c r="R216" s="52" t="s">
        <v>59</v>
      </c>
      <c r="T216" s="52"/>
      <c r="U216" s="52"/>
      <c r="V216" s="52"/>
      <c r="W216" s="52">
        <v>800</v>
      </c>
      <c r="X216" s="52" t="s">
        <v>107</v>
      </c>
      <c r="Y216" s="52"/>
      <c r="Z216" s="46" t="s">
        <v>202</v>
      </c>
    </row>
    <row r="217" spans="1:26">
      <c r="A217" s="49">
        <v>44363</v>
      </c>
      <c r="B217" s="48">
        <v>202106161056</v>
      </c>
      <c r="C217" s="46" t="s">
        <v>3350</v>
      </c>
      <c r="D217" s="46" t="s">
        <v>3466</v>
      </c>
      <c r="E217" s="46" t="s">
        <v>103</v>
      </c>
      <c r="F217" s="46" t="s">
        <v>3348</v>
      </c>
      <c r="G217" s="46" t="s">
        <v>39</v>
      </c>
      <c r="H217" s="47" t="s">
        <v>1339</v>
      </c>
      <c r="I217" s="46" t="s">
        <v>3308</v>
      </c>
      <c r="J217" s="46" t="s">
        <v>3160</v>
      </c>
      <c r="K217" s="46">
        <v>2</v>
      </c>
      <c r="L217" s="46">
        <v>232</v>
      </c>
      <c r="N217" s="46" t="s">
        <v>1338</v>
      </c>
      <c r="P217" s="52">
        <v>956</v>
      </c>
      <c r="Q217" s="52" t="s">
        <v>39</v>
      </c>
      <c r="R217" s="52" t="s">
        <v>59</v>
      </c>
      <c r="T217" s="52"/>
      <c r="U217" s="52"/>
      <c r="V217" s="52"/>
      <c r="W217" s="52">
        <v>800</v>
      </c>
      <c r="X217" s="52" t="s">
        <v>107</v>
      </c>
      <c r="Y217" s="52"/>
      <c r="Z217" s="46" t="s">
        <v>202</v>
      </c>
    </row>
    <row r="218" spans="1:26">
      <c r="A218" s="49">
        <v>44363</v>
      </c>
      <c r="B218" s="48">
        <v>202106161057</v>
      </c>
      <c r="C218" s="46" t="s">
        <v>3350</v>
      </c>
      <c r="D218" s="46" t="s">
        <v>3465</v>
      </c>
      <c r="E218" s="46" t="s">
        <v>869</v>
      </c>
      <c r="F218" s="46" t="s">
        <v>3348</v>
      </c>
      <c r="G218" s="46" t="s">
        <v>633</v>
      </c>
      <c r="H218" s="47" t="s">
        <v>1512</v>
      </c>
      <c r="I218" s="46" t="s">
        <v>3194</v>
      </c>
      <c r="J218" s="46" t="s">
        <v>3160</v>
      </c>
      <c r="K218" s="46">
        <v>1</v>
      </c>
      <c r="L218" s="46">
        <v>128</v>
      </c>
      <c r="N218" s="46" t="s">
        <v>1511</v>
      </c>
      <c r="P218" s="52">
        <v>1336</v>
      </c>
      <c r="Q218" s="52" t="s">
        <v>633</v>
      </c>
      <c r="R218" s="52" t="s">
        <v>634</v>
      </c>
      <c r="T218" s="52">
        <v>189503</v>
      </c>
      <c r="U218" s="52" t="s">
        <v>870</v>
      </c>
      <c r="V218" s="52" t="s">
        <v>871</v>
      </c>
      <c r="W218" s="52"/>
      <c r="X218" s="52"/>
      <c r="Y218" s="52"/>
      <c r="Z218" s="46" t="s">
        <v>867</v>
      </c>
    </row>
    <row r="219" spans="1:26">
      <c r="A219" s="49">
        <v>44363</v>
      </c>
      <c r="B219" s="48">
        <v>202106161057</v>
      </c>
      <c r="C219" s="46" t="s">
        <v>3350</v>
      </c>
      <c r="D219" s="46" t="s">
        <v>3465</v>
      </c>
      <c r="E219" s="46" t="s">
        <v>869</v>
      </c>
      <c r="F219" s="46" t="s">
        <v>3348</v>
      </c>
      <c r="G219" s="46" t="s">
        <v>633</v>
      </c>
      <c r="H219" s="47" t="s">
        <v>1517</v>
      </c>
      <c r="I219" s="46" t="s">
        <v>3295</v>
      </c>
      <c r="J219" s="46" t="s">
        <v>3160</v>
      </c>
      <c r="K219" s="46">
        <v>1</v>
      </c>
      <c r="L219" s="46">
        <v>128</v>
      </c>
      <c r="N219" s="46" t="s">
        <v>1516</v>
      </c>
      <c r="P219" s="52">
        <v>1336</v>
      </c>
      <c r="Q219" s="52" t="s">
        <v>633</v>
      </c>
      <c r="R219" s="52" t="s">
        <v>634</v>
      </c>
      <c r="T219" s="52">
        <v>189503</v>
      </c>
      <c r="U219" s="52" t="s">
        <v>870</v>
      </c>
      <c r="V219" s="52" t="s">
        <v>871</v>
      </c>
      <c r="W219" s="52"/>
      <c r="X219" s="52"/>
      <c r="Y219" s="52"/>
      <c r="Z219" s="46" t="s">
        <v>867</v>
      </c>
    </row>
    <row r="220" spans="1:26">
      <c r="A220" s="49">
        <v>44363</v>
      </c>
      <c r="B220" s="48">
        <v>202106161057</v>
      </c>
      <c r="C220" s="46" t="s">
        <v>3350</v>
      </c>
      <c r="D220" s="46" t="s">
        <v>3465</v>
      </c>
      <c r="E220" s="46" t="s">
        <v>869</v>
      </c>
      <c r="F220" s="46" t="s">
        <v>3348</v>
      </c>
      <c r="G220" s="46" t="s">
        <v>633</v>
      </c>
      <c r="H220" s="47" t="s">
        <v>1514</v>
      </c>
      <c r="I220" s="46" t="s">
        <v>3295</v>
      </c>
      <c r="J220" s="46" t="s">
        <v>3160</v>
      </c>
      <c r="K220" s="46">
        <v>1</v>
      </c>
      <c r="L220" s="46">
        <v>127</v>
      </c>
      <c r="N220" s="46" t="s">
        <v>1513</v>
      </c>
      <c r="P220" s="52">
        <v>1336</v>
      </c>
      <c r="Q220" s="52" t="s">
        <v>633</v>
      </c>
      <c r="R220" s="52" t="s">
        <v>634</v>
      </c>
      <c r="T220" s="52">
        <v>189503</v>
      </c>
      <c r="U220" s="52" t="s">
        <v>870</v>
      </c>
      <c r="V220" s="52" t="s">
        <v>871</v>
      </c>
      <c r="W220" s="52"/>
      <c r="X220" s="52"/>
      <c r="Y220" s="52"/>
      <c r="Z220" s="46" t="s">
        <v>867</v>
      </c>
    </row>
    <row r="221" spans="1:26">
      <c r="A221" s="49">
        <v>44363</v>
      </c>
      <c r="B221" s="48">
        <v>202106161057</v>
      </c>
      <c r="C221" s="46" t="s">
        <v>3350</v>
      </c>
      <c r="D221" s="46" t="s">
        <v>3465</v>
      </c>
      <c r="E221" s="46" t="s">
        <v>869</v>
      </c>
      <c r="F221" s="46" t="s">
        <v>3348</v>
      </c>
      <c r="G221" s="46" t="s">
        <v>633</v>
      </c>
      <c r="H221" s="47">
        <v>4714781021609</v>
      </c>
      <c r="I221" s="46" t="s">
        <v>3183</v>
      </c>
      <c r="J221" s="46" t="s">
        <v>3160</v>
      </c>
      <c r="K221" s="46">
        <v>2</v>
      </c>
      <c r="L221" s="46">
        <v>298</v>
      </c>
      <c r="N221" s="46" t="s">
        <v>474</v>
      </c>
      <c r="P221" s="52">
        <v>1336</v>
      </c>
      <c r="Q221" s="52" t="s">
        <v>633</v>
      </c>
      <c r="R221" s="52" t="s">
        <v>634</v>
      </c>
      <c r="T221" s="52">
        <v>189503</v>
      </c>
      <c r="U221" s="52" t="s">
        <v>870</v>
      </c>
      <c r="V221" s="52" t="s">
        <v>871</v>
      </c>
      <c r="W221" s="52"/>
      <c r="X221" s="52"/>
      <c r="Y221" s="52"/>
      <c r="Z221" s="46" t="s">
        <v>867</v>
      </c>
    </row>
    <row r="222" spans="1:26">
      <c r="A222" s="49">
        <v>44363</v>
      </c>
      <c r="B222" s="48">
        <v>202106161057</v>
      </c>
      <c r="C222" s="46" t="s">
        <v>3350</v>
      </c>
      <c r="D222" s="46" t="s">
        <v>3465</v>
      </c>
      <c r="E222" s="46" t="s">
        <v>869</v>
      </c>
      <c r="F222" s="46" t="s">
        <v>3348</v>
      </c>
      <c r="G222" s="46" t="s">
        <v>633</v>
      </c>
      <c r="H222" s="47">
        <v>4714781021593</v>
      </c>
      <c r="I222" s="46" t="s">
        <v>3183</v>
      </c>
      <c r="J222" s="46" t="s">
        <v>3160</v>
      </c>
      <c r="K222" s="46">
        <v>2</v>
      </c>
      <c r="L222" s="46">
        <v>298</v>
      </c>
      <c r="N222" s="46" t="s">
        <v>69</v>
      </c>
      <c r="P222" s="52">
        <v>1336</v>
      </c>
      <c r="Q222" s="52" t="s">
        <v>633</v>
      </c>
      <c r="R222" s="52" t="s">
        <v>634</v>
      </c>
      <c r="T222" s="52">
        <v>189503</v>
      </c>
      <c r="U222" s="52" t="s">
        <v>870</v>
      </c>
      <c r="V222" s="52" t="s">
        <v>871</v>
      </c>
      <c r="W222" s="52"/>
      <c r="X222" s="52"/>
      <c r="Y222" s="52"/>
      <c r="Z222" s="46" t="s">
        <v>867</v>
      </c>
    </row>
    <row r="223" spans="1:26">
      <c r="A223" s="49">
        <v>44363</v>
      </c>
      <c r="B223" s="48">
        <v>202106161057</v>
      </c>
      <c r="C223" s="46" t="s">
        <v>3350</v>
      </c>
      <c r="D223" s="46" t="s">
        <v>3465</v>
      </c>
      <c r="E223" s="46" t="s">
        <v>869</v>
      </c>
      <c r="F223" s="46" t="s">
        <v>3348</v>
      </c>
      <c r="G223" s="46" t="s">
        <v>633</v>
      </c>
      <c r="H223" s="47">
        <v>4714781021029</v>
      </c>
      <c r="I223" s="46" t="s">
        <v>3234</v>
      </c>
      <c r="J223" s="46" t="s">
        <v>3160</v>
      </c>
      <c r="K223" s="46">
        <v>2</v>
      </c>
      <c r="L223" s="46">
        <v>298</v>
      </c>
      <c r="N223" s="46" t="s">
        <v>519</v>
      </c>
      <c r="P223" s="52">
        <v>1336</v>
      </c>
      <c r="Q223" s="52" t="s">
        <v>633</v>
      </c>
      <c r="R223" s="52" t="s">
        <v>634</v>
      </c>
      <c r="T223" s="52">
        <v>189503</v>
      </c>
      <c r="U223" s="52" t="s">
        <v>870</v>
      </c>
      <c r="V223" s="52" t="s">
        <v>871</v>
      </c>
      <c r="W223" s="52"/>
      <c r="X223" s="52"/>
      <c r="Y223" s="52"/>
      <c r="Z223" s="46" t="s">
        <v>867</v>
      </c>
    </row>
    <row r="224" spans="1:26">
      <c r="A224" s="49">
        <v>44363</v>
      </c>
      <c r="B224" s="48">
        <v>202106161057</v>
      </c>
      <c r="C224" s="46" t="s">
        <v>3350</v>
      </c>
      <c r="D224" s="46" t="s">
        <v>3465</v>
      </c>
      <c r="E224" s="46" t="s">
        <v>869</v>
      </c>
      <c r="F224" s="46" t="s">
        <v>3348</v>
      </c>
      <c r="G224" s="46" t="s">
        <v>633</v>
      </c>
      <c r="H224" s="47">
        <v>4714781021241</v>
      </c>
      <c r="I224" s="46" t="s">
        <v>3215</v>
      </c>
      <c r="J224" s="46" t="s">
        <v>3160</v>
      </c>
      <c r="K224" s="46">
        <v>1</v>
      </c>
      <c r="L224" s="46">
        <v>59</v>
      </c>
      <c r="N224" s="46" t="s">
        <v>872</v>
      </c>
      <c r="O224" s="52"/>
      <c r="P224" s="52">
        <v>1336</v>
      </c>
      <c r="Q224" s="52" t="s">
        <v>633</v>
      </c>
      <c r="R224" s="52" t="s">
        <v>634</v>
      </c>
      <c r="T224" s="52">
        <v>189503</v>
      </c>
      <c r="U224" s="52" t="s">
        <v>870</v>
      </c>
      <c r="V224" s="52" t="s">
        <v>871</v>
      </c>
      <c r="W224" s="52"/>
      <c r="X224" s="52"/>
      <c r="Y224" s="52"/>
      <c r="Z224" s="46" t="s">
        <v>867</v>
      </c>
    </row>
    <row r="225" spans="1:26">
      <c r="A225" s="49">
        <v>44363</v>
      </c>
      <c r="B225" s="48">
        <v>202106161058</v>
      </c>
      <c r="C225" s="46" t="s">
        <v>3350</v>
      </c>
      <c r="D225" s="46" t="s">
        <v>3464</v>
      </c>
      <c r="E225" s="46" t="s">
        <v>876</v>
      </c>
      <c r="F225" s="46" t="s">
        <v>3348</v>
      </c>
      <c r="G225" s="46" t="s">
        <v>633</v>
      </c>
      <c r="H225" s="47" t="s">
        <v>1510</v>
      </c>
      <c r="I225" s="46" t="s">
        <v>3168</v>
      </c>
      <c r="J225" s="46" t="s">
        <v>3160</v>
      </c>
      <c r="K225" s="46">
        <v>1</v>
      </c>
      <c r="L225" s="46">
        <v>296</v>
      </c>
      <c r="N225" s="46" t="s">
        <v>1509</v>
      </c>
      <c r="O225" s="52"/>
      <c r="P225" s="52">
        <v>888</v>
      </c>
      <c r="Q225" s="52" t="s">
        <v>633</v>
      </c>
      <c r="R225" s="52" t="s">
        <v>40</v>
      </c>
      <c r="T225" s="52">
        <v>182731</v>
      </c>
      <c r="U225" s="52" t="s">
        <v>877</v>
      </c>
      <c r="V225" s="52" t="s">
        <v>878</v>
      </c>
      <c r="W225" s="52"/>
      <c r="X225" s="52"/>
      <c r="Y225" s="52"/>
      <c r="Z225" s="46" t="s">
        <v>874</v>
      </c>
    </row>
    <row r="226" spans="1:26">
      <c r="A226" s="49">
        <v>44363</v>
      </c>
      <c r="B226" s="48">
        <v>202106161058</v>
      </c>
      <c r="C226" s="46" t="s">
        <v>3350</v>
      </c>
      <c r="D226" s="46" t="s">
        <v>3464</v>
      </c>
      <c r="E226" s="46" t="s">
        <v>876</v>
      </c>
      <c r="F226" s="46" t="s">
        <v>3348</v>
      </c>
      <c r="G226" s="46" t="s">
        <v>633</v>
      </c>
      <c r="H226" s="47" t="s">
        <v>1508</v>
      </c>
      <c r="I226" s="46" t="s">
        <v>3166</v>
      </c>
      <c r="J226" s="46" t="s">
        <v>3160</v>
      </c>
      <c r="K226" s="46">
        <v>1</v>
      </c>
      <c r="L226" s="46">
        <v>296</v>
      </c>
      <c r="N226" s="46" t="s">
        <v>1507</v>
      </c>
      <c r="P226" s="52">
        <v>888</v>
      </c>
      <c r="Q226" s="52" t="s">
        <v>633</v>
      </c>
      <c r="R226" s="52" t="s">
        <v>40</v>
      </c>
      <c r="T226" s="52">
        <v>182731</v>
      </c>
      <c r="U226" s="52" t="s">
        <v>877</v>
      </c>
      <c r="V226" s="52" t="s">
        <v>878</v>
      </c>
      <c r="W226" s="52"/>
      <c r="X226" s="52"/>
      <c r="Y226" s="52"/>
      <c r="Z226" s="46" t="s">
        <v>874</v>
      </c>
    </row>
    <row r="227" spans="1:26">
      <c r="A227" s="49">
        <v>44363</v>
      </c>
      <c r="B227" s="48">
        <v>202106161058</v>
      </c>
      <c r="C227" s="46" t="s">
        <v>3350</v>
      </c>
      <c r="D227" s="46" t="s">
        <v>3464</v>
      </c>
      <c r="E227" s="46" t="s">
        <v>876</v>
      </c>
      <c r="F227" s="46" t="s">
        <v>3348</v>
      </c>
      <c r="G227" s="46" t="s">
        <v>633</v>
      </c>
      <c r="H227" s="47" t="s">
        <v>1506</v>
      </c>
      <c r="I227" s="46" t="s">
        <v>3166</v>
      </c>
      <c r="J227" s="46" t="s">
        <v>3160</v>
      </c>
      <c r="K227" s="46">
        <v>1</v>
      </c>
      <c r="L227" s="46">
        <v>296</v>
      </c>
      <c r="N227" s="46" t="s">
        <v>1505</v>
      </c>
      <c r="P227" s="52">
        <v>888</v>
      </c>
      <c r="Q227" s="52" t="s">
        <v>633</v>
      </c>
      <c r="R227" s="52" t="s">
        <v>40</v>
      </c>
      <c r="T227" s="52">
        <v>182731</v>
      </c>
      <c r="U227" s="52" t="s">
        <v>877</v>
      </c>
      <c r="V227" s="52" t="s">
        <v>878</v>
      </c>
      <c r="W227" s="52"/>
      <c r="X227" s="52"/>
      <c r="Y227" s="52"/>
      <c r="Z227" s="46" t="s">
        <v>874</v>
      </c>
    </row>
    <row r="228" spans="1:26">
      <c r="A228" s="49">
        <v>44363</v>
      </c>
      <c r="B228" s="48">
        <v>202106161059</v>
      </c>
      <c r="C228" s="46" t="s">
        <v>3350</v>
      </c>
      <c r="D228" s="46" t="s">
        <v>3462</v>
      </c>
      <c r="E228" s="46" t="s">
        <v>882</v>
      </c>
      <c r="F228" s="46" t="s">
        <v>3348</v>
      </c>
      <c r="G228" s="46" t="s">
        <v>633</v>
      </c>
      <c r="H228" s="47">
        <v>4714781020824</v>
      </c>
      <c r="I228" s="46" t="s">
        <v>3261</v>
      </c>
      <c r="J228" s="46" t="s">
        <v>3160</v>
      </c>
      <c r="K228" s="46">
        <v>2</v>
      </c>
      <c r="L228" s="46">
        <v>658</v>
      </c>
      <c r="N228" s="46" t="s">
        <v>3463</v>
      </c>
      <c r="P228" s="52">
        <v>1599</v>
      </c>
      <c r="Q228" s="52" t="s">
        <v>633</v>
      </c>
      <c r="R228" s="52" t="s">
        <v>634</v>
      </c>
      <c r="T228" s="52">
        <v>212209</v>
      </c>
      <c r="U228" s="52" t="s">
        <v>887</v>
      </c>
      <c r="V228" s="52" t="s">
        <v>888</v>
      </c>
      <c r="W228" s="52"/>
      <c r="X228" s="52"/>
      <c r="Y228" s="52"/>
      <c r="Z228" s="46" t="s">
        <v>880</v>
      </c>
    </row>
    <row r="229" spans="1:26">
      <c r="A229" s="49">
        <v>44363</v>
      </c>
      <c r="B229" s="48">
        <v>202106161059</v>
      </c>
      <c r="C229" s="46" t="s">
        <v>3350</v>
      </c>
      <c r="D229" s="46" t="s">
        <v>3462</v>
      </c>
      <c r="E229" s="46" t="s">
        <v>882</v>
      </c>
      <c r="F229" s="46" t="s">
        <v>3348</v>
      </c>
      <c r="G229" s="46" t="s">
        <v>633</v>
      </c>
      <c r="H229" s="47">
        <v>4714781020831</v>
      </c>
      <c r="I229" s="46" t="s">
        <v>3215</v>
      </c>
      <c r="J229" s="46" t="s">
        <v>3160</v>
      </c>
      <c r="K229" s="46">
        <v>3</v>
      </c>
      <c r="L229" s="46">
        <v>941</v>
      </c>
      <c r="N229" s="46" t="s">
        <v>3461</v>
      </c>
      <c r="P229" s="52">
        <v>1599</v>
      </c>
      <c r="Q229" s="52" t="s">
        <v>633</v>
      </c>
      <c r="R229" s="52" t="s">
        <v>634</v>
      </c>
      <c r="T229" s="52">
        <v>212209</v>
      </c>
      <c r="U229" s="52" t="s">
        <v>887</v>
      </c>
      <c r="V229" s="52" t="s">
        <v>888</v>
      </c>
      <c r="W229" s="52"/>
      <c r="X229" s="52"/>
      <c r="Y229" s="52"/>
      <c r="Z229" s="46" t="s">
        <v>880</v>
      </c>
    </row>
    <row r="230" spans="1:26">
      <c r="A230" s="49">
        <v>44363</v>
      </c>
      <c r="B230" s="48">
        <v>202106161060</v>
      </c>
      <c r="C230" s="46" t="s">
        <v>3350</v>
      </c>
      <c r="D230" s="46" t="s">
        <v>3460</v>
      </c>
      <c r="E230" s="46" t="s">
        <v>894</v>
      </c>
      <c r="F230" s="46" t="s">
        <v>3348</v>
      </c>
      <c r="G230" s="46" t="s">
        <v>633</v>
      </c>
      <c r="H230" s="47" t="s">
        <v>1493</v>
      </c>
      <c r="I230" s="46" t="s">
        <v>3276</v>
      </c>
      <c r="J230" s="46" t="s">
        <v>3160</v>
      </c>
      <c r="K230" s="46">
        <v>1</v>
      </c>
      <c r="L230" s="46">
        <v>140</v>
      </c>
      <c r="N230" s="46" t="s">
        <v>1492</v>
      </c>
      <c r="P230" s="52">
        <v>345</v>
      </c>
      <c r="Q230" s="52" t="s">
        <v>633</v>
      </c>
      <c r="R230" s="52" t="s">
        <v>634</v>
      </c>
      <c r="T230" s="52">
        <v>943895</v>
      </c>
      <c r="U230" s="52" t="s">
        <v>895</v>
      </c>
      <c r="V230" s="52" t="s">
        <v>896</v>
      </c>
      <c r="W230" s="52"/>
      <c r="X230" s="52"/>
      <c r="Y230" s="52"/>
      <c r="Z230" s="46" t="s">
        <v>892</v>
      </c>
    </row>
    <row r="231" spans="1:26">
      <c r="A231" s="49">
        <v>44363</v>
      </c>
      <c r="B231" s="48">
        <v>202106161060</v>
      </c>
      <c r="C231" s="46" t="s">
        <v>3350</v>
      </c>
      <c r="D231" s="46" t="s">
        <v>3460</v>
      </c>
      <c r="E231" s="46" t="s">
        <v>894</v>
      </c>
      <c r="F231" s="46" t="s">
        <v>3348</v>
      </c>
      <c r="G231" s="46" t="s">
        <v>633</v>
      </c>
      <c r="H231" s="47" t="s">
        <v>1491</v>
      </c>
      <c r="I231" s="46" t="s">
        <v>3273</v>
      </c>
      <c r="J231" s="46" t="s">
        <v>3160</v>
      </c>
      <c r="K231" s="46">
        <v>1</v>
      </c>
      <c r="L231" s="46">
        <v>140</v>
      </c>
      <c r="N231" s="46" t="s">
        <v>1490</v>
      </c>
      <c r="P231" s="52">
        <v>345</v>
      </c>
      <c r="Q231" s="52" t="s">
        <v>633</v>
      </c>
      <c r="R231" s="52" t="s">
        <v>634</v>
      </c>
      <c r="T231" s="52">
        <v>943895</v>
      </c>
      <c r="U231" s="52" t="s">
        <v>895</v>
      </c>
      <c r="V231" s="52" t="s">
        <v>896</v>
      </c>
      <c r="W231" s="52"/>
      <c r="X231" s="52"/>
      <c r="Y231" s="52"/>
      <c r="Z231" s="46" t="s">
        <v>892</v>
      </c>
    </row>
    <row r="232" spans="1:26">
      <c r="A232" s="49">
        <v>44363</v>
      </c>
      <c r="B232" s="48">
        <v>202106161060</v>
      </c>
      <c r="C232" s="46" t="s">
        <v>3350</v>
      </c>
      <c r="D232" s="46" t="s">
        <v>3460</v>
      </c>
      <c r="E232" s="46" t="s">
        <v>894</v>
      </c>
      <c r="F232" s="46" t="s">
        <v>3348</v>
      </c>
      <c r="G232" s="46" t="s">
        <v>633</v>
      </c>
      <c r="H232" s="47" t="s">
        <v>3347</v>
      </c>
      <c r="J232" s="46" t="s">
        <v>3346</v>
      </c>
      <c r="K232" s="46">
        <v>1</v>
      </c>
      <c r="L232" s="46">
        <v>65</v>
      </c>
      <c r="P232" s="52"/>
      <c r="Q232" s="52"/>
      <c r="R232" s="52"/>
      <c r="T232" s="52"/>
      <c r="U232" s="52"/>
      <c r="V232" s="52"/>
      <c r="W232" s="52"/>
      <c r="X232" s="52"/>
      <c r="Y232" s="52"/>
    </row>
    <row r="233" spans="1:26">
      <c r="A233" s="49">
        <v>44363</v>
      </c>
      <c r="B233" s="48">
        <v>202106161061</v>
      </c>
      <c r="C233" s="46" t="s">
        <v>3350</v>
      </c>
      <c r="D233" s="46" t="s">
        <v>3459</v>
      </c>
      <c r="E233" s="46" t="s">
        <v>900</v>
      </c>
      <c r="F233" s="46" t="s">
        <v>3348</v>
      </c>
      <c r="G233" s="46" t="s">
        <v>633</v>
      </c>
      <c r="H233" s="47">
        <v>4714781020268</v>
      </c>
      <c r="I233" s="46" t="s">
        <v>3309</v>
      </c>
      <c r="J233" s="46" t="s">
        <v>3160</v>
      </c>
      <c r="K233" s="46">
        <v>1</v>
      </c>
      <c r="L233" s="46">
        <v>430</v>
      </c>
      <c r="N233" s="46" t="s">
        <v>105</v>
      </c>
      <c r="P233" s="52">
        <v>495</v>
      </c>
      <c r="Q233" s="52" t="s">
        <v>633</v>
      </c>
      <c r="R233" s="52" t="s">
        <v>634</v>
      </c>
      <c r="T233" s="52">
        <v>215002</v>
      </c>
      <c r="U233" s="52" t="s">
        <v>901</v>
      </c>
      <c r="V233" s="52" t="s">
        <v>902</v>
      </c>
      <c r="W233" s="52"/>
      <c r="X233" s="52"/>
      <c r="Y233" s="52"/>
      <c r="Z233" s="46" t="s">
        <v>898</v>
      </c>
    </row>
    <row r="234" spans="1:26">
      <c r="A234" s="49">
        <v>44363</v>
      </c>
      <c r="B234" s="48">
        <v>202106161061</v>
      </c>
      <c r="C234" s="46" t="s">
        <v>3350</v>
      </c>
      <c r="D234" s="46" t="s">
        <v>3459</v>
      </c>
      <c r="E234" s="46" t="s">
        <v>900</v>
      </c>
      <c r="F234" s="46" t="s">
        <v>3348</v>
      </c>
      <c r="G234" s="46" t="s">
        <v>633</v>
      </c>
      <c r="H234" s="47" t="s">
        <v>3347</v>
      </c>
      <c r="J234" s="46" t="s">
        <v>3346</v>
      </c>
      <c r="K234" s="46">
        <v>1</v>
      </c>
      <c r="L234" s="46">
        <v>65</v>
      </c>
      <c r="P234" s="52"/>
      <c r="Q234" s="52"/>
      <c r="R234" s="52"/>
      <c r="T234" s="52"/>
      <c r="U234" s="52"/>
      <c r="V234" s="52"/>
      <c r="W234" s="52"/>
      <c r="X234" s="52"/>
      <c r="Y234" s="52"/>
    </row>
    <row r="235" spans="1:26">
      <c r="A235" s="49">
        <v>44363</v>
      </c>
      <c r="B235" s="48">
        <v>202106161062</v>
      </c>
      <c r="C235" s="46" t="s">
        <v>3350</v>
      </c>
      <c r="D235" s="46" t="s">
        <v>3458</v>
      </c>
      <c r="E235" s="46" t="s">
        <v>197</v>
      </c>
      <c r="F235" s="46" t="s">
        <v>3348</v>
      </c>
      <c r="G235" s="46" t="s">
        <v>39</v>
      </c>
      <c r="H235" s="47">
        <v>4714781020824</v>
      </c>
      <c r="I235" s="46" t="s">
        <v>3261</v>
      </c>
      <c r="J235" s="46" t="s">
        <v>3160</v>
      </c>
      <c r="K235" s="46">
        <v>1</v>
      </c>
      <c r="L235" s="46">
        <v>303</v>
      </c>
      <c r="N235" s="46" t="s">
        <v>1322</v>
      </c>
      <c r="P235" s="52">
        <v>958</v>
      </c>
      <c r="Q235" s="52" t="s">
        <v>39</v>
      </c>
      <c r="R235" s="52" t="s">
        <v>59</v>
      </c>
      <c r="T235" s="52"/>
      <c r="U235" s="52"/>
      <c r="V235" s="52"/>
      <c r="W235" s="52">
        <v>335</v>
      </c>
      <c r="X235" s="52" t="s">
        <v>200</v>
      </c>
      <c r="Y235" s="52"/>
      <c r="Z235" s="46" t="s">
        <v>195</v>
      </c>
    </row>
    <row r="236" spans="1:26">
      <c r="A236" s="49">
        <v>44363</v>
      </c>
      <c r="B236" s="48">
        <v>202106161062</v>
      </c>
      <c r="C236" s="46" t="s">
        <v>3350</v>
      </c>
      <c r="D236" s="46" t="s">
        <v>3458</v>
      </c>
      <c r="E236" s="46" t="s">
        <v>197</v>
      </c>
      <c r="F236" s="46" t="s">
        <v>3348</v>
      </c>
      <c r="G236" s="46" t="s">
        <v>39</v>
      </c>
      <c r="H236" s="47">
        <v>4714781020794</v>
      </c>
      <c r="I236" s="46" t="s">
        <v>3266</v>
      </c>
      <c r="J236" s="46" t="s">
        <v>3160</v>
      </c>
      <c r="K236" s="46">
        <v>1</v>
      </c>
      <c r="L236" s="46">
        <v>107</v>
      </c>
      <c r="N236" s="46" t="s">
        <v>1320</v>
      </c>
      <c r="P236" s="52">
        <v>958</v>
      </c>
      <c r="Q236" s="52" t="s">
        <v>39</v>
      </c>
      <c r="R236" s="52" t="s">
        <v>59</v>
      </c>
      <c r="T236" s="52"/>
      <c r="U236" s="52"/>
      <c r="V236" s="52"/>
      <c r="W236" s="52">
        <v>335</v>
      </c>
      <c r="X236" s="52" t="s">
        <v>200</v>
      </c>
      <c r="Y236" s="52"/>
      <c r="Z236" s="46" t="s">
        <v>195</v>
      </c>
    </row>
    <row r="237" spans="1:26">
      <c r="A237" s="49">
        <v>44363</v>
      </c>
      <c r="B237" s="48">
        <v>202106161062</v>
      </c>
      <c r="C237" s="46" t="s">
        <v>3350</v>
      </c>
      <c r="D237" s="46" t="s">
        <v>3458</v>
      </c>
      <c r="E237" s="46" t="s">
        <v>197</v>
      </c>
      <c r="F237" s="46" t="s">
        <v>3348</v>
      </c>
      <c r="G237" s="46" t="s">
        <v>39</v>
      </c>
      <c r="H237" s="47">
        <v>4714781021609</v>
      </c>
      <c r="I237" s="46" t="s">
        <v>3183</v>
      </c>
      <c r="J237" s="46" t="s">
        <v>3160</v>
      </c>
      <c r="K237" s="46">
        <v>1</v>
      </c>
      <c r="L237" s="46">
        <v>133</v>
      </c>
      <c r="N237" s="46" t="s">
        <v>1454</v>
      </c>
      <c r="P237" s="52">
        <v>958</v>
      </c>
      <c r="Q237" s="52" t="s">
        <v>39</v>
      </c>
      <c r="R237" s="52" t="s">
        <v>59</v>
      </c>
      <c r="T237" s="52"/>
      <c r="U237" s="52"/>
      <c r="V237" s="52"/>
      <c r="W237" s="52">
        <v>335</v>
      </c>
      <c r="X237" s="52" t="s">
        <v>200</v>
      </c>
      <c r="Y237" s="52"/>
      <c r="Z237" s="46" t="s">
        <v>195</v>
      </c>
    </row>
    <row r="238" spans="1:26">
      <c r="A238" s="49">
        <v>44363</v>
      </c>
      <c r="B238" s="48">
        <v>202106161062</v>
      </c>
      <c r="C238" s="46" t="s">
        <v>3350</v>
      </c>
      <c r="D238" s="46" t="s">
        <v>3458</v>
      </c>
      <c r="E238" s="46" t="s">
        <v>197</v>
      </c>
      <c r="F238" s="46" t="s">
        <v>3348</v>
      </c>
      <c r="G238" s="46" t="s">
        <v>39</v>
      </c>
      <c r="H238" s="47">
        <v>4714781021593</v>
      </c>
      <c r="I238" s="46" t="s">
        <v>3183</v>
      </c>
      <c r="J238" s="46" t="s">
        <v>3160</v>
      </c>
      <c r="K238" s="46">
        <v>1</v>
      </c>
      <c r="L238" s="46">
        <v>133</v>
      </c>
      <c r="N238" s="46" t="s">
        <v>1453</v>
      </c>
      <c r="P238" s="52">
        <v>958</v>
      </c>
      <c r="Q238" s="52" t="s">
        <v>39</v>
      </c>
      <c r="R238" s="52" t="s">
        <v>59</v>
      </c>
      <c r="T238" s="52"/>
      <c r="U238" s="52"/>
      <c r="V238" s="52"/>
      <c r="W238" s="52">
        <v>335</v>
      </c>
      <c r="X238" s="52" t="s">
        <v>200</v>
      </c>
      <c r="Y238" s="52"/>
      <c r="Z238" s="46" t="s">
        <v>195</v>
      </c>
    </row>
    <row r="239" spans="1:26">
      <c r="A239" s="49">
        <v>44363</v>
      </c>
      <c r="B239" s="48">
        <v>202106161062</v>
      </c>
      <c r="C239" s="46" t="s">
        <v>3350</v>
      </c>
      <c r="D239" s="46" t="s">
        <v>3458</v>
      </c>
      <c r="E239" s="46" t="s">
        <v>197</v>
      </c>
      <c r="F239" s="46" t="s">
        <v>3348</v>
      </c>
      <c r="G239" s="46" t="s">
        <v>39</v>
      </c>
      <c r="H239" s="47">
        <v>4714781021029</v>
      </c>
      <c r="I239" s="46" t="s">
        <v>3234</v>
      </c>
      <c r="J239" s="46" t="s">
        <v>3160</v>
      </c>
      <c r="K239" s="46">
        <v>1</v>
      </c>
      <c r="L239" s="46">
        <v>133</v>
      </c>
      <c r="N239" s="46" t="s">
        <v>1452</v>
      </c>
      <c r="P239" s="52">
        <v>958</v>
      </c>
      <c r="Q239" s="52" t="s">
        <v>39</v>
      </c>
      <c r="R239" s="52" t="s">
        <v>59</v>
      </c>
      <c r="T239" s="52"/>
      <c r="U239" s="52"/>
      <c r="V239" s="52"/>
      <c r="W239" s="52">
        <v>335</v>
      </c>
      <c r="X239" s="52" t="s">
        <v>200</v>
      </c>
      <c r="Y239" s="52"/>
      <c r="Z239" s="46" t="s">
        <v>195</v>
      </c>
    </row>
    <row r="240" spans="1:26">
      <c r="A240" s="49">
        <v>44363</v>
      </c>
      <c r="B240" s="48">
        <v>202106161062</v>
      </c>
      <c r="C240" s="46" t="s">
        <v>3350</v>
      </c>
      <c r="D240" s="46" t="s">
        <v>3458</v>
      </c>
      <c r="E240" s="46" t="s">
        <v>197</v>
      </c>
      <c r="F240" s="46" t="s">
        <v>3348</v>
      </c>
      <c r="G240" s="46" t="s">
        <v>39</v>
      </c>
      <c r="H240" s="47">
        <v>4714781020954</v>
      </c>
      <c r="I240" s="46" t="s">
        <v>3251</v>
      </c>
      <c r="J240" s="46" t="s">
        <v>3160</v>
      </c>
      <c r="K240" s="46">
        <v>1</v>
      </c>
      <c r="L240" s="46">
        <v>149</v>
      </c>
      <c r="N240" s="46" t="s">
        <v>139</v>
      </c>
      <c r="P240" s="52">
        <v>958</v>
      </c>
      <c r="Q240" s="52" t="s">
        <v>39</v>
      </c>
      <c r="R240" s="52" t="s">
        <v>59</v>
      </c>
      <c r="T240" s="52"/>
      <c r="U240" s="52"/>
      <c r="V240" s="52"/>
      <c r="W240" s="52">
        <v>335</v>
      </c>
      <c r="X240" s="52" t="s">
        <v>200</v>
      </c>
      <c r="Y240" s="52"/>
      <c r="Z240" s="46" t="s">
        <v>195</v>
      </c>
    </row>
    <row r="241" spans="1:26">
      <c r="A241" s="49">
        <v>44364</v>
      </c>
      <c r="B241" s="48">
        <v>202106171063</v>
      </c>
      <c r="C241" s="46" t="s">
        <v>3350</v>
      </c>
      <c r="D241" s="46" t="s">
        <v>3457</v>
      </c>
      <c r="E241" s="46" t="s">
        <v>906</v>
      </c>
      <c r="F241" s="46" t="s">
        <v>3348</v>
      </c>
      <c r="G241" s="46" t="s">
        <v>633</v>
      </c>
      <c r="H241" s="47" t="s">
        <v>1341</v>
      </c>
      <c r="I241" s="46" t="s">
        <v>3309</v>
      </c>
      <c r="J241" s="46" t="s">
        <v>3160</v>
      </c>
      <c r="K241" s="46">
        <v>1</v>
      </c>
      <c r="L241" s="46">
        <v>400</v>
      </c>
      <c r="N241" s="46" t="s">
        <v>1340</v>
      </c>
      <c r="P241" s="52">
        <v>593</v>
      </c>
      <c r="Q241" s="52" t="s">
        <v>633</v>
      </c>
      <c r="R241" s="52" t="s">
        <v>634</v>
      </c>
      <c r="T241" s="52">
        <v>977371</v>
      </c>
      <c r="U241" s="52" t="s">
        <v>907</v>
      </c>
      <c r="V241" s="52" t="s">
        <v>908</v>
      </c>
      <c r="W241" s="52"/>
      <c r="X241" s="52"/>
      <c r="Y241" s="52"/>
      <c r="Z241" s="46" t="s">
        <v>904</v>
      </c>
    </row>
    <row r="242" spans="1:26">
      <c r="A242" s="49">
        <v>44364</v>
      </c>
      <c r="B242" s="48">
        <v>202106171063</v>
      </c>
      <c r="C242" s="46" t="s">
        <v>3350</v>
      </c>
      <c r="D242" s="46" t="s">
        <v>3457</v>
      </c>
      <c r="E242" s="46" t="s">
        <v>906</v>
      </c>
      <c r="F242" s="46" t="s">
        <v>3348</v>
      </c>
      <c r="G242" s="46" t="s">
        <v>633</v>
      </c>
      <c r="H242" s="47" t="s">
        <v>1339</v>
      </c>
      <c r="I242" s="46" t="s">
        <v>3308</v>
      </c>
      <c r="J242" s="46" t="s">
        <v>3160</v>
      </c>
      <c r="K242" s="46">
        <v>1</v>
      </c>
      <c r="L242" s="46">
        <v>128</v>
      </c>
      <c r="N242" s="46" t="s">
        <v>1338</v>
      </c>
      <c r="P242" s="52">
        <v>593</v>
      </c>
      <c r="Q242" s="52" t="s">
        <v>633</v>
      </c>
      <c r="R242" s="52" t="s">
        <v>634</v>
      </c>
      <c r="T242" s="52">
        <v>977371</v>
      </c>
      <c r="U242" s="52" t="s">
        <v>907</v>
      </c>
      <c r="V242" s="52" t="s">
        <v>908</v>
      </c>
      <c r="W242" s="52"/>
      <c r="X242" s="52"/>
      <c r="Y242" s="52"/>
      <c r="Z242" s="46" t="s">
        <v>904</v>
      </c>
    </row>
    <row r="243" spans="1:26">
      <c r="A243" s="49">
        <v>44364</v>
      </c>
      <c r="B243" s="48">
        <v>202106171063</v>
      </c>
      <c r="C243" s="46" t="s">
        <v>3350</v>
      </c>
      <c r="D243" s="46" t="s">
        <v>3457</v>
      </c>
      <c r="E243" s="46" t="s">
        <v>906</v>
      </c>
      <c r="F243" s="46" t="s">
        <v>3348</v>
      </c>
      <c r="G243" s="46" t="s">
        <v>633</v>
      </c>
      <c r="H243" s="47" t="s">
        <v>3347</v>
      </c>
      <c r="J243" s="46" t="s">
        <v>3346</v>
      </c>
      <c r="K243" s="46">
        <v>1</v>
      </c>
      <c r="L243" s="46">
        <v>65</v>
      </c>
      <c r="P243" s="52"/>
      <c r="Q243" s="52"/>
      <c r="R243" s="52"/>
      <c r="T243" s="52"/>
      <c r="U243" s="52"/>
      <c r="V243" s="52"/>
      <c r="W243" s="52"/>
      <c r="X243" s="52"/>
      <c r="Y243" s="52"/>
    </row>
    <row r="244" spans="1:26">
      <c r="A244" s="49">
        <v>44364</v>
      </c>
      <c r="B244" s="48">
        <v>202106171064</v>
      </c>
      <c r="C244" s="46" t="s">
        <v>3350</v>
      </c>
      <c r="D244" s="46" t="s">
        <v>3456</v>
      </c>
      <c r="E244" s="46" t="s">
        <v>344</v>
      </c>
      <c r="F244" s="46" t="s">
        <v>3348</v>
      </c>
      <c r="G244" s="46" t="s">
        <v>39</v>
      </c>
      <c r="H244" s="47">
        <v>4714781021463</v>
      </c>
      <c r="I244" s="46" t="s">
        <v>3194</v>
      </c>
      <c r="J244" s="46" t="s">
        <v>3160</v>
      </c>
      <c r="K244" s="46">
        <v>1</v>
      </c>
      <c r="L244" s="46">
        <v>120</v>
      </c>
      <c r="N244" s="46" t="s">
        <v>158</v>
      </c>
      <c r="P244" s="52">
        <v>842</v>
      </c>
      <c r="Q244" s="52" t="s">
        <v>39</v>
      </c>
      <c r="R244" s="52" t="s">
        <v>59</v>
      </c>
      <c r="T244" s="52"/>
      <c r="U244" s="52"/>
      <c r="V244" s="52"/>
      <c r="W244" s="52">
        <v>649</v>
      </c>
      <c r="X244" s="52" t="s">
        <v>345</v>
      </c>
      <c r="Y244" s="52"/>
      <c r="Z244" s="46" t="s">
        <v>342</v>
      </c>
    </row>
    <row r="245" spans="1:26">
      <c r="A245" s="49">
        <v>44364</v>
      </c>
      <c r="B245" s="48">
        <v>202106171064</v>
      </c>
      <c r="C245" s="46" t="s">
        <v>3350</v>
      </c>
      <c r="D245" s="46" t="s">
        <v>3456</v>
      </c>
      <c r="E245" s="46" t="s">
        <v>344</v>
      </c>
      <c r="F245" s="46" t="s">
        <v>3348</v>
      </c>
      <c r="G245" s="46" t="s">
        <v>39</v>
      </c>
      <c r="H245" s="47">
        <v>4714781020800</v>
      </c>
      <c r="I245" s="46" t="s">
        <v>3266</v>
      </c>
      <c r="J245" s="46" t="s">
        <v>3160</v>
      </c>
      <c r="K245" s="46">
        <v>1</v>
      </c>
      <c r="L245" s="46">
        <v>128</v>
      </c>
      <c r="N245" s="46" t="s">
        <v>66</v>
      </c>
      <c r="P245" s="52">
        <v>842</v>
      </c>
      <c r="Q245" s="52" t="s">
        <v>39</v>
      </c>
      <c r="R245" s="52" t="s">
        <v>59</v>
      </c>
      <c r="T245" s="52"/>
      <c r="U245" s="52"/>
      <c r="V245" s="52"/>
      <c r="W245" s="52">
        <v>649</v>
      </c>
      <c r="X245" s="52" t="s">
        <v>345</v>
      </c>
      <c r="Y245" s="52"/>
      <c r="Z245" s="46" t="s">
        <v>342</v>
      </c>
    </row>
    <row r="246" spans="1:26">
      <c r="A246" s="49">
        <v>44364</v>
      </c>
      <c r="B246" s="48">
        <v>202106171064</v>
      </c>
      <c r="C246" s="46" t="s">
        <v>3350</v>
      </c>
      <c r="D246" s="46" t="s">
        <v>3456</v>
      </c>
      <c r="E246" s="46" t="s">
        <v>344</v>
      </c>
      <c r="F246" s="46" t="s">
        <v>3348</v>
      </c>
      <c r="G246" s="46" t="s">
        <v>39</v>
      </c>
      <c r="H246" s="47">
        <v>4714781020817</v>
      </c>
      <c r="I246" s="46" t="s">
        <v>3223</v>
      </c>
      <c r="J246" s="46" t="s">
        <v>3160</v>
      </c>
      <c r="K246" s="46">
        <v>1</v>
      </c>
      <c r="L246" s="46">
        <v>128</v>
      </c>
      <c r="N246" s="46" t="s">
        <v>347</v>
      </c>
      <c r="P246" s="52">
        <v>842</v>
      </c>
      <c r="Q246" s="52" t="s">
        <v>39</v>
      </c>
      <c r="R246" s="52" t="s">
        <v>59</v>
      </c>
      <c r="T246" s="52"/>
      <c r="U246" s="52"/>
      <c r="V246" s="52"/>
      <c r="W246" s="52">
        <v>649</v>
      </c>
      <c r="X246" s="52" t="s">
        <v>345</v>
      </c>
      <c r="Y246" s="52"/>
      <c r="Z246" s="46" t="s">
        <v>342</v>
      </c>
    </row>
    <row r="247" spans="1:26">
      <c r="A247" s="49">
        <v>44364</v>
      </c>
      <c r="B247" s="48">
        <v>202106171064</v>
      </c>
      <c r="C247" s="46" t="s">
        <v>3350</v>
      </c>
      <c r="D247" s="46" t="s">
        <v>3456</v>
      </c>
      <c r="E247" s="46" t="s">
        <v>344</v>
      </c>
      <c r="F247" s="46" t="s">
        <v>3348</v>
      </c>
      <c r="G247" s="46" t="s">
        <v>39</v>
      </c>
      <c r="H247" s="47">
        <v>4714781020787</v>
      </c>
      <c r="I247" s="46" t="s">
        <v>3273</v>
      </c>
      <c r="J247" s="46" t="s">
        <v>3160</v>
      </c>
      <c r="K247" s="46">
        <v>1</v>
      </c>
      <c r="L247" s="46">
        <v>149</v>
      </c>
      <c r="N247" s="46" t="s">
        <v>127</v>
      </c>
      <c r="P247" s="52">
        <v>842</v>
      </c>
      <c r="Q247" s="52" t="s">
        <v>39</v>
      </c>
      <c r="R247" s="52" t="s">
        <v>59</v>
      </c>
      <c r="T247" s="52"/>
      <c r="U247" s="52"/>
      <c r="V247" s="52"/>
      <c r="W247" s="52">
        <v>649</v>
      </c>
      <c r="X247" s="52" t="s">
        <v>345</v>
      </c>
      <c r="Y247" s="52"/>
      <c r="Z247" s="46" t="s">
        <v>342</v>
      </c>
    </row>
    <row r="248" spans="1:26">
      <c r="A248" s="49">
        <v>44364</v>
      </c>
      <c r="B248" s="48">
        <v>202106171064</v>
      </c>
      <c r="C248" s="46" t="s">
        <v>3350</v>
      </c>
      <c r="D248" s="46" t="s">
        <v>3456</v>
      </c>
      <c r="E248" s="46" t="s">
        <v>344</v>
      </c>
      <c r="F248" s="46" t="s">
        <v>3348</v>
      </c>
      <c r="G248" s="46" t="s">
        <v>39</v>
      </c>
      <c r="H248" s="47">
        <v>4714781020770</v>
      </c>
      <c r="I248" s="46" t="s">
        <v>3276</v>
      </c>
      <c r="J248" s="46" t="s">
        <v>3160</v>
      </c>
      <c r="K248" s="46">
        <v>1</v>
      </c>
      <c r="L248" s="46">
        <v>149</v>
      </c>
      <c r="N248" s="46" t="s">
        <v>349</v>
      </c>
      <c r="P248" s="52">
        <v>842</v>
      </c>
      <c r="Q248" s="52" t="s">
        <v>39</v>
      </c>
      <c r="R248" s="52" t="s">
        <v>59</v>
      </c>
      <c r="T248" s="52"/>
      <c r="U248" s="52"/>
      <c r="V248" s="52"/>
      <c r="W248" s="52">
        <v>649</v>
      </c>
      <c r="X248" s="52" t="s">
        <v>345</v>
      </c>
      <c r="Y248" s="52"/>
      <c r="Z248" s="46" t="s">
        <v>342</v>
      </c>
    </row>
    <row r="249" spans="1:26">
      <c r="A249" s="49">
        <v>44364</v>
      </c>
      <c r="B249" s="48">
        <v>202106171064</v>
      </c>
      <c r="C249" s="46" t="s">
        <v>3350</v>
      </c>
      <c r="D249" s="46" t="s">
        <v>3456</v>
      </c>
      <c r="E249" s="46" t="s">
        <v>344</v>
      </c>
      <c r="F249" s="46" t="s">
        <v>3348</v>
      </c>
      <c r="G249" s="46" t="s">
        <v>39</v>
      </c>
      <c r="H249" s="47">
        <v>4714781020503</v>
      </c>
      <c r="I249" s="46" t="s">
        <v>3295</v>
      </c>
      <c r="J249" s="46" t="s">
        <v>3160</v>
      </c>
      <c r="K249" s="46">
        <v>1</v>
      </c>
      <c r="L249" s="46">
        <v>168</v>
      </c>
      <c r="N249" s="46" t="s">
        <v>351</v>
      </c>
      <c r="P249" s="52">
        <v>842</v>
      </c>
      <c r="Q249" s="52" t="s">
        <v>39</v>
      </c>
      <c r="R249" s="52" t="s">
        <v>59</v>
      </c>
      <c r="T249" s="52"/>
      <c r="U249" s="52"/>
      <c r="V249" s="52"/>
      <c r="W249" s="52">
        <v>649</v>
      </c>
      <c r="X249" s="52" t="s">
        <v>345</v>
      </c>
      <c r="Y249" s="52"/>
      <c r="Z249" s="46" t="s">
        <v>342</v>
      </c>
    </row>
    <row r="250" spans="1:26">
      <c r="A250" s="49">
        <v>44364</v>
      </c>
      <c r="B250" s="48">
        <v>202106171065</v>
      </c>
      <c r="C250" s="46" t="s">
        <v>3350</v>
      </c>
      <c r="D250" s="46" t="s">
        <v>3455</v>
      </c>
      <c r="E250" s="46" t="s">
        <v>912</v>
      </c>
      <c r="F250" s="46" t="s">
        <v>3348</v>
      </c>
      <c r="G250" s="46" t="s">
        <v>633</v>
      </c>
      <c r="H250" s="47">
        <v>4714781021715</v>
      </c>
      <c r="I250" s="46" t="s">
        <v>3162</v>
      </c>
      <c r="J250" s="46" t="s">
        <v>3160</v>
      </c>
      <c r="K250" s="46">
        <v>1</v>
      </c>
      <c r="L250" s="46">
        <v>299</v>
      </c>
      <c r="N250" s="46" t="s">
        <v>29</v>
      </c>
      <c r="P250" s="52">
        <v>364</v>
      </c>
      <c r="Q250" s="52" t="s">
        <v>633</v>
      </c>
      <c r="R250" s="52" t="s">
        <v>634</v>
      </c>
      <c r="T250" s="52">
        <v>181347</v>
      </c>
      <c r="U250" s="52" t="s">
        <v>913</v>
      </c>
      <c r="V250" s="52" t="s">
        <v>914</v>
      </c>
      <c r="W250" s="52"/>
      <c r="X250" s="52"/>
      <c r="Y250" s="52"/>
      <c r="Z250" s="46" t="s">
        <v>910</v>
      </c>
    </row>
    <row r="251" spans="1:26">
      <c r="A251" s="49">
        <v>44364</v>
      </c>
      <c r="B251" s="48">
        <v>202106171065</v>
      </c>
      <c r="C251" s="46" t="s">
        <v>3350</v>
      </c>
      <c r="D251" s="46" t="s">
        <v>3455</v>
      </c>
      <c r="E251" s="46" t="s">
        <v>912</v>
      </c>
      <c r="F251" s="46" t="s">
        <v>3348</v>
      </c>
      <c r="G251" s="46" t="s">
        <v>633</v>
      </c>
      <c r="H251" s="47" t="s">
        <v>3347</v>
      </c>
      <c r="J251" s="46" t="s">
        <v>3346</v>
      </c>
      <c r="K251" s="46">
        <v>1</v>
      </c>
      <c r="L251" s="46">
        <v>65</v>
      </c>
      <c r="P251" s="52"/>
      <c r="Q251" s="52"/>
      <c r="R251" s="52"/>
      <c r="T251" s="52"/>
      <c r="U251" s="52"/>
      <c r="V251" s="52"/>
      <c r="W251" s="52"/>
      <c r="X251" s="52"/>
      <c r="Y251" s="52"/>
    </row>
    <row r="252" spans="1:26">
      <c r="A252" s="49">
        <v>44364</v>
      </c>
      <c r="B252" s="48">
        <v>202106171066</v>
      </c>
      <c r="C252" s="46" t="s">
        <v>3350</v>
      </c>
      <c r="D252" s="46" t="s">
        <v>3454</v>
      </c>
      <c r="E252" s="46" t="s">
        <v>918</v>
      </c>
      <c r="F252" s="46" t="s">
        <v>3348</v>
      </c>
      <c r="G252" s="46" t="s">
        <v>633</v>
      </c>
      <c r="H252" s="47">
        <v>4719880900091</v>
      </c>
      <c r="J252" s="46" t="s">
        <v>3160</v>
      </c>
      <c r="K252" s="46">
        <v>5</v>
      </c>
      <c r="L252" s="46">
        <v>750</v>
      </c>
      <c r="N252" s="46" t="s">
        <v>920</v>
      </c>
      <c r="P252" s="52">
        <v>750</v>
      </c>
      <c r="Q252" s="52" t="s">
        <v>633</v>
      </c>
      <c r="R252" s="52" t="s">
        <v>634</v>
      </c>
      <c r="T252" s="52">
        <v>201900</v>
      </c>
      <c r="U252" s="52" t="s">
        <v>922</v>
      </c>
      <c r="V252" s="52" t="s">
        <v>923</v>
      </c>
      <c r="W252" s="52"/>
      <c r="X252" s="52"/>
      <c r="Y252" s="52"/>
      <c r="Z252" s="46" t="s">
        <v>916</v>
      </c>
    </row>
    <row r="253" spans="1:26">
      <c r="A253" s="49">
        <v>44364</v>
      </c>
      <c r="B253" s="48">
        <v>202106171067</v>
      </c>
      <c r="C253" s="46" t="s">
        <v>3350</v>
      </c>
      <c r="D253" s="46" t="s">
        <v>3453</v>
      </c>
      <c r="E253" s="46" t="s">
        <v>927</v>
      </c>
      <c r="F253" s="46" t="s">
        <v>3348</v>
      </c>
      <c r="G253" s="46" t="s">
        <v>633</v>
      </c>
      <c r="H253" s="47">
        <v>4714781020282</v>
      </c>
      <c r="I253" s="46" t="s">
        <v>3254</v>
      </c>
      <c r="J253" s="46" t="s">
        <v>3160</v>
      </c>
      <c r="K253" s="46">
        <v>1</v>
      </c>
      <c r="L253" s="46">
        <v>299</v>
      </c>
      <c r="N253" s="46" t="s">
        <v>274</v>
      </c>
      <c r="P253" s="52">
        <v>897</v>
      </c>
      <c r="Q253" s="52" t="s">
        <v>633</v>
      </c>
      <c r="R253" s="52" t="s">
        <v>40</v>
      </c>
      <c r="T253" s="52">
        <v>153777</v>
      </c>
      <c r="U253" s="52" t="s">
        <v>928</v>
      </c>
      <c r="V253" s="52" t="s">
        <v>929</v>
      </c>
      <c r="W253" s="52"/>
      <c r="X253" s="52"/>
      <c r="Y253" s="52"/>
      <c r="Z253" s="46" t="s">
        <v>925</v>
      </c>
    </row>
    <row r="254" spans="1:26">
      <c r="A254" s="49">
        <v>44364</v>
      </c>
      <c r="B254" s="48">
        <v>202106171067</v>
      </c>
      <c r="C254" s="46" t="s">
        <v>3350</v>
      </c>
      <c r="D254" s="46" t="s">
        <v>3453</v>
      </c>
      <c r="E254" s="46" t="s">
        <v>927</v>
      </c>
      <c r="F254" s="46" t="s">
        <v>3348</v>
      </c>
      <c r="G254" s="46" t="s">
        <v>633</v>
      </c>
      <c r="H254" s="47">
        <v>4714781024716</v>
      </c>
      <c r="I254" s="46" t="s">
        <v>3166</v>
      </c>
      <c r="J254" s="46" t="s">
        <v>3160</v>
      </c>
      <c r="K254" s="46">
        <v>1</v>
      </c>
      <c r="L254" s="46">
        <v>299</v>
      </c>
      <c r="N254" s="46" t="s">
        <v>372</v>
      </c>
      <c r="P254" s="52">
        <v>897</v>
      </c>
      <c r="Q254" s="52" t="s">
        <v>633</v>
      </c>
      <c r="R254" s="52" t="s">
        <v>40</v>
      </c>
      <c r="T254" s="52">
        <v>153777</v>
      </c>
      <c r="U254" s="52" t="s">
        <v>928</v>
      </c>
      <c r="V254" s="52" t="s">
        <v>929</v>
      </c>
      <c r="W254" s="52"/>
      <c r="X254" s="52"/>
      <c r="Y254" s="52"/>
      <c r="Z254" s="46" t="s">
        <v>925</v>
      </c>
    </row>
    <row r="255" spans="1:26">
      <c r="A255" s="49">
        <v>44364</v>
      </c>
      <c r="B255" s="48">
        <v>202106171067</v>
      </c>
      <c r="C255" s="46" t="s">
        <v>3350</v>
      </c>
      <c r="D255" s="46" t="s">
        <v>3453</v>
      </c>
      <c r="E255" s="46" t="s">
        <v>927</v>
      </c>
      <c r="F255" s="46" t="s">
        <v>3348</v>
      </c>
      <c r="G255" s="46" t="s">
        <v>633</v>
      </c>
      <c r="H255" s="47">
        <v>4714781024730</v>
      </c>
      <c r="I255" s="46" t="s">
        <v>3166</v>
      </c>
      <c r="J255" s="46" t="s">
        <v>3160</v>
      </c>
      <c r="K255" s="46">
        <v>1</v>
      </c>
      <c r="L255" s="46">
        <v>299</v>
      </c>
      <c r="N255" s="46" t="s">
        <v>263</v>
      </c>
      <c r="P255" s="52">
        <v>897</v>
      </c>
      <c r="Q255" s="52" t="s">
        <v>633</v>
      </c>
      <c r="R255" s="52" t="s">
        <v>40</v>
      </c>
      <c r="T255" s="52">
        <v>153777</v>
      </c>
      <c r="U255" s="52" t="s">
        <v>928</v>
      </c>
      <c r="V255" s="52" t="s">
        <v>929</v>
      </c>
      <c r="W255" s="52"/>
      <c r="X255" s="52"/>
      <c r="Y255" s="52"/>
      <c r="Z255" s="46" t="s">
        <v>925</v>
      </c>
    </row>
    <row r="256" spans="1:26">
      <c r="A256" s="49">
        <v>44364</v>
      </c>
      <c r="B256" s="48">
        <v>202106171068</v>
      </c>
      <c r="C256" s="46" t="s">
        <v>3350</v>
      </c>
      <c r="D256" s="46" t="s">
        <v>3452</v>
      </c>
      <c r="E256" s="46" t="s">
        <v>336</v>
      </c>
      <c r="F256" s="46" t="s">
        <v>3348</v>
      </c>
      <c r="G256" s="46" t="s">
        <v>39</v>
      </c>
      <c r="H256" s="47" t="s">
        <v>1517</v>
      </c>
      <c r="I256" s="46" t="s">
        <v>3295</v>
      </c>
      <c r="J256" s="46" t="s">
        <v>3160</v>
      </c>
      <c r="K256" s="46">
        <v>2</v>
      </c>
      <c r="L256" s="46">
        <v>300</v>
      </c>
      <c r="N256" s="46" t="s">
        <v>1516</v>
      </c>
      <c r="P256" s="52">
        <v>900</v>
      </c>
      <c r="Q256" s="52" t="s">
        <v>39</v>
      </c>
      <c r="R256" s="52" t="s">
        <v>337</v>
      </c>
      <c r="T256" s="52"/>
      <c r="U256" s="52"/>
      <c r="V256" s="52"/>
      <c r="W256" s="52">
        <v>330</v>
      </c>
      <c r="X256" s="52" t="s">
        <v>338</v>
      </c>
      <c r="Y256" s="52"/>
      <c r="Z256" s="46" t="s">
        <v>334</v>
      </c>
    </row>
    <row r="257" spans="1:26">
      <c r="A257" s="49">
        <v>44364</v>
      </c>
      <c r="B257" s="48">
        <v>202106171068</v>
      </c>
      <c r="C257" s="46" t="s">
        <v>3350</v>
      </c>
      <c r="D257" s="46" t="s">
        <v>3452</v>
      </c>
      <c r="E257" s="46" t="s">
        <v>336</v>
      </c>
      <c r="F257" s="46" t="s">
        <v>3348</v>
      </c>
      <c r="G257" s="46" t="s">
        <v>39</v>
      </c>
      <c r="H257" s="47" t="s">
        <v>1514</v>
      </c>
      <c r="I257" s="46" t="s">
        <v>3295</v>
      </c>
      <c r="J257" s="46" t="s">
        <v>3160</v>
      </c>
      <c r="K257" s="46">
        <v>1</v>
      </c>
      <c r="L257" s="46">
        <v>150</v>
      </c>
      <c r="N257" s="46" t="s">
        <v>1513</v>
      </c>
      <c r="P257" s="52">
        <v>900</v>
      </c>
      <c r="Q257" s="52" t="s">
        <v>39</v>
      </c>
      <c r="R257" s="52" t="s">
        <v>337</v>
      </c>
      <c r="T257" s="52"/>
      <c r="U257" s="52"/>
      <c r="V257" s="52"/>
      <c r="W257" s="52">
        <v>330</v>
      </c>
      <c r="X257" s="52" t="s">
        <v>338</v>
      </c>
      <c r="Y257" s="52"/>
      <c r="Z257" s="46" t="s">
        <v>334</v>
      </c>
    </row>
    <row r="258" spans="1:26">
      <c r="A258" s="49">
        <v>44364</v>
      </c>
      <c r="B258" s="48">
        <v>202106171068</v>
      </c>
      <c r="C258" s="46" t="s">
        <v>3350</v>
      </c>
      <c r="D258" s="46" t="s">
        <v>3452</v>
      </c>
      <c r="E258" s="46" t="s">
        <v>336</v>
      </c>
      <c r="F258" s="46" t="s">
        <v>3348</v>
      </c>
      <c r="G258" s="46" t="s">
        <v>39</v>
      </c>
      <c r="H258" s="47" t="s">
        <v>1517</v>
      </c>
      <c r="I258" s="46" t="s">
        <v>3295</v>
      </c>
      <c r="J258" s="46" t="s">
        <v>3160</v>
      </c>
      <c r="K258" s="46">
        <v>2</v>
      </c>
      <c r="L258" s="46">
        <v>300</v>
      </c>
      <c r="N258" s="46" t="s">
        <v>1516</v>
      </c>
      <c r="P258" s="52">
        <v>900</v>
      </c>
      <c r="Q258" s="52" t="s">
        <v>39</v>
      </c>
      <c r="R258" s="52" t="s">
        <v>337</v>
      </c>
      <c r="T258" s="52"/>
      <c r="U258" s="52"/>
      <c r="V258" s="52"/>
      <c r="W258" s="52">
        <v>330</v>
      </c>
      <c r="X258" s="52" t="s">
        <v>338</v>
      </c>
      <c r="Y258" s="52"/>
      <c r="Z258" s="46" t="s">
        <v>334</v>
      </c>
    </row>
    <row r="259" spans="1:26">
      <c r="A259" s="49">
        <v>44364</v>
      </c>
      <c r="B259" s="48">
        <v>202106171068</v>
      </c>
      <c r="C259" s="46" t="s">
        <v>3350</v>
      </c>
      <c r="D259" s="46" t="s">
        <v>3452</v>
      </c>
      <c r="E259" s="46" t="s">
        <v>336</v>
      </c>
      <c r="F259" s="46" t="s">
        <v>3348</v>
      </c>
      <c r="G259" s="46" t="s">
        <v>39</v>
      </c>
      <c r="H259" s="47" t="s">
        <v>1512</v>
      </c>
      <c r="I259" s="46" t="s">
        <v>3194</v>
      </c>
      <c r="J259" s="46" t="s">
        <v>3160</v>
      </c>
      <c r="K259" s="46">
        <v>1</v>
      </c>
      <c r="L259" s="46">
        <v>150</v>
      </c>
      <c r="N259" s="46" t="s">
        <v>1511</v>
      </c>
      <c r="P259" s="52">
        <v>900</v>
      </c>
      <c r="Q259" s="52" t="s">
        <v>39</v>
      </c>
      <c r="R259" s="52" t="s">
        <v>337</v>
      </c>
      <c r="T259" s="52"/>
      <c r="U259" s="52"/>
      <c r="V259" s="52"/>
      <c r="W259" s="52">
        <v>330</v>
      </c>
      <c r="X259" s="52" t="s">
        <v>338</v>
      </c>
      <c r="Y259" s="52"/>
      <c r="Z259" s="46" t="s">
        <v>334</v>
      </c>
    </row>
    <row r="260" spans="1:26">
      <c r="A260" s="49">
        <v>44364</v>
      </c>
      <c r="B260" s="48">
        <v>202106171069</v>
      </c>
      <c r="C260" s="46" t="s">
        <v>3350</v>
      </c>
      <c r="D260" s="46" t="s">
        <v>3451</v>
      </c>
      <c r="E260" s="46" t="s">
        <v>933</v>
      </c>
      <c r="F260" s="46" t="s">
        <v>3348</v>
      </c>
      <c r="G260" s="46" t="s">
        <v>633</v>
      </c>
      <c r="H260" s="47" t="s">
        <v>1541</v>
      </c>
      <c r="I260" s="46" t="s">
        <v>3213</v>
      </c>
      <c r="J260" s="46" t="s">
        <v>3160</v>
      </c>
      <c r="K260" s="46">
        <v>1</v>
      </c>
      <c r="L260" s="46">
        <v>119</v>
      </c>
      <c r="N260" s="46" t="s">
        <v>1540</v>
      </c>
      <c r="P260" s="52">
        <v>867</v>
      </c>
      <c r="Q260" s="52" t="s">
        <v>633</v>
      </c>
      <c r="R260" s="52" t="s">
        <v>634</v>
      </c>
      <c r="T260" s="52">
        <v>194930</v>
      </c>
      <c r="U260" s="52" t="s">
        <v>936</v>
      </c>
      <c r="V260" s="52" t="s">
        <v>937</v>
      </c>
      <c r="W260" s="52"/>
      <c r="X260" s="52"/>
      <c r="Y260" s="52"/>
      <c r="Z260" s="46" t="s">
        <v>931</v>
      </c>
    </row>
    <row r="261" spans="1:26">
      <c r="A261" s="49">
        <v>44364</v>
      </c>
      <c r="B261" s="48">
        <v>202106171069</v>
      </c>
      <c r="C261" s="46" t="s">
        <v>3350</v>
      </c>
      <c r="D261" s="46" t="s">
        <v>3451</v>
      </c>
      <c r="E261" s="46" t="s">
        <v>933</v>
      </c>
      <c r="F261" s="46" t="s">
        <v>3348</v>
      </c>
      <c r="G261" s="46" t="s">
        <v>633</v>
      </c>
      <c r="H261" s="47" t="s">
        <v>1506</v>
      </c>
      <c r="I261" s="46" t="s">
        <v>3166</v>
      </c>
      <c r="J261" s="46" t="s">
        <v>3160</v>
      </c>
      <c r="K261" s="46">
        <v>1</v>
      </c>
      <c r="L261" s="46">
        <v>290</v>
      </c>
      <c r="N261" s="46" t="s">
        <v>1505</v>
      </c>
      <c r="P261" s="52">
        <v>867</v>
      </c>
      <c r="Q261" s="52" t="s">
        <v>633</v>
      </c>
      <c r="R261" s="52" t="s">
        <v>634</v>
      </c>
      <c r="T261" s="52">
        <v>194930</v>
      </c>
      <c r="U261" s="52" t="s">
        <v>936</v>
      </c>
      <c r="V261" s="52" t="s">
        <v>937</v>
      </c>
      <c r="W261" s="52"/>
      <c r="X261" s="52"/>
      <c r="Y261" s="52"/>
      <c r="Z261" s="46" t="s">
        <v>931</v>
      </c>
    </row>
    <row r="262" spans="1:26">
      <c r="A262" s="49">
        <v>44364</v>
      </c>
      <c r="B262" s="48">
        <v>202106171069</v>
      </c>
      <c r="C262" s="46" t="s">
        <v>3350</v>
      </c>
      <c r="D262" s="46" t="s">
        <v>3451</v>
      </c>
      <c r="E262" s="46" t="s">
        <v>933</v>
      </c>
      <c r="F262" s="46" t="s">
        <v>3348</v>
      </c>
      <c r="G262" s="46" t="s">
        <v>633</v>
      </c>
      <c r="H262" s="47" t="s">
        <v>1508</v>
      </c>
      <c r="I262" s="46" t="s">
        <v>3166</v>
      </c>
      <c r="J262" s="46" t="s">
        <v>3160</v>
      </c>
      <c r="K262" s="46">
        <v>1</v>
      </c>
      <c r="L262" s="46">
        <v>290</v>
      </c>
      <c r="N262" s="46" t="s">
        <v>1507</v>
      </c>
      <c r="P262" s="52">
        <v>867</v>
      </c>
      <c r="Q262" s="52" t="s">
        <v>633</v>
      </c>
      <c r="R262" s="52" t="s">
        <v>634</v>
      </c>
      <c r="T262" s="52">
        <v>194930</v>
      </c>
      <c r="U262" s="52" t="s">
        <v>936</v>
      </c>
      <c r="V262" s="52" t="s">
        <v>937</v>
      </c>
      <c r="W262" s="52"/>
      <c r="X262" s="52"/>
      <c r="Y262" s="52"/>
      <c r="Z262" s="46" t="s">
        <v>931</v>
      </c>
    </row>
    <row r="263" spans="1:26">
      <c r="A263" s="49">
        <v>44364</v>
      </c>
      <c r="B263" s="48">
        <v>202106171069</v>
      </c>
      <c r="C263" s="46" t="s">
        <v>3350</v>
      </c>
      <c r="D263" s="46" t="s">
        <v>3451</v>
      </c>
      <c r="E263" s="46" t="s">
        <v>933</v>
      </c>
      <c r="F263" s="46" t="s">
        <v>3348</v>
      </c>
      <c r="G263" s="46" t="s">
        <v>633</v>
      </c>
      <c r="H263" s="47">
        <v>4714781020558</v>
      </c>
      <c r="I263" s="46" t="s">
        <v>3295</v>
      </c>
      <c r="J263" s="46" t="s">
        <v>3160</v>
      </c>
      <c r="K263" s="46">
        <v>1</v>
      </c>
      <c r="L263" s="46">
        <v>168</v>
      </c>
      <c r="N263" s="46" t="s">
        <v>492</v>
      </c>
      <c r="P263" s="52">
        <v>867</v>
      </c>
      <c r="Q263" s="52" t="s">
        <v>633</v>
      </c>
      <c r="R263" s="52" t="s">
        <v>634</v>
      </c>
      <c r="T263" s="52">
        <v>194930</v>
      </c>
      <c r="U263" s="52" t="s">
        <v>936</v>
      </c>
      <c r="V263" s="52" t="s">
        <v>937</v>
      </c>
      <c r="W263" s="52"/>
      <c r="X263" s="52"/>
      <c r="Y263" s="52"/>
      <c r="Z263" s="46" t="s">
        <v>931</v>
      </c>
    </row>
    <row r="264" spans="1:26">
      <c r="A264" s="49">
        <v>44364</v>
      </c>
      <c r="B264" s="48">
        <v>202106171070</v>
      </c>
      <c r="C264" s="46" t="s">
        <v>3350</v>
      </c>
      <c r="D264" s="46" t="s">
        <v>3450</v>
      </c>
      <c r="E264" s="46" t="s">
        <v>331</v>
      </c>
      <c r="F264" s="46" t="s">
        <v>3348</v>
      </c>
      <c r="G264" s="46" t="s">
        <v>39</v>
      </c>
      <c r="H264" s="47">
        <v>4714781021609</v>
      </c>
      <c r="I264" s="46" t="s">
        <v>3183</v>
      </c>
      <c r="J264" s="46" t="s">
        <v>3160</v>
      </c>
      <c r="K264" s="46">
        <v>3</v>
      </c>
      <c r="L264" s="46">
        <v>338</v>
      </c>
      <c r="N264" s="46" t="s">
        <v>1454</v>
      </c>
      <c r="P264" s="52">
        <v>1156</v>
      </c>
      <c r="Q264" s="52" t="s">
        <v>39</v>
      </c>
      <c r="R264" s="52" t="s">
        <v>40</v>
      </c>
      <c r="T264" s="52"/>
      <c r="U264" s="52"/>
      <c r="V264" s="52"/>
      <c r="W264" s="52">
        <v>407</v>
      </c>
      <c r="X264" s="52" t="s">
        <v>332</v>
      </c>
      <c r="Y264" s="52"/>
      <c r="Z264" s="46" t="s">
        <v>329</v>
      </c>
    </row>
    <row r="265" spans="1:26">
      <c r="A265" s="49">
        <v>44364</v>
      </c>
      <c r="B265" s="48">
        <v>202106171070</v>
      </c>
      <c r="C265" s="46" t="s">
        <v>3350</v>
      </c>
      <c r="D265" s="46" t="s">
        <v>3450</v>
      </c>
      <c r="E265" s="46" t="s">
        <v>331</v>
      </c>
      <c r="F265" s="46" t="s">
        <v>3348</v>
      </c>
      <c r="G265" s="46" t="s">
        <v>39</v>
      </c>
      <c r="H265" s="47">
        <v>4714781021609</v>
      </c>
      <c r="I265" s="46" t="s">
        <v>3183</v>
      </c>
      <c r="J265" s="46" t="s">
        <v>3160</v>
      </c>
      <c r="K265" s="46">
        <v>1</v>
      </c>
      <c r="L265" s="46">
        <v>133</v>
      </c>
      <c r="N265" s="46" t="s">
        <v>1454</v>
      </c>
      <c r="P265" s="52">
        <v>1156</v>
      </c>
      <c r="Q265" s="52" t="s">
        <v>39</v>
      </c>
      <c r="R265" s="52" t="s">
        <v>40</v>
      </c>
      <c r="T265" s="52"/>
      <c r="U265" s="52"/>
      <c r="V265" s="52"/>
      <c r="W265" s="52">
        <v>407</v>
      </c>
      <c r="X265" s="52" t="s">
        <v>332</v>
      </c>
      <c r="Y265" s="52"/>
      <c r="Z265" s="46" t="s">
        <v>329</v>
      </c>
    </row>
    <row r="266" spans="1:26">
      <c r="A266" s="49">
        <v>44364</v>
      </c>
      <c r="B266" s="48">
        <v>202106171070</v>
      </c>
      <c r="C266" s="46" t="s">
        <v>3350</v>
      </c>
      <c r="D266" s="46" t="s">
        <v>3450</v>
      </c>
      <c r="E266" s="46" t="s">
        <v>331</v>
      </c>
      <c r="F266" s="46" t="s">
        <v>3348</v>
      </c>
      <c r="G266" s="46" t="s">
        <v>39</v>
      </c>
      <c r="H266" s="47">
        <v>4714781021593</v>
      </c>
      <c r="I266" s="46" t="s">
        <v>3183</v>
      </c>
      <c r="J266" s="46" t="s">
        <v>3160</v>
      </c>
      <c r="K266" s="46">
        <v>1</v>
      </c>
      <c r="L266" s="46">
        <v>133</v>
      </c>
      <c r="N266" s="46" t="s">
        <v>1453</v>
      </c>
      <c r="P266" s="52">
        <v>1156</v>
      </c>
      <c r="Q266" s="52" t="s">
        <v>39</v>
      </c>
      <c r="R266" s="52" t="s">
        <v>40</v>
      </c>
      <c r="T266" s="52"/>
      <c r="U266" s="52"/>
      <c r="V266" s="52"/>
      <c r="W266" s="52">
        <v>407</v>
      </c>
      <c r="X266" s="52" t="s">
        <v>332</v>
      </c>
      <c r="Y266" s="52"/>
      <c r="Z266" s="46" t="s">
        <v>329</v>
      </c>
    </row>
    <row r="267" spans="1:26">
      <c r="A267" s="49">
        <v>44364</v>
      </c>
      <c r="B267" s="48">
        <v>202106171070</v>
      </c>
      <c r="C267" s="46" t="s">
        <v>3350</v>
      </c>
      <c r="D267" s="46" t="s">
        <v>3450</v>
      </c>
      <c r="E267" s="46" t="s">
        <v>331</v>
      </c>
      <c r="F267" s="46" t="s">
        <v>3348</v>
      </c>
      <c r="G267" s="46" t="s">
        <v>39</v>
      </c>
      <c r="H267" s="47">
        <v>4714781021029</v>
      </c>
      <c r="I267" s="46" t="s">
        <v>3234</v>
      </c>
      <c r="J267" s="46" t="s">
        <v>3160</v>
      </c>
      <c r="K267" s="46">
        <v>1</v>
      </c>
      <c r="L267" s="46">
        <v>133</v>
      </c>
      <c r="N267" s="46" t="s">
        <v>1452</v>
      </c>
      <c r="P267" s="52">
        <v>1156</v>
      </c>
      <c r="Q267" s="52" t="s">
        <v>39</v>
      </c>
      <c r="R267" s="52" t="s">
        <v>40</v>
      </c>
      <c r="T267" s="52"/>
      <c r="U267" s="52"/>
      <c r="V267" s="52"/>
      <c r="W267" s="52">
        <v>407</v>
      </c>
      <c r="X267" s="52" t="s">
        <v>332</v>
      </c>
      <c r="Y267" s="52"/>
      <c r="Z267" s="46" t="s">
        <v>329</v>
      </c>
    </row>
    <row r="268" spans="1:26">
      <c r="A268" s="49">
        <v>44364</v>
      </c>
      <c r="B268" s="48">
        <v>202106171070</v>
      </c>
      <c r="C268" s="46" t="s">
        <v>3350</v>
      </c>
      <c r="D268" s="46" t="s">
        <v>3450</v>
      </c>
      <c r="E268" s="46" t="s">
        <v>331</v>
      </c>
      <c r="F268" s="46" t="s">
        <v>3348</v>
      </c>
      <c r="G268" s="46" t="s">
        <v>39</v>
      </c>
      <c r="H268" s="47">
        <v>4714781021463</v>
      </c>
      <c r="I268" s="46" t="s">
        <v>3194</v>
      </c>
      <c r="J268" s="46" t="s">
        <v>3160</v>
      </c>
      <c r="K268" s="46">
        <v>1</v>
      </c>
      <c r="L268" s="46">
        <v>120</v>
      </c>
      <c r="N268" s="46" t="s">
        <v>158</v>
      </c>
      <c r="P268" s="52">
        <v>1156</v>
      </c>
      <c r="Q268" s="52" t="s">
        <v>39</v>
      </c>
      <c r="R268" s="52" t="s">
        <v>40</v>
      </c>
      <c r="T268" s="52"/>
      <c r="U268" s="52"/>
      <c r="V268" s="52"/>
      <c r="W268" s="52">
        <v>407</v>
      </c>
      <c r="X268" s="52" t="s">
        <v>332</v>
      </c>
      <c r="Y268" s="52"/>
      <c r="Z268" s="46" t="s">
        <v>329</v>
      </c>
    </row>
    <row r="269" spans="1:26">
      <c r="A269" s="49">
        <v>44364</v>
      </c>
      <c r="B269" s="48">
        <v>202106171070</v>
      </c>
      <c r="C269" s="46" t="s">
        <v>3350</v>
      </c>
      <c r="D269" s="46" t="s">
        <v>3450</v>
      </c>
      <c r="E269" s="46" t="s">
        <v>331</v>
      </c>
      <c r="F269" s="46" t="s">
        <v>3348</v>
      </c>
      <c r="G269" s="46" t="s">
        <v>39</v>
      </c>
      <c r="H269" s="47">
        <v>4714781024730</v>
      </c>
      <c r="I269" s="46" t="s">
        <v>3166</v>
      </c>
      <c r="J269" s="46" t="s">
        <v>3160</v>
      </c>
      <c r="K269" s="46">
        <v>1</v>
      </c>
      <c r="L269" s="46">
        <v>299</v>
      </c>
      <c r="N269" s="46" t="s">
        <v>263</v>
      </c>
      <c r="P269" s="52">
        <v>1156</v>
      </c>
      <c r="Q269" s="52" t="s">
        <v>39</v>
      </c>
      <c r="R269" s="52" t="s">
        <v>40</v>
      </c>
      <c r="T269" s="52"/>
      <c r="U269" s="52"/>
      <c r="V269" s="52"/>
      <c r="W269" s="52">
        <v>407</v>
      </c>
      <c r="X269" s="52" t="s">
        <v>332</v>
      </c>
      <c r="Y269" s="52"/>
      <c r="Z269" s="46" t="s">
        <v>329</v>
      </c>
    </row>
    <row r="270" spans="1:26">
      <c r="A270" s="49">
        <v>44364</v>
      </c>
      <c r="B270" s="48">
        <v>202106171071</v>
      </c>
      <c r="C270" s="46" t="s">
        <v>3350</v>
      </c>
      <c r="D270" s="46" t="s">
        <v>3449</v>
      </c>
      <c r="E270" s="46" t="s">
        <v>322</v>
      </c>
      <c r="F270" s="46" t="s">
        <v>3348</v>
      </c>
      <c r="G270" s="46" t="s">
        <v>39</v>
      </c>
      <c r="H270" s="47" t="s">
        <v>1512</v>
      </c>
      <c r="I270" s="46" t="s">
        <v>3194</v>
      </c>
      <c r="J270" s="46" t="s">
        <v>3160</v>
      </c>
      <c r="K270" s="46">
        <v>1</v>
      </c>
      <c r="L270" s="46">
        <v>131</v>
      </c>
      <c r="N270" s="46" t="s">
        <v>1511</v>
      </c>
      <c r="P270" s="52">
        <v>1090</v>
      </c>
      <c r="Q270" s="52" t="s">
        <v>39</v>
      </c>
      <c r="R270" s="52" t="s">
        <v>40</v>
      </c>
      <c r="T270" s="52"/>
      <c r="U270" s="52"/>
      <c r="V270" s="52"/>
      <c r="W270" s="52">
        <v>231</v>
      </c>
      <c r="X270" s="52" t="s">
        <v>323</v>
      </c>
      <c r="Y270" s="52"/>
      <c r="Z270" s="46" t="s">
        <v>320</v>
      </c>
    </row>
    <row r="271" spans="1:26">
      <c r="A271" s="49">
        <v>44364</v>
      </c>
      <c r="B271" s="48">
        <v>202106171071</v>
      </c>
      <c r="C271" s="46" t="s">
        <v>3350</v>
      </c>
      <c r="D271" s="46" t="s">
        <v>3449</v>
      </c>
      <c r="E271" s="46" t="s">
        <v>322</v>
      </c>
      <c r="F271" s="46" t="s">
        <v>3348</v>
      </c>
      <c r="G271" s="46" t="s">
        <v>39</v>
      </c>
      <c r="H271" s="47" t="s">
        <v>1517</v>
      </c>
      <c r="I271" s="46" t="s">
        <v>3295</v>
      </c>
      <c r="J271" s="46" t="s">
        <v>3160</v>
      </c>
      <c r="K271" s="46">
        <v>1</v>
      </c>
      <c r="L271" s="46">
        <v>131</v>
      </c>
      <c r="N271" s="46" t="s">
        <v>1516</v>
      </c>
      <c r="P271" s="52">
        <v>1090</v>
      </c>
      <c r="Q271" s="52" t="s">
        <v>39</v>
      </c>
      <c r="R271" s="52" t="s">
        <v>40</v>
      </c>
      <c r="T271" s="52"/>
      <c r="U271" s="52"/>
      <c r="V271" s="52"/>
      <c r="W271" s="52">
        <v>231</v>
      </c>
      <c r="X271" s="52" t="s">
        <v>323</v>
      </c>
      <c r="Y271" s="52"/>
      <c r="Z271" s="46" t="s">
        <v>320</v>
      </c>
    </row>
    <row r="272" spans="1:26">
      <c r="A272" s="49">
        <v>44364</v>
      </c>
      <c r="B272" s="48">
        <v>202106171071</v>
      </c>
      <c r="C272" s="46" t="s">
        <v>3350</v>
      </c>
      <c r="D272" s="46" t="s">
        <v>3449</v>
      </c>
      <c r="E272" s="46" t="s">
        <v>322</v>
      </c>
      <c r="F272" s="46" t="s">
        <v>3348</v>
      </c>
      <c r="G272" s="46" t="s">
        <v>39</v>
      </c>
      <c r="H272" s="47" t="s">
        <v>1514</v>
      </c>
      <c r="I272" s="46" t="s">
        <v>3295</v>
      </c>
      <c r="J272" s="46" t="s">
        <v>3160</v>
      </c>
      <c r="K272" s="46">
        <v>1</v>
      </c>
      <c r="L272" s="46">
        <v>131</v>
      </c>
      <c r="N272" s="46" t="s">
        <v>1513</v>
      </c>
      <c r="P272" s="52">
        <v>1090</v>
      </c>
      <c r="Q272" s="52" t="s">
        <v>39</v>
      </c>
      <c r="R272" s="52" t="s">
        <v>40</v>
      </c>
      <c r="T272" s="52"/>
      <c r="U272" s="52"/>
      <c r="V272" s="52"/>
      <c r="W272" s="52">
        <v>231</v>
      </c>
      <c r="X272" s="52" t="s">
        <v>323</v>
      </c>
      <c r="Y272" s="52"/>
      <c r="Z272" s="46" t="s">
        <v>320</v>
      </c>
    </row>
    <row r="273" spans="1:26">
      <c r="A273" s="49">
        <v>44364</v>
      </c>
      <c r="B273" s="48">
        <v>202106171071</v>
      </c>
      <c r="C273" s="46" t="s">
        <v>3350</v>
      </c>
      <c r="D273" s="46" t="s">
        <v>3449</v>
      </c>
      <c r="E273" s="46" t="s">
        <v>322</v>
      </c>
      <c r="F273" s="46" t="s">
        <v>3348</v>
      </c>
      <c r="G273" s="46" t="s">
        <v>39</v>
      </c>
      <c r="H273" s="47">
        <v>4714781020510</v>
      </c>
      <c r="I273" s="46" t="s">
        <v>3166</v>
      </c>
      <c r="J273" s="46" t="s">
        <v>3160</v>
      </c>
      <c r="K273" s="46">
        <v>1</v>
      </c>
      <c r="L273" s="46">
        <v>299</v>
      </c>
      <c r="N273" s="46" t="s">
        <v>324</v>
      </c>
      <c r="P273" s="52">
        <v>1090</v>
      </c>
      <c r="Q273" s="52" t="s">
        <v>39</v>
      </c>
      <c r="R273" s="52" t="s">
        <v>40</v>
      </c>
      <c r="T273" s="52"/>
      <c r="U273" s="52"/>
      <c r="V273" s="52"/>
      <c r="W273" s="52">
        <v>231</v>
      </c>
      <c r="X273" s="52" t="s">
        <v>323</v>
      </c>
      <c r="Y273" s="52"/>
      <c r="Z273" s="46" t="s">
        <v>320</v>
      </c>
    </row>
    <row r="274" spans="1:26">
      <c r="A274" s="49">
        <v>44364</v>
      </c>
      <c r="B274" s="48">
        <v>202106171071</v>
      </c>
      <c r="C274" s="46" t="s">
        <v>3350</v>
      </c>
      <c r="D274" s="46" t="s">
        <v>3449</v>
      </c>
      <c r="E274" s="46" t="s">
        <v>322</v>
      </c>
      <c r="F274" s="46" t="s">
        <v>3348</v>
      </c>
      <c r="G274" s="46" t="s">
        <v>39</v>
      </c>
      <c r="H274" s="47">
        <v>4714781020282</v>
      </c>
      <c r="I274" s="46" t="s">
        <v>3254</v>
      </c>
      <c r="J274" s="46" t="s">
        <v>3160</v>
      </c>
      <c r="K274" s="46">
        <v>1</v>
      </c>
      <c r="L274" s="46">
        <v>299</v>
      </c>
      <c r="N274" s="46" t="s">
        <v>274</v>
      </c>
      <c r="P274" s="52">
        <v>1090</v>
      </c>
      <c r="Q274" s="52" t="s">
        <v>39</v>
      </c>
      <c r="R274" s="52" t="s">
        <v>40</v>
      </c>
      <c r="T274" s="52"/>
      <c r="U274" s="52"/>
      <c r="V274" s="52"/>
      <c r="W274" s="52">
        <v>231</v>
      </c>
      <c r="X274" s="52" t="s">
        <v>323</v>
      </c>
      <c r="Y274" s="52"/>
      <c r="Z274" s="46" t="s">
        <v>320</v>
      </c>
    </row>
    <row r="275" spans="1:26">
      <c r="A275" s="49">
        <v>44364</v>
      </c>
      <c r="B275" s="48">
        <v>202106171071</v>
      </c>
      <c r="C275" s="46" t="s">
        <v>3350</v>
      </c>
      <c r="D275" s="46" t="s">
        <v>3449</v>
      </c>
      <c r="E275" s="46" t="s">
        <v>322</v>
      </c>
      <c r="F275" s="46" t="s">
        <v>3348</v>
      </c>
      <c r="G275" s="46" t="s">
        <v>39</v>
      </c>
      <c r="H275" s="47">
        <v>4714781021401</v>
      </c>
      <c r="I275" s="46" t="s">
        <v>3197</v>
      </c>
      <c r="J275" s="46" t="s">
        <v>3160</v>
      </c>
      <c r="K275" s="46">
        <v>1</v>
      </c>
      <c r="L275" s="46">
        <v>99</v>
      </c>
      <c r="N275" s="46" t="s">
        <v>326</v>
      </c>
      <c r="P275" s="52">
        <v>1090</v>
      </c>
      <c r="Q275" s="52" t="s">
        <v>39</v>
      </c>
      <c r="R275" s="52" t="s">
        <v>40</v>
      </c>
      <c r="T275" s="52"/>
      <c r="U275" s="52"/>
      <c r="V275" s="52"/>
      <c r="W275" s="52">
        <v>231</v>
      </c>
      <c r="X275" s="52" t="s">
        <v>323</v>
      </c>
      <c r="Y275" s="52"/>
      <c r="Z275" s="46" t="s">
        <v>320</v>
      </c>
    </row>
    <row r="276" spans="1:26">
      <c r="A276" s="49">
        <v>44364</v>
      </c>
      <c r="B276" s="48">
        <v>202106171072</v>
      </c>
      <c r="C276" s="46" t="s">
        <v>3350</v>
      </c>
      <c r="D276" s="46" t="s">
        <v>3448</v>
      </c>
      <c r="E276" s="46" t="s">
        <v>311</v>
      </c>
      <c r="F276" s="46" t="s">
        <v>3348</v>
      </c>
      <c r="G276" s="46" t="s">
        <v>39</v>
      </c>
      <c r="H276" s="47">
        <v>4714781021593</v>
      </c>
      <c r="I276" s="46" t="s">
        <v>3183</v>
      </c>
      <c r="J276" s="46" t="s">
        <v>3160</v>
      </c>
      <c r="K276" s="46">
        <v>2</v>
      </c>
      <c r="L276" s="46">
        <v>223</v>
      </c>
      <c r="N276" s="46" t="s">
        <v>1453</v>
      </c>
      <c r="P276" s="52">
        <v>1214</v>
      </c>
      <c r="Q276" s="52" t="s">
        <v>39</v>
      </c>
      <c r="R276" s="52" t="s">
        <v>40</v>
      </c>
      <c r="T276" s="52"/>
      <c r="U276" s="52"/>
      <c r="V276" s="52"/>
      <c r="W276" s="52">
        <v>116</v>
      </c>
      <c r="X276" s="52" t="s">
        <v>314</v>
      </c>
      <c r="Y276" s="52"/>
      <c r="Z276" s="46" t="s">
        <v>309</v>
      </c>
    </row>
    <row r="277" spans="1:26">
      <c r="A277" s="49">
        <v>44364</v>
      </c>
      <c r="B277" s="48">
        <v>202106171072</v>
      </c>
      <c r="C277" s="46" t="s">
        <v>3350</v>
      </c>
      <c r="D277" s="46" t="s">
        <v>3448</v>
      </c>
      <c r="E277" s="46" t="s">
        <v>311</v>
      </c>
      <c r="F277" s="46" t="s">
        <v>3348</v>
      </c>
      <c r="G277" s="46" t="s">
        <v>39</v>
      </c>
      <c r="H277" s="47">
        <v>4714781021609</v>
      </c>
      <c r="I277" s="46" t="s">
        <v>3183</v>
      </c>
      <c r="J277" s="46" t="s">
        <v>3160</v>
      </c>
      <c r="K277" s="46">
        <v>1</v>
      </c>
      <c r="L277" s="46">
        <v>112</v>
      </c>
      <c r="N277" s="46" t="s">
        <v>1454</v>
      </c>
      <c r="P277" s="52">
        <v>1214</v>
      </c>
      <c r="Q277" s="52" t="s">
        <v>39</v>
      </c>
      <c r="R277" s="52" t="s">
        <v>40</v>
      </c>
      <c r="T277" s="52"/>
      <c r="U277" s="52"/>
      <c r="V277" s="52"/>
      <c r="W277" s="52">
        <v>116</v>
      </c>
      <c r="X277" s="52" t="s">
        <v>314</v>
      </c>
      <c r="Y277" s="52"/>
      <c r="Z277" s="46" t="s">
        <v>309</v>
      </c>
    </row>
    <row r="278" spans="1:26">
      <c r="A278" s="49">
        <v>44364</v>
      </c>
      <c r="B278" s="48">
        <v>202106171072</v>
      </c>
      <c r="C278" s="46" t="s">
        <v>3350</v>
      </c>
      <c r="D278" s="46" t="s">
        <v>3448</v>
      </c>
      <c r="E278" s="46" t="s">
        <v>311</v>
      </c>
      <c r="F278" s="46" t="s">
        <v>3348</v>
      </c>
      <c r="G278" s="46" t="s">
        <v>39</v>
      </c>
      <c r="H278" s="47" t="s">
        <v>1512</v>
      </c>
      <c r="I278" s="46" t="s">
        <v>3194</v>
      </c>
      <c r="J278" s="46" t="s">
        <v>3160</v>
      </c>
      <c r="K278" s="46">
        <v>1</v>
      </c>
      <c r="L278" s="46">
        <v>150</v>
      </c>
      <c r="N278" s="46" t="s">
        <v>1511</v>
      </c>
      <c r="P278" s="52">
        <v>1214</v>
      </c>
      <c r="Q278" s="52" t="s">
        <v>39</v>
      </c>
      <c r="R278" s="52" t="s">
        <v>40</v>
      </c>
      <c r="T278" s="52"/>
      <c r="U278" s="52"/>
      <c r="V278" s="52"/>
      <c r="W278" s="52">
        <v>116</v>
      </c>
      <c r="X278" s="52" t="s">
        <v>314</v>
      </c>
      <c r="Y278" s="52"/>
      <c r="Z278" s="46" t="s">
        <v>309</v>
      </c>
    </row>
    <row r="279" spans="1:26">
      <c r="A279" s="49">
        <v>44364</v>
      </c>
      <c r="B279" s="48">
        <v>202106171072</v>
      </c>
      <c r="C279" s="46" t="s">
        <v>3350</v>
      </c>
      <c r="D279" s="46" t="s">
        <v>3448</v>
      </c>
      <c r="E279" s="46" t="s">
        <v>311</v>
      </c>
      <c r="F279" s="46" t="s">
        <v>3348</v>
      </c>
      <c r="G279" s="46" t="s">
        <v>39</v>
      </c>
      <c r="H279" s="47" t="s">
        <v>1517</v>
      </c>
      <c r="I279" s="46" t="s">
        <v>3295</v>
      </c>
      <c r="J279" s="46" t="s">
        <v>3160</v>
      </c>
      <c r="K279" s="46">
        <v>1</v>
      </c>
      <c r="L279" s="46">
        <v>150</v>
      </c>
      <c r="N279" s="46" t="s">
        <v>1516</v>
      </c>
      <c r="P279" s="52">
        <v>1214</v>
      </c>
      <c r="Q279" s="52" t="s">
        <v>39</v>
      </c>
      <c r="R279" s="52" t="s">
        <v>40</v>
      </c>
      <c r="T279" s="52"/>
      <c r="U279" s="52"/>
      <c r="V279" s="52"/>
      <c r="W279" s="52">
        <v>116</v>
      </c>
      <c r="X279" s="52" t="s">
        <v>314</v>
      </c>
      <c r="Y279" s="52"/>
      <c r="Z279" s="46" t="s">
        <v>309</v>
      </c>
    </row>
    <row r="280" spans="1:26">
      <c r="A280" s="49">
        <v>44364</v>
      </c>
      <c r="B280" s="48">
        <v>202106171072</v>
      </c>
      <c r="C280" s="46" t="s">
        <v>3350</v>
      </c>
      <c r="D280" s="46" t="s">
        <v>3448</v>
      </c>
      <c r="E280" s="46" t="s">
        <v>311</v>
      </c>
      <c r="F280" s="46" t="s">
        <v>3348</v>
      </c>
      <c r="G280" s="46" t="s">
        <v>39</v>
      </c>
      <c r="H280" s="47" t="s">
        <v>1514</v>
      </c>
      <c r="I280" s="46" t="s">
        <v>3295</v>
      </c>
      <c r="J280" s="46" t="s">
        <v>3160</v>
      </c>
      <c r="K280" s="46">
        <v>1</v>
      </c>
      <c r="L280" s="46">
        <v>150</v>
      </c>
      <c r="N280" s="46" t="s">
        <v>1513</v>
      </c>
      <c r="P280" s="52">
        <v>1214</v>
      </c>
      <c r="Q280" s="52" t="s">
        <v>39</v>
      </c>
      <c r="R280" s="52" t="s">
        <v>40</v>
      </c>
      <c r="T280" s="52"/>
      <c r="U280" s="52"/>
      <c r="V280" s="52"/>
      <c r="W280" s="52">
        <v>116</v>
      </c>
      <c r="X280" s="52" t="s">
        <v>314</v>
      </c>
      <c r="Y280" s="52"/>
      <c r="Z280" s="46" t="s">
        <v>309</v>
      </c>
    </row>
    <row r="281" spans="1:26">
      <c r="A281" s="49">
        <v>44364</v>
      </c>
      <c r="B281" s="48">
        <v>202106171072</v>
      </c>
      <c r="C281" s="46" t="s">
        <v>3350</v>
      </c>
      <c r="D281" s="46" t="s">
        <v>3448</v>
      </c>
      <c r="E281" s="46" t="s">
        <v>311</v>
      </c>
      <c r="F281" s="46" t="s">
        <v>3348</v>
      </c>
      <c r="G281" s="46" t="s">
        <v>39</v>
      </c>
      <c r="H281" s="47" t="s">
        <v>1493</v>
      </c>
      <c r="I281" s="46" t="s">
        <v>3276</v>
      </c>
      <c r="J281" s="46" t="s">
        <v>3160</v>
      </c>
      <c r="K281" s="46">
        <v>1</v>
      </c>
      <c r="L281" s="46">
        <v>140</v>
      </c>
      <c r="N281" s="46" t="s">
        <v>1492</v>
      </c>
      <c r="P281" s="52">
        <v>1214</v>
      </c>
      <c r="Q281" s="52" t="s">
        <v>39</v>
      </c>
      <c r="R281" s="52" t="s">
        <v>40</v>
      </c>
      <c r="T281" s="52"/>
      <c r="U281" s="52"/>
      <c r="V281" s="52"/>
      <c r="W281" s="52">
        <v>116</v>
      </c>
      <c r="X281" s="52" t="s">
        <v>314</v>
      </c>
      <c r="Y281" s="52"/>
      <c r="Z281" s="46" t="s">
        <v>309</v>
      </c>
    </row>
    <row r="282" spans="1:26">
      <c r="A282" s="49">
        <v>44364</v>
      </c>
      <c r="B282" s="48">
        <v>202106171072</v>
      </c>
      <c r="C282" s="46" t="s">
        <v>3350</v>
      </c>
      <c r="D282" s="46" t="s">
        <v>3448</v>
      </c>
      <c r="E282" s="46" t="s">
        <v>311</v>
      </c>
      <c r="F282" s="46" t="s">
        <v>3348</v>
      </c>
      <c r="G282" s="46" t="s">
        <v>39</v>
      </c>
      <c r="H282" s="47" t="s">
        <v>1491</v>
      </c>
      <c r="I282" s="46" t="s">
        <v>3273</v>
      </c>
      <c r="J282" s="46" t="s">
        <v>3160</v>
      </c>
      <c r="K282" s="46">
        <v>1</v>
      </c>
      <c r="L282" s="46">
        <v>140</v>
      </c>
      <c r="N282" s="46" t="s">
        <v>1490</v>
      </c>
      <c r="P282" s="52">
        <v>1214</v>
      </c>
      <c r="Q282" s="52" t="s">
        <v>39</v>
      </c>
      <c r="R282" s="52" t="s">
        <v>40</v>
      </c>
      <c r="T282" s="52"/>
      <c r="U282" s="52"/>
      <c r="V282" s="52"/>
      <c r="W282" s="52">
        <v>116</v>
      </c>
      <c r="X282" s="52" t="s">
        <v>314</v>
      </c>
      <c r="Y282" s="52"/>
      <c r="Z282" s="46" t="s">
        <v>309</v>
      </c>
    </row>
    <row r="283" spans="1:26">
      <c r="A283" s="49">
        <v>44364</v>
      </c>
      <c r="B283" s="48">
        <v>202106171072</v>
      </c>
      <c r="C283" s="46" t="s">
        <v>3350</v>
      </c>
      <c r="D283" s="46" t="s">
        <v>3448</v>
      </c>
      <c r="E283" s="46" t="s">
        <v>311</v>
      </c>
      <c r="F283" s="46" t="s">
        <v>3348</v>
      </c>
      <c r="G283" s="46" t="s">
        <v>39</v>
      </c>
      <c r="H283" s="47">
        <v>4714781020954</v>
      </c>
      <c r="I283" s="46" t="s">
        <v>3250</v>
      </c>
      <c r="J283" s="46" t="s">
        <v>3160</v>
      </c>
      <c r="K283" s="46">
        <v>1</v>
      </c>
      <c r="L283" s="46">
        <v>149</v>
      </c>
      <c r="N283" s="46" t="s">
        <v>139</v>
      </c>
      <c r="P283" s="52">
        <v>1214</v>
      </c>
      <c r="Q283" s="52" t="s">
        <v>39</v>
      </c>
      <c r="R283" s="52" t="s">
        <v>40</v>
      </c>
      <c r="T283" s="52"/>
      <c r="U283" s="52"/>
      <c r="V283" s="52"/>
      <c r="W283" s="52">
        <v>116</v>
      </c>
      <c r="X283" s="52" t="s">
        <v>314</v>
      </c>
      <c r="Y283" s="52"/>
      <c r="Z283" s="46" t="s">
        <v>309</v>
      </c>
    </row>
    <row r="284" spans="1:26">
      <c r="A284" s="49">
        <v>44364</v>
      </c>
      <c r="B284" s="48">
        <v>202106171073</v>
      </c>
      <c r="C284" s="46" t="s">
        <v>3350</v>
      </c>
      <c r="D284" s="46" t="s">
        <v>3447</v>
      </c>
      <c r="E284" s="46" t="s">
        <v>305</v>
      </c>
      <c r="F284" s="46" t="s">
        <v>3348</v>
      </c>
      <c r="G284" s="46" t="s">
        <v>22</v>
      </c>
      <c r="H284" s="47">
        <v>4714781021609</v>
      </c>
      <c r="I284" s="46" t="s">
        <v>3183</v>
      </c>
      <c r="J284" s="46" t="s">
        <v>3160</v>
      </c>
      <c r="K284" s="46">
        <v>3</v>
      </c>
      <c r="L284" s="46">
        <v>399</v>
      </c>
      <c r="N284" s="46" t="s">
        <v>1454</v>
      </c>
      <c r="P284" s="52">
        <v>829</v>
      </c>
      <c r="Q284" s="52" t="s">
        <v>22</v>
      </c>
      <c r="R284" s="52" t="s">
        <v>23</v>
      </c>
      <c r="T284" s="52"/>
      <c r="U284" s="52"/>
      <c r="V284" s="52"/>
      <c r="W284" s="52">
        <v>655</v>
      </c>
      <c r="X284" s="52" t="s">
        <v>306</v>
      </c>
      <c r="Y284" s="52" t="s">
        <v>307</v>
      </c>
      <c r="Z284" s="46" t="s">
        <v>303</v>
      </c>
    </row>
    <row r="285" spans="1:26">
      <c r="A285" s="49">
        <v>44364</v>
      </c>
      <c r="B285" s="48">
        <v>202106171073</v>
      </c>
      <c r="C285" s="46" t="s">
        <v>3350</v>
      </c>
      <c r="D285" s="46" t="s">
        <v>3447</v>
      </c>
      <c r="E285" s="46" t="s">
        <v>305</v>
      </c>
      <c r="F285" s="46" t="s">
        <v>3348</v>
      </c>
      <c r="G285" s="46" t="s">
        <v>22</v>
      </c>
      <c r="H285" s="47">
        <v>4714781020770</v>
      </c>
      <c r="I285" s="46" t="s">
        <v>3276</v>
      </c>
      <c r="J285" s="46" t="s">
        <v>3160</v>
      </c>
      <c r="K285" s="46">
        <v>1</v>
      </c>
      <c r="L285" s="46">
        <v>140</v>
      </c>
      <c r="N285" s="46" t="s">
        <v>1380</v>
      </c>
      <c r="P285" s="52">
        <v>829</v>
      </c>
      <c r="Q285" s="52" t="s">
        <v>22</v>
      </c>
      <c r="R285" s="52" t="s">
        <v>23</v>
      </c>
      <c r="T285" s="52"/>
      <c r="U285" s="52"/>
      <c r="V285" s="52"/>
      <c r="W285" s="52">
        <v>655</v>
      </c>
      <c r="X285" s="52" t="s">
        <v>306</v>
      </c>
      <c r="Y285" s="52" t="s">
        <v>307</v>
      </c>
      <c r="Z285" s="46" t="s">
        <v>303</v>
      </c>
    </row>
    <row r="286" spans="1:26">
      <c r="A286" s="49">
        <v>44364</v>
      </c>
      <c r="B286" s="48">
        <v>202106171073</v>
      </c>
      <c r="C286" s="46" t="s">
        <v>3350</v>
      </c>
      <c r="D286" s="46" t="s">
        <v>3447</v>
      </c>
      <c r="E286" s="46" t="s">
        <v>305</v>
      </c>
      <c r="F286" s="46" t="s">
        <v>3348</v>
      </c>
      <c r="G286" s="46" t="s">
        <v>22</v>
      </c>
      <c r="H286" s="47">
        <v>4714781020787</v>
      </c>
      <c r="I286" s="46" t="s">
        <v>3273</v>
      </c>
      <c r="J286" s="46" t="s">
        <v>3160</v>
      </c>
      <c r="K286" s="46">
        <v>1</v>
      </c>
      <c r="L286" s="46">
        <v>140</v>
      </c>
      <c r="N286" s="46" t="s">
        <v>1378</v>
      </c>
      <c r="P286" s="52">
        <v>829</v>
      </c>
      <c r="Q286" s="52" t="s">
        <v>22</v>
      </c>
      <c r="R286" s="52" t="s">
        <v>23</v>
      </c>
      <c r="T286" s="52"/>
      <c r="U286" s="52"/>
      <c r="V286" s="52"/>
      <c r="W286" s="52">
        <v>655</v>
      </c>
      <c r="X286" s="52" t="s">
        <v>306</v>
      </c>
      <c r="Y286" s="52" t="s">
        <v>307</v>
      </c>
      <c r="Z286" s="46" t="s">
        <v>303</v>
      </c>
    </row>
    <row r="287" spans="1:26">
      <c r="A287" s="49">
        <v>44364</v>
      </c>
      <c r="B287" s="48">
        <v>202106171073</v>
      </c>
      <c r="C287" s="46" t="s">
        <v>3350</v>
      </c>
      <c r="D287" s="46" t="s">
        <v>3447</v>
      </c>
      <c r="E287" s="46" t="s">
        <v>305</v>
      </c>
      <c r="F287" s="46" t="s">
        <v>3348</v>
      </c>
      <c r="G287" s="46" t="s">
        <v>22</v>
      </c>
      <c r="H287" s="47">
        <v>4714781020954</v>
      </c>
      <c r="I287" s="46" t="s">
        <v>3250</v>
      </c>
      <c r="J287" s="46" t="s">
        <v>3160</v>
      </c>
      <c r="K287" s="46">
        <v>1</v>
      </c>
      <c r="L287" s="46">
        <v>150</v>
      </c>
      <c r="N287" s="46" t="s">
        <v>140</v>
      </c>
      <c r="P287" s="52">
        <v>829</v>
      </c>
      <c r="Q287" s="52" t="s">
        <v>22</v>
      </c>
      <c r="R287" s="52" t="s">
        <v>23</v>
      </c>
      <c r="T287" s="52"/>
      <c r="U287" s="52"/>
      <c r="V287" s="52"/>
      <c r="W287" s="52">
        <v>655</v>
      </c>
      <c r="X287" s="52" t="s">
        <v>306</v>
      </c>
      <c r="Y287" s="52" t="s">
        <v>307</v>
      </c>
      <c r="Z287" s="46" t="s">
        <v>303</v>
      </c>
    </row>
    <row r="288" spans="1:26">
      <c r="A288" s="49">
        <v>44364</v>
      </c>
      <c r="B288" s="48">
        <v>202106171074</v>
      </c>
      <c r="C288" s="46" t="s">
        <v>3350</v>
      </c>
      <c r="D288" s="46" t="s">
        <v>3446</v>
      </c>
      <c r="E288" s="46" t="s">
        <v>292</v>
      </c>
      <c r="F288" s="46" t="s">
        <v>3348</v>
      </c>
      <c r="G288" s="46" t="s">
        <v>39</v>
      </c>
      <c r="H288" s="47">
        <v>4714781021609</v>
      </c>
      <c r="I288" s="46" t="s">
        <v>3183</v>
      </c>
      <c r="J288" s="46" t="s">
        <v>3160</v>
      </c>
      <c r="K288" s="46">
        <v>4</v>
      </c>
      <c r="L288" s="46">
        <v>500</v>
      </c>
      <c r="N288" s="46" t="s">
        <v>1454</v>
      </c>
      <c r="P288" s="52">
        <v>1020</v>
      </c>
      <c r="Q288" s="52" t="s">
        <v>39</v>
      </c>
      <c r="R288" s="52" t="s">
        <v>59</v>
      </c>
      <c r="T288" s="52"/>
      <c r="U288" s="52"/>
      <c r="V288" s="52"/>
      <c r="W288" s="52">
        <v>300</v>
      </c>
      <c r="X288" s="52" t="s">
        <v>295</v>
      </c>
      <c r="Y288" s="52"/>
      <c r="Z288" s="46" t="s">
        <v>290</v>
      </c>
    </row>
    <row r="289" spans="1:26">
      <c r="A289" s="49">
        <v>44364</v>
      </c>
      <c r="B289" s="48">
        <v>202106171074</v>
      </c>
      <c r="C289" s="46" t="s">
        <v>3350</v>
      </c>
      <c r="D289" s="46" t="s">
        <v>3446</v>
      </c>
      <c r="E289" s="46" t="s">
        <v>292</v>
      </c>
      <c r="F289" s="46" t="s">
        <v>3348</v>
      </c>
      <c r="G289" s="46" t="s">
        <v>39</v>
      </c>
      <c r="H289" s="47">
        <v>4714781021593</v>
      </c>
      <c r="I289" s="46" t="s">
        <v>3183</v>
      </c>
      <c r="J289" s="46" t="s">
        <v>3160</v>
      </c>
      <c r="K289" s="46">
        <v>2</v>
      </c>
      <c r="L289" s="46">
        <v>250</v>
      </c>
      <c r="N289" s="46" t="s">
        <v>1453</v>
      </c>
      <c r="P289" s="52">
        <v>1020</v>
      </c>
      <c r="Q289" s="52" t="s">
        <v>39</v>
      </c>
      <c r="R289" s="52" t="s">
        <v>59</v>
      </c>
      <c r="T289" s="52"/>
      <c r="U289" s="52"/>
      <c r="V289" s="52"/>
      <c r="W289" s="52">
        <v>300</v>
      </c>
      <c r="X289" s="52" t="s">
        <v>295</v>
      </c>
      <c r="Y289" s="52"/>
      <c r="Z289" s="46" t="s">
        <v>290</v>
      </c>
    </row>
    <row r="290" spans="1:26">
      <c r="A290" s="49">
        <v>44364</v>
      </c>
      <c r="B290" s="48">
        <v>202106171074</v>
      </c>
      <c r="C290" s="46" t="s">
        <v>3350</v>
      </c>
      <c r="D290" s="46" t="s">
        <v>3446</v>
      </c>
      <c r="E290" s="46" t="s">
        <v>292</v>
      </c>
      <c r="F290" s="46" t="s">
        <v>3348</v>
      </c>
      <c r="G290" s="46" t="s">
        <v>39</v>
      </c>
      <c r="H290" s="47">
        <v>4714781020770</v>
      </c>
      <c r="I290" s="46" t="s">
        <v>3276</v>
      </c>
      <c r="J290" s="46" t="s">
        <v>3160</v>
      </c>
      <c r="K290" s="46">
        <v>1</v>
      </c>
      <c r="L290" s="46">
        <v>135</v>
      </c>
      <c r="N290" s="46" t="s">
        <v>1380</v>
      </c>
      <c r="P290" s="52">
        <v>1020</v>
      </c>
      <c r="Q290" s="52" t="s">
        <v>39</v>
      </c>
      <c r="R290" s="52" t="s">
        <v>59</v>
      </c>
      <c r="T290" s="52"/>
      <c r="U290" s="52"/>
      <c r="V290" s="52"/>
      <c r="W290" s="52">
        <v>300</v>
      </c>
      <c r="X290" s="52" t="s">
        <v>295</v>
      </c>
      <c r="Y290" s="52"/>
      <c r="Z290" s="46" t="s">
        <v>290</v>
      </c>
    </row>
    <row r="291" spans="1:26">
      <c r="A291" s="49">
        <v>44364</v>
      </c>
      <c r="B291" s="48">
        <v>202106171074</v>
      </c>
      <c r="C291" s="46" t="s">
        <v>3350</v>
      </c>
      <c r="D291" s="46" t="s">
        <v>3446</v>
      </c>
      <c r="E291" s="46" t="s">
        <v>292</v>
      </c>
      <c r="F291" s="46" t="s">
        <v>3348</v>
      </c>
      <c r="G291" s="46" t="s">
        <v>39</v>
      </c>
      <c r="H291" s="47">
        <v>4714781020787</v>
      </c>
      <c r="I291" s="46" t="s">
        <v>3273</v>
      </c>
      <c r="J291" s="46" t="s">
        <v>3160</v>
      </c>
      <c r="K291" s="46">
        <v>1</v>
      </c>
      <c r="L291" s="46">
        <v>135</v>
      </c>
      <c r="N291" s="46" t="s">
        <v>1378</v>
      </c>
      <c r="P291" s="52">
        <v>1020</v>
      </c>
      <c r="Q291" s="52" t="s">
        <v>39</v>
      </c>
      <c r="R291" s="52" t="s">
        <v>59</v>
      </c>
      <c r="T291" s="52"/>
      <c r="U291" s="52"/>
      <c r="V291" s="52"/>
      <c r="W291" s="52">
        <v>300</v>
      </c>
      <c r="X291" s="52" t="s">
        <v>295</v>
      </c>
      <c r="Y291" s="52"/>
      <c r="Z291" s="46" t="s">
        <v>290</v>
      </c>
    </row>
    <row r="292" spans="1:26" ht="20">
      <c r="A292" s="49">
        <v>44364</v>
      </c>
      <c r="B292" s="48">
        <v>202106171074</v>
      </c>
      <c r="C292" s="46" t="s">
        <v>3350</v>
      </c>
      <c r="D292" s="46" t="s">
        <v>3446</v>
      </c>
      <c r="E292" s="46" t="s">
        <v>292</v>
      </c>
      <c r="F292" s="46" t="s">
        <v>3348</v>
      </c>
      <c r="G292" s="46" t="s">
        <v>39</v>
      </c>
      <c r="H292" s="47">
        <v>4714781020725</v>
      </c>
      <c r="I292" s="53" t="s">
        <v>3278</v>
      </c>
      <c r="J292" s="46" t="s">
        <v>3160</v>
      </c>
      <c r="K292" s="46">
        <v>1</v>
      </c>
      <c r="L292" s="46">
        <v>0</v>
      </c>
      <c r="N292" s="46" t="s">
        <v>301</v>
      </c>
      <c r="P292" s="52">
        <v>1020</v>
      </c>
      <c r="Q292" s="52" t="s">
        <v>39</v>
      </c>
      <c r="R292" s="52" t="s">
        <v>59</v>
      </c>
      <c r="T292" s="52"/>
      <c r="U292" s="52"/>
      <c r="V292" s="52"/>
      <c r="W292" s="52">
        <v>300</v>
      </c>
      <c r="X292" s="52" t="s">
        <v>295</v>
      </c>
      <c r="Y292" s="52"/>
      <c r="Z292" s="46" t="s">
        <v>290</v>
      </c>
    </row>
    <row r="293" spans="1:26">
      <c r="A293" s="49">
        <v>44364</v>
      </c>
      <c r="B293" s="48">
        <v>202106171075</v>
      </c>
      <c r="C293" s="46" t="s">
        <v>3350</v>
      </c>
      <c r="D293" s="46" t="s">
        <v>3445</v>
      </c>
      <c r="E293" s="46" t="s">
        <v>941</v>
      </c>
      <c r="F293" s="46" t="s">
        <v>3348</v>
      </c>
      <c r="G293" s="46" t="s">
        <v>633</v>
      </c>
      <c r="H293" s="47">
        <v>4714781021777</v>
      </c>
      <c r="I293" s="46" t="s">
        <v>3169</v>
      </c>
      <c r="J293" s="46" t="s">
        <v>3160</v>
      </c>
      <c r="K293" s="46">
        <v>2</v>
      </c>
      <c r="L293" s="46">
        <v>798</v>
      </c>
      <c r="N293" s="46" t="s">
        <v>270</v>
      </c>
      <c r="P293" s="52">
        <v>798</v>
      </c>
      <c r="Q293" s="52" t="s">
        <v>633</v>
      </c>
      <c r="R293" s="52" t="s">
        <v>634</v>
      </c>
      <c r="T293" s="52">
        <v>967570</v>
      </c>
      <c r="U293" s="52" t="s">
        <v>942</v>
      </c>
      <c r="V293" s="52" t="s">
        <v>943</v>
      </c>
      <c r="W293" s="52"/>
      <c r="X293" s="52"/>
      <c r="Y293" s="52"/>
      <c r="Z293" s="46" t="s">
        <v>939</v>
      </c>
    </row>
    <row r="294" spans="1:26">
      <c r="A294" s="49">
        <v>44364</v>
      </c>
      <c r="B294" s="48">
        <v>202106171076</v>
      </c>
      <c r="C294" s="46" t="s">
        <v>3350</v>
      </c>
      <c r="D294" s="46" t="s">
        <v>3444</v>
      </c>
      <c r="E294" s="46" t="s">
        <v>284</v>
      </c>
      <c r="F294" s="46" t="s">
        <v>3348</v>
      </c>
      <c r="G294" s="46" t="s">
        <v>39</v>
      </c>
      <c r="H294" s="47">
        <v>4714781021609</v>
      </c>
      <c r="I294" s="46" t="s">
        <v>3183</v>
      </c>
      <c r="J294" s="46" t="s">
        <v>3160</v>
      </c>
      <c r="K294" s="46">
        <v>2</v>
      </c>
      <c r="L294" s="46">
        <v>250</v>
      </c>
      <c r="N294" s="46" t="s">
        <v>1454</v>
      </c>
      <c r="P294" s="52">
        <v>750</v>
      </c>
      <c r="Q294" s="52" t="s">
        <v>39</v>
      </c>
      <c r="R294" s="52" t="s">
        <v>59</v>
      </c>
      <c r="T294" s="52"/>
      <c r="U294" s="52"/>
      <c r="V294" s="52"/>
      <c r="W294" s="52">
        <v>251</v>
      </c>
      <c r="X294" s="52" t="s">
        <v>288</v>
      </c>
      <c r="Y294" s="52"/>
      <c r="Z294" s="46" t="s">
        <v>282</v>
      </c>
    </row>
    <row r="295" spans="1:26">
      <c r="A295" s="49">
        <v>44364</v>
      </c>
      <c r="B295" s="48">
        <v>202106171076</v>
      </c>
      <c r="C295" s="46" t="s">
        <v>3350</v>
      </c>
      <c r="D295" s="46" t="s">
        <v>3444</v>
      </c>
      <c r="E295" s="46" t="s">
        <v>284</v>
      </c>
      <c r="F295" s="46" t="s">
        <v>3348</v>
      </c>
      <c r="G295" s="46" t="s">
        <v>39</v>
      </c>
      <c r="H295" s="47">
        <v>4714781021593</v>
      </c>
      <c r="I295" s="46" t="s">
        <v>3183</v>
      </c>
      <c r="J295" s="46" t="s">
        <v>3160</v>
      </c>
      <c r="K295" s="46">
        <v>2</v>
      </c>
      <c r="L295" s="46">
        <v>250</v>
      </c>
      <c r="N295" s="46" t="s">
        <v>1453</v>
      </c>
      <c r="P295" s="52">
        <v>750</v>
      </c>
      <c r="Q295" s="52" t="s">
        <v>39</v>
      </c>
      <c r="R295" s="52" t="s">
        <v>59</v>
      </c>
      <c r="T295" s="52"/>
      <c r="U295" s="52"/>
      <c r="V295" s="52"/>
      <c r="W295" s="52">
        <v>251</v>
      </c>
      <c r="X295" s="52" t="s">
        <v>288</v>
      </c>
      <c r="Y295" s="52"/>
      <c r="Z295" s="46" t="s">
        <v>282</v>
      </c>
    </row>
    <row r="296" spans="1:26">
      <c r="A296" s="49">
        <v>44364</v>
      </c>
      <c r="B296" s="48">
        <v>202106171076</v>
      </c>
      <c r="C296" s="46" t="s">
        <v>3350</v>
      </c>
      <c r="D296" s="46" t="s">
        <v>3444</v>
      </c>
      <c r="E296" s="46" t="s">
        <v>284</v>
      </c>
      <c r="F296" s="46" t="s">
        <v>3348</v>
      </c>
      <c r="G296" s="46" t="s">
        <v>39</v>
      </c>
      <c r="H296" s="47">
        <v>4714781021029</v>
      </c>
      <c r="I296" s="46" t="s">
        <v>3234</v>
      </c>
      <c r="J296" s="46" t="s">
        <v>3160</v>
      </c>
      <c r="K296" s="46">
        <v>2</v>
      </c>
      <c r="L296" s="46">
        <v>250</v>
      </c>
      <c r="N296" s="46" t="s">
        <v>1452</v>
      </c>
      <c r="P296" s="52">
        <v>750</v>
      </c>
      <c r="Q296" s="52" t="s">
        <v>39</v>
      </c>
      <c r="R296" s="52" t="s">
        <v>59</v>
      </c>
      <c r="T296" s="52"/>
      <c r="U296" s="52"/>
      <c r="V296" s="52"/>
      <c r="W296" s="52">
        <v>251</v>
      </c>
      <c r="X296" s="52" t="s">
        <v>288</v>
      </c>
      <c r="Y296" s="52"/>
      <c r="Z296" s="46" t="s">
        <v>282</v>
      </c>
    </row>
    <row r="297" spans="1:26">
      <c r="A297" s="49">
        <v>44364</v>
      </c>
      <c r="B297" s="48">
        <v>202106171077</v>
      </c>
      <c r="C297" s="46" t="s">
        <v>3350</v>
      </c>
      <c r="D297" s="46" t="s">
        <v>3443</v>
      </c>
      <c r="E297" s="46" t="s">
        <v>947</v>
      </c>
      <c r="F297" s="46" t="s">
        <v>3348</v>
      </c>
      <c r="G297" s="46" t="s">
        <v>633</v>
      </c>
      <c r="H297" s="47">
        <v>4714781020954</v>
      </c>
      <c r="I297" s="46" t="s">
        <v>3250</v>
      </c>
      <c r="J297" s="46" t="s">
        <v>3160</v>
      </c>
      <c r="K297" s="46">
        <v>1</v>
      </c>
      <c r="L297" s="46">
        <v>149</v>
      </c>
      <c r="N297" s="46" t="s">
        <v>139</v>
      </c>
      <c r="P297" s="52">
        <v>642</v>
      </c>
      <c r="Q297" s="52" t="s">
        <v>633</v>
      </c>
      <c r="R297" s="52" t="s">
        <v>634</v>
      </c>
      <c r="T297" s="52">
        <v>183332</v>
      </c>
      <c r="U297" s="52" t="s">
        <v>948</v>
      </c>
      <c r="V297" s="52" t="s">
        <v>949</v>
      </c>
      <c r="W297" s="52"/>
      <c r="X297" s="52"/>
      <c r="Y297" s="52"/>
      <c r="Z297" s="46" t="s">
        <v>945</v>
      </c>
    </row>
    <row r="298" spans="1:26">
      <c r="A298" s="49">
        <v>44364</v>
      </c>
      <c r="B298" s="48">
        <v>202106171077</v>
      </c>
      <c r="C298" s="46" t="s">
        <v>3350</v>
      </c>
      <c r="D298" s="46" t="s">
        <v>3443</v>
      </c>
      <c r="E298" s="46" t="s">
        <v>947</v>
      </c>
      <c r="F298" s="46" t="s">
        <v>3348</v>
      </c>
      <c r="G298" s="46" t="s">
        <v>633</v>
      </c>
      <c r="H298" s="47">
        <v>4714781020800</v>
      </c>
      <c r="I298" s="46" t="s">
        <v>3220</v>
      </c>
      <c r="J298" s="46" t="s">
        <v>3160</v>
      </c>
      <c r="K298" s="46">
        <v>1</v>
      </c>
      <c r="L298" s="46">
        <v>128</v>
      </c>
      <c r="N298" s="46" t="s">
        <v>66</v>
      </c>
      <c r="P298" s="52">
        <v>642</v>
      </c>
      <c r="Q298" s="52" t="s">
        <v>633</v>
      </c>
      <c r="R298" s="52" t="s">
        <v>634</v>
      </c>
      <c r="T298" s="52">
        <v>183332</v>
      </c>
      <c r="U298" s="52" t="s">
        <v>948</v>
      </c>
      <c r="V298" s="52" t="s">
        <v>949</v>
      </c>
      <c r="W298" s="52"/>
      <c r="X298" s="52"/>
      <c r="Y298" s="52"/>
      <c r="Z298" s="46" t="s">
        <v>945</v>
      </c>
    </row>
    <row r="299" spans="1:26">
      <c r="A299" s="49">
        <v>44364</v>
      </c>
      <c r="B299" s="48">
        <v>202106171077</v>
      </c>
      <c r="C299" s="46" t="s">
        <v>3350</v>
      </c>
      <c r="D299" s="46" t="s">
        <v>3443</v>
      </c>
      <c r="E299" s="46" t="s">
        <v>947</v>
      </c>
      <c r="F299" s="46" t="s">
        <v>3348</v>
      </c>
      <c r="G299" s="46" t="s">
        <v>633</v>
      </c>
      <c r="H299" s="47">
        <v>4714781020541</v>
      </c>
      <c r="I299" s="46" t="s">
        <v>3162</v>
      </c>
      <c r="J299" s="46" t="s">
        <v>3160</v>
      </c>
      <c r="K299" s="46">
        <v>1</v>
      </c>
      <c r="L299" s="46">
        <v>300</v>
      </c>
      <c r="N299" s="46" t="s">
        <v>719</v>
      </c>
      <c r="P299" s="52">
        <v>642</v>
      </c>
      <c r="Q299" s="52" t="s">
        <v>633</v>
      </c>
      <c r="R299" s="52" t="s">
        <v>634</v>
      </c>
      <c r="T299" s="52">
        <v>183332</v>
      </c>
      <c r="U299" s="52" t="s">
        <v>948</v>
      </c>
      <c r="V299" s="52" t="s">
        <v>949</v>
      </c>
      <c r="W299" s="52"/>
      <c r="X299" s="52"/>
      <c r="Y299" s="52"/>
      <c r="Z299" s="46" t="s">
        <v>945</v>
      </c>
    </row>
    <row r="300" spans="1:26">
      <c r="A300" s="49">
        <v>44364</v>
      </c>
      <c r="B300" s="48">
        <v>202106171077</v>
      </c>
      <c r="C300" s="46" t="s">
        <v>3350</v>
      </c>
      <c r="D300" s="46" t="s">
        <v>3443</v>
      </c>
      <c r="E300" s="46" t="s">
        <v>947</v>
      </c>
      <c r="F300" s="46" t="s">
        <v>3348</v>
      </c>
      <c r="G300" s="46" t="s">
        <v>633</v>
      </c>
      <c r="H300" s="47" t="s">
        <v>3347</v>
      </c>
      <c r="J300" s="46" t="s">
        <v>3346</v>
      </c>
      <c r="K300" s="46">
        <v>1</v>
      </c>
      <c r="L300" s="46">
        <v>65</v>
      </c>
      <c r="P300" s="52"/>
      <c r="Q300" s="52"/>
      <c r="R300" s="52"/>
      <c r="T300" s="52"/>
      <c r="U300" s="52"/>
      <c r="V300" s="52"/>
      <c r="W300" s="52"/>
      <c r="X300" s="52"/>
      <c r="Y300" s="52"/>
    </row>
    <row r="301" spans="1:26">
      <c r="A301" s="49">
        <v>44364</v>
      </c>
      <c r="B301" s="48">
        <v>202106171078</v>
      </c>
      <c r="C301" s="46" t="s">
        <v>3350</v>
      </c>
      <c r="D301" s="46" t="s">
        <v>3442</v>
      </c>
      <c r="E301" s="46" t="s">
        <v>953</v>
      </c>
      <c r="F301" s="46" t="s">
        <v>3348</v>
      </c>
      <c r="G301" s="46" t="s">
        <v>633</v>
      </c>
      <c r="H301" s="47">
        <v>4714781021609</v>
      </c>
      <c r="I301" s="46" t="s">
        <v>3183</v>
      </c>
      <c r="J301" s="46" t="s">
        <v>3160</v>
      </c>
      <c r="K301" s="46">
        <v>6</v>
      </c>
      <c r="L301" s="46">
        <v>798</v>
      </c>
      <c r="N301" s="46" t="s">
        <v>1454</v>
      </c>
      <c r="P301" s="52">
        <v>798</v>
      </c>
      <c r="Q301" s="52" t="s">
        <v>633</v>
      </c>
      <c r="R301" s="52" t="s">
        <v>634</v>
      </c>
      <c r="T301" s="52">
        <v>238245</v>
      </c>
      <c r="U301" s="52" t="s">
        <v>954</v>
      </c>
      <c r="V301" s="52" t="s">
        <v>955</v>
      </c>
      <c r="W301" s="52"/>
      <c r="X301" s="52"/>
      <c r="Y301" s="52"/>
      <c r="Z301" s="46" t="s">
        <v>951</v>
      </c>
    </row>
    <row r="302" spans="1:26">
      <c r="A302" s="49">
        <v>44364</v>
      </c>
      <c r="B302" s="48">
        <v>202106171079</v>
      </c>
      <c r="C302" s="46" t="s">
        <v>3350</v>
      </c>
      <c r="D302" s="46" t="s">
        <v>3441</v>
      </c>
      <c r="E302" s="46" t="s">
        <v>959</v>
      </c>
      <c r="F302" s="46" t="s">
        <v>3348</v>
      </c>
      <c r="G302" s="46" t="s">
        <v>633</v>
      </c>
      <c r="H302" s="47">
        <v>4714781020954</v>
      </c>
      <c r="I302" s="46" t="s">
        <v>3250</v>
      </c>
      <c r="J302" s="46" t="s">
        <v>3160</v>
      </c>
      <c r="K302" s="46">
        <v>4</v>
      </c>
      <c r="L302" s="46">
        <v>514</v>
      </c>
      <c r="N302" s="46" t="s">
        <v>543</v>
      </c>
      <c r="P302" s="52">
        <v>1071</v>
      </c>
      <c r="Q302" s="52" t="s">
        <v>633</v>
      </c>
      <c r="R302" s="52" t="s">
        <v>171</v>
      </c>
      <c r="T302" s="52">
        <v>209258</v>
      </c>
      <c r="U302" s="52" t="s">
        <v>960</v>
      </c>
      <c r="V302" s="52" t="s">
        <v>961</v>
      </c>
      <c r="W302" s="52"/>
      <c r="X302" s="52"/>
      <c r="Y302" s="52"/>
      <c r="Z302" s="46" t="s">
        <v>957</v>
      </c>
    </row>
    <row r="303" spans="1:26">
      <c r="A303" s="49">
        <v>44364</v>
      </c>
      <c r="B303" s="48">
        <v>202106171079</v>
      </c>
      <c r="C303" s="46" t="s">
        <v>3350</v>
      </c>
      <c r="D303" s="46" t="s">
        <v>3441</v>
      </c>
      <c r="E303" s="46" t="s">
        <v>959</v>
      </c>
      <c r="F303" s="46" t="s">
        <v>3348</v>
      </c>
      <c r="G303" s="46" t="s">
        <v>633</v>
      </c>
      <c r="H303" s="47">
        <v>4714781021463</v>
      </c>
      <c r="I303" s="46" t="s">
        <v>3194</v>
      </c>
      <c r="J303" s="46" t="s">
        <v>3160</v>
      </c>
      <c r="K303" s="46">
        <v>2</v>
      </c>
      <c r="L303" s="46">
        <v>240</v>
      </c>
      <c r="N303" s="46" t="s">
        <v>158</v>
      </c>
      <c r="P303" s="52">
        <v>1071</v>
      </c>
      <c r="Q303" s="52" t="s">
        <v>633</v>
      </c>
      <c r="R303" s="52" t="s">
        <v>171</v>
      </c>
      <c r="T303" s="52">
        <v>209258</v>
      </c>
      <c r="U303" s="52" t="s">
        <v>960</v>
      </c>
      <c r="V303" s="52" t="s">
        <v>961</v>
      </c>
      <c r="W303" s="52"/>
      <c r="X303" s="52"/>
      <c r="Y303" s="52"/>
      <c r="Z303" s="46" t="s">
        <v>957</v>
      </c>
    </row>
    <row r="304" spans="1:26">
      <c r="A304" s="49">
        <v>44364</v>
      </c>
      <c r="B304" s="48">
        <v>202106171079</v>
      </c>
      <c r="C304" s="46" t="s">
        <v>3350</v>
      </c>
      <c r="D304" s="46" t="s">
        <v>3441</v>
      </c>
      <c r="E304" s="46" t="s">
        <v>959</v>
      </c>
      <c r="F304" s="46" t="s">
        <v>3348</v>
      </c>
      <c r="G304" s="46" t="s">
        <v>633</v>
      </c>
      <c r="H304" s="47">
        <v>4714781021029</v>
      </c>
      <c r="I304" s="46" t="s">
        <v>3234</v>
      </c>
      <c r="J304" s="46" t="s">
        <v>3160</v>
      </c>
      <c r="K304" s="46">
        <v>1</v>
      </c>
      <c r="L304" s="46">
        <v>149</v>
      </c>
      <c r="N304" s="46" t="s">
        <v>962</v>
      </c>
      <c r="P304" s="52">
        <v>1071</v>
      </c>
      <c r="Q304" s="52" t="s">
        <v>633</v>
      </c>
      <c r="R304" s="52" t="s">
        <v>171</v>
      </c>
      <c r="T304" s="52">
        <v>209258</v>
      </c>
      <c r="U304" s="52" t="s">
        <v>960</v>
      </c>
      <c r="V304" s="52" t="s">
        <v>961</v>
      </c>
      <c r="W304" s="52"/>
      <c r="X304" s="52"/>
      <c r="Y304" s="52"/>
      <c r="Z304" s="46" t="s">
        <v>957</v>
      </c>
    </row>
    <row r="305" spans="1:26">
      <c r="A305" s="49">
        <v>44364</v>
      </c>
      <c r="B305" s="48">
        <v>202106171079</v>
      </c>
      <c r="C305" s="46" t="s">
        <v>3350</v>
      </c>
      <c r="D305" s="46" t="s">
        <v>3441</v>
      </c>
      <c r="E305" s="46" t="s">
        <v>959</v>
      </c>
      <c r="F305" s="46" t="s">
        <v>3348</v>
      </c>
      <c r="G305" s="46" t="s">
        <v>633</v>
      </c>
      <c r="H305" s="47">
        <v>4714781020503</v>
      </c>
      <c r="I305" s="46" t="s">
        <v>3295</v>
      </c>
      <c r="J305" s="46" t="s">
        <v>3160</v>
      </c>
      <c r="K305" s="46">
        <v>1</v>
      </c>
      <c r="L305" s="46">
        <v>168</v>
      </c>
      <c r="N305" s="46" t="s">
        <v>351</v>
      </c>
      <c r="P305" s="52">
        <v>1071</v>
      </c>
      <c r="Q305" s="52" t="s">
        <v>633</v>
      </c>
      <c r="R305" s="52" t="s">
        <v>171</v>
      </c>
      <c r="T305" s="52">
        <v>209258</v>
      </c>
      <c r="U305" s="52" t="s">
        <v>960</v>
      </c>
      <c r="V305" s="52" t="s">
        <v>961</v>
      </c>
      <c r="W305" s="52"/>
      <c r="X305" s="52"/>
      <c r="Y305" s="52"/>
      <c r="Z305" s="46" t="s">
        <v>957</v>
      </c>
    </row>
    <row r="306" spans="1:26">
      <c r="A306" s="49">
        <v>44364</v>
      </c>
      <c r="B306" s="48">
        <v>202106171080</v>
      </c>
      <c r="C306" s="46" t="s">
        <v>3350</v>
      </c>
      <c r="D306" s="46" t="s">
        <v>3440</v>
      </c>
      <c r="E306" s="46" t="s">
        <v>966</v>
      </c>
      <c r="F306" s="46" t="s">
        <v>3348</v>
      </c>
      <c r="G306" s="46" t="s">
        <v>633</v>
      </c>
      <c r="H306" s="47">
        <v>4714781021463</v>
      </c>
      <c r="I306" s="46" t="s">
        <v>3194</v>
      </c>
      <c r="J306" s="46" t="s">
        <v>3160</v>
      </c>
      <c r="K306" s="46">
        <v>1</v>
      </c>
      <c r="L306" s="46">
        <v>66</v>
      </c>
      <c r="N306" s="46" t="s">
        <v>158</v>
      </c>
      <c r="P306" s="52">
        <v>1026</v>
      </c>
      <c r="Q306" s="52" t="s">
        <v>633</v>
      </c>
      <c r="R306" s="52" t="s">
        <v>634</v>
      </c>
      <c r="T306" s="52">
        <v>110530</v>
      </c>
      <c r="U306" s="52" t="s">
        <v>967</v>
      </c>
      <c r="V306" s="52" t="s">
        <v>968</v>
      </c>
      <c r="W306" s="52"/>
      <c r="X306" s="52"/>
      <c r="Y306" s="52"/>
      <c r="Z306" s="46" t="s">
        <v>964</v>
      </c>
    </row>
    <row r="307" spans="1:26">
      <c r="A307" s="49">
        <v>44364</v>
      </c>
      <c r="B307" s="48">
        <v>202106171080</v>
      </c>
      <c r="C307" s="46" t="s">
        <v>3350</v>
      </c>
      <c r="D307" s="46" t="s">
        <v>3440</v>
      </c>
      <c r="E307" s="46" t="s">
        <v>966</v>
      </c>
      <c r="F307" s="46" t="s">
        <v>3348</v>
      </c>
      <c r="G307" s="46" t="s">
        <v>633</v>
      </c>
      <c r="H307" s="47" t="s">
        <v>1523</v>
      </c>
      <c r="I307" s="46" t="s">
        <v>3169</v>
      </c>
      <c r="J307" s="46" t="s">
        <v>3160</v>
      </c>
      <c r="K307" s="46">
        <v>1</v>
      </c>
      <c r="L307" s="46">
        <v>355</v>
      </c>
      <c r="N307" s="46" t="s">
        <v>1522</v>
      </c>
      <c r="P307" s="52">
        <v>1026</v>
      </c>
      <c r="Q307" s="52" t="s">
        <v>633</v>
      </c>
      <c r="R307" s="52" t="s">
        <v>634</v>
      </c>
      <c r="T307" s="52">
        <v>110530</v>
      </c>
      <c r="U307" s="52" t="s">
        <v>967</v>
      </c>
      <c r="V307" s="52" t="s">
        <v>968</v>
      </c>
      <c r="W307" s="52"/>
      <c r="X307" s="52"/>
      <c r="Y307" s="52"/>
      <c r="Z307" s="46" t="s">
        <v>964</v>
      </c>
    </row>
    <row r="308" spans="1:26">
      <c r="A308" s="49">
        <v>44364</v>
      </c>
      <c r="B308" s="48">
        <v>202106171080</v>
      </c>
      <c r="C308" s="46" t="s">
        <v>3350</v>
      </c>
      <c r="D308" s="46" t="s">
        <v>3440</v>
      </c>
      <c r="E308" s="46" t="s">
        <v>966</v>
      </c>
      <c r="F308" s="46" t="s">
        <v>3348</v>
      </c>
      <c r="G308" s="46" t="s">
        <v>633</v>
      </c>
      <c r="H308" s="47" t="s">
        <v>1506</v>
      </c>
      <c r="I308" s="46" t="s">
        <v>3166</v>
      </c>
      <c r="J308" s="46" t="s">
        <v>3160</v>
      </c>
      <c r="K308" s="46">
        <v>1</v>
      </c>
      <c r="L308" s="46">
        <v>303</v>
      </c>
      <c r="N308" s="46" t="s">
        <v>1505</v>
      </c>
      <c r="P308" s="52">
        <v>1026</v>
      </c>
      <c r="Q308" s="52" t="s">
        <v>633</v>
      </c>
      <c r="R308" s="52" t="s">
        <v>634</v>
      </c>
      <c r="T308" s="52">
        <v>110530</v>
      </c>
      <c r="U308" s="52" t="s">
        <v>967</v>
      </c>
      <c r="V308" s="52" t="s">
        <v>968</v>
      </c>
      <c r="W308" s="52"/>
      <c r="X308" s="52"/>
      <c r="Y308" s="52"/>
      <c r="Z308" s="46" t="s">
        <v>964</v>
      </c>
    </row>
    <row r="309" spans="1:26">
      <c r="A309" s="49">
        <v>44364</v>
      </c>
      <c r="B309" s="48">
        <v>202106171080</v>
      </c>
      <c r="C309" s="46" t="s">
        <v>3350</v>
      </c>
      <c r="D309" s="46" t="s">
        <v>3440</v>
      </c>
      <c r="E309" s="46" t="s">
        <v>966</v>
      </c>
      <c r="F309" s="46" t="s">
        <v>3348</v>
      </c>
      <c r="G309" s="46" t="s">
        <v>633</v>
      </c>
      <c r="H309" s="47" t="s">
        <v>1508</v>
      </c>
      <c r="I309" s="46" t="s">
        <v>3166</v>
      </c>
      <c r="J309" s="46" t="s">
        <v>3160</v>
      </c>
      <c r="K309" s="46">
        <v>1</v>
      </c>
      <c r="L309" s="46">
        <v>302</v>
      </c>
      <c r="N309" s="46" t="s">
        <v>1507</v>
      </c>
      <c r="P309" s="52">
        <v>1026</v>
      </c>
      <c r="Q309" s="52" t="s">
        <v>633</v>
      </c>
      <c r="R309" s="52" t="s">
        <v>634</v>
      </c>
      <c r="T309" s="52">
        <v>110530</v>
      </c>
      <c r="U309" s="52" t="s">
        <v>967</v>
      </c>
      <c r="V309" s="52" t="s">
        <v>968</v>
      </c>
      <c r="W309" s="52"/>
      <c r="X309" s="52"/>
      <c r="Y309" s="52"/>
      <c r="Z309" s="46" t="s">
        <v>964</v>
      </c>
    </row>
    <row r="310" spans="1:26">
      <c r="A310" s="49">
        <v>44364</v>
      </c>
      <c r="B310" s="48">
        <v>202106171081</v>
      </c>
      <c r="C310" s="46" t="s">
        <v>3350</v>
      </c>
      <c r="D310" s="46" t="s">
        <v>3439</v>
      </c>
      <c r="E310" s="46" t="s">
        <v>279</v>
      </c>
      <c r="F310" s="46" t="s">
        <v>3348</v>
      </c>
      <c r="G310" s="46" t="s">
        <v>39</v>
      </c>
      <c r="H310" s="47" t="s">
        <v>1510</v>
      </c>
      <c r="I310" s="46" t="s">
        <v>3168</v>
      </c>
      <c r="J310" s="46" t="s">
        <v>3160</v>
      </c>
      <c r="K310" s="46">
        <v>1</v>
      </c>
      <c r="L310" s="46">
        <v>296</v>
      </c>
      <c r="N310" s="46" t="s">
        <v>1509</v>
      </c>
      <c r="P310" s="52">
        <v>888</v>
      </c>
      <c r="Q310" s="52" t="s">
        <v>39</v>
      </c>
      <c r="R310" s="52" t="s">
        <v>40</v>
      </c>
      <c r="T310" s="52"/>
      <c r="U310" s="52"/>
      <c r="V310" s="52"/>
      <c r="W310" s="52">
        <v>231</v>
      </c>
      <c r="X310" s="52" t="s">
        <v>280</v>
      </c>
      <c r="Y310" s="52"/>
      <c r="Z310" s="46" t="s">
        <v>277</v>
      </c>
    </row>
    <row r="311" spans="1:26">
      <c r="A311" s="49">
        <v>44364</v>
      </c>
      <c r="B311" s="48">
        <v>202106171081</v>
      </c>
      <c r="C311" s="46" t="s">
        <v>3350</v>
      </c>
      <c r="D311" s="46" t="s">
        <v>3439</v>
      </c>
      <c r="E311" s="46" t="s">
        <v>279</v>
      </c>
      <c r="F311" s="46" t="s">
        <v>3348</v>
      </c>
      <c r="G311" s="46" t="s">
        <v>39</v>
      </c>
      <c r="H311" s="47" t="s">
        <v>1508</v>
      </c>
      <c r="I311" s="46" t="s">
        <v>3166</v>
      </c>
      <c r="J311" s="46" t="s">
        <v>3160</v>
      </c>
      <c r="K311" s="46">
        <v>1</v>
      </c>
      <c r="L311" s="46">
        <v>296</v>
      </c>
      <c r="N311" s="46" t="s">
        <v>1507</v>
      </c>
      <c r="P311" s="52">
        <v>888</v>
      </c>
      <c r="Q311" s="52" t="s">
        <v>39</v>
      </c>
      <c r="R311" s="52" t="s">
        <v>40</v>
      </c>
      <c r="T311" s="52"/>
      <c r="U311" s="52"/>
      <c r="V311" s="52"/>
      <c r="W311" s="52">
        <v>231</v>
      </c>
      <c r="X311" s="52" t="s">
        <v>280</v>
      </c>
      <c r="Y311" s="52"/>
      <c r="Z311" s="46" t="s">
        <v>277</v>
      </c>
    </row>
    <row r="312" spans="1:26">
      <c r="A312" s="49">
        <v>44364</v>
      </c>
      <c r="B312" s="48">
        <v>202106171081</v>
      </c>
      <c r="C312" s="46" t="s">
        <v>3350</v>
      </c>
      <c r="D312" s="46" t="s">
        <v>3439</v>
      </c>
      <c r="E312" s="46" t="s">
        <v>279</v>
      </c>
      <c r="F312" s="46" t="s">
        <v>3348</v>
      </c>
      <c r="G312" s="46" t="s">
        <v>39</v>
      </c>
      <c r="H312" s="47" t="s">
        <v>1506</v>
      </c>
      <c r="I312" s="46" t="s">
        <v>3166</v>
      </c>
      <c r="J312" s="46" t="s">
        <v>3160</v>
      </c>
      <c r="K312" s="46">
        <v>1</v>
      </c>
      <c r="L312" s="46">
        <v>296</v>
      </c>
      <c r="N312" s="46" t="s">
        <v>1505</v>
      </c>
      <c r="P312" s="52">
        <v>888</v>
      </c>
      <c r="Q312" s="52" t="s">
        <v>39</v>
      </c>
      <c r="R312" s="52" t="s">
        <v>40</v>
      </c>
      <c r="T312" s="52"/>
      <c r="U312" s="52"/>
      <c r="V312" s="52"/>
      <c r="W312" s="52">
        <v>231</v>
      </c>
      <c r="X312" s="52" t="s">
        <v>280</v>
      </c>
      <c r="Y312" s="52"/>
      <c r="Z312" s="46" t="s">
        <v>277</v>
      </c>
    </row>
    <row r="313" spans="1:26">
      <c r="A313" s="49">
        <v>44364</v>
      </c>
      <c r="B313" s="48">
        <v>202106171082</v>
      </c>
      <c r="C313" s="46" t="s">
        <v>3350</v>
      </c>
      <c r="D313" s="46" t="s">
        <v>3438</v>
      </c>
      <c r="E313" s="46" t="s">
        <v>972</v>
      </c>
      <c r="F313" s="46" t="s">
        <v>3348</v>
      </c>
      <c r="G313" s="46" t="s">
        <v>633</v>
      </c>
      <c r="H313" s="47" t="s">
        <v>1341</v>
      </c>
      <c r="I313" s="46" t="s">
        <v>3309</v>
      </c>
      <c r="J313" s="46" t="s">
        <v>3160</v>
      </c>
      <c r="K313" s="46">
        <v>1</v>
      </c>
      <c r="L313" s="46">
        <v>400</v>
      </c>
      <c r="N313" s="46" t="s">
        <v>1340</v>
      </c>
      <c r="P313" s="52">
        <v>878</v>
      </c>
      <c r="Q313" s="52" t="s">
        <v>633</v>
      </c>
      <c r="R313" s="52" t="s">
        <v>634</v>
      </c>
      <c r="T313" s="52">
        <v>216979</v>
      </c>
      <c r="U313" s="52" t="s">
        <v>973</v>
      </c>
      <c r="V313" s="52" t="s">
        <v>974</v>
      </c>
      <c r="W313" s="52"/>
      <c r="X313" s="52"/>
      <c r="Y313" s="52"/>
      <c r="Z313" s="46" t="s">
        <v>970</v>
      </c>
    </row>
    <row r="314" spans="1:26">
      <c r="A314" s="49">
        <v>44364</v>
      </c>
      <c r="B314" s="48">
        <v>202106171082</v>
      </c>
      <c r="C314" s="46" t="s">
        <v>3350</v>
      </c>
      <c r="D314" s="46" t="s">
        <v>3438</v>
      </c>
      <c r="E314" s="46" t="s">
        <v>972</v>
      </c>
      <c r="F314" s="46" t="s">
        <v>3348</v>
      </c>
      <c r="G314" s="46" t="s">
        <v>633</v>
      </c>
      <c r="H314" s="47" t="s">
        <v>1339</v>
      </c>
      <c r="I314" s="46" t="s">
        <v>3308</v>
      </c>
      <c r="J314" s="46" t="s">
        <v>3160</v>
      </c>
      <c r="K314" s="46">
        <v>1</v>
      </c>
      <c r="L314" s="46">
        <v>128</v>
      </c>
      <c r="N314" s="46" t="s">
        <v>1338</v>
      </c>
      <c r="P314" s="52">
        <v>878</v>
      </c>
      <c r="Q314" s="52" t="s">
        <v>633</v>
      </c>
      <c r="R314" s="52" t="s">
        <v>634</v>
      </c>
      <c r="T314" s="52">
        <v>216979</v>
      </c>
      <c r="U314" s="52" t="s">
        <v>973</v>
      </c>
      <c r="V314" s="52" t="s">
        <v>974</v>
      </c>
      <c r="W314" s="52"/>
      <c r="X314" s="52"/>
      <c r="Y314" s="52"/>
      <c r="Z314" s="46" t="s">
        <v>970</v>
      </c>
    </row>
    <row r="315" spans="1:26">
      <c r="A315" s="49">
        <v>44364</v>
      </c>
      <c r="B315" s="48">
        <v>202106171082</v>
      </c>
      <c r="C315" s="46" t="s">
        <v>3350</v>
      </c>
      <c r="D315" s="46" t="s">
        <v>3438</v>
      </c>
      <c r="E315" s="46" t="s">
        <v>972</v>
      </c>
      <c r="F315" s="46" t="s">
        <v>3348</v>
      </c>
      <c r="G315" s="46" t="s">
        <v>633</v>
      </c>
      <c r="H315" s="47">
        <v>4714781020268</v>
      </c>
      <c r="I315" s="46" t="s">
        <v>3309</v>
      </c>
      <c r="J315" s="46" t="s">
        <v>3160</v>
      </c>
      <c r="K315" s="46">
        <v>1</v>
      </c>
      <c r="L315" s="46">
        <v>350</v>
      </c>
      <c r="N315" s="46" t="s">
        <v>723</v>
      </c>
      <c r="P315" s="52">
        <v>878</v>
      </c>
      <c r="Q315" s="52" t="s">
        <v>633</v>
      </c>
      <c r="R315" s="52" t="s">
        <v>634</v>
      </c>
      <c r="T315" s="52">
        <v>216979</v>
      </c>
      <c r="U315" s="52" t="s">
        <v>973</v>
      </c>
      <c r="V315" s="52" t="s">
        <v>974</v>
      </c>
      <c r="W315" s="52"/>
      <c r="X315" s="52"/>
      <c r="Y315" s="52"/>
      <c r="Z315" s="46" t="s">
        <v>970</v>
      </c>
    </row>
    <row r="316" spans="1:26">
      <c r="A316" s="49">
        <v>44364</v>
      </c>
      <c r="B316" s="48">
        <v>202106171083</v>
      </c>
      <c r="C316" s="46" t="s">
        <v>3350</v>
      </c>
      <c r="D316" s="46" t="s">
        <v>3437</v>
      </c>
      <c r="E316" s="46" t="s">
        <v>268</v>
      </c>
      <c r="F316" s="46" t="s">
        <v>3348</v>
      </c>
      <c r="G316" s="46" t="s">
        <v>39</v>
      </c>
      <c r="H316" s="47">
        <v>4714781021777</v>
      </c>
      <c r="I316" s="46" t="s">
        <v>3169</v>
      </c>
      <c r="J316" s="46" t="s">
        <v>3160</v>
      </c>
      <c r="K316" s="46">
        <v>2</v>
      </c>
      <c r="L316" s="46">
        <v>798</v>
      </c>
      <c r="N316" s="46" t="s">
        <v>270</v>
      </c>
      <c r="P316" s="52">
        <v>1097</v>
      </c>
      <c r="Q316" s="52" t="s">
        <v>39</v>
      </c>
      <c r="R316" s="52" t="s">
        <v>40</v>
      </c>
      <c r="T316" s="52"/>
      <c r="U316" s="52"/>
      <c r="V316" s="52"/>
      <c r="W316" s="52">
        <v>709</v>
      </c>
      <c r="X316" s="52" t="s">
        <v>272</v>
      </c>
      <c r="Y316" s="52"/>
      <c r="Z316" s="46" t="s">
        <v>266</v>
      </c>
    </row>
    <row r="317" spans="1:26">
      <c r="A317" s="49">
        <v>44364</v>
      </c>
      <c r="B317" s="48">
        <v>202106171083</v>
      </c>
      <c r="C317" s="46" t="s">
        <v>3350</v>
      </c>
      <c r="D317" s="46" t="s">
        <v>3437</v>
      </c>
      <c r="E317" s="46" t="s">
        <v>268</v>
      </c>
      <c r="F317" s="46" t="s">
        <v>3348</v>
      </c>
      <c r="G317" s="46" t="s">
        <v>39</v>
      </c>
      <c r="H317" s="47">
        <v>4714781020282</v>
      </c>
      <c r="I317" s="46" t="s">
        <v>3254</v>
      </c>
      <c r="J317" s="46" t="s">
        <v>3160</v>
      </c>
      <c r="K317" s="46">
        <v>1</v>
      </c>
      <c r="L317" s="46">
        <v>299</v>
      </c>
      <c r="N317" s="46" t="s">
        <v>274</v>
      </c>
      <c r="P317" s="52">
        <v>1097</v>
      </c>
      <c r="Q317" s="52" t="s">
        <v>39</v>
      </c>
      <c r="R317" s="52" t="s">
        <v>40</v>
      </c>
      <c r="T317" s="52"/>
      <c r="U317" s="52"/>
      <c r="V317" s="52"/>
      <c r="W317" s="52">
        <v>709</v>
      </c>
      <c r="X317" s="52" t="s">
        <v>272</v>
      </c>
      <c r="Y317" s="52"/>
      <c r="Z317" s="46" t="s">
        <v>266</v>
      </c>
    </row>
    <row r="318" spans="1:26">
      <c r="A318" s="49">
        <v>44365</v>
      </c>
      <c r="B318" s="48">
        <v>202106181084</v>
      </c>
      <c r="C318" s="46" t="s">
        <v>3350</v>
      </c>
      <c r="D318" s="46" t="s">
        <v>3436</v>
      </c>
      <c r="E318" s="46" t="s">
        <v>260</v>
      </c>
      <c r="F318" s="46" t="s">
        <v>3348</v>
      </c>
      <c r="G318" s="46" t="s">
        <v>39</v>
      </c>
      <c r="H318" s="47">
        <v>4714781020268</v>
      </c>
      <c r="I318" s="46" t="s">
        <v>3309</v>
      </c>
      <c r="J318" s="46" t="s">
        <v>3160</v>
      </c>
      <c r="K318" s="46">
        <v>1</v>
      </c>
      <c r="L318" s="46">
        <v>430</v>
      </c>
      <c r="N318" s="46" t="s">
        <v>105</v>
      </c>
      <c r="P318" s="52">
        <v>729</v>
      </c>
      <c r="Q318" s="52" t="s">
        <v>39</v>
      </c>
      <c r="R318" s="52" t="s">
        <v>171</v>
      </c>
      <c r="T318" s="52"/>
      <c r="U318" s="52"/>
      <c r="V318" s="52"/>
      <c r="W318" s="52">
        <v>401</v>
      </c>
      <c r="X318" s="52" t="s">
        <v>261</v>
      </c>
      <c r="Y318" s="52"/>
      <c r="Z318" s="46" t="s">
        <v>258</v>
      </c>
    </row>
    <row r="319" spans="1:26">
      <c r="A319" s="49">
        <v>44365</v>
      </c>
      <c r="B319" s="48">
        <v>202106181084</v>
      </c>
      <c r="C319" s="46" t="s">
        <v>3350</v>
      </c>
      <c r="D319" s="46" t="s">
        <v>3436</v>
      </c>
      <c r="E319" s="46" t="s">
        <v>260</v>
      </c>
      <c r="F319" s="46" t="s">
        <v>3348</v>
      </c>
      <c r="G319" s="46" t="s">
        <v>39</v>
      </c>
      <c r="H319" s="47">
        <v>4714781024730</v>
      </c>
      <c r="I319" s="46" t="s">
        <v>3166</v>
      </c>
      <c r="J319" s="46" t="s">
        <v>3160</v>
      </c>
      <c r="K319" s="46">
        <v>1</v>
      </c>
      <c r="L319" s="46">
        <v>299</v>
      </c>
      <c r="N319" s="46" t="s">
        <v>263</v>
      </c>
      <c r="P319" s="52">
        <v>729</v>
      </c>
      <c r="Q319" s="52" t="s">
        <v>39</v>
      </c>
      <c r="R319" s="52" t="s">
        <v>171</v>
      </c>
      <c r="T319" s="52"/>
      <c r="U319" s="52"/>
      <c r="V319" s="52"/>
      <c r="W319" s="52">
        <v>401</v>
      </c>
      <c r="X319" s="52" t="s">
        <v>261</v>
      </c>
      <c r="Y319" s="52"/>
      <c r="Z319" s="46" t="s">
        <v>258</v>
      </c>
    </row>
    <row r="320" spans="1:26">
      <c r="A320" s="49">
        <v>44365</v>
      </c>
      <c r="B320" s="48">
        <v>202106181085</v>
      </c>
      <c r="C320" s="46" t="s">
        <v>3350</v>
      </c>
      <c r="D320" s="46" t="s">
        <v>3435</v>
      </c>
      <c r="E320" s="46" t="s">
        <v>978</v>
      </c>
      <c r="F320" s="46" t="s">
        <v>3348</v>
      </c>
      <c r="G320" s="46" t="s">
        <v>633</v>
      </c>
      <c r="H320" s="47">
        <v>4714781021609</v>
      </c>
      <c r="I320" s="46" t="s">
        <v>3183</v>
      </c>
      <c r="J320" s="46" t="s">
        <v>3160</v>
      </c>
      <c r="K320" s="46">
        <v>2</v>
      </c>
      <c r="L320" s="46">
        <v>266</v>
      </c>
      <c r="N320" s="46" t="s">
        <v>1454</v>
      </c>
      <c r="P320" s="52">
        <v>798</v>
      </c>
      <c r="Q320" s="52" t="s">
        <v>633</v>
      </c>
      <c r="R320" s="52" t="s">
        <v>634</v>
      </c>
      <c r="T320" s="52">
        <v>147299</v>
      </c>
      <c r="U320" s="52" t="s">
        <v>979</v>
      </c>
      <c r="V320" s="52" t="s">
        <v>980</v>
      </c>
      <c r="W320" s="52"/>
      <c r="X320" s="52"/>
      <c r="Y320" s="52"/>
      <c r="Z320" s="46" t="s">
        <v>976</v>
      </c>
    </row>
    <row r="321" spans="1:26">
      <c r="A321" s="49">
        <v>44365</v>
      </c>
      <c r="B321" s="48">
        <v>202106181085</v>
      </c>
      <c r="C321" s="46" t="s">
        <v>3350</v>
      </c>
      <c r="D321" s="46" t="s">
        <v>3435</v>
      </c>
      <c r="E321" s="46" t="s">
        <v>978</v>
      </c>
      <c r="F321" s="46" t="s">
        <v>3348</v>
      </c>
      <c r="G321" s="46" t="s">
        <v>633</v>
      </c>
      <c r="H321" s="47">
        <v>4714781021593</v>
      </c>
      <c r="I321" s="46" t="s">
        <v>3183</v>
      </c>
      <c r="J321" s="46" t="s">
        <v>3160</v>
      </c>
      <c r="K321" s="46">
        <v>2</v>
      </c>
      <c r="L321" s="46">
        <v>266</v>
      </c>
      <c r="N321" s="46" t="s">
        <v>1453</v>
      </c>
      <c r="P321" s="52">
        <v>798</v>
      </c>
      <c r="Q321" s="52" t="s">
        <v>633</v>
      </c>
      <c r="R321" s="52" t="s">
        <v>634</v>
      </c>
      <c r="T321" s="52">
        <v>147299</v>
      </c>
      <c r="U321" s="52" t="s">
        <v>979</v>
      </c>
      <c r="V321" s="52" t="s">
        <v>980</v>
      </c>
      <c r="W321" s="52"/>
      <c r="X321" s="52"/>
      <c r="Y321" s="52"/>
      <c r="Z321" s="46" t="s">
        <v>976</v>
      </c>
    </row>
    <row r="322" spans="1:26">
      <c r="A322" s="49">
        <v>44365</v>
      </c>
      <c r="B322" s="48">
        <v>202106181085</v>
      </c>
      <c r="C322" s="46" t="s">
        <v>3350</v>
      </c>
      <c r="D322" s="46" t="s">
        <v>3435</v>
      </c>
      <c r="E322" s="46" t="s">
        <v>978</v>
      </c>
      <c r="F322" s="46" t="s">
        <v>3348</v>
      </c>
      <c r="G322" s="46" t="s">
        <v>633</v>
      </c>
      <c r="H322" s="47">
        <v>4714781021029</v>
      </c>
      <c r="I322" s="46" t="s">
        <v>3234</v>
      </c>
      <c r="J322" s="46" t="s">
        <v>3160</v>
      </c>
      <c r="K322" s="46">
        <v>2</v>
      </c>
      <c r="L322" s="46">
        <v>266</v>
      </c>
      <c r="N322" s="46" t="s">
        <v>1452</v>
      </c>
      <c r="P322" s="52">
        <v>798</v>
      </c>
      <c r="Q322" s="52" t="s">
        <v>633</v>
      </c>
      <c r="R322" s="52" t="s">
        <v>634</v>
      </c>
      <c r="T322" s="52">
        <v>147299</v>
      </c>
      <c r="U322" s="52" t="s">
        <v>979</v>
      </c>
      <c r="V322" s="52" t="s">
        <v>980</v>
      </c>
      <c r="W322" s="52"/>
      <c r="X322" s="52"/>
      <c r="Y322" s="52"/>
      <c r="Z322" s="46" t="s">
        <v>976</v>
      </c>
    </row>
    <row r="323" spans="1:26">
      <c r="A323" s="49">
        <v>44365</v>
      </c>
      <c r="B323" s="48">
        <v>202106181086</v>
      </c>
      <c r="C323" s="46" t="s">
        <v>3350</v>
      </c>
      <c r="D323" s="46" t="s">
        <v>3434</v>
      </c>
      <c r="E323" s="46" t="s">
        <v>984</v>
      </c>
      <c r="F323" s="46" t="s">
        <v>3348</v>
      </c>
      <c r="G323" s="46" t="s">
        <v>633</v>
      </c>
      <c r="H323" s="47">
        <v>4714781021609</v>
      </c>
      <c r="I323" s="46" t="s">
        <v>3183</v>
      </c>
      <c r="J323" s="46" t="s">
        <v>3160</v>
      </c>
      <c r="K323" s="46">
        <v>1</v>
      </c>
      <c r="L323" s="46">
        <v>133</v>
      </c>
      <c r="N323" s="46" t="s">
        <v>1454</v>
      </c>
      <c r="P323" s="52">
        <v>464</v>
      </c>
      <c r="Q323" s="52" t="s">
        <v>633</v>
      </c>
      <c r="R323" s="52" t="s">
        <v>634</v>
      </c>
      <c r="T323" s="52">
        <v>166762</v>
      </c>
      <c r="U323" s="52" t="s">
        <v>985</v>
      </c>
      <c r="V323" s="52" t="s">
        <v>986</v>
      </c>
      <c r="W323" s="52"/>
      <c r="X323" s="52"/>
      <c r="Y323" s="52"/>
      <c r="Z323" s="46" t="s">
        <v>982</v>
      </c>
    </row>
    <row r="324" spans="1:26">
      <c r="A324" s="49">
        <v>44365</v>
      </c>
      <c r="B324" s="48">
        <v>202106181086</v>
      </c>
      <c r="C324" s="46" t="s">
        <v>3350</v>
      </c>
      <c r="D324" s="46" t="s">
        <v>3434</v>
      </c>
      <c r="E324" s="46" t="s">
        <v>984</v>
      </c>
      <c r="F324" s="46" t="s">
        <v>3348</v>
      </c>
      <c r="G324" s="46" t="s">
        <v>633</v>
      </c>
      <c r="H324" s="47">
        <v>4714781021593</v>
      </c>
      <c r="I324" s="46" t="s">
        <v>3183</v>
      </c>
      <c r="J324" s="46" t="s">
        <v>3160</v>
      </c>
      <c r="K324" s="46">
        <v>1</v>
      </c>
      <c r="L324" s="46">
        <v>133</v>
      </c>
      <c r="N324" s="46" t="s">
        <v>1453</v>
      </c>
      <c r="P324" s="52">
        <v>464</v>
      </c>
      <c r="Q324" s="52" t="s">
        <v>633</v>
      </c>
      <c r="R324" s="52" t="s">
        <v>634</v>
      </c>
      <c r="T324" s="52">
        <v>166762</v>
      </c>
      <c r="U324" s="52" t="s">
        <v>985</v>
      </c>
      <c r="V324" s="52" t="s">
        <v>986</v>
      </c>
      <c r="W324" s="52"/>
      <c r="X324" s="52"/>
      <c r="Y324" s="52"/>
      <c r="Z324" s="46" t="s">
        <v>982</v>
      </c>
    </row>
    <row r="325" spans="1:26">
      <c r="A325" s="49">
        <v>44365</v>
      </c>
      <c r="B325" s="48">
        <v>202106181086</v>
      </c>
      <c r="C325" s="46" t="s">
        <v>3350</v>
      </c>
      <c r="D325" s="46" t="s">
        <v>3434</v>
      </c>
      <c r="E325" s="46" t="s">
        <v>984</v>
      </c>
      <c r="F325" s="46" t="s">
        <v>3348</v>
      </c>
      <c r="G325" s="46" t="s">
        <v>633</v>
      </c>
      <c r="H325" s="47">
        <v>4714781021029</v>
      </c>
      <c r="I325" s="46" t="s">
        <v>3234</v>
      </c>
      <c r="J325" s="46" t="s">
        <v>3160</v>
      </c>
      <c r="K325" s="46">
        <v>1</v>
      </c>
      <c r="L325" s="46">
        <v>133</v>
      </c>
      <c r="N325" s="46" t="s">
        <v>1452</v>
      </c>
      <c r="P325" s="52">
        <v>464</v>
      </c>
      <c r="Q325" s="52" t="s">
        <v>633</v>
      </c>
      <c r="R325" s="52" t="s">
        <v>634</v>
      </c>
      <c r="T325" s="52">
        <v>166762</v>
      </c>
      <c r="U325" s="52" t="s">
        <v>985</v>
      </c>
      <c r="V325" s="52" t="s">
        <v>986</v>
      </c>
      <c r="W325" s="52"/>
      <c r="X325" s="52"/>
      <c r="Y325" s="52"/>
      <c r="Z325" s="46" t="s">
        <v>982</v>
      </c>
    </row>
    <row r="326" spans="1:26">
      <c r="A326" s="49">
        <v>44365</v>
      </c>
      <c r="B326" s="48">
        <v>202106181086</v>
      </c>
      <c r="C326" s="46" t="s">
        <v>3350</v>
      </c>
      <c r="D326" s="46" t="s">
        <v>3434</v>
      </c>
      <c r="E326" s="46" t="s">
        <v>984</v>
      </c>
      <c r="F326" s="46" t="s">
        <v>3348</v>
      </c>
      <c r="G326" s="46" t="s">
        <v>633</v>
      </c>
      <c r="H326" s="47" t="s">
        <v>3347</v>
      </c>
      <c r="J326" s="46" t="s">
        <v>3346</v>
      </c>
      <c r="K326" s="46">
        <v>1</v>
      </c>
      <c r="L326" s="46">
        <v>65</v>
      </c>
      <c r="P326" s="52"/>
      <c r="Q326" s="52"/>
      <c r="R326" s="52"/>
      <c r="T326" s="52"/>
      <c r="U326" s="52"/>
      <c r="V326" s="52"/>
      <c r="W326" s="52"/>
      <c r="X326" s="52"/>
      <c r="Y326" s="52"/>
    </row>
    <row r="327" spans="1:26">
      <c r="A327" s="49">
        <v>44365</v>
      </c>
      <c r="B327" s="48">
        <v>202106181087</v>
      </c>
      <c r="C327" s="46" t="s">
        <v>3350</v>
      </c>
      <c r="D327" s="46" t="s">
        <v>3433</v>
      </c>
      <c r="E327" s="46" t="s">
        <v>990</v>
      </c>
      <c r="F327" s="46" t="s">
        <v>3348</v>
      </c>
      <c r="G327" s="46" t="s">
        <v>633</v>
      </c>
      <c r="H327" s="47">
        <v>4714781020510</v>
      </c>
      <c r="I327" s="46" t="s">
        <v>3166</v>
      </c>
      <c r="J327" s="46" t="s">
        <v>3160</v>
      </c>
      <c r="K327" s="46">
        <v>1</v>
      </c>
      <c r="L327" s="46">
        <v>244</v>
      </c>
      <c r="N327" s="46" t="s">
        <v>324</v>
      </c>
      <c r="P327" s="52">
        <v>1042</v>
      </c>
      <c r="Q327" s="52" t="s">
        <v>633</v>
      </c>
      <c r="R327" s="52" t="s">
        <v>634</v>
      </c>
      <c r="T327" s="52">
        <v>173807</v>
      </c>
      <c r="U327" s="52" t="s">
        <v>991</v>
      </c>
      <c r="V327" s="52" t="s">
        <v>992</v>
      </c>
      <c r="W327" s="52"/>
      <c r="X327" s="52"/>
      <c r="Y327" s="52"/>
      <c r="Z327" s="46" t="s">
        <v>988</v>
      </c>
    </row>
    <row r="328" spans="1:26">
      <c r="A328" s="49">
        <v>44365</v>
      </c>
      <c r="B328" s="48">
        <v>202106181087</v>
      </c>
      <c r="C328" s="46" t="s">
        <v>3350</v>
      </c>
      <c r="D328" s="46" t="s">
        <v>3433</v>
      </c>
      <c r="E328" s="46" t="s">
        <v>990</v>
      </c>
      <c r="F328" s="46" t="s">
        <v>3348</v>
      </c>
      <c r="G328" s="46" t="s">
        <v>633</v>
      </c>
      <c r="H328" s="47">
        <v>4714781021609</v>
      </c>
      <c r="I328" s="46" t="s">
        <v>3183</v>
      </c>
      <c r="J328" s="46" t="s">
        <v>3160</v>
      </c>
      <c r="K328" s="46">
        <v>1</v>
      </c>
      <c r="L328" s="46">
        <v>133</v>
      </c>
      <c r="N328" s="46" t="s">
        <v>1454</v>
      </c>
      <c r="P328" s="52">
        <v>1042</v>
      </c>
      <c r="Q328" s="52" t="s">
        <v>633</v>
      </c>
      <c r="R328" s="52" t="s">
        <v>634</v>
      </c>
      <c r="T328" s="52">
        <v>173807</v>
      </c>
      <c r="U328" s="52" t="s">
        <v>991</v>
      </c>
      <c r="V328" s="52" t="s">
        <v>992</v>
      </c>
      <c r="W328" s="52"/>
      <c r="X328" s="52"/>
      <c r="Y328" s="52"/>
      <c r="Z328" s="46" t="s">
        <v>988</v>
      </c>
    </row>
    <row r="329" spans="1:26">
      <c r="A329" s="49">
        <v>44365</v>
      </c>
      <c r="B329" s="48">
        <v>202106181087</v>
      </c>
      <c r="C329" s="46" t="s">
        <v>3350</v>
      </c>
      <c r="D329" s="46" t="s">
        <v>3433</v>
      </c>
      <c r="E329" s="46" t="s">
        <v>990</v>
      </c>
      <c r="F329" s="46" t="s">
        <v>3348</v>
      </c>
      <c r="G329" s="46" t="s">
        <v>633</v>
      </c>
      <c r="H329" s="47">
        <v>4714781021593</v>
      </c>
      <c r="I329" s="46" t="s">
        <v>3183</v>
      </c>
      <c r="J329" s="46" t="s">
        <v>3160</v>
      </c>
      <c r="K329" s="46">
        <v>1</v>
      </c>
      <c r="L329" s="46">
        <v>133</v>
      </c>
      <c r="N329" s="46" t="s">
        <v>1453</v>
      </c>
      <c r="P329" s="52">
        <v>1042</v>
      </c>
      <c r="Q329" s="52" t="s">
        <v>633</v>
      </c>
      <c r="R329" s="52" t="s">
        <v>634</v>
      </c>
      <c r="T329" s="52">
        <v>173807</v>
      </c>
      <c r="U329" s="52" t="s">
        <v>991</v>
      </c>
      <c r="V329" s="52" t="s">
        <v>992</v>
      </c>
      <c r="W329" s="52"/>
      <c r="X329" s="52"/>
      <c r="Y329" s="52"/>
      <c r="Z329" s="46" t="s">
        <v>988</v>
      </c>
    </row>
    <row r="330" spans="1:26">
      <c r="A330" s="49">
        <v>44365</v>
      </c>
      <c r="B330" s="48">
        <v>202106181087</v>
      </c>
      <c r="C330" s="46" t="s">
        <v>3350</v>
      </c>
      <c r="D330" s="46" t="s">
        <v>3433</v>
      </c>
      <c r="E330" s="46" t="s">
        <v>990</v>
      </c>
      <c r="F330" s="46" t="s">
        <v>3348</v>
      </c>
      <c r="G330" s="46" t="s">
        <v>633</v>
      </c>
      <c r="H330" s="47">
        <v>4714781021029</v>
      </c>
      <c r="I330" s="46" t="s">
        <v>3234</v>
      </c>
      <c r="J330" s="46" t="s">
        <v>3160</v>
      </c>
      <c r="K330" s="46">
        <v>1</v>
      </c>
      <c r="L330" s="46">
        <v>133</v>
      </c>
      <c r="N330" s="46" t="s">
        <v>1452</v>
      </c>
      <c r="P330" s="52">
        <v>1042</v>
      </c>
      <c r="Q330" s="52" t="s">
        <v>633</v>
      </c>
      <c r="R330" s="52" t="s">
        <v>634</v>
      </c>
      <c r="T330" s="52">
        <v>173807</v>
      </c>
      <c r="U330" s="52" t="s">
        <v>991</v>
      </c>
      <c r="V330" s="52" t="s">
        <v>992</v>
      </c>
      <c r="W330" s="52"/>
      <c r="X330" s="52"/>
      <c r="Y330" s="52"/>
      <c r="Z330" s="46" t="s">
        <v>988</v>
      </c>
    </row>
    <row r="331" spans="1:26">
      <c r="A331" s="49">
        <v>44365</v>
      </c>
      <c r="B331" s="48">
        <v>202106181087</v>
      </c>
      <c r="C331" s="46" t="s">
        <v>3350</v>
      </c>
      <c r="D331" s="46" t="s">
        <v>3433</v>
      </c>
      <c r="E331" s="46" t="s">
        <v>990</v>
      </c>
      <c r="F331" s="46" t="s">
        <v>3348</v>
      </c>
      <c r="G331" s="46" t="s">
        <v>633</v>
      </c>
      <c r="H331" s="47">
        <v>4714781021029</v>
      </c>
      <c r="I331" s="46" t="s">
        <v>3234</v>
      </c>
      <c r="J331" s="46" t="s">
        <v>3160</v>
      </c>
      <c r="K331" s="46">
        <v>2</v>
      </c>
      <c r="L331" s="46">
        <v>266</v>
      </c>
      <c r="N331" s="46" t="s">
        <v>2072</v>
      </c>
      <c r="P331" s="52">
        <v>1042</v>
      </c>
      <c r="Q331" s="52" t="s">
        <v>633</v>
      </c>
      <c r="R331" s="52" t="s">
        <v>634</v>
      </c>
      <c r="T331" s="52">
        <v>173807</v>
      </c>
      <c r="U331" s="52" t="s">
        <v>991</v>
      </c>
      <c r="V331" s="52" t="s">
        <v>992</v>
      </c>
      <c r="W331" s="52"/>
      <c r="X331" s="52"/>
      <c r="Y331" s="52"/>
      <c r="Z331" s="46" t="s">
        <v>988</v>
      </c>
    </row>
    <row r="332" spans="1:26">
      <c r="A332" s="49">
        <v>44365</v>
      </c>
      <c r="B332" s="48">
        <v>202106181087</v>
      </c>
      <c r="C332" s="46" t="s">
        <v>3350</v>
      </c>
      <c r="D332" s="46" t="s">
        <v>3433</v>
      </c>
      <c r="E332" s="46" t="s">
        <v>990</v>
      </c>
      <c r="F332" s="46" t="s">
        <v>3348</v>
      </c>
      <c r="G332" s="46" t="s">
        <v>633</v>
      </c>
      <c r="H332" s="47">
        <v>4714781021609</v>
      </c>
      <c r="I332" s="46" t="s">
        <v>3183</v>
      </c>
      <c r="J332" s="46" t="s">
        <v>3160</v>
      </c>
      <c r="K332" s="46">
        <v>1</v>
      </c>
      <c r="L332" s="46">
        <v>133</v>
      </c>
      <c r="N332" s="46" t="s">
        <v>1454</v>
      </c>
      <c r="P332" s="52">
        <v>1042</v>
      </c>
      <c r="Q332" s="52" t="s">
        <v>633</v>
      </c>
      <c r="R332" s="52" t="s">
        <v>634</v>
      </c>
      <c r="T332" s="52">
        <v>173807</v>
      </c>
      <c r="U332" s="52" t="s">
        <v>991</v>
      </c>
      <c r="V332" s="52" t="s">
        <v>992</v>
      </c>
      <c r="W332" s="52"/>
      <c r="X332" s="52"/>
      <c r="Y332" s="52"/>
      <c r="Z332" s="46" t="s">
        <v>988</v>
      </c>
    </row>
    <row r="333" spans="1:26">
      <c r="A333" s="49">
        <v>44365</v>
      </c>
      <c r="B333" s="48">
        <v>202106181088</v>
      </c>
      <c r="C333" s="46" t="s">
        <v>3350</v>
      </c>
      <c r="D333" s="46" t="s">
        <v>3432</v>
      </c>
      <c r="E333" s="46" t="s">
        <v>996</v>
      </c>
      <c r="F333" s="46" t="s">
        <v>3348</v>
      </c>
      <c r="G333" s="46" t="s">
        <v>633</v>
      </c>
      <c r="H333" s="47">
        <v>4714781020848</v>
      </c>
      <c r="I333" s="46" t="s">
        <v>3256</v>
      </c>
      <c r="J333" s="46" t="s">
        <v>3160</v>
      </c>
      <c r="K333" s="46">
        <v>1</v>
      </c>
      <c r="L333" s="46">
        <v>274</v>
      </c>
      <c r="N333" s="46" t="s">
        <v>1382</v>
      </c>
      <c r="P333" s="52">
        <v>967</v>
      </c>
      <c r="Q333" s="52" t="s">
        <v>633</v>
      </c>
      <c r="R333" s="52" t="s">
        <v>634</v>
      </c>
      <c r="T333" s="52">
        <v>992808</v>
      </c>
      <c r="U333" s="52" t="s">
        <v>999</v>
      </c>
      <c r="V333" s="52" t="s">
        <v>1000</v>
      </c>
      <c r="W333" s="52"/>
      <c r="X333" s="52"/>
      <c r="Y333" s="52"/>
      <c r="Z333" s="46" t="s">
        <v>994</v>
      </c>
    </row>
    <row r="334" spans="1:26">
      <c r="A334" s="49">
        <v>44365</v>
      </c>
      <c r="B334" s="48">
        <v>202106181088</v>
      </c>
      <c r="C334" s="46" t="s">
        <v>3350</v>
      </c>
      <c r="D334" s="46" t="s">
        <v>3432</v>
      </c>
      <c r="E334" s="46" t="s">
        <v>996</v>
      </c>
      <c r="F334" s="46" t="s">
        <v>3348</v>
      </c>
      <c r="G334" s="46" t="s">
        <v>633</v>
      </c>
      <c r="H334" s="47">
        <v>4714781020824</v>
      </c>
      <c r="I334" s="46" t="s">
        <v>3261</v>
      </c>
      <c r="J334" s="46" t="s">
        <v>3160</v>
      </c>
      <c r="K334" s="46">
        <v>1</v>
      </c>
      <c r="L334" s="46">
        <v>274</v>
      </c>
      <c r="N334" s="46" t="s">
        <v>1391</v>
      </c>
      <c r="P334" s="52">
        <v>967</v>
      </c>
      <c r="Q334" s="52" t="s">
        <v>633</v>
      </c>
      <c r="R334" s="52" t="s">
        <v>634</v>
      </c>
      <c r="T334" s="52">
        <v>992808</v>
      </c>
      <c r="U334" s="52" t="s">
        <v>999</v>
      </c>
      <c r="V334" s="52" t="s">
        <v>1000</v>
      </c>
      <c r="W334" s="52"/>
      <c r="X334" s="52"/>
      <c r="Y334" s="52"/>
      <c r="Z334" s="46" t="s">
        <v>994</v>
      </c>
    </row>
    <row r="335" spans="1:26">
      <c r="A335" s="49">
        <v>44365</v>
      </c>
      <c r="B335" s="48">
        <v>202106181088</v>
      </c>
      <c r="C335" s="46" t="s">
        <v>3350</v>
      </c>
      <c r="D335" s="46" t="s">
        <v>3432</v>
      </c>
      <c r="E335" s="46" t="s">
        <v>996</v>
      </c>
      <c r="F335" s="46" t="s">
        <v>3348</v>
      </c>
      <c r="G335" s="46" t="s">
        <v>633</v>
      </c>
      <c r="H335" s="47">
        <v>4714781020770</v>
      </c>
      <c r="I335" s="46" t="s">
        <v>3276</v>
      </c>
      <c r="J335" s="46" t="s">
        <v>3160</v>
      </c>
      <c r="K335" s="46">
        <v>1</v>
      </c>
      <c r="L335" s="46">
        <v>135</v>
      </c>
      <c r="N335" s="46" t="s">
        <v>1380</v>
      </c>
      <c r="P335" s="52">
        <v>967</v>
      </c>
      <c r="Q335" s="52" t="s">
        <v>633</v>
      </c>
      <c r="R335" s="52" t="s">
        <v>634</v>
      </c>
      <c r="T335" s="52">
        <v>992808</v>
      </c>
      <c r="U335" s="52" t="s">
        <v>999</v>
      </c>
      <c r="V335" s="52" t="s">
        <v>1000</v>
      </c>
      <c r="W335" s="52"/>
      <c r="X335" s="52"/>
      <c r="Y335" s="52"/>
      <c r="Z335" s="46" t="s">
        <v>994</v>
      </c>
    </row>
    <row r="336" spans="1:26">
      <c r="A336" s="49">
        <v>44365</v>
      </c>
      <c r="B336" s="48">
        <v>202106181088</v>
      </c>
      <c r="C336" s="46" t="s">
        <v>3350</v>
      </c>
      <c r="D336" s="46" t="s">
        <v>3432</v>
      </c>
      <c r="E336" s="46" t="s">
        <v>996</v>
      </c>
      <c r="F336" s="46" t="s">
        <v>3348</v>
      </c>
      <c r="G336" s="46" t="s">
        <v>633</v>
      </c>
      <c r="H336" s="47">
        <v>4714781020787</v>
      </c>
      <c r="I336" s="46" t="s">
        <v>3273</v>
      </c>
      <c r="J336" s="46" t="s">
        <v>3160</v>
      </c>
      <c r="K336" s="46">
        <v>1</v>
      </c>
      <c r="L336" s="46">
        <v>135</v>
      </c>
      <c r="N336" s="46" t="s">
        <v>1378</v>
      </c>
      <c r="P336" s="52">
        <v>967</v>
      </c>
      <c r="Q336" s="52" t="s">
        <v>633</v>
      </c>
      <c r="R336" s="52" t="s">
        <v>634</v>
      </c>
      <c r="T336" s="52">
        <v>992808</v>
      </c>
      <c r="U336" s="52" t="s">
        <v>999</v>
      </c>
      <c r="V336" s="52" t="s">
        <v>1000</v>
      </c>
      <c r="W336" s="52"/>
      <c r="X336" s="52"/>
      <c r="Y336" s="52"/>
      <c r="Z336" s="46" t="s">
        <v>994</v>
      </c>
    </row>
    <row r="337" spans="1:26">
      <c r="A337" s="49">
        <v>44365</v>
      </c>
      <c r="B337" s="48">
        <v>202106181088</v>
      </c>
      <c r="C337" s="46" t="s">
        <v>3350</v>
      </c>
      <c r="D337" s="46" t="s">
        <v>3432</v>
      </c>
      <c r="E337" s="46" t="s">
        <v>996</v>
      </c>
      <c r="F337" s="46" t="s">
        <v>3348</v>
      </c>
      <c r="G337" s="46" t="s">
        <v>633</v>
      </c>
      <c r="H337" s="47">
        <v>4714781021029</v>
      </c>
      <c r="I337" s="46" t="s">
        <v>3234</v>
      </c>
      <c r="J337" s="46" t="s">
        <v>3160</v>
      </c>
      <c r="K337" s="46">
        <v>1</v>
      </c>
      <c r="L337" s="46">
        <v>149</v>
      </c>
      <c r="N337" s="46" t="s">
        <v>962</v>
      </c>
      <c r="P337" s="52">
        <v>967</v>
      </c>
      <c r="Q337" s="52" t="s">
        <v>633</v>
      </c>
      <c r="R337" s="52" t="s">
        <v>634</v>
      </c>
      <c r="T337" s="52">
        <v>992808</v>
      </c>
      <c r="U337" s="52" t="s">
        <v>999</v>
      </c>
      <c r="V337" s="52" t="s">
        <v>1000</v>
      </c>
      <c r="W337" s="52"/>
      <c r="X337" s="52"/>
      <c r="Y337" s="52"/>
      <c r="Z337" s="46" t="s">
        <v>994</v>
      </c>
    </row>
    <row r="338" spans="1:26">
      <c r="A338" s="49">
        <v>44365</v>
      </c>
      <c r="B338" s="48">
        <v>202106181089</v>
      </c>
      <c r="C338" s="46" t="s">
        <v>3350</v>
      </c>
      <c r="D338" s="46" t="s">
        <v>3431</v>
      </c>
      <c r="E338" s="46" t="s">
        <v>1004</v>
      </c>
      <c r="F338" s="46" t="s">
        <v>3348</v>
      </c>
      <c r="G338" s="46" t="s">
        <v>633</v>
      </c>
      <c r="H338" s="47">
        <v>4714781020138</v>
      </c>
      <c r="I338" s="46" t="s">
        <v>3312</v>
      </c>
      <c r="J338" s="46" t="s">
        <v>3160</v>
      </c>
      <c r="K338" s="46">
        <v>1</v>
      </c>
      <c r="L338" s="46">
        <v>399</v>
      </c>
      <c r="N338" s="46" t="s">
        <v>1006</v>
      </c>
      <c r="P338" s="52">
        <v>464</v>
      </c>
      <c r="Q338" s="52" t="s">
        <v>633</v>
      </c>
      <c r="R338" s="52" t="s">
        <v>634</v>
      </c>
      <c r="T338" s="52">
        <v>947370</v>
      </c>
      <c r="U338" s="52" t="s">
        <v>1008</v>
      </c>
      <c r="V338" s="52" t="s">
        <v>1009</v>
      </c>
      <c r="W338" s="52"/>
      <c r="X338" s="52"/>
      <c r="Y338" s="52"/>
      <c r="Z338" s="46" t="s">
        <v>1002</v>
      </c>
    </row>
    <row r="339" spans="1:26">
      <c r="A339" s="49">
        <v>44365</v>
      </c>
      <c r="B339" s="48">
        <v>202106181089</v>
      </c>
      <c r="C339" s="46" t="s">
        <v>3350</v>
      </c>
      <c r="D339" s="46" t="s">
        <v>3431</v>
      </c>
      <c r="E339" s="46" t="s">
        <v>1004</v>
      </c>
      <c r="F339" s="46" t="s">
        <v>3348</v>
      </c>
      <c r="G339" s="46" t="s">
        <v>633</v>
      </c>
      <c r="H339" s="47" t="s">
        <v>3347</v>
      </c>
      <c r="J339" s="46" t="s">
        <v>3346</v>
      </c>
      <c r="K339" s="46">
        <v>1</v>
      </c>
      <c r="L339" s="46">
        <v>65</v>
      </c>
      <c r="P339" s="52"/>
      <c r="Q339" s="52"/>
      <c r="R339" s="52"/>
      <c r="T339" s="52"/>
      <c r="U339" s="52"/>
      <c r="V339" s="52"/>
      <c r="W339" s="52"/>
      <c r="X339" s="52"/>
      <c r="Y339" s="52"/>
    </row>
    <row r="340" spans="1:26">
      <c r="A340" s="49">
        <v>44365</v>
      </c>
      <c r="B340" s="48">
        <v>202106181090</v>
      </c>
      <c r="C340" s="46" t="s">
        <v>3350</v>
      </c>
      <c r="D340" s="46" t="s">
        <v>3430</v>
      </c>
      <c r="E340" s="46" t="s">
        <v>1013</v>
      </c>
      <c r="F340" s="46" t="s">
        <v>3348</v>
      </c>
      <c r="G340" s="46" t="s">
        <v>633</v>
      </c>
      <c r="H340" s="47" t="s">
        <v>1512</v>
      </c>
      <c r="I340" s="46" t="s">
        <v>3194</v>
      </c>
      <c r="J340" s="46" t="s">
        <v>3160</v>
      </c>
      <c r="K340" s="46">
        <v>1</v>
      </c>
      <c r="L340" s="46">
        <v>125</v>
      </c>
      <c r="N340" s="46" t="s">
        <v>1511</v>
      </c>
      <c r="P340" s="52">
        <v>1534</v>
      </c>
      <c r="Q340" s="52" t="s">
        <v>633</v>
      </c>
      <c r="R340" s="52" t="s">
        <v>634</v>
      </c>
      <c r="T340" s="52">
        <v>115971</v>
      </c>
      <c r="U340" s="52" t="s">
        <v>1014</v>
      </c>
      <c r="V340" s="52" t="s">
        <v>1015</v>
      </c>
      <c r="W340" s="52"/>
      <c r="X340" s="52"/>
      <c r="Y340" s="52"/>
      <c r="Z340" s="46" t="s">
        <v>1011</v>
      </c>
    </row>
    <row r="341" spans="1:26">
      <c r="A341" s="49">
        <v>44365</v>
      </c>
      <c r="B341" s="48">
        <v>202106181090</v>
      </c>
      <c r="C341" s="46" t="s">
        <v>3350</v>
      </c>
      <c r="D341" s="46" t="s">
        <v>3430</v>
      </c>
      <c r="E341" s="46" t="s">
        <v>1013</v>
      </c>
      <c r="F341" s="46" t="s">
        <v>3348</v>
      </c>
      <c r="G341" s="46" t="s">
        <v>633</v>
      </c>
      <c r="H341" s="47" t="s">
        <v>1517</v>
      </c>
      <c r="I341" s="46" t="s">
        <v>3295</v>
      </c>
      <c r="J341" s="46" t="s">
        <v>3160</v>
      </c>
      <c r="K341" s="46">
        <v>1</v>
      </c>
      <c r="L341" s="46">
        <v>125</v>
      </c>
      <c r="N341" s="46" t="s">
        <v>1516</v>
      </c>
      <c r="P341" s="52">
        <v>1534</v>
      </c>
      <c r="Q341" s="52" t="s">
        <v>633</v>
      </c>
      <c r="R341" s="52" t="s">
        <v>634</v>
      </c>
      <c r="T341" s="52">
        <v>115971</v>
      </c>
      <c r="U341" s="52" t="s">
        <v>1014</v>
      </c>
      <c r="V341" s="52" t="s">
        <v>1015</v>
      </c>
      <c r="W341" s="52"/>
      <c r="X341" s="52"/>
      <c r="Y341" s="52"/>
      <c r="Z341" s="46" t="s">
        <v>1011</v>
      </c>
    </row>
    <row r="342" spans="1:26">
      <c r="A342" s="49">
        <v>44365</v>
      </c>
      <c r="B342" s="48">
        <v>202106181090</v>
      </c>
      <c r="C342" s="46" t="s">
        <v>3350</v>
      </c>
      <c r="D342" s="46" t="s">
        <v>3430</v>
      </c>
      <c r="E342" s="46" t="s">
        <v>1013</v>
      </c>
      <c r="F342" s="46" t="s">
        <v>3348</v>
      </c>
      <c r="G342" s="46" t="s">
        <v>633</v>
      </c>
      <c r="H342" s="47" t="s">
        <v>1514</v>
      </c>
      <c r="I342" s="46" t="s">
        <v>3295</v>
      </c>
      <c r="J342" s="46" t="s">
        <v>3160</v>
      </c>
      <c r="K342" s="46">
        <v>1</v>
      </c>
      <c r="L342" s="46">
        <v>124</v>
      </c>
      <c r="N342" s="46" t="s">
        <v>1513</v>
      </c>
      <c r="P342" s="52">
        <v>1534</v>
      </c>
      <c r="Q342" s="52" t="s">
        <v>633</v>
      </c>
      <c r="R342" s="52" t="s">
        <v>634</v>
      </c>
      <c r="T342" s="52">
        <v>115971</v>
      </c>
      <c r="U342" s="52" t="s">
        <v>1014</v>
      </c>
      <c r="V342" s="52" t="s">
        <v>1015</v>
      </c>
      <c r="W342" s="52"/>
      <c r="X342" s="52"/>
      <c r="Y342" s="52"/>
      <c r="Z342" s="46" t="s">
        <v>1011</v>
      </c>
    </row>
    <row r="343" spans="1:26">
      <c r="A343" s="49">
        <v>44365</v>
      </c>
      <c r="B343" s="48">
        <v>202106181090</v>
      </c>
      <c r="C343" s="46" t="s">
        <v>3350</v>
      </c>
      <c r="D343" s="46" t="s">
        <v>3430</v>
      </c>
      <c r="E343" s="46" t="s">
        <v>1013</v>
      </c>
      <c r="F343" s="46" t="s">
        <v>3348</v>
      </c>
      <c r="G343" s="46" t="s">
        <v>633</v>
      </c>
      <c r="H343" s="47" t="s">
        <v>1508</v>
      </c>
      <c r="I343" s="46" t="s">
        <v>3166</v>
      </c>
      <c r="J343" s="46" t="s">
        <v>3160</v>
      </c>
      <c r="K343" s="46">
        <v>4</v>
      </c>
      <c r="L343" s="46">
        <v>1160</v>
      </c>
      <c r="N343" s="46" t="s">
        <v>2186</v>
      </c>
      <c r="P343" s="52">
        <v>1534</v>
      </c>
      <c r="Q343" s="52" t="s">
        <v>633</v>
      </c>
      <c r="R343" s="52" t="s">
        <v>634</v>
      </c>
      <c r="T343" s="52">
        <v>115971</v>
      </c>
      <c r="U343" s="52" t="s">
        <v>1014</v>
      </c>
      <c r="V343" s="52" t="s">
        <v>1015</v>
      </c>
      <c r="W343" s="52"/>
      <c r="X343" s="52"/>
      <c r="Y343" s="52"/>
      <c r="Z343" s="46" t="s">
        <v>1011</v>
      </c>
    </row>
    <row r="344" spans="1:26" ht="20">
      <c r="A344" s="49">
        <v>44365</v>
      </c>
      <c r="B344" s="48">
        <v>202106181090</v>
      </c>
      <c r="C344" s="46" t="s">
        <v>3350</v>
      </c>
      <c r="D344" s="46" t="s">
        <v>3430</v>
      </c>
      <c r="E344" s="46" t="s">
        <v>1013</v>
      </c>
      <c r="F344" s="46" t="s">
        <v>3348</v>
      </c>
      <c r="G344" s="46" t="s">
        <v>633</v>
      </c>
      <c r="H344" s="47">
        <v>4714781020725</v>
      </c>
      <c r="I344" s="53" t="s">
        <v>3278</v>
      </c>
      <c r="J344" s="46" t="s">
        <v>3160</v>
      </c>
      <c r="K344" s="46">
        <v>1</v>
      </c>
      <c r="L344" s="46">
        <v>0</v>
      </c>
      <c r="N344" s="46" t="s">
        <v>301</v>
      </c>
      <c r="P344" s="52">
        <v>1534</v>
      </c>
      <c r="Q344" s="52" t="s">
        <v>633</v>
      </c>
      <c r="R344" s="52" t="s">
        <v>634</v>
      </c>
      <c r="T344" s="52">
        <v>115971</v>
      </c>
      <c r="U344" s="52" t="s">
        <v>1014</v>
      </c>
      <c r="V344" s="52" t="s">
        <v>1015</v>
      </c>
      <c r="W344" s="52"/>
      <c r="X344" s="52"/>
      <c r="Y344" s="52"/>
      <c r="Z344" s="46" t="s">
        <v>1011</v>
      </c>
    </row>
    <row r="345" spans="1:26">
      <c r="A345" s="49">
        <v>44365</v>
      </c>
      <c r="B345" s="48">
        <v>202106181091</v>
      </c>
      <c r="C345" s="46" t="s">
        <v>3350</v>
      </c>
      <c r="D345" s="46" t="s">
        <v>3429</v>
      </c>
      <c r="E345" s="46" t="s">
        <v>1021</v>
      </c>
      <c r="F345" s="46" t="s">
        <v>3348</v>
      </c>
      <c r="G345" s="46" t="s">
        <v>633</v>
      </c>
      <c r="H345" s="47" t="s">
        <v>1510</v>
      </c>
      <c r="I345" s="46" t="s">
        <v>3168</v>
      </c>
      <c r="J345" s="46" t="s">
        <v>3160</v>
      </c>
      <c r="K345" s="46">
        <v>1</v>
      </c>
      <c r="L345" s="46">
        <v>296</v>
      </c>
      <c r="N345" s="46" t="s">
        <v>1509</v>
      </c>
      <c r="P345" s="52">
        <v>888</v>
      </c>
      <c r="Q345" s="52" t="s">
        <v>633</v>
      </c>
      <c r="R345" s="52" t="s">
        <v>634</v>
      </c>
      <c r="T345" s="52">
        <v>194848</v>
      </c>
      <c r="U345" s="52" t="s">
        <v>1022</v>
      </c>
      <c r="V345" s="52" t="s">
        <v>1023</v>
      </c>
      <c r="W345" s="52"/>
      <c r="X345" s="52"/>
      <c r="Y345" s="52"/>
      <c r="Z345" s="46" t="s">
        <v>1019</v>
      </c>
    </row>
    <row r="346" spans="1:26">
      <c r="A346" s="49">
        <v>44365</v>
      </c>
      <c r="B346" s="48">
        <v>202106181091</v>
      </c>
      <c r="C346" s="46" t="s">
        <v>3350</v>
      </c>
      <c r="D346" s="46" t="s">
        <v>3429</v>
      </c>
      <c r="E346" s="46" t="s">
        <v>1021</v>
      </c>
      <c r="F346" s="46" t="s">
        <v>3348</v>
      </c>
      <c r="G346" s="46" t="s">
        <v>633</v>
      </c>
      <c r="H346" s="47" t="s">
        <v>1508</v>
      </c>
      <c r="I346" s="46" t="s">
        <v>3166</v>
      </c>
      <c r="J346" s="46" t="s">
        <v>3160</v>
      </c>
      <c r="K346" s="46">
        <v>1</v>
      </c>
      <c r="L346" s="46">
        <v>296</v>
      </c>
      <c r="N346" s="46" t="s">
        <v>1507</v>
      </c>
      <c r="P346" s="52">
        <v>888</v>
      </c>
      <c r="Q346" s="52" t="s">
        <v>633</v>
      </c>
      <c r="R346" s="52" t="s">
        <v>634</v>
      </c>
      <c r="T346" s="52">
        <v>194848</v>
      </c>
      <c r="U346" s="52" t="s">
        <v>1022</v>
      </c>
      <c r="V346" s="52" t="s">
        <v>1023</v>
      </c>
      <c r="W346" s="52"/>
      <c r="X346" s="52"/>
      <c r="Y346" s="52"/>
      <c r="Z346" s="46" t="s">
        <v>1019</v>
      </c>
    </row>
    <row r="347" spans="1:26">
      <c r="A347" s="49">
        <v>44365</v>
      </c>
      <c r="B347" s="48">
        <v>202106181091</v>
      </c>
      <c r="C347" s="46" t="s">
        <v>3350</v>
      </c>
      <c r="D347" s="46" t="s">
        <v>3429</v>
      </c>
      <c r="E347" s="46" t="s">
        <v>1021</v>
      </c>
      <c r="F347" s="46" t="s">
        <v>3348</v>
      </c>
      <c r="G347" s="46" t="s">
        <v>633</v>
      </c>
      <c r="H347" s="47" t="s">
        <v>1506</v>
      </c>
      <c r="I347" s="46" t="s">
        <v>3166</v>
      </c>
      <c r="J347" s="46" t="s">
        <v>3160</v>
      </c>
      <c r="K347" s="46">
        <v>1</v>
      </c>
      <c r="L347" s="46">
        <v>296</v>
      </c>
      <c r="N347" s="46" t="s">
        <v>1505</v>
      </c>
      <c r="P347" s="52">
        <v>888</v>
      </c>
      <c r="Q347" s="52" t="s">
        <v>633</v>
      </c>
      <c r="R347" s="52" t="s">
        <v>634</v>
      </c>
      <c r="T347" s="52">
        <v>194848</v>
      </c>
      <c r="U347" s="52" t="s">
        <v>1022</v>
      </c>
      <c r="V347" s="52" t="s">
        <v>1023</v>
      </c>
      <c r="W347" s="52"/>
      <c r="X347" s="52"/>
      <c r="Y347" s="52"/>
      <c r="Z347" s="46" t="s">
        <v>1019</v>
      </c>
    </row>
    <row r="348" spans="1:26">
      <c r="A348" s="49">
        <v>44365</v>
      </c>
      <c r="B348" s="48">
        <v>202106181092</v>
      </c>
      <c r="C348" s="46" t="s">
        <v>3350</v>
      </c>
      <c r="D348" s="46" t="s">
        <v>3428</v>
      </c>
      <c r="E348" s="46" t="s">
        <v>625</v>
      </c>
      <c r="F348" s="46" t="s">
        <v>3348</v>
      </c>
      <c r="G348" s="46" t="s">
        <v>39</v>
      </c>
      <c r="H348" s="47" t="s">
        <v>1506</v>
      </c>
      <c r="I348" s="46" t="s">
        <v>3166</v>
      </c>
      <c r="J348" s="46" t="s">
        <v>3160</v>
      </c>
      <c r="K348" s="46">
        <v>4</v>
      </c>
      <c r="L348" s="46">
        <v>1095</v>
      </c>
      <c r="N348" s="46" t="s">
        <v>2188</v>
      </c>
      <c r="P348" s="52">
        <v>1230</v>
      </c>
      <c r="Q348" s="52" t="s">
        <v>39</v>
      </c>
      <c r="R348" s="52" t="s">
        <v>40</v>
      </c>
      <c r="T348" s="52"/>
      <c r="U348" s="52"/>
      <c r="V348" s="52"/>
      <c r="W348" s="52">
        <v>236</v>
      </c>
      <c r="X348" s="52" t="s">
        <v>628</v>
      </c>
      <c r="Y348" s="52"/>
      <c r="Z348" s="46" t="s">
        <v>623</v>
      </c>
    </row>
    <row r="349" spans="1:26">
      <c r="A349" s="49">
        <v>44365</v>
      </c>
      <c r="B349" s="48">
        <v>202106181092</v>
      </c>
      <c r="C349" s="46" t="s">
        <v>3350</v>
      </c>
      <c r="D349" s="46" t="s">
        <v>3428</v>
      </c>
      <c r="E349" s="46" t="s">
        <v>625</v>
      </c>
      <c r="F349" s="46" t="s">
        <v>3348</v>
      </c>
      <c r="G349" s="46" t="s">
        <v>39</v>
      </c>
      <c r="H349" s="47">
        <v>4714781020770</v>
      </c>
      <c r="I349" s="46" t="s">
        <v>3276</v>
      </c>
      <c r="J349" s="46" t="s">
        <v>3160</v>
      </c>
      <c r="K349" s="46">
        <v>1</v>
      </c>
      <c r="L349" s="46">
        <v>135</v>
      </c>
      <c r="N349" s="46" t="s">
        <v>100</v>
      </c>
      <c r="P349" s="52">
        <v>1230</v>
      </c>
      <c r="Q349" s="52" t="s">
        <v>39</v>
      </c>
      <c r="R349" s="52" t="s">
        <v>40</v>
      </c>
      <c r="T349" s="52"/>
      <c r="U349" s="52"/>
      <c r="V349" s="52"/>
      <c r="W349" s="52">
        <v>236</v>
      </c>
      <c r="X349" s="52" t="s">
        <v>628</v>
      </c>
      <c r="Y349" s="52"/>
      <c r="Z349" s="46" t="s">
        <v>623</v>
      </c>
    </row>
    <row r="350" spans="1:26" ht="20">
      <c r="A350" s="49">
        <v>44365</v>
      </c>
      <c r="B350" s="48">
        <v>202106181092</v>
      </c>
      <c r="C350" s="46" t="s">
        <v>3350</v>
      </c>
      <c r="D350" s="46" t="s">
        <v>3428</v>
      </c>
      <c r="E350" s="46" t="s">
        <v>625</v>
      </c>
      <c r="F350" s="46" t="s">
        <v>3348</v>
      </c>
      <c r="G350" s="46" t="s">
        <v>39</v>
      </c>
      <c r="H350" s="47">
        <v>4714781020725</v>
      </c>
      <c r="I350" s="53" t="s">
        <v>3278</v>
      </c>
      <c r="J350" s="46" t="s">
        <v>3160</v>
      </c>
      <c r="K350" s="46">
        <v>1</v>
      </c>
      <c r="L350" s="46">
        <v>0</v>
      </c>
      <c r="N350" s="46" t="s">
        <v>301</v>
      </c>
      <c r="P350" s="52">
        <v>1230</v>
      </c>
      <c r="Q350" s="52" t="s">
        <v>39</v>
      </c>
      <c r="R350" s="52" t="s">
        <v>40</v>
      </c>
      <c r="T350" s="52"/>
      <c r="U350" s="52"/>
      <c r="V350" s="52"/>
      <c r="W350" s="52">
        <v>236</v>
      </c>
      <c r="X350" s="52" t="s">
        <v>628</v>
      </c>
      <c r="Y350" s="52"/>
      <c r="Z350" s="46" t="s">
        <v>623</v>
      </c>
    </row>
    <row r="351" spans="1:26">
      <c r="A351" s="49">
        <v>44365</v>
      </c>
      <c r="B351" s="48">
        <v>202106181093</v>
      </c>
      <c r="C351" s="46" t="s">
        <v>3350</v>
      </c>
      <c r="D351" s="46" t="s">
        <v>3427</v>
      </c>
      <c r="E351" s="46" t="s">
        <v>1027</v>
      </c>
      <c r="F351" s="46" t="s">
        <v>3348</v>
      </c>
      <c r="G351" s="46" t="s">
        <v>633</v>
      </c>
      <c r="H351" s="47">
        <v>4714781020954</v>
      </c>
      <c r="I351" s="46" t="s">
        <v>3250</v>
      </c>
      <c r="J351" s="46" t="s">
        <v>3160</v>
      </c>
      <c r="K351" s="46">
        <v>4</v>
      </c>
      <c r="L351" s="46">
        <v>570</v>
      </c>
      <c r="N351" s="46" t="s">
        <v>543</v>
      </c>
      <c r="P351" s="52">
        <v>769</v>
      </c>
      <c r="Q351" s="52" t="s">
        <v>633</v>
      </c>
      <c r="R351" s="52" t="s">
        <v>634</v>
      </c>
      <c r="T351" s="52">
        <v>227739</v>
      </c>
      <c r="U351" s="52" t="s">
        <v>1028</v>
      </c>
      <c r="V351" s="52" t="s">
        <v>1029</v>
      </c>
      <c r="W351" s="52"/>
      <c r="X351" s="52"/>
      <c r="Y351" s="52"/>
      <c r="Z351" s="46" t="s">
        <v>1025</v>
      </c>
    </row>
    <row r="352" spans="1:26">
      <c r="A352" s="49">
        <v>44365</v>
      </c>
      <c r="B352" s="48">
        <v>202106181093</v>
      </c>
      <c r="C352" s="46" t="s">
        <v>3350</v>
      </c>
      <c r="D352" s="46" t="s">
        <v>3427</v>
      </c>
      <c r="E352" s="46" t="s">
        <v>1027</v>
      </c>
      <c r="F352" s="46" t="s">
        <v>3348</v>
      </c>
      <c r="G352" s="46" t="s">
        <v>633</v>
      </c>
      <c r="H352" s="47">
        <v>4714781021234</v>
      </c>
      <c r="I352" s="46" t="s">
        <v>3215</v>
      </c>
      <c r="J352" s="46" t="s">
        <v>3160</v>
      </c>
      <c r="K352" s="46">
        <v>3</v>
      </c>
      <c r="L352" s="46">
        <v>199</v>
      </c>
      <c r="N352" s="46" t="s">
        <v>2135</v>
      </c>
      <c r="P352" s="52">
        <v>769</v>
      </c>
      <c r="Q352" s="52" t="s">
        <v>633</v>
      </c>
      <c r="R352" s="52" t="s">
        <v>634</v>
      </c>
      <c r="T352" s="52">
        <v>227739</v>
      </c>
      <c r="U352" s="52" t="s">
        <v>1028</v>
      </c>
      <c r="V352" s="52" t="s">
        <v>1029</v>
      </c>
      <c r="W352" s="52"/>
      <c r="X352" s="52"/>
      <c r="Y352" s="52"/>
      <c r="Z352" s="46" t="s">
        <v>1025</v>
      </c>
    </row>
    <row r="353" spans="1:26">
      <c r="A353" s="49">
        <v>44365</v>
      </c>
      <c r="B353" s="48">
        <v>202106181094</v>
      </c>
      <c r="C353" s="46" t="s">
        <v>3350</v>
      </c>
      <c r="D353" s="46" t="s">
        <v>3426</v>
      </c>
      <c r="E353" s="46" t="s">
        <v>613</v>
      </c>
      <c r="F353" s="46" t="s">
        <v>3348</v>
      </c>
      <c r="G353" s="46" t="s">
        <v>39</v>
      </c>
      <c r="H353" s="47">
        <v>4714781021029</v>
      </c>
      <c r="I353" s="46" t="s">
        <v>3234</v>
      </c>
      <c r="J353" s="46" t="s">
        <v>3160</v>
      </c>
      <c r="K353" s="46">
        <v>1</v>
      </c>
      <c r="L353" s="46">
        <v>116</v>
      </c>
      <c r="N353" s="46" t="s">
        <v>1452</v>
      </c>
      <c r="P353" s="52">
        <v>1535</v>
      </c>
      <c r="Q353" s="52" t="s">
        <v>39</v>
      </c>
      <c r="R353" s="52" t="s">
        <v>171</v>
      </c>
      <c r="T353" s="52"/>
      <c r="U353" s="52"/>
      <c r="V353" s="52"/>
      <c r="W353" s="52">
        <v>630</v>
      </c>
      <c r="X353" s="52" t="s">
        <v>616</v>
      </c>
      <c r="Y353" s="52" t="s">
        <v>617</v>
      </c>
      <c r="Z353" s="46" t="s">
        <v>619</v>
      </c>
    </row>
    <row r="354" spans="1:26">
      <c r="A354" s="49">
        <v>44365</v>
      </c>
      <c r="B354" s="48">
        <v>202106181094</v>
      </c>
      <c r="C354" s="46" t="s">
        <v>3350</v>
      </c>
      <c r="D354" s="46" t="s">
        <v>3426</v>
      </c>
      <c r="E354" s="46" t="s">
        <v>613</v>
      </c>
      <c r="F354" s="46" t="s">
        <v>3348</v>
      </c>
      <c r="G354" s="46" t="s">
        <v>39</v>
      </c>
      <c r="H354" s="47">
        <v>4714781021593</v>
      </c>
      <c r="I354" s="46" t="s">
        <v>3183</v>
      </c>
      <c r="J354" s="46" t="s">
        <v>3160</v>
      </c>
      <c r="K354" s="46">
        <v>1</v>
      </c>
      <c r="L354" s="46">
        <v>116</v>
      </c>
      <c r="N354" s="46" t="s">
        <v>1453</v>
      </c>
      <c r="P354" s="52">
        <v>1535</v>
      </c>
      <c r="Q354" s="52" t="s">
        <v>39</v>
      </c>
      <c r="R354" s="52" t="s">
        <v>171</v>
      </c>
      <c r="T354" s="52"/>
      <c r="U354" s="52"/>
      <c r="V354" s="52"/>
      <c r="W354" s="52">
        <v>630</v>
      </c>
      <c r="X354" s="52" t="s">
        <v>616</v>
      </c>
      <c r="Y354" s="52" t="s">
        <v>617</v>
      </c>
      <c r="Z354" s="46" t="s">
        <v>619</v>
      </c>
    </row>
    <row r="355" spans="1:26">
      <c r="A355" s="49">
        <v>44365</v>
      </c>
      <c r="B355" s="48">
        <v>202106181094</v>
      </c>
      <c r="C355" s="46" t="s">
        <v>3350</v>
      </c>
      <c r="D355" s="46" t="s">
        <v>3426</v>
      </c>
      <c r="E355" s="46" t="s">
        <v>613</v>
      </c>
      <c r="F355" s="46" t="s">
        <v>3348</v>
      </c>
      <c r="G355" s="46" t="s">
        <v>39</v>
      </c>
      <c r="H355" s="47">
        <v>4714781021609</v>
      </c>
      <c r="I355" s="46" t="s">
        <v>3183</v>
      </c>
      <c r="J355" s="46" t="s">
        <v>3160</v>
      </c>
      <c r="K355" s="46">
        <v>1</v>
      </c>
      <c r="L355" s="46">
        <v>117</v>
      </c>
      <c r="N355" s="46" t="s">
        <v>1454</v>
      </c>
      <c r="P355" s="52">
        <v>1535</v>
      </c>
      <c r="Q355" s="52" t="s">
        <v>39</v>
      </c>
      <c r="R355" s="52" t="s">
        <v>171</v>
      </c>
      <c r="T355" s="52"/>
      <c r="U355" s="52"/>
      <c r="V355" s="52"/>
      <c r="W355" s="52">
        <v>630</v>
      </c>
      <c r="X355" s="52" t="s">
        <v>616</v>
      </c>
      <c r="Y355" s="52" t="s">
        <v>617</v>
      </c>
      <c r="Z355" s="46" t="s">
        <v>619</v>
      </c>
    </row>
    <row r="356" spans="1:26">
      <c r="A356" s="49">
        <v>44365</v>
      </c>
      <c r="B356" s="48">
        <v>202106181094</v>
      </c>
      <c r="C356" s="46" t="s">
        <v>3350</v>
      </c>
      <c r="D356" s="46" t="s">
        <v>3426</v>
      </c>
      <c r="E356" s="46" t="s">
        <v>613</v>
      </c>
      <c r="F356" s="46" t="s">
        <v>3348</v>
      </c>
      <c r="G356" s="46" t="s">
        <v>39</v>
      </c>
      <c r="H356" s="47">
        <v>4714781020466</v>
      </c>
      <c r="I356" s="46" t="s">
        <v>3194</v>
      </c>
      <c r="J356" s="46" t="s">
        <v>3160</v>
      </c>
      <c r="K356" s="46">
        <v>1</v>
      </c>
      <c r="L356" s="46">
        <v>123</v>
      </c>
      <c r="N356" s="46" t="s">
        <v>1374</v>
      </c>
      <c r="P356" s="52">
        <v>1535</v>
      </c>
      <c r="Q356" s="52" t="s">
        <v>39</v>
      </c>
      <c r="R356" s="52" t="s">
        <v>171</v>
      </c>
      <c r="T356" s="52"/>
      <c r="U356" s="52"/>
      <c r="V356" s="52"/>
      <c r="W356" s="52">
        <v>630</v>
      </c>
      <c r="X356" s="52" t="s">
        <v>616</v>
      </c>
      <c r="Y356" s="52" t="s">
        <v>617</v>
      </c>
      <c r="Z356" s="46" t="s">
        <v>619</v>
      </c>
    </row>
    <row r="357" spans="1:26">
      <c r="A357" s="49">
        <v>44365</v>
      </c>
      <c r="B357" s="48">
        <v>202106181094</v>
      </c>
      <c r="C357" s="46" t="s">
        <v>3350</v>
      </c>
      <c r="D357" s="46" t="s">
        <v>3426</v>
      </c>
      <c r="E357" s="46" t="s">
        <v>613</v>
      </c>
      <c r="F357" s="46" t="s">
        <v>3348</v>
      </c>
      <c r="G357" s="46" t="s">
        <v>39</v>
      </c>
      <c r="H357" s="47">
        <v>4714781020503</v>
      </c>
      <c r="I357" s="46" t="s">
        <v>3295</v>
      </c>
      <c r="J357" s="46" t="s">
        <v>3160</v>
      </c>
      <c r="K357" s="46">
        <v>1</v>
      </c>
      <c r="L357" s="46">
        <v>123</v>
      </c>
      <c r="N357" s="46" t="s">
        <v>1372</v>
      </c>
      <c r="P357" s="52">
        <v>1535</v>
      </c>
      <c r="Q357" s="52" t="s">
        <v>39</v>
      </c>
      <c r="R357" s="52" t="s">
        <v>171</v>
      </c>
      <c r="T357" s="52"/>
      <c r="U357" s="52"/>
      <c r="V357" s="52"/>
      <c r="W357" s="52">
        <v>630</v>
      </c>
      <c r="X357" s="52" t="s">
        <v>616</v>
      </c>
      <c r="Y357" s="52" t="s">
        <v>617</v>
      </c>
      <c r="Z357" s="46" t="s">
        <v>619</v>
      </c>
    </row>
    <row r="358" spans="1:26">
      <c r="A358" s="49">
        <v>44365</v>
      </c>
      <c r="B358" s="48">
        <v>202106181094</v>
      </c>
      <c r="C358" s="46" t="s">
        <v>3350</v>
      </c>
      <c r="D358" s="46" t="s">
        <v>3426</v>
      </c>
      <c r="E358" s="46" t="s">
        <v>613</v>
      </c>
      <c r="F358" s="46" t="s">
        <v>3348</v>
      </c>
      <c r="G358" s="46" t="s">
        <v>39</v>
      </c>
      <c r="H358" s="47">
        <v>4714781020558</v>
      </c>
      <c r="I358" s="46" t="s">
        <v>3295</v>
      </c>
      <c r="J358" s="46" t="s">
        <v>3160</v>
      </c>
      <c r="K358" s="46">
        <v>1</v>
      </c>
      <c r="L358" s="46">
        <v>123</v>
      </c>
      <c r="N358" s="46" t="s">
        <v>1370</v>
      </c>
      <c r="P358" s="52">
        <v>1535</v>
      </c>
      <c r="Q358" s="52" t="s">
        <v>39</v>
      </c>
      <c r="R358" s="52" t="s">
        <v>171</v>
      </c>
      <c r="T358" s="52"/>
      <c r="U358" s="52"/>
      <c r="V358" s="52"/>
      <c r="W358" s="52">
        <v>630</v>
      </c>
      <c r="X358" s="52" t="s">
        <v>616</v>
      </c>
      <c r="Y358" s="52" t="s">
        <v>617</v>
      </c>
      <c r="Z358" s="46" t="s">
        <v>619</v>
      </c>
    </row>
    <row r="359" spans="1:26">
      <c r="A359" s="49">
        <v>44365</v>
      </c>
      <c r="B359" s="48">
        <v>202106181094</v>
      </c>
      <c r="C359" s="46" t="s">
        <v>3350</v>
      </c>
      <c r="D359" s="46" t="s">
        <v>3426</v>
      </c>
      <c r="E359" s="46" t="s">
        <v>613</v>
      </c>
      <c r="F359" s="46" t="s">
        <v>3348</v>
      </c>
      <c r="G359" s="46" t="s">
        <v>39</v>
      </c>
      <c r="H359" s="47">
        <v>4714781020794</v>
      </c>
      <c r="I359" s="46" t="s">
        <v>3266</v>
      </c>
      <c r="J359" s="46" t="s">
        <v>3160</v>
      </c>
      <c r="K359" s="46">
        <v>2</v>
      </c>
      <c r="L359" s="46">
        <v>218</v>
      </c>
      <c r="N359" s="46" t="s">
        <v>143</v>
      </c>
      <c r="P359" s="52">
        <v>1535</v>
      </c>
      <c r="Q359" s="52" t="s">
        <v>39</v>
      </c>
      <c r="R359" s="52" t="s">
        <v>171</v>
      </c>
      <c r="T359" s="52"/>
      <c r="U359" s="52"/>
      <c r="V359" s="52"/>
      <c r="W359" s="52">
        <v>630</v>
      </c>
      <c r="X359" s="52" t="s">
        <v>616</v>
      </c>
      <c r="Y359" s="52" t="s">
        <v>617</v>
      </c>
      <c r="Z359" s="46" t="s">
        <v>619</v>
      </c>
    </row>
    <row r="360" spans="1:26">
      <c r="A360" s="49">
        <v>44365</v>
      </c>
      <c r="B360" s="48">
        <v>202106181094</v>
      </c>
      <c r="C360" s="46" t="s">
        <v>3350</v>
      </c>
      <c r="D360" s="46" t="s">
        <v>3426</v>
      </c>
      <c r="E360" s="46" t="s">
        <v>613</v>
      </c>
      <c r="F360" s="46" t="s">
        <v>3348</v>
      </c>
      <c r="G360" s="46" t="s">
        <v>39</v>
      </c>
      <c r="H360" s="47">
        <v>4714781020831</v>
      </c>
      <c r="I360" s="46" t="s">
        <v>3258</v>
      </c>
      <c r="J360" s="46" t="s">
        <v>3160</v>
      </c>
      <c r="K360" s="46">
        <v>2</v>
      </c>
      <c r="L360" s="46">
        <v>599</v>
      </c>
      <c r="N360" s="46" t="s">
        <v>1389</v>
      </c>
      <c r="P360" s="52">
        <v>1535</v>
      </c>
      <c r="Q360" s="52" t="s">
        <v>39</v>
      </c>
      <c r="R360" s="52" t="s">
        <v>171</v>
      </c>
      <c r="T360" s="52"/>
      <c r="U360" s="52"/>
      <c r="V360" s="52"/>
      <c r="W360" s="52">
        <v>630</v>
      </c>
      <c r="X360" s="52" t="s">
        <v>616</v>
      </c>
      <c r="Y360" s="52" t="s">
        <v>617</v>
      </c>
      <c r="Z360" s="46" t="s">
        <v>619</v>
      </c>
    </row>
    <row r="361" spans="1:26" ht="20">
      <c r="A361" s="49">
        <v>44365</v>
      </c>
      <c r="B361" s="48">
        <v>202106181094</v>
      </c>
      <c r="C361" s="46" t="s">
        <v>3350</v>
      </c>
      <c r="D361" s="46" t="s">
        <v>3426</v>
      </c>
      <c r="E361" s="46" t="s">
        <v>613</v>
      </c>
      <c r="F361" s="46" t="s">
        <v>3348</v>
      </c>
      <c r="G361" s="46" t="s">
        <v>39</v>
      </c>
      <c r="H361" s="47">
        <v>4714781020725</v>
      </c>
      <c r="I361" s="53" t="s">
        <v>3278</v>
      </c>
      <c r="J361" s="46" t="s">
        <v>3160</v>
      </c>
      <c r="K361" s="46">
        <v>1</v>
      </c>
      <c r="L361" s="46">
        <v>0</v>
      </c>
      <c r="N361" s="46" t="s">
        <v>301</v>
      </c>
      <c r="P361" s="52">
        <v>1535</v>
      </c>
      <c r="Q361" s="52" t="s">
        <v>39</v>
      </c>
      <c r="R361" s="52" t="s">
        <v>171</v>
      </c>
      <c r="T361" s="52"/>
      <c r="U361" s="52"/>
      <c r="V361" s="52"/>
      <c r="W361" s="52">
        <v>630</v>
      </c>
      <c r="X361" s="52" t="s">
        <v>616</v>
      </c>
      <c r="Y361" s="52" t="s">
        <v>617</v>
      </c>
      <c r="Z361" s="46" t="s">
        <v>619</v>
      </c>
    </row>
    <row r="362" spans="1:26">
      <c r="A362" s="49">
        <v>44365</v>
      </c>
      <c r="B362" s="48">
        <v>202106181095</v>
      </c>
      <c r="C362" s="46" t="s">
        <v>3350</v>
      </c>
      <c r="D362" s="46" t="s">
        <v>3426</v>
      </c>
      <c r="E362" s="46" t="s">
        <v>613</v>
      </c>
      <c r="F362" s="46" t="s">
        <v>3348</v>
      </c>
      <c r="G362" s="46" t="s">
        <v>39</v>
      </c>
      <c r="H362" s="47">
        <v>4714781021777</v>
      </c>
      <c r="I362" s="46" t="s">
        <v>3169</v>
      </c>
      <c r="J362" s="46" t="s">
        <v>3160</v>
      </c>
      <c r="K362" s="46">
        <v>2</v>
      </c>
      <c r="L362" s="46">
        <v>709</v>
      </c>
      <c r="N362" s="46" t="s">
        <v>1522</v>
      </c>
      <c r="P362" s="52">
        <v>1392</v>
      </c>
      <c r="Q362" s="52" t="s">
        <v>39</v>
      </c>
      <c r="R362" s="52" t="s">
        <v>171</v>
      </c>
      <c r="T362" s="52"/>
      <c r="U362" s="52"/>
      <c r="V362" s="52"/>
      <c r="W362" s="52">
        <v>630</v>
      </c>
      <c r="X362" s="52" t="s">
        <v>616</v>
      </c>
      <c r="Y362" s="52" t="s">
        <v>617</v>
      </c>
      <c r="Z362" s="46" t="s">
        <v>611</v>
      </c>
    </row>
    <row r="363" spans="1:26">
      <c r="A363" s="49">
        <v>44365</v>
      </c>
      <c r="B363" s="48">
        <v>202106181095</v>
      </c>
      <c r="C363" s="46" t="s">
        <v>3350</v>
      </c>
      <c r="D363" s="46" t="s">
        <v>3426</v>
      </c>
      <c r="E363" s="46" t="s">
        <v>613</v>
      </c>
      <c r="F363" s="46" t="s">
        <v>3348</v>
      </c>
      <c r="G363" s="46" t="s">
        <v>39</v>
      </c>
      <c r="H363" s="47" t="s">
        <v>1531</v>
      </c>
      <c r="I363" s="46" t="s">
        <v>3307</v>
      </c>
      <c r="J363" s="46" t="s">
        <v>3160</v>
      </c>
      <c r="K363" s="46">
        <v>2</v>
      </c>
      <c r="L363" s="46">
        <v>538</v>
      </c>
      <c r="N363" s="46" t="s">
        <v>2194</v>
      </c>
      <c r="P363" s="52">
        <v>1392</v>
      </c>
      <c r="Q363" s="52" t="s">
        <v>39</v>
      </c>
      <c r="R363" s="52" t="s">
        <v>171</v>
      </c>
      <c r="T363" s="52"/>
      <c r="U363" s="52"/>
      <c r="V363" s="52"/>
      <c r="W363" s="52">
        <v>630</v>
      </c>
      <c r="X363" s="52" t="s">
        <v>616</v>
      </c>
      <c r="Y363" s="52" t="s">
        <v>617</v>
      </c>
      <c r="Z363" s="46" t="s">
        <v>611</v>
      </c>
    </row>
    <row r="364" spans="1:26">
      <c r="A364" s="49">
        <v>44365</v>
      </c>
      <c r="B364" s="48">
        <v>202106181095</v>
      </c>
      <c r="C364" s="46" t="s">
        <v>3350</v>
      </c>
      <c r="D364" s="46" t="s">
        <v>3426</v>
      </c>
      <c r="E364" s="46" t="s">
        <v>613</v>
      </c>
      <c r="F364" s="46" t="s">
        <v>3348</v>
      </c>
      <c r="G364" s="46" t="s">
        <v>39</v>
      </c>
      <c r="H364" s="47">
        <v>4714781020954</v>
      </c>
      <c r="I364" s="46" t="s">
        <v>3250</v>
      </c>
      <c r="J364" s="46" t="s">
        <v>3160</v>
      </c>
      <c r="K364" s="46">
        <v>1</v>
      </c>
      <c r="L364" s="46">
        <v>145</v>
      </c>
      <c r="N364" s="46" t="s">
        <v>361</v>
      </c>
      <c r="P364" s="52">
        <v>1392</v>
      </c>
      <c r="Q364" s="52" t="s">
        <v>39</v>
      </c>
      <c r="R364" s="52" t="s">
        <v>171</v>
      </c>
      <c r="T364" s="52"/>
      <c r="U364" s="52"/>
      <c r="V364" s="52"/>
      <c r="W364" s="52">
        <v>630</v>
      </c>
      <c r="X364" s="52" t="s">
        <v>616</v>
      </c>
      <c r="Y364" s="52" t="s">
        <v>617</v>
      </c>
      <c r="Z364" s="46" t="s">
        <v>611</v>
      </c>
    </row>
    <row r="365" spans="1:26" ht="20">
      <c r="A365" s="49">
        <v>44365</v>
      </c>
      <c r="B365" s="48">
        <v>202106181095</v>
      </c>
      <c r="C365" s="46" t="s">
        <v>3350</v>
      </c>
      <c r="D365" s="46" t="s">
        <v>3426</v>
      </c>
      <c r="E365" s="46" t="s">
        <v>613</v>
      </c>
      <c r="F365" s="46" t="s">
        <v>3348</v>
      </c>
      <c r="G365" s="46" t="s">
        <v>39</v>
      </c>
      <c r="H365" s="47">
        <v>4714781020725</v>
      </c>
      <c r="I365" s="53" t="s">
        <v>3278</v>
      </c>
      <c r="J365" s="46" t="s">
        <v>3160</v>
      </c>
      <c r="K365" s="46">
        <v>1</v>
      </c>
      <c r="L365" s="46">
        <v>0</v>
      </c>
      <c r="N365" s="46" t="s">
        <v>301</v>
      </c>
      <c r="P365" s="52">
        <v>1392</v>
      </c>
      <c r="Q365" s="52" t="s">
        <v>39</v>
      </c>
      <c r="R365" s="52" t="s">
        <v>171</v>
      </c>
      <c r="T365" s="52"/>
      <c r="U365" s="52"/>
      <c r="V365" s="52"/>
      <c r="W365" s="52">
        <v>630</v>
      </c>
      <c r="X365" s="52" t="s">
        <v>616</v>
      </c>
      <c r="Y365" s="52" t="s">
        <v>617</v>
      </c>
      <c r="Z365" s="46" t="s">
        <v>611</v>
      </c>
    </row>
    <row r="366" spans="1:26">
      <c r="A366" s="49">
        <v>44365</v>
      </c>
      <c r="B366" s="48">
        <v>202106181096</v>
      </c>
      <c r="C366" s="46" t="s">
        <v>3350</v>
      </c>
      <c r="D366" s="46" t="s">
        <v>3425</v>
      </c>
      <c r="E366" s="46" t="s">
        <v>1035</v>
      </c>
      <c r="F366" s="46" t="s">
        <v>3348</v>
      </c>
      <c r="G366" s="46" t="s">
        <v>633</v>
      </c>
      <c r="H366" s="47">
        <v>4714781021777</v>
      </c>
      <c r="I366" s="46" t="s">
        <v>3169</v>
      </c>
      <c r="J366" s="46" t="s">
        <v>3160</v>
      </c>
      <c r="K366" s="46">
        <v>1</v>
      </c>
      <c r="L366" s="46">
        <v>399</v>
      </c>
      <c r="N366" s="46" t="s">
        <v>270</v>
      </c>
      <c r="P366" s="52">
        <v>614</v>
      </c>
      <c r="Q366" s="52" t="s">
        <v>633</v>
      </c>
      <c r="R366" s="52" t="s">
        <v>634</v>
      </c>
      <c r="T366" s="52">
        <v>120010</v>
      </c>
      <c r="U366" s="52" t="s">
        <v>757</v>
      </c>
      <c r="V366" s="52" t="s">
        <v>758</v>
      </c>
      <c r="W366" s="52"/>
      <c r="X366" s="52"/>
      <c r="Y366" s="52"/>
      <c r="Z366" s="46" t="s">
        <v>1033</v>
      </c>
    </row>
    <row r="367" spans="1:26">
      <c r="A367" s="49">
        <v>44365</v>
      </c>
      <c r="B367" s="48">
        <v>202106181096</v>
      </c>
      <c r="C367" s="46" t="s">
        <v>3350</v>
      </c>
      <c r="D367" s="46" t="s">
        <v>3425</v>
      </c>
      <c r="E367" s="46" t="s">
        <v>1035</v>
      </c>
      <c r="F367" s="46" t="s">
        <v>3348</v>
      </c>
      <c r="G367" s="46" t="s">
        <v>633</v>
      </c>
      <c r="H367" s="47">
        <v>4714781021043</v>
      </c>
      <c r="I367" s="46" t="s">
        <v>3230</v>
      </c>
      <c r="J367" s="46" t="s">
        <v>3160</v>
      </c>
      <c r="K367" s="46">
        <v>1</v>
      </c>
      <c r="L367" s="46">
        <v>150</v>
      </c>
      <c r="N367" s="46" t="s">
        <v>864</v>
      </c>
      <c r="P367" s="52">
        <v>614</v>
      </c>
      <c r="Q367" s="52" t="s">
        <v>633</v>
      </c>
      <c r="R367" s="52" t="s">
        <v>634</v>
      </c>
      <c r="T367" s="52">
        <v>120010</v>
      </c>
      <c r="U367" s="52" t="s">
        <v>757</v>
      </c>
      <c r="V367" s="52" t="s">
        <v>758</v>
      </c>
      <c r="W367" s="52"/>
      <c r="X367" s="52"/>
      <c r="Y367" s="52"/>
      <c r="Z367" s="46" t="s">
        <v>1033</v>
      </c>
    </row>
    <row r="368" spans="1:26">
      <c r="A368" s="49">
        <v>44365</v>
      </c>
      <c r="B368" s="48">
        <v>202106181096</v>
      </c>
      <c r="C368" s="46" t="s">
        <v>3350</v>
      </c>
      <c r="D368" s="46" t="s">
        <v>3425</v>
      </c>
      <c r="E368" s="46" t="s">
        <v>1035</v>
      </c>
      <c r="F368" s="46" t="s">
        <v>3348</v>
      </c>
      <c r="G368" s="46" t="s">
        <v>633</v>
      </c>
      <c r="H368" s="47" t="s">
        <v>3347</v>
      </c>
      <c r="J368" s="46" t="s">
        <v>3346</v>
      </c>
      <c r="K368" s="46">
        <v>1</v>
      </c>
      <c r="L368" s="46">
        <v>65</v>
      </c>
      <c r="P368" s="52"/>
      <c r="Q368" s="52"/>
      <c r="R368" s="52"/>
      <c r="T368" s="52"/>
      <c r="U368" s="52"/>
      <c r="V368" s="52"/>
      <c r="W368" s="52"/>
      <c r="X368" s="52"/>
      <c r="Y368" s="52"/>
    </row>
    <row r="369" spans="1:26">
      <c r="A369" s="49">
        <v>44365</v>
      </c>
      <c r="B369" s="48">
        <v>202106181097</v>
      </c>
      <c r="C369" s="46" t="s">
        <v>3350</v>
      </c>
      <c r="D369" s="46" t="s">
        <v>3424</v>
      </c>
      <c r="E369" s="46" t="s">
        <v>608</v>
      </c>
      <c r="F369" s="46" t="s">
        <v>3348</v>
      </c>
      <c r="G369" s="46" t="s">
        <v>39</v>
      </c>
      <c r="H369" s="47">
        <v>4714781021609</v>
      </c>
      <c r="I369" s="46" t="s">
        <v>3183</v>
      </c>
      <c r="J369" s="46" t="s">
        <v>3160</v>
      </c>
      <c r="K369" s="46">
        <v>1</v>
      </c>
      <c r="L369" s="46">
        <v>133</v>
      </c>
      <c r="N369" s="46" t="s">
        <v>1454</v>
      </c>
      <c r="P369" s="52">
        <v>892</v>
      </c>
      <c r="Q369" s="52" t="s">
        <v>39</v>
      </c>
      <c r="R369" s="52" t="s">
        <v>40</v>
      </c>
      <c r="T369" s="52"/>
      <c r="U369" s="52"/>
      <c r="V369" s="52"/>
      <c r="W369" s="52">
        <v>114</v>
      </c>
      <c r="X369" s="52" t="s">
        <v>609</v>
      </c>
      <c r="Y369" s="52"/>
      <c r="Z369" s="46" t="s">
        <v>606</v>
      </c>
    </row>
    <row r="370" spans="1:26">
      <c r="A370" s="49">
        <v>44365</v>
      </c>
      <c r="B370" s="48">
        <v>202106181097</v>
      </c>
      <c r="C370" s="46" t="s">
        <v>3350</v>
      </c>
      <c r="D370" s="46" t="s">
        <v>3424</v>
      </c>
      <c r="E370" s="46" t="s">
        <v>608</v>
      </c>
      <c r="F370" s="46" t="s">
        <v>3348</v>
      </c>
      <c r="G370" s="46" t="s">
        <v>39</v>
      </c>
      <c r="H370" s="47">
        <v>4714781021593</v>
      </c>
      <c r="I370" s="46" t="s">
        <v>3183</v>
      </c>
      <c r="J370" s="46" t="s">
        <v>3160</v>
      </c>
      <c r="K370" s="46">
        <v>1</v>
      </c>
      <c r="L370" s="46">
        <v>133</v>
      </c>
      <c r="N370" s="46" t="s">
        <v>1453</v>
      </c>
      <c r="P370" s="52">
        <v>892</v>
      </c>
      <c r="Q370" s="52" t="s">
        <v>39</v>
      </c>
      <c r="R370" s="52" t="s">
        <v>40</v>
      </c>
      <c r="T370" s="52"/>
      <c r="U370" s="52"/>
      <c r="V370" s="52"/>
      <c r="W370" s="52">
        <v>114</v>
      </c>
      <c r="X370" s="52" t="s">
        <v>609</v>
      </c>
      <c r="Y370" s="52"/>
      <c r="Z370" s="46" t="s">
        <v>606</v>
      </c>
    </row>
    <row r="371" spans="1:26">
      <c r="A371" s="49">
        <v>44365</v>
      </c>
      <c r="B371" s="48">
        <v>202106181097</v>
      </c>
      <c r="C371" s="46" t="s">
        <v>3350</v>
      </c>
      <c r="D371" s="46" t="s">
        <v>3424</v>
      </c>
      <c r="E371" s="46" t="s">
        <v>608</v>
      </c>
      <c r="F371" s="46" t="s">
        <v>3348</v>
      </c>
      <c r="G371" s="46" t="s">
        <v>39</v>
      </c>
      <c r="H371" s="47">
        <v>4714781021029</v>
      </c>
      <c r="I371" s="46" t="s">
        <v>3234</v>
      </c>
      <c r="J371" s="46" t="s">
        <v>3160</v>
      </c>
      <c r="K371" s="46">
        <v>1</v>
      </c>
      <c r="L371" s="46">
        <v>133</v>
      </c>
      <c r="N371" s="46" t="s">
        <v>1452</v>
      </c>
      <c r="P371" s="52">
        <v>892</v>
      </c>
      <c r="Q371" s="52" t="s">
        <v>39</v>
      </c>
      <c r="R371" s="52" t="s">
        <v>40</v>
      </c>
      <c r="T371" s="52"/>
      <c r="U371" s="52"/>
      <c r="V371" s="52"/>
      <c r="W371" s="52">
        <v>114</v>
      </c>
      <c r="X371" s="52" t="s">
        <v>609</v>
      </c>
      <c r="Y371" s="52"/>
      <c r="Z371" s="46" t="s">
        <v>606</v>
      </c>
    </row>
    <row r="372" spans="1:26">
      <c r="A372" s="49">
        <v>44365</v>
      </c>
      <c r="B372" s="48">
        <v>202106181097</v>
      </c>
      <c r="C372" s="46" t="s">
        <v>3350</v>
      </c>
      <c r="D372" s="46" t="s">
        <v>3424</v>
      </c>
      <c r="E372" s="46" t="s">
        <v>608</v>
      </c>
      <c r="F372" s="46" t="s">
        <v>3348</v>
      </c>
      <c r="G372" s="46" t="s">
        <v>39</v>
      </c>
      <c r="H372" s="47">
        <v>4714781020787</v>
      </c>
      <c r="I372" s="46" t="s">
        <v>3273</v>
      </c>
      <c r="J372" s="46" t="s">
        <v>3160</v>
      </c>
      <c r="K372" s="46">
        <v>1</v>
      </c>
      <c r="L372" s="46">
        <v>135</v>
      </c>
      <c r="N372" s="46" t="s">
        <v>95</v>
      </c>
      <c r="P372" s="52">
        <v>892</v>
      </c>
      <c r="Q372" s="52" t="s">
        <v>39</v>
      </c>
      <c r="R372" s="52" t="s">
        <v>40</v>
      </c>
      <c r="T372" s="52"/>
      <c r="U372" s="52"/>
      <c r="V372" s="52"/>
      <c r="W372" s="52">
        <v>114</v>
      </c>
      <c r="X372" s="52" t="s">
        <v>609</v>
      </c>
      <c r="Y372" s="52"/>
      <c r="Z372" s="46" t="s">
        <v>606</v>
      </c>
    </row>
    <row r="373" spans="1:26">
      <c r="A373" s="49">
        <v>44365</v>
      </c>
      <c r="B373" s="48">
        <v>202106181097</v>
      </c>
      <c r="C373" s="46" t="s">
        <v>3350</v>
      </c>
      <c r="D373" s="46" t="s">
        <v>3424</v>
      </c>
      <c r="E373" s="46" t="s">
        <v>608</v>
      </c>
      <c r="F373" s="46" t="s">
        <v>3348</v>
      </c>
      <c r="G373" s="46" t="s">
        <v>39</v>
      </c>
      <c r="H373" s="47">
        <v>4714781020510</v>
      </c>
      <c r="I373" s="46" t="s">
        <v>3166</v>
      </c>
      <c r="J373" s="46" t="s">
        <v>3160</v>
      </c>
      <c r="K373" s="46">
        <v>1</v>
      </c>
      <c r="L373" s="46">
        <v>299</v>
      </c>
      <c r="N373" s="46" t="s">
        <v>324</v>
      </c>
      <c r="P373" s="52">
        <v>892</v>
      </c>
      <c r="Q373" s="52" t="s">
        <v>39</v>
      </c>
      <c r="R373" s="52" t="s">
        <v>40</v>
      </c>
      <c r="T373" s="52"/>
      <c r="U373" s="52"/>
      <c r="V373" s="52"/>
      <c r="W373" s="52">
        <v>114</v>
      </c>
      <c r="X373" s="52" t="s">
        <v>609</v>
      </c>
      <c r="Y373" s="52"/>
      <c r="Z373" s="46" t="s">
        <v>606</v>
      </c>
    </row>
    <row r="374" spans="1:26">
      <c r="A374" s="49">
        <v>44365</v>
      </c>
      <c r="B374" s="48">
        <v>202106181097</v>
      </c>
      <c r="C374" s="46" t="s">
        <v>3350</v>
      </c>
      <c r="D374" s="46" t="s">
        <v>3424</v>
      </c>
      <c r="E374" s="46" t="s">
        <v>608</v>
      </c>
      <c r="F374" s="46" t="s">
        <v>3348</v>
      </c>
      <c r="G374" s="46" t="s">
        <v>39</v>
      </c>
      <c r="H374" s="47">
        <v>4714781021227</v>
      </c>
      <c r="I374" s="46" t="s">
        <v>3220</v>
      </c>
      <c r="J374" s="46" t="s">
        <v>3160</v>
      </c>
      <c r="K374" s="46">
        <v>1</v>
      </c>
      <c r="L374" s="46">
        <v>59</v>
      </c>
      <c r="N374" s="46" t="s">
        <v>522</v>
      </c>
      <c r="P374" s="52">
        <v>892</v>
      </c>
      <c r="Q374" s="52" t="s">
        <v>39</v>
      </c>
      <c r="R374" s="52" t="s">
        <v>40</v>
      </c>
      <c r="T374" s="52"/>
      <c r="U374" s="52"/>
      <c r="V374" s="52"/>
      <c r="W374" s="52">
        <v>114</v>
      </c>
      <c r="X374" s="52" t="s">
        <v>609</v>
      </c>
      <c r="Y374" s="52"/>
      <c r="Z374" s="46" t="s">
        <v>606</v>
      </c>
    </row>
    <row r="375" spans="1:26">
      <c r="A375" s="49">
        <v>44365</v>
      </c>
      <c r="B375" s="48">
        <v>202106181098</v>
      </c>
      <c r="C375" s="46" t="s">
        <v>3350</v>
      </c>
      <c r="D375" s="46" t="s">
        <v>3423</v>
      </c>
      <c r="E375" s="46" t="s">
        <v>1039</v>
      </c>
      <c r="F375" s="46" t="s">
        <v>3348</v>
      </c>
      <c r="G375" s="46" t="s">
        <v>633</v>
      </c>
      <c r="H375" s="47">
        <v>4714781021029</v>
      </c>
      <c r="I375" s="46" t="s">
        <v>3234</v>
      </c>
      <c r="J375" s="46" t="s">
        <v>3160</v>
      </c>
      <c r="K375" s="46">
        <v>1</v>
      </c>
      <c r="L375" s="46">
        <v>130</v>
      </c>
      <c r="N375" s="46" t="s">
        <v>1452</v>
      </c>
      <c r="P375" s="52">
        <v>799</v>
      </c>
      <c r="Q375" s="52" t="s">
        <v>633</v>
      </c>
      <c r="R375" s="52" t="s">
        <v>634</v>
      </c>
      <c r="T375" s="52">
        <v>144360</v>
      </c>
      <c r="U375" s="52" t="s">
        <v>1040</v>
      </c>
      <c r="V375" s="52" t="s">
        <v>1041</v>
      </c>
      <c r="W375" s="52"/>
      <c r="X375" s="52"/>
      <c r="Y375" s="52"/>
      <c r="Z375" s="46" t="s">
        <v>1037</v>
      </c>
    </row>
    <row r="376" spans="1:26">
      <c r="A376" s="49">
        <v>44365</v>
      </c>
      <c r="B376" s="48">
        <v>202106181098</v>
      </c>
      <c r="C376" s="46" t="s">
        <v>3350</v>
      </c>
      <c r="D376" s="46" t="s">
        <v>3423</v>
      </c>
      <c r="E376" s="46" t="s">
        <v>1039</v>
      </c>
      <c r="F376" s="46" t="s">
        <v>3348</v>
      </c>
      <c r="G376" s="46" t="s">
        <v>633</v>
      </c>
      <c r="H376" s="47">
        <v>4714781021593</v>
      </c>
      <c r="I376" s="46" t="s">
        <v>3183</v>
      </c>
      <c r="J376" s="46" t="s">
        <v>3160</v>
      </c>
      <c r="K376" s="46">
        <v>1</v>
      </c>
      <c r="L376" s="46">
        <v>130</v>
      </c>
      <c r="N376" s="46" t="s">
        <v>1453</v>
      </c>
      <c r="P376" s="52">
        <v>799</v>
      </c>
      <c r="Q376" s="52" t="s">
        <v>633</v>
      </c>
      <c r="R376" s="52" t="s">
        <v>634</v>
      </c>
      <c r="T376" s="52">
        <v>144360</v>
      </c>
      <c r="U376" s="52" t="s">
        <v>1040</v>
      </c>
      <c r="V376" s="52" t="s">
        <v>1041</v>
      </c>
      <c r="W376" s="52"/>
      <c r="X376" s="52"/>
      <c r="Y376" s="52"/>
      <c r="Z376" s="46" t="s">
        <v>1037</v>
      </c>
    </row>
    <row r="377" spans="1:26">
      <c r="A377" s="49">
        <v>44365</v>
      </c>
      <c r="B377" s="48">
        <v>202106181098</v>
      </c>
      <c r="C377" s="46" t="s">
        <v>3350</v>
      </c>
      <c r="D377" s="46" t="s">
        <v>3423</v>
      </c>
      <c r="E377" s="46" t="s">
        <v>1039</v>
      </c>
      <c r="F377" s="46" t="s">
        <v>3348</v>
      </c>
      <c r="G377" s="46" t="s">
        <v>633</v>
      </c>
      <c r="H377" s="47">
        <v>4714781021609</v>
      </c>
      <c r="I377" s="46" t="s">
        <v>3183</v>
      </c>
      <c r="J377" s="46" t="s">
        <v>3160</v>
      </c>
      <c r="K377" s="46">
        <v>1</v>
      </c>
      <c r="L377" s="46">
        <v>131</v>
      </c>
      <c r="N377" s="46" t="s">
        <v>1454</v>
      </c>
      <c r="P377" s="52">
        <v>799</v>
      </c>
      <c r="Q377" s="52" t="s">
        <v>633</v>
      </c>
      <c r="R377" s="52" t="s">
        <v>634</v>
      </c>
      <c r="T377" s="52">
        <v>144360</v>
      </c>
      <c r="U377" s="52" t="s">
        <v>1040</v>
      </c>
      <c r="V377" s="52" t="s">
        <v>1041</v>
      </c>
      <c r="W377" s="52"/>
      <c r="X377" s="52"/>
      <c r="Y377" s="52"/>
      <c r="Z377" s="46" t="s">
        <v>1037</v>
      </c>
    </row>
    <row r="378" spans="1:26">
      <c r="A378" s="49">
        <v>44365</v>
      </c>
      <c r="B378" s="48">
        <v>202106181098</v>
      </c>
      <c r="C378" s="46" t="s">
        <v>3350</v>
      </c>
      <c r="D378" s="46" t="s">
        <v>3423</v>
      </c>
      <c r="E378" s="46" t="s">
        <v>1039</v>
      </c>
      <c r="F378" s="46" t="s">
        <v>3348</v>
      </c>
      <c r="G378" s="46" t="s">
        <v>633</v>
      </c>
      <c r="H378" s="47">
        <v>4714781020466</v>
      </c>
      <c r="I378" s="46" t="s">
        <v>3194</v>
      </c>
      <c r="J378" s="46" t="s">
        <v>3160</v>
      </c>
      <c r="K378" s="46">
        <v>1</v>
      </c>
      <c r="L378" s="46">
        <v>136</v>
      </c>
      <c r="N378" s="46" t="s">
        <v>1374</v>
      </c>
      <c r="P378" s="52">
        <v>799</v>
      </c>
      <c r="Q378" s="52" t="s">
        <v>633</v>
      </c>
      <c r="R378" s="52" t="s">
        <v>634</v>
      </c>
      <c r="T378" s="52">
        <v>144360</v>
      </c>
      <c r="U378" s="52" t="s">
        <v>1040</v>
      </c>
      <c r="V378" s="52" t="s">
        <v>1041</v>
      </c>
      <c r="W378" s="52"/>
      <c r="X378" s="52"/>
      <c r="Y378" s="52"/>
      <c r="Z378" s="46" t="s">
        <v>1037</v>
      </c>
    </row>
    <row r="379" spans="1:26">
      <c r="A379" s="49">
        <v>44365</v>
      </c>
      <c r="B379" s="48">
        <v>202106181098</v>
      </c>
      <c r="C379" s="46" t="s">
        <v>3350</v>
      </c>
      <c r="D379" s="46" t="s">
        <v>3423</v>
      </c>
      <c r="E379" s="46" t="s">
        <v>1039</v>
      </c>
      <c r="F379" s="46" t="s">
        <v>3348</v>
      </c>
      <c r="G379" s="46" t="s">
        <v>633</v>
      </c>
      <c r="H379" s="47">
        <v>4714781020503</v>
      </c>
      <c r="I379" s="46" t="s">
        <v>3295</v>
      </c>
      <c r="J379" s="46" t="s">
        <v>3160</v>
      </c>
      <c r="K379" s="46">
        <v>1</v>
      </c>
      <c r="L379" s="46">
        <v>136</v>
      </c>
      <c r="N379" s="46" t="s">
        <v>1372</v>
      </c>
      <c r="P379" s="52">
        <v>799</v>
      </c>
      <c r="Q379" s="52" t="s">
        <v>633</v>
      </c>
      <c r="R379" s="52" t="s">
        <v>634</v>
      </c>
      <c r="T379" s="52">
        <v>144360</v>
      </c>
      <c r="U379" s="52" t="s">
        <v>1040</v>
      </c>
      <c r="V379" s="52" t="s">
        <v>1041</v>
      </c>
      <c r="W379" s="52"/>
      <c r="X379" s="52"/>
      <c r="Y379" s="52"/>
      <c r="Z379" s="46" t="s">
        <v>1037</v>
      </c>
    </row>
    <row r="380" spans="1:26">
      <c r="A380" s="49">
        <v>44365</v>
      </c>
      <c r="B380" s="48">
        <v>202106181098</v>
      </c>
      <c r="C380" s="46" t="s">
        <v>3350</v>
      </c>
      <c r="D380" s="46" t="s">
        <v>3423</v>
      </c>
      <c r="E380" s="46" t="s">
        <v>1039</v>
      </c>
      <c r="F380" s="46" t="s">
        <v>3348</v>
      </c>
      <c r="G380" s="46" t="s">
        <v>633</v>
      </c>
      <c r="H380" s="47">
        <v>4714781020558</v>
      </c>
      <c r="I380" s="46" t="s">
        <v>3295</v>
      </c>
      <c r="J380" s="46" t="s">
        <v>3160</v>
      </c>
      <c r="K380" s="46">
        <v>1</v>
      </c>
      <c r="L380" s="46">
        <v>136</v>
      </c>
      <c r="N380" s="46" t="s">
        <v>1370</v>
      </c>
      <c r="P380" s="52">
        <v>799</v>
      </c>
      <c r="Q380" s="52" t="s">
        <v>633</v>
      </c>
      <c r="R380" s="52" t="s">
        <v>634</v>
      </c>
      <c r="T380" s="52">
        <v>144360</v>
      </c>
      <c r="U380" s="52" t="s">
        <v>1040</v>
      </c>
      <c r="V380" s="52" t="s">
        <v>1041</v>
      </c>
      <c r="W380" s="52"/>
      <c r="X380" s="52"/>
      <c r="Y380" s="52"/>
      <c r="Z380" s="46" t="s">
        <v>1037</v>
      </c>
    </row>
    <row r="381" spans="1:26">
      <c r="A381" s="49">
        <v>44365</v>
      </c>
      <c r="B381" s="48">
        <v>202106181099</v>
      </c>
      <c r="C381" s="46" t="s">
        <v>3350</v>
      </c>
      <c r="D381" s="46" t="s">
        <v>3422</v>
      </c>
      <c r="E381" s="46" t="s">
        <v>1045</v>
      </c>
      <c r="F381" s="46" t="s">
        <v>3348</v>
      </c>
      <c r="G381" s="46" t="s">
        <v>633</v>
      </c>
      <c r="H381" s="47" t="s">
        <v>1523</v>
      </c>
      <c r="I381" s="46" t="s">
        <v>3169</v>
      </c>
      <c r="J381" s="46" t="s">
        <v>3160</v>
      </c>
      <c r="K381" s="46">
        <v>1</v>
      </c>
      <c r="L381" s="46">
        <v>355</v>
      </c>
      <c r="N381" s="46" t="s">
        <v>1522</v>
      </c>
      <c r="P381" s="52">
        <v>960</v>
      </c>
      <c r="Q381" s="52" t="s">
        <v>633</v>
      </c>
      <c r="R381" s="52" t="s">
        <v>634</v>
      </c>
      <c r="T381" s="52">
        <v>164412</v>
      </c>
      <c r="U381" s="52" t="s">
        <v>1048</v>
      </c>
      <c r="V381" s="52" t="s">
        <v>1049</v>
      </c>
      <c r="W381" s="52"/>
      <c r="X381" s="52"/>
      <c r="Y381" s="52"/>
      <c r="Z381" s="46" t="s">
        <v>1043</v>
      </c>
    </row>
    <row r="382" spans="1:26">
      <c r="A382" s="49">
        <v>44365</v>
      </c>
      <c r="B382" s="48">
        <v>202106181099</v>
      </c>
      <c r="C382" s="46" t="s">
        <v>3350</v>
      </c>
      <c r="D382" s="46" t="s">
        <v>3422</v>
      </c>
      <c r="E382" s="46" t="s">
        <v>1045</v>
      </c>
      <c r="F382" s="46" t="s">
        <v>3348</v>
      </c>
      <c r="G382" s="46" t="s">
        <v>633</v>
      </c>
      <c r="H382" s="47" t="s">
        <v>1510</v>
      </c>
      <c r="I382" s="46" t="s">
        <v>3168</v>
      </c>
      <c r="J382" s="46" t="s">
        <v>3160</v>
      </c>
      <c r="K382" s="46">
        <v>1</v>
      </c>
      <c r="L382" s="46">
        <v>303</v>
      </c>
      <c r="N382" s="46" t="s">
        <v>1509</v>
      </c>
      <c r="P382" s="52">
        <v>960</v>
      </c>
      <c r="Q382" s="52" t="s">
        <v>633</v>
      </c>
      <c r="R382" s="52" t="s">
        <v>634</v>
      </c>
      <c r="T382" s="52">
        <v>164412</v>
      </c>
      <c r="U382" s="52" t="s">
        <v>1048</v>
      </c>
      <c r="V382" s="52" t="s">
        <v>1049</v>
      </c>
      <c r="W382" s="52"/>
      <c r="X382" s="52"/>
      <c r="Y382" s="52"/>
      <c r="Z382" s="46" t="s">
        <v>1043</v>
      </c>
    </row>
    <row r="383" spans="1:26">
      <c r="A383" s="49">
        <v>44365</v>
      </c>
      <c r="B383" s="48">
        <v>202106181099</v>
      </c>
      <c r="C383" s="46" t="s">
        <v>3350</v>
      </c>
      <c r="D383" s="46" t="s">
        <v>3422</v>
      </c>
      <c r="E383" s="46" t="s">
        <v>1045</v>
      </c>
      <c r="F383" s="46" t="s">
        <v>3348</v>
      </c>
      <c r="G383" s="46" t="s">
        <v>633</v>
      </c>
      <c r="H383" s="47" t="s">
        <v>1508</v>
      </c>
      <c r="I383" s="46" t="s">
        <v>3166</v>
      </c>
      <c r="J383" s="46" t="s">
        <v>3160</v>
      </c>
      <c r="K383" s="46">
        <v>1</v>
      </c>
      <c r="L383" s="46">
        <v>302</v>
      </c>
      <c r="N383" s="46" t="s">
        <v>1507</v>
      </c>
      <c r="P383" s="52">
        <v>960</v>
      </c>
      <c r="Q383" s="52" t="s">
        <v>633</v>
      </c>
      <c r="R383" s="52" t="s">
        <v>634</v>
      </c>
      <c r="T383" s="52">
        <v>164412</v>
      </c>
      <c r="U383" s="52" t="s">
        <v>1048</v>
      </c>
      <c r="V383" s="52" t="s">
        <v>1049</v>
      </c>
      <c r="W383" s="52"/>
      <c r="X383" s="52"/>
      <c r="Y383" s="52"/>
      <c r="Z383" s="46" t="s">
        <v>1043</v>
      </c>
    </row>
    <row r="384" spans="1:26">
      <c r="A384" s="49">
        <v>44365</v>
      </c>
      <c r="B384" s="48">
        <v>202106181100</v>
      </c>
      <c r="C384" s="46" t="s">
        <v>3350</v>
      </c>
      <c r="D384" s="46" t="s">
        <v>3421</v>
      </c>
      <c r="E384" s="46" t="s">
        <v>599</v>
      </c>
      <c r="F384" s="46" t="s">
        <v>3348</v>
      </c>
      <c r="G384" s="46" t="s">
        <v>39</v>
      </c>
      <c r="H384" s="47">
        <v>4714781021609</v>
      </c>
      <c r="I384" s="46" t="s">
        <v>3183</v>
      </c>
      <c r="J384" s="46" t="s">
        <v>3160</v>
      </c>
      <c r="K384" s="46">
        <v>3</v>
      </c>
      <c r="L384" s="46">
        <v>375</v>
      </c>
      <c r="N384" s="46" t="s">
        <v>1454</v>
      </c>
      <c r="P384" s="52">
        <v>849</v>
      </c>
      <c r="Q384" s="52" t="s">
        <v>39</v>
      </c>
      <c r="R384" s="52" t="s">
        <v>40</v>
      </c>
      <c r="T384" s="52"/>
      <c r="U384" s="52"/>
      <c r="V384" s="52"/>
      <c r="W384" s="52">
        <v>114</v>
      </c>
      <c r="X384" s="52" t="s">
        <v>600</v>
      </c>
      <c r="Y384" s="52"/>
      <c r="Z384" s="46" t="s">
        <v>597</v>
      </c>
    </row>
    <row r="385" spans="1:26">
      <c r="A385" s="49">
        <v>44365</v>
      </c>
      <c r="B385" s="48">
        <v>202106181100</v>
      </c>
      <c r="C385" s="46" t="s">
        <v>3350</v>
      </c>
      <c r="D385" s="46" t="s">
        <v>3421</v>
      </c>
      <c r="E385" s="46" t="s">
        <v>599</v>
      </c>
      <c r="F385" s="46" t="s">
        <v>3348</v>
      </c>
      <c r="G385" s="46" t="s">
        <v>39</v>
      </c>
      <c r="H385" s="47">
        <v>4714781021029</v>
      </c>
      <c r="I385" s="46" t="s">
        <v>3234</v>
      </c>
      <c r="J385" s="46" t="s">
        <v>3160</v>
      </c>
      <c r="K385" s="46">
        <v>2</v>
      </c>
      <c r="L385" s="46">
        <v>250</v>
      </c>
      <c r="N385" s="46" t="s">
        <v>2072</v>
      </c>
      <c r="P385" s="52">
        <v>849</v>
      </c>
      <c r="Q385" s="52" t="s">
        <v>39</v>
      </c>
      <c r="R385" s="52" t="s">
        <v>40</v>
      </c>
      <c r="T385" s="52"/>
      <c r="U385" s="52"/>
      <c r="V385" s="52"/>
      <c r="W385" s="52">
        <v>114</v>
      </c>
      <c r="X385" s="52" t="s">
        <v>600</v>
      </c>
      <c r="Y385" s="52"/>
      <c r="Z385" s="46" t="s">
        <v>597</v>
      </c>
    </row>
    <row r="386" spans="1:26">
      <c r="A386" s="49">
        <v>44365</v>
      </c>
      <c r="B386" s="48">
        <v>202106181100</v>
      </c>
      <c r="C386" s="46" t="s">
        <v>3350</v>
      </c>
      <c r="D386" s="46" t="s">
        <v>3421</v>
      </c>
      <c r="E386" s="46" t="s">
        <v>599</v>
      </c>
      <c r="F386" s="46" t="s">
        <v>3348</v>
      </c>
      <c r="G386" s="46" t="s">
        <v>39</v>
      </c>
      <c r="H386" s="47">
        <v>4714781021609</v>
      </c>
      <c r="I386" s="46" t="s">
        <v>3183</v>
      </c>
      <c r="J386" s="46" t="s">
        <v>3160</v>
      </c>
      <c r="K386" s="46">
        <v>1</v>
      </c>
      <c r="L386" s="46">
        <v>125</v>
      </c>
      <c r="N386" s="46" t="s">
        <v>1454</v>
      </c>
      <c r="P386" s="52">
        <v>849</v>
      </c>
      <c r="Q386" s="52" t="s">
        <v>39</v>
      </c>
      <c r="R386" s="52" t="s">
        <v>40</v>
      </c>
      <c r="T386" s="52"/>
      <c r="U386" s="52"/>
      <c r="V386" s="52"/>
      <c r="W386" s="52">
        <v>114</v>
      </c>
      <c r="X386" s="52" t="s">
        <v>600</v>
      </c>
      <c r="Y386" s="52"/>
      <c r="Z386" s="46" t="s">
        <v>597</v>
      </c>
    </row>
    <row r="387" spans="1:26">
      <c r="A387" s="49">
        <v>44365</v>
      </c>
      <c r="B387" s="48">
        <v>202106181100</v>
      </c>
      <c r="C387" s="46" t="s">
        <v>3350</v>
      </c>
      <c r="D387" s="46" t="s">
        <v>3421</v>
      </c>
      <c r="E387" s="46" t="s">
        <v>599</v>
      </c>
      <c r="F387" s="46" t="s">
        <v>3348</v>
      </c>
      <c r="G387" s="46" t="s">
        <v>39</v>
      </c>
      <c r="H387" s="47">
        <v>4714781021050</v>
      </c>
      <c r="I387" s="46" t="s">
        <v>3227</v>
      </c>
      <c r="J387" s="46" t="s">
        <v>3160</v>
      </c>
      <c r="K387" s="46">
        <v>1</v>
      </c>
      <c r="L387" s="46">
        <v>99</v>
      </c>
      <c r="N387" s="46" t="s">
        <v>603</v>
      </c>
      <c r="P387" s="52">
        <v>849</v>
      </c>
      <c r="Q387" s="52" t="s">
        <v>39</v>
      </c>
      <c r="R387" s="52" t="s">
        <v>40</v>
      </c>
      <c r="T387" s="52"/>
      <c r="U387" s="52"/>
      <c r="V387" s="52"/>
      <c r="W387" s="52">
        <v>114</v>
      </c>
      <c r="X387" s="52" t="s">
        <v>600</v>
      </c>
      <c r="Y387" s="52"/>
      <c r="Z387" s="46" t="s">
        <v>597</v>
      </c>
    </row>
    <row r="388" spans="1:26">
      <c r="A388" s="49">
        <v>44365</v>
      </c>
      <c r="B388" s="48">
        <v>202106181101</v>
      </c>
      <c r="C388" s="46" t="s">
        <v>3350</v>
      </c>
      <c r="D388" s="46" t="s">
        <v>3420</v>
      </c>
      <c r="E388" s="46" t="s">
        <v>594</v>
      </c>
      <c r="F388" s="46" t="s">
        <v>3348</v>
      </c>
      <c r="G388" s="46" t="s">
        <v>39</v>
      </c>
      <c r="H388" s="47">
        <v>4714781021609</v>
      </c>
      <c r="I388" s="46" t="s">
        <v>3183</v>
      </c>
      <c r="J388" s="46" t="s">
        <v>3160</v>
      </c>
      <c r="K388" s="46">
        <v>2</v>
      </c>
      <c r="L388" s="46">
        <v>266</v>
      </c>
      <c r="N388" s="46" t="s">
        <v>1454</v>
      </c>
      <c r="P388" s="52">
        <v>798</v>
      </c>
      <c r="Q388" s="52" t="s">
        <v>39</v>
      </c>
      <c r="R388" s="52" t="s">
        <v>337</v>
      </c>
      <c r="T388" s="52"/>
      <c r="U388" s="52"/>
      <c r="V388" s="52"/>
      <c r="W388" s="52">
        <v>920</v>
      </c>
      <c r="X388" s="52" t="s">
        <v>595</v>
      </c>
      <c r="Y388" s="52"/>
      <c r="Z388" s="46" t="s">
        <v>592</v>
      </c>
    </row>
    <row r="389" spans="1:26">
      <c r="A389" s="49">
        <v>44365</v>
      </c>
      <c r="B389" s="48">
        <v>202106181101</v>
      </c>
      <c r="C389" s="46" t="s">
        <v>3350</v>
      </c>
      <c r="D389" s="46" t="s">
        <v>3420</v>
      </c>
      <c r="E389" s="46" t="s">
        <v>594</v>
      </c>
      <c r="F389" s="46" t="s">
        <v>3348</v>
      </c>
      <c r="G389" s="46" t="s">
        <v>39</v>
      </c>
      <c r="H389" s="47">
        <v>4714781021593</v>
      </c>
      <c r="I389" s="46" t="s">
        <v>3183</v>
      </c>
      <c r="J389" s="46" t="s">
        <v>3160</v>
      </c>
      <c r="K389" s="46">
        <v>2</v>
      </c>
      <c r="L389" s="46">
        <v>266</v>
      </c>
      <c r="N389" s="46" t="s">
        <v>1453</v>
      </c>
      <c r="P389" s="52">
        <v>798</v>
      </c>
      <c r="Q389" s="52" t="s">
        <v>39</v>
      </c>
      <c r="R389" s="52" t="s">
        <v>337</v>
      </c>
      <c r="T389" s="52"/>
      <c r="U389" s="52"/>
      <c r="V389" s="52"/>
      <c r="W389" s="52">
        <v>920</v>
      </c>
      <c r="X389" s="52" t="s">
        <v>595</v>
      </c>
      <c r="Y389" s="52"/>
      <c r="Z389" s="46" t="s">
        <v>592</v>
      </c>
    </row>
    <row r="390" spans="1:26">
      <c r="A390" s="49">
        <v>44365</v>
      </c>
      <c r="B390" s="48">
        <v>202106181101</v>
      </c>
      <c r="C390" s="46" t="s">
        <v>3350</v>
      </c>
      <c r="D390" s="46" t="s">
        <v>3420</v>
      </c>
      <c r="E390" s="46" t="s">
        <v>594</v>
      </c>
      <c r="F390" s="46" t="s">
        <v>3348</v>
      </c>
      <c r="G390" s="46" t="s">
        <v>39</v>
      </c>
      <c r="H390" s="47">
        <v>4714781021029</v>
      </c>
      <c r="I390" s="46" t="s">
        <v>3234</v>
      </c>
      <c r="J390" s="46" t="s">
        <v>3160</v>
      </c>
      <c r="K390" s="46">
        <v>2</v>
      </c>
      <c r="L390" s="46">
        <v>266</v>
      </c>
      <c r="N390" s="46" t="s">
        <v>1452</v>
      </c>
      <c r="P390" s="52">
        <v>798</v>
      </c>
      <c r="Q390" s="52" t="s">
        <v>39</v>
      </c>
      <c r="R390" s="52" t="s">
        <v>337</v>
      </c>
      <c r="T390" s="52"/>
      <c r="U390" s="52"/>
      <c r="V390" s="52"/>
      <c r="W390" s="52">
        <v>920</v>
      </c>
      <c r="X390" s="52" t="s">
        <v>595</v>
      </c>
      <c r="Y390" s="52"/>
      <c r="Z390" s="46" t="s">
        <v>592</v>
      </c>
    </row>
    <row r="391" spans="1:26">
      <c r="A391" s="49">
        <v>44365</v>
      </c>
      <c r="B391" s="48">
        <v>202106181102</v>
      </c>
      <c r="C391" s="46" t="s">
        <v>3350</v>
      </c>
      <c r="D391" s="46" t="s">
        <v>3419</v>
      </c>
      <c r="E391" s="46" t="s">
        <v>1053</v>
      </c>
      <c r="F391" s="46" t="s">
        <v>3348</v>
      </c>
      <c r="G391" s="46" t="s">
        <v>633</v>
      </c>
      <c r="H391" s="47">
        <v>4714781021609</v>
      </c>
      <c r="I391" s="46" t="s">
        <v>3183</v>
      </c>
      <c r="J391" s="46" t="s">
        <v>3160</v>
      </c>
      <c r="K391" s="46">
        <v>1</v>
      </c>
      <c r="L391" s="46">
        <v>133</v>
      </c>
      <c r="N391" s="46" t="s">
        <v>1454</v>
      </c>
      <c r="P391" s="52">
        <v>464</v>
      </c>
      <c r="Q391" s="52" t="s">
        <v>633</v>
      </c>
      <c r="R391" s="52" t="s">
        <v>634</v>
      </c>
      <c r="T391" s="52">
        <v>131467</v>
      </c>
      <c r="U391" s="52" t="s">
        <v>1054</v>
      </c>
      <c r="V391" s="52" t="s">
        <v>1055</v>
      </c>
      <c r="W391" s="52"/>
      <c r="X391" s="52"/>
      <c r="Y391" s="52"/>
      <c r="Z391" s="46" t="s">
        <v>1051</v>
      </c>
    </row>
    <row r="392" spans="1:26">
      <c r="A392" s="49">
        <v>44365</v>
      </c>
      <c r="B392" s="48">
        <v>202106181102</v>
      </c>
      <c r="C392" s="46" t="s">
        <v>3350</v>
      </c>
      <c r="D392" s="46" t="s">
        <v>3419</v>
      </c>
      <c r="E392" s="46" t="s">
        <v>1053</v>
      </c>
      <c r="F392" s="46" t="s">
        <v>3348</v>
      </c>
      <c r="G392" s="46" t="s">
        <v>633</v>
      </c>
      <c r="H392" s="47">
        <v>4714781021593</v>
      </c>
      <c r="I392" s="46" t="s">
        <v>3183</v>
      </c>
      <c r="J392" s="46" t="s">
        <v>3160</v>
      </c>
      <c r="K392" s="46">
        <v>1</v>
      </c>
      <c r="L392" s="46">
        <v>133</v>
      </c>
      <c r="N392" s="46" t="s">
        <v>1453</v>
      </c>
      <c r="P392" s="52">
        <v>464</v>
      </c>
      <c r="Q392" s="52" t="s">
        <v>633</v>
      </c>
      <c r="R392" s="52" t="s">
        <v>634</v>
      </c>
      <c r="T392" s="52">
        <v>131467</v>
      </c>
      <c r="U392" s="52" t="s">
        <v>1054</v>
      </c>
      <c r="V392" s="52" t="s">
        <v>1055</v>
      </c>
      <c r="W392" s="52"/>
      <c r="X392" s="52"/>
      <c r="Y392" s="52"/>
      <c r="Z392" s="46" t="s">
        <v>1051</v>
      </c>
    </row>
    <row r="393" spans="1:26">
      <c r="A393" s="49">
        <v>44365</v>
      </c>
      <c r="B393" s="48">
        <v>202106181102</v>
      </c>
      <c r="C393" s="46" t="s">
        <v>3350</v>
      </c>
      <c r="D393" s="46" t="s">
        <v>3419</v>
      </c>
      <c r="E393" s="46" t="s">
        <v>1053</v>
      </c>
      <c r="F393" s="46" t="s">
        <v>3348</v>
      </c>
      <c r="G393" s="46" t="s">
        <v>633</v>
      </c>
      <c r="H393" s="47">
        <v>4714781021029</v>
      </c>
      <c r="I393" s="46" t="s">
        <v>3234</v>
      </c>
      <c r="J393" s="46" t="s">
        <v>3160</v>
      </c>
      <c r="K393" s="46">
        <v>1</v>
      </c>
      <c r="L393" s="46">
        <v>133</v>
      </c>
      <c r="N393" s="46" t="s">
        <v>1452</v>
      </c>
      <c r="P393" s="52">
        <v>464</v>
      </c>
      <c r="Q393" s="52" t="s">
        <v>633</v>
      </c>
      <c r="R393" s="52" t="s">
        <v>634</v>
      </c>
      <c r="T393" s="52">
        <v>131467</v>
      </c>
      <c r="U393" s="52" t="s">
        <v>1054</v>
      </c>
      <c r="V393" s="52" t="s">
        <v>1055</v>
      </c>
      <c r="W393" s="52"/>
      <c r="X393" s="52"/>
      <c r="Y393" s="52"/>
      <c r="Z393" s="46" t="s">
        <v>1051</v>
      </c>
    </row>
    <row r="394" spans="1:26">
      <c r="A394" s="49">
        <v>44365</v>
      </c>
      <c r="B394" s="48">
        <v>202106181102</v>
      </c>
      <c r="C394" s="46" t="s">
        <v>3350</v>
      </c>
      <c r="D394" s="46" t="s">
        <v>3419</v>
      </c>
      <c r="E394" s="46" t="s">
        <v>1053</v>
      </c>
      <c r="F394" s="46" t="s">
        <v>3348</v>
      </c>
      <c r="G394" s="46" t="s">
        <v>633</v>
      </c>
      <c r="H394" s="47" t="s">
        <v>3347</v>
      </c>
      <c r="J394" s="46" t="s">
        <v>3346</v>
      </c>
      <c r="K394" s="46">
        <v>1</v>
      </c>
      <c r="L394" s="46">
        <v>65</v>
      </c>
      <c r="P394" s="52"/>
      <c r="Q394" s="52"/>
      <c r="R394" s="52"/>
      <c r="T394" s="52"/>
      <c r="U394" s="52"/>
      <c r="V394" s="52"/>
      <c r="W394" s="52"/>
      <c r="X394" s="52"/>
      <c r="Y394" s="52"/>
    </row>
    <row r="395" spans="1:26">
      <c r="A395" s="49">
        <v>44365</v>
      </c>
      <c r="B395" s="48">
        <v>202106181103</v>
      </c>
      <c r="C395" s="46" t="s">
        <v>3350</v>
      </c>
      <c r="D395" s="46" t="s">
        <v>3418</v>
      </c>
      <c r="E395" s="46" t="s">
        <v>1059</v>
      </c>
      <c r="F395" s="46" t="s">
        <v>3348</v>
      </c>
      <c r="G395" s="46" t="s">
        <v>633</v>
      </c>
      <c r="H395" s="47">
        <v>4714781020138</v>
      </c>
      <c r="I395" s="46" t="s">
        <v>3312</v>
      </c>
      <c r="J395" s="46" t="s">
        <v>3160</v>
      </c>
      <c r="K395" s="46">
        <v>1</v>
      </c>
      <c r="L395" s="46">
        <v>399</v>
      </c>
      <c r="N395" s="46" t="s">
        <v>1006</v>
      </c>
      <c r="P395" s="52">
        <v>829</v>
      </c>
      <c r="Q395" s="52" t="s">
        <v>633</v>
      </c>
      <c r="R395" s="52" t="s">
        <v>634</v>
      </c>
      <c r="T395" s="52">
        <v>182993</v>
      </c>
      <c r="U395" s="52" t="s">
        <v>1060</v>
      </c>
      <c r="V395" s="52" t="s">
        <v>1061</v>
      </c>
      <c r="W395" s="52"/>
      <c r="X395" s="52"/>
      <c r="Y395" s="52"/>
      <c r="Z395" s="46" t="s">
        <v>1057</v>
      </c>
    </row>
    <row r="396" spans="1:26">
      <c r="A396" s="49">
        <v>44365</v>
      </c>
      <c r="B396" s="48">
        <v>202106181103</v>
      </c>
      <c r="C396" s="46" t="s">
        <v>3350</v>
      </c>
      <c r="D396" s="46" t="s">
        <v>3418</v>
      </c>
      <c r="E396" s="46" t="s">
        <v>1059</v>
      </c>
      <c r="F396" s="46" t="s">
        <v>3348</v>
      </c>
      <c r="G396" s="46" t="s">
        <v>633</v>
      </c>
      <c r="H396" s="47">
        <v>4714781020268</v>
      </c>
      <c r="I396" s="46" t="s">
        <v>3309</v>
      </c>
      <c r="J396" s="46" t="s">
        <v>3160</v>
      </c>
      <c r="K396" s="46">
        <v>1</v>
      </c>
      <c r="L396" s="46">
        <v>430</v>
      </c>
      <c r="N396" s="46" t="s">
        <v>105</v>
      </c>
      <c r="P396" s="52">
        <v>829</v>
      </c>
      <c r="Q396" s="52" t="s">
        <v>633</v>
      </c>
      <c r="R396" s="52" t="s">
        <v>634</v>
      </c>
      <c r="T396" s="52">
        <v>182993</v>
      </c>
      <c r="U396" s="52" t="s">
        <v>1060</v>
      </c>
      <c r="V396" s="52" t="s">
        <v>1061</v>
      </c>
      <c r="W396" s="52"/>
      <c r="X396" s="52"/>
      <c r="Y396" s="52"/>
      <c r="Z396" s="46" t="s">
        <v>1057</v>
      </c>
    </row>
    <row r="397" spans="1:26">
      <c r="A397" s="49">
        <v>44365</v>
      </c>
      <c r="B397" s="48">
        <v>202106181104</v>
      </c>
      <c r="C397" s="46" t="s">
        <v>3350</v>
      </c>
      <c r="D397" s="46" t="s">
        <v>3417</v>
      </c>
      <c r="E397" s="46" t="s">
        <v>589</v>
      </c>
      <c r="F397" s="46" t="s">
        <v>3348</v>
      </c>
      <c r="G397" s="46" t="s">
        <v>39</v>
      </c>
      <c r="H397" s="47">
        <v>4714781021029</v>
      </c>
      <c r="I397" s="46" t="s">
        <v>3234</v>
      </c>
      <c r="J397" s="46" t="s">
        <v>3160</v>
      </c>
      <c r="K397" s="46">
        <v>1</v>
      </c>
      <c r="L397" s="46">
        <v>130</v>
      </c>
      <c r="N397" s="46" t="s">
        <v>1452</v>
      </c>
      <c r="P397" s="52">
        <v>2378</v>
      </c>
      <c r="Q397" s="52" t="s">
        <v>39</v>
      </c>
      <c r="R397" s="52" t="s">
        <v>171</v>
      </c>
      <c r="T397" s="52"/>
      <c r="U397" s="52"/>
      <c r="V397" s="52"/>
      <c r="W397" s="52">
        <v>814</v>
      </c>
      <c r="X397" s="52" t="s">
        <v>590</v>
      </c>
      <c r="Y397" s="52"/>
      <c r="Z397" s="46" t="s">
        <v>587</v>
      </c>
    </row>
    <row r="398" spans="1:26">
      <c r="A398" s="49">
        <v>44365</v>
      </c>
      <c r="B398" s="48">
        <v>202106181104</v>
      </c>
      <c r="C398" s="46" t="s">
        <v>3350</v>
      </c>
      <c r="D398" s="46" t="s">
        <v>3417</v>
      </c>
      <c r="E398" s="46" t="s">
        <v>589</v>
      </c>
      <c r="F398" s="46" t="s">
        <v>3348</v>
      </c>
      <c r="G398" s="46" t="s">
        <v>39</v>
      </c>
      <c r="H398" s="47">
        <v>4714781021593</v>
      </c>
      <c r="I398" s="46" t="s">
        <v>3183</v>
      </c>
      <c r="J398" s="46" t="s">
        <v>3160</v>
      </c>
      <c r="K398" s="46">
        <v>1</v>
      </c>
      <c r="L398" s="46">
        <v>130</v>
      </c>
      <c r="N398" s="46" t="s">
        <v>1453</v>
      </c>
      <c r="P398" s="52">
        <v>2378</v>
      </c>
      <c r="Q398" s="52" t="s">
        <v>39</v>
      </c>
      <c r="R398" s="52" t="s">
        <v>171</v>
      </c>
      <c r="T398" s="52"/>
      <c r="U398" s="52"/>
      <c r="V398" s="52"/>
      <c r="W398" s="52">
        <v>814</v>
      </c>
      <c r="X398" s="52" t="s">
        <v>590</v>
      </c>
      <c r="Y398" s="52"/>
      <c r="Z398" s="46" t="s">
        <v>587</v>
      </c>
    </row>
    <row r="399" spans="1:26">
      <c r="A399" s="49">
        <v>44365</v>
      </c>
      <c r="B399" s="48">
        <v>202106181104</v>
      </c>
      <c r="C399" s="46" t="s">
        <v>3350</v>
      </c>
      <c r="D399" s="46" t="s">
        <v>3417</v>
      </c>
      <c r="E399" s="46" t="s">
        <v>589</v>
      </c>
      <c r="F399" s="46" t="s">
        <v>3348</v>
      </c>
      <c r="G399" s="46" t="s">
        <v>39</v>
      </c>
      <c r="H399" s="47">
        <v>4714781021609</v>
      </c>
      <c r="I399" s="46" t="s">
        <v>3183</v>
      </c>
      <c r="J399" s="46" t="s">
        <v>3160</v>
      </c>
      <c r="K399" s="46">
        <v>1</v>
      </c>
      <c r="L399" s="46">
        <v>131</v>
      </c>
      <c r="N399" s="46" t="s">
        <v>1454</v>
      </c>
      <c r="P399" s="52">
        <v>2378</v>
      </c>
      <c r="Q399" s="52" t="s">
        <v>39</v>
      </c>
      <c r="R399" s="52" t="s">
        <v>171</v>
      </c>
      <c r="T399" s="52"/>
      <c r="U399" s="52"/>
      <c r="V399" s="52"/>
      <c r="W399" s="52">
        <v>814</v>
      </c>
      <c r="X399" s="52" t="s">
        <v>590</v>
      </c>
      <c r="Y399" s="52"/>
      <c r="Z399" s="46" t="s">
        <v>587</v>
      </c>
    </row>
    <row r="400" spans="1:26">
      <c r="A400" s="49">
        <v>44365</v>
      </c>
      <c r="B400" s="48">
        <v>202106181104</v>
      </c>
      <c r="C400" s="46" t="s">
        <v>3350</v>
      </c>
      <c r="D400" s="46" t="s">
        <v>3417</v>
      </c>
      <c r="E400" s="46" t="s">
        <v>589</v>
      </c>
      <c r="F400" s="46" t="s">
        <v>3348</v>
      </c>
      <c r="G400" s="46" t="s">
        <v>39</v>
      </c>
      <c r="H400" s="47">
        <v>4714781020466</v>
      </c>
      <c r="I400" s="46" t="s">
        <v>3194</v>
      </c>
      <c r="J400" s="46" t="s">
        <v>3160</v>
      </c>
      <c r="K400" s="46">
        <v>1</v>
      </c>
      <c r="L400" s="46">
        <v>136</v>
      </c>
      <c r="N400" s="46" t="s">
        <v>1374</v>
      </c>
      <c r="P400" s="52">
        <v>2378</v>
      </c>
      <c r="Q400" s="52" t="s">
        <v>39</v>
      </c>
      <c r="R400" s="52" t="s">
        <v>171</v>
      </c>
      <c r="T400" s="52"/>
      <c r="U400" s="52"/>
      <c r="V400" s="52"/>
      <c r="W400" s="52">
        <v>814</v>
      </c>
      <c r="X400" s="52" t="s">
        <v>590</v>
      </c>
      <c r="Y400" s="52"/>
      <c r="Z400" s="46" t="s">
        <v>587</v>
      </c>
    </row>
    <row r="401" spans="1:26">
      <c r="A401" s="49">
        <v>44365</v>
      </c>
      <c r="B401" s="48">
        <v>202106181104</v>
      </c>
      <c r="C401" s="46" t="s">
        <v>3350</v>
      </c>
      <c r="D401" s="46" t="s">
        <v>3417</v>
      </c>
      <c r="E401" s="46" t="s">
        <v>589</v>
      </c>
      <c r="F401" s="46" t="s">
        <v>3348</v>
      </c>
      <c r="G401" s="46" t="s">
        <v>39</v>
      </c>
      <c r="H401" s="47">
        <v>4714781020503</v>
      </c>
      <c r="I401" s="46" t="s">
        <v>3295</v>
      </c>
      <c r="J401" s="46" t="s">
        <v>3160</v>
      </c>
      <c r="K401" s="46">
        <v>1</v>
      </c>
      <c r="L401" s="46">
        <v>136</v>
      </c>
      <c r="N401" s="46" t="s">
        <v>1372</v>
      </c>
      <c r="P401" s="52">
        <v>2378</v>
      </c>
      <c r="Q401" s="52" t="s">
        <v>39</v>
      </c>
      <c r="R401" s="52" t="s">
        <v>171</v>
      </c>
      <c r="T401" s="52"/>
      <c r="U401" s="52"/>
      <c r="V401" s="52"/>
      <c r="W401" s="52">
        <v>814</v>
      </c>
      <c r="X401" s="52" t="s">
        <v>590</v>
      </c>
      <c r="Y401" s="52"/>
      <c r="Z401" s="46" t="s">
        <v>587</v>
      </c>
    </row>
    <row r="402" spans="1:26">
      <c r="A402" s="49">
        <v>44365</v>
      </c>
      <c r="B402" s="48">
        <v>202106181104</v>
      </c>
      <c r="C402" s="46" t="s">
        <v>3350</v>
      </c>
      <c r="D402" s="46" t="s">
        <v>3417</v>
      </c>
      <c r="E402" s="46" t="s">
        <v>589</v>
      </c>
      <c r="F402" s="46" t="s">
        <v>3348</v>
      </c>
      <c r="G402" s="46" t="s">
        <v>39</v>
      </c>
      <c r="H402" s="47">
        <v>4714781020558</v>
      </c>
      <c r="I402" s="46" t="s">
        <v>3295</v>
      </c>
      <c r="J402" s="46" t="s">
        <v>3160</v>
      </c>
      <c r="K402" s="46">
        <v>1</v>
      </c>
      <c r="L402" s="46">
        <v>136</v>
      </c>
      <c r="N402" s="46" t="s">
        <v>1370</v>
      </c>
      <c r="P402" s="52">
        <v>2378</v>
      </c>
      <c r="Q402" s="52" t="s">
        <v>39</v>
      </c>
      <c r="R402" s="52" t="s">
        <v>171</v>
      </c>
      <c r="T402" s="52"/>
      <c r="U402" s="52"/>
      <c r="V402" s="52"/>
      <c r="W402" s="52">
        <v>814</v>
      </c>
      <c r="X402" s="52" t="s">
        <v>590</v>
      </c>
      <c r="Y402" s="52"/>
      <c r="Z402" s="46" t="s">
        <v>587</v>
      </c>
    </row>
    <row r="403" spans="1:26">
      <c r="A403" s="49">
        <v>44365</v>
      </c>
      <c r="B403" s="48">
        <v>202106181104</v>
      </c>
      <c r="C403" s="46" t="s">
        <v>3350</v>
      </c>
      <c r="D403" s="46" t="s">
        <v>3417</v>
      </c>
      <c r="E403" s="46" t="s">
        <v>589</v>
      </c>
      <c r="F403" s="46" t="s">
        <v>3348</v>
      </c>
      <c r="G403" s="46" t="s">
        <v>39</v>
      </c>
      <c r="H403" s="47">
        <v>4714781020770</v>
      </c>
      <c r="I403" s="46" t="s">
        <v>3276</v>
      </c>
      <c r="J403" s="46" t="s">
        <v>3160</v>
      </c>
      <c r="K403" s="46">
        <v>1</v>
      </c>
      <c r="L403" s="46">
        <v>135</v>
      </c>
      <c r="N403" s="46" t="s">
        <v>1380</v>
      </c>
      <c r="P403" s="52">
        <v>2378</v>
      </c>
      <c r="Q403" s="52" t="s">
        <v>39</v>
      </c>
      <c r="R403" s="52" t="s">
        <v>171</v>
      </c>
      <c r="T403" s="52"/>
      <c r="U403" s="52"/>
      <c r="V403" s="52"/>
      <c r="W403" s="52">
        <v>814</v>
      </c>
      <c r="X403" s="52" t="s">
        <v>590</v>
      </c>
      <c r="Y403" s="52"/>
      <c r="Z403" s="46" t="s">
        <v>587</v>
      </c>
    </row>
    <row r="404" spans="1:26">
      <c r="A404" s="49">
        <v>44365</v>
      </c>
      <c r="B404" s="48">
        <v>202106181104</v>
      </c>
      <c r="C404" s="46" t="s">
        <v>3350</v>
      </c>
      <c r="D404" s="46" t="s">
        <v>3417</v>
      </c>
      <c r="E404" s="46" t="s">
        <v>589</v>
      </c>
      <c r="F404" s="46" t="s">
        <v>3348</v>
      </c>
      <c r="G404" s="46" t="s">
        <v>39</v>
      </c>
      <c r="H404" s="47">
        <v>4714781020787</v>
      </c>
      <c r="I404" s="46" t="s">
        <v>3273</v>
      </c>
      <c r="J404" s="46" t="s">
        <v>3160</v>
      </c>
      <c r="K404" s="46">
        <v>1</v>
      </c>
      <c r="L404" s="46">
        <v>135</v>
      </c>
      <c r="N404" s="46" t="s">
        <v>1378</v>
      </c>
      <c r="P404" s="52">
        <v>2378</v>
      </c>
      <c r="Q404" s="52" t="s">
        <v>39</v>
      </c>
      <c r="R404" s="52" t="s">
        <v>171</v>
      </c>
      <c r="T404" s="52"/>
      <c r="U404" s="52"/>
      <c r="V404" s="52"/>
      <c r="W404" s="52">
        <v>814</v>
      </c>
      <c r="X404" s="52" t="s">
        <v>590</v>
      </c>
      <c r="Y404" s="52"/>
      <c r="Z404" s="46" t="s">
        <v>587</v>
      </c>
    </row>
    <row r="405" spans="1:26">
      <c r="A405" s="49">
        <v>44365</v>
      </c>
      <c r="B405" s="48">
        <v>202106181104</v>
      </c>
      <c r="C405" s="46" t="s">
        <v>3350</v>
      </c>
      <c r="D405" s="46" t="s">
        <v>3417</v>
      </c>
      <c r="E405" s="46" t="s">
        <v>589</v>
      </c>
      <c r="F405" s="46" t="s">
        <v>3348</v>
      </c>
      <c r="G405" s="46" t="s">
        <v>39</v>
      </c>
      <c r="H405" s="47" t="s">
        <v>1510</v>
      </c>
      <c r="I405" s="46" t="s">
        <v>3168</v>
      </c>
      <c r="J405" s="46" t="s">
        <v>3160</v>
      </c>
      <c r="K405" s="46">
        <v>1</v>
      </c>
      <c r="L405" s="46">
        <v>290</v>
      </c>
      <c r="N405" s="46" t="s">
        <v>2190</v>
      </c>
      <c r="P405" s="52">
        <v>2378</v>
      </c>
      <c r="Q405" s="52" t="s">
        <v>39</v>
      </c>
      <c r="R405" s="52" t="s">
        <v>171</v>
      </c>
      <c r="T405" s="52"/>
      <c r="U405" s="52"/>
      <c r="V405" s="52"/>
      <c r="W405" s="52">
        <v>814</v>
      </c>
      <c r="X405" s="52" t="s">
        <v>590</v>
      </c>
      <c r="Y405" s="52"/>
      <c r="Z405" s="46" t="s">
        <v>587</v>
      </c>
    </row>
    <row r="406" spans="1:26">
      <c r="A406" s="49">
        <v>44365</v>
      </c>
      <c r="B406" s="48">
        <v>202106181104</v>
      </c>
      <c r="C406" s="46" t="s">
        <v>3350</v>
      </c>
      <c r="D406" s="46" t="s">
        <v>3417</v>
      </c>
      <c r="E406" s="46" t="s">
        <v>589</v>
      </c>
      <c r="F406" s="46" t="s">
        <v>3348</v>
      </c>
      <c r="G406" s="46" t="s">
        <v>39</v>
      </c>
      <c r="H406" s="47" t="s">
        <v>1506</v>
      </c>
      <c r="I406" s="46" t="s">
        <v>3166</v>
      </c>
      <c r="J406" s="46" t="s">
        <v>3160</v>
      </c>
      <c r="K406" s="46">
        <v>1</v>
      </c>
      <c r="L406" s="46">
        <v>290</v>
      </c>
      <c r="N406" s="46" t="s">
        <v>2188</v>
      </c>
      <c r="P406" s="52">
        <v>2378</v>
      </c>
      <c r="Q406" s="52" t="s">
        <v>39</v>
      </c>
      <c r="R406" s="52" t="s">
        <v>171</v>
      </c>
      <c r="T406" s="52"/>
      <c r="U406" s="52"/>
      <c r="V406" s="52"/>
      <c r="W406" s="52">
        <v>814</v>
      </c>
      <c r="X406" s="52" t="s">
        <v>590</v>
      </c>
      <c r="Y406" s="52"/>
      <c r="Z406" s="46" t="s">
        <v>587</v>
      </c>
    </row>
    <row r="407" spans="1:26">
      <c r="A407" s="49">
        <v>44365</v>
      </c>
      <c r="B407" s="48">
        <v>202106181104</v>
      </c>
      <c r="C407" s="46" t="s">
        <v>3350</v>
      </c>
      <c r="D407" s="46" t="s">
        <v>3417</v>
      </c>
      <c r="E407" s="46" t="s">
        <v>589</v>
      </c>
      <c r="F407" s="46" t="s">
        <v>3348</v>
      </c>
      <c r="G407" s="46" t="s">
        <v>39</v>
      </c>
      <c r="H407" s="47" t="s">
        <v>1508</v>
      </c>
      <c r="I407" s="46" t="s">
        <v>3166</v>
      </c>
      <c r="J407" s="46" t="s">
        <v>3160</v>
      </c>
      <c r="K407" s="46">
        <v>1</v>
      </c>
      <c r="L407" s="46">
        <v>290</v>
      </c>
      <c r="N407" s="46" t="s">
        <v>2186</v>
      </c>
      <c r="P407" s="52">
        <v>2378</v>
      </c>
      <c r="Q407" s="52" t="s">
        <v>39</v>
      </c>
      <c r="R407" s="52" t="s">
        <v>171</v>
      </c>
      <c r="T407" s="52"/>
      <c r="U407" s="52"/>
      <c r="V407" s="52"/>
      <c r="W407" s="52">
        <v>814</v>
      </c>
      <c r="X407" s="52" t="s">
        <v>590</v>
      </c>
      <c r="Y407" s="52"/>
      <c r="Z407" s="46" t="s">
        <v>587</v>
      </c>
    </row>
    <row r="408" spans="1:26">
      <c r="A408" s="49">
        <v>44365</v>
      </c>
      <c r="B408" s="48">
        <v>202106181104</v>
      </c>
      <c r="C408" s="46" t="s">
        <v>3350</v>
      </c>
      <c r="D408" s="46" t="s">
        <v>3417</v>
      </c>
      <c r="E408" s="46" t="s">
        <v>589</v>
      </c>
      <c r="F408" s="46" t="s">
        <v>3348</v>
      </c>
      <c r="G408" s="46" t="s">
        <v>39</v>
      </c>
      <c r="H408" s="47" t="s">
        <v>1531</v>
      </c>
      <c r="I408" s="46" t="s">
        <v>3307</v>
      </c>
      <c r="J408" s="46" t="s">
        <v>3160</v>
      </c>
      <c r="K408" s="46">
        <v>1</v>
      </c>
      <c r="L408" s="46">
        <v>290</v>
      </c>
      <c r="N408" s="46" t="s">
        <v>2194</v>
      </c>
      <c r="P408" s="52">
        <v>2378</v>
      </c>
      <c r="Q408" s="52" t="s">
        <v>39</v>
      </c>
      <c r="R408" s="52" t="s">
        <v>171</v>
      </c>
      <c r="T408" s="52"/>
      <c r="U408" s="52"/>
      <c r="V408" s="52"/>
      <c r="W408" s="52">
        <v>814</v>
      </c>
      <c r="X408" s="52" t="s">
        <v>590</v>
      </c>
      <c r="Y408" s="52"/>
      <c r="Z408" s="46" t="s">
        <v>587</v>
      </c>
    </row>
    <row r="409" spans="1:26">
      <c r="A409" s="49">
        <v>44365</v>
      </c>
      <c r="B409" s="48">
        <v>202106181104</v>
      </c>
      <c r="C409" s="46" t="s">
        <v>3350</v>
      </c>
      <c r="D409" s="46" t="s">
        <v>3417</v>
      </c>
      <c r="E409" s="46" t="s">
        <v>589</v>
      </c>
      <c r="F409" s="46" t="s">
        <v>3348</v>
      </c>
      <c r="G409" s="46" t="s">
        <v>39</v>
      </c>
      <c r="H409" s="47">
        <v>4714781020954</v>
      </c>
      <c r="I409" s="46" t="s">
        <v>3250</v>
      </c>
      <c r="J409" s="46" t="s">
        <v>3160</v>
      </c>
      <c r="K409" s="46">
        <v>1</v>
      </c>
      <c r="L409" s="46">
        <v>149</v>
      </c>
      <c r="N409" s="46" t="s">
        <v>139</v>
      </c>
      <c r="P409" s="52">
        <v>2378</v>
      </c>
      <c r="Q409" s="52" t="s">
        <v>39</v>
      </c>
      <c r="R409" s="52" t="s">
        <v>171</v>
      </c>
      <c r="T409" s="52"/>
      <c r="U409" s="52"/>
      <c r="V409" s="52"/>
      <c r="W409" s="52">
        <v>814</v>
      </c>
      <c r="X409" s="52" t="s">
        <v>590</v>
      </c>
      <c r="Y409" s="52"/>
      <c r="Z409" s="46" t="s">
        <v>587</v>
      </c>
    </row>
    <row r="410" spans="1:26" ht="20">
      <c r="A410" s="49">
        <v>44365</v>
      </c>
      <c r="B410" s="48">
        <v>202106181104</v>
      </c>
      <c r="C410" s="46" t="s">
        <v>3350</v>
      </c>
      <c r="D410" s="46" t="s">
        <v>3417</v>
      </c>
      <c r="E410" s="46" t="s">
        <v>589</v>
      </c>
      <c r="F410" s="46" t="s">
        <v>3348</v>
      </c>
      <c r="G410" s="46" t="s">
        <v>39</v>
      </c>
      <c r="H410" s="47">
        <v>4714781020725</v>
      </c>
      <c r="I410" s="53" t="s">
        <v>3278</v>
      </c>
      <c r="J410" s="46" t="s">
        <v>3160</v>
      </c>
      <c r="K410" s="46">
        <v>1</v>
      </c>
      <c r="L410" s="46">
        <v>0</v>
      </c>
      <c r="N410" s="46" t="s">
        <v>301</v>
      </c>
      <c r="P410" s="52">
        <v>2378</v>
      </c>
      <c r="Q410" s="52" t="s">
        <v>39</v>
      </c>
      <c r="R410" s="52" t="s">
        <v>171</v>
      </c>
      <c r="T410" s="52"/>
      <c r="U410" s="52"/>
      <c r="V410" s="52"/>
      <c r="W410" s="52">
        <v>814</v>
      </c>
      <c r="X410" s="52" t="s">
        <v>590</v>
      </c>
      <c r="Y410" s="52"/>
      <c r="Z410" s="46" t="s">
        <v>587</v>
      </c>
    </row>
    <row r="411" spans="1:26">
      <c r="A411" s="49">
        <v>44365</v>
      </c>
      <c r="B411" s="48">
        <v>202106181105</v>
      </c>
      <c r="C411" s="46" t="s">
        <v>3350</v>
      </c>
      <c r="D411" s="46" t="s">
        <v>3416</v>
      </c>
      <c r="E411" s="46" t="s">
        <v>1065</v>
      </c>
      <c r="F411" s="46" t="s">
        <v>3348</v>
      </c>
      <c r="G411" s="46" t="s">
        <v>633</v>
      </c>
      <c r="H411" s="47" t="s">
        <v>1517</v>
      </c>
      <c r="I411" s="46" t="s">
        <v>3295</v>
      </c>
      <c r="J411" s="46" t="s">
        <v>3160</v>
      </c>
      <c r="K411" s="46">
        <v>1</v>
      </c>
      <c r="L411" s="46">
        <v>173</v>
      </c>
      <c r="N411" s="46" t="s">
        <v>1516</v>
      </c>
      <c r="P411" s="52">
        <v>748</v>
      </c>
      <c r="Q411" s="52" t="s">
        <v>633</v>
      </c>
      <c r="R411" s="52" t="s">
        <v>634</v>
      </c>
      <c r="T411" s="52">
        <v>118349</v>
      </c>
      <c r="U411" s="52" t="s">
        <v>1068</v>
      </c>
      <c r="V411" s="52" t="s">
        <v>1069</v>
      </c>
      <c r="W411" s="52"/>
      <c r="X411" s="52"/>
      <c r="Y411" s="52"/>
      <c r="Z411" s="46" t="s">
        <v>1063</v>
      </c>
    </row>
    <row r="412" spans="1:26">
      <c r="A412" s="49">
        <v>44365</v>
      </c>
      <c r="B412" s="48">
        <v>202106181105</v>
      </c>
      <c r="C412" s="46" t="s">
        <v>3350</v>
      </c>
      <c r="D412" s="46" t="s">
        <v>3416</v>
      </c>
      <c r="E412" s="46" t="s">
        <v>1065</v>
      </c>
      <c r="F412" s="46" t="s">
        <v>3348</v>
      </c>
      <c r="G412" s="46" t="s">
        <v>633</v>
      </c>
      <c r="H412" s="47" t="s">
        <v>1510</v>
      </c>
      <c r="I412" s="46" t="s">
        <v>3168</v>
      </c>
      <c r="J412" s="46" t="s">
        <v>3160</v>
      </c>
      <c r="K412" s="46">
        <v>1</v>
      </c>
      <c r="L412" s="46">
        <v>288</v>
      </c>
      <c r="N412" s="46" t="s">
        <v>1509</v>
      </c>
      <c r="P412" s="52">
        <v>748</v>
      </c>
      <c r="Q412" s="52" t="s">
        <v>633</v>
      </c>
      <c r="R412" s="52" t="s">
        <v>634</v>
      </c>
      <c r="T412" s="52">
        <v>118349</v>
      </c>
      <c r="U412" s="52" t="s">
        <v>1068</v>
      </c>
      <c r="V412" s="52" t="s">
        <v>1069</v>
      </c>
      <c r="W412" s="52"/>
      <c r="X412" s="52"/>
      <c r="Y412" s="52"/>
      <c r="Z412" s="46" t="s">
        <v>1063</v>
      </c>
    </row>
    <row r="413" spans="1:26">
      <c r="A413" s="49">
        <v>44365</v>
      </c>
      <c r="B413" s="48">
        <v>202106181105</v>
      </c>
      <c r="C413" s="46" t="s">
        <v>3350</v>
      </c>
      <c r="D413" s="46" t="s">
        <v>3416</v>
      </c>
      <c r="E413" s="46" t="s">
        <v>1065</v>
      </c>
      <c r="F413" s="46" t="s">
        <v>3348</v>
      </c>
      <c r="G413" s="46" t="s">
        <v>633</v>
      </c>
      <c r="H413" s="47" t="s">
        <v>1506</v>
      </c>
      <c r="I413" s="46" t="s">
        <v>3166</v>
      </c>
      <c r="J413" s="46" t="s">
        <v>3160</v>
      </c>
      <c r="K413" s="46">
        <v>1</v>
      </c>
      <c r="L413" s="46">
        <v>287</v>
      </c>
      <c r="N413" s="46" t="s">
        <v>1505</v>
      </c>
      <c r="P413" s="52">
        <v>748</v>
      </c>
      <c r="Q413" s="52" t="s">
        <v>633</v>
      </c>
      <c r="R413" s="52" t="s">
        <v>634</v>
      </c>
      <c r="T413" s="52">
        <v>118349</v>
      </c>
      <c r="U413" s="52" t="s">
        <v>1068</v>
      </c>
      <c r="V413" s="52" t="s">
        <v>1069</v>
      </c>
      <c r="W413" s="52"/>
      <c r="X413" s="52"/>
      <c r="Y413" s="52"/>
      <c r="Z413" s="46" t="s">
        <v>1063</v>
      </c>
    </row>
    <row r="414" spans="1:26">
      <c r="A414" s="49">
        <v>44365</v>
      </c>
      <c r="B414" s="48">
        <v>202106181106</v>
      </c>
      <c r="C414" s="46" t="s">
        <v>3350</v>
      </c>
      <c r="D414" s="46" t="s">
        <v>3415</v>
      </c>
      <c r="E414" s="46" t="s">
        <v>584</v>
      </c>
      <c r="F414" s="46" t="s">
        <v>3348</v>
      </c>
      <c r="G414" s="46" t="s">
        <v>39</v>
      </c>
      <c r="H414" s="47">
        <v>4714781021777</v>
      </c>
      <c r="I414" s="46" t="s">
        <v>3169</v>
      </c>
      <c r="J414" s="46" t="s">
        <v>3160</v>
      </c>
      <c r="K414" s="46">
        <v>2</v>
      </c>
      <c r="L414" s="46">
        <v>798</v>
      </c>
      <c r="N414" s="46" t="s">
        <v>270</v>
      </c>
      <c r="P414" s="52">
        <v>798</v>
      </c>
      <c r="Q414" s="52" t="s">
        <v>39</v>
      </c>
      <c r="R414" s="52" t="s">
        <v>40</v>
      </c>
      <c r="T414" s="52"/>
      <c r="U414" s="52"/>
      <c r="V414" s="52"/>
      <c r="W414" s="52">
        <v>330</v>
      </c>
      <c r="X414" s="52" t="s">
        <v>585</v>
      </c>
      <c r="Y414" s="52"/>
      <c r="Z414" s="46" t="s">
        <v>582</v>
      </c>
    </row>
    <row r="415" spans="1:26">
      <c r="A415" s="49">
        <v>44365</v>
      </c>
      <c r="B415" s="48">
        <v>202106181107</v>
      </c>
      <c r="C415" s="46" t="s">
        <v>3350</v>
      </c>
      <c r="D415" s="46" t="s">
        <v>3414</v>
      </c>
      <c r="E415" s="46" t="s">
        <v>578</v>
      </c>
      <c r="F415" s="46" t="s">
        <v>3348</v>
      </c>
      <c r="G415" s="46" t="s">
        <v>39</v>
      </c>
      <c r="H415" s="47">
        <v>4714781020282</v>
      </c>
      <c r="I415" s="46" t="s">
        <v>3307</v>
      </c>
      <c r="J415" s="46" t="s">
        <v>3160</v>
      </c>
      <c r="K415" s="46">
        <v>1</v>
      </c>
      <c r="L415" s="46">
        <v>247</v>
      </c>
      <c r="N415" s="46" t="s">
        <v>274</v>
      </c>
      <c r="P415" s="52">
        <v>994</v>
      </c>
      <c r="Q415" s="52" t="s">
        <v>39</v>
      </c>
      <c r="R415" s="52" t="s">
        <v>40</v>
      </c>
      <c r="T415" s="52"/>
      <c r="U415" s="52"/>
      <c r="V415" s="52"/>
      <c r="W415" s="52">
        <v>510</v>
      </c>
      <c r="X415" s="52" t="s">
        <v>579</v>
      </c>
      <c r="Y415" s="52"/>
      <c r="Z415" s="46" t="s">
        <v>576</v>
      </c>
    </row>
    <row r="416" spans="1:26">
      <c r="A416" s="49">
        <v>44365</v>
      </c>
      <c r="B416" s="48">
        <v>202106181107</v>
      </c>
      <c r="C416" s="46" t="s">
        <v>3350</v>
      </c>
      <c r="D416" s="46" t="s">
        <v>3414</v>
      </c>
      <c r="E416" s="46" t="s">
        <v>578</v>
      </c>
      <c r="F416" s="46" t="s">
        <v>3348</v>
      </c>
      <c r="G416" s="46" t="s">
        <v>39</v>
      </c>
      <c r="H416" s="47">
        <v>4714781024723</v>
      </c>
      <c r="I416" s="46" t="s">
        <v>3168</v>
      </c>
      <c r="J416" s="46" t="s">
        <v>3160</v>
      </c>
      <c r="K416" s="46">
        <v>1</v>
      </c>
      <c r="L416" s="46">
        <v>299</v>
      </c>
      <c r="N416" s="46" t="s">
        <v>358</v>
      </c>
      <c r="P416" s="52">
        <v>994</v>
      </c>
      <c r="Q416" s="52" t="s">
        <v>39</v>
      </c>
      <c r="R416" s="52" t="s">
        <v>40</v>
      </c>
      <c r="T416" s="52"/>
      <c r="U416" s="52"/>
      <c r="V416" s="52"/>
      <c r="W416" s="52">
        <v>510</v>
      </c>
      <c r="X416" s="52" t="s">
        <v>579</v>
      </c>
      <c r="Y416" s="52"/>
      <c r="Z416" s="46" t="s">
        <v>576</v>
      </c>
    </row>
    <row r="417" spans="1:26">
      <c r="A417" s="49">
        <v>44365</v>
      </c>
      <c r="B417" s="48">
        <v>202106181107</v>
      </c>
      <c r="C417" s="46" t="s">
        <v>3350</v>
      </c>
      <c r="D417" s="46" t="s">
        <v>3414</v>
      </c>
      <c r="E417" s="46" t="s">
        <v>578</v>
      </c>
      <c r="F417" s="46" t="s">
        <v>3348</v>
      </c>
      <c r="G417" s="46" t="s">
        <v>39</v>
      </c>
      <c r="H417" s="47">
        <v>4714781024730</v>
      </c>
      <c r="I417" s="46" t="s">
        <v>3166</v>
      </c>
      <c r="J417" s="46" t="s">
        <v>3160</v>
      </c>
      <c r="K417" s="46">
        <v>1</v>
      </c>
      <c r="L417" s="46">
        <v>299</v>
      </c>
      <c r="N417" s="46" t="s">
        <v>263</v>
      </c>
      <c r="P417" s="52">
        <v>994</v>
      </c>
      <c r="Q417" s="52" t="s">
        <v>39</v>
      </c>
      <c r="R417" s="52" t="s">
        <v>40</v>
      </c>
      <c r="T417" s="52"/>
      <c r="U417" s="52"/>
      <c r="V417" s="52"/>
      <c r="W417" s="52">
        <v>510</v>
      </c>
      <c r="X417" s="52" t="s">
        <v>579</v>
      </c>
      <c r="Y417" s="52"/>
      <c r="Z417" s="46" t="s">
        <v>576</v>
      </c>
    </row>
    <row r="418" spans="1:26">
      <c r="A418" s="49">
        <v>44365</v>
      </c>
      <c r="B418" s="48">
        <v>202106181107</v>
      </c>
      <c r="C418" s="46" t="s">
        <v>3350</v>
      </c>
      <c r="D418" s="46" t="s">
        <v>3414</v>
      </c>
      <c r="E418" s="46" t="s">
        <v>578</v>
      </c>
      <c r="F418" s="46" t="s">
        <v>3348</v>
      </c>
      <c r="G418" s="46" t="s">
        <v>39</v>
      </c>
      <c r="H418" s="47">
        <v>4714781021593</v>
      </c>
      <c r="I418" s="46" t="s">
        <v>3183</v>
      </c>
      <c r="J418" s="46" t="s">
        <v>3160</v>
      </c>
      <c r="K418" s="46">
        <v>1</v>
      </c>
      <c r="L418" s="46">
        <v>149</v>
      </c>
      <c r="N418" s="46" t="s">
        <v>580</v>
      </c>
      <c r="P418" s="52">
        <v>994</v>
      </c>
      <c r="Q418" s="52" t="s">
        <v>39</v>
      </c>
      <c r="R418" s="52" t="s">
        <v>40</v>
      </c>
      <c r="T418" s="52"/>
      <c r="U418" s="52"/>
      <c r="V418" s="52"/>
      <c r="W418" s="52">
        <v>510</v>
      </c>
      <c r="X418" s="52" t="s">
        <v>579</v>
      </c>
      <c r="Y418" s="52"/>
      <c r="Z418" s="46" t="s">
        <v>576</v>
      </c>
    </row>
    <row r="419" spans="1:26">
      <c r="A419" s="49">
        <v>44365</v>
      </c>
      <c r="B419" s="48">
        <v>202106181108</v>
      </c>
      <c r="C419" s="46" t="s">
        <v>3350</v>
      </c>
      <c r="D419" s="46" t="s">
        <v>3413</v>
      </c>
      <c r="E419" s="46" t="s">
        <v>570</v>
      </c>
      <c r="F419" s="46" t="s">
        <v>3348</v>
      </c>
      <c r="G419" s="46" t="s">
        <v>39</v>
      </c>
      <c r="H419" s="47">
        <v>4714781021609</v>
      </c>
      <c r="I419" s="46" t="s">
        <v>3183</v>
      </c>
      <c r="J419" s="46" t="s">
        <v>3160</v>
      </c>
      <c r="K419" s="46">
        <v>3</v>
      </c>
      <c r="L419" s="46">
        <v>316</v>
      </c>
      <c r="N419" s="46" t="s">
        <v>1454</v>
      </c>
      <c r="P419" s="52">
        <v>1115</v>
      </c>
      <c r="Q419" s="52" t="s">
        <v>39</v>
      </c>
      <c r="R419" s="52" t="s">
        <v>40</v>
      </c>
      <c r="T419" s="52"/>
      <c r="U419" s="52"/>
      <c r="V419" s="52"/>
      <c r="W419" s="52">
        <v>231</v>
      </c>
      <c r="X419" s="52" t="s">
        <v>572</v>
      </c>
      <c r="Y419" s="52"/>
      <c r="Z419" s="46" t="s">
        <v>568</v>
      </c>
    </row>
    <row r="420" spans="1:26">
      <c r="A420" s="49">
        <v>44365</v>
      </c>
      <c r="B420" s="48">
        <v>202106181108</v>
      </c>
      <c r="C420" s="46" t="s">
        <v>3350</v>
      </c>
      <c r="D420" s="46" t="s">
        <v>3413</v>
      </c>
      <c r="E420" s="46" t="s">
        <v>570</v>
      </c>
      <c r="F420" s="46" t="s">
        <v>3348</v>
      </c>
      <c r="G420" s="46" t="s">
        <v>39</v>
      </c>
      <c r="H420" s="47">
        <v>4714781021609</v>
      </c>
      <c r="I420" s="46" t="s">
        <v>3183</v>
      </c>
      <c r="J420" s="46" t="s">
        <v>3160</v>
      </c>
      <c r="K420" s="46">
        <v>3</v>
      </c>
      <c r="L420" s="46">
        <v>390</v>
      </c>
      <c r="N420" s="46" t="s">
        <v>1454</v>
      </c>
      <c r="P420" s="52">
        <v>1115</v>
      </c>
      <c r="Q420" s="52" t="s">
        <v>39</v>
      </c>
      <c r="R420" s="52" t="s">
        <v>40</v>
      </c>
      <c r="T420" s="52"/>
      <c r="U420" s="52"/>
      <c r="V420" s="52"/>
      <c r="W420" s="52">
        <v>231</v>
      </c>
      <c r="X420" s="52" t="s">
        <v>572</v>
      </c>
      <c r="Y420" s="52"/>
      <c r="Z420" s="46" t="s">
        <v>568</v>
      </c>
    </row>
    <row r="421" spans="1:26">
      <c r="A421" s="49">
        <v>44365</v>
      </c>
      <c r="B421" s="48">
        <v>202106181108</v>
      </c>
      <c r="C421" s="46" t="s">
        <v>3350</v>
      </c>
      <c r="D421" s="46" t="s">
        <v>3413</v>
      </c>
      <c r="E421" s="46" t="s">
        <v>570</v>
      </c>
      <c r="F421" s="46" t="s">
        <v>3348</v>
      </c>
      <c r="G421" s="46" t="s">
        <v>39</v>
      </c>
      <c r="H421" s="47">
        <v>4714781020558</v>
      </c>
      <c r="I421" s="46" t="s">
        <v>3295</v>
      </c>
      <c r="J421" s="46" t="s">
        <v>3160</v>
      </c>
      <c r="K421" s="46">
        <v>3</v>
      </c>
      <c r="L421" s="46">
        <v>409</v>
      </c>
      <c r="N421" s="46" t="s">
        <v>1370</v>
      </c>
      <c r="P421" s="52">
        <v>1115</v>
      </c>
      <c r="Q421" s="52" t="s">
        <v>39</v>
      </c>
      <c r="R421" s="52" t="s">
        <v>40</v>
      </c>
      <c r="T421" s="52"/>
      <c r="U421" s="52"/>
      <c r="V421" s="52"/>
      <c r="W421" s="52">
        <v>231</v>
      </c>
      <c r="X421" s="52" t="s">
        <v>572</v>
      </c>
      <c r="Y421" s="52"/>
      <c r="Z421" s="46" t="s">
        <v>568</v>
      </c>
    </row>
    <row r="422" spans="1:26" ht="20">
      <c r="A422" s="49">
        <v>44365</v>
      </c>
      <c r="B422" s="48">
        <v>202106181108</v>
      </c>
      <c r="C422" s="46" t="s">
        <v>3350</v>
      </c>
      <c r="D422" s="46" t="s">
        <v>3413</v>
      </c>
      <c r="E422" s="46" t="s">
        <v>570</v>
      </c>
      <c r="F422" s="46" t="s">
        <v>3348</v>
      </c>
      <c r="G422" s="46" t="s">
        <v>39</v>
      </c>
      <c r="H422" s="47">
        <v>4714781020725</v>
      </c>
      <c r="I422" s="53" t="s">
        <v>3278</v>
      </c>
      <c r="J422" s="46" t="s">
        <v>3160</v>
      </c>
      <c r="K422" s="46">
        <v>1</v>
      </c>
      <c r="L422" s="46">
        <v>0</v>
      </c>
      <c r="N422" s="46" t="s">
        <v>301</v>
      </c>
      <c r="P422" s="52">
        <v>1115</v>
      </c>
      <c r="Q422" s="52" t="s">
        <v>39</v>
      </c>
      <c r="R422" s="52" t="s">
        <v>40</v>
      </c>
      <c r="T422" s="52"/>
      <c r="U422" s="52"/>
      <c r="V422" s="52"/>
      <c r="W422" s="52">
        <v>231</v>
      </c>
      <c r="X422" s="52" t="s">
        <v>572</v>
      </c>
      <c r="Y422" s="52"/>
      <c r="Z422" s="46" t="s">
        <v>568</v>
      </c>
    </row>
    <row r="423" spans="1:26">
      <c r="A423" s="49">
        <v>44365</v>
      </c>
      <c r="B423" s="48">
        <v>202106181109</v>
      </c>
      <c r="C423" s="46" t="s">
        <v>3350</v>
      </c>
      <c r="D423" s="46" t="s">
        <v>3412</v>
      </c>
      <c r="E423" s="46" t="s">
        <v>1073</v>
      </c>
      <c r="F423" s="46" t="s">
        <v>3348</v>
      </c>
      <c r="G423" s="46" t="s">
        <v>633</v>
      </c>
      <c r="H423" s="47" t="s">
        <v>1491</v>
      </c>
      <c r="I423" s="46" t="s">
        <v>3273</v>
      </c>
      <c r="J423" s="46" t="s">
        <v>3160</v>
      </c>
      <c r="K423" s="46">
        <v>2</v>
      </c>
      <c r="L423" s="46">
        <v>280</v>
      </c>
      <c r="N423" s="46" t="s">
        <v>1490</v>
      </c>
      <c r="P423" s="52">
        <v>929</v>
      </c>
      <c r="Q423" s="52" t="s">
        <v>633</v>
      </c>
      <c r="R423" s="52" t="s">
        <v>634</v>
      </c>
      <c r="T423" s="52">
        <v>153766</v>
      </c>
      <c r="U423" s="52" t="s">
        <v>1074</v>
      </c>
      <c r="V423" s="52" t="s">
        <v>1075</v>
      </c>
      <c r="W423" s="52"/>
      <c r="X423" s="52"/>
      <c r="Y423" s="52"/>
      <c r="Z423" s="46" t="s">
        <v>1071</v>
      </c>
    </row>
    <row r="424" spans="1:26">
      <c r="A424" s="49">
        <v>44365</v>
      </c>
      <c r="B424" s="48">
        <v>202106181109</v>
      </c>
      <c r="C424" s="46" t="s">
        <v>3350</v>
      </c>
      <c r="D424" s="46" t="s">
        <v>3412</v>
      </c>
      <c r="E424" s="46" t="s">
        <v>1073</v>
      </c>
      <c r="F424" s="46" t="s">
        <v>3348</v>
      </c>
      <c r="G424" s="46" t="s">
        <v>633</v>
      </c>
      <c r="H424" s="47">
        <v>4714781024730</v>
      </c>
      <c r="I424" s="46" t="s">
        <v>3166</v>
      </c>
      <c r="J424" s="46" t="s">
        <v>3160</v>
      </c>
      <c r="K424" s="46">
        <v>1</v>
      </c>
      <c r="L424" s="46">
        <v>299</v>
      </c>
      <c r="N424" s="46" t="s">
        <v>263</v>
      </c>
      <c r="P424" s="52">
        <v>929</v>
      </c>
      <c r="Q424" s="52" t="s">
        <v>633</v>
      </c>
      <c r="R424" s="52" t="s">
        <v>634</v>
      </c>
      <c r="T424" s="52">
        <v>153766</v>
      </c>
      <c r="U424" s="52" t="s">
        <v>1074</v>
      </c>
      <c r="V424" s="52" t="s">
        <v>1075</v>
      </c>
      <c r="W424" s="52"/>
      <c r="X424" s="52"/>
      <c r="Y424" s="52"/>
      <c r="Z424" s="46" t="s">
        <v>1071</v>
      </c>
    </row>
    <row r="425" spans="1:26">
      <c r="A425" s="49">
        <v>44365</v>
      </c>
      <c r="B425" s="48">
        <v>202106181109</v>
      </c>
      <c r="C425" s="46" t="s">
        <v>3350</v>
      </c>
      <c r="D425" s="46" t="s">
        <v>3412</v>
      </c>
      <c r="E425" s="46" t="s">
        <v>1073</v>
      </c>
      <c r="F425" s="46" t="s">
        <v>3348</v>
      </c>
      <c r="G425" s="46" t="s">
        <v>633</v>
      </c>
      <c r="H425" s="47">
        <v>4714781020848</v>
      </c>
      <c r="I425" s="46" t="s">
        <v>3253</v>
      </c>
      <c r="J425" s="46" t="s">
        <v>3160</v>
      </c>
      <c r="K425" s="46">
        <v>1</v>
      </c>
      <c r="L425" s="46">
        <v>350</v>
      </c>
      <c r="N425" s="46" t="s">
        <v>1077</v>
      </c>
      <c r="P425" s="52">
        <v>929</v>
      </c>
      <c r="Q425" s="52" t="s">
        <v>633</v>
      </c>
      <c r="R425" s="52" t="s">
        <v>634</v>
      </c>
      <c r="T425" s="52">
        <v>153766</v>
      </c>
      <c r="U425" s="52" t="s">
        <v>1074</v>
      </c>
      <c r="V425" s="52" t="s">
        <v>1075</v>
      </c>
      <c r="W425" s="52"/>
      <c r="X425" s="52"/>
      <c r="Y425" s="52"/>
      <c r="Z425" s="46" t="s">
        <v>1071</v>
      </c>
    </row>
    <row r="426" spans="1:26">
      <c r="A426" s="49">
        <v>44365</v>
      </c>
      <c r="B426" s="48">
        <v>202106181110</v>
      </c>
      <c r="C426" s="46" t="s">
        <v>3350</v>
      </c>
      <c r="D426" s="46" t="s">
        <v>3411</v>
      </c>
      <c r="E426" s="46" t="s">
        <v>557</v>
      </c>
      <c r="F426" s="46" t="s">
        <v>3348</v>
      </c>
      <c r="G426" s="46" t="s">
        <v>39</v>
      </c>
      <c r="H426" s="47" t="s">
        <v>1512</v>
      </c>
      <c r="I426" s="46" t="s">
        <v>3194</v>
      </c>
      <c r="J426" s="46" t="s">
        <v>3160</v>
      </c>
      <c r="K426" s="46">
        <v>1</v>
      </c>
      <c r="L426" s="46">
        <v>142</v>
      </c>
      <c r="N426" s="46" t="s">
        <v>1511</v>
      </c>
      <c r="P426" s="52">
        <v>1294</v>
      </c>
      <c r="Q426" s="52" t="s">
        <v>39</v>
      </c>
      <c r="R426" s="52" t="s">
        <v>59</v>
      </c>
      <c r="T426" s="52"/>
      <c r="U426" s="52"/>
      <c r="V426" s="52"/>
      <c r="W426" s="52">
        <v>247</v>
      </c>
      <c r="X426" s="52" t="s">
        <v>562</v>
      </c>
      <c r="Y426" s="52"/>
      <c r="Z426" s="46" t="s">
        <v>555</v>
      </c>
    </row>
    <row r="427" spans="1:26">
      <c r="A427" s="49">
        <v>44365</v>
      </c>
      <c r="B427" s="48">
        <v>202106181110</v>
      </c>
      <c r="C427" s="46" t="s">
        <v>3350</v>
      </c>
      <c r="D427" s="46" t="s">
        <v>3411</v>
      </c>
      <c r="E427" s="46" t="s">
        <v>557</v>
      </c>
      <c r="F427" s="46" t="s">
        <v>3348</v>
      </c>
      <c r="G427" s="46" t="s">
        <v>39</v>
      </c>
      <c r="H427" s="47" t="s">
        <v>1517</v>
      </c>
      <c r="I427" s="46" t="s">
        <v>3295</v>
      </c>
      <c r="J427" s="46" t="s">
        <v>3160</v>
      </c>
      <c r="K427" s="46">
        <v>1</v>
      </c>
      <c r="L427" s="46">
        <v>142</v>
      </c>
      <c r="N427" s="46" t="s">
        <v>1516</v>
      </c>
      <c r="P427" s="52">
        <v>1294</v>
      </c>
      <c r="Q427" s="52" t="s">
        <v>39</v>
      </c>
      <c r="R427" s="52" t="s">
        <v>59</v>
      </c>
      <c r="T427" s="52"/>
      <c r="U427" s="52"/>
      <c r="V427" s="52"/>
      <c r="W427" s="52">
        <v>247</v>
      </c>
      <c r="X427" s="52" t="s">
        <v>562</v>
      </c>
      <c r="Y427" s="52"/>
      <c r="Z427" s="46" t="s">
        <v>555</v>
      </c>
    </row>
    <row r="428" spans="1:26">
      <c r="A428" s="49">
        <v>44365</v>
      </c>
      <c r="B428" s="48">
        <v>202106181110</v>
      </c>
      <c r="C428" s="46" t="s">
        <v>3350</v>
      </c>
      <c r="D428" s="46" t="s">
        <v>3411</v>
      </c>
      <c r="E428" s="46" t="s">
        <v>557</v>
      </c>
      <c r="F428" s="46" t="s">
        <v>3348</v>
      </c>
      <c r="G428" s="46" t="s">
        <v>39</v>
      </c>
      <c r="H428" s="47" t="s">
        <v>1514</v>
      </c>
      <c r="I428" s="46" t="s">
        <v>3295</v>
      </c>
      <c r="J428" s="46" t="s">
        <v>3160</v>
      </c>
      <c r="K428" s="46">
        <v>1</v>
      </c>
      <c r="L428" s="46">
        <v>141</v>
      </c>
      <c r="N428" s="46" t="s">
        <v>1513</v>
      </c>
      <c r="P428" s="52">
        <v>1294</v>
      </c>
      <c r="Q428" s="52" t="s">
        <v>39</v>
      </c>
      <c r="R428" s="52" t="s">
        <v>59</v>
      </c>
      <c r="T428" s="52"/>
      <c r="U428" s="52"/>
      <c r="V428" s="52"/>
      <c r="W428" s="52">
        <v>247</v>
      </c>
      <c r="X428" s="52" t="s">
        <v>562</v>
      </c>
      <c r="Y428" s="52"/>
      <c r="Z428" s="46" t="s">
        <v>555</v>
      </c>
    </row>
    <row r="429" spans="1:26">
      <c r="A429" s="49">
        <v>44365</v>
      </c>
      <c r="B429" s="48">
        <v>202106181110</v>
      </c>
      <c r="C429" s="46" t="s">
        <v>3350</v>
      </c>
      <c r="D429" s="46" t="s">
        <v>3411</v>
      </c>
      <c r="E429" s="46" t="s">
        <v>557</v>
      </c>
      <c r="F429" s="46" t="s">
        <v>3348</v>
      </c>
      <c r="G429" s="46" t="s">
        <v>39</v>
      </c>
      <c r="H429" s="47">
        <v>4714781020770</v>
      </c>
      <c r="I429" s="46" t="s">
        <v>3276</v>
      </c>
      <c r="J429" s="46" t="s">
        <v>3160</v>
      </c>
      <c r="K429" s="46">
        <v>1</v>
      </c>
      <c r="L429" s="46">
        <v>135</v>
      </c>
      <c r="N429" s="46" t="s">
        <v>1380</v>
      </c>
      <c r="P429" s="52">
        <v>1294</v>
      </c>
      <c r="Q429" s="52" t="s">
        <v>39</v>
      </c>
      <c r="R429" s="52" t="s">
        <v>59</v>
      </c>
      <c r="T429" s="52"/>
      <c r="U429" s="52"/>
      <c r="V429" s="52"/>
      <c r="W429" s="52">
        <v>247</v>
      </c>
      <c r="X429" s="52" t="s">
        <v>562</v>
      </c>
      <c r="Y429" s="52"/>
      <c r="Z429" s="46" t="s">
        <v>555</v>
      </c>
    </row>
    <row r="430" spans="1:26">
      <c r="A430" s="49">
        <v>44365</v>
      </c>
      <c r="B430" s="48">
        <v>202106181110</v>
      </c>
      <c r="C430" s="46" t="s">
        <v>3350</v>
      </c>
      <c r="D430" s="46" t="s">
        <v>3411</v>
      </c>
      <c r="E430" s="46" t="s">
        <v>557</v>
      </c>
      <c r="F430" s="46" t="s">
        <v>3348</v>
      </c>
      <c r="G430" s="46" t="s">
        <v>39</v>
      </c>
      <c r="H430" s="47">
        <v>4714781020787</v>
      </c>
      <c r="I430" s="46" t="s">
        <v>3273</v>
      </c>
      <c r="J430" s="46" t="s">
        <v>3160</v>
      </c>
      <c r="K430" s="46">
        <v>1</v>
      </c>
      <c r="L430" s="46">
        <v>135</v>
      </c>
      <c r="N430" s="46" t="s">
        <v>1378</v>
      </c>
      <c r="P430" s="52">
        <v>1294</v>
      </c>
      <c r="Q430" s="52" t="s">
        <v>39</v>
      </c>
      <c r="R430" s="52" t="s">
        <v>59</v>
      </c>
      <c r="T430" s="52"/>
      <c r="U430" s="52"/>
      <c r="V430" s="52"/>
      <c r="W430" s="52">
        <v>247</v>
      </c>
      <c r="X430" s="52" t="s">
        <v>562</v>
      </c>
      <c r="Y430" s="52"/>
      <c r="Z430" s="46" t="s">
        <v>555</v>
      </c>
    </row>
    <row r="431" spans="1:26">
      <c r="A431" s="49">
        <v>44365</v>
      </c>
      <c r="B431" s="48">
        <v>202106181110</v>
      </c>
      <c r="C431" s="46" t="s">
        <v>3350</v>
      </c>
      <c r="D431" s="46" t="s">
        <v>3411</v>
      </c>
      <c r="E431" s="46" t="s">
        <v>557</v>
      </c>
      <c r="F431" s="46" t="s">
        <v>3348</v>
      </c>
      <c r="G431" s="46" t="s">
        <v>39</v>
      </c>
      <c r="H431" s="47">
        <v>4714781020848</v>
      </c>
      <c r="I431" s="46" t="s">
        <v>3253</v>
      </c>
      <c r="J431" s="46" t="s">
        <v>3160</v>
      </c>
      <c r="K431" s="46">
        <v>1</v>
      </c>
      <c r="L431" s="46">
        <v>300</v>
      </c>
      <c r="N431" s="46" t="s">
        <v>1382</v>
      </c>
      <c r="P431" s="52">
        <v>1294</v>
      </c>
      <c r="Q431" s="52" t="s">
        <v>39</v>
      </c>
      <c r="R431" s="52" t="s">
        <v>59</v>
      </c>
      <c r="T431" s="52"/>
      <c r="U431" s="52"/>
      <c r="V431" s="52"/>
      <c r="W431" s="52">
        <v>247</v>
      </c>
      <c r="X431" s="52" t="s">
        <v>562</v>
      </c>
      <c r="Y431" s="52"/>
      <c r="Z431" s="46" t="s">
        <v>555</v>
      </c>
    </row>
    <row r="432" spans="1:26">
      <c r="A432" s="49">
        <v>44365</v>
      </c>
      <c r="B432" s="48">
        <v>202106181110</v>
      </c>
      <c r="C432" s="46" t="s">
        <v>3350</v>
      </c>
      <c r="D432" s="46" t="s">
        <v>3411</v>
      </c>
      <c r="E432" s="46" t="s">
        <v>557</v>
      </c>
      <c r="F432" s="46" t="s">
        <v>3348</v>
      </c>
      <c r="G432" s="46" t="s">
        <v>39</v>
      </c>
      <c r="H432" s="47" t="s">
        <v>1596</v>
      </c>
      <c r="I432" s="46" t="s">
        <v>3194</v>
      </c>
      <c r="J432" s="46" t="s">
        <v>3160</v>
      </c>
      <c r="K432" s="46">
        <v>1</v>
      </c>
      <c r="L432" s="46">
        <v>299</v>
      </c>
      <c r="N432" s="46" t="s">
        <v>1384</v>
      </c>
      <c r="P432" s="52">
        <v>1294</v>
      </c>
      <c r="Q432" s="52" t="s">
        <v>39</v>
      </c>
      <c r="R432" s="52" t="s">
        <v>59</v>
      </c>
      <c r="T432" s="52"/>
      <c r="U432" s="52"/>
      <c r="V432" s="52"/>
      <c r="W432" s="52">
        <v>247</v>
      </c>
      <c r="X432" s="52" t="s">
        <v>562</v>
      </c>
      <c r="Y432" s="52"/>
      <c r="Z432" s="46" t="s">
        <v>555</v>
      </c>
    </row>
    <row r="433" spans="1:26" ht="20">
      <c r="A433" s="49">
        <v>44365</v>
      </c>
      <c r="B433" s="48">
        <v>202106181110</v>
      </c>
      <c r="C433" s="46" t="s">
        <v>3350</v>
      </c>
      <c r="D433" s="46" t="s">
        <v>3411</v>
      </c>
      <c r="E433" s="46" t="s">
        <v>557</v>
      </c>
      <c r="F433" s="46" t="s">
        <v>3348</v>
      </c>
      <c r="G433" s="46" t="s">
        <v>39</v>
      </c>
      <c r="H433" s="47">
        <v>4714781020725</v>
      </c>
      <c r="I433" s="53" t="s">
        <v>3278</v>
      </c>
      <c r="J433" s="46" t="s">
        <v>3160</v>
      </c>
      <c r="K433" s="46">
        <v>1</v>
      </c>
      <c r="L433" s="46">
        <v>0</v>
      </c>
      <c r="N433" s="46" t="s">
        <v>301</v>
      </c>
      <c r="P433" s="52">
        <v>1294</v>
      </c>
      <c r="Q433" s="52" t="s">
        <v>39</v>
      </c>
      <c r="R433" s="52" t="s">
        <v>59</v>
      </c>
      <c r="T433" s="52"/>
      <c r="U433" s="52"/>
      <c r="V433" s="52"/>
      <c r="W433" s="52">
        <v>247</v>
      </c>
      <c r="X433" s="52" t="s">
        <v>562</v>
      </c>
      <c r="Y433" s="52"/>
      <c r="Z433" s="46" t="s">
        <v>555</v>
      </c>
    </row>
    <row r="434" spans="1:26">
      <c r="A434" s="49">
        <v>44365</v>
      </c>
      <c r="B434" s="48">
        <v>202106181111</v>
      </c>
      <c r="C434" s="46" t="s">
        <v>3350</v>
      </c>
      <c r="D434" s="46" t="s">
        <v>3410</v>
      </c>
      <c r="E434" s="46" t="s">
        <v>1082</v>
      </c>
      <c r="F434" s="46" t="s">
        <v>3348</v>
      </c>
      <c r="G434" s="46" t="s">
        <v>633</v>
      </c>
      <c r="H434" s="47">
        <v>4714781021777</v>
      </c>
      <c r="I434" s="46" t="s">
        <v>3169</v>
      </c>
      <c r="J434" s="46" t="s">
        <v>3160</v>
      </c>
      <c r="K434" s="46">
        <v>2</v>
      </c>
      <c r="L434" s="46">
        <v>798</v>
      </c>
      <c r="N434" s="46" t="s">
        <v>270</v>
      </c>
      <c r="P434" s="52">
        <v>798</v>
      </c>
      <c r="Q434" s="52" t="s">
        <v>633</v>
      </c>
      <c r="R434" s="52" t="s">
        <v>634</v>
      </c>
      <c r="T434" s="52">
        <v>989411</v>
      </c>
      <c r="U434" s="52" t="s">
        <v>1083</v>
      </c>
      <c r="V434" s="52" t="s">
        <v>1084</v>
      </c>
      <c r="W434" s="52"/>
      <c r="X434" s="52"/>
      <c r="Y434" s="52"/>
      <c r="Z434" s="46" t="s">
        <v>1080</v>
      </c>
    </row>
    <row r="435" spans="1:26">
      <c r="A435" s="49">
        <v>44365</v>
      </c>
      <c r="B435" s="48">
        <v>202106181112</v>
      </c>
      <c r="C435" s="46" t="s">
        <v>3350</v>
      </c>
      <c r="D435" s="46" t="s">
        <v>3409</v>
      </c>
      <c r="E435" s="46" t="s">
        <v>1088</v>
      </c>
      <c r="F435" s="46" t="s">
        <v>3348</v>
      </c>
      <c r="G435" s="46" t="s">
        <v>633</v>
      </c>
      <c r="H435" s="47" t="s">
        <v>1341</v>
      </c>
      <c r="I435" s="46" t="s">
        <v>3309</v>
      </c>
      <c r="J435" s="46" t="s">
        <v>3160</v>
      </c>
      <c r="K435" s="46">
        <v>1</v>
      </c>
      <c r="L435" s="46">
        <v>400</v>
      </c>
      <c r="N435" s="46" t="s">
        <v>1340</v>
      </c>
      <c r="P435" s="52">
        <v>593</v>
      </c>
      <c r="Q435" s="52" t="s">
        <v>633</v>
      </c>
      <c r="R435" s="52" t="s">
        <v>634</v>
      </c>
      <c r="T435" s="52">
        <v>114369</v>
      </c>
      <c r="U435" s="52" t="s">
        <v>1089</v>
      </c>
      <c r="V435" s="52" t="s">
        <v>1090</v>
      </c>
      <c r="W435" s="52"/>
      <c r="X435" s="52"/>
      <c r="Y435" s="52"/>
      <c r="Z435" s="46" t="s">
        <v>1086</v>
      </c>
    </row>
    <row r="436" spans="1:26">
      <c r="A436" s="49">
        <v>44365</v>
      </c>
      <c r="B436" s="48">
        <v>202106181112</v>
      </c>
      <c r="C436" s="46" t="s">
        <v>3350</v>
      </c>
      <c r="D436" s="46" t="s">
        <v>3409</v>
      </c>
      <c r="E436" s="46" t="s">
        <v>1088</v>
      </c>
      <c r="F436" s="46" t="s">
        <v>3348</v>
      </c>
      <c r="G436" s="46" t="s">
        <v>633</v>
      </c>
      <c r="H436" s="47" t="s">
        <v>1339</v>
      </c>
      <c r="I436" s="46" t="s">
        <v>3308</v>
      </c>
      <c r="J436" s="46" t="s">
        <v>3160</v>
      </c>
      <c r="K436" s="46">
        <v>1</v>
      </c>
      <c r="L436" s="46">
        <v>128</v>
      </c>
      <c r="N436" s="46" t="s">
        <v>1338</v>
      </c>
      <c r="P436" s="52">
        <v>593</v>
      </c>
      <c r="Q436" s="52" t="s">
        <v>633</v>
      </c>
      <c r="R436" s="52" t="s">
        <v>634</v>
      </c>
      <c r="T436" s="52">
        <v>114369</v>
      </c>
      <c r="U436" s="52" t="s">
        <v>1089</v>
      </c>
      <c r="V436" s="52" t="s">
        <v>1090</v>
      </c>
      <c r="W436" s="52"/>
      <c r="X436" s="52"/>
      <c r="Y436" s="52"/>
      <c r="Z436" s="46" t="s">
        <v>1086</v>
      </c>
    </row>
    <row r="437" spans="1:26">
      <c r="A437" s="49">
        <v>44365</v>
      </c>
      <c r="B437" s="48">
        <v>202106181112</v>
      </c>
      <c r="C437" s="46" t="s">
        <v>3350</v>
      </c>
      <c r="D437" s="46" t="s">
        <v>3409</v>
      </c>
      <c r="E437" s="46" t="s">
        <v>1088</v>
      </c>
      <c r="F437" s="46" t="s">
        <v>3348</v>
      </c>
      <c r="G437" s="46" t="s">
        <v>633</v>
      </c>
      <c r="H437" s="47" t="s">
        <v>3347</v>
      </c>
      <c r="J437" s="46" t="s">
        <v>3346</v>
      </c>
      <c r="K437" s="46">
        <v>1</v>
      </c>
      <c r="L437" s="46">
        <v>65</v>
      </c>
      <c r="P437" s="52"/>
      <c r="Q437" s="52"/>
      <c r="R437" s="52"/>
      <c r="T437" s="52"/>
      <c r="U437" s="52"/>
      <c r="V437" s="52"/>
      <c r="W437" s="52"/>
      <c r="X437" s="52"/>
      <c r="Y437" s="52"/>
    </row>
    <row r="438" spans="1:26">
      <c r="A438" s="49">
        <v>44365</v>
      </c>
      <c r="B438" s="48">
        <v>202106181113</v>
      </c>
      <c r="C438" s="46" t="s">
        <v>3350</v>
      </c>
      <c r="D438" s="46" t="s">
        <v>3408</v>
      </c>
      <c r="E438" s="46" t="s">
        <v>1094</v>
      </c>
      <c r="F438" s="46" t="s">
        <v>3348</v>
      </c>
      <c r="G438" s="46" t="s">
        <v>633</v>
      </c>
      <c r="H438" s="47">
        <v>4714781024716</v>
      </c>
      <c r="I438" s="46" t="s">
        <v>3166</v>
      </c>
      <c r="J438" s="46" t="s">
        <v>3160</v>
      </c>
      <c r="K438" s="46">
        <v>1</v>
      </c>
      <c r="L438" s="46">
        <v>299</v>
      </c>
      <c r="N438" s="46" t="s">
        <v>372</v>
      </c>
      <c r="P438" s="52">
        <v>364</v>
      </c>
      <c r="Q438" s="52" t="s">
        <v>633</v>
      </c>
      <c r="R438" s="52" t="s">
        <v>634</v>
      </c>
      <c r="T438" s="52">
        <v>922751</v>
      </c>
      <c r="U438" s="52" t="s">
        <v>1095</v>
      </c>
      <c r="V438" s="52" t="s">
        <v>1096</v>
      </c>
      <c r="W438" s="52"/>
      <c r="X438" s="52"/>
      <c r="Y438" s="52"/>
      <c r="Z438" s="46" t="s">
        <v>1092</v>
      </c>
    </row>
    <row r="439" spans="1:26">
      <c r="A439" s="49">
        <v>44365</v>
      </c>
      <c r="B439" s="48">
        <v>202106181113</v>
      </c>
      <c r="C439" s="46" t="s">
        <v>3350</v>
      </c>
      <c r="D439" s="46" t="s">
        <v>3408</v>
      </c>
      <c r="E439" s="46" t="s">
        <v>1094</v>
      </c>
      <c r="F439" s="46" t="s">
        <v>3348</v>
      </c>
      <c r="G439" s="46" t="s">
        <v>633</v>
      </c>
      <c r="H439" s="47" t="s">
        <v>3347</v>
      </c>
      <c r="J439" s="46" t="s">
        <v>3346</v>
      </c>
      <c r="K439" s="46">
        <v>1</v>
      </c>
      <c r="L439" s="46">
        <v>65</v>
      </c>
      <c r="P439" s="52"/>
      <c r="Q439" s="52"/>
      <c r="R439" s="52"/>
      <c r="T439" s="52"/>
      <c r="U439" s="52"/>
      <c r="V439" s="52"/>
      <c r="W439" s="52"/>
      <c r="X439" s="52"/>
      <c r="Y439" s="52"/>
    </row>
    <row r="440" spans="1:26">
      <c r="A440" s="49">
        <v>44365</v>
      </c>
      <c r="B440" s="48">
        <v>202106181114</v>
      </c>
      <c r="C440" s="46" t="s">
        <v>3350</v>
      </c>
      <c r="D440" s="46" t="s">
        <v>3407</v>
      </c>
      <c r="E440" s="46" t="s">
        <v>1100</v>
      </c>
      <c r="F440" s="46" t="s">
        <v>3348</v>
      </c>
      <c r="G440" s="46" t="s">
        <v>633</v>
      </c>
      <c r="H440" s="47">
        <v>4714781021609</v>
      </c>
      <c r="I440" s="46" t="s">
        <v>3183</v>
      </c>
      <c r="J440" s="46" t="s">
        <v>3160</v>
      </c>
      <c r="K440" s="46">
        <v>1</v>
      </c>
      <c r="L440" s="46">
        <v>133</v>
      </c>
      <c r="N440" s="46" t="s">
        <v>1454</v>
      </c>
      <c r="P440" s="52">
        <v>754</v>
      </c>
      <c r="Q440" s="52" t="s">
        <v>633</v>
      </c>
      <c r="R440" s="52" t="s">
        <v>634</v>
      </c>
      <c r="T440" s="52">
        <v>923307</v>
      </c>
      <c r="U440" s="52" t="s">
        <v>1101</v>
      </c>
      <c r="V440" s="52" t="s">
        <v>1102</v>
      </c>
      <c r="W440" s="52"/>
      <c r="X440" s="52"/>
      <c r="Y440" s="52"/>
      <c r="Z440" s="46" t="s">
        <v>1098</v>
      </c>
    </row>
    <row r="441" spans="1:26">
      <c r="A441" s="49">
        <v>44365</v>
      </c>
      <c r="B441" s="48">
        <v>202106181114</v>
      </c>
      <c r="C441" s="46" t="s">
        <v>3350</v>
      </c>
      <c r="D441" s="46" t="s">
        <v>3407</v>
      </c>
      <c r="E441" s="46" t="s">
        <v>1100</v>
      </c>
      <c r="F441" s="46" t="s">
        <v>3348</v>
      </c>
      <c r="G441" s="46" t="s">
        <v>633</v>
      </c>
      <c r="H441" s="47">
        <v>4714781021593</v>
      </c>
      <c r="I441" s="46" t="s">
        <v>3183</v>
      </c>
      <c r="J441" s="46" t="s">
        <v>3160</v>
      </c>
      <c r="K441" s="46">
        <v>1</v>
      </c>
      <c r="L441" s="46">
        <v>133</v>
      </c>
      <c r="N441" s="46" t="s">
        <v>1453</v>
      </c>
      <c r="P441" s="52">
        <v>754</v>
      </c>
      <c r="Q441" s="52" t="s">
        <v>633</v>
      </c>
      <c r="R441" s="52" t="s">
        <v>634</v>
      </c>
      <c r="T441" s="52">
        <v>923307</v>
      </c>
      <c r="U441" s="52" t="s">
        <v>1101</v>
      </c>
      <c r="V441" s="52" t="s">
        <v>1102</v>
      </c>
      <c r="W441" s="52"/>
      <c r="X441" s="52"/>
      <c r="Y441" s="52"/>
      <c r="Z441" s="46" t="s">
        <v>1098</v>
      </c>
    </row>
    <row r="442" spans="1:26">
      <c r="A442" s="49">
        <v>44365</v>
      </c>
      <c r="B442" s="48">
        <v>202106181114</v>
      </c>
      <c r="C442" s="46" t="s">
        <v>3350</v>
      </c>
      <c r="D442" s="46" t="s">
        <v>3407</v>
      </c>
      <c r="E442" s="46" t="s">
        <v>1100</v>
      </c>
      <c r="F442" s="46" t="s">
        <v>3348</v>
      </c>
      <c r="G442" s="46" t="s">
        <v>633</v>
      </c>
      <c r="H442" s="47">
        <v>4714781021029</v>
      </c>
      <c r="I442" s="46" t="s">
        <v>3234</v>
      </c>
      <c r="J442" s="46" t="s">
        <v>3160</v>
      </c>
      <c r="K442" s="46">
        <v>1</v>
      </c>
      <c r="L442" s="46">
        <v>133</v>
      </c>
      <c r="N442" s="46" t="s">
        <v>1452</v>
      </c>
      <c r="P442" s="52">
        <v>754</v>
      </c>
      <c r="Q442" s="52" t="s">
        <v>633</v>
      </c>
      <c r="R442" s="52" t="s">
        <v>634</v>
      </c>
      <c r="T442" s="52">
        <v>923307</v>
      </c>
      <c r="U442" s="52" t="s">
        <v>1101</v>
      </c>
      <c r="V442" s="52" t="s">
        <v>1102</v>
      </c>
      <c r="W442" s="52"/>
      <c r="X442" s="52"/>
      <c r="Y442" s="52"/>
      <c r="Z442" s="46" t="s">
        <v>1098</v>
      </c>
    </row>
    <row r="443" spans="1:26">
      <c r="A443" s="49">
        <v>44365</v>
      </c>
      <c r="B443" s="48">
        <v>202106181114</v>
      </c>
      <c r="C443" s="46" t="s">
        <v>3350</v>
      </c>
      <c r="D443" s="46" t="s">
        <v>3407</v>
      </c>
      <c r="E443" s="46" t="s">
        <v>1100</v>
      </c>
      <c r="F443" s="46" t="s">
        <v>3348</v>
      </c>
      <c r="G443" s="46" t="s">
        <v>633</v>
      </c>
      <c r="H443" s="47">
        <v>4714781020954</v>
      </c>
      <c r="I443" s="46" t="s">
        <v>3250</v>
      </c>
      <c r="J443" s="46" t="s">
        <v>3160</v>
      </c>
      <c r="K443" s="46">
        <v>2</v>
      </c>
      <c r="L443" s="46">
        <v>290</v>
      </c>
      <c r="N443" s="46" t="s">
        <v>361</v>
      </c>
      <c r="P443" s="52">
        <v>754</v>
      </c>
      <c r="Q443" s="52" t="s">
        <v>633</v>
      </c>
      <c r="R443" s="52" t="s">
        <v>634</v>
      </c>
      <c r="T443" s="52">
        <v>923307</v>
      </c>
      <c r="U443" s="52" t="s">
        <v>1101</v>
      </c>
      <c r="V443" s="52" t="s">
        <v>1102</v>
      </c>
      <c r="W443" s="52"/>
      <c r="X443" s="52"/>
      <c r="Y443" s="52"/>
      <c r="Z443" s="46" t="s">
        <v>1098</v>
      </c>
    </row>
    <row r="444" spans="1:26">
      <c r="A444" s="49">
        <v>44365</v>
      </c>
      <c r="B444" s="48">
        <v>202106181114</v>
      </c>
      <c r="C444" s="46" t="s">
        <v>3350</v>
      </c>
      <c r="D444" s="46" t="s">
        <v>3407</v>
      </c>
      <c r="E444" s="46" t="s">
        <v>1100</v>
      </c>
      <c r="F444" s="46" t="s">
        <v>3348</v>
      </c>
      <c r="G444" s="46" t="s">
        <v>633</v>
      </c>
      <c r="H444" s="47" t="s">
        <v>3347</v>
      </c>
      <c r="J444" s="46" t="s">
        <v>3346</v>
      </c>
      <c r="K444" s="46">
        <v>1</v>
      </c>
      <c r="L444" s="46">
        <v>65</v>
      </c>
      <c r="P444" s="52"/>
      <c r="Q444" s="52"/>
      <c r="R444" s="52"/>
      <c r="T444" s="52"/>
      <c r="U444" s="52"/>
      <c r="V444" s="52"/>
      <c r="W444" s="52"/>
      <c r="X444" s="52"/>
      <c r="Y444" s="52"/>
    </row>
    <row r="445" spans="1:26">
      <c r="A445" s="49">
        <v>44365</v>
      </c>
      <c r="B445" s="48">
        <v>202106181115</v>
      </c>
      <c r="C445" s="46" t="s">
        <v>3350</v>
      </c>
      <c r="D445" s="46" t="s">
        <v>3406</v>
      </c>
      <c r="E445" s="46" t="s">
        <v>1106</v>
      </c>
      <c r="F445" s="46" t="s">
        <v>3348</v>
      </c>
      <c r="G445" s="46" t="s">
        <v>633</v>
      </c>
      <c r="H445" s="47">
        <v>4714781021609</v>
      </c>
      <c r="I445" s="46" t="s">
        <v>3183</v>
      </c>
      <c r="J445" s="46" t="s">
        <v>3160</v>
      </c>
      <c r="K445" s="46">
        <v>5</v>
      </c>
      <c r="L445" s="46">
        <v>565</v>
      </c>
      <c r="N445" s="46" t="s">
        <v>1454</v>
      </c>
      <c r="P445" s="52">
        <v>6352</v>
      </c>
      <c r="Q445" s="52" t="s">
        <v>633</v>
      </c>
      <c r="R445" s="52" t="s">
        <v>634</v>
      </c>
      <c r="T445" s="52">
        <v>190879</v>
      </c>
      <c r="U445" s="52" t="s">
        <v>1107</v>
      </c>
      <c r="V445" s="52" t="s">
        <v>1108</v>
      </c>
      <c r="W445" s="52"/>
      <c r="X445" s="52"/>
      <c r="Y445" s="52"/>
      <c r="Z445" s="46" t="s">
        <v>1104</v>
      </c>
    </row>
    <row r="446" spans="1:26">
      <c r="A446" s="49">
        <v>44365</v>
      </c>
      <c r="B446" s="48">
        <v>202106181115</v>
      </c>
      <c r="C446" s="46" t="s">
        <v>3350</v>
      </c>
      <c r="D446" s="46" t="s">
        <v>3406</v>
      </c>
      <c r="E446" s="46" t="s">
        <v>1106</v>
      </c>
      <c r="F446" s="46" t="s">
        <v>3348</v>
      </c>
      <c r="G446" s="46" t="s">
        <v>633</v>
      </c>
      <c r="H446" s="47">
        <v>4714781021593</v>
      </c>
      <c r="I446" s="46" t="s">
        <v>3183</v>
      </c>
      <c r="J446" s="46" t="s">
        <v>3160</v>
      </c>
      <c r="K446" s="46">
        <v>5</v>
      </c>
      <c r="L446" s="46">
        <v>565</v>
      </c>
      <c r="N446" s="46" t="s">
        <v>1453</v>
      </c>
      <c r="P446" s="52">
        <v>6352</v>
      </c>
      <c r="Q446" s="52" t="s">
        <v>633</v>
      </c>
      <c r="R446" s="52" t="s">
        <v>634</v>
      </c>
      <c r="T446" s="52">
        <v>190879</v>
      </c>
      <c r="U446" s="52" t="s">
        <v>1107</v>
      </c>
      <c r="V446" s="52" t="s">
        <v>1108</v>
      </c>
      <c r="W446" s="52"/>
      <c r="X446" s="52"/>
      <c r="Y446" s="52"/>
      <c r="Z446" s="46" t="s">
        <v>1104</v>
      </c>
    </row>
    <row r="447" spans="1:26">
      <c r="A447" s="49">
        <v>44365</v>
      </c>
      <c r="B447" s="48">
        <v>202106181115</v>
      </c>
      <c r="C447" s="46" t="s">
        <v>3350</v>
      </c>
      <c r="D447" s="46" t="s">
        <v>3406</v>
      </c>
      <c r="E447" s="46" t="s">
        <v>1106</v>
      </c>
      <c r="F447" s="46" t="s">
        <v>3348</v>
      </c>
      <c r="G447" s="46" t="s">
        <v>633</v>
      </c>
      <c r="H447" s="47">
        <v>4714781021029</v>
      </c>
      <c r="I447" s="46" t="s">
        <v>3234</v>
      </c>
      <c r="J447" s="46" t="s">
        <v>3160</v>
      </c>
      <c r="K447" s="46">
        <v>5</v>
      </c>
      <c r="L447" s="46">
        <v>565</v>
      </c>
      <c r="N447" s="46" t="s">
        <v>1452</v>
      </c>
      <c r="P447" s="52">
        <v>6352</v>
      </c>
      <c r="Q447" s="52" t="s">
        <v>633</v>
      </c>
      <c r="R447" s="52" t="s">
        <v>634</v>
      </c>
      <c r="T447" s="52">
        <v>190879</v>
      </c>
      <c r="U447" s="52" t="s">
        <v>1107</v>
      </c>
      <c r="V447" s="52" t="s">
        <v>1108</v>
      </c>
      <c r="W447" s="52"/>
      <c r="X447" s="52"/>
      <c r="Y447" s="52"/>
      <c r="Z447" s="46" t="s">
        <v>1104</v>
      </c>
    </row>
    <row r="448" spans="1:26">
      <c r="A448" s="49">
        <v>44365</v>
      </c>
      <c r="B448" s="48">
        <v>202106181115</v>
      </c>
      <c r="C448" s="46" t="s">
        <v>3350</v>
      </c>
      <c r="D448" s="46" t="s">
        <v>3406</v>
      </c>
      <c r="E448" s="46" t="s">
        <v>1106</v>
      </c>
      <c r="F448" s="46" t="s">
        <v>3348</v>
      </c>
      <c r="G448" s="46" t="s">
        <v>633</v>
      </c>
      <c r="H448" s="47">
        <v>4714781020831</v>
      </c>
      <c r="I448" s="46" t="s">
        <v>3259</v>
      </c>
      <c r="J448" s="46" t="s">
        <v>3160</v>
      </c>
      <c r="K448" s="46">
        <v>1</v>
      </c>
      <c r="L448" s="46">
        <v>340</v>
      </c>
      <c r="N448" s="46" t="s">
        <v>1318</v>
      </c>
      <c r="P448" s="52">
        <v>6352</v>
      </c>
      <c r="Q448" s="52" t="s">
        <v>633</v>
      </c>
      <c r="R448" s="52" t="s">
        <v>634</v>
      </c>
      <c r="T448" s="52">
        <v>190879</v>
      </c>
      <c r="U448" s="52" t="s">
        <v>1107</v>
      </c>
      <c r="V448" s="52" t="s">
        <v>1108</v>
      </c>
      <c r="W448" s="52"/>
      <c r="X448" s="52"/>
      <c r="Y448" s="52"/>
      <c r="Z448" s="46" t="s">
        <v>1104</v>
      </c>
    </row>
    <row r="449" spans="1:26">
      <c r="A449" s="49">
        <v>44365</v>
      </c>
      <c r="B449" s="48">
        <v>202106181115</v>
      </c>
      <c r="C449" s="46" t="s">
        <v>3350</v>
      </c>
      <c r="D449" s="46" t="s">
        <v>3406</v>
      </c>
      <c r="E449" s="46" t="s">
        <v>1106</v>
      </c>
      <c r="F449" s="46" t="s">
        <v>3348</v>
      </c>
      <c r="G449" s="46" t="s">
        <v>633</v>
      </c>
      <c r="H449" s="47">
        <v>4714781020800</v>
      </c>
      <c r="I449" s="46" t="s">
        <v>3220</v>
      </c>
      <c r="J449" s="46" t="s">
        <v>3160</v>
      </c>
      <c r="K449" s="46">
        <v>1</v>
      </c>
      <c r="L449" s="46">
        <v>120</v>
      </c>
      <c r="N449" s="46" t="s">
        <v>1319</v>
      </c>
      <c r="P449" s="52">
        <v>6352</v>
      </c>
      <c r="Q449" s="52" t="s">
        <v>633</v>
      </c>
      <c r="R449" s="52" t="s">
        <v>634</v>
      </c>
      <c r="T449" s="52">
        <v>190879</v>
      </c>
      <c r="U449" s="52" t="s">
        <v>1107</v>
      </c>
      <c r="V449" s="52" t="s">
        <v>1108</v>
      </c>
      <c r="W449" s="52"/>
      <c r="X449" s="52"/>
      <c r="Y449" s="52"/>
      <c r="Z449" s="46" t="s">
        <v>1104</v>
      </c>
    </row>
    <row r="450" spans="1:26">
      <c r="A450" s="49">
        <v>44365</v>
      </c>
      <c r="B450" s="48">
        <v>202106181115</v>
      </c>
      <c r="C450" s="46" t="s">
        <v>3350</v>
      </c>
      <c r="D450" s="46" t="s">
        <v>3406</v>
      </c>
      <c r="E450" s="46" t="s">
        <v>1106</v>
      </c>
      <c r="F450" s="46" t="s">
        <v>3348</v>
      </c>
      <c r="G450" s="46" t="s">
        <v>633</v>
      </c>
      <c r="H450" s="47">
        <v>4714781020831</v>
      </c>
      <c r="I450" s="46" t="s">
        <v>3258</v>
      </c>
      <c r="J450" s="46" t="s">
        <v>3160</v>
      </c>
      <c r="K450" s="46">
        <v>1</v>
      </c>
      <c r="L450" s="46">
        <v>340</v>
      </c>
      <c r="N450" s="46" t="s">
        <v>1318</v>
      </c>
      <c r="P450" s="52">
        <v>6352</v>
      </c>
      <c r="Q450" s="52" t="s">
        <v>633</v>
      </c>
      <c r="R450" s="52" t="s">
        <v>634</v>
      </c>
      <c r="T450" s="52">
        <v>190879</v>
      </c>
      <c r="U450" s="52" t="s">
        <v>1107</v>
      </c>
      <c r="V450" s="52" t="s">
        <v>1108</v>
      </c>
      <c r="W450" s="52"/>
      <c r="X450" s="52"/>
      <c r="Y450" s="52"/>
      <c r="Z450" s="46" t="s">
        <v>1104</v>
      </c>
    </row>
    <row r="451" spans="1:26">
      <c r="A451" s="49">
        <v>44365</v>
      </c>
      <c r="B451" s="48">
        <v>202106181115</v>
      </c>
      <c r="C451" s="46" t="s">
        <v>3350</v>
      </c>
      <c r="D451" s="46" t="s">
        <v>3406</v>
      </c>
      <c r="E451" s="46" t="s">
        <v>1106</v>
      </c>
      <c r="F451" s="46" t="s">
        <v>3348</v>
      </c>
      <c r="G451" s="46" t="s">
        <v>633</v>
      </c>
      <c r="H451" s="47">
        <v>4714781020817</v>
      </c>
      <c r="I451" s="46" t="s">
        <v>3223</v>
      </c>
      <c r="J451" s="46" t="s">
        <v>3160</v>
      </c>
      <c r="K451" s="46">
        <v>1</v>
      </c>
      <c r="L451" s="46">
        <v>120</v>
      </c>
      <c r="N451" s="46" t="s">
        <v>1317</v>
      </c>
      <c r="P451" s="52">
        <v>6352</v>
      </c>
      <c r="Q451" s="52" t="s">
        <v>633</v>
      </c>
      <c r="R451" s="52" t="s">
        <v>634</v>
      </c>
      <c r="T451" s="52">
        <v>190879</v>
      </c>
      <c r="U451" s="52" t="s">
        <v>1107</v>
      </c>
      <c r="V451" s="52" t="s">
        <v>1108</v>
      </c>
      <c r="W451" s="52"/>
      <c r="X451" s="52"/>
      <c r="Y451" s="52"/>
      <c r="Z451" s="46" t="s">
        <v>1104</v>
      </c>
    </row>
    <row r="452" spans="1:26">
      <c r="A452" s="49">
        <v>44365</v>
      </c>
      <c r="B452" s="48">
        <v>202106181115</v>
      </c>
      <c r="C452" s="46" t="s">
        <v>3350</v>
      </c>
      <c r="D452" s="46" t="s">
        <v>3406</v>
      </c>
      <c r="E452" s="46" t="s">
        <v>1106</v>
      </c>
      <c r="F452" s="46" t="s">
        <v>3348</v>
      </c>
      <c r="G452" s="46" t="s">
        <v>633</v>
      </c>
      <c r="H452" s="47" t="s">
        <v>1484</v>
      </c>
      <c r="I452" s="46" t="s">
        <v>3253</v>
      </c>
      <c r="J452" s="46" t="s">
        <v>3160</v>
      </c>
      <c r="K452" s="46">
        <v>1</v>
      </c>
      <c r="L452" s="46">
        <v>340</v>
      </c>
      <c r="N452" s="46" t="s">
        <v>1483</v>
      </c>
      <c r="P452" s="52">
        <v>6352</v>
      </c>
      <c r="Q452" s="52" t="s">
        <v>633</v>
      </c>
      <c r="R452" s="52" t="s">
        <v>634</v>
      </c>
      <c r="T452" s="52">
        <v>190879</v>
      </c>
      <c r="U452" s="52" t="s">
        <v>1107</v>
      </c>
      <c r="V452" s="52" t="s">
        <v>1108</v>
      </c>
      <c r="W452" s="52"/>
      <c r="X452" s="52"/>
      <c r="Y452" s="52"/>
      <c r="Z452" s="46" t="s">
        <v>1104</v>
      </c>
    </row>
    <row r="453" spans="1:26">
      <c r="A453" s="49">
        <v>44365</v>
      </c>
      <c r="B453" s="48">
        <v>202106181115</v>
      </c>
      <c r="C453" s="46" t="s">
        <v>3350</v>
      </c>
      <c r="D453" s="46" t="s">
        <v>3406</v>
      </c>
      <c r="E453" s="46" t="s">
        <v>1106</v>
      </c>
      <c r="F453" s="46" t="s">
        <v>3348</v>
      </c>
      <c r="G453" s="46" t="s">
        <v>633</v>
      </c>
      <c r="H453" s="47" t="s">
        <v>1493</v>
      </c>
      <c r="I453" s="46" t="s">
        <v>3276</v>
      </c>
      <c r="J453" s="46" t="s">
        <v>3160</v>
      </c>
      <c r="K453" s="46">
        <v>1</v>
      </c>
      <c r="L453" s="46">
        <v>140</v>
      </c>
      <c r="N453" s="46" t="s">
        <v>1492</v>
      </c>
      <c r="P453" s="52">
        <v>6352</v>
      </c>
      <c r="Q453" s="52" t="s">
        <v>633</v>
      </c>
      <c r="R453" s="52" t="s">
        <v>634</v>
      </c>
      <c r="T453" s="52">
        <v>190879</v>
      </c>
      <c r="U453" s="52" t="s">
        <v>1107</v>
      </c>
      <c r="V453" s="52" t="s">
        <v>1108</v>
      </c>
      <c r="W453" s="52"/>
      <c r="X453" s="52"/>
      <c r="Y453" s="52"/>
      <c r="Z453" s="46" t="s">
        <v>1104</v>
      </c>
    </row>
    <row r="454" spans="1:26">
      <c r="A454" s="49">
        <v>44365</v>
      </c>
      <c r="B454" s="48">
        <v>202106181115</v>
      </c>
      <c r="C454" s="46" t="s">
        <v>3350</v>
      </c>
      <c r="D454" s="46" t="s">
        <v>3406</v>
      </c>
      <c r="E454" s="46" t="s">
        <v>1106</v>
      </c>
      <c r="F454" s="46" t="s">
        <v>3348</v>
      </c>
      <c r="G454" s="46" t="s">
        <v>633</v>
      </c>
      <c r="H454" s="47" t="s">
        <v>1486</v>
      </c>
      <c r="I454" s="46" t="s">
        <v>3253</v>
      </c>
      <c r="J454" s="46" t="s">
        <v>3160</v>
      </c>
      <c r="K454" s="46">
        <v>1</v>
      </c>
      <c r="L454" s="46">
        <v>340</v>
      </c>
      <c r="N454" s="46" t="s">
        <v>1485</v>
      </c>
      <c r="P454" s="52">
        <v>6352</v>
      </c>
      <c r="Q454" s="52" t="s">
        <v>633</v>
      </c>
      <c r="R454" s="52" t="s">
        <v>634</v>
      </c>
      <c r="T454" s="52">
        <v>190879</v>
      </c>
      <c r="U454" s="52" t="s">
        <v>1107</v>
      </c>
      <c r="V454" s="52" t="s">
        <v>1108</v>
      </c>
      <c r="W454" s="52"/>
      <c r="X454" s="52"/>
      <c r="Y454" s="52"/>
      <c r="Z454" s="46" t="s">
        <v>1104</v>
      </c>
    </row>
    <row r="455" spans="1:26">
      <c r="A455" s="49">
        <v>44365</v>
      </c>
      <c r="B455" s="48">
        <v>202106181115</v>
      </c>
      <c r="C455" s="46" t="s">
        <v>3350</v>
      </c>
      <c r="D455" s="46" t="s">
        <v>3406</v>
      </c>
      <c r="E455" s="46" t="s">
        <v>1106</v>
      </c>
      <c r="F455" s="46" t="s">
        <v>3348</v>
      </c>
      <c r="G455" s="46" t="s">
        <v>633</v>
      </c>
      <c r="H455" s="47" t="s">
        <v>1491</v>
      </c>
      <c r="I455" s="46" t="s">
        <v>3273</v>
      </c>
      <c r="J455" s="46" t="s">
        <v>3160</v>
      </c>
      <c r="K455" s="46">
        <v>1</v>
      </c>
      <c r="L455" s="46">
        <v>140</v>
      </c>
      <c r="N455" s="46" t="s">
        <v>1490</v>
      </c>
      <c r="P455" s="52">
        <v>6352</v>
      </c>
      <c r="Q455" s="52" t="s">
        <v>633</v>
      </c>
      <c r="R455" s="52" t="s">
        <v>634</v>
      </c>
      <c r="T455" s="52">
        <v>190879</v>
      </c>
      <c r="U455" s="52" t="s">
        <v>1107</v>
      </c>
      <c r="V455" s="52" t="s">
        <v>1108</v>
      </c>
      <c r="W455" s="52"/>
      <c r="X455" s="52"/>
      <c r="Y455" s="52"/>
      <c r="Z455" s="46" t="s">
        <v>1104</v>
      </c>
    </row>
    <row r="456" spans="1:26">
      <c r="A456" s="49">
        <v>44365</v>
      </c>
      <c r="B456" s="48">
        <v>202106181115</v>
      </c>
      <c r="C456" s="46" t="s">
        <v>3350</v>
      </c>
      <c r="D456" s="46" t="s">
        <v>3406</v>
      </c>
      <c r="E456" s="46" t="s">
        <v>1106</v>
      </c>
      <c r="F456" s="46" t="s">
        <v>3348</v>
      </c>
      <c r="G456" s="46" t="s">
        <v>633</v>
      </c>
      <c r="H456" s="47" t="s">
        <v>1493</v>
      </c>
      <c r="I456" s="46" t="s">
        <v>3276</v>
      </c>
      <c r="J456" s="46" t="s">
        <v>3160</v>
      </c>
      <c r="K456" s="46">
        <v>2</v>
      </c>
      <c r="L456" s="46">
        <v>280</v>
      </c>
      <c r="N456" s="46" t="s">
        <v>1492</v>
      </c>
      <c r="P456" s="52">
        <v>6352</v>
      </c>
      <c r="Q456" s="52" t="s">
        <v>633</v>
      </c>
      <c r="R456" s="52" t="s">
        <v>634</v>
      </c>
      <c r="T456" s="52">
        <v>190879</v>
      </c>
      <c r="U456" s="52" t="s">
        <v>1107</v>
      </c>
      <c r="V456" s="52" t="s">
        <v>1108</v>
      </c>
      <c r="W456" s="52"/>
      <c r="X456" s="52"/>
      <c r="Y456" s="52"/>
      <c r="Z456" s="46" t="s">
        <v>1104</v>
      </c>
    </row>
    <row r="457" spans="1:26">
      <c r="A457" s="49">
        <v>44365</v>
      </c>
      <c r="B457" s="48">
        <v>202106181115</v>
      </c>
      <c r="C457" s="46" t="s">
        <v>3350</v>
      </c>
      <c r="D457" s="46" t="s">
        <v>3406</v>
      </c>
      <c r="E457" s="46" t="s">
        <v>1106</v>
      </c>
      <c r="F457" s="46" t="s">
        <v>3348</v>
      </c>
      <c r="G457" s="46" t="s">
        <v>633</v>
      </c>
      <c r="H457" s="47" t="s">
        <v>1491</v>
      </c>
      <c r="I457" s="46" t="s">
        <v>3273</v>
      </c>
      <c r="J457" s="46" t="s">
        <v>3160</v>
      </c>
      <c r="K457" s="46">
        <v>2</v>
      </c>
      <c r="L457" s="46">
        <v>280</v>
      </c>
      <c r="N457" s="46" t="s">
        <v>1490</v>
      </c>
      <c r="P457" s="52">
        <v>6352</v>
      </c>
      <c r="Q457" s="52" t="s">
        <v>633</v>
      </c>
      <c r="R457" s="52" t="s">
        <v>634</v>
      </c>
      <c r="T457" s="52">
        <v>190879</v>
      </c>
      <c r="U457" s="52" t="s">
        <v>1107</v>
      </c>
      <c r="V457" s="52" t="s">
        <v>1108</v>
      </c>
      <c r="W457" s="52"/>
      <c r="X457" s="52"/>
      <c r="Y457" s="52"/>
      <c r="Z457" s="46" t="s">
        <v>1104</v>
      </c>
    </row>
    <row r="458" spans="1:26">
      <c r="A458" s="49">
        <v>44365</v>
      </c>
      <c r="B458" s="48">
        <v>202106181115</v>
      </c>
      <c r="C458" s="46" t="s">
        <v>3350</v>
      </c>
      <c r="D458" s="46" t="s">
        <v>3406</v>
      </c>
      <c r="E458" s="46" t="s">
        <v>1106</v>
      </c>
      <c r="F458" s="46" t="s">
        <v>3348</v>
      </c>
      <c r="G458" s="46" t="s">
        <v>633</v>
      </c>
      <c r="H458" s="47">
        <v>4714781020954</v>
      </c>
      <c r="I458" s="46" t="s">
        <v>3250</v>
      </c>
      <c r="J458" s="46" t="s">
        <v>3160</v>
      </c>
      <c r="K458" s="46">
        <v>4</v>
      </c>
      <c r="L458" s="46">
        <v>570</v>
      </c>
      <c r="N458" s="46" t="s">
        <v>543</v>
      </c>
      <c r="P458" s="52">
        <v>6352</v>
      </c>
      <c r="Q458" s="52" t="s">
        <v>633</v>
      </c>
      <c r="R458" s="52" t="s">
        <v>634</v>
      </c>
      <c r="T458" s="52">
        <v>190879</v>
      </c>
      <c r="U458" s="52" t="s">
        <v>1107</v>
      </c>
      <c r="V458" s="52" t="s">
        <v>1108</v>
      </c>
      <c r="W458" s="52"/>
      <c r="X458" s="52"/>
      <c r="Y458" s="52"/>
      <c r="Z458" s="46" t="s">
        <v>1104</v>
      </c>
    </row>
    <row r="459" spans="1:26">
      <c r="A459" s="49">
        <v>44365</v>
      </c>
      <c r="B459" s="48">
        <v>202106181115</v>
      </c>
      <c r="C459" s="46" t="s">
        <v>3350</v>
      </c>
      <c r="D459" s="46" t="s">
        <v>3406</v>
      </c>
      <c r="E459" s="46" t="s">
        <v>1106</v>
      </c>
      <c r="F459" s="46" t="s">
        <v>3348</v>
      </c>
      <c r="G459" s="46" t="s">
        <v>633</v>
      </c>
      <c r="H459" s="47" t="s">
        <v>1512</v>
      </c>
      <c r="I459" s="46" t="s">
        <v>3194</v>
      </c>
      <c r="J459" s="46" t="s">
        <v>3160</v>
      </c>
      <c r="K459" s="46">
        <v>1</v>
      </c>
      <c r="L459" s="46">
        <v>150</v>
      </c>
      <c r="N459" s="46" t="s">
        <v>1511</v>
      </c>
      <c r="P459" s="52">
        <v>6352</v>
      </c>
      <c r="Q459" s="52" t="s">
        <v>633</v>
      </c>
      <c r="R459" s="52" t="s">
        <v>634</v>
      </c>
      <c r="T459" s="52">
        <v>190879</v>
      </c>
      <c r="U459" s="52" t="s">
        <v>1107</v>
      </c>
      <c r="V459" s="52" t="s">
        <v>1108</v>
      </c>
      <c r="W459" s="52"/>
      <c r="X459" s="52"/>
      <c r="Y459" s="52"/>
      <c r="Z459" s="46" t="s">
        <v>1104</v>
      </c>
    </row>
    <row r="460" spans="1:26">
      <c r="A460" s="49">
        <v>44365</v>
      </c>
      <c r="B460" s="48">
        <v>202106181115</v>
      </c>
      <c r="C460" s="46" t="s">
        <v>3350</v>
      </c>
      <c r="D460" s="46" t="s">
        <v>3406</v>
      </c>
      <c r="E460" s="46" t="s">
        <v>1106</v>
      </c>
      <c r="F460" s="46" t="s">
        <v>3348</v>
      </c>
      <c r="G460" s="46" t="s">
        <v>633</v>
      </c>
      <c r="H460" s="47" t="s">
        <v>1517</v>
      </c>
      <c r="I460" s="46" t="s">
        <v>3295</v>
      </c>
      <c r="J460" s="46" t="s">
        <v>3160</v>
      </c>
      <c r="K460" s="46">
        <v>1</v>
      </c>
      <c r="L460" s="46">
        <v>150</v>
      </c>
      <c r="N460" s="46" t="s">
        <v>1516</v>
      </c>
      <c r="P460" s="52">
        <v>6352</v>
      </c>
      <c r="Q460" s="52" t="s">
        <v>633</v>
      </c>
      <c r="R460" s="52" t="s">
        <v>634</v>
      </c>
      <c r="T460" s="52">
        <v>190879</v>
      </c>
      <c r="U460" s="52" t="s">
        <v>1107</v>
      </c>
      <c r="V460" s="52" t="s">
        <v>1108</v>
      </c>
      <c r="W460" s="52"/>
      <c r="X460" s="52"/>
      <c r="Y460" s="52"/>
      <c r="Z460" s="46" t="s">
        <v>1104</v>
      </c>
    </row>
    <row r="461" spans="1:26">
      <c r="A461" s="49">
        <v>44365</v>
      </c>
      <c r="B461" s="48">
        <v>202106181115</v>
      </c>
      <c r="C461" s="46" t="s">
        <v>3350</v>
      </c>
      <c r="D461" s="46" t="s">
        <v>3406</v>
      </c>
      <c r="E461" s="46" t="s">
        <v>1106</v>
      </c>
      <c r="F461" s="46" t="s">
        <v>3348</v>
      </c>
      <c r="G461" s="46" t="s">
        <v>633</v>
      </c>
      <c r="H461" s="47" t="s">
        <v>1514</v>
      </c>
      <c r="I461" s="46" t="s">
        <v>3295</v>
      </c>
      <c r="J461" s="46" t="s">
        <v>3160</v>
      </c>
      <c r="K461" s="46">
        <v>1</v>
      </c>
      <c r="L461" s="46">
        <v>150</v>
      </c>
      <c r="N461" s="46" t="s">
        <v>1513</v>
      </c>
      <c r="P461" s="52">
        <v>6352</v>
      </c>
      <c r="Q461" s="52" t="s">
        <v>633</v>
      </c>
      <c r="R461" s="52" t="s">
        <v>634</v>
      </c>
      <c r="T461" s="52">
        <v>190879</v>
      </c>
      <c r="U461" s="52" t="s">
        <v>1107</v>
      </c>
      <c r="V461" s="52" t="s">
        <v>1108</v>
      </c>
      <c r="W461" s="52"/>
      <c r="X461" s="52"/>
      <c r="Y461" s="52"/>
      <c r="Z461" s="46" t="s">
        <v>1104</v>
      </c>
    </row>
    <row r="462" spans="1:26">
      <c r="A462" s="49">
        <v>44365</v>
      </c>
      <c r="B462" s="48">
        <v>202106181115</v>
      </c>
      <c r="C462" s="46" t="s">
        <v>3350</v>
      </c>
      <c r="D462" s="46" t="s">
        <v>3406</v>
      </c>
      <c r="E462" s="46" t="s">
        <v>1106</v>
      </c>
      <c r="F462" s="46" t="s">
        <v>3348</v>
      </c>
      <c r="G462" s="46" t="s">
        <v>633</v>
      </c>
      <c r="H462" s="47">
        <v>4714781020954</v>
      </c>
      <c r="I462" s="46" t="s">
        <v>3250</v>
      </c>
      <c r="J462" s="46" t="s">
        <v>3160</v>
      </c>
      <c r="K462" s="46">
        <v>1</v>
      </c>
      <c r="L462" s="46">
        <v>140</v>
      </c>
      <c r="N462" s="46" t="s">
        <v>1398</v>
      </c>
      <c r="P462" s="52">
        <v>6352</v>
      </c>
      <c r="Q462" s="52" t="s">
        <v>633</v>
      </c>
      <c r="R462" s="52" t="s">
        <v>634</v>
      </c>
      <c r="T462" s="52">
        <v>190879</v>
      </c>
      <c r="U462" s="52" t="s">
        <v>1107</v>
      </c>
      <c r="V462" s="52" t="s">
        <v>1108</v>
      </c>
      <c r="W462" s="52"/>
      <c r="X462" s="52"/>
      <c r="Y462" s="52"/>
      <c r="Z462" s="46" t="s">
        <v>1104</v>
      </c>
    </row>
    <row r="463" spans="1:26">
      <c r="A463" s="49">
        <v>44365</v>
      </c>
      <c r="B463" s="48">
        <v>202106181115</v>
      </c>
      <c r="C463" s="46" t="s">
        <v>3350</v>
      </c>
      <c r="D463" s="46" t="s">
        <v>3406</v>
      </c>
      <c r="E463" s="46" t="s">
        <v>1106</v>
      </c>
      <c r="F463" s="46" t="s">
        <v>3348</v>
      </c>
      <c r="G463" s="46" t="s">
        <v>633</v>
      </c>
      <c r="H463" s="47">
        <v>4714781020800</v>
      </c>
      <c r="I463" s="46" t="s">
        <v>3220</v>
      </c>
      <c r="J463" s="46" t="s">
        <v>3160</v>
      </c>
      <c r="K463" s="46">
        <v>1</v>
      </c>
      <c r="L463" s="46">
        <v>125</v>
      </c>
      <c r="N463" s="46" t="s">
        <v>1456</v>
      </c>
      <c r="P463" s="52">
        <v>6352</v>
      </c>
      <c r="Q463" s="52" t="s">
        <v>633</v>
      </c>
      <c r="R463" s="52" t="s">
        <v>634</v>
      </c>
      <c r="T463" s="52">
        <v>190879</v>
      </c>
      <c r="U463" s="52" t="s">
        <v>1107</v>
      </c>
      <c r="V463" s="52" t="s">
        <v>1108</v>
      </c>
      <c r="W463" s="52"/>
      <c r="X463" s="52"/>
      <c r="Y463" s="52"/>
      <c r="Z463" s="46" t="s">
        <v>1104</v>
      </c>
    </row>
    <row r="464" spans="1:26">
      <c r="A464" s="49">
        <v>44365</v>
      </c>
      <c r="B464" s="48">
        <v>202106181115</v>
      </c>
      <c r="C464" s="46" t="s">
        <v>3350</v>
      </c>
      <c r="D464" s="46" t="s">
        <v>3406</v>
      </c>
      <c r="E464" s="46" t="s">
        <v>1106</v>
      </c>
      <c r="F464" s="46" t="s">
        <v>3348</v>
      </c>
      <c r="G464" s="46" t="s">
        <v>633</v>
      </c>
      <c r="H464" s="47">
        <v>4714781020817</v>
      </c>
      <c r="I464" s="46" t="s">
        <v>3223</v>
      </c>
      <c r="J464" s="46" t="s">
        <v>3160</v>
      </c>
      <c r="K464" s="46">
        <v>1</v>
      </c>
      <c r="L464" s="46">
        <v>125</v>
      </c>
      <c r="N464" s="46" t="s">
        <v>1455</v>
      </c>
      <c r="P464" s="52">
        <v>6352</v>
      </c>
      <c r="Q464" s="52" t="s">
        <v>633</v>
      </c>
      <c r="R464" s="52" t="s">
        <v>634</v>
      </c>
      <c r="T464" s="52">
        <v>190879</v>
      </c>
      <c r="U464" s="52" t="s">
        <v>1107</v>
      </c>
      <c r="V464" s="52" t="s">
        <v>1108</v>
      </c>
      <c r="W464" s="52"/>
      <c r="X464" s="52"/>
      <c r="Y464" s="52"/>
      <c r="Z464" s="46" t="s">
        <v>1104</v>
      </c>
    </row>
    <row r="465" spans="1:26">
      <c r="A465" s="49">
        <v>44365</v>
      </c>
      <c r="B465" s="48">
        <v>202106181115</v>
      </c>
      <c r="C465" s="46" t="s">
        <v>3350</v>
      </c>
      <c r="D465" s="46" t="s">
        <v>3406</v>
      </c>
      <c r="E465" s="46" t="s">
        <v>1106</v>
      </c>
      <c r="F465" s="46" t="s">
        <v>3348</v>
      </c>
      <c r="G465" s="46" t="s">
        <v>633</v>
      </c>
      <c r="H465" s="47" t="s">
        <v>1512</v>
      </c>
      <c r="I465" s="46" t="s">
        <v>3194</v>
      </c>
      <c r="J465" s="46" t="s">
        <v>3160</v>
      </c>
      <c r="K465" s="46">
        <v>1</v>
      </c>
      <c r="L465" s="46">
        <v>173</v>
      </c>
      <c r="N465" s="46" t="s">
        <v>1511</v>
      </c>
      <c r="P465" s="52">
        <v>6352</v>
      </c>
      <c r="Q465" s="52" t="s">
        <v>633</v>
      </c>
      <c r="R465" s="52" t="s">
        <v>634</v>
      </c>
      <c r="T465" s="52">
        <v>190879</v>
      </c>
      <c r="U465" s="52" t="s">
        <v>1107</v>
      </c>
      <c r="V465" s="52" t="s">
        <v>1108</v>
      </c>
      <c r="W465" s="52"/>
      <c r="X465" s="52"/>
      <c r="Y465" s="52"/>
      <c r="Z465" s="46" t="s">
        <v>1104</v>
      </c>
    </row>
    <row r="466" spans="1:26">
      <c r="A466" s="49">
        <v>44365</v>
      </c>
      <c r="B466" s="48">
        <v>202106181115</v>
      </c>
      <c r="C466" s="46" t="s">
        <v>3350</v>
      </c>
      <c r="D466" s="46" t="s">
        <v>3406</v>
      </c>
      <c r="E466" s="46" t="s">
        <v>1106</v>
      </c>
      <c r="F466" s="46" t="s">
        <v>3348</v>
      </c>
      <c r="G466" s="46" t="s">
        <v>633</v>
      </c>
      <c r="H466" s="47" t="s">
        <v>1506</v>
      </c>
      <c r="I466" s="46" t="s">
        <v>3166</v>
      </c>
      <c r="J466" s="46" t="s">
        <v>3160</v>
      </c>
      <c r="K466" s="46">
        <v>1</v>
      </c>
      <c r="L466" s="46">
        <v>288</v>
      </c>
      <c r="N466" s="46" t="s">
        <v>1505</v>
      </c>
      <c r="P466" s="52">
        <v>6352</v>
      </c>
      <c r="Q466" s="52" t="s">
        <v>633</v>
      </c>
      <c r="R466" s="52" t="s">
        <v>634</v>
      </c>
      <c r="T466" s="52">
        <v>190879</v>
      </c>
      <c r="U466" s="52" t="s">
        <v>1107</v>
      </c>
      <c r="V466" s="52" t="s">
        <v>1108</v>
      </c>
      <c r="W466" s="52"/>
      <c r="X466" s="52"/>
      <c r="Y466" s="52"/>
      <c r="Z466" s="46" t="s">
        <v>1104</v>
      </c>
    </row>
    <row r="467" spans="1:26">
      <c r="A467" s="49">
        <v>44365</v>
      </c>
      <c r="B467" s="48">
        <v>202106181115</v>
      </c>
      <c r="C467" s="46" t="s">
        <v>3350</v>
      </c>
      <c r="D467" s="46" t="s">
        <v>3406</v>
      </c>
      <c r="E467" s="46" t="s">
        <v>1106</v>
      </c>
      <c r="F467" s="46" t="s">
        <v>3348</v>
      </c>
      <c r="G467" s="46" t="s">
        <v>633</v>
      </c>
      <c r="H467" s="47" t="s">
        <v>1508</v>
      </c>
      <c r="I467" s="46" t="s">
        <v>3166</v>
      </c>
      <c r="J467" s="46" t="s">
        <v>3160</v>
      </c>
      <c r="K467" s="46">
        <v>1</v>
      </c>
      <c r="L467" s="46">
        <v>287</v>
      </c>
      <c r="N467" s="46" t="s">
        <v>1507</v>
      </c>
      <c r="P467" s="52">
        <v>6352</v>
      </c>
      <c r="Q467" s="52" t="s">
        <v>633</v>
      </c>
      <c r="R467" s="52" t="s">
        <v>634</v>
      </c>
      <c r="T467" s="52">
        <v>190879</v>
      </c>
      <c r="U467" s="52" t="s">
        <v>1107</v>
      </c>
      <c r="V467" s="52" t="s">
        <v>1108</v>
      </c>
      <c r="W467" s="52"/>
      <c r="X467" s="52"/>
      <c r="Y467" s="52"/>
      <c r="Z467" s="46" t="s">
        <v>1104</v>
      </c>
    </row>
    <row r="468" spans="1:26">
      <c r="A468" s="49">
        <v>44365</v>
      </c>
      <c r="B468" s="48">
        <v>202106181115</v>
      </c>
      <c r="C468" s="46" t="s">
        <v>3350</v>
      </c>
      <c r="D468" s="46" t="s">
        <v>3406</v>
      </c>
      <c r="E468" s="46" t="s">
        <v>1106</v>
      </c>
      <c r="F468" s="46" t="s">
        <v>3348</v>
      </c>
      <c r="G468" s="46" t="s">
        <v>633</v>
      </c>
      <c r="H468" s="47">
        <v>4714781021234</v>
      </c>
      <c r="I468" s="46" t="s">
        <v>3215</v>
      </c>
      <c r="J468" s="46" t="s">
        <v>3160</v>
      </c>
      <c r="K468" s="46">
        <v>1</v>
      </c>
      <c r="L468" s="46">
        <v>59</v>
      </c>
      <c r="N468" s="46" t="s">
        <v>87</v>
      </c>
      <c r="P468" s="52">
        <v>6352</v>
      </c>
      <c r="Q468" s="52" t="s">
        <v>633</v>
      </c>
      <c r="R468" s="52" t="s">
        <v>634</v>
      </c>
      <c r="T468" s="52">
        <v>190879</v>
      </c>
      <c r="U468" s="52" t="s">
        <v>1107</v>
      </c>
      <c r="V468" s="52" t="s">
        <v>1108</v>
      </c>
      <c r="W468" s="52"/>
      <c r="X468" s="52"/>
      <c r="Y468" s="52"/>
      <c r="Z468" s="46" t="s">
        <v>1104</v>
      </c>
    </row>
    <row r="469" spans="1:26">
      <c r="A469" s="49">
        <v>44365</v>
      </c>
      <c r="B469" s="48">
        <v>202106181116</v>
      </c>
      <c r="C469" s="46" t="s">
        <v>3350</v>
      </c>
      <c r="D469" s="46" t="s">
        <v>3405</v>
      </c>
      <c r="E469" s="46" t="s">
        <v>552</v>
      </c>
      <c r="F469" s="46" t="s">
        <v>3348</v>
      </c>
      <c r="G469" s="46" t="s">
        <v>22</v>
      </c>
      <c r="H469" s="47">
        <v>4714781021609</v>
      </c>
      <c r="I469" s="46" t="s">
        <v>3183</v>
      </c>
      <c r="J469" s="46" t="s">
        <v>3160</v>
      </c>
      <c r="K469" s="46">
        <v>1</v>
      </c>
      <c r="L469" s="46">
        <v>133</v>
      </c>
      <c r="N469" s="46" t="s">
        <v>1454</v>
      </c>
      <c r="P469" s="52">
        <v>853</v>
      </c>
      <c r="Q469" s="52" t="s">
        <v>22</v>
      </c>
      <c r="R469" s="52" t="s">
        <v>23</v>
      </c>
      <c r="T469" s="52"/>
      <c r="U469" s="52"/>
      <c r="V469" s="52"/>
      <c r="W469" s="52">
        <v>244</v>
      </c>
      <c r="X469" s="52" t="s">
        <v>553</v>
      </c>
      <c r="Y469" s="52"/>
      <c r="Z469" s="46" t="s">
        <v>550</v>
      </c>
    </row>
    <row r="470" spans="1:26">
      <c r="A470" s="49">
        <v>44365</v>
      </c>
      <c r="B470" s="48">
        <v>202106181116</v>
      </c>
      <c r="C470" s="46" t="s">
        <v>3350</v>
      </c>
      <c r="D470" s="46" t="s">
        <v>3405</v>
      </c>
      <c r="E470" s="46" t="s">
        <v>552</v>
      </c>
      <c r="F470" s="46" t="s">
        <v>3348</v>
      </c>
      <c r="G470" s="46" t="s">
        <v>22</v>
      </c>
      <c r="H470" s="47">
        <v>4714781021593</v>
      </c>
      <c r="I470" s="46" t="s">
        <v>3183</v>
      </c>
      <c r="J470" s="46" t="s">
        <v>3160</v>
      </c>
      <c r="K470" s="46">
        <v>1</v>
      </c>
      <c r="L470" s="46">
        <v>133</v>
      </c>
      <c r="N470" s="46" t="s">
        <v>1453</v>
      </c>
      <c r="P470" s="52">
        <v>853</v>
      </c>
      <c r="Q470" s="52" t="s">
        <v>22</v>
      </c>
      <c r="R470" s="52" t="s">
        <v>23</v>
      </c>
      <c r="T470" s="52"/>
      <c r="U470" s="52"/>
      <c r="V470" s="52"/>
      <c r="W470" s="52">
        <v>244</v>
      </c>
      <c r="X470" s="52" t="s">
        <v>553</v>
      </c>
      <c r="Y470" s="52"/>
      <c r="Z470" s="46" t="s">
        <v>550</v>
      </c>
    </row>
    <row r="471" spans="1:26">
      <c r="A471" s="49">
        <v>44365</v>
      </c>
      <c r="B471" s="48">
        <v>202106181116</v>
      </c>
      <c r="C471" s="46" t="s">
        <v>3350</v>
      </c>
      <c r="D471" s="46" t="s">
        <v>3405</v>
      </c>
      <c r="E471" s="46" t="s">
        <v>552</v>
      </c>
      <c r="F471" s="46" t="s">
        <v>3348</v>
      </c>
      <c r="G471" s="46" t="s">
        <v>22</v>
      </c>
      <c r="H471" s="47">
        <v>4714781021029</v>
      </c>
      <c r="I471" s="46" t="s">
        <v>3234</v>
      </c>
      <c r="J471" s="46" t="s">
        <v>3160</v>
      </c>
      <c r="K471" s="46">
        <v>1</v>
      </c>
      <c r="L471" s="46">
        <v>133</v>
      </c>
      <c r="N471" s="46" t="s">
        <v>1452</v>
      </c>
      <c r="P471" s="52">
        <v>853</v>
      </c>
      <c r="Q471" s="52" t="s">
        <v>22</v>
      </c>
      <c r="R471" s="52" t="s">
        <v>23</v>
      </c>
      <c r="T471" s="52"/>
      <c r="U471" s="52"/>
      <c r="V471" s="52"/>
      <c r="W471" s="52">
        <v>244</v>
      </c>
      <c r="X471" s="52" t="s">
        <v>553</v>
      </c>
      <c r="Y471" s="52"/>
      <c r="Z471" s="46" t="s">
        <v>550</v>
      </c>
    </row>
    <row r="472" spans="1:26">
      <c r="A472" s="49">
        <v>44365</v>
      </c>
      <c r="B472" s="48">
        <v>202106181116</v>
      </c>
      <c r="C472" s="46" t="s">
        <v>3350</v>
      </c>
      <c r="D472" s="46" t="s">
        <v>3405</v>
      </c>
      <c r="E472" s="46" t="s">
        <v>552</v>
      </c>
      <c r="F472" s="46" t="s">
        <v>3348</v>
      </c>
      <c r="G472" s="46" t="s">
        <v>22</v>
      </c>
      <c r="H472" s="47">
        <v>4714781020466</v>
      </c>
      <c r="I472" s="46" t="s">
        <v>3194</v>
      </c>
      <c r="J472" s="46" t="s">
        <v>3160</v>
      </c>
      <c r="K472" s="46">
        <v>1</v>
      </c>
      <c r="L472" s="46">
        <v>168</v>
      </c>
      <c r="N472" s="46" t="s">
        <v>479</v>
      </c>
      <c r="P472" s="52">
        <v>853</v>
      </c>
      <c r="Q472" s="52" t="s">
        <v>22</v>
      </c>
      <c r="R472" s="52" t="s">
        <v>23</v>
      </c>
      <c r="T472" s="52"/>
      <c r="U472" s="52"/>
      <c r="V472" s="52"/>
      <c r="W472" s="52">
        <v>244</v>
      </c>
      <c r="X472" s="52" t="s">
        <v>553</v>
      </c>
      <c r="Y472" s="52"/>
      <c r="Z472" s="46" t="s">
        <v>550</v>
      </c>
    </row>
    <row r="473" spans="1:26">
      <c r="A473" s="49">
        <v>44365</v>
      </c>
      <c r="B473" s="48">
        <v>202106181116</v>
      </c>
      <c r="C473" s="46" t="s">
        <v>3350</v>
      </c>
      <c r="D473" s="46" t="s">
        <v>3405</v>
      </c>
      <c r="E473" s="46" t="s">
        <v>552</v>
      </c>
      <c r="F473" s="46" t="s">
        <v>3348</v>
      </c>
      <c r="G473" s="46" t="s">
        <v>22</v>
      </c>
      <c r="H473" s="47">
        <v>4714781020503</v>
      </c>
      <c r="I473" s="46" t="s">
        <v>3295</v>
      </c>
      <c r="J473" s="46" t="s">
        <v>3160</v>
      </c>
      <c r="K473" s="46">
        <v>1</v>
      </c>
      <c r="L473" s="46">
        <v>168</v>
      </c>
      <c r="N473" s="46" t="s">
        <v>351</v>
      </c>
      <c r="P473" s="52">
        <v>853</v>
      </c>
      <c r="Q473" s="52" t="s">
        <v>22</v>
      </c>
      <c r="R473" s="52" t="s">
        <v>23</v>
      </c>
      <c r="T473" s="52"/>
      <c r="U473" s="52"/>
      <c r="V473" s="52"/>
      <c r="W473" s="52">
        <v>244</v>
      </c>
      <c r="X473" s="52" t="s">
        <v>553</v>
      </c>
      <c r="Y473" s="52"/>
      <c r="Z473" s="46" t="s">
        <v>550</v>
      </c>
    </row>
    <row r="474" spans="1:26">
      <c r="A474" s="49">
        <v>44365</v>
      </c>
      <c r="B474" s="48">
        <v>202106181116</v>
      </c>
      <c r="C474" s="46" t="s">
        <v>3350</v>
      </c>
      <c r="D474" s="46" t="s">
        <v>3405</v>
      </c>
      <c r="E474" s="46" t="s">
        <v>552</v>
      </c>
      <c r="F474" s="46" t="s">
        <v>3348</v>
      </c>
      <c r="G474" s="46" t="s">
        <v>22</v>
      </c>
      <c r="H474" s="47">
        <v>4714781021227</v>
      </c>
      <c r="I474" s="46" t="s">
        <v>3220</v>
      </c>
      <c r="J474" s="46" t="s">
        <v>3160</v>
      </c>
      <c r="K474" s="46">
        <v>1</v>
      </c>
      <c r="L474" s="46">
        <v>59</v>
      </c>
      <c r="N474" s="46" t="s">
        <v>522</v>
      </c>
      <c r="P474" s="52">
        <v>853</v>
      </c>
      <c r="Q474" s="52" t="s">
        <v>22</v>
      </c>
      <c r="R474" s="52" t="s">
        <v>23</v>
      </c>
      <c r="T474" s="52"/>
      <c r="U474" s="52"/>
      <c r="V474" s="52"/>
      <c r="W474" s="52">
        <v>244</v>
      </c>
      <c r="X474" s="52" t="s">
        <v>553</v>
      </c>
      <c r="Y474" s="52"/>
      <c r="Z474" s="46" t="s">
        <v>550</v>
      </c>
    </row>
    <row r="475" spans="1:26">
      <c r="A475" s="49">
        <v>44365</v>
      </c>
      <c r="B475" s="48">
        <v>202106181116</v>
      </c>
      <c r="C475" s="46" t="s">
        <v>3350</v>
      </c>
      <c r="D475" s="46" t="s">
        <v>3405</v>
      </c>
      <c r="E475" s="46" t="s">
        <v>552</v>
      </c>
      <c r="F475" s="46" t="s">
        <v>3348</v>
      </c>
      <c r="G475" s="46" t="s">
        <v>22</v>
      </c>
      <c r="H475" s="47">
        <v>4714781021234</v>
      </c>
      <c r="I475" s="46" t="s">
        <v>3215</v>
      </c>
      <c r="J475" s="46" t="s">
        <v>3160</v>
      </c>
      <c r="K475" s="46">
        <v>1</v>
      </c>
      <c r="L475" s="46">
        <v>59</v>
      </c>
      <c r="N475" s="46" t="s">
        <v>87</v>
      </c>
      <c r="P475" s="52">
        <v>853</v>
      </c>
      <c r="Q475" s="52" t="s">
        <v>22</v>
      </c>
      <c r="R475" s="52" t="s">
        <v>23</v>
      </c>
      <c r="T475" s="52"/>
      <c r="U475" s="52"/>
      <c r="V475" s="52"/>
      <c r="W475" s="52">
        <v>244</v>
      </c>
      <c r="X475" s="52" t="s">
        <v>553</v>
      </c>
      <c r="Y475" s="52"/>
      <c r="Z475" s="46" t="s">
        <v>550</v>
      </c>
    </row>
    <row r="476" spans="1:26">
      <c r="A476" s="49">
        <v>44366</v>
      </c>
      <c r="B476" s="48">
        <v>202106191117</v>
      </c>
      <c r="C476" s="46" t="s">
        <v>3350</v>
      </c>
      <c r="D476" s="46" t="s">
        <v>3404</v>
      </c>
      <c r="E476" s="46" t="s">
        <v>1118</v>
      </c>
      <c r="F476" s="46" t="s">
        <v>3348</v>
      </c>
      <c r="G476" s="46" t="s">
        <v>633</v>
      </c>
      <c r="H476" s="47" t="s">
        <v>1341</v>
      </c>
      <c r="I476" s="46" t="s">
        <v>3309</v>
      </c>
      <c r="J476" s="46" t="s">
        <v>3160</v>
      </c>
      <c r="K476" s="46">
        <v>1</v>
      </c>
      <c r="L476" s="46">
        <v>400</v>
      </c>
      <c r="N476" s="46" t="s">
        <v>1340</v>
      </c>
      <c r="P476" s="52">
        <v>593</v>
      </c>
      <c r="Q476" s="52" t="s">
        <v>633</v>
      </c>
      <c r="R476" s="52" t="s">
        <v>634</v>
      </c>
      <c r="T476" s="52">
        <v>212014</v>
      </c>
      <c r="U476" s="52" t="s">
        <v>1119</v>
      </c>
      <c r="V476" s="52" t="s">
        <v>1120</v>
      </c>
      <c r="W476" s="52"/>
      <c r="X476" s="52"/>
      <c r="Y476" s="52"/>
      <c r="Z476" s="46" t="s">
        <v>1116</v>
      </c>
    </row>
    <row r="477" spans="1:26">
      <c r="A477" s="49">
        <v>44366</v>
      </c>
      <c r="B477" s="48">
        <v>202106191117</v>
      </c>
      <c r="C477" s="46" t="s">
        <v>3350</v>
      </c>
      <c r="D477" s="46" t="s">
        <v>3404</v>
      </c>
      <c r="E477" s="46" t="s">
        <v>1118</v>
      </c>
      <c r="F477" s="46" t="s">
        <v>3348</v>
      </c>
      <c r="G477" s="46" t="s">
        <v>633</v>
      </c>
      <c r="H477" s="47" t="s">
        <v>1339</v>
      </c>
      <c r="I477" s="46" t="s">
        <v>3308</v>
      </c>
      <c r="J477" s="46" t="s">
        <v>3160</v>
      </c>
      <c r="K477" s="46">
        <v>1</v>
      </c>
      <c r="L477" s="46">
        <v>128</v>
      </c>
      <c r="N477" s="46" t="s">
        <v>1338</v>
      </c>
      <c r="P477" s="52">
        <v>593</v>
      </c>
      <c r="Q477" s="52" t="s">
        <v>633</v>
      </c>
      <c r="R477" s="52" t="s">
        <v>634</v>
      </c>
      <c r="T477" s="52">
        <v>212014</v>
      </c>
      <c r="U477" s="52" t="s">
        <v>1119</v>
      </c>
      <c r="V477" s="52" t="s">
        <v>1120</v>
      </c>
      <c r="W477" s="52"/>
      <c r="X477" s="52"/>
      <c r="Y477" s="52"/>
      <c r="Z477" s="46" t="s">
        <v>1116</v>
      </c>
    </row>
    <row r="478" spans="1:26">
      <c r="A478" s="49">
        <v>44366</v>
      </c>
      <c r="B478" s="48">
        <v>202106191117</v>
      </c>
      <c r="C478" s="46" t="s">
        <v>3350</v>
      </c>
      <c r="D478" s="46" t="s">
        <v>3404</v>
      </c>
      <c r="E478" s="46" t="s">
        <v>1118</v>
      </c>
      <c r="F478" s="46" t="s">
        <v>3348</v>
      </c>
      <c r="G478" s="46" t="s">
        <v>633</v>
      </c>
      <c r="H478" s="47" t="s">
        <v>3347</v>
      </c>
      <c r="J478" s="46" t="s">
        <v>3346</v>
      </c>
      <c r="K478" s="46">
        <v>1</v>
      </c>
      <c r="L478" s="46">
        <v>65</v>
      </c>
      <c r="P478" s="52"/>
      <c r="Q478" s="52"/>
      <c r="R478" s="52"/>
      <c r="T478" s="52"/>
      <c r="U478" s="52"/>
      <c r="V478" s="52"/>
      <c r="W478" s="52"/>
      <c r="X478" s="52"/>
      <c r="Y478" s="52"/>
    </row>
    <row r="479" spans="1:26">
      <c r="A479" s="49">
        <v>44366</v>
      </c>
      <c r="B479" s="48">
        <v>202106191118</v>
      </c>
      <c r="C479" s="46" t="s">
        <v>3350</v>
      </c>
      <c r="D479" s="46" t="s">
        <v>3403</v>
      </c>
      <c r="E479" s="46" t="s">
        <v>1124</v>
      </c>
      <c r="F479" s="46" t="s">
        <v>3348</v>
      </c>
      <c r="G479" s="46" t="s">
        <v>633</v>
      </c>
      <c r="H479" s="47">
        <v>4714781020282</v>
      </c>
      <c r="I479" s="46" t="s">
        <v>3307</v>
      </c>
      <c r="J479" s="46" t="s">
        <v>3160</v>
      </c>
      <c r="K479" s="46">
        <v>1</v>
      </c>
      <c r="L479" s="46">
        <v>299</v>
      </c>
      <c r="N479" s="46" t="s">
        <v>274</v>
      </c>
      <c r="P479" s="52">
        <v>897</v>
      </c>
      <c r="Q479" s="52" t="s">
        <v>633</v>
      </c>
      <c r="R479" s="52" t="s">
        <v>40</v>
      </c>
      <c r="T479" s="52">
        <v>159384</v>
      </c>
      <c r="U479" s="52" t="s">
        <v>1125</v>
      </c>
      <c r="V479" s="52" t="s">
        <v>1126</v>
      </c>
      <c r="W479" s="52"/>
      <c r="X479" s="52"/>
      <c r="Y479" s="52"/>
      <c r="Z479" s="46" t="s">
        <v>1122</v>
      </c>
    </row>
    <row r="480" spans="1:26">
      <c r="A480" s="49">
        <v>44366</v>
      </c>
      <c r="B480" s="48">
        <v>202106191118</v>
      </c>
      <c r="C480" s="46" t="s">
        <v>3350</v>
      </c>
      <c r="D480" s="46" t="s">
        <v>3403</v>
      </c>
      <c r="E480" s="46" t="s">
        <v>1124</v>
      </c>
      <c r="F480" s="46" t="s">
        <v>3348</v>
      </c>
      <c r="G480" s="46" t="s">
        <v>633</v>
      </c>
      <c r="H480" s="47">
        <v>4714781024716</v>
      </c>
      <c r="I480" s="46" t="s">
        <v>3166</v>
      </c>
      <c r="J480" s="46" t="s">
        <v>3160</v>
      </c>
      <c r="K480" s="46">
        <v>1</v>
      </c>
      <c r="L480" s="46">
        <v>299</v>
      </c>
      <c r="N480" s="46" t="s">
        <v>372</v>
      </c>
      <c r="P480" s="52">
        <v>897</v>
      </c>
      <c r="Q480" s="52" t="s">
        <v>633</v>
      </c>
      <c r="R480" s="52" t="s">
        <v>40</v>
      </c>
      <c r="T480" s="52">
        <v>159384</v>
      </c>
      <c r="U480" s="52" t="s">
        <v>1125</v>
      </c>
      <c r="V480" s="52" t="s">
        <v>1126</v>
      </c>
      <c r="W480" s="52"/>
      <c r="X480" s="52"/>
      <c r="Y480" s="52"/>
      <c r="Z480" s="46" t="s">
        <v>1122</v>
      </c>
    </row>
    <row r="481" spans="1:26">
      <c r="A481" s="49">
        <v>44366</v>
      </c>
      <c r="B481" s="48">
        <v>202106191118</v>
      </c>
      <c r="C481" s="46" t="s">
        <v>3350</v>
      </c>
      <c r="D481" s="46" t="s">
        <v>3403</v>
      </c>
      <c r="E481" s="46" t="s">
        <v>1124</v>
      </c>
      <c r="F481" s="46" t="s">
        <v>3348</v>
      </c>
      <c r="G481" s="46" t="s">
        <v>633</v>
      </c>
      <c r="H481" s="47">
        <v>4714781024730</v>
      </c>
      <c r="I481" s="46" t="s">
        <v>3166</v>
      </c>
      <c r="J481" s="46" t="s">
        <v>3160</v>
      </c>
      <c r="K481" s="46">
        <v>1</v>
      </c>
      <c r="L481" s="46">
        <v>299</v>
      </c>
      <c r="N481" s="46" t="s">
        <v>263</v>
      </c>
      <c r="P481" s="52">
        <v>897</v>
      </c>
      <c r="Q481" s="52" t="s">
        <v>633</v>
      </c>
      <c r="R481" s="52" t="s">
        <v>40</v>
      </c>
      <c r="T481" s="52">
        <v>159384</v>
      </c>
      <c r="U481" s="52" t="s">
        <v>1125</v>
      </c>
      <c r="V481" s="52" t="s">
        <v>1126</v>
      </c>
      <c r="W481" s="52"/>
      <c r="X481" s="52"/>
      <c r="Y481" s="52"/>
      <c r="Z481" s="46" t="s">
        <v>1122</v>
      </c>
    </row>
    <row r="482" spans="1:26">
      <c r="A482" s="49">
        <v>44366</v>
      </c>
      <c r="B482" s="48">
        <v>202106191119</v>
      </c>
      <c r="C482" s="46" t="s">
        <v>3350</v>
      </c>
      <c r="D482" s="46" t="s">
        <v>3402</v>
      </c>
      <c r="E482" s="46" t="s">
        <v>1130</v>
      </c>
      <c r="F482" s="46" t="s">
        <v>3348</v>
      </c>
      <c r="G482" s="46" t="s">
        <v>633</v>
      </c>
      <c r="H482" s="47" t="s">
        <v>1512</v>
      </c>
      <c r="I482" s="46" t="s">
        <v>3194</v>
      </c>
      <c r="J482" s="46" t="s">
        <v>3160</v>
      </c>
      <c r="K482" s="46">
        <v>1</v>
      </c>
      <c r="L482" s="46">
        <v>104</v>
      </c>
      <c r="N482" s="46" t="s">
        <v>1511</v>
      </c>
      <c r="P482" s="52">
        <v>1835</v>
      </c>
      <c r="Q482" s="52" t="s">
        <v>633</v>
      </c>
      <c r="R482" s="52" t="s">
        <v>40</v>
      </c>
      <c r="T482" s="52">
        <v>161181</v>
      </c>
      <c r="U482" s="52" t="s">
        <v>1131</v>
      </c>
      <c r="V482" s="52" t="s">
        <v>1132</v>
      </c>
      <c r="W482" s="52"/>
      <c r="X482" s="52"/>
      <c r="Y482" s="52"/>
      <c r="Z482" s="46" t="s">
        <v>1128</v>
      </c>
    </row>
    <row r="483" spans="1:26">
      <c r="A483" s="49">
        <v>44366</v>
      </c>
      <c r="B483" s="48">
        <v>202106191119</v>
      </c>
      <c r="C483" s="46" t="s">
        <v>3350</v>
      </c>
      <c r="D483" s="46" t="s">
        <v>3402</v>
      </c>
      <c r="E483" s="46" t="s">
        <v>1130</v>
      </c>
      <c r="F483" s="46" t="s">
        <v>3348</v>
      </c>
      <c r="G483" s="46" t="s">
        <v>633</v>
      </c>
      <c r="H483" s="47" t="s">
        <v>1517</v>
      </c>
      <c r="I483" s="46" t="s">
        <v>3295</v>
      </c>
      <c r="J483" s="46" t="s">
        <v>3160</v>
      </c>
      <c r="K483" s="46">
        <v>1</v>
      </c>
      <c r="L483" s="46">
        <v>104</v>
      </c>
      <c r="N483" s="46" t="s">
        <v>1516</v>
      </c>
      <c r="P483" s="52">
        <v>1835</v>
      </c>
      <c r="Q483" s="52" t="s">
        <v>633</v>
      </c>
      <c r="R483" s="52" t="s">
        <v>40</v>
      </c>
      <c r="T483" s="52">
        <v>161181</v>
      </c>
      <c r="U483" s="52" t="s">
        <v>1131</v>
      </c>
      <c r="V483" s="52" t="s">
        <v>1132</v>
      </c>
      <c r="W483" s="52"/>
      <c r="X483" s="52"/>
      <c r="Y483" s="52"/>
      <c r="Z483" s="46" t="s">
        <v>1128</v>
      </c>
    </row>
    <row r="484" spans="1:26">
      <c r="A484" s="49">
        <v>44366</v>
      </c>
      <c r="B484" s="48">
        <v>202106191119</v>
      </c>
      <c r="C484" s="46" t="s">
        <v>3350</v>
      </c>
      <c r="D484" s="46" t="s">
        <v>3402</v>
      </c>
      <c r="E484" s="46" t="s">
        <v>1130</v>
      </c>
      <c r="F484" s="46" t="s">
        <v>3348</v>
      </c>
      <c r="G484" s="46" t="s">
        <v>633</v>
      </c>
      <c r="H484" s="47" t="s">
        <v>1514</v>
      </c>
      <c r="I484" s="46" t="s">
        <v>3295</v>
      </c>
      <c r="J484" s="46" t="s">
        <v>3160</v>
      </c>
      <c r="K484" s="46">
        <v>1</v>
      </c>
      <c r="L484" s="46">
        <v>105</v>
      </c>
      <c r="N484" s="46" t="s">
        <v>1513</v>
      </c>
      <c r="P484" s="52">
        <v>1835</v>
      </c>
      <c r="Q484" s="52" t="s">
        <v>633</v>
      </c>
      <c r="R484" s="52" t="s">
        <v>40</v>
      </c>
      <c r="T484" s="52">
        <v>161181</v>
      </c>
      <c r="U484" s="52" t="s">
        <v>1131</v>
      </c>
      <c r="V484" s="52" t="s">
        <v>1132</v>
      </c>
      <c r="W484" s="52"/>
      <c r="X484" s="52"/>
      <c r="Y484" s="52"/>
      <c r="Z484" s="46" t="s">
        <v>1128</v>
      </c>
    </row>
    <row r="485" spans="1:26">
      <c r="A485" s="49">
        <v>44366</v>
      </c>
      <c r="B485" s="48">
        <v>202106191119</v>
      </c>
      <c r="C485" s="46" t="s">
        <v>3350</v>
      </c>
      <c r="D485" s="46" t="s">
        <v>3402</v>
      </c>
      <c r="E485" s="46" t="s">
        <v>1130</v>
      </c>
      <c r="F485" s="46" t="s">
        <v>3348</v>
      </c>
      <c r="G485" s="46" t="s">
        <v>633</v>
      </c>
      <c r="H485" s="47" t="s">
        <v>1512</v>
      </c>
      <c r="I485" s="46" t="s">
        <v>3194</v>
      </c>
      <c r="J485" s="46" t="s">
        <v>3160</v>
      </c>
      <c r="K485" s="46">
        <v>1</v>
      </c>
      <c r="L485" s="46">
        <v>173</v>
      </c>
      <c r="N485" s="46" t="s">
        <v>1511</v>
      </c>
      <c r="P485" s="52">
        <v>1835</v>
      </c>
      <c r="Q485" s="52" t="s">
        <v>633</v>
      </c>
      <c r="R485" s="52" t="s">
        <v>40</v>
      </c>
      <c r="T485" s="52">
        <v>161181</v>
      </c>
      <c r="U485" s="52" t="s">
        <v>1131</v>
      </c>
      <c r="V485" s="52" t="s">
        <v>1132</v>
      </c>
      <c r="W485" s="52"/>
      <c r="X485" s="52"/>
      <c r="Y485" s="52"/>
      <c r="Z485" s="46" t="s">
        <v>1128</v>
      </c>
    </row>
    <row r="486" spans="1:26">
      <c r="A486" s="49">
        <v>44366</v>
      </c>
      <c r="B486" s="48">
        <v>202106191119</v>
      </c>
      <c r="C486" s="46" t="s">
        <v>3350</v>
      </c>
      <c r="D486" s="46" t="s">
        <v>3402</v>
      </c>
      <c r="E486" s="46" t="s">
        <v>1130</v>
      </c>
      <c r="F486" s="46" t="s">
        <v>3348</v>
      </c>
      <c r="G486" s="46" t="s">
        <v>633</v>
      </c>
      <c r="H486" s="47" t="s">
        <v>1531</v>
      </c>
      <c r="I486" s="46" t="s">
        <v>3307</v>
      </c>
      <c r="J486" s="46" t="s">
        <v>3160</v>
      </c>
      <c r="K486" s="46">
        <v>1</v>
      </c>
      <c r="L486" s="46">
        <v>288</v>
      </c>
      <c r="N486" s="46" t="s">
        <v>1530</v>
      </c>
      <c r="P486" s="52">
        <v>1835</v>
      </c>
      <c r="Q486" s="52" t="s">
        <v>633</v>
      </c>
      <c r="R486" s="52" t="s">
        <v>40</v>
      </c>
      <c r="T486" s="52">
        <v>161181</v>
      </c>
      <c r="U486" s="52" t="s">
        <v>1131</v>
      </c>
      <c r="V486" s="52" t="s">
        <v>1132</v>
      </c>
      <c r="W486" s="52"/>
      <c r="X486" s="52"/>
      <c r="Y486" s="52"/>
      <c r="Z486" s="46" t="s">
        <v>1128</v>
      </c>
    </row>
    <row r="487" spans="1:26">
      <c r="A487" s="49">
        <v>44366</v>
      </c>
      <c r="B487" s="48">
        <v>202106191119</v>
      </c>
      <c r="C487" s="46" t="s">
        <v>3350</v>
      </c>
      <c r="D487" s="46" t="s">
        <v>3402</v>
      </c>
      <c r="E487" s="46" t="s">
        <v>1130</v>
      </c>
      <c r="F487" s="46" t="s">
        <v>3348</v>
      </c>
      <c r="G487" s="46" t="s">
        <v>633</v>
      </c>
      <c r="H487" s="47" t="s">
        <v>1508</v>
      </c>
      <c r="I487" s="46" t="s">
        <v>3166</v>
      </c>
      <c r="J487" s="46" t="s">
        <v>3160</v>
      </c>
      <c r="K487" s="46">
        <v>1</v>
      </c>
      <c r="L487" s="46">
        <v>287</v>
      </c>
      <c r="N487" s="46" t="s">
        <v>1507</v>
      </c>
      <c r="P487" s="52">
        <v>1835</v>
      </c>
      <c r="Q487" s="52" t="s">
        <v>633</v>
      </c>
      <c r="R487" s="52" t="s">
        <v>40</v>
      </c>
      <c r="T487" s="52">
        <v>161181</v>
      </c>
      <c r="U487" s="52" t="s">
        <v>1131</v>
      </c>
      <c r="V487" s="52" t="s">
        <v>1132</v>
      </c>
      <c r="W487" s="52"/>
      <c r="X487" s="52"/>
      <c r="Y487" s="52"/>
      <c r="Z487" s="46" t="s">
        <v>1128</v>
      </c>
    </row>
    <row r="488" spans="1:26">
      <c r="A488" s="49">
        <v>44366</v>
      </c>
      <c r="B488" s="48">
        <v>202106191119</v>
      </c>
      <c r="C488" s="46" t="s">
        <v>3350</v>
      </c>
      <c r="D488" s="46" t="s">
        <v>3402</v>
      </c>
      <c r="E488" s="46" t="s">
        <v>1130</v>
      </c>
      <c r="F488" s="46" t="s">
        <v>3348</v>
      </c>
      <c r="G488" s="46" t="s">
        <v>633</v>
      </c>
      <c r="H488" s="47">
        <v>4714781021227</v>
      </c>
      <c r="I488" s="46" t="s">
        <v>3220</v>
      </c>
      <c r="J488" s="46" t="s">
        <v>3160</v>
      </c>
      <c r="K488" s="46">
        <v>3</v>
      </c>
      <c r="L488" s="46">
        <v>199</v>
      </c>
      <c r="N488" s="46" t="s">
        <v>2137</v>
      </c>
      <c r="P488" s="52">
        <v>1835</v>
      </c>
      <c r="Q488" s="52" t="s">
        <v>633</v>
      </c>
      <c r="R488" s="52" t="s">
        <v>40</v>
      </c>
      <c r="T488" s="52">
        <v>161181</v>
      </c>
      <c r="U488" s="52" t="s">
        <v>1131</v>
      </c>
      <c r="V488" s="52" t="s">
        <v>1132</v>
      </c>
      <c r="W488" s="52"/>
      <c r="X488" s="52"/>
      <c r="Y488" s="52"/>
      <c r="Z488" s="46" t="s">
        <v>1128</v>
      </c>
    </row>
    <row r="489" spans="1:26">
      <c r="A489" s="49">
        <v>44366</v>
      </c>
      <c r="B489" s="48">
        <v>202106191119</v>
      </c>
      <c r="C489" s="46" t="s">
        <v>3350</v>
      </c>
      <c r="D489" s="46" t="s">
        <v>3402</v>
      </c>
      <c r="E489" s="46" t="s">
        <v>1130</v>
      </c>
      <c r="F489" s="46" t="s">
        <v>3348</v>
      </c>
      <c r="G489" s="46" t="s">
        <v>633</v>
      </c>
      <c r="H489" s="47">
        <v>4714781021234</v>
      </c>
      <c r="I489" s="46" t="s">
        <v>3215</v>
      </c>
      <c r="J489" s="46" t="s">
        <v>3160</v>
      </c>
      <c r="K489" s="46">
        <v>3</v>
      </c>
      <c r="L489" s="46">
        <v>199</v>
      </c>
      <c r="N489" s="46" t="s">
        <v>2135</v>
      </c>
      <c r="P489" s="52">
        <v>1835</v>
      </c>
      <c r="Q489" s="52" t="s">
        <v>633</v>
      </c>
      <c r="R489" s="52" t="s">
        <v>40</v>
      </c>
      <c r="T489" s="52">
        <v>161181</v>
      </c>
      <c r="U489" s="52" t="s">
        <v>1131</v>
      </c>
      <c r="V489" s="52" t="s">
        <v>1132</v>
      </c>
      <c r="W489" s="52"/>
      <c r="X489" s="52"/>
      <c r="Y489" s="52"/>
      <c r="Z489" s="46" t="s">
        <v>1128</v>
      </c>
    </row>
    <row r="490" spans="1:26">
      <c r="A490" s="49">
        <v>44366</v>
      </c>
      <c r="B490" s="48">
        <v>202106191119</v>
      </c>
      <c r="C490" s="46" t="s">
        <v>3350</v>
      </c>
      <c r="D490" s="46" t="s">
        <v>3402</v>
      </c>
      <c r="E490" s="46" t="s">
        <v>1130</v>
      </c>
      <c r="F490" s="46" t="s">
        <v>3348</v>
      </c>
      <c r="G490" s="46" t="s">
        <v>633</v>
      </c>
      <c r="H490" s="47">
        <v>4714781021241</v>
      </c>
      <c r="I490" s="46" t="s">
        <v>3215</v>
      </c>
      <c r="J490" s="46" t="s">
        <v>3160</v>
      </c>
      <c r="K490" s="46">
        <v>3</v>
      </c>
      <c r="L490" s="46">
        <v>199</v>
      </c>
      <c r="N490" s="46" t="s">
        <v>2133</v>
      </c>
      <c r="P490" s="52">
        <v>1835</v>
      </c>
      <c r="Q490" s="52" t="s">
        <v>633</v>
      </c>
      <c r="R490" s="52" t="s">
        <v>40</v>
      </c>
      <c r="T490" s="52">
        <v>161181</v>
      </c>
      <c r="U490" s="52" t="s">
        <v>1131</v>
      </c>
      <c r="V490" s="52" t="s">
        <v>1132</v>
      </c>
      <c r="W490" s="52"/>
      <c r="X490" s="52"/>
      <c r="Y490" s="52"/>
      <c r="Z490" s="46" t="s">
        <v>1128</v>
      </c>
    </row>
    <row r="491" spans="1:26">
      <c r="A491" s="49">
        <v>44366</v>
      </c>
      <c r="B491" s="48">
        <v>202106191119</v>
      </c>
      <c r="C491" s="46" t="s">
        <v>3350</v>
      </c>
      <c r="D491" s="46" t="s">
        <v>3402</v>
      </c>
      <c r="E491" s="46" t="s">
        <v>1130</v>
      </c>
      <c r="F491" s="46" t="s">
        <v>3348</v>
      </c>
      <c r="G491" s="46" t="s">
        <v>633</v>
      </c>
      <c r="H491" s="47">
        <v>4714781021227</v>
      </c>
      <c r="I491" s="46" t="s">
        <v>3220</v>
      </c>
      <c r="J491" s="46" t="s">
        <v>3160</v>
      </c>
      <c r="K491" s="46">
        <v>1</v>
      </c>
      <c r="L491" s="46">
        <v>59</v>
      </c>
      <c r="N491" s="46" t="s">
        <v>522</v>
      </c>
      <c r="P491" s="52">
        <v>1835</v>
      </c>
      <c r="Q491" s="52" t="s">
        <v>633</v>
      </c>
      <c r="R491" s="52" t="s">
        <v>40</v>
      </c>
      <c r="T491" s="52">
        <v>161181</v>
      </c>
      <c r="U491" s="52" t="s">
        <v>1131</v>
      </c>
      <c r="V491" s="52" t="s">
        <v>1132</v>
      </c>
      <c r="W491" s="52"/>
      <c r="X491" s="52"/>
      <c r="Y491" s="52"/>
      <c r="Z491" s="46" t="s">
        <v>1128</v>
      </c>
    </row>
    <row r="492" spans="1:26">
      <c r="A492" s="49">
        <v>44366</v>
      </c>
      <c r="B492" s="48">
        <v>202106191119</v>
      </c>
      <c r="C492" s="46" t="s">
        <v>3350</v>
      </c>
      <c r="D492" s="46" t="s">
        <v>3402</v>
      </c>
      <c r="E492" s="46" t="s">
        <v>1130</v>
      </c>
      <c r="F492" s="46" t="s">
        <v>3348</v>
      </c>
      <c r="G492" s="46" t="s">
        <v>633</v>
      </c>
      <c r="H492" s="47">
        <v>4714781021241</v>
      </c>
      <c r="I492" s="46" t="s">
        <v>3215</v>
      </c>
      <c r="J492" s="46" t="s">
        <v>3160</v>
      </c>
      <c r="K492" s="46">
        <v>1</v>
      </c>
      <c r="L492" s="46">
        <v>59</v>
      </c>
      <c r="N492" s="46" t="s">
        <v>872</v>
      </c>
      <c r="P492" s="52">
        <v>1835</v>
      </c>
      <c r="Q492" s="52" t="s">
        <v>633</v>
      </c>
      <c r="R492" s="52" t="s">
        <v>40</v>
      </c>
      <c r="T492" s="52">
        <v>161181</v>
      </c>
      <c r="U492" s="52" t="s">
        <v>1131</v>
      </c>
      <c r="V492" s="52" t="s">
        <v>1132</v>
      </c>
      <c r="W492" s="52"/>
      <c r="X492" s="52"/>
      <c r="Y492" s="52"/>
      <c r="Z492" s="46" t="s">
        <v>1128</v>
      </c>
    </row>
    <row r="493" spans="1:26">
      <c r="A493" s="49">
        <v>44366</v>
      </c>
      <c r="B493" s="48">
        <v>202106191119</v>
      </c>
      <c r="C493" s="46" t="s">
        <v>3350</v>
      </c>
      <c r="D493" s="46" t="s">
        <v>3402</v>
      </c>
      <c r="E493" s="46" t="s">
        <v>1130</v>
      </c>
      <c r="F493" s="46" t="s">
        <v>3348</v>
      </c>
      <c r="G493" s="46" t="s">
        <v>633</v>
      </c>
      <c r="H493" s="47">
        <v>4714781021234</v>
      </c>
      <c r="I493" s="46" t="s">
        <v>3215</v>
      </c>
      <c r="J493" s="46" t="s">
        <v>3160</v>
      </c>
      <c r="K493" s="46">
        <v>1</v>
      </c>
      <c r="L493" s="46">
        <v>59</v>
      </c>
      <c r="N493" s="46" t="s">
        <v>87</v>
      </c>
      <c r="P493" s="52">
        <v>1835</v>
      </c>
      <c r="Q493" s="52" t="s">
        <v>633</v>
      </c>
      <c r="R493" s="52" t="s">
        <v>40</v>
      </c>
      <c r="T493" s="52">
        <v>161181</v>
      </c>
      <c r="U493" s="52" t="s">
        <v>1131</v>
      </c>
      <c r="V493" s="52" t="s">
        <v>1132</v>
      </c>
      <c r="W493" s="52"/>
      <c r="X493" s="52"/>
      <c r="Y493" s="52"/>
      <c r="Z493" s="46" t="s">
        <v>1128</v>
      </c>
    </row>
    <row r="494" spans="1:26">
      <c r="A494" s="49">
        <v>44366</v>
      </c>
      <c r="B494" s="48">
        <v>202106191120</v>
      </c>
      <c r="C494" s="46" t="s">
        <v>3350</v>
      </c>
      <c r="D494" s="46" t="s">
        <v>3401</v>
      </c>
      <c r="E494" s="46" t="s">
        <v>539</v>
      </c>
      <c r="F494" s="46" t="s">
        <v>3348</v>
      </c>
      <c r="G494" s="46" t="s">
        <v>39</v>
      </c>
      <c r="H494" s="47">
        <v>4714781021609</v>
      </c>
      <c r="I494" s="46" t="s">
        <v>3183</v>
      </c>
      <c r="J494" s="46" t="s">
        <v>3160</v>
      </c>
      <c r="K494" s="46">
        <v>1</v>
      </c>
      <c r="L494" s="46">
        <v>94</v>
      </c>
      <c r="N494" s="46" t="s">
        <v>1454</v>
      </c>
      <c r="P494" s="52">
        <v>2202</v>
      </c>
      <c r="Q494" s="52" t="s">
        <v>39</v>
      </c>
      <c r="R494" s="52" t="s">
        <v>40</v>
      </c>
      <c r="T494" s="52"/>
      <c r="U494" s="52"/>
      <c r="V494" s="52"/>
      <c r="W494" s="52">
        <v>648</v>
      </c>
      <c r="X494" s="52" t="s">
        <v>540</v>
      </c>
      <c r="Y494" s="52"/>
      <c r="Z494" s="46" t="s">
        <v>537</v>
      </c>
    </row>
    <row r="495" spans="1:26">
      <c r="A495" s="49">
        <v>44366</v>
      </c>
      <c r="B495" s="48">
        <v>202106191120</v>
      </c>
      <c r="C495" s="46" t="s">
        <v>3350</v>
      </c>
      <c r="D495" s="46" t="s">
        <v>3401</v>
      </c>
      <c r="E495" s="46" t="s">
        <v>539</v>
      </c>
      <c r="F495" s="46" t="s">
        <v>3348</v>
      </c>
      <c r="G495" s="46" t="s">
        <v>39</v>
      </c>
      <c r="H495" s="47">
        <v>4714781021593</v>
      </c>
      <c r="I495" s="46" t="s">
        <v>3183</v>
      </c>
      <c r="J495" s="46" t="s">
        <v>3160</v>
      </c>
      <c r="K495" s="46">
        <v>1</v>
      </c>
      <c r="L495" s="46">
        <v>94</v>
      </c>
      <c r="N495" s="46" t="s">
        <v>1453</v>
      </c>
      <c r="P495" s="52">
        <v>2202</v>
      </c>
      <c r="Q495" s="52" t="s">
        <v>39</v>
      </c>
      <c r="R495" s="52" t="s">
        <v>40</v>
      </c>
      <c r="T495" s="52"/>
      <c r="U495" s="52"/>
      <c r="V495" s="52"/>
      <c r="W495" s="52">
        <v>648</v>
      </c>
      <c r="X495" s="52" t="s">
        <v>540</v>
      </c>
      <c r="Y495" s="52"/>
      <c r="Z495" s="46" t="s">
        <v>537</v>
      </c>
    </row>
    <row r="496" spans="1:26">
      <c r="A496" s="49">
        <v>44366</v>
      </c>
      <c r="B496" s="48">
        <v>202106191120</v>
      </c>
      <c r="C496" s="46" t="s">
        <v>3350</v>
      </c>
      <c r="D496" s="46" t="s">
        <v>3401</v>
      </c>
      <c r="E496" s="46" t="s">
        <v>539</v>
      </c>
      <c r="F496" s="46" t="s">
        <v>3348</v>
      </c>
      <c r="G496" s="46" t="s">
        <v>39</v>
      </c>
      <c r="H496" s="47">
        <v>4714781021029</v>
      </c>
      <c r="I496" s="46" t="s">
        <v>3234</v>
      </c>
      <c r="J496" s="46" t="s">
        <v>3160</v>
      </c>
      <c r="K496" s="46">
        <v>1</v>
      </c>
      <c r="L496" s="46">
        <v>95</v>
      </c>
      <c r="N496" s="46" t="s">
        <v>1452</v>
      </c>
      <c r="P496" s="52">
        <v>2202</v>
      </c>
      <c r="Q496" s="52" t="s">
        <v>39</v>
      </c>
      <c r="R496" s="52" t="s">
        <v>40</v>
      </c>
      <c r="T496" s="52"/>
      <c r="U496" s="52"/>
      <c r="V496" s="52"/>
      <c r="W496" s="52">
        <v>648</v>
      </c>
      <c r="X496" s="52" t="s">
        <v>540</v>
      </c>
      <c r="Y496" s="52"/>
      <c r="Z496" s="46" t="s">
        <v>537</v>
      </c>
    </row>
    <row r="497" spans="1:26">
      <c r="A497" s="49">
        <v>44366</v>
      </c>
      <c r="B497" s="48">
        <v>202106191120</v>
      </c>
      <c r="C497" s="46" t="s">
        <v>3350</v>
      </c>
      <c r="D497" s="46" t="s">
        <v>3401</v>
      </c>
      <c r="E497" s="46" t="s">
        <v>539</v>
      </c>
      <c r="F497" s="46" t="s">
        <v>3348</v>
      </c>
      <c r="G497" s="46" t="s">
        <v>39</v>
      </c>
      <c r="H497" s="47">
        <v>4714781020954</v>
      </c>
      <c r="I497" s="46" t="s">
        <v>3250</v>
      </c>
      <c r="J497" s="46" t="s">
        <v>3160</v>
      </c>
      <c r="K497" s="46">
        <v>1</v>
      </c>
      <c r="L497" s="46">
        <v>145</v>
      </c>
      <c r="N497" s="46" t="s">
        <v>361</v>
      </c>
      <c r="P497" s="52">
        <v>2202</v>
      </c>
      <c r="Q497" s="52" t="s">
        <v>39</v>
      </c>
      <c r="R497" s="52" t="s">
        <v>40</v>
      </c>
      <c r="T497" s="52"/>
      <c r="U497" s="52"/>
      <c r="V497" s="52"/>
      <c r="W497" s="52">
        <v>648</v>
      </c>
      <c r="X497" s="52" t="s">
        <v>540</v>
      </c>
      <c r="Y497" s="52"/>
      <c r="Z497" s="46" t="s">
        <v>537</v>
      </c>
    </row>
    <row r="498" spans="1:26">
      <c r="A498" s="49">
        <v>44366</v>
      </c>
      <c r="B498" s="48">
        <v>202106191120</v>
      </c>
      <c r="C498" s="46" t="s">
        <v>3350</v>
      </c>
      <c r="D498" s="46" t="s">
        <v>3401</v>
      </c>
      <c r="E498" s="46" t="s">
        <v>539</v>
      </c>
      <c r="F498" s="46" t="s">
        <v>3348</v>
      </c>
      <c r="G498" s="46" t="s">
        <v>39</v>
      </c>
      <c r="H498" s="47" t="s">
        <v>1512</v>
      </c>
      <c r="I498" s="46" t="s">
        <v>3194</v>
      </c>
      <c r="J498" s="46" t="s">
        <v>3160</v>
      </c>
      <c r="K498" s="46">
        <v>1</v>
      </c>
      <c r="L498" s="46">
        <v>150</v>
      </c>
      <c r="N498" s="46" t="s">
        <v>1511</v>
      </c>
      <c r="P498" s="52">
        <v>2202</v>
      </c>
      <c r="Q498" s="52" t="s">
        <v>39</v>
      </c>
      <c r="R498" s="52" t="s">
        <v>40</v>
      </c>
      <c r="T498" s="52"/>
      <c r="U498" s="52"/>
      <c r="V498" s="52"/>
      <c r="W498" s="52">
        <v>648</v>
      </c>
      <c r="X498" s="52" t="s">
        <v>540</v>
      </c>
      <c r="Y498" s="52"/>
      <c r="Z498" s="46" t="s">
        <v>537</v>
      </c>
    </row>
    <row r="499" spans="1:26">
      <c r="A499" s="49">
        <v>44366</v>
      </c>
      <c r="B499" s="48">
        <v>202106191120</v>
      </c>
      <c r="C499" s="46" t="s">
        <v>3350</v>
      </c>
      <c r="D499" s="46" t="s">
        <v>3401</v>
      </c>
      <c r="E499" s="46" t="s">
        <v>539</v>
      </c>
      <c r="F499" s="46" t="s">
        <v>3348</v>
      </c>
      <c r="G499" s="46" t="s">
        <v>39</v>
      </c>
      <c r="H499" s="47" t="s">
        <v>1517</v>
      </c>
      <c r="I499" s="46" t="s">
        <v>3295</v>
      </c>
      <c r="J499" s="46" t="s">
        <v>3160</v>
      </c>
      <c r="K499" s="46">
        <v>1</v>
      </c>
      <c r="L499" s="46">
        <v>150</v>
      </c>
      <c r="N499" s="46" t="s">
        <v>1516</v>
      </c>
      <c r="P499" s="52">
        <v>2202</v>
      </c>
      <c r="Q499" s="52" t="s">
        <v>39</v>
      </c>
      <c r="R499" s="52" t="s">
        <v>40</v>
      </c>
      <c r="T499" s="52"/>
      <c r="U499" s="52"/>
      <c r="V499" s="52"/>
      <c r="W499" s="52">
        <v>648</v>
      </c>
      <c r="X499" s="52" t="s">
        <v>540</v>
      </c>
      <c r="Y499" s="52"/>
      <c r="Z499" s="46" t="s">
        <v>537</v>
      </c>
    </row>
    <row r="500" spans="1:26">
      <c r="A500" s="49">
        <v>44366</v>
      </c>
      <c r="B500" s="48">
        <v>202106191120</v>
      </c>
      <c r="C500" s="46" t="s">
        <v>3350</v>
      </c>
      <c r="D500" s="46" t="s">
        <v>3401</v>
      </c>
      <c r="E500" s="46" t="s">
        <v>539</v>
      </c>
      <c r="F500" s="46" t="s">
        <v>3348</v>
      </c>
      <c r="G500" s="46" t="s">
        <v>39</v>
      </c>
      <c r="H500" s="47" t="s">
        <v>1514</v>
      </c>
      <c r="I500" s="46" t="s">
        <v>3295</v>
      </c>
      <c r="J500" s="46" t="s">
        <v>3160</v>
      </c>
      <c r="K500" s="46">
        <v>1</v>
      </c>
      <c r="L500" s="46">
        <v>150</v>
      </c>
      <c r="N500" s="46" t="s">
        <v>1513</v>
      </c>
      <c r="P500" s="52">
        <v>2202</v>
      </c>
      <c r="Q500" s="52" t="s">
        <v>39</v>
      </c>
      <c r="R500" s="52" t="s">
        <v>40</v>
      </c>
      <c r="T500" s="52"/>
      <c r="U500" s="52"/>
      <c r="V500" s="52"/>
      <c r="W500" s="52">
        <v>648</v>
      </c>
      <c r="X500" s="52" t="s">
        <v>540</v>
      </c>
      <c r="Y500" s="52"/>
      <c r="Z500" s="46" t="s">
        <v>537</v>
      </c>
    </row>
    <row r="501" spans="1:26">
      <c r="A501" s="49">
        <v>44366</v>
      </c>
      <c r="B501" s="48">
        <v>202106191120</v>
      </c>
      <c r="C501" s="46" t="s">
        <v>3350</v>
      </c>
      <c r="D501" s="46" t="s">
        <v>3401</v>
      </c>
      <c r="E501" s="46" t="s">
        <v>539</v>
      </c>
      <c r="F501" s="46" t="s">
        <v>3348</v>
      </c>
      <c r="G501" s="46" t="s">
        <v>39</v>
      </c>
      <c r="H501" s="47">
        <v>4714781020794</v>
      </c>
      <c r="I501" s="46" t="s">
        <v>3266</v>
      </c>
      <c r="J501" s="46" t="s">
        <v>3160</v>
      </c>
      <c r="K501" s="46">
        <v>1</v>
      </c>
      <c r="L501" s="46">
        <v>109</v>
      </c>
      <c r="N501" s="46" t="s">
        <v>143</v>
      </c>
      <c r="P501" s="52">
        <v>2202</v>
      </c>
      <c r="Q501" s="52" t="s">
        <v>39</v>
      </c>
      <c r="R501" s="52" t="s">
        <v>40</v>
      </c>
      <c r="T501" s="52"/>
      <c r="U501" s="52"/>
      <c r="V501" s="52"/>
      <c r="W501" s="52">
        <v>648</v>
      </c>
      <c r="X501" s="52" t="s">
        <v>540</v>
      </c>
      <c r="Y501" s="52"/>
      <c r="Z501" s="46" t="s">
        <v>537</v>
      </c>
    </row>
    <row r="502" spans="1:26">
      <c r="A502" s="49">
        <v>44366</v>
      </c>
      <c r="B502" s="48">
        <v>202106191120</v>
      </c>
      <c r="C502" s="46" t="s">
        <v>3350</v>
      </c>
      <c r="D502" s="46" t="s">
        <v>3401</v>
      </c>
      <c r="E502" s="46" t="s">
        <v>539</v>
      </c>
      <c r="F502" s="46" t="s">
        <v>3348</v>
      </c>
      <c r="G502" s="46" t="s">
        <v>39</v>
      </c>
      <c r="H502" s="47">
        <v>4714781020770</v>
      </c>
      <c r="I502" s="46" t="s">
        <v>3276</v>
      </c>
      <c r="J502" s="46" t="s">
        <v>3160</v>
      </c>
      <c r="K502" s="46">
        <v>1</v>
      </c>
      <c r="L502" s="46">
        <v>135</v>
      </c>
      <c r="N502" s="46" t="s">
        <v>100</v>
      </c>
      <c r="P502" s="52">
        <v>2202</v>
      </c>
      <c r="Q502" s="52" t="s">
        <v>39</v>
      </c>
      <c r="R502" s="52" t="s">
        <v>40</v>
      </c>
      <c r="T502" s="52"/>
      <c r="U502" s="52"/>
      <c r="V502" s="52"/>
      <c r="W502" s="52">
        <v>648</v>
      </c>
      <c r="X502" s="52" t="s">
        <v>540</v>
      </c>
      <c r="Y502" s="52"/>
      <c r="Z502" s="46" t="s">
        <v>537</v>
      </c>
    </row>
    <row r="503" spans="1:26">
      <c r="A503" s="49">
        <v>44366</v>
      </c>
      <c r="B503" s="48">
        <v>202106191120</v>
      </c>
      <c r="C503" s="46" t="s">
        <v>3350</v>
      </c>
      <c r="D503" s="46" t="s">
        <v>3401</v>
      </c>
      <c r="E503" s="46" t="s">
        <v>539</v>
      </c>
      <c r="F503" s="46" t="s">
        <v>3348</v>
      </c>
      <c r="G503" s="46" t="s">
        <v>39</v>
      </c>
      <c r="H503" s="47">
        <v>4714781020954</v>
      </c>
      <c r="I503" s="46" t="s">
        <v>3250</v>
      </c>
      <c r="J503" s="46" t="s">
        <v>3160</v>
      </c>
      <c r="K503" s="46">
        <v>4</v>
      </c>
      <c r="L503" s="46">
        <v>570</v>
      </c>
      <c r="N503" s="46" t="s">
        <v>543</v>
      </c>
      <c r="P503" s="52">
        <v>2202</v>
      </c>
      <c r="Q503" s="52" t="s">
        <v>39</v>
      </c>
      <c r="R503" s="52" t="s">
        <v>40</v>
      </c>
      <c r="T503" s="52"/>
      <c r="U503" s="52"/>
      <c r="V503" s="52"/>
      <c r="W503" s="52">
        <v>648</v>
      </c>
      <c r="X503" s="52" t="s">
        <v>540</v>
      </c>
      <c r="Y503" s="52"/>
      <c r="Z503" s="46" t="s">
        <v>537</v>
      </c>
    </row>
    <row r="504" spans="1:26">
      <c r="A504" s="49">
        <v>44366</v>
      </c>
      <c r="B504" s="48">
        <v>202106191120</v>
      </c>
      <c r="C504" s="46" t="s">
        <v>3350</v>
      </c>
      <c r="D504" s="46" t="s">
        <v>3401</v>
      </c>
      <c r="E504" s="46" t="s">
        <v>539</v>
      </c>
      <c r="F504" s="46" t="s">
        <v>3348</v>
      </c>
      <c r="G504" s="46" t="s">
        <v>39</v>
      </c>
      <c r="H504" s="47">
        <v>4714781020954</v>
      </c>
      <c r="I504" s="46" t="s">
        <v>3250</v>
      </c>
      <c r="J504" s="46" t="s">
        <v>3160</v>
      </c>
      <c r="K504" s="46">
        <v>1</v>
      </c>
      <c r="L504" s="46">
        <v>140</v>
      </c>
      <c r="N504" s="46" t="s">
        <v>1398</v>
      </c>
      <c r="P504" s="52">
        <v>2202</v>
      </c>
      <c r="Q504" s="52" t="s">
        <v>39</v>
      </c>
      <c r="R504" s="52" t="s">
        <v>40</v>
      </c>
      <c r="T504" s="52"/>
      <c r="U504" s="52"/>
      <c r="V504" s="52"/>
      <c r="W504" s="52">
        <v>648</v>
      </c>
      <c r="X504" s="52" t="s">
        <v>540</v>
      </c>
      <c r="Y504" s="52"/>
      <c r="Z504" s="46" t="s">
        <v>537</v>
      </c>
    </row>
    <row r="505" spans="1:26">
      <c r="A505" s="49">
        <v>44366</v>
      </c>
      <c r="B505" s="48">
        <v>202106191120</v>
      </c>
      <c r="C505" s="46" t="s">
        <v>3350</v>
      </c>
      <c r="D505" s="46" t="s">
        <v>3401</v>
      </c>
      <c r="E505" s="46" t="s">
        <v>539</v>
      </c>
      <c r="F505" s="46" t="s">
        <v>3348</v>
      </c>
      <c r="G505" s="46" t="s">
        <v>39</v>
      </c>
      <c r="H505" s="47">
        <v>4714781020800</v>
      </c>
      <c r="I505" s="46" t="s">
        <v>3220</v>
      </c>
      <c r="J505" s="46" t="s">
        <v>3160</v>
      </c>
      <c r="K505" s="46">
        <v>1</v>
      </c>
      <c r="L505" s="46">
        <v>125</v>
      </c>
      <c r="N505" s="46" t="s">
        <v>1456</v>
      </c>
      <c r="P505" s="52">
        <v>2202</v>
      </c>
      <c r="Q505" s="52" t="s">
        <v>39</v>
      </c>
      <c r="R505" s="52" t="s">
        <v>40</v>
      </c>
      <c r="T505" s="52"/>
      <c r="U505" s="52"/>
      <c r="V505" s="52"/>
      <c r="W505" s="52">
        <v>648</v>
      </c>
      <c r="X505" s="52" t="s">
        <v>540</v>
      </c>
      <c r="Y505" s="52"/>
      <c r="Z505" s="46" t="s">
        <v>537</v>
      </c>
    </row>
    <row r="506" spans="1:26">
      <c r="A506" s="49">
        <v>44366</v>
      </c>
      <c r="B506" s="48">
        <v>202106191120</v>
      </c>
      <c r="C506" s="46" t="s">
        <v>3350</v>
      </c>
      <c r="D506" s="46" t="s">
        <v>3401</v>
      </c>
      <c r="E506" s="46" t="s">
        <v>539</v>
      </c>
      <c r="F506" s="46" t="s">
        <v>3348</v>
      </c>
      <c r="G506" s="46" t="s">
        <v>39</v>
      </c>
      <c r="H506" s="47">
        <v>4714781020817</v>
      </c>
      <c r="I506" s="46" t="s">
        <v>3223</v>
      </c>
      <c r="J506" s="46" t="s">
        <v>3160</v>
      </c>
      <c r="K506" s="46">
        <v>1</v>
      </c>
      <c r="L506" s="46">
        <v>125</v>
      </c>
      <c r="N506" s="46" t="s">
        <v>1455</v>
      </c>
      <c r="P506" s="52">
        <v>2202</v>
      </c>
      <c r="Q506" s="52" t="s">
        <v>39</v>
      </c>
      <c r="R506" s="52" t="s">
        <v>40</v>
      </c>
      <c r="T506" s="52"/>
      <c r="U506" s="52"/>
      <c r="V506" s="52"/>
      <c r="W506" s="52">
        <v>648</v>
      </c>
      <c r="X506" s="52" t="s">
        <v>540</v>
      </c>
      <c r="Y506" s="52"/>
      <c r="Z506" s="46" t="s">
        <v>537</v>
      </c>
    </row>
    <row r="507" spans="1:26">
      <c r="A507" s="49">
        <v>44366</v>
      </c>
      <c r="B507" s="48">
        <v>202106191120</v>
      </c>
      <c r="C507" s="46" t="s">
        <v>3350</v>
      </c>
      <c r="D507" s="46" t="s">
        <v>3401</v>
      </c>
      <c r="E507" s="46" t="s">
        <v>539</v>
      </c>
      <c r="F507" s="46" t="s">
        <v>3348</v>
      </c>
      <c r="G507" s="46" t="s">
        <v>39</v>
      </c>
      <c r="H507" s="47">
        <v>4714781021463</v>
      </c>
      <c r="I507" s="46" t="s">
        <v>3194</v>
      </c>
      <c r="J507" s="46" t="s">
        <v>3160</v>
      </c>
      <c r="K507" s="46">
        <v>1</v>
      </c>
      <c r="L507" s="46">
        <v>120</v>
      </c>
      <c r="N507" s="46" t="s">
        <v>158</v>
      </c>
      <c r="P507" s="52">
        <v>2202</v>
      </c>
      <c r="Q507" s="52" t="s">
        <v>39</v>
      </c>
      <c r="R507" s="52" t="s">
        <v>40</v>
      </c>
      <c r="T507" s="52"/>
      <c r="U507" s="52"/>
      <c r="V507" s="52"/>
      <c r="W507" s="52">
        <v>648</v>
      </c>
      <c r="X507" s="52" t="s">
        <v>540</v>
      </c>
      <c r="Y507" s="52"/>
      <c r="Z507" s="46" t="s">
        <v>537</v>
      </c>
    </row>
    <row r="508" spans="1:26">
      <c r="A508" s="49">
        <v>44366</v>
      </c>
      <c r="B508" s="48">
        <v>202106191121</v>
      </c>
      <c r="C508" s="46" t="s">
        <v>3350</v>
      </c>
      <c r="D508" s="46" t="s">
        <v>3400</v>
      </c>
      <c r="E508" s="46" t="s">
        <v>532</v>
      </c>
      <c r="F508" s="46" t="s">
        <v>3348</v>
      </c>
      <c r="G508" s="46" t="s">
        <v>39</v>
      </c>
      <c r="H508" s="47">
        <v>4714781021609</v>
      </c>
      <c r="I508" s="46" t="s">
        <v>3183</v>
      </c>
      <c r="J508" s="46" t="s">
        <v>3160</v>
      </c>
      <c r="K508" s="46">
        <v>2</v>
      </c>
      <c r="L508" s="46">
        <v>250</v>
      </c>
      <c r="N508" s="46" t="s">
        <v>1454</v>
      </c>
      <c r="P508" s="52">
        <v>1910</v>
      </c>
      <c r="Q508" s="52" t="s">
        <v>39</v>
      </c>
      <c r="R508" s="52" t="s">
        <v>40</v>
      </c>
      <c r="T508" s="52"/>
      <c r="U508" s="52"/>
      <c r="V508" s="52"/>
      <c r="W508" s="52">
        <v>221</v>
      </c>
      <c r="X508" s="52" t="s">
        <v>533</v>
      </c>
      <c r="Y508" s="52"/>
      <c r="Z508" s="46" t="s">
        <v>530</v>
      </c>
    </row>
    <row r="509" spans="1:26">
      <c r="A509" s="49">
        <v>44366</v>
      </c>
      <c r="B509" s="48">
        <v>202106191121</v>
      </c>
      <c r="C509" s="46" t="s">
        <v>3350</v>
      </c>
      <c r="D509" s="46" t="s">
        <v>3400</v>
      </c>
      <c r="E509" s="46" t="s">
        <v>532</v>
      </c>
      <c r="F509" s="46" t="s">
        <v>3348</v>
      </c>
      <c r="G509" s="46" t="s">
        <v>39</v>
      </c>
      <c r="H509" s="47">
        <v>4714781021593</v>
      </c>
      <c r="I509" s="46" t="s">
        <v>3183</v>
      </c>
      <c r="J509" s="46" t="s">
        <v>3160</v>
      </c>
      <c r="K509" s="46">
        <v>2</v>
      </c>
      <c r="L509" s="46">
        <v>250</v>
      </c>
      <c r="N509" s="46" t="s">
        <v>1453</v>
      </c>
      <c r="P509" s="52">
        <v>1910</v>
      </c>
      <c r="Q509" s="52" t="s">
        <v>39</v>
      </c>
      <c r="R509" s="52" t="s">
        <v>40</v>
      </c>
      <c r="T509" s="52"/>
      <c r="U509" s="52"/>
      <c r="V509" s="52"/>
      <c r="W509" s="52">
        <v>221</v>
      </c>
      <c r="X509" s="52" t="s">
        <v>533</v>
      </c>
      <c r="Y509" s="52"/>
      <c r="Z509" s="46" t="s">
        <v>530</v>
      </c>
    </row>
    <row r="510" spans="1:26">
      <c r="A510" s="49">
        <v>44366</v>
      </c>
      <c r="B510" s="48">
        <v>202106191121</v>
      </c>
      <c r="C510" s="46" t="s">
        <v>3350</v>
      </c>
      <c r="D510" s="46" t="s">
        <v>3400</v>
      </c>
      <c r="E510" s="46" t="s">
        <v>532</v>
      </c>
      <c r="F510" s="46" t="s">
        <v>3348</v>
      </c>
      <c r="G510" s="46" t="s">
        <v>39</v>
      </c>
      <c r="H510" s="47">
        <v>4714781021029</v>
      </c>
      <c r="I510" s="46" t="s">
        <v>3234</v>
      </c>
      <c r="J510" s="46" t="s">
        <v>3160</v>
      </c>
      <c r="K510" s="46">
        <v>2</v>
      </c>
      <c r="L510" s="46">
        <v>250</v>
      </c>
      <c r="N510" s="46" t="s">
        <v>1452</v>
      </c>
      <c r="P510" s="52">
        <v>1910</v>
      </c>
      <c r="Q510" s="52" t="s">
        <v>39</v>
      </c>
      <c r="R510" s="52" t="s">
        <v>40</v>
      </c>
      <c r="T510" s="52"/>
      <c r="U510" s="52"/>
      <c r="V510" s="52"/>
      <c r="W510" s="52">
        <v>221</v>
      </c>
      <c r="X510" s="52" t="s">
        <v>533</v>
      </c>
      <c r="Y510" s="52"/>
      <c r="Z510" s="46" t="s">
        <v>530</v>
      </c>
    </row>
    <row r="511" spans="1:26">
      <c r="A511" s="49">
        <v>44366</v>
      </c>
      <c r="B511" s="48">
        <v>202106191121</v>
      </c>
      <c r="C511" s="46" t="s">
        <v>3350</v>
      </c>
      <c r="D511" s="46" t="s">
        <v>3400</v>
      </c>
      <c r="E511" s="46" t="s">
        <v>532</v>
      </c>
      <c r="F511" s="46" t="s">
        <v>3348</v>
      </c>
      <c r="G511" s="46" t="s">
        <v>39</v>
      </c>
      <c r="H511" s="47" t="s">
        <v>1531</v>
      </c>
      <c r="I511" s="46" t="s">
        <v>3307</v>
      </c>
      <c r="J511" s="46" t="s">
        <v>3160</v>
      </c>
      <c r="K511" s="46">
        <v>4</v>
      </c>
      <c r="L511" s="46">
        <v>1160</v>
      </c>
      <c r="N511" s="46" t="s">
        <v>2194</v>
      </c>
      <c r="P511" s="52">
        <v>1910</v>
      </c>
      <c r="Q511" s="52" t="s">
        <v>39</v>
      </c>
      <c r="R511" s="52" t="s">
        <v>40</v>
      </c>
      <c r="T511" s="52"/>
      <c r="U511" s="52"/>
      <c r="V511" s="52"/>
      <c r="W511" s="52">
        <v>221</v>
      </c>
      <c r="X511" s="52" t="s">
        <v>533</v>
      </c>
      <c r="Y511" s="52"/>
      <c r="Z511" s="46" t="s">
        <v>530</v>
      </c>
    </row>
    <row r="512" spans="1:26" ht="20">
      <c r="A512" s="49">
        <v>44366</v>
      </c>
      <c r="B512" s="48">
        <v>202106191121</v>
      </c>
      <c r="C512" s="46" t="s">
        <v>3350</v>
      </c>
      <c r="D512" s="46" t="s">
        <v>3400</v>
      </c>
      <c r="E512" s="46" t="s">
        <v>532</v>
      </c>
      <c r="F512" s="46" t="s">
        <v>3348</v>
      </c>
      <c r="G512" s="46" t="s">
        <v>39</v>
      </c>
      <c r="H512" s="47">
        <v>4714781020725</v>
      </c>
      <c r="I512" s="53" t="s">
        <v>3278</v>
      </c>
      <c r="J512" s="46" t="s">
        <v>3160</v>
      </c>
      <c r="K512" s="46">
        <v>1</v>
      </c>
      <c r="L512" s="46">
        <v>0</v>
      </c>
      <c r="N512" s="46" t="s">
        <v>301</v>
      </c>
      <c r="P512" s="52">
        <v>1910</v>
      </c>
      <c r="Q512" s="52" t="s">
        <v>39</v>
      </c>
      <c r="R512" s="52" t="s">
        <v>40</v>
      </c>
      <c r="T512" s="52"/>
      <c r="U512" s="52"/>
      <c r="V512" s="52"/>
      <c r="W512" s="52">
        <v>221</v>
      </c>
      <c r="X512" s="52" t="s">
        <v>533</v>
      </c>
      <c r="Y512" s="52"/>
      <c r="Z512" s="46" t="s">
        <v>530</v>
      </c>
    </row>
    <row r="513" spans="1:26">
      <c r="A513" s="49">
        <v>44366</v>
      </c>
      <c r="B513" s="48">
        <v>202106191122</v>
      </c>
      <c r="C513" s="46" t="s">
        <v>3350</v>
      </c>
      <c r="D513" s="46" t="s">
        <v>3399</v>
      </c>
      <c r="E513" s="46" t="s">
        <v>1142</v>
      </c>
      <c r="F513" s="46" t="s">
        <v>3348</v>
      </c>
      <c r="G513" s="46" t="s">
        <v>633</v>
      </c>
      <c r="H513" s="47">
        <v>4714781021609</v>
      </c>
      <c r="I513" s="46" t="s">
        <v>3183</v>
      </c>
      <c r="J513" s="46" t="s">
        <v>3160</v>
      </c>
      <c r="K513" s="46">
        <v>2</v>
      </c>
      <c r="L513" s="46">
        <v>250</v>
      </c>
      <c r="N513" s="46" t="s">
        <v>1454</v>
      </c>
      <c r="P513" s="52">
        <v>750</v>
      </c>
      <c r="Q513" s="52" t="s">
        <v>633</v>
      </c>
      <c r="R513" s="52" t="s">
        <v>634</v>
      </c>
      <c r="T513" s="52">
        <v>148638</v>
      </c>
      <c r="U513" s="52" t="s">
        <v>1143</v>
      </c>
      <c r="V513" s="52" t="s">
        <v>1144</v>
      </c>
      <c r="W513" s="52"/>
      <c r="X513" s="52"/>
      <c r="Y513" s="52"/>
      <c r="Z513" s="46" t="s">
        <v>1140</v>
      </c>
    </row>
    <row r="514" spans="1:26">
      <c r="A514" s="49">
        <v>44366</v>
      </c>
      <c r="B514" s="48">
        <v>202106191122</v>
      </c>
      <c r="C514" s="46" t="s">
        <v>3350</v>
      </c>
      <c r="D514" s="46" t="s">
        <v>3399</v>
      </c>
      <c r="E514" s="46" t="s">
        <v>1142</v>
      </c>
      <c r="F514" s="46" t="s">
        <v>3348</v>
      </c>
      <c r="G514" s="46" t="s">
        <v>633</v>
      </c>
      <c r="H514" s="47">
        <v>4714781021029</v>
      </c>
      <c r="I514" s="46" t="s">
        <v>3234</v>
      </c>
      <c r="J514" s="46" t="s">
        <v>3160</v>
      </c>
      <c r="K514" s="46">
        <v>1</v>
      </c>
      <c r="L514" s="46">
        <v>125</v>
      </c>
      <c r="N514" s="46" t="s">
        <v>2072</v>
      </c>
      <c r="P514" s="52">
        <v>750</v>
      </c>
      <c r="Q514" s="52" t="s">
        <v>633</v>
      </c>
      <c r="R514" s="52" t="s">
        <v>634</v>
      </c>
      <c r="T514" s="52">
        <v>148638</v>
      </c>
      <c r="U514" s="52" t="s">
        <v>1143</v>
      </c>
      <c r="V514" s="52" t="s">
        <v>1144</v>
      </c>
      <c r="W514" s="52"/>
      <c r="X514" s="52"/>
      <c r="Y514" s="52"/>
      <c r="Z514" s="46" t="s">
        <v>1140</v>
      </c>
    </row>
    <row r="515" spans="1:26">
      <c r="A515" s="49">
        <v>44366</v>
      </c>
      <c r="B515" s="48">
        <v>202106191122</v>
      </c>
      <c r="C515" s="46" t="s">
        <v>3350</v>
      </c>
      <c r="D515" s="46" t="s">
        <v>3399</v>
      </c>
      <c r="E515" s="46" t="s">
        <v>1142</v>
      </c>
      <c r="F515" s="46" t="s">
        <v>3348</v>
      </c>
      <c r="G515" s="46" t="s">
        <v>633</v>
      </c>
      <c r="H515" s="47">
        <v>4714781021593</v>
      </c>
      <c r="I515" s="46" t="s">
        <v>3183</v>
      </c>
      <c r="J515" s="46" t="s">
        <v>3160</v>
      </c>
      <c r="K515" s="46">
        <v>2</v>
      </c>
      <c r="L515" s="46">
        <v>250</v>
      </c>
      <c r="N515" s="46" t="s">
        <v>1453</v>
      </c>
      <c r="P515" s="52">
        <v>750</v>
      </c>
      <c r="Q515" s="52" t="s">
        <v>633</v>
      </c>
      <c r="R515" s="52" t="s">
        <v>634</v>
      </c>
      <c r="T515" s="52">
        <v>148638</v>
      </c>
      <c r="U515" s="52" t="s">
        <v>1143</v>
      </c>
      <c r="V515" s="52" t="s">
        <v>1144</v>
      </c>
      <c r="W515" s="52"/>
      <c r="X515" s="52"/>
      <c r="Y515" s="52"/>
      <c r="Z515" s="46" t="s">
        <v>1140</v>
      </c>
    </row>
    <row r="516" spans="1:26">
      <c r="A516" s="49">
        <v>44366</v>
      </c>
      <c r="B516" s="48">
        <v>202106191122</v>
      </c>
      <c r="C516" s="46" t="s">
        <v>3350</v>
      </c>
      <c r="D516" s="46" t="s">
        <v>3399</v>
      </c>
      <c r="E516" s="46" t="s">
        <v>1142</v>
      </c>
      <c r="F516" s="46" t="s">
        <v>3348</v>
      </c>
      <c r="G516" s="46" t="s">
        <v>633</v>
      </c>
      <c r="H516" s="47">
        <v>4714781021029</v>
      </c>
      <c r="I516" s="46" t="s">
        <v>3234</v>
      </c>
      <c r="J516" s="46" t="s">
        <v>3160</v>
      </c>
      <c r="K516" s="46">
        <v>1</v>
      </c>
      <c r="L516" s="46">
        <v>125</v>
      </c>
      <c r="N516" s="46" t="s">
        <v>2072</v>
      </c>
      <c r="P516" s="52">
        <v>750</v>
      </c>
      <c r="Q516" s="52" t="s">
        <v>633</v>
      </c>
      <c r="R516" s="52" t="s">
        <v>634</v>
      </c>
      <c r="T516" s="52">
        <v>148638</v>
      </c>
      <c r="U516" s="52" t="s">
        <v>1143</v>
      </c>
      <c r="V516" s="52" t="s">
        <v>1144</v>
      </c>
      <c r="W516" s="52"/>
      <c r="X516" s="52"/>
      <c r="Y516" s="52"/>
      <c r="Z516" s="46" t="s">
        <v>1140</v>
      </c>
    </row>
    <row r="517" spans="1:26">
      <c r="A517" s="49">
        <v>44366</v>
      </c>
      <c r="B517" s="48">
        <v>202106191123</v>
      </c>
      <c r="C517" s="46" t="s">
        <v>3350</v>
      </c>
      <c r="D517" s="46" t="s">
        <v>3398</v>
      </c>
      <c r="E517" s="46" t="s">
        <v>1150</v>
      </c>
      <c r="F517" s="46" t="s">
        <v>3348</v>
      </c>
      <c r="G517" s="46" t="s">
        <v>633</v>
      </c>
      <c r="H517" s="47">
        <v>4714781021609</v>
      </c>
      <c r="I517" s="46" t="s">
        <v>3183</v>
      </c>
      <c r="J517" s="46" t="s">
        <v>3160</v>
      </c>
      <c r="K517" s="46">
        <v>1</v>
      </c>
      <c r="L517" s="46">
        <v>133</v>
      </c>
      <c r="N517" s="46" t="s">
        <v>1454</v>
      </c>
      <c r="P517" s="52">
        <v>464</v>
      </c>
      <c r="Q517" s="52" t="s">
        <v>633</v>
      </c>
      <c r="R517" s="52" t="s">
        <v>634</v>
      </c>
      <c r="T517" s="52">
        <v>130235</v>
      </c>
      <c r="U517" s="52" t="s">
        <v>1151</v>
      </c>
      <c r="V517" s="52" t="s">
        <v>1152</v>
      </c>
      <c r="W517" s="52"/>
      <c r="X517" s="52"/>
      <c r="Y517" s="52"/>
      <c r="Z517" s="46" t="s">
        <v>1148</v>
      </c>
    </row>
    <row r="518" spans="1:26">
      <c r="A518" s="49">
        <v>44366</v>
      </c>
      <c r="B518" s="48">
        <v>202106191123</v>
      </c>
      <c r="C518" s="46" t="s">
        <v>3350</v>
      </c>
      <c r="D518" s="46" t="s">
        <v>3398</v>
      </c>
      <c r="E518" s="46" t="s">
        <v>1150</v>
      </c>
      <c r="F518" s="46" t="s">
        <v>3348</v>
      </c>
      <c r="G518" s="46" t="s">
        <v>633</v>
      </c>
      <c r="H518" s="47">
        <v>4714781021593</v>
      </c>
      <c r="I518" s="46" t="s">
        <v>3183</v>
      </c>
      <c r="J518" s="46" t="s">
        <v>3160</v>
      </c>
      <c r="K518" s="46">
        <v>1</v>
      </c>
      <c r="L518" s="46">
        <v>133</v>
      </c>
      <c r="N518" s="46" t="s">
        <v>1453</v>
      </c>
      <c r="P518" s="52">
        <v>464</v>
      </c>
      <c r="Q518" s="52" t="s">
        <v>633</v>
      </c>
      <c r="R518" s="52" t="s">
        <v>634</v>
      </c>
      <c r="T518" s="52">
        <v>130235</v>
      </c>
      <c r="U518" s="52" t="s">
        <v>1151</v>
      </c>
      <c r="V518" s="52" t="s">
        <v>1152</v>
      </c>
      <c r="W518" s="52"/>
      <c r="X518" s="52"/>
      <c r="Y518" s="52"/>
      <c r="Z518" s="46" t="s">
        <v>1148</v>
      </c>
    </row>
    <row r="519" spans="1:26">
      <c r="A519" s="49">
        <v>44366</v>
      </c>
      <c r="B519" s="48">
        <v>202106191123</v>
      </c>
      <c r="C519" s="46" t="s">
        <v>3350</v>
      </c>
      <c r="D519" s="46" t="s">
        <v>3398</v>
      </c>
      <c r="E519" s="46" t="s">
        <v>1150</v>
      </c>
      <c r="F519" s="46" t="s">
        <v>3348</v>
      </c>
      <c r="G519" s="46" t="s">
        <v>633</v>
      </c>
      <c r="H519" s="47">
        <v>4714781021029</v>
      </c>
      <c r="I519" s="46" t="s">
        <v>3234</v>
      </c>
      <c r="J519" s="46" t="s">
        <v>3160</v>
      </c>
      <c r="K519" s="46">
        <v>1</v>
      </c>
      <c r="L519" s="46">
        <v>133</v>
      </c>
      <c r="N519" s="46" t="s">
        <v>1452</v>
      </c>
      <c r="P519" s="52">
        <v>464</v>
      </c>
      <c r="Q519" s="52" t="s">
        <v>633</v>
      </c>
      <c r="R519" s="52" t="s">
        <v>634</v>
      </c>
      <c r="T519" s="52">
        <v>130235</v>
      </c>
      <c r="U519" s="52" t="s">
        <v>1151</v>
      </c>
      <c r="V519" s="52" t="s">
        <v>1152</v>
      </c>
      <c r="W519" s="52"/>
      <c r="X519" s="52"/>
      <c r="Y519" s="52"/>
      <c r="Z519" s="46" t="s">
        <v>1148</v>
      </c>
    </row>
    <row r="520" spans="1:26">
      <c r="A520" s="49">
        <v>44366</v>
      </c>
      <c r="B520" s="48">
        <v>202106191123</v>
      </c>
      <c r="C520" s="46" t="s">
        <v>3350</v>
      </c>
      <c r="D520" s="46" t="s">
        <v>3398</v>
      </c>
      <c r="E520" s="46" t="s">
        <v>1150</v>
      </c>
      <c r="F520" s="46" t="s">
        <v>3348</v>
      </c>
      <c r="G520" s="46" t="s">
        <v>633</v>
      </c>
      <c r="H520" s="47" t="s">
        <v>3347</v>
      </c>
      <c r="J520" s="46" t="s">
        <v>3346</v>
      </c>
      <c r="K520" s="46">
        <v>1</v>
      </c>
      <c r="L520" s="46">
        <v>65</v>
      </c>
      <c r="P520" s="52"/>
      <c r="Q520" s="52"/>
      <c r="R520" s="52"/>
      <c r="T520" s="52"/>
      <c r="U520" s="52"/>
      <c r="V520" s="52"/>
      <c r="W520" s="52"/>
      <c r="X520" s="52"/>
      <c r="Y520" s="52"/>
    </row>
    <row r="521" spans="1:26">
      <c r="A521" s="49">
        <v>44366</v>
      </c>
      <c r="B521" s="48">
        <v>202106191124</v>
      </c>
      <c r="C521" s="46" t="s">
        <v>3350</v>
      </c>
      <c r="D521" s="46" t="s">
        <v>3397</v>
      </c>
      <c r="E521" s="46" t="s">
        <v>527</v>
      </c>
      <c r="F521" s="46" t="s">
        <v>3348</v>
      </c>
      <c r="G521" s="46" t="s">
        <v>22</v>
      </c>
      <c r="H521" s="47">
        <v>4714781021609</v>
      </c>
      <c r="I521" s="46" t="s">
        <v>3183</v>
      </c>
      <c r="J521" s="46" t="s">
        <v>3160</v>
      </c>
      <c r="K521" s="46">
        <v>3</v>
      </c>
      <c r="L521" s="46">
        <v>399</v>
      </c>
      <c r="N521" s="46" t="s">
        <v>1454</v>
      </c>
      <c r="P521" s="52">
        <v>798</v>
      </c>
      <c r="Q521" s="52" t="s">
        <v>22</v>
      </c>
      <c r="R521" s="52" t="s">
        <v>23</v>
      </c>
      <c r="T521" s="52"/>
      <c r="U521" s="52"/>
      <c r="V521" s="52"/>
      <c r="W521" s="52">
        <v>513</v>
      </c>
      <c r="X521" s="52" t="s">
        <v>528</v>
      </c>
      <c r="Y521" s="52"/>
      <c r="Z521" s="46" t="s">
        <v>525</v>
      </c>
    </row>
    <row r="522" spans="1:26">
      <c r="A522" s="49">
        <v>44366</v>
      </c>
      <c r="B522" s="48">
        <v>202106191124</v>
      </c>
      <c r="C522" s="46" t="s">
        <v>3350</v>
      </c>
      <c r="D522" s="46" t="s">
        <v>3397</v>
      </c>
      <c r="E522" s="46" t="s">
        <v>527</v>
      </c>
      <c r="F522" s="46" t="s">
        <v>3348</v>
      </c>
      <c r="G522" s="46" t="s">
        <v>22</v>
      </c>
      <c r="H522" s="47">
        <v>4714781021029</v>
      </c>
      <c r="I522" s="46" t="s">
        <v>3234</v>
      </c>
      <c r="J522" s="46" t="s">
        <v>3160</v>
      </c>
      <c r="K522" s="46">
        <v>2</v>
      </c>
      <c r="L522" s="46">
        <v>266</v>
      </c>
      <c r="N522" s="46" t="s">
        <v>2072</v>
      </c>
      <c r="P522" s="52">
        <v>798</v>
      </c>
      <c r="Q522" s="52" t="s">
        <v>22</v>
      </c>
      <c r="R522" s="52" t="s">
        <v>23</v>
      </c>
      <c r="T522" s="52"/>
      <c r="U522" s="52"/>
      <c r="V522" s="52"/>
      <c r="W522" s="52">
        <v>513</v>
      </c>
      <c r="X522" s="52" t="s">
        <v>528</v>
      </c>
      <c r="Y522" s="52"/>
      <c r="Z522" s="46" t="s">
        <v>525</v>
      </c>
    </row>
    <row r="523" spans="1:26">
      <c r="A523" s="49">
        <v>44366</v>
      </c>
      <c r="B523" s="48">
        <v>202106191124</v>
      </c>
      <c r="C523" s="46" t="s">
        <v>3350</v>
      </c>
      <c r="D523" s="46" t="s">
        <v>3397</v>
      </c>
      <c r="E523" s="46" t="s">
        <v>527</v>
      </c>
      <c r="F523" s="46" t="s">
        <v>3348</v>
      </c>
      <c r="G523" s="46" t="s">
        <v>22</v>
      </c>
      <c r="H523" s="47">
        <v>4714781021609</v>
      </c>
      <c r="I523" s="46" t="s">
        <v>3183</v>
      </c>
      <c r="J523" s="46" t="s">
        <v>3160</v>
      </c>
      <c r="K523" s="46">
        <v>1</v>
      </c>
      <c r="L523" s="46">
        <v>133</v>
      </c>
      <c r="N523" s="46" t="s">
        <v>1454</v>
      </c>
      <c r="P523" s="52">
        <v>798</v>
      </c>
      <c r="Q523" s="52" t="s">
        <v>22</v>
      </c>
      <c r="R523" s="52" t="s">
        <v>23</v>
      </c>
      <c r="T523" s="52"/>
      <c r="U523" s="52"/>
      <c r="V523" s="52"/>
      <c r="W523" s="52">
        <v>513</v>
      </c>
      <c r="X523" s="52" t="s">
        <v>528</v>
      </c>
      <c r="Y523" s="52"/>
      <c r="Z523" s="46" t="s">
        <v>525</v>
      </c>
    </row>
    <row r="524" spans="1:26">
      <c r="A524" s="49">
        <v>44366</v>
      </c>
      <c r="B524" s="48">
        <v>202106191125</v>
      </c>
      <c r="C524" s="46" t="s">
        <v>3350</v>
      </c>
      <c r="D524" s="46" t="s">
        <v>3396</v>
      </c>
      <c r="E524" s="46" t="s">
        <v>516</v>
      </c>
      <c r="F524" s="46" t="s">
        <v>3348</v>
      </c>
      <c r="G524" s="46" t="s">
        <v>39</v>
      </c>
      <c r="H524" s="47">
        <v>4714781021609</v>
      </c>
      <c r="I524" s="46" t="s">
        <v>3183</v>
      </c>
      <c r="J524" s="46" t="s">
        <v>3160</v>
      </c>
      <c r="K524" s="46">
        <v>1</v>
      </c>
      <c r="L524" s="46">
        <v>133</v>
      </c>
      <c r="N524" s="46" t="s">
        <v>1454</v>
      </c>
      <c r="P524" s="52">
        <v>745</v>
      </c>
      <c r="Q524" s="52" t="s">
        <v>39</v>
      </c>
      <c r="R524" s="52" t="s">
        <v>40</v>
      </c>
      <c r="T524" s="52"/>
      <c r="U524" s="52"/>
      <c r="V524" s="52"/>
      <c r="W524" s="52">
        <v>830</v>
      </c>
      <c r="X524" s="52" t="s">
        <v>517</v>
      </c>
      <c r="Y524" s="52"/>
      <c r="Z524" s="46" t="s">
        <v>514</v>
      </c>
    </row>
    <row r="525" spans="1:26">
      <c r="A525" s="49">
        <v>44366</v>
      </c>
      <c r="B525" s="48">
        <v>202106191125</v>
      </c>
      <c r="C525" s="46" t="s">
        <v>3350</v>
      </c>
      <c r="D525" s="46" t="s">
        <v>3396</v>
      </c>
      <c r="E525" s="46" t="s">
        <v>516</v>
      </c>
      <c r="F525" s="46" t="s">
        <v>3348</v>
      </c>
      <c r="G525" s="46" t="s">
        <v>39</v>
      </c>
      <c r="H525" s="47">
        <v>4714781021593</v>
      </c>
      <c r="I525" s="46" t="s">
        <v>3183</v>
      </c>
      <c r="J525" s="46" t="s">
        <v>3160</v>
      </c>
      <c r="K525" s="46">
        <v>1</v>
      </c>
      <c r="L525" s="46">
        <v>133</v>
      </c>
      <c r="N525" s="46" t="s">
        <v>1453</v>
      </c>
      <c r="P525" s="52">
        <v>745</v>
      </c>
      <c r="Q525" s="52" t="s">
        <v>39</v>
      </c>
      <c r="R525" s="52" t="s">
        <v>40</v>
      </c>
      <c r="T525" s="52"/>
      <c r="U525" s="52"/>
      <c r="V525" s="52"/>
      <c r="W525" s="52">
        <v>830</v>
      </c>
      <c r="X525" s="52" t="s">
        <v>517</v>
      </c>
      <c r="Y525" s="52"/>
      <c r="Z525" s="46" t="s">
        <v>514</v>
      </c>
    </row>
    <row r="526" spans="1:26">
      <c r="A526" s="49">
        <v>44366</v>
      </c>
      <c r="B526" s="48">
        <v>202106191125</v>
      </c>
      <c r="C526" s="46" t="s">
        <v>3350</v>
      </c>
      <c r="D526" s="46" t="s">
        <v>3396</v>
      </c>
      <c r="E526" s="46" t="s">
        <v>516</v>
      </c>
      <c r="F526" s="46" t="s">
        <v>3348</v>
      </c>
      <c r="G526" s="46" t="s">
        <v>39</v>
      </c>
      <c r="H526" s="47">
        <v>4714781021029</v>
      </c>
      <c r="I526" s="46" t="s">
        <v>3234</v>
      </c>
      <c r="J526" s="46" t="s">
        <v>3160</v>
      </c>
      <c r="K526" s="46">
        <v>1</v>
      </c>
      <c r="L526" s="46">
        <v>133</v>
      </c>
      <c r="N526" s="46" t="s">
        <v>1452</v>
      </c>
      <c r="P526" s="52">
        <v>745</v>
      </c>
      <c r="Q526" s="52" t="s">
        <v>39</v>
      </c>
      <c r="R526" s="52" t="s">
        <v>40</v>
      </c>
      <c r="T526" s="52"/>
      <c r="U526" s="52"/>
      <c r="V526" s="52"/>
      <c r="W526" s="52">
        <v>830</v>
      </c>
      <c r="X526" s="52" t="s">
        <v>517</v>
      </c>
      <c r="Y526" s="52"/>
      <c r="Z526" s="46" t="s">
        <v>514</v>
      </c>
    </row>
    <row r="527" spans="1:26">
      <c r="A527" s="49">
        <v>44366</v>
      </c>
      <c r="B527" s="48">
        <v>202106191125</v>
      </c>
      <c r="C527" s="46" t="s">
        <v>3350</v>
      </c>
      <c r="D527" s="46" t="s">
        <v>3396</v>
      </c>
      <c r="E527" s="46" t="s">
        <v>516</v>
      </c>
      <c r="F527" s="46" t="s">
        <v>3348</v>
      </c>
      <c r="G527" s="46" t="s">
        <v>39</v>
      </c>
      <c r="H527" s="47">
        <v>4714781021029</v>
      </c>
      <c r="I527" s="46" t="s">
        <v>3234</v>
      </c>
      <c r="J527" s="46" t="s">
        <v>3160</v>
      </c>
      <c r="K527" s="46">
        <v>1</v>
      </c>
      <c r="L527" s="46">
        <v>149</v>
      </c>
      <c r="N527" s="46" t="s">
        <v>519</v>
      </c>
      <c r="P527" s="52">
        <v>745</v>
      </c>
      <c r="Q527" s="52" t="s">
        <v>39</v>
      </c>
      <c r="R527" s="52" t="s">
        <v>40</v>
      </c>
      <c r="T527" s="52"/>
      <c r="U527" s="52"/>
      <c r="V527" s="52"/>
      <c r="W527" s="52">
        <v>830</v>
      </c>
      <c r="X527" s="52" t="s">
        <v>517</v>
      </c>
      <c r="Y527" s="52"/>
      <c r="Z527" s="46" t="s">
        <v>514</v>
      </c>
    </row>
    <row r="528" spans="1:26">
      <c r="A528" s="49">
        <v>44366</v>
      </c>
      <c r="B528" s="48">
        <v>202106191125</v>
      </c>
      <c r="C528" s="46" t="s">
        <v>3350</v>
      </c>
      <c r="D528" s="46" t="s">
        <v>3396</v>
      </c>
      <c r="E528" s="46" t="s">
        <v>516</v>
      </c>
      <c r="F528" s="46" t="s">
        <v>3348</v>
      </c>
      <c r="G528" s="46" t="s">
        <v>39</v>
      </c>
      <c r="H528" s="47">
        <v>4714781020800</v>
      </c>
      <c r="I528" s="46" t="s">
        <v>3220</v>
      </c>
      <c r="J528" s="46" t="s">
        <v>3160</v>
      </c>
      <c r="K528" s="46">
        <v>1</v>
      </c>
      <c r="L528" s="46">
        <v>128</v>
      </c>
      <c r="N528" s="46" t="s">
        <v>66</v>
      </c>
      <c r="P528" s="52">
        <v>745</v>
      </c>
      <c r="Q528" s="52" t="s">
        <v>39</v>
      </c>
      <c r="R528" s="52" t="s">
        <v>40</v>
      </c>
      <c r="T528" s="52"/>
      <c r="U528" s="52"/>
      <c r="V528" s="52"/>
      <c r="W528" s="52">
        <v>830</v>
      </c>
      <c r="X528" s="52" t="s">
        <v>517</v>
      </c>
      <c r="Y528" s="52"/>
      <c r="Z528" s="46" t="s">
        <v>514</v>
      </c>
    </row>
    <row r="529" spans="1:26">
      <c r="A529" s="49">
        <v>44366</v>
      </c>
      <c r="B529" s="48">
        <v>202106191125</v>
      </c>
      <c r="C529" s="46" t="s">
        <v>3350</v>
      </c>
      <c r="D529" s="46" t="s">
        <v>3396</v>
      </c>
      <c r="E529" s="46" t="s">
        <v>516</v>
      </c>
      <c r="F529" s="46" t="s">
        <v>3348</v>
      </c>
      <c r="G529" s="46" t="s">
        <v>39</v>
      </c>
      <c r="H529" s="47">
        <v>4714781021227</v>
      </c>
      <c r="I529" s="46" t="s">
        <v>3220</v>
      </c>
      <c r="J529" s="46" t="s">
        <v>3160</v>
      </c>
      <c r="K529" s="46">
        <v>1</v>
      </c>
      <c r="L529" s="46">
        <v>69</v>
      </c>
      <c r="N529" s="46" t="s">
        <v>522</v>
      </c>
      <c r="P529" s="52">
        <v>745</v>
      </c>
      <c r="Q529" s="52" t="s">
        <v>39</v>
      </c>
      <c r="R529" s="52" t="s">
        <v>40</v>
      </c>
      <c r="T529" s="52"/>
      <c r="U529" s="52"/>
      <c r="V529" s="52"/>
      <c r="W529" s="52">
        <v>830</v>
      </c>
      <c r="X529" s="52" t="s">
        <v>517</v>
      </c>
      <c r="Y529" s="52"/>
      <c r="Z529" s="46" t="s">
        <v>514</v>
      </c>
    </row>
    <row r="530" spans="1:26">
      <c r="A530" s="49">
        <v>44366</v>
      </c>
      <c r="B530" s="48">
        <v>202106191126</v>
      </c>
      <c r="C530" s="46" t="s">
        <v>3350</v>
      </c>
      <c r="D530" s="46" t="s">
        <v>3395</v>
      </c>
      <c r="E530" s="46" t="s">
        <v>1156</v>
      </c>
      <c r="F530" s="46" t="s">
        <v>3348</v>
      </c>
      <c r="G530" s="46" t="s">
        <v>633</v>
      </c>
      <c r="H530" s="47">
        <v>4714781021609</v>
      </c>
      <c r="I530" s="46" t="s">
        <v>3183</v>
      </c>
      <c r="J530" s="46" t="s">
        <v>3160</v>
      </c>
      <c r="K530" s="46">
        <v>1</v>
      </c>
      <c r="L530" s="46">
        <v>133</v>
      </c>
      <c r="N530" s="46" t="s">
        <v>1454</v>
      </c>
      <c r="P530" s="52">
        <v>464</v>
      </c>
      <c r="Q530" s="52" t="s">
        <v>633</v>
      </c>
      <c r="R530" s="52" t="s">
        <v>634</v>
      </c>
      <c r="T530" s="52">
        <v>167086</v>
      </c>
      <c r="U530" s="52" t="s">
        <v>1157</v>
      </c>
      <c r="V530" s="52" t="s">
        <v>1158</v>
      </c>
      <c r="W530" s="52"/>
      <c r="X530" s="52"/>
      <c r="Y530" s="52"/>
      <c r="Z530" s="46" t="s">
        <v>1154</v>
      </c>
    </row>
    <row r="531" spans="1:26">
      <c r="A531" s="49">
        <v>44366</v>
      </c>
      <c r="B531" s="48">
        <v>202106191126</v>
      </c>
      <c r="C531" s="46" t="s">
        <v>3350</v>
      </c>
      <c r="D531" s="46" t="s">
        <v>3395</v>
      </c>
      <c r="E531" s="46" t="s">
        <v>1156</v>
      </c>
      <c r="F531" s="46" t="s">
        <v>3348</v>
      </c>
      <c r="G531" s="46" t="s">
        <v>633</v>
      </c>
      <c r="H531" s="47">
        <v>4714781021593</v>
      </c>
      <c r="I531" s="46" t="s">
        <v>3183</v>
      </c>
      <c r="J531" s="46" t="s">
        <v>3160</v>
      </c>
      <c r="K531" s="46">
        <v>1</v>
      </c>
      <c r="L531" s="46">
        <v>133</v>
      </c>
      <c r="N531" s="46" t="s">
        <v>1453</v>
      </c>
      <c r="P531" s="52">
        <v>464</v>
      </c>
      <c r="Q531" s="52" t="s">
        <v>633</v>
      </c>
      <c r="R531" s="52" t="s">
        <v>634</v>
      </c>
      <c r="T531" s="52">
        <v>167086</v>
      </c>
      <c r="U531" s="52" t="s">
        <v>1157</v>
      </c>
      <c r="V531" s="52" t="s">
        <v>1158</v>
      </c>
      <c r="W531" s="52"/>
      <c r="X531" s="52"/>
      <c r="Y531" s="52"/>
      <c r="Z531" s="46" t="s">
        <v>1154</v>
      </c>
    </row>
    <row r="532" spans="1:26">
      <c r="A532" s="49">
        <v>44366</v>
      </c>
      <c r="B532" s="48">
        <v>202106191126</v>
      </c>
      <c r="C532" s="46" t="s">
        <v>3350</v>
      </c>
      <c r="D532" s="46" t="s">
        <v>3395</v>
      </c>
      <c r="E532" s="46" t="s">
        <v>1156</v>
      </c>
      <c r="F532" s="46" t="s">
        <v>3348</v>
      </c>
      <c r="G532" s="46" t="s">
        <v>633</v>
      </c>
      <c r="H532" s="47">
        <v>4714781021029</v>
      </c>
      <c r="I532" s="46" t="s">
        <v>3234</v>
      </c>
      <c r="J532" s="46" t="s">
        <v>3160</v>
      </c>
      <c r="K532" s="46">
        <v>1</v>
      </c>
      <c r="L532" s="46">
        <v>133</v>
      </c>
      <c r="N532" s="46" t="s">
        <v>1452</v>
      </c>
      <c r="P532" s="52">
        <v>464</v>
      </c>
      <c r="Q532" s="52" t="s">
        <v>633</v>
      </c>
      <c r="R532" s="52" t="s">
        <v>634</v>
      </c>
      <c r="T532" s="52">
        <v>167086</v>
      </c>
      <c r="U532" s="52" t="s">
        <v>1157</v>
      </c>
      <c r="V532" s="52" t="s">
        <v>1158</v>
      </c>
      <c r="W532" s="52"/>
      <c r="X532" s="52"/>
      <c r="Y532" s="52"/>
      <c r="Z532" s="46" t="s">
        <v>1154</v>
      </c>
    </row>
    <row r="533" spans="1:26">
      <c r="A533" s="49">
        <v>44366</v>
      </c>
      <c r="B533" s="48">
        <v>202106191126</v>
      </c>
      <c r="C533" s="46" t="s">
        <v>3350</v>
      </c>
      <c r="D533" s="46" t="s">
        <v>3395</v>
      </c>
      <c r="E533" s="46" t="s">
        <v>1156</v>
      </c>
      <c r="F533" s="46" t="s">
        <v>3348</v>
      </c>
      <c r="G533" s="46" t="s">
        <v>633</v>
      </c>
      <c r="H533" s="47" t="s">
        <v>3347</v>
      </c>
      <c r="J533" s="46" t="s">
        <v>3346</v>
      </c>
      <c r="K533" s="46">
        <v>1</v>
      </c>
      <c r="L533" s="46">
        <v>65</v>
      </c>
      <c r="P533" s="52"/>
      <c r="Q533" s="52"/>
      <c r="R533" s="52"/>
      <c r="T533" s="52"/>
      <c r="U533" s="52"/>
      <c r="V533" s="52"/>
      <c r="W533" s="52"/>
      <c r="X533" s="52"/>
      <c r="Y533" s="52"/>
    </row>
    <row r="534" spans="1:26">
      <c r="A534" s="49">
        <v>44366</v>
      </c>
      <c r="B534" s="48">
        <v>202106191127</v>
      </c>
      <c r="C534" s="46" t="s">
        <v>3350</v>
      </c>
      <c r="D534" s="46" t="s">
        <v>3394</v>
      </c>
      <c r="E534" s="46" t="s">
        <v>508</v>
      </c>
      <c r="F534" s="46" t="s">
        <v>3348</v>
      </c>
      <c r="G534" s="46" t="s">
        <v>39</v>
      </c>
      <c r="H534" s="47">
        <v>4714781024815</v>
      </c>
      <c r="I534" s="46" t="s">
        <v>3165</v>
      </c>
      <c r="J534" s="46" t="s">
        <v>3160</v>
      </c>
      <c r="K534" s="46">
        <v>1</v>
      </c>
      <c r="L534" s="46">
        <v>676</v>
      </c>
      <c r="N534" s="46" t="s">
        <v>510</v>
      </c>
      <c r="P534" s="52">
        <v>1396</v>
      </c>
      <c r="Q534" s="52" t="s">
        <v>39</v>
      </c>
      <c r="R534" s="52" t="s">
        <v>59</v>
      </c>
      <c r="T534" s="52"/>
      <c r="U534" s="52"/>
      <c r="V534" s="52"/>
      <c r="W534" s="52">
        <v>104</v>
      </c>
      <c r="X534" s="52" t="s">
        <v>512</v>
      </c>
      <c r="Y534" s="52"/>
      <c r="Z534" s="46" t="s">
        <v>506</v>
      </c>
    </row>
    <row r="535" spans="1:26">
      <c r="A535" s="49">
        <v>44366</v>
      </c>
      <c r="B535" s="48">
        <v>202106191127</v>
      </c>
      <c r="C535" s="46" t="s">
        <v>3350</v>
      </c>
      <c r="D535" s="46" t="s">
        <v>3394</v>
      </c>
      <c r="E535" s="46" t="s">
        <v>508</v>
      </c>
      <c r="F535" s="46" t="s">
        <v>3348</v>
      </c>
      <c r="G535" s="46" t="s">
        <v>39</v>
      </c>
      <c r="H535" s="47" t="s">
        <v>1327</v>
      </c>
      <c r="I535" s="46" t="s">
        <v>3312</v>
      </c>
      <c r="J535" s="46" t="s">
        <v>3160</v>
      </c>
      <c r="K535" s="46">
        <v>2</v>
      </c>
      <c r="L535" s="46">
        <v>720</v>
      </c>
      <c r="N535" s="46" t="s">
        <v>1326</v>
      </c>
      <c r="P535" s="52">
        <v>1396</v>
      </c>
      <c r="Q535" s="52" t="s">
        <v>39</v>
      </c>
      <c r="R535" s="52" t="s">
        <v>59</v>
      </c>
      <c r="T535" s="52"/>
      <c r="U535" s="52"/>
      <c r="V535" s="52"/>
      <c r="W535" s="52">
        <v>104</v>
      </c>
      <c r="X535" s="52" t="s">
        <v>512</v>
      </c>
      <c r="Y535" s="52"/>
      <c r="Z535" s="46" t="s">
        <v>506</v>
      </c>
    </row>
    <row r="536" spans="1:26">
      <c r="A536" s="49">
        <v>44366</v>
      </c>
      <c r="B536" s="48">
        <v>202106191128</v>
      </c>
      <c r="C536" s="46" t="s">
        <v>3350</v>
      </c>
      <c r="D536" s="46" t="s">
        <v>3393</v>
      </c>
      <c r="E536" s="46" t="s">
        <v>501</v>
      </c>
      <c r="F536" s="46" t="s">
        <v>3348</v>
      </c>
      <c r="G536" s="46" t="s">
        <v>22</v>
      </c>
      <c r="H536" s="47" t="s">
        <v>1512</v>
      </c>
      <c r="I536" s="46" t="s">
        <v>3194</v>
      </c>
      <c r="J536" s="46" t="s">
        <v>3160</v>
      </c>
      <c r="K536" s="46">
        <v>1</v>
      </c>
      <c r="L536" s="46">
        <v>150</v>
      </c>
      <c r="N536" s="46" t="s">
        <v>1511</v>
      </c>
      <c r="P536" s="52">
        <v>879</v>
      </c>
      <c r="Q536" s="52" t="s">
        <v>22</v>
      </c>
      <c r="R536" s="52" t="s">
        <v>23</v>
      </c>
      <c r="T536" s="52"/>
      <c r="U536" s="52"/>
      <c r="V536" s="52"/>
      <c r="W536" s="52">
        <v>404</v>
      </c>
      <c r="X536" s="52" t="s">
        <v>502</v>
      </c>
      <c r="Y536" s="52"/>
      <c r="Z536" s="46" t="s">
        <v>499</v>
      </c>
    </row>
    <row r="537" spans="1:26">
      <c r="A537" s="49">
        <v>44366</v>
      </c>
      <c r="B537" s="48">
        <v>202106191128</v>
      </c>
      <c r="C537" s="46" t="s">
        <v>3350</v>
      </c>
      <c r="D537" s="46" t="s">
        <v>3393</v>
      </c>
      <c r="E537" s="46" t="s">
        <v>501</v>
      </c>
      <c r="F537" s="46" t="s">
        <v>3348</v>
      </c>
      <c r="G537" s="46" t="s">
        <v>22</v>
      </c>
      <c r="H537" s="47" t="s">
        <v>1517</v>
      </c>
      <c r="I537" s="46" t="s">
        <v>3295</v>
      </c>
      <c r="J537" s="46" t="s">
        <v>3160</v>
      </c>
      <c r="K537" s="46">
        <v>1</v>
      </c>
      <c r="L537" s="46">
        <v>150</v>
      </c>
      <c r="N537" s="46" t="s">
        <v>1516</v>
      </c>
      <c r="P537" s="52">
        <v>879</v>
      </c>
      <c r="Q537" s="52" t="s">
        <v>22</v>
      </c>
      <c r="R537" s="52" t="s">
        <v>23</v>
      </c>
      <c r="T537" s="52"/>
      <c r="U537" s="52"/>
      <c r="V537" s="52"/>
      <c r="W537" s="52">
        <v>404</v>
      </c>
      <c r="X537" s="52" t="s">
        <v>502</v>
      </c>
      <c r="Y537" s="52"/>
      <c r="Z537" s="46" t="s">
        <v>499</v>
      </c>
    </row>
    <row r="538" spans="1:26">
      <c r="A538" s="49">
        <v>44366</v>
      </c>
      <c r="B538" s="48">
        <v>202106191128</v>
      </c>
      <c r="C538" s="46" t="s">
        <v>3350</v>
      </c>
      <c r="D538" s="46" t="s">
        <v>3393</v>
      </c>
      <c r="E538" s="46" t="s">
        <v>501</v>
      </c>
      <c r="F538" s="46" t="s">
        <v>3348</v>
      </c>
      <c r="G538" s="46" t="s">
        <v>22</v>
      </c>
      <c r="H538" s="47" t="s">
        <v>1514</v>
      </c>
      <c r="I538" s="46" t="s">
        <v>3295</v>
      </c>
      <c r="J538" s="46" t="s">
        <v>3160</v>
      </c>
      <c r="K538" s="46">
        <v>1</v>
      </c>
      <c r="L538" s="46">
        <v>150</v>
      </c>
      <c r="N538" s="46" t="s">
        <v>1513</v>
      </c>
      <c r="P538" s="52">
        <v>879</v>
      </c>
      <c r="Q538" s="52" t="s">
        <v>22</v>
      </c>
      <c r="R538" s="52" t="s">
        <v>23</v>
      </c>
      <c r="T538" s="52"/>
      <c r="U538" s="52"/>
      <c r="V538" s="52"/>
      <c r="W538" s="52">
        <v>404</v>
      </c>
      <c r="X538" s="52" t="s">
        <v>502</v>
      </c>
      <c r="Y538" s="52"/>
      <c r="Z538" s="46" t="s">
        <v>499</v>
      </c>
    </row>
    <row r="539" spans="1:26">
      <c r="A539" s="49">
        <v>44366</v>
      </c>
      <c r="B539" s="48">
        <v>202106191128</v>
      </c>
      <c r="C539" s="46" t="s">
        <v>3350</v>
      </c>
      <c r="D539" s="46" t="s">
        <v>3393</v>
      </c>
      <c r="E539" s="46" t="s">
        <v>501</v>
      </c>
      <c r="F539" s="46" t="s">
        <v>3348</v>
      </c>
      <c r="G539" s="46" t="s">
        <v>22</v>
      </c>
      <c r="H539" s="47">
        <v>4714781020954</v>
      </c>
      <c r="I539" s="46" t="s">
        <v>3250</v>
      </c>
      <c r="J539" s="46" t="s">
        <v>3160</v>
      </c>
      <c r="K539" s="46">
        <v>1</v>
      </c>
      <c r="L539" s="46">
        <v>149</v>
      </c>
      <c r="N539" s="46" t="s">
        <v>139</v>
      </c>
      <c r="P539" s="52">
        <v>879</v>
      </c>
      <c r="Q539" s="52" t="s">
        <v>22</v>
      </c>
      <c r="R539" s="52" t="s">
        <v>23</v>
      </c>
      <c r="T539" s="52"/>
      <c r="U539" s="52"/>
      <c r="V539" s="52"/>
      <c r="W539" s="52">
        <v>404</v>
      </c>
      <c r="X539" s="52" t="s">
        <v>502</v>
      </c>
      <c r="Y539" s="52"/>
      <c r="Z539" s="46" t="s">
        <v>499</v>
      </c>
    </row>
    <row r="540" spans="1:26">
      <c r="A540" s="49">
        <v>44366</v>
      </c>
      <c r="B540" s="48">
        <v>202106191128</v>
      </c>
      <c r="C540" s="46" t="s">
        <v>3350</v>
      </c>
      <c r="D540" s="46" t="s">
        <v>3393</v>
      </c>
      <c r="E540" s="46" t="s">
        <v>501</v>
      </c>
      <c r="F540" s="46" t="s">
        <v>3348</v>
      </c>
      <c r="G540" s="46" t="s">
        <v>22</v>
      </c>
      <c r="H540" s="47" t="s">
        <v>1491</v>
      </c>
      <c r="I540" s="46" t="s">
        <v>3273</v>
      </c>
      <c r="J540" s="46" t="s">
        <v>3160</v>
      </c>
      <c r="K540" s="46">
        <v>2</v>
      </c>
      <c r="L540" s="46">
        <v>280</v>
      </c>
      <c r="N540" s="46" t="s">
        <v>1490</v>
      </c>
      <c r="P540" s="52">
        <v>879</v>
      </c>
      <c r="Q540" s="52" t="s">
        <v>22</v>
      </c>
      <c r="R540" s="52" t="s">
        <v>23</v>
      </c>
      <c r="T540" s="52"/>
      <c r="U540" s="52"/>
      <c r="V540" s="52"/>
      <c r="W540" s="52">
        <v>404</v>
      </c>
      <c r="X540" s="52" t="s">
        <v>502</v>
      </c>
      <c r="Y540" s="52"/>
      <c r="Z540" s="46" t="s">
        <v>499</v>
      </c>
    </row>
    <row r="541" spans="1:26">
      <c r="A541" s="49">
        <v>44366</v>
      </c>
      <c r="B541" s="48">
        <v>202106191129</v>
      </c>
      <c r="C541" s="46" t="s">
        <v>3350</v>
      </c>
      <c r="D541" s="46" t="s">
        <v>3392</v>
      </c>
      <c r="E541" s="46" t="s">
        <v>1162</v>
      </c>
      <c r="F541" s="46" t="s">
        <v>3348</v>
      </c>
      <c r="G541" s="46" t="s">
        <v>633</v>
      </c>
      <c r="H541" s="47">
        <v>4714781021593</v>
      </c>
      <c r="I541" s="46" t="s">
        <v>3183</v>
      </c>
      <c r="J541" s="46" t="s">
        <v>3160</v>
      </c>
      <c r="K541" s="46">
        <v>2</v>
      </c>
      <c r="L541" s="46">
        <v>266</v>
      </c>
      <c r="N541" s="46" t="s">
        <v>1453</v>
      </c>
      <c r="P541" s="52">
        <v>609</v>
      </c>
      <c r="Q541" s="52" t="s">
        <v>633</v>
      </c>
      <c r="R541" s="52" t="s">
        <v>634</v>
      </c>
      <c r="T541" s="52">
        <v>190019</v>
      </c>
      <c r="U541" s="52" t="s">
        <v>1163</v>
      </c>
      <c r="V541" s="52" t="s">
        <v>1164</v>
      </c>
      <c r="W541" s="52"/>
      <c r="X541" s="52"/>
      <c r="Y541" s="52"/>
      <c r="Z541" s="46" t="s">
        <v>1160</v>
      </c>
    </row>
    <row r="542" spans="1:26">
      <c r="A542" s="49">
        <v>44366</v>
      </c>
      <c r="B542" s="48">
        <v>202106191129</v>
      </c>
      <c r="C542" s="46" t="s">
        <v>3350</v>
      </c>
      <c r="D542" s="46" t="s">
        <v>3392</v>
      </c>
      <c r="E542" s="46" t="s">
        <v>1162</v>
      </c>
      <c r="F542" s="46" t="s">
        <v>3348</v>
      </c>
      <c r="G542" s="46" t="s">
        <v>633</v>
      </c>
      <c r="H542" s="47">
        <v>4714781021609</v>
      </c>
      <c r="I542" s="46" t="s">
        <v>3183</v>
      </c>
      <c r="J542" s="46" t="s">
        <v>3160</v>
      </c>
      <c r="K542" s="46">
        <v>1</v>
      </c>
      <c r="L542" s="46">
        <v>133</v>
      </c>
      <c r="N542" s="46" t="s">
        <v>1454</v>
      </c>
      <c r="P542" s="52">
        <v>609</v>
      </c>
      <c r="Q542" s="52" t="s">
        <v>633</v>
      </c>
      <c r="R542" s="52" t="s">
        <v>634</v>
      </c>
      <c r="T542" s="52">
        <v>190019</v>
      </c>
      <c r="U542" s="52" t="s">
        <v>1163</v>
      </c>
      <c r="V542" s="52" t="s">
        <v>1164</v>
      </c>
      <c r="W542" s="52"/>
      <c r="X542" s="52"/>
      <c r="Y542" s="52"/>
      <c r="Z542" s="46" t="s">
        <v>1160</v>
      </c>
    </row>
    <row r="543" spans="1:26">
      <c r="A543" s="49">
        <v>44366</v>
      </c>
      <c r="B543" s="48">
        <v>202106191129</v>
      </c>
      <c r="C543" s="46" t="s">
        <v>3350</v>
      </c>
      <c r="D543" s="46" t="s">
        <v>3392</v>
      </c>
      <c r="E543" s="46" t="s">
        <v>1162</v>
      </c>
      <c r="F543" s="46" t="s">
        <v>3348</v>
      </c>
      <c r="G543" s="46" t="s">
        <v>633</v>
      </c>
      <c r="H543" s="47">
        <v>4714781020954</v>
      </c>
      <c r="I543" s="46" t="s">
        <v>3250</v>
      </c>
      <c r="J543" s="46" t="s">
        <v>3160</v>
      </c>
      <c r="K543" s="46">
        <v>1</v>
      </c>
      <c r="L543" s="46">
        <v>145</v>
      </c>
      <c r="N543" s="46" t="s">
        <v>361</v>
      </c>
      <c r="P543" s="52">
        <v>609</v>
      </c>
      <c r="Q543" s="52" t="s">
        <v>633</v>
      </c>
      <c r="R543" s="52" t="s">
        <v>634</v>
      </c>
      <c r="T543" s="52">
        <v>190019</v>
      </c>
      <c r="U543" s="52" t="s">
        <v>1163</v>
      </c>
      <c r="V543" s="52" t="s">
        <v>1164</v>
      </c>
      <c r="W543" s="52"/>
      <c r="X543" s="52"/>
      <c r="Y543" s="52"/>
      <c r="Z543" s="46" t="s">
        <v>1160</v>
      </c>
    </row>
    <row r="544" spans="1:26">
      <c r="A544" s="49">
        <v>44366</v>
      </c>
      <c r="B544" s="48">
        <v>202106191129</v>
      </c>
      <c r="C544" s="46" t="s">
        <v>3350</v>
      </c>
      <c r="D544" s="46" t="s">
        <v>3392</v>
      </c>
      <c r="E544" s="46" t="s">
        <v>1162</v>
      </c>
      <c r="F544" s="46" t="s">
        <v>3348</v>
      </c>
      <c r="G544" s="46" t="s">
        <v>633</v>
      </c>
      <c r="H544" s="47" t="s">
        <v>3347</v>
      </c>
      <c r="J544" s="46" t="s">
        <v>3346</v>
      </c>
      <c r="K544" s="46">
        <v>1</v>
      </c>
      <c r="L544" s="46">
        <v>65</v>
      </c>
      <c r="P544" s="52"/>
      <c r="Q544" s="52"/>
      <c r="R544" s="52"/>
      <c r="T544" s="52"/>
      <c r="U544" s="52"/>
      <c r="V544" s="52"/>
      <c r="W544" s="52"/>
      <c r="X544" s="52"/>
      <c r="Y544" s="52"/>
    </row>
    <row r="545" spans="1:26">
      <c r="A545" s="49">
        <v>44366</v>
      </c>
      <c r="B545" s="48">
        <v>202106191130</v>
      </c>
      <c r="C545" s="46" t="s">
        <v>3350</v>
      </c>
      <c r="D545" s="46" t="s">
        <v>3391</v>
      </c>
      <c r="E545" s="46" t="s">
        <v>1168</v>
      </c>
      <c r="F545" s="46" t="s">
        <v>3348</v>
      </c>
      <c r="G545" s="46" t="s">
        <v>633</v>
      </c>
      <c r="H545" s="47">
        <v>4714781021609</v>
      </c>
      <c r="I545" s="46" t="s">
        <v>3183</v>
      </c>
      <c r="J545" s="46" t="s">
        <v>3160</v>
      </c>
      <c r="K545" s="46">
        <v>1</v>
      </c>
      <c r="L545" s="46">
        <v>133</v>
      </c>
      <c r="N545" s="46" t="s">
        <v>1454</v>
      </c>
      <c r="P545" s="52">
        <v>609</v>
      </c>
      <c r="Q545" s="52" t="s">
        <v>633</v>
      </c>
      <c r="R545" s="52" t="s">
        <v>634</v>
      </c>
      <c r="T545" s="52">
        <v>171421</v>
      </c>
      <c r="U545" s="52" t="s">
        <v>1169</v>
      </c>
      <c r="V545" s="52" t="s">
        <v>1170</v>
      </c>
      <c r="W545" s="52"/>
      <c r="X545" s="52"/>
      <c r="Y545" s="52"/>
      <c r="Z545" s="46" t="s">
        <v>1166</v>
      </c>
    </row>
    <row r="546" spans="1:26">
      <c r="A546" s="49">
        <v>44366</v>
      </c>
      <c r="B546" s="48">
        <v>202106191130</v>
      </c>
      <c r="C546" s="46" t="s">
        <v>3350</v>
      </c>
      <c r="D546" s="46" t="s">
        <v>3391</v>
      </c>
      <c r="E546" s="46" t="s">
        <v>1168</v>
      </c>
      <c r="F546" s="46" t="s">
        <v>3348</v>
      </c>
      <c r="G546" s="46" t="s">
        <v>633</v>
      </c>
      <c r="H546" s="47">
        <v>4714781021593</v>
      </c>
      <c r="I546" s="46" t="s">
        <v>3183</v>
      </c>
      <c r="J546" s="46" t="s">
        <v>3160</v>
      </c>
      <c r="K546" s="46">
        <v>1</v>
      </c>
      <c r="L546" s="46">
        <v>133</v>
      </c>
      <c r="N546" s="46" t="s">
        <v>1453</v>
      </c>
      <c r="P546" s="52">
        <v>609</v>
      </c>
      <c r="Q546" s="52" t="s">
        <v>633</v>
      </c>
      <c r="R546" s="52" t="s">
        <v>634</v>
      </c>
      <c r="T546" s="52">
        <v>171421</v>
      </c>
      <c r="U546" s="52" t="s">
        <v>1169</v>
      </c>
      <c r="V546" s="52" t="s">
        <v>1170</v>
      </c>
      <c r="W546" s="52"/>
      <c r="X546" s="52"/>
      <c r="Y546" s="52"/>
      <c r="Z546" s="46" t="s">
        <v>1166</v>
      </c>
    </row>
    <row r="547" spans="1:26">
      <c r="A547" s="49">
        <v>44366</v>
      </c>
      <c r="B547" s="48">
        <v>202106191130</v>
      </c>
      <c r="C547" s="46" t="s">
        <v>3350</v>
      </c>
      <c r="D547" s="46" t="s">
        <v>3391</v>
      </c>
      <c r="E547" s="46" t="s">
        <v>1168</v>
      </c>
      <c r="F547" s="46" t="s">
        <v>3348</v>
      </c>
      <c r="G547" s="46" t="s">
        <v>633</v>
      </c>
      <c r="H547" s="47">
        <v>4714781021029</v>
      </c>
      <c r="I547" s="46" t="s">
        <v>3234</v>
      </c>
      <c r="J547" s="46" t="s">
        <v>3160</v>
      </c>
      <c r="K547" s="46">
        <v>1</v>
      </c>
      <c r="L547" s="46">
        <v>133</v>
      </c>
      <c r="N547" s="46" t="s">
        <v>1452</v>
      </c>
      <c r="P547" s="52">
        <v>609</v>
      </c>
      <c r="Q547" s="52" t="s">
        <v>633</v>
      </c>
      <c r="R547" s="52" t="s">
        <v>634</v>
      </c>
      <c r="T547" s="52">
        <v>171421</v>
      </c>
      <c r="U547" s="52" t="s">
        <v>1169</v>
      </c>
      <c r="V547" s="52" t="s">
        <v>1170</v>
      </c>
      <c r="W547" s="52"/>
      <c r="X547" s="52"/>
      <c r="Y547" s="52"/>
      <c r="Z547" s="46" t="s">
        <v>1166</v>
      </c>
    </row>
    <row r="548" spans="1:26">
      <c r="A548" s="49">
        <v>44366</v>
      </c>
      <c r="B548" s="48">
        <v>202106191130</v>
      </c>
      <c r="C548" s="46" t="s">
        <v>3350</v>
      </c>
      <c r="D548" s="46" t="s">
        <v>3391</v>
      </c>
      <c r="E548" s="46" t="s">
        <v>1168</v>
      </c>
      <c r="F548" s="46" t="s">
        <v>3348</v>
      </c>
      <c r="G548" s="46" t="s">
        <v>633</v>
      </c>
      <c r="H548" s="47">
        <v>4714781020954</v>
      </c>
      <c r="I548" s="46" t="s">
        <v>3250</v>
      </c>
      <c r="J548" s="46" t="s">
        <v>3160</v>
      </c>
      <c r="K548" s="46">
        <v>1</v>
      </c>
      <c r="L548" s="46">
        <v>145</v>
      </c>
      <c r="N548" s="46" t="s">
        <v>361</v>
      </c>
      <c r="P548" s="52">
        <v>609</v>
      </c>
      <c r="Q548" s="52" t="s">
        <v>633</v>
      </c>
      <c r="R548" s="52" t="s">
        <v>634</v>
      </c>
      <c r="T548" s="52">
        <v>171421</v>
      </c>
      <c r="U548" s="52" t="s">
        <v>1169</v>
      </c>
      <c r="V548" s="52" t="s">
        <v>1170</v>
      </c>
      <c r="W548" s="52"/>
      <c r="X548" s="52"/>
      <c r="Y548" s="52"/>
      <c r="Z548" s="46" t="s">
        <v>1166</v>
      </c>
    </row>
    <row r="549" spans="1:26">
      <c r="A549" s="49">
        <v>44366</v>
      </c>
      <c r="B549" s="48">
        <v>202106191130</v>
      </c>
      <c r="C549" s="46" t="s">
        <v>3350</v>
      </c>
      <c r="D549" s="46" t="s">
        <v>3391</v>
      </c>
      <c r="E549" s="46" t="s">
        <v>1168</v>
      </c>
      <c r="F549" s="46" t="s">
        <v>3348</v>
      </c>
      <c r="G549" s="46" t="s">
        <v>633</v>
      </c>
      <c r="H549" s="47" t="s">
        <v>3347</v>
      </c>
      <c r="J549" s="46" t="s">
        <v>3346</v>
      </c>
      <c r="K549" s="46">
        <v>1</v>
      </c>
      <c r="L549" s="46">
        <v>65</v>
      </c>
      <c r="P549" s="52"/>
      <c r="Q549" s="52"/>
      <c r="R549" s="52"/>
      <c r="T549" s="52"/>
      <c r="U549" s="52"/>
      <c r="V549" s="52"/>
      <c r="W549" s="52"/>
      <c r="X549" s="52"/>
      <c r="Y549" s="52"/>
    </row>
    <row r="550" spans="1:26">
      <c r="A550" s="49">
        <v>44366</v>
      </c>
      <c r="B550" s="48">
        <v>202106191131</v>
      </c>
      <c r="C550" s="46" t="s">
        <v>3350</v>
      </c>
      <c r="D550" s="46" t="s">
        <v>3390</v>
      </c>
      <c r="E550" s="46" t="s">
        <v>1174</v>
      </c>
      <c r="F550" s="46" t="s">
        <v>3348</v>
      </c>
      <c r="G550" s="46" t="s">
        <v>633</v>
      </c>
      <c r="H550" s="47">
        <v>4714781021609</v>
      </c>
      <c r="I550" s="46" t="s">
        <v>3183</v>
      </c>
      <c r="J550" s="46" t="s">
        <v>3160</v>
      </c>
      <c r="K550" s="46">
        <v>1</v>
      </c>
      <c r="L550" s="46">
        <v>133</v>
      </c>
      <c r="N550" s="46" t="s">
        <v>1454</v>
      </c>
      <c r="P550" s="52">
        <v>833</v>
      </c>
      <c r="Q550" s="52" t="s">
        <v>633</v>
      </c>
      <c r="R550" s="52" t="s">
        <v>634</v>
      </c>
      <c r="T550" s="52">
        <v>213590</v>
      </c>
      <c r="U550" s="52" t="s">
        <v>1175</v>
      </c>
      <c r="V550" s="52" t="s">
        <v>1176</v>
      </c>
      <c r="W550" s="52"/>
      <c r="X550" s="52"/>
      <c r="Y550" s="52"/>
      <c r="Z550" s="46" t="s">
        <v>1172</v>
      </c>
    </row>
    <row r="551" spans="1:26">
      <c r="A551" s="49">
        <v>44366</v>
      </c>
      <c r="B551" s="48">
        <v>202106191131</v>
      </c>
      <c r="C551" s="46" t="s">
        <v>3350</v>
      </c>
      <c r="D551" s="46" t="s">
        <v>3390</v>
      </c>
      <c r="E551" s="46" t="s">
        <v>1174</v>
      </c>
      <c r="F551" s="46" t="s">
        <v>3348</v>
      </c>
      <c r="G551" s="46" t="s">
        <v>633</v>
      </c>
      <c r="H551" s="47">
        <v>4714781021593</v>
      </c>
      <c r="I551" s="46" t="s">
        <v>3183</v>
      </c>
      <c r="J551" s="46" t="s">
        <v>3160</v>
      </c>
      <c r="K551" s="46">
        <v>1</v>
      </c>
      <c r="L551" s="46">
        <v>133</v>
      </c>
      <c r="N551" s="46" t="s">
        <v>1453</v>
      </c>
      <c r="P551" s="52">
        <v>833</v>
      </c>
      <c r="Q551" s="52" t="s">
        <v>633</v>
      </c>
      <c r="R551" s="52" t="s">
        <v>634</v>
      </c>
      <c r="T551" s="52">
        <v>213590</v>
      </c>
      <c r="U551" s="52" t="s">
        <v>1175</v>
      </c>
      <c r="V551" s="52" t="s">
        <v>1176</v>
      </c>
      <c r="W551" s="52"/>
      <c r="X551" s="52"/>
      <c r="Y551" s="52"/>
      <c r="Z551" s="46" t="s">
        <v>1172</v>
      </c>
    </row>
    <row r="552" spans="1:26">
      <c r="A552" s="49">
        <v>44366</v>
      </c>
      <c r="B552" s="48">
        <v>202106191131</v>
      </c>
      <c r="C552" s="46" t="s">
        <v>3350</v>
      </c>
      <c r="D552" s="46" t="s">
        <v>3390</v>
      </c>
      <c r="E552" s="46" t="s">
        <v>1174</v>
      </c>
      <c r="F552" s="46" t="s">
        <v>3348</v>
      </c>
      <c r="G552" s="46" t="s">
        <v>633</v>
      </c>
      <c r="H552" s="47">
        <v>4714781021029</v>
      </c>
      <c r="I552" s="46" t="s">
        <v>3234</v>
      </c>
      <c r="J552" s="46" t="s">
        <v>3160</v>
      </c>
      <c r="K552" s="46">
        <v>1</v>
      </c>
      <c r="L552" s="46">
        <v>133</v>
      </c>
      <c r="N552" s="46" t="s">
        <v>1452</v>
      </c>
      <c r="P552" s="52">
        <v>833</v>
      </c>
      <c r="Q552" s="52" t="s">
        <v>633</v>
      </c>
      <c r="R552" s="52" t="s">
        <v>634</v>
      </c>
      <c r="T552" s="52">
        <v>213590</v>
      </c>
      <c r="U552" s="52" t="s">
        <v>1175</v>
      </c>
      <c r="V552" s="52" t="s">
        <v>1176</v>
      </c>
      <c r="W552" s="52"/>
      <c r="X552" s="52"/>
      <c r="Y552" s="52"/>
      <c r="Z552" s="46" t="s">
        <v>1172</v>
      </c>
    </row>
    <row r="553" spans="1:26">
      <c r="A553" s="49">
        <v>44366</v>
      </c>
      <c r="B553" s="48">
        <v>202106191131</v>
      </c>
      <c r="C553" s="46" t="s">
        <v>3350</v>
      </c>
      <c r="D553" s="46" t="s">
        <v>3390</v>
      </c>
      <c r="E553" s="46" t="s">
        <v>1174</v>
      </c>
      <c r="F553" s="46" t="s">
        <v>3348</v>
      </c>
      <c r="G553" s="46" t="s">
        <v>633</v>
      </c>
      <c r="H553" s="47">
        <v>4714781020787</v>
      </c>
      <c r="I553" s="46" t="s">
        <v>3273</v>
      </c>
      <c r="J553" s="46" t="s">
        <v>3160</v>
      </c>
      <c r="K553" s="46">
        <v>1</v>
      </c>
      <c r="L553" s="46">
        <v>135</v>
      </c>
      <c r="N553" s="46" t="s">
        <v>95</v>
      </c>
      <c r="P553" s="52">
        <v>833</v>
      </c>
      <c r="Q553" s="52" t="s">
        <v>633</v>
      </c>
      <c r="R553" s="52" t="s">
        <v>634</v>
      </c>
      <c r="T553" s="52">
        <v>213590</v>
      </c>
      <c r="U553" s="52" t="s">
        <v>1175</v>
      </c>
      <c r="V553" s="52" t="s">
        <v>1176</v>
      </c>
      <c r="W553" s="52"/>
      <c r="X553" s="52"/>
      <c r="Y553" s="52"/>
      <c r="Z553" s="46" t="s">
        <v>1172</v>
      </c>
    </row>
    <row r="554" spans="1:26">
      <c r="A554" s="49">
        <v>44366</v>
      </c>
      <c r="B554" s="48">
        <v>202106191131</v>
      </c>
      <c r="C554" s="46" t="s">
        <v>3350</v>
      </c>
      <c r="D554" s="46" t="s">
        <v>3390</v>
      </c>
      <c r="E554" s="46" t="s">
        <v>1174</v>
      </c>
      <c r="F554" s="46" t="s">
        <v>3348</v>
      </c>
      <c r="G554" s="46" t="s">
        <v>633</v>
      </c>
      <c r="H554" s="47">
        <v>4714781024730</v>
      </c>
      <c r="I554" s="46" t="s">
        <v>3166</v>
      </c>
      <c r="J554" s="46" t="s">
        <v>3160</v>
      </c>
      <c r="K554" s="46">
        <v>1</v>
      </c>
      <c r="L554" s="46">
        <v>299</v>
      </c>
      <c r="N554" s="46" t="s">
        <v>263</v>
      </c>
      <c r="P554" s="52">
        <v>833</v>
      </c>
      <c r="Q554" s="52" t="s">
        <v>633</v>
      </c>
      <c r="R554" s="52" t="s">
        <v>634</v>
      </c>
      <c r="T554" s="52">
        <v>213590</v>
      </c>
      <c r="U554" s="52" t="s">
        <v>1175</v>
      </c>
      <c r="V554" s="52" t="s">
        <v>1176</v>
      </c>
      <c r="W554" s="52"/>
      <c r="X554" s="52"/>
      <c r="Y554" s="52"/>
      <c r="Z554" s="46" t="s">
        <v>1172</v>
      </c>
    </row>
    <row r="555" spans="1:26">
      <c r="A555" s="49">
        <v>44366</v>
      </c>
      <c r="B555" s="48">
        <v>202106191132</v>
      </c>
      <c r="C555" s="46" t="s">
        <v>3350</v>
      </c>
      <c r="D555" s="46" t="s">
        <v>3389</v>
      </c>
      <c r="E555" s="46" t="s">
        <v>1180</v>
      </c>
      <c r="F555" s="46" t="s">
        <v>3348</v>
      </c>
      <c r="G555" s="46" t="s">
        <v>633</v>
      </c>
      <c r="H555" s="47">
        <v>4714781021609</v>
      </c>
      <c r="I555" s="46" t="s">
        <v>3183</v>
      </c>
      <c r="J555" s="46" t="s">
        <v>3160</v>
      </c>
      <c r="K555" s="46">
        <v>3</v>
      </c>
      <c r="L555" s="46">
        <v>399</v>
      </c>
      <c r="N555" s="46" t="s">
        <v>1454</v>
      </c>
      <c r="P555" s="52">
        <v>789</v>
      </c>
      <c r="Q555" s="52" t="s">
        <v>633</v>
      </c>
      <c r="R555" s="52" t="s">
        <v>634</v>
      </c>
      <c r="T555" s="52">
        <v>175065</v>
      </c>
      <c r="U555" s="52" t="s">
        <v>1181</v>
      </c>
      <c r="V555" s="52" t="s">
        <v>1182</v>
      </c>
      <c r="W555" s="52"/>
      <c r="X555" s="52"/>
      <c r="Y555" s="52"/>
      <c r="Z555" s="46" t="s">
        <v>1178</v>
      </c>
    </row>
    <row r="556" spans="1:26">
      <c r="A556" s="49">
        <v>44366</v>
      </c>
      <c r="B556" s="48">
        <v>202106191132</v>
      </c>
      <c r="C556" s="46" t="s">
        <v>3350</v>
      </c>
      <c r="D556" s="46" t="s">
        <v>3389</v>
      </c>
      <c r="E556" s="46" t="s">
        <v>1180</v>
      </c>
      <c r="F556" s="46" t="s">
        <v>3348</v>
      </c>
      <c r="G556" s="46" t="s">
        <v>633</v>
      </c>
      <c r="H556" s="47">
        <v>4714781020954</v>
      </c>
      <c r="I556" s="46" t="s">
        <v>3250</v>
      </c>
      <c r="J556" s="46" t="s">
        <v>3160</v>
      </c>
      <c r="K556" s="46">
        <v>1</v>
      </c>
      <c r="L556" s="46">
        <v>140</v>
      </c>
      <c r="N556" s="46" t="s">
        <v>1398</v>
      </c>
      <c r="P556" s="52">
        <v>789</v>
      </c>
      <c r="Q556" s="52" t="s">
        <v>633</v>
      </c>
      <c r="R556" s="52" t="s">
        <v>634</v>
      </c>
      <c r="T556" s="52">
        <v>175065</v>
      </c>
      <c r="U556" s="52" t="s">
        <v>1181</v>
      </c>
      <c r="V556" s="52" t="s">
        <v>1182</v>
      </c>
      <c r="W556" s="52"/>
      <c r="X556" s="52"/>
      <c r="Y556" s="52"/>
      <c r="Z556" s="46" t="s">
        <v>1178</v>
      </c>
    </row>
    <row r="557" spans="1:26">
      <c r="A557" s="49">
        <v>44366</v>
      </c>
      <c r="B557" s="48">
        <v>202106191132</v>
      </c>
      <c r="C557" s="46" t="s">
        <v>3350</v>
      </c>
      <c r="D557" s="46" t="s">
        <v>3389</v>
      </c>
      <c r="E557" s="46" t="s">
        <v>1180</v>
      </c>
      <c r="F557" s="46" t="s">
        <v>3348</v>
      </c>
      <c r="G557" s="46" t="s">
        <v>633</v>
      </c>
      <c r="H557" s="47">
        <v>4714781020817</v>
      </c>
      <c r="I557" s="46" t="s">
        <v>3223</v>
      </c>
      <c r="J557" s="46" t="s">
        <v>3160</v>
      </c>
      <c r="K557" s="46">
        <v>2</v>
      </c>
      <c r="L557" s="46">
        <v>250</v>
      </c>
      <c r="N557" s="46" t="s">
        <v>1455</v>
      </c>
      <c r="P557" s="52">
        <v>789</v>
      </c>
      <c r="Q557" s="52" t="s">
        <v>633</v>
      </c>
      <c r="R557" s="52" t="s">
        <v>634</v>
      </c>
      <c r="T557" s="52">
        <v>175065</v>
      </c>
      <c r="U557" s="52" t="s">
        <v>1181</v>
      </c>
      <c r="V557" s="52" t="s">
        <v>1182</v>
      </c>
      <c r="W557" s="52"/>
      <c r="X557" s="52"/>
      <c r="Y557" s="52"/>
      <c r="Z557" s="46" t="s">
        <v>1178</v>
      </c>
    </row>
    <row r="558" spans="1:26">
      <c r="A558" s="49">
        <v>44366</v>
      </c>
      <c r="B558" s="48">
        <v>202106191133</v>
      </c>
      <c r="C558" s="46" t="s">
        <v>3350</v>
      </c>
      <c r="D558" s="46" t="s">
        <v>3388</v>
      </c>
      <c r="E558" s="46" t="s">
        <v>489</v>
      </c>
      <c r="F558" s="46" t="s">
        <v>3348</v>
      </c>
      <c r="G558" s="46" t="s">
        <v>22</v>
      </c>
      <c r="H558" s="47">
        <v>4714781020817</v>
      </c>
      <c r="I558" s="46" t="s">
        <v>3223</v>
      </c>
      <c r="J558" s="46" t="s">
        <v>3160</v>
      </c>
      <c r="K558" s="46">
        <v>1</v>
      </c>
      <c r="L558" s="46">
        <v>128</v>
      </c>
      <c r="N558" s="46" t="s">
        <v>347</v>
      </c>
      <c r="P558" s="52">
        <v>831</v>
      </c>
      <c r="Q558" s="52" t="s">
        <v>22</v>
      </c>
      <c r="R558" s="52" t="s">
        <v>23</v>
      </c>
      <c r="T558" s="52"/>
      <c r="U558" s="52"/>
      <c r="V558" s="52"/>
      <c r="W558" s="52">
        <v>412</v>
      </c>
      <c r="X558" s="52" t="s">
        <v>490</v>
      </c>
      <c r="Y558" s="52"/>
      <c r="Z558" s="46" t="s">
        <v>487</v>
      </c>
    </row>
    <row r="559" spans="1:26">
      <c r="A559" s="49">
        <v>44366</v>
      </c>
      <c r="B559" s="48">
        <v>202106191133</v>
      </c>
      <c r="C559" s="46" t="s">
        <v>3350</v>
      </c>
      <c r="D559" s="46" t="s">
        <v>3388</v>
      </c>
      <c r="E559" s="46" t="s">
        <v>489</v>
      </c>
      <c r="F559" s="46" t="s">
        <v>3348</v>
      </c>
      <c r="G559" s="46" t="s">
        <v>22</v>
      </c>
      <c r="H559" s="47">
        <v>4714781020558</v>
      </c>
      <c r="I559" s="46" t="s">
        <v>3295</v>
      </c>
      <c r="J559" s="46" t="s">
        <v>3160</v>
      </c>
      <c r="K559" s="46">
        <v>1</v>
      </c>
      <c r="L559" s="46">
        <v>168</v>
      </c>
      <c r="N559" s="46" t="s">
        <v>492</v>
      </c>
      <c r="P559" s="52">
        <v>831</v>
      </c>
      <c r="Q559" s="52" t="s">
        <v>22</v>
      </c>
      <c r="R559" s="52" t="s">
        <v>23</v>
      </c>
      <c r="T559" s="52"/>
      <c r="U559" s="52"/>
      <c r="V559" s="52"/>
      <c r="W559" s="52">
        <v>412</v>
      </c>
      <c r="X559" s="52" t="s">
        <v>490</v>
      </c>
      <c r="Y559" s="52"/>
      <c r="Z559" s="46" t="s">
        <v>487</v>
      </c>
    </row>
    <row r="560" spans="1:26">
      <c r="A560" s="49">
        <v>44366</v>
      </c>
      <c r="B560" s="48">
        <v>202106191133</v>
      </c>
      <c r="C560" s="46" t="s">
        <v>3350</v>
      </c>
      <c r="D560" s="46" t="s">
        <v>3388</v>
      </c>
      <c r="E560" s="46" t="s">
        <v>489</v>
      </c>
      <c r="F560" s="46" t="s">
        <v>3348</v>
      </c>
      <c r="G560" s="46" t="s">
        <v>22</v>
      </c>
      <c r="H560" s="47">
        <v>4714781020466</v>
      </c>
      <c r="I560" s="46" t="s">
        <v>3194</v>
      </c>
      <c r="J560" s="46" t="s">
        <v>3160</v>
      </c>
      <c r="K560" s="46">
        <v>1</v>
      </c>
      <c r="L560" s="46">
        <v>168</v>
      </c>
      <c r="N560" s="46" t="s">
        <v>479</v>
      </c>
      <c r="P560" s="52">
        <v>831</v>
      </c>
      <c r="Q560" s="52" t="s">
        <v>22</v>
      </c>
      <c r="R560" s="52" t="s">
        <v>23</v>
      </c>
      <c r="T560" s="52"/>
      <c r="U560" s="52"/>
      <c r="V560" s="52"/>
      <c r="W560" s="52">
        <v>412</v>
      </c>
      <c r="X560" s="52" t="s">
        <v>490</v>
      </c>
      <c r="Y560" s="52"/>
      <c r="Z560" s="46" t="s">
        <v>487</v>
      </c>
    </row>
    <row r="561" spans="1:26">
      <c r="A561" s="49">
        <v>44366</v>
      </c>
      <c r="B561" s="48">
        <v>202106191133</v>
      </c>
      <c r="C561" s="46" t="s">
        <v>3350</v>
      </c>
      <c r="D561" s="46" t="s">
        <v>3388</v>
      </c>
      <c r="E561" s="46" t="s">
        <v>489</v>
      </c>
      <c r="F561" s="46" t="s">
        <v>3348</v>
      </c>
      <c r="G561" s="46" t="s">
        <v>22</v>
      </c>
      <c r="H561" s="47">
        <v>4714781020503</v>
      </c>
      <c r="I561" s="46" t="s">
        <v>3295</v>
      </c>
      <c r="J561" s="46" t="s">
        <v>3160</v>
      </c>
      <c r="K561" s="46">
        <v>1</v>
      </c>
      <c r="L561" s="46">
        <v>168</v>
      </c>
      <c r="N561" s="46" t="s">
        <v>351</v>
      </c>
      <c r="P561" s="52">
        <v>831</v>
      </c>
      <c r="Q561" s="52" t="s">
        <v>22</v>
      </c>
      <c r="R561" s="52" t="s">
        <v>23</v>
      </c>
      <c r="T561" s="52"/>
      <c r="U561" s="52"/>
      <c r="V561" s="52"/>
      <c r="W561" s="52">
        <v>412</v>
      </c>
      <c r="X561" s="52" t="s">
        <v>490</v>
      </c>
      <c r="Y561" s="52"/>
      <c r="Z561" s="46" t="s">
        <v>487</v>
      </c>
    </row>
    <row r="562" spans="1:26">
      <c r="A562" s="49">
        <v>44366</v>
      </c>
      <c r="B562" s="48">
        <v>202106191133</v>
      </c>
      <c r="C562" s="46" t="s">
        <v>3350</v>
      </c>
      <c r="D562" s="46" t="s">
        <v>3388</v>
      </c>
      <c r="E562" s="46" t="s">
        <v>489</v>
      </c>
      <c r="F562" s="46" t="s">
        <v>3348</v>
      </c>
      <c r="G562" s="46" t="s">
        <v>22</v>
      </c>
      <c r="H562" s="47">
        <v>4714781021227</v>
      </c>
      <c r="I562" s="46" t="s">
        <v>3220</v>
      </c>
      <c r="J562" s="46" t="s">
        <v>3160</v>
      </c>
      <c r="K562" s="46">
        <v>1</v>
      </c>
      <c r="L562" s="46">
        <v>66</v>
      </c>
      <c r="N562" s="46" t="s">
        <v>2137</v>
      </c>
      <c r="P562" s="52">
        <v>831</v>
      </c>
      <c r="Q562" s="52" t="s">
        <v>22</v>
      </c>
      <c r="R562" s="52" t="s">
        <v>23</v>
      </c>
      <c r="T562" s="52"/>
      <c r="U562" s="52"/>
      <c r="V562" s="52"/>
      <c r="W562" s="52">
        <v>412</v>
      </c>
      <c r="X562" s="52" t="s">
        <v>490</v>
      </c>
      <c r="Y562" s="52"/>
      <c r="Z562" s="46" t="s">
        <v>487</v>
      </c>
    </row>
    <row r="563" spans="1:26">
      <c r="A563" s="49">
        <v>44366</v>
      </c>
      <c r="B563" s="48">
        <v>202106191133</v>
      </c>
      <c r="C563" s="46" t="s">
        <v>3350</v>
      </c>
      <c r="D563" s="46" t="s">
        <v>3388</v>
      </c>
      <c r="E563" s="46" t="s">
        <v>489</v>
      </c>
      <c r="F563" s="46" t="s">
        <v>3348</v>
      </c>
      <c r="G563" s="46" t="s">
        <v>22</v>
      </c>
      <c r="H563" s="47">
        <v>4714781021234</v>
      </c>
      <c r="I563" s="46" t="s">
        <v>3215</v>
      </c>
      <c r="J563" s="46" t="s">
        <v>3160</v>
      </c>
      <c r="K563" s="46">
        <v>1</v>
      </c>
      <c r="L563" s="46">
        <v>66</v>
      </c>
      <c r="N563" s="46" t="s">
        <v>2135</v>
      </c>
      <c r="P563" s="52">
        <v>831</v>
      </c>
      <c r="Q563" s="52" t="s">
        <v>22</v>
      </c>
      <c r="R563" s="52" t="s">
        <v>23</v>
      </c>
      <c r="T563" s="52"/>
      <c r="U563" s="52"/>
      <c r="V563" s="52"/>
      <c r="W563" s="52">
        <v>412</v>
      </c>
      <c r="X563" s="52" t="s">
        <v>490</v>
      </c>
      <c r="Y563" s="52"/>
      <c r="Z563" s="46" t="s">
        <v>487</v>
      </c>
    </row>
    <row r="564" spans="1:26">
      <c r="A564" s="49">
        <v>44366</v>
      </c>
      <c r="B564" s="48">
        <v>202106191133</v>
      </c>
      <c r="C564" s="46" t="s">
        <v>3350</v>
      </c>
      <c r="D564" s="46" t="s">
        <v>3388</v>
      </c>
      <c r="E564" s="46" t="s">
        <v>489</v>
      </c>
      <c r="F564" s="46" t="s">
        <v>3348</v>
      </c>
      <c r="G564" s="46" t="s">
        <v>22</v>
      </c>
      <c r="H564" s="47">
        <v>4714781021241</v>
      </c>
      <c r="I564" s="46" t="s">
        <v>3215</v>
      </c>
      <c r="J564" s="46" t="s">
        <v>3160</v>
      </c>
      <c r="K564" s="46">
        <v>1</v>
      </c>
      <c r="L564" s="46">
        <v>67</v>
      </c>
      <c r="N564" s="46" t="s">
        <v>2133</v>
      </c>
      <c r="P564" s="52">
        <v>831</v>
      </c>
      <c r="Q564" s="52" t="s">
        <v>22</v>
      </c>
      <c r="R564" s="52" t="s">
        <v>23</v>
      </c>
      <c r="T564" s="52"/>
      <c r="U564" s="52"/>
      <c r="V564" s="52"/>
      <c r="W564" s="52">
        <v>412</v>
      </c>
      <c r="X564" s="52" t="s">
        <v>490</v>
      </c>
      <c r="Y564" s="52"/>
      <c r="Z564" s="46" t="s">
        <v>487</v>
      </c>
    </row>
    <row r="565" spans="1:26">
      <c r="A565" s="49">
        <v>44366</v>
      </c>
      <c r="B565" s="48">
        <v>202106191134</v>
      </c>
      <c r="C565" s="46" t="s">
        <v>3350</v>
      </c>
      <c r="D565" s="46" t="s">
        <v>3387</v>
      </c>
      <c r="E565" s="46" t="s">
        <v>1188</v>
      </c>
      <c r="F565" s="46" t="s">
        <v>3348</v>
      </c>
      <c r="G565" s="46" t="s">
        <v>633</v>
      </c>
      <c r="H565" s="47">
        <v>4714781024716</v>
      </c>
      <c r="I565" s="46" t="s">
        <v>3166</v>
      </c>
      <c r="J565" s="46" t="s">
        <v>3160</v>
      </c>
      <c r="K565" s="46">
        <v>1</v>
      </c>
      <c r="L565" s="46">
        <v>299</v>
      </c>
      <c r="N565" s="46" t="s">
        <v>372</v>
      </c>
      <c r="P565" s="52">
        <v>663</v>
      </c>
      <c r="Q565" s="52" t="s">
        <v>633</v>
      </c>
      <c r="R565" s="52" t="s">
        <v>634</v>
      </c>
      <c r="T565" s="52">
        <v>862374</v>
      </c>
      <c r="U565" s="52" t="s">
        <v>1189</v>
      </c>
      <c r="V565" s="52" t="s">
        <v>1190</v>
      </c>
      <c r="W565" s="52"/>
      <c r="X565" s="52"/>
      <c r="Y565" s="52"/>
      <c r="Z565" s="46" t="s">
        <v>1186</v>
      </c>
    </row>
    <row r="566" spans="1:26">
      <c r="A566" s="49">
        <v>44366</v>
      </c>
      <c r="B566" s="48">
        <v>202106191134</v>
      </c>
      <c r="C566" s="46" t="s">
        <v>3350</v>
      </c>
      <c r="D566" s="46" t="s">
        <v>3387</v>
      </c>
      <c r="E566" s="46" t="s">
        <v>1188</v>
      </c>
      <c r="F566" s="46" t="s">
        <v>3348</v>
      </c>
      <c r="G566" s="46" t="s">
        <v>633</v>
      </c>
      <c r="H566" s="47">
        <v>4714781024723</v>
      </c>
      <c r="I566" s="46" t="s">
        <v>3168</v>
      </c>
      <c r="J566" s="46" t="s">
        <v>3160</v>
      </c>
      <c r="K566" s="46">
        <v>1</v>
      </c>
      <c r="L566" s="46">
        <v>299</v>
      </c>
      <c r="N566" s="46" t="s">
        <v>358</v>
      </c>
      <c r="P566" s="52">
        <v>663</v>
      </c>
      <c r="Q566" s="52" t="s">
        <v>633</v>
      </c>
      <c r="R566" s="52" t="s">
        <v>634</v>
      </c>
      <c r="T566" s="52">
        <v>862374</v>
      </c>
      <c r="U566" s="52" t="s">
        <v>1189</v>
      </c>
      <c r="V566" s="52" t="s">
        <v>1190</v>
      </c>
      <c r="W566" s="52"/>
      <c r="X566" s="52"/>
      <c r="Y566" s="52"/>
      <c r="Z566" s="46" t="s">
        <v>1186</v>
      </c>
    </row>
    <row r="567" spans="1:26">
      <c r="A567" s="49">
        <v>44366</v>
      </c>
      <c r="B567" s="48">
        <v>202106191134</v>
      </c>
      <c r="C567" s="46" t="s">
        <v>3350</v>
      </c>
      <c r="D567" s="46" t="s">
        <v>3387</v>
      </c>
      <c r="E567" s="46" t="s">
        <v>1188</v>
      </c>
      <c r="F567" s="46" t="s">
        <v>3348</v>
      </c>
      <c r="G567" s="46" t="s">
        <v>633</v>
      </c>
      <c r="H567" s="47" t="s">
        <v>3347</v>
      </c>
      <c r="J567" s="46" t="s">
        <v>3346</v>
      </c>
      <c r="K567" s="46">
        <v>1</v>
      </c>
      <c r="L567" s="46">
        <v>65</v>
      </c>
      <c r="P567" s="52"/>
      <c r="Q567" s="52"/>
      <c r="R567" s="52"/>
      <c r="T567" s="52"/>
      <c r="U567" s="52"/>
      <c r="V567" s="52"/>
      <c r="W567" s="52"/>
      <c r="X567" s="52"/>
      <c r="Y567" s="52"/>
    </row>
    <row r="568" spans="1:26">
      <c r="A568" s="49">
        <v>44366</v>
      </c>
      <c r="B568" s="48">
        <v>202106191135</v>
      </c>
      <c r="C568" s="46" t="s">
        <v>3350</v>
      </c>
      <c r="D568" s="46" t="s">
        <v>3386</v>
      </c>
      <c r="E568" s="46" t="s">
        <v>484</v>
      </c>
      <c r="F568" s="46" t="s">
        <v>3348</v>
      </c>
      <c r="G568" s="46" t="s">
        <v>39</v>
      </c>
      <c r="H568" s="47">
        <v>4714781021777</v>
      </c>
      <c r="I568" s="46" t="s">
        <v>3169</v>
      </c>
      <c r="J568" s="46" t="s">
        <v>3160</v>
      </c>
      <c r="K568" s="46">
        <v>3</v>
      </c>
      <c r="L568" s="46">
        <v>1197</v>
      </c>
      <c r="N568" s="46" t="s">
        <v>270</v>
      </c>
      <c r="P568" s="52">
        <v>1596</v>
      </c>
      <c r="Q568" s="52" t="s">
        <v>39</v>
      </c>
      <c r="R568" s="52" t="s">
        <v>40</v>
      </c>
      <c r="T568" s="52"/>
      <c r="U568" s="52"/>
      <c r="V568" s="52"/>
      <c r="W568" s="52">
        <v>221</v>
      </c>
      <c r="X568" s="52" t="s">
        <v>485</v>
      </c>
      <c r="Y568" s="52"/>
      <c r="Z568" s="46" t="s">
        <v>482</v>
      </c>
    </row>
    <row r="569" spans="1:26">
      <c r="A569" s="49">
        <v>44366</v>
      </c>
      <c r="B569" s="48">
        <v>202106191135</v>
      </c>
      <c r="C569" s="46" t="s">
        <v>3350</v>
      </c>
      <c r="D569" s="46" t="s">
        <v>3386</v>
      </c>
      <c r="E569" s="46" t="s">
        <v>484</v>
      </c>
      <c r="F569" s="46" t="s">
        <v>3348</v>
      </c>
      <c r="G569" s="46" t="s">
        <v>39</v>
      </c>
      <c r="H569" s="47">
        <v>4714781021609</v>
      </c>
      <c r="I569" s="46" t="s">
        <v>3183</v>
      </c>
      <c r="J569" s="46" t="s">
        <v>3160</v>
      </c>
      <c r="K569" s="46">
        <v>1</v>
      </c>
      <c r="L569" s="46">
        <v>133</v>
      </c>
      <c r="N569" s="46" t="s">
        <v>1454</v>
      </c>
      <c r="P569" s="52">
        <v>1596</v>
      </c>
      <c r="Q569" s="52" t="s">
        <v>39</v>
      </c>
      <c r="R569" s="52" t="s">
        <v>40</v>
      </c>
      <c r="T569" s="52"/>
      <c r="U569" s="52"/>
      <c r="V569" s="52"/>
      <c r="W569" s="52">
        <v>221</v>
      </c>
      <c r="X569" s="52" t="s">
        <v>485</v>
      </c>
      <c r="Y569" s="52"/>
      <c r="Z569" s="46" t="s">
        <v>482</v>
      </c>
    </row>
    <row r="570" spans="1:26">
      <c r="A570" s="49">
        <v>44366</v>
      </c>
      <c r="B570" s="48">
        <v>202106191135</v>
      </c>
      <c r="C570" s="46" t="s">
        <v>3350</v>
      </c>
      <c r="D570" s="46" t="s">
        <v>3386</v>
      </c>
      <c r="E570" s="46" t="s">
        <v>484</v>
      </c>
      <c r="F570" s="46" t="s">
        <v>3348</v>
      </c>
      <c r="G570" s="46" t="s">
        <v>39</v>
      </c>
      <c r="H570" s="47">
        <v>4714781021593</v>
      </c>
      <c r="I570" s="46" t="s">
        <v>3183</v>
      </c>
      <c r="J570" s="46" t="s">
        <v>3160</v>
      </c>
      <c r="K570" s="46">
        <v>1</v>
      </c>
      <c r="L570" s="46">
        <v>133</v>
      </c>
      <c r="N570" s="46" t="s">
        <v>1453</v>
      </c>
      <c r="P570" s="52">
        <v>1596</v>
      </c>
      <c r="Q570" s="52" t="s">
        <v>39</v>
      </c>
      <c r="R570" s="52" t="s">
        <v>40</v>
      </c>
      <c r="T570" s="52"/>
      <c r="U570" s="52"/>
      <c r="V570" s="52"/>
      <c r="W570" s="52">
        <v>221</v>
      </c>
      <c r="X570" s="52" t="s">
        <v>485</v>
      </c>
      <c r="Y570" s="52"/>
      <c r="Z570" s="46" t="s">
        <v>482</v>
      </c>
    </row>
    <row r="571" spans="1:26">
      <c r="A571" s="49">
        <v>44366</v>
      </c>
      <c r="B571" s="48">
        <v>202106191135</v>
      </c>
      <c r="C571" s="46" t="s">
        <v>3350</v>
      </c>
      <c r="D571" s="46" t="s">
        <v>3386</v>
      </c>
      <c r="E571" s="46" t="s">
        <v>484</v>
      </c>
      <c r="F571" s="46" t="s">
        <v>3348</v>
      </c>
      <c r="G571" s="46" t="s">
        <v>39</v>
      </c>
      <c r="H571" s="47">
        <v>4714781021029</v>
      </c>
      <c r="I571" s="46" t="s">
        <v>3234</v>
      </c>
      <c r="J571" s="46" t="s">
        <v>3160</v>
      </c>
      <c r="K571" s="46">
        <v>1</v>
      </c>
      <c r="L571" s="46">
        <v>133</v>
      </c>
      <c r="N571" s="46" t="s">
        <v>1452</v>
      </c>
      <c r="P571" s="52">
        <v>1596</v>
      </c>
      <c r="Q571" s="52" t="s">
        <v>39</v>
      </c>
      <c r="R571" s="52" t="s">
        <v>40</v>
      </c>
      <c r="T571" s="52"/>
      <c r="U571" s="52"/>
      <c r="V571" s="52"/>
      <c r="W571" s="52">
        <v>221</v>
      </c>
      <c r="X571" s="52" t="s">
        <v>485</v>
      </c>
      <c r="Y571" s="52"/>
      <c r="Z571" s="46" t="s">
        <v>482</v>
      </c>
    </row>
    <row r="572" spans="1:26">
      <c r="A572" s="49">
        <v>44366</v>
      </c>
      <c r="B572" s="48">
        <v>202106191136</v>
      </c>
      <c r="C572" s="46" t="s">
        <v>3350</v>
      </c>
      <c r="D572" s="46" t="s">
        <v>3385</v>
      </c>
      <c r="E572" s="46" t="s">
        <v>472</v>
      </c>
      <c r="F572" s="46" t="s">
        <v>3348</v>
      </c>
      <c r="G572" s="46" t="s">
        <v>39</v>
      </c>
      <c r="H572" s="47">
        <v>4714781021609</v>
      </c>
      <c r="I572" s="46" t="s">
        <v>3183</v>
      </c>
      <c r="J572" s="46" t="s">
        <v>3160</v>
      </c>
      <c r="K572" s="46">
        <v>1</v>
      </c>
      <c r="L572" s="46">
        <v>149</v>
      </c>
      <c r="N572" s="46" t="s">
        <v>474</v>
      </c>
      <c r="P572" s="52">
        <v>505</v>
      </c>
      <c r="Q572" s="52" t="s">
        <v>39</v>
      </c>
      <c r="R572" s="52" t="s">
        <v>171</v>
      </c>
      <c r="T572" s="52"/>
      <c r="U572" s="52"/>
      <c r="V572" s="52"/>
      <c r="W572" s="52">
        <v>334</v>
      </c>
      <c r="X572" s="52" t="s">
        <v>476</v>
      </c>
      <c r="Y572" s="52"/>
      <c r="Z572" s="46" t="s">
        <v>470</v>
      </c>
    </row>
    <row r="573" spans="1:26">
      <c r="A573" s="49">
        <v>44366</v>
      </c>
      <c r="B573" s="48">
        <v>202106191136</v>
      </c>
      <c r="C573" s="46" t="s">
        <v>3350</v>
      </c>
      <c r="D573" s="46" t="s">
        <v>3385</v>
      </c>
      <c r="E573" s="46" t="s">
        <v>472</v>
      </c>
      <c r="F573" s="46" t="s">
        <v>3348</v>
      </c>
      <c r="G573" s="46" t="s">
        <v>39</v>
      </c>
      <c r="H573" s="47">
        <v>4714781020794</v>
      </c>
      <c r="I573" s="46" t="s">
        <v>3162</v>
      </c>
      <c r="J573" s="46" t="s">
        <v>3160</v>
      </c>
      <c r="K573" s="46">
        <v>1</v>
      </c>
      <c r="L573" s="46">
        <v>128</v>
      </c>
      <c r="N573" s="46" t="s">
        <v>477</v>
      </c>
      <c r="P573" s="52">
        <v>505</v>
      </c>
      <c r="Q573" s="52" t="s">
        <v>39</v>
      </c>
      <c r="R573" s="52" t="s">
        <v>171</v>
      </c>
      <c r="T573" s="52"/>
      <c r="U573" s="52"/>
      <c r="V573" s="52"/>
      <c r="W573" s="52">
        <v>334</v>
      </c>
      <c r="X573" s="52" t="s">
        <v>476</v>
      </c>
      <c r="Y573" s="52"/>
      <c r="Z573" s="46" t="s">
        <v>470</v>
      </c>
    </row>
    <row r="574" spans="1:26">
      <c r="A574" s="49">
        <v>44366</v>
      </c>
      <c r="B574" s="48">
        <v>202106191136</v>
      </c>
      <c r="C574" s="46" t="s">
        <v>3350</v>
      </c>
      <c r="D574" s="46" t="s">
        <v>3385</v>
      </c>
      <c r="E574" s="46" t="s">
        <v>472</v>
      </c>
      <c r="F574" s="46" t="s">
        <v>3348</v>
      </c>
      <c r="G574" s="46" t="s">
        <v>39</v>
      </c>
      <c r="H574" s="47">
        <v>4714781020466</v>
      </c>
      <c r="I574" s="46" t="s">
        <v>3194</v>
      </c>
      <c r="J574" s="46" t="s">
        <v>3160</v>
      </c>
      <c r="K574" s="46">
        <v>1</v>
      </c>
      <c r="L574" s="46">
        <v>168</v>
      </c>
      <c r="N574" s="46" t="s">
        <v>479</v>
      </c>
      <c r="P574" s="52">
        <v>505</v>
      </c>
      <c r="Q574" s="52" t="s">
        <v>39</v>
      </c>
      <c r="R574" s="52" t="s">
        <v>171</v>
      </c>
      <c r="T574" s="52"/>
      <c r="U574" s="52"/>
      <c r="V574" s="52"/>
      <c r="W574" s="52">
        <v>334</v>
      </c>
      <c r="X574" s="52" t="s">
        <v>476</v>
      </c>
      <c r="Y574" s="52"/>
      <c r="Z574" s="46" t="s">
        <v>470</v>
      </c>
    </row>
    <row r="575" spans="1:26">
      <c r="A575" s="49">
        <v>44366</v>
      </c>
      <c r="B575" s="48">
        <v>202106191136</v>
      </c>
      <c r="C575" s="46" t="s">
        <v>3350</v>
      </c>
      <c r="D575" s="46" t="s">
        <v>3385</v>
      </c>
      <c r="E575" s="46" t="s">
        <v>472</v>
      </c>
      <c r="F575" s="46" t="s">
        <v>3348</v>
      </c>
      <c r="G575" s="46" t="s">
        <v>39</v>
      </c>
      <c r="H575" s="47" t="s">
        <v>3347</v>
      </c>
      <c r="J575" s="46" t="s">
        <v>3346</v>
      </c>
      <c r="K575" s="46">
        <v>1</v>
      </c>
      <c r="L575" s="46">
        <v>60</v>
      </c>
      <c r="P575" s="52"/>
      <c r="Q575" s="52"/>
      <c r="R575" s="52"/>
      <c r="T575" s="52"/>
      <c r="U575" s="52"/>
      <c r="V575" s="52"/>
      <c r="W575" s="52"/>
      <c r="X575" s="52"/>
      <c r="Y575" s="52"/>
    </row>
    <row r="576" spans="1:26">
      <c r="A576" s="49">
        <v>44366</v>
      </c>
      <c r="B576" s="48">
        <v>202106191137</v>
      </c>
      <c r="C576" s="46" t="s">
        <v>3350</v>
      </c>
      <c r="D576" s="46" t="s">
        <v>3384</v>
      </c>
      <c r="E576" s="46" t="s">
        <v>1194</v>
      </c>
      <c r="F576" s="46" t="s">
        <v>3348</v>
      </c>
      <c r="G576" s="46" t="s">
        <v>633</v>
      </c>
      <c r="H576" s="47" t="s">
        <v>1510</v>
      </c>
      <c r="I576" s="46" t="s">
        <v>3168</v>
      </c>
      <c r="J576" s="46" t="s">
        <v>3160</v>
      </c>
      <c r="K576" s="46">
        <v>1</v>
      </c>
      <c r="L576" s="46">
        <v>296</v>
      </c>
      <c r="N576" s="46" t="s">
        <v>1509</v>
      </c>
      <c r="P576" s="52">
        <v>1246</v>
      </c>
      <c r="Q576" s="52" t="s">
        <v>633</v>
      </c>
      <c r="R576" s="52" t="s">
        <v>634</v>
      </c>
      <c r="T576" s="52">
        <v>881940</v>
      </c>
      <c r="U576" s="52" t="s">
        <v>1195</v>
      </c>
      <c r="V576" s="52" t="s">
        <v>1196</v>
      </c>
      <c r="W576" s="52"/>
      <c r="X576" s="52"/>
      <c r="Y576" s="52"/>
      <c r="Z576" s="46" t="s">
        <v>1192</v>
      </c>
    </row>
    <row r="577" spans="1:26">
      <c r="A577" s="49">
        <v>44366</v>
      </c>
      <c r="B577" s="48">
        <v>202106191137</v>
      </c>
      <c r="C577" s="46" t="s">
        <v>3350</v>
      </c>
      <c r="D577" s="46" t="s">
        <v>3384</v>
      </c>
      <c r="E577" s="46" t="s">
        <v>1194</v>
      </c>
      <c r="F577" s="46" t="s">
        <v>3348</v>
      </c>
      <c r="G577" s="46" t="s">
        <v>633</v>
      </c>
      <c r="H577" s="47" t="s">
        <v>1508</v>
      </c>
      <c r="I577" s="46" t="s">
        <v>3166</v>
      </c>
      <c r="J577" s="46" t="s">
        <v>3160</v>
      </c>
      <c r="K577" s="46">
        <v>1</v>
      </c>
      <c r="L577" s="46">
        <v>296</v>
      </c>
      <c r="N577" s="46" t="s">
        <v>1507</v>
      </c>
      <c r="P577" s="52">
        <v>1246</v>
      </c>
      <c r="Q577" s="52" t="s">
        <v>633</v>
      </c>
      <c r="R577" s="52" t="s">
        <v>634</v>
      </c>
      <c r="T577" s="52">
        <v>881940</v>
      </c>
      <c r="U577" s="52" t="s">
        <v>1195</v>
      </c>
      <c r="V577" s="52" t="s">
        <v>1196</v>
      </c>
      <c r="W577" s="52"/>
      <c r="X577" s="52"/>
      <c r="Y577" s="52"/>
      <c r="Z577" s="46" t="s">
        <v>1192</v>
      </c>
    </row>
    <row r="578" spans="1:26">
      <c r="A578" s="49">
        <v>44366</v>
      </c>
      <c r="B578" s="48">
        <v>202106191137</v>
      </c>
      <c r="C578" s="46" t="s">
        <v>3350</v>
      </c>
      <c r="D578" s="46" t="s">
        <v>3384</v>
      </c>
      <c r="E578" s="46" t="s">
        <v>1194</v>
      </c>
      <c r="F578" s="46" t="s">
        <v>3348</v>
      </c>
      <c r="G578" s="46" t="s">
        <v>633</v>
      </c>
      <c r="H578" s="47" t="s">
        <v>1506</v>
      </c>
      <c r="I578" s="46" t="s">
        <v>3166</v>
      </c>
      <c r="J578" s="46" t="s">
        <v>3160</v>
      </c>
      <c r="K578" s="46">
        <v>1</v>
      </c>
      <c r="L578" s="46">
        <v>296</v>
      </c>
      <c r="N578" s="46" t="s">
        <v>1505</v>
      </c>
      <c r="P578" s="52">
        <v>1246</v>
      </c>
      <c r="Q578" s="52" t="s">
        <v>633</v>
      </c>
      <c r="R578" s="52" t="s">
        <v>634</v>
      </c>
      <c r="T578" s="52">
        <v>881940</v>
      </c>
      <c r="U578" s="52" t="s">
        <v>1195</v>
      </c>
      <c r="V578" s="52" t="s">
        <v>1196</v>
      </c>
      <c r="W578" s="52"/>
      <c r="X578" s="52"/>
      <c r="Y578" s="52"/>
      <c r="Z578" s="46" t="s">
        <v>1192</v>
      </c>
    </row>
    <row r="579" spans="1:26">
      <c r="A579" s="49">
        <v>44366</v>
      </c>
      <c r="B579" s="48">
        <v>202106191137</v>
      </c>
      <c r="C579" s="46" t="s">
        <v>3350</v>
      </c>
      <c r="D579" s="46" t="s">
        <v>3384</v>
      </c>
      <c r="E579" s="46" t="s">
        <v>1194</v>
      </c>
      <c r="F579" s="46" t="s">
        <v>3348</v>
      </c>
      <c r="G579" s="46" t="s">
        <v>633</v>
      </c>
      <c r="H579" s="47">
        <v>4714781020282</v>
      </c>
      <c r="I579" s="46" t="s">
        <v>3307</v>
      </c>
      <c r="J579" s="46" t="s">
        <v>3160</v>
      </c>
      <c r="K579" s="46">
        <v>1</v>
      </c>
      <c r="L579" s="46">
        <v>299</v>
      </c>
      <c r="N579" s="46" t="s">
        <v>274</v>
      </c>
      <c r="P579" s="52">
        <v>1246</v>
      </c>
      <c r="Q579" s="52" t="s">
        <v>633</v>
      </c>
      <c r="R579" s="52" t="s">
        <v>634</v>
      </c>
      <c r="T579" s="52">
        <v>881940</v>
      </c>
      <c r="U579" s="52" t="s">
        <v>1195</v>
      </c>
      <c r="V579" s="52" t="s">
        <v>1196</v>
      </c>
      <c r="W579" s="52"/>
      <c r="X579" s="52"/>
      <c r="Y579" s="52"/>
      <c r="Z579" s="46" t="s">
        <v>1192</v>
      </c>
    </row>
    <row r="580" spans="1:26">
      <c r="A580" s="49">
        <v>44366</v>
      </c>
      <c r="B580" s="48">
        <v>202106191137</v>
      </c>
      <c r="C580" s="46" t="s">
        <v>3350</v>
      </c>
      <c r="D580" s="46" t="s">
        <v>3384</v>
      </c>
      <c r="E580" s="46" t="s">
        <v>1194</v>
      </c>
      <c r="F580" s="46" t="s">
        <v>3348</v>
      </c>
      <c r="G580" s="46" t="s">
        <v>633</v>
      </c>
      <c r="H580" s="47">
        <v>4714781020152</v>
      </c>
      <c r="I580" s="46" t="s">
        <v>3262</v>
      </c>
      <c r="J580" s="46" t="s">
        <v>3160</v>
      </c>
      <c r="K580" s="46">
        <v>1</v>
      </c>
      <c r="L580" s="46">
        <v>59</v>
      </c>
      <c r="N580" s="46" t="s">
        <v>1198</v>
      </c>
      <c r="P580" s="52">
        <v>1246</v>
      </c>
      <c r="Q580" s="52" t="s">
        <v>633</v>
      </c>
      <c r="R580" s="52" t="s">
        <v>634</v>
      </c>
      <c r="T580" s="52">
        <v>881940</v>
      </c>
      <c r="U580" s="52" t="s">
        <v>1195</v>
      </c>
      <c r="V580" s="52" t="s">
        <v>1196</v>
      </c>
      <c r="W580" s="52"/>
      <c r="X580" s="52"/>
      <c r="Y580" s="52"/>
      <c r="Z580" s="46" t="s">
        <v>1192</v>
      </c>
    </row>
    <row r="581" spans="1:26">
      <c r="A581" s="49">
        <v>44366</v>
      </c>
      <c r="B581" s="48">
        <v>202106191138</v>
      </c>
      <c r="C581" s="46" t="s">
        <v>3350</v>
      </c>
      <c r="D581" s="46" t="s">
        <v>3383</v>
      </c>
      <c r="E581" s="46" t="s">
        <v>467</v>
      </c>
      <c r="F581" s="46" t="s">
        <v>3348</v>
      </c>
      <c r="G581" s="46" t="s">
        <v>39</v>
      </c>
      <c r="H581" s="47">
        <v>4714781021609</v>
      </c>
      <c r="I581" s="46" t="s">
        <v>3183</v>
      </c>
      <c r="J581" s="46" t="s">
        <v>3160</v>
      </c>
      <c r="K581" s="46">
        <v>3</v>
      </c>
      <c r="L581" s="46">
        <v>399</v>
      </c>
      <c r="N581" s="46" t="s">
        <v>1454</v>
      </c>
      <c r="P581" s="52">
        <v>798</v>
      </c>
      <c r="Q581" s="52" t="s">
        <v>39</v>
      </c>
      <c r="R581" s="52" t="s">
        <v>40</v>
      </c>
      <c r="T581" s="52"/>
      <c r="U581" s="52"/>
      <c r="V581" s="52"/>
      <c r="W581" s="52">
        <v>804</v>
      </c>
      <c r="X581" s="52" t="s">
        <v>468</v>
      </c>
      <c r="Y581" s="52"/>
      <c r="Z581" s="46" t="s">
        <v>465</v>
      </c>
    </row>
    <row r="582" spans="1:26">
      <c r="A582" s="49">
        <v>44366</v>
      </c>
      <c r="B582" s="48">
        <v>202106191138</v>
      </c>
      <c r="C582" s="46" t="s">
        <v>3350</v>
      </c>
      <c r="D582" s="46" t="s">
        <v>3383</v>
      </c>
      <c r="E582" s="46" t="s">
        <v>467</v>
      </c>
      <c r="F582" s="46" t="s">
        <v>3348</v>
      </c>
      <c r="G582" s="46" t="s">
        <v>39</v>
      </c>
      <c r="H582" s="47">
        <v>4714781021593</v>
      </c>
      <c r="I582" s="46" t="s">
        <v>3183</v>
      </c>
      <c r="J582" s="46" t="s">
        <v>3160</v>
      </c>
      <c r="K582" s="46">
        <v>3</v>
      </c>
      <c r="L582" s="46">
        <v>399</v>
      </c>
      <c r="N582" s="46" t="s">
        <v>1453</v>
      </c>
      <c r="P582" s="52">
        <v>798</v>
      </c>
      <c r="Q582" s="52" t="s">
        <v>39</v>
      </c>
      <c r="R582" s="52" t="s">
        <v>40</v>
      </c>
      <c r="T582" s="52"/>
      <c r="U582" s="52"/>
      <c r="V582" s="52"/>
      <c r="W582" s="52">
        <v>804</v>
      </c>
      <c r="X582" s="52" t="s">
        <v>468</v>
      </c>
      <c r="Y582" s="52"/>
      <c r="Z582" s="46" t="s">
        <v>465</v>
      </c>
    </row>
    <row r="583" spans="1:26">
      <c r="A583" s="49">
        <v>44366</v>
      </c>
      <c r="B583" s="48">
        <v>202106191139</v>
      </c>
      <c r="C583" s="46" t="s">
        <v>3350</v>
      </c>
      <c r="D583" s="46" t="s">
        <v>3382</v>
      </c>
      <c r="E583" s="46" t="s">
        <v>458</v>
      </c>
      <c r="F583" s="46" t="s">
        <v>3348</v>
      </c>
      <c r="G583" s="46" t="s">
        <v>39</v>
      </c>
      <c r="H583" s="47" t="s">
        <v>1510</v>
      </c>
      <c r="I583" s="46" t="s">
        <v>3168</v>
      </c>
      <c r="J583" s="46" t="s">
        <v>3160</v>
      </c>
      <c r="K583" s="46">
        <v>1</v>
      </c>
      <c r="L583" s="46">
        <v>276</v>
      </c>
      <c r="N583" s="46" t="s">
        <v>2190</v>
      </c>
      <c r="P583" s="52">
        <v>1102</v>
      </c>
      <c r="Q583" s="52" t="s">
        <v>39</v>
      </c>
      <c r="R583" s="52" t="s">
        <v>40</v>
      </c>
      <c r="T583" s="52"/>
      <c r="U583" s="52"/>
      <c r="V583" s="52"/>
      <c r="W583" s="52">
        <v>320</v>
      </c>
      <c r="X583" s="52" t="s">
        <v>463</v>
      </c>
      <c r="Y583" s="52"/>
      <c r="Z583" s="46" t="s">
        <v>456</v>
      </c>
    </row>
    <row r="584" spans="1:26">
      <c r="A584" s="49">
        <v>44366</v>
      </c>
      <c r="B584" s="48">
        <v>202106191139</v>
      </c>
      <c r="C584" s="46" t="s">
        <v>3350</v>
      </c>
      <c r="D584" s="46" t="s">
        <v>3382</v>
      </c>
      <c r="E584" s="46" t="s">
        <v>458</v>
      </c>
      <c r="F584" s="46" t="s">
        <v>3348</v>
      </c>
      <c r="G584" s="46" t="s">
        <v>39</v>
      </c>
      <c r="H584" s="47" t="s">
        <v>1506</v>
      </c>
      <c r="I584" s="46" t="s">
        <v>3166</v>
      </c>
      <c r="J584" s="46" t="s">
        <v>3160</v>
      </c>
      <c r="K584" s="46">
        <v>1</v>
      </c>
      <c r="L584" s="46">
        <v>276</v>
      </c>
      <c r="N584" s="46" t="s">
        <v>2188</v>
      </c>
      <c r="P584" s="52">
        <v>1102</v>
      </c>
      <c r="Q584" s="52" t="s">
        <v>39</v>
      </c>
      <c r="R584" s="52" t="s">
        <v>40</v>
      </c>
      <c r="T584" s="52"/>
      <c r="U584" s="52"/>
      <c r="V584" s="52"/>
      <c r="W584" s="52">
        <v>320</v>
      </c>
      <c r="X584" s="52" t="s">
        <v>463</v>
      </c>
      <c r="Y584" s="52"/>
      <c r="Z584" s="46" t="s">
        <v>456</v>
      </c>
    </row>
    <row r="585" spans="1:26">
      <c r="A585" s="49">
        <v>44366</v>
      </c>
      <c r="B585" s="48">
        <v>202106191139</v>
      </c>
      <c r="C585" s="46" t="s">
        <v>3350</v>
      </c>
      <c r="D585" s="46" t="s">
        <v>3382</v>
      </c>
      <c r="E585" s="46" t="s">
        <v>458</v>
      </c>
      <c r="F585" s="46" t="s">
        <v>3348</v>
      </c>
      <c r="G585" s="46" t="s">
        <v>39</v>
      </c>
      <c r="H585" s="47" t="s">
        <v>1508</v>
      </c>
      <c r="I585" s="46" t="s">
        <v>3166</v>
      </c>
      <c r="J585" s="46" t="s">
        <v>3160</v>
      </c>
      <c r="K585" s="46">
        <v>1</v>
      </c>
      <c r="L585" s="46">
        <v>276</v>
      </c>
      <c r="N585" s="46" t="s">
        <v>2186</v>
      </c>
      <c r="P585" s="52">
        <v>1102</v>
      </c>
      <c r="Q585" s="52" t="s">
        <v>39</v>
      </c>
      <c r="R585" s="52" t="s">
        <v>40</v>
      </c>
      <c r="T585" s="52"/>
      <c r="U585" s="52"/>
      <c r="V585" s="52"/>
      <c r="W585" s="52">
        <v>320</v>
      </c>
      <c r="X585" s="52" t="s">
        <v>463</v>
      </c>
      <c r="Y585" s="52"/>
      <c r="Z585" s="46" t="s">
        <v>456</v>
      </c>
    </row>
    <row r="586" spans="1:26">
      <c r="A586" s="49">
        <v>44366</v>
      </c>
      <c r="B586" s="48">
        <v>202106191139</v>
      </c>
      <c r="C586" s="46" t="s">
        <v>3350</v>
      </c>
      <c r="D586" s="46" t="s">
        <v>3382</v>
      </c>
      <c r="E586" s="46" t="s">
        <v>458</v>
      </c>
      <c r="F586" s="46" t="s">
        <v>3348</v>
      </c>
      <c r="G586" s="46" t="s">
        <v>39</v>
      </c>
      <c r="H586" s="47" t="s">
        <v>1531</v>
      </c>
      <c r="I586" s="46" t="s">
        <v>3307</v>
      </c>
      <c r="J586" s="46" t="s">
        <v>3160</v>
      </c>
      <c r="K586" s="46">
        <v>1</v>
      </c>
      <c r="L586" s="46">
        <v>274</v>
      </c>
      <c r="N586" s="46" t="s">
        <v>2194</v>
      </c>
      <c r="P586" s="52">
        <v>1102</v>
      </c>
      <c r="Q586" s="52" t="s">
        <v>39</v>
      </c>
      <c r="R586" s="52" t="s">
        <v>40</v>
      </c>
      <c r="T586" s="52"/>
      <c r="U586" s="52"/>
      <c r="V586" s="52"/>
      <c r="W586" s="52">
        <v>320</v>
      </c>
      <c r="X586" s="52" t="s">
        <v>463</v>
      </c>
      <c r="Y586" s="52"/>
      <c r="Z586" s="46" t="s">
        <v>456</v>
      </c>
    </row>
    <row r="587" spans="1:26" ht="20">
      <c r="A587" s="49">
        <v>44366</v>
      </c>
      <c r="B587" s="48">
        <v>202106191139</v>
      </c>
      <c r="C587" s="46" t="s">
        <v>3350</v>
      </c>
      <c r="D587" s="46" t="s">
        <v>3382</v>
      </c>
      <c r="E587" s="46" t="s">
        <v>458</v>
      </c>
      <c r="F587" s="46" t="s">
        <v>3348</v>
      </c>
      <c r="G587" s="46" t="s">
        <v>39</v>
      </c>
      <c r="H587" s="47">
        <v>4714781020725</v>
      </c>
      <c r="I587" s="53" t="s">
        <v>3278</v>
      </c>
      <c r="J587" s="46" t="s">
        <v>3160</v>
      </c>
      <c r="K587" s="46">
        <v>1</v>
      </c>
      <c r="L587" s="46">
        <v>0</v>
      </c>
      <c r="N587" s="46" t="s">
        <v>301</v>
      </c>
      <c r="P587" s="52">
        <v>1102</v>
      </c>
      <c r="Q587" s="52" t="s">
        <v>39</v>
      </c>
      <c r="R587" s="52" t="s">
        <v>40</v>
      </c>
      <c r="T587" s="52"/>
      <c r="U587" s="52"/>
      <c r="V587" s="52"/>
      <c r="W587" s="52">
        <v>320</v>
      </c>
      <c r="X587" s="52" t="s">
        <v>463</v>
      </c>
      <c r="Y587" s="52"/>
      <c r="Z587" s="46" t="s">
        <v>456</v>
      </c>
    </row>
    <row r="588" spans="1:26">
      <c r="A588" s="49">
        <v>44366</v>
      </c>
      <c r="B588" s="48">
        <v>202106191140</v>
      </c>
      <c r="C588" s="46" t="s">
        <v>3350</v>
      </c>
      <c r="D588" s="46" t="s">
        <v>3381</v>
      </c>
      <c r="E588" s="46" t="s">
        <v>1203</v>
      </c>
      <c r="F588" s="46" t="s">
        <v>3348</v>
      </c>
      <c r="G588" s="46" t="s">
        <v>633</v>
      </c>
      <c r="H588" s="47">
        <v>4714781021609</v>
      </c>
      <c r="I588" s="46" t="s">
        <v>3183</v>
      </c>
      <c r="J588" s="46" t="s">
        <v>3160</v>
      </c>
      <c r="K588" s="46">
        <v>2</v>
      </c>
      <c r="L588" s="46">
        <v>266</v>
      </c>
      <c r="N588" s="46" t="s">
        <v>1454</v>
      </c>
      <c r="P588" s="52">
        <v>867</v>
      </c>
      <c r="Q588" s="52" t="s">
        <v>633</v>
      </c>
      <c r="R588" s="52" t="s">
        <v>634</v>
      </c>
      <c r="T588" s="52">
        <v>147967</v>
      </c>
      <c r="U588" s="52" t="s">
        <v>1204</v>
      </c>
      <c r="V588" s="52" t="s">
        <v>1205</v>
      </c>
      <c r="W588" s="52"/>
      <c r="X588" s="52"/>
      <c r="Y588" s="52"/>
      <c r="Z588" s="46" t="s">
        <v>1201</v>
      </c>
    </row>
    <row r="589" spans="1:26">
      <c r="A589" s="49">
        <v>44366</v>
      </c>
      <c r="B589" s="48">
        <v>202106191140</v>
      </c>
      <c r="C589" s="46" t="s">
        <v>3350</v>
      </c>
      <c r="D589" s="46" t="s">
        <v>3381</v>
      </c>
      <c r="E589" s="46" t="s">
        <v>1203</v>
      </c>
      <c r="F589" s="46" t="s">
        <v>3348</v>
      </c>
      <c r="G589" s="46" t="s">
        <v>633</v>
      </c>
      <c r="H589" s="47">
        <v>4714781021593</v>
      </c>
      <c r="I589" s="46" t="s">
        <v>3183</v>
      </c>
      <c r="J589" s="46" t="s">
        <v>3160</v>
      </c>
      <c r="K589" s="46">
        <v>2</v>
      </c>
      <c r="L589" s="46">
        <v>266</v>
      </c>
      <c r="N589" s="46" t="s">
        <v>1453</v>
      </c>
      <c r="P589" s="52">
        <v>867</v>
      </c>
      <c r="Q589" s="52" t="s">
        <v>633</v>
      </c>
      <c r="R589" s="52" t="s">
        <v>634</v>
      </c>
      <c r="T589" s="52">
        <v>147967</v>
      </c>
      <c r="U589" s="52" t="s">
        <v>1204</v>
      </c>
      <c r="V589" s="52" t="s">
        <v>1205</v>
      </c>
      <c r="W589" s="52"/>
      <c r="X589" s="52"/>
      <c r="Y589" s="52"/>
      <c r="Z589" s="46" t="s">
        <v>1201</v>
      </c>
    </row>
    <row r="590" spans="1:26">
      <c r="A590" s="49">
        <v>44366</v>
      </c>
      <c r="B590" s="48">
        <v>202106191140</v>
      </c>
      <c r="C590" s="46" t="s">
        <v>3350</v>
      </c>
      <c r="D590" s="46" t="s">
        <v>3381</v>
      </c>
      <c r="E590" s="46" t="s">
        <v>1203</v>
      </c>
      <c r="F590" s="46" t="s">
        <v>3348</v>
      </c>
      <c r="G590" s="46" t="s">
        <v>633</v>
      </c>
      <c r="H590" s="47">
        <v>4714781021029</v>
      </c>
      <c r="I590" s="46" t="s">
        <v>3234</v>
      </c>
      <c r="J590" s="46" t="s">
        <v>3160</v>
      </c>
      <c r="K590" s="46">
        <v>2</v>
      </c>
      <c r="L590" s="46">
        <v>266</v>
      </c>
      <c r="N590" s="46" t="s">
        <v>1452</v>
      </c>
      <c r="P590" s="52">
        <v>867</v>
      </c>
      <c r="Q590" s="52" t="s">
        <v>633</v>
      </c>
      <c r="R590" s="52" t="s">
        <v>634</v>
      </c>
      <c r="T590" s="52">
        <v>147967</v>
      </c>
      <c r="U590" s="52" t="s">
        <v>1204</v>
      </c>
      <c r="V590" s="52" t="s">
        <v>1205</v>
      </c>
      <c r="W590" s="52"/>
      <c r="X590" s="52"/>
      <c r="Y590" s="52"/>
      <c r="Z590" s="46" t="s">
        <v>1201</v>
      </c>
    </row>
    <row r="591" spans="1:26">
      <c r="A591" s="49">
        <v>44366</v>
      </c>
      <c r="B591" s="48">
        <v>202106191140</v>
      </c>
      <c r="C591" s="46" t="s">
        <v>3350</v>
      </c>
      <c r="D591" s="46" t="s">
        <v>3381</v>
      </c>
      <c r="E591" s="46" t="s">
        <v>1203</v>
      </c>
      <c r="F591" s="46" t="s">
        <v>3348</v>
      </c>
      <c r="G591" s="46" t="s">
        <v>633</v>
      </c>
      <c r="H591" s="47">
        <v>4714781021234</v>
      </c>
      <c r="I591" s="46" t="s">
        <v>3215</v>
      </c>
      <c r="J591" s="46" t="s">
        <v>3160</v>
      </c>
      <c r="K591" s="46">
        <v>1</v>
      </c>
      <c r="L591" s="46">
        <v>69</v>
      </c>
      <c r="N591" s="46" t="s">
        <v>87</v>
      </c>
      <c r="P591" s="52">
        <v>867</v>
      </c>
      <c r="Q591" s="52" t="s">
        <v>633</v>
      </c>
      <c r="R591" s="52" t="s">
        <v>634</v>
      </c>
      <c r="T591" s="52">
        <v>147967</v>
      </c>
      <c r="U591" s="52" t="s">
        <v>1204</v>
      </c>
      <c r="V591" s="52" t="s">
        <v>1205</v>
      </c>
      <c r="W591" s="52"/>
      <c r="X591" s="52"/>
      <c r="Y591" s="52"/>
      <c r="Z591" s="46" t="s">
        <v>1201</v>
      </c>
    </row>
    <row r="592" spans="1:26">
      <c r="A592" s="49">
        <v>44366</v>
      </c>
      <c r="B592" s="48">
        <v>202106191141</v>
      </c>
      <c r="C592" s="46" t="s">
        <v>3350</v>
      </c>
      <c r="D592" s="46" t="s">
        <v>3380</v>
      </c>
      <c r="E592" s="46" t="s">
        <v>453</v>
      </c>
      <c r="F592" s="46" t="s">
        <v>3348</v>
      </c>
      <c r="G592" s="46" t="s">
        <v>39</v>
      </c>
      <c r="H592" s="47">
        <v>4714781020770</v>
      </c>
      <c r="I592" s="46" t="s">
        <v>3276</v>
      </c>
      <c r="J592" s="46" t="s">
        <v>3160</v>
      </c>
      <c r="K592" s="46">
        <v>1</v>
      </c>
      <c r="L592" s="46">
        <v>135</v>
      </c>
      <c r="N592" s="46" t="s">
        <v>1380</v>
      </c>
      <c r="P592" s="52">
        <v>1069</v>
      </c>
      <c r="Q592" s="52" t="s">
        <v>39</v>
      </c>
      <c r="R592" s="52" t="s">
        <v>171</v>
      </c>
      <c r="T592" s="52"/>
      <c r="U592" s="52"/>
      <c r="V592" s="52"/>
      <c r="W592" s="52">
        <v>402</v>
      </c>
      <c r="X592" s="52" t="s">
        <v>454</v>
      </c>
      <c r="Y592" s="52"/>
      <c r="Z592" s="46" t="s">
        <v>451</v>
      </c>
    </row>
    <row r="593" spans="1:26">
      <c r="A593" s="49">
        <v>44366</v>
      </c>
      <c r="B593" s="48">
        <v>202106191141</v>
      </c>
      <c r="C593" s="46" t="s">
        <v>3350</v>
      </c>
      <c r="D593" s="46" t="s">
        <v>3380</v>
      </c>
      <c r="E593" s="46" t="s">
        <v>453</v>
      </c>
      <c r="F593" s="46" t="s">
        <v>3348</v>
      </c>
      <c r="G593" s="46" t="s">
        <v>39</v>
      </c>
      <c r="H593" s="47">
        <v>4714781020787</v>
      </c>
      <c r="I593" s="46" t="s">
        <v>3273</v>
      </c>
      <c r="J593" s="46" t="s">
        <v>3160</v>
      </c>
      <c r="K593" s="46">
        <v>1</v>
      </c>
      <c r="L593" s="46">
        <v>135</v>
      </c>
      <c r="N593" s="46" t="s">
        <v>1378</v>
      </c>
      <c r="P593" s="52">
        <v>1069</v>
      </c>
      <c r="Q593" s="52" t="s">
        <v>39</v>
      </c>
      <c r="R593" s="52" t="s">
        <v>171</v>
      </c>
      <c r="T593" s="52"/>
      <c r="U593" s="52"/>
      <c r="V593" s="52"/>
      <c r="W593" s="52">
        <v>402</v>
      </c>
      <c r="X593" s="52" t="s">
        <v>454</v>
      </c>
      <c r="Y593" s="52"/>
      <c r="Z593" s="46" t="s">
        <v>451</v>
      </c>
    </row>
    <row r="594" spans="1:26">
      <c r="A594" s="49">
        <v>44366</v>
      </c>
      <c r="B594" s="48">
        <v>202106191141</v>
      </c>
      <c r="C594" s="46" t="s">
        <v>3350</v>
      </c>
      <c r="D594" s="46" t="s">
        <v>3380</v>
      </c>
      <c r="E594" s="46" t="s">
        <v>453</v>
      </c>
      <c r="F594" s="46" t="s">
        <v>3348</v>
      </c>
      <c r="G594" s="46" t="s">
        <v>39</v>
      </c>
      <c r="H594" s="47">
        <v>4714781021029</v>
      </c>
      <c r="I594" s="46" t="s">
        <v>3234</v>
      </c>
      <c r="J594" s="46" t="s">
        <v>3160</v>
      </c>
      <c r="K594" s="46">
        <v>1</v>
      </c>
      <c r="L594" s="46">
        <v>130</v>
      </c>
      <c r="N594" s="46" t="s">
        <v>1452</v>
      </c>
      <c r="P594" s="52">
        <v>1069</v>
      </c>
      <c r="Q594" s="52" t="s">
        <v>39</v>
      </c>
      <c r="R594" s="52" t="s">
        <v>171</v>
      </c>
      <c r="T594" s="52"/>
      <c r="U594" s="52"/>
      <c r="V594" s="52"/>
      <c r="W594" s="52">
        <v>402</v>
      </c>
      <c r="X594" s="52" t="s">
        <v>454</v>
      </c>
      <c r="Y594" s="52"/>
      <c r="Z594" s="46" t="s">
        <v>451</v>
      </c>
    </row>
    <row r="595" spans="1:26">
      <c r="A595" s="49">
        <v>44366</v>
      </c>
      <c r="B595" s="48">
        <v>202106191141</v>
      </c>
      <c r="C595" s="46" t="s">
        <v>3350</v>
      </c>
      <c r="D595" s="46" t="s">
        <v>3380</v>
      </c>
      <c r="E595" s="46" t="s">
        <v>453</v>
      </c>
      <c r="F595" s="46" t="s">
        <v>3348</v>
      </c>
      <c r="G595" s="46" t="s">
        <v>39</v>
      </c>
      <c r="H595" s="47">
        <v>4714781021593</v>
      </c>
      <c r="I595" s="46" t="s">
        <v>3183</v>
      </c>
      <c r="J595" s="46" t="s">
        <v>3160</v>
      </c>
      <c r="K595" s="46">
        <v>1</v>
      </c>
      <c r="L595" s="46">
        <v>130</v>
      </c>
      <c r="N595" s="46" t="s">
        <v>1453</v>
      </c>
      <c r="P595" s="52">
        <v>1069</v>
      </c>
      <c r="Q595" s="52" t="s">
        <v>39</v>
      </c>
      <c r="R595" s="52" t="s">
        <v>171</v>
      </c>
      <c r="T595" s="52"/>
      <c r="U595" s="52"/>
      <c r="V595" s="52"/>
      <c r="W595" s="52">
        <v>402</v>
      </c>
      <c r="X595" s="52" t="s">
        <v>454</v>
      </c>
      <c r="Y595" s="52"/>
      <c r="Z595" s="46" t="s">
        <v>451</v>
      </c>
    </row>
    <row r="596" spans="1:26">
      <c r="A596" s="49">
        <v>44366</v>
      </c>
      <c r="B596" s="48">
        <v>202106191141</v>
      </c>
      <c r="C596" s="46" t="s">
        <v>3350</v>
      </c>
      <c r="D596" s="46" t="s">
        <v>3380</v>
      </c>
      <c r="E596" s="46" t="s">
        <v>453</v>
      </c>
      <c r="F596" s="46" t="s">
        <v>3348</v>
      </c>
      <c r="G596" s="46" t="s">
        <v>39</v>
      </c>
      <c r="H596" s="47">
        <v>4714781021609</v>
      </c>
      <c r="I596" s="46" t="s">
        <v>3183</v>
      </c>
      <c r="J596" s="46" t="s">
        <v>3160</v>
      </c>
      <c r="K596" s="46">
        <v>1</v>
      </c>
      <c r="L596" s="46">
        <v>131</v>
      </c>
      <c r="N596" s="46" t="s">
        <v>1454</v>
      </c>
      <c r="P596" s="52">
        <v>1069</v>
      </c>
      <c r="Q596" s="52" t="s">
        <v>39</v>
      </c>
      <c r="R596" s="52" t="s">
        <v>171</v>
      </c>
      <c r="T596" s="52"/>
      <c r="U596" s="52"/>
      <c r="V596" s="52"/>
      <c r="W596" s="52">
        <v>402</v>
      </c>
      <c r="X596" s="52" t="s">
        <v>454</v>
      </c>
      <c r="Y596" s="52"/>
      <c r="Z596" s="46" t="s">
        <v>451</v>
      </c>
    </row>
    <row r="597" spans="1:26">
      <c r="A597" s="49">
        <v>44366</v>
      </c>
      <c r="B597" s="48">
        <v>202106191141</v>
      </c>
      <c r="C597" s="46" t="s">
        <v>3350</v>
      </c>
      <c r="D597" s="46" t="s">
        <v>3380</v>
      </c>
      <c r="E597" s="46" t="s">
        <v>453</v>
      </c>
      <c r="F597" s="46" t="s">
        <v>3348</v>
      </c>
      <c r="G597" s="46" t="s">
        <v>39</v>
      </c>
      <c r="H597" s="47">
        <v>4714781020466</v>
      </c>
      <c r="I597" s="46" t="s">
        <v>3194</v>
      </c>
      <c r="J597" s="46" t="s">
        <v>3160</v>
      </c>
      <c r="K597" s="46">
        <v>1</v>
      </c>
      <c r="L597" s="46">
        <v>136</v>
      </c>
      <c r="N597" s="46" t="s">
        <v>1374</v>
      </c>
      <c r="P597" s="52">
        <v>1069</v>
      </c>
      <c r="Q597" s="52" t="s">
        <v>39</v>
      </c>
      <c r="R597" s="52" t="s">
        <v>171</v>
      </c>
      <c r="T597" s="52"/>
      <c r="U597" s="52"/>
      <c r="V597" s="52"/>
      <c r="W597" s="52">
        <v>402</v>
      </c>
      <c r="X597" s="52" t="s">
        <v>454</v>
      </c>
      <c r="Y597" s="52"/>
      <c r="Z597" s="46" t="s">
        <v>451</v>
      </c>
    </row>
    <row r="598" spans="1:26">
      <c r="A598" s="49">
        <v>44366</v>
      </c>
      <c r="B598" s="48">
        <v>202106191141</v>
      </c>
      <c r="C598" s="46" t="s">
        <v>3350</v>
      </c>
      <c r="D598" s="46" t="s">
        <v>3380</v>
      </c>
      <c r="E598" s="46" t="s">
        <v>453</v>
      </c>
      <c r="F598" s="46" t="s">
        <v>3348</v>
      </c>
      <c r="G598" s="46" t="s">
        <v>39</v>
      </c>
      <c r="H598" s="47">
        <v>4714781020503</v>
      </c>
      <c r="I598" s="46" t="s">
        <v>3295</v>
      </c>
      <c r="J598" s="46" t="s">
        <v>3160</v>
      </c>
      <c r="K598" s="46">
        <v>1</v>
      </c>
      <c r="L598" s="46">
        <v>136</v>
      </c>
      <c r="N598" s="46" t="s">
        <v>1372</v>
      </c>
      <c r="P598" s="52">
        <v>1069</v>
      </c>
      <c r="Q598" s="52" t="s">
        <v>39</v>
      </c>
      <c r="R598" s="52" t="s">
        <v>171</v>
      </c>
      <c r="T598" s="52"/>
      <c r="U598" s="52"/>
      <c r="V598" s="52"/>
      <c r="W598" s="52">
        <v>402</v>
      </c>
      <c r="X598" s="52" t="s">
        <v>454</v>
      </c>
      <c r="Y598" s="52"/>
      <c r="Z598" s="46" t="s">
        <v>451</v>
      </c>
    </row>
    <row r="599" spans="1:26">
      <c r="A599" s="49">
        <v>44366</v>
      </c>
      <c r="B599" s="48">
        <v>202106191141</v>
      </c>
      <c r="C599" s="46" t="s">
        <v>3350</v>
      </c>
      <c r="D599" s="46" t="s">
        <v>3380</v>
      </c>
      <c r="E599" s="46" t="s">
        <v>453</v>
      </c>
      <c r="F599" s="46" t="s">
        <v>3348</v>
      </c>
      <c r="G599" s="46" t="s">
        <v>39</v>
      </c>
      <c r="H599" s="47">
        <v>4714781020558</v>
      </c>
      <c r="I599" s="46" t="s">
        <v>3295</v>
      </c>
      <c r="J599" s="46" t="s">
        <v>3160</v>
      </c>
      <c r="K599" s="46">
        <v>1</v>
      </c>
      <c r="L599" s="46">
        <v>136</v>
      </c>
      <c r="N599" s="46" t="s">
        <v>1370</v>
      </c>
      <c r="P599" s="52">
        <v>1069</v>
      </c>
      <c r="Q599" s="52" t="s">
        <v>39</v>
      </c>
      <c r="R599" s="52" t="s">
        <v>171</v>
      </c>
      <c r="T599" s="52"/>
      <c r="U599" s="52"/>
      <c r="V599" s="52"/>
      <c r="W599" s="52">
        <v>402</v>
      </c>
      <c r="X599" s="52" t="s">
        <v>454</v>
      </c>
      <c r="Y599" s="52"/>
      <c r="Z599" s="46" t="s">
        <v>451</v>
      </c>
    </row>
    <row r="600" spans="1:26" ht="20">
      <c r="A600" s="49">
        <v>44366</v>
      </c>
      <c r="B600" s="48">
        <v>202106191141</v>
      </c>
      <c r="C600" s="46" t="s">
        <v>3350</v>
      </c>
      <c r="D600" s="46" t="s">
        <v>3380</v>
      </c>
      <c r="E600" s="46" t="s">
        <v>453</v>
      </c>
      <c r="F600" s="46" t="s">
        <v>3348</v>
      </c>
      <c r="G600" s="46" t="s">
        <v>39</v>
      </c>
      <c r="H600" s="47">
        <v>4714781020725</v>
      </c>
      <c r="I600" s="53" t="s">
        <v>3278</v>
      </c>
      <c r="J600" s="46" t="s">
        <v>3160</v>
      </c>
      <c r="K600" s="46">
        <v>1</v>
      </c>
      <c r="L600" s="46">
        <v>0</v>
      </c>
      <c r="N600" s="46" t="s">
        <v>301</v>
      </c>
      <c r="P600" s="52">
        <v>1069</v>
      </c>
      <c r="Q600" s="52" t="s">
        <v>39</v>
      </c>
      <c r="R600" s="52" t="s">
        <v>171</v>
      </c>
      <c r="T600" s="52"/>
      <c r="U600" s="52"/>
      <c r="V600" s="52"/>
      <c r="W600" s="52">
        <v>402</v>
      </c>
      <c r="X600" s="52" t="s">
        <v>454</v>
      </c>
      <c r="Y600" s="52"/>
      <c r="Z600" s="46" t="s">
        <v>451</v>
      </c>
    </row>
    <row r="601" spans="1:26">
      <c r="A601" s="49">
        <v>44366</v>
      </c>
      <c r="B601" s="48">
        <v>202106191142</v>
      </c>
      <c r="C601" s="46" t="s">
        <v>3350</v>
      </c>
      <c r="D601" s="46" t="s">
        <v>3379</v>
      </c>
      <c r="E601" s="46" t="s">
        <v>444</v>
      </c>
      <c r="F601" s="46" t="s">
        <v>3348</v>
      </c>
      <c r="G601" s="46" t="s">
        <v>39</v>
      </c>
      <c r="H601" s="47">
        <v>4714781021777</v>
      </c>
      <c r="I601" s="46" t="s">
        <v>3169</v>
      </c>
      <c r="J601" s="46" t="s">
        <v>3160</v>
      </c>
      <c r="K601" s="46">
        <v>2</v>
      </c>
      <c r="L601" s="46">
        <v>713</v>
      </c>
      <c r="N601" s="46" t="s">
        <v>1522</v>
      </c>
      <c r="P601" s="52">
        <v>1254</v>
      </c>
      <c r="Q601" s="52" t="s">
        <v>39</v>
      </c>
      <c r="R601" s="52" t="s">
        <v>171</v>
      </c>
      <c r="T601" s="52"/>
      <c r="U601" s="52"/>
      <c r="V601" s="52"/>
      <c r="W601" s="52">
        <v>815</v>
      </c>
      <c r="X601" s="52" t="s">
        <v>449</v>
      </c>
      <c r="Y601" s="52"/>
      <c r="Z601" s="46" t="s">
        <v>442</v>
      </c>
    </row>
    <row r="602" spans="1:26">
      <c r="A602" s="49">
        <v>44366</v>
      </c>
      <c r="B602" s="48">
        <v>202106191142</v>
      </c>
      <c r="C602" s="46" t="s">
        <v>3350</v>
      </c>
      <c r="D602" s="46" t="s">
        <v>3379</v>
      </c>
      <c r="E602" s="46" t="s">
        <v>444</v>
      </c>
      <c r="F602" s="46" t="s">
        <v>3348</v>
      </c>
      <c r="G602" s="46" t="s">
        <v>39</v>
      </c>
      <c r="H602" s="47" t="s">
        <v>1508</v>
      </c>
      <c r="I602" s="46" t="s">
        <v>3166</v>
      </c>
      <c r="J602" s="46" t="s">
        <v>3160</v>
      </c>
      <c r="K602" s="46">
        <v>1</v>
      </c>
      <c r="L602" s="46">
        <v>271</v>
      </c>
      <c r="N602" s="46" t="s">
        <v>2186</v>
      </c>
      <c r="P602" s="52">
        <v>1254</v>
      </c>
      <c r="Q602" s="52" t="s">
        <v>39</v>
      </c>
      <c r="R602" s="52" t="s">
        <v>171</v>
      </c>
      <c r="T602" s="52"/>
      <c r="U602" s="52"/>
      <c r="V602" s="52"/>
      <c r="W602" s="52">
        <v>815</v>
      </c>
      <c r="X602" s="52" t="s">
        <v>449</v>
      </c>
      <c r="Y602" s="52"/>
      <c r="Z602" s="46" t="s">
        <v>442</v>
      </c>
    </row>
    <row r="603" spans="1:26">
      <c r="A603" s="49">
        <v>44366</v>
      </c>
      <c r="B603" s="48">
        <v>202106191142</v>
      </c>
      <c r="C603" s="46" t="s">
        <v>3350</v>
      </c>
      <c r="D603" s="46" t="s">
        <v>3379</v>
      </c>
      <c r="E603" s="46" t="s">
        <v>444</v>
      </c>
      <c r="F603" s="46" t="s">
        <v>3348</v>
      </c>
      <c r="G603" s="46" t="s">
        <v>39</v>
      </c>
      <c r="H603" s="47" t="s">
        <v>1506</v>
      </c>
      <c r="I603" s="46" t="s">
        <v>3166</v>
      </c>
      <c r="J603" s="46" t="s">
        <v>3160</v>
      </c>
      <c r="K603" s="46">
        <v>1</v>
      </c>
      <c r="L603" s="46">
        <v>270</v>
      </c>
      <c r="N603" s="46" t="s">
        <v>2188</v>
      </c>
      <c r="P603" s="52">
        <v>1254</v>
      </c>
      <c r="Q603" s="52" t="s">
        <v>39</v>
      </c>
      <c r="R603" s="52" t="s">
        <v>171</v>
      </c>
      <c r="T603" s="52"/>
      <c r="U603" s="52"/>
      <c r="V603" s="52"/>
      <c r="W603" s="52">
        <v>815</v>
      </c>
      <c r="X603" s="52" t="s">
        <v>449</v>
      </c>
      <c r="Y603" s="52"/>
      <c r="Z603" s="46" t="s">
        <v>442</v>
      </c>
    </row>
    <row r="604" spans="1:26" ht="20">
      <c r="A604" s="49">
        <v>44366</v>
      </c>
      <c r="B604" s="48">
        <v>202106191142</v>
      </c>
      <c r="C604" s="46" t="s">
        <v>3350</v>
      </c>
      <c r="D604" s="46" t="s">
        <v>3379</v>
      </c>
      <c r="E604" s="46" t="s">
        <v>444</v>
      </c>
      <c r="F604" s="46" t="s">
        <v>3348</v>
      </c>
      <c r="G604" s="46" t="s">
        <v>39</v>
      </c>
      <c r="H604" s="47">
        <v>4714781020725</v>
      </c>
      <c r="I604" s="53" t="s">
        <v>3278</v>
      </c>
      <c r="J604" s="46" t="s">
        <v>3160</v>
      </c>
      <c r="K604" s="46">
        <v>1</v>
      </c>
      <c r="L604" s="46">
        <v>0</v>
      </c>
      <c r="N604" s="46" t="s">
        <v>301</v>
      </c>
      <c r="P604" s="52">
        <v>1254</v>
      </c>
      <c r="Q604" s="52" t="s">
        <v>39</v>
      </c>
      <c r="R604" s="52" t="s">
        <v>171</v>
      </c>
      <c r="T604" s="52"/>
      <c r="U604" s="52"/>
      <c r="V604" s="52"/>
      <c r="W604" s="52">
        <v>815</v>
      </c>
      <c r="X604" s="52" t="s">
        <v>449</v>
      </c>
      <c r="Y604" s="52"/>
      <c r="Z604" s="46" t="s">
        <v>442</v>
      </c>
    </row>
    <row r="605" spans="1:26">
      <c r="A605" s="49">
        <v>44366</v>
      </c>
      <c r="B605" s="48">
        <v>202106191143</v>
      </c>
      <c r="C605" s="46" t="s">
        <v>3350</v>
      </c>
      <c r="D605" s="46" t="s">
        <v>3378</v>
      </c>
      <c r="E605" s="46" t="s">
        <v>432</v>
      </c>
      <c r="F605" s="46" t="s">
        <v>3348</v>
      </c>
      <c r="G605" s="46" t="s">
        <v>39</v>
      </c>
      <c r="H605" s="47">
        <v>4714781021029</v>
      </c>
      <c r="I605" s="46" t="s">
        <v>3234</v>
      </c>
      <c r="J605" s="46" t="s">
        <v>3160</v>
      </c>
      <c r="K605" s="46">
        <v>1</v>
      </c>
      <c r="L605" s="46">
        <v>130</v>
      </c>
      <c r="N605" s="46" t="s">
        <v>1452</v>
      </c>
      <c r="P605" s="52">
        <v>858</v>
      </c>
      <c r="Q605" s="52" t="s">
        <v>39</v>
      </c>
      <c r="R605" s="52" t="s">
        <v>59</v>
      </c>
      <c r="T605" s="52"/>
      <c r="U605" s="52"/>
      <c r="V605" s="52"/>
      <c r="W605" s="52">
        <v>242</v>
      </c>
      <c r="X605" s="52" t="s">
        <v>437</v>
      </c>
      <c r="Y605" s="52"/>
      <c r="Z605" s="46" t="s">
        <v>430</v>
      </c>
    </row>
    <row r="606" spans="1:26">
      <c r="A606" s="49">
        <v>44366</v>
      </c>
      <c r="B606" s="48">
        <v>202106191143</v>
      </c>
      <c r="C606" s="46" t="s">
        <v>3350</v>
      </c>
      <c r="D606" s="46" t="s">
        <v>3378</v>
      </c>
      <c r="E606" s="46" t="s">
        <v>432</v>
      </c>
      <c r="F606" s="46" t="s">
        <v>3348</v>
      </c>
      <c r="G606" s="46" t="s">
        <v>39</v>
      </c>
      <c r="H606" s="47">
        <v>4714781021593</v>
      </c>
      <c r="I606" s="46" t="s">
        <v>3183</v>
      </c>
      <c r="J606" s="46" t="s">
        <v>3160</v>
      </c>
      <c r="K606" s="46">
        <v>1</v>
      </c>
      <c r="L606" s="46">
        <v>130</v>
      </c>
      <c r="N606" s="46" t="s">
        <v>1453</v>
      </c>
      <c r="P606" s="52">
        <v>858</v>
      </c>
      <c r="Q606" s="52" t="s">
        <v>39</v>
      </c>
      <c r="R606" s="52" t="s">
        <v>59</v>
      </c>
      <c r="T606" s="52"/>
      <c r="U606" s="52"/>
      <c r="V606" s="52"/>
      <c r="W606" s="52">
        <v>242</v>
      </c>
      <c r="X606" s="52" t="s">
        <v>437</v>
      </c>
      <c r="Y606" s="52"/>
      <c r="Z606" s="46" t="s">
        <v>430</v>
      </c>
    </row>
    <row r="607" spans="1:26">
      <c r="A607" s="49">
        <v>44366</v>
      </c>
      <c r="B607" s="48">
        <v>202106191143</v>
      </c>
      <c r="C607" s="46" t="s">
        <v>3350</v>
      </c>
      <c r="D607" s="46" t="s">
        <v>3378</v>
      </c>
      <c r="E607" s="46" t="s">
        <v>432</v>
      </c>
      <c r="F607" s="46" t="s">
        <v>3348</v>
      </c>
      <c r="G607" s="46" t="s">
        <v>39</v>
      </c>
      <c r="H607" s="47">
        <v>4714781021609</v>
      </c>
      <c r="I607" s="46" t="s">
        <v>3183</v>
      </c>
      <c r="J607" s="46" t="s">
        <v>3160</v>
      </c>
      <c r="K607" s="46">
        <v>1</v>
      </c>
      <c r="L607" s="46">
        <v>131</v>
      </c>
      <c r="N607" s="46" t="s">
        <v>1454</v>
      </c>
      <c r="P607" s="52">
        <v>858</v>
      </c>
      <c r="Q607" s="52" t="s">
        <v>39</v>
      </c>
      <c r="R607" s="52" t="s">
        <v>59</v>
      </c>
      <c r="T607" s="52"/>
      <c r="U607" s="52"/>
      <c r="V607" s="52"/>
      <c r="W607" s="52">
        <v>242</v>
      </c>
      <c r="X607" s="52" t="s">
        <v>437</v>
      </c>
      <c r="Y607" s="52"/>
      <c r="Z607" s="46" t="s">
        <v>430</v>
      </c>
    </row>
    <row r="608" spans="1:26">
      <c r="A608" s="49">
        <v>44366</v>
      </c>
      <c r="B608" s="48">
        <v>202106191143</v>
      </c>
      <c r="C608" s="46" t="s">
        <v>3350</v>
      </c>
      <c r="D608" s="46" t="s">
        <v>3378</v>
      </c>
      <c r="E608" s="46" t="s">
        <v>432</v>
      </c>
      <c r="F608" s="46" t="s">
        <v>3348</v>
      </c>
      <c r="G608" s="46" t="s">
        <v>39</v>
      </c>
      <c r="H608" s="47">
        <v>4714781020466</v>
      </c>
      <c r="I608" s="46" t="s">
        <v>3194</v>
      </c>
      <c r="J608" s="46" t="s">
        <v>3160</v>
      </c>
      <c r="K608" s="46">
        <v>1</v>
      </c>
      <c r="L608" s="46">
        <v>136</v>
      </c>
      <c r="N608" s="46" t="s">
        <v>1374</v>
      </c>
      <c r="P608" s="52">
        <v>858</v>
      </c>
      <c r="Q608" s="52" t="s">
        <v>39</v>
      </c>
      <c r="R608" s="52" t="s">
        <v>59</v>
      </c>
      <c r="T608" s="52"/>
      <c r="U608" s="52"/>
      <c r="V608" s="52"/>
      <c r="W608" s="52">
        <v>242</v>
      </c>
      <c r="X608" s="52" t="s">
        <v>437</v>
      </c>
      <c r="Y608" s="52"/>
      <c r="Z608" s="46" t="s">
        <v>430</v>
      </c>
    </row>
    <row r="609" spans="1:26">
      <c r="A609" s="49">
        <v>44366</v>
      </c>
      <c r="B609" s="48">
        <v>202106191143</v>
      </c>
      <c r="C609" s="46" t="s">
        <v>3350</v>
      </c>
      <c r="D609" s="46" t="s">
        <v>3378</v>
      </c>
      <c r="E609" s="46" t="s">
        <v>432</v>
      </c>
      <c r="F609" s="46" t="s">
        <v>3348</v>
      </c>
      <c r="G609" s="46" t="s">
        <v>39</v>
      </c>
      <c r="H609" s="47">
        <v>4714781020503</v>
      </c>
      <c r="I609" s="46" t="s">
        <v>3295</v>
      </c>
      <c r="J609" s="46" t="s">
        <v>3160</v>
      </c>
      <c r="K609" s="46">
        <v>1</v>
      </c>
      <c r="L609" s="46">
        <v>136</v>
      </c>
      <c r="N609" s="46" t="s">
        <v>1372</v>
      </c>
      <c r="P609" s="52">
        <v>858</v>
      </c>
      <c r="Q609" s="52" t="s">
        <v>39</v>
      </c>
      <c r="R609" s="52" t="s">
        <v>59</v>
      </c>
      <c r="T609" s="52"/>
      <c r="U609" s="52"/>
      <c r="V609" s="52"/>
      <c r="W609" s="52">
        <v>242</v>
      </c>
      <c r="X609" s="52" t="s">
        <v>437</v>
      </c>
      <c r="Y609" s="52"/>
      <c r="Z609" s="46" t="s">
        <v>430</v>
      </c>
    </row>
    <row r="610" spans="1:26">
      <c r="A610" s="49">
        <v>44366</v>
      </c>
      <c r="B610" s="48">
        <v>202106191143</v>
      </c>
      <c r="C610" s="46" t="s">
        <v>3350</v>
      </c>
      <c r="D610" s="46" t="s">
        <v>3378</v>
      </c>
      <c r="E610" s="46" t="s">
        <v>432</v>
      </c>
      <c r="F610" s="46" t="s">
        <v>3348</v>
      </c>
      <c r="G610" s="46" t="s">
        <v>39</v>
      </c>
      <c r="H610" s="47">
        <v>4714781020558</v>
      </c>
      <c r="I610" s="46" t="s">
        <v>3295</v>
      </c>
      <c r="J610" s="46" t="s">
        <v>3160</v>
      </c>
      <c r="K610" s="46">
        <v>1</v>
      </c>
      <c r="L610" s="46">
        <v>136</v>
      </c>
      <c r="N610" s="46" t="s">
        <v>1370</v>
      </c>
      <c r="P610" s="52">
        <v>858</v>
      </c>
      <c r="Q610" s="52" t="s">
        <v>39</v>
      </c>
      <c r="R610" s="52" t="s">
        <v>59</v>
      </c>
      <c r="T610" s="52"/>
      <c r="U610" s="52"/>
      <c r="V610" s="52"/>
      <c r="W610" s="52">
        <v>242</v>
      </c>
      <c r="X610" s="52" t="s">
        <v>437</v>
      </c>
      <c r="Y610" s="52"/>
      <c r="Z610" s="46" t="s">
        <v>430</v>
      </c>
    </row>
    <row r="611" spans="1:26">
      <c r="A611" s="49">
        <v>44366</v>
      </c>
      <c r="B611" s="48">
        <v>202106191143</v>
      </c>
      <c r="C611" s="46" t="s">
        <v>3350</v>
      </c>
      <c r="D611" s="46" t="s">
        <v>3378</v>
      </c>
      <c r="E611" s="46" t="s">
        <v>432</v>
      </c>
      <c r="F611" s="46" t="s">
        <v>3348</v>
      </c>
      <c r="G611" s="46" t="s">
        <v>39</v>
      </c>
      <c r="H611" s="47">
        <v>4714781021241</v>
      </c>
      <c r="I611" s="46" t="s">
        <v>3215</v>
      </c>
      <c r="J611" s="46" t="s">
        <v>3160</v>
      </c>
      <c r="K611" s="46">
        <v>1</v>
      </c>
      <c r="L611" s="46">
        <v>59</v>
      </c>
      <c r="N611" s="46" t="s">
        <v>439</v>
      </c>
      <c r="P611" s="52">
        <v>858</v>
      </c>
      <c r="Q611" s="52" t="s">
        <v>39</v>
      </c>
      <c r="R611" s="52" t="s">
        <v>59</v>
      </c>
      <c r="T611" s="52"/>
      <c r="U611" s="52"/>
      <c r="V611" s="52"/>
      <c r="W611" s="52">
        <v>242</v>
      </c>
      <c r="X611" s="52" t="s">
        <v>437</v>
      </c>
      <c r="Y611" s="52"/>
      <c r="Z611" s="46" t="s">
        <v>430</v>
      </c>
    </row>
    <row r="612" spans="1:26">
      <c r="A612" s="49">
        <v>44366</v>
      </c>
      <c r="B612" s="48">
        <v>202106191144</v>
      </c>
      <c r="C612" s="46" t="s">
        <v>3350</v>
      </c>
      <c r="D612" s="46" t="s">
        <v>3377</v>
      </c>
      <c r="E612" s="46" t="s">
        <v>1209</v>
      </c>
      <c r="F612" s="46" t="s">
        <v>3348</v>
      </c>
      <c r="G612" s="46" t="s">
        <v>633</v>
      </c>
      <c r="H612" s="47">
        <v>4714781020817</v>
      </c>
      <c r="I612" s="46" t="s">
        <v>3223</v>
      </c>
      <c r="J612" s="46" t="s">
        <v>3160</v>
      </c>
      <c r="K612" s="46">
        <v>1</v>
      </c>
      <c r="L612" s="46">
        <v>128</v>
      </c>
      <c r="N612" s="46" t="s">
        <v>347</v>
      </c>
      <c r="P612" s="52">
        <v>726</v>
      </c>
      <c r="Q612" s="52" t="s">
        <v>633</v>
      </c>
      <c r="R612" s="52" t="s">
        <v>634</v>
      </c>
      <c r="T612" s="52">
        <v>214386</v>
      </c>
      <c r="U612" s="52" t="s">
        <v>1210</v>
      </c>
      <c r="V612" s="52" t="s">
        <v>1211</v>
      </c>
      <c r="W612" s="52"/>
      <c r="X612" s="52"/>
      <c r="Y612" s="52"/>
      <c r="Z612" s="46" t="s">
        <v>1207</v>
      </c>
    </row>
    <row r="613" spans="1:26">
      <c r="A613" s="49">
        <v>44366</v>
      </c>
      <c r="B613" s="48">
        <v>202106191144</v>
      </c>
      <c r="C613" s="46" t="s">
        <v>3350</v>
      </c>
      <c r="D613" s="46" t="s">
        <v>3377</v>
      </c>
      <c r="E613" s="46" t="s">
        <v>1209</v>
      </c>
      <c r="F613" s="46" t="s">
        <v>3348</v>
      </c>
      <c r="G613" s="46" t="s">
        <v>633</v>
      </c>
      <c r="H613" s="47">
        <v>4714781020282</v>
      </c>
      <c r="I613" s="46" t="s">
        <v>3307</v>
      </c>
      <c r="J613" s="46" t="s">
        <v>3160</v>
      </c>
      <c r="K613" s="46">
        <v>1</v>
      </c>
      <c r="L613" s="46">
        <v>299</v>
      </c>
      <c r="N613" s="46" t="s">
        <v>274</v>
      </c>
      <c r="P613" s="52">
        <v>726</v>
      </c>
      <c r="Q613" s="52" t="s">
        <v>633</v>
      </c>
      <c r="R613" s="52" t="s">
        <v>634</v>
      </c>
      <c r="T613" s="52">
        <v>214386</v>
      </c>
      <c r="U613" s="52" t="s">
        <v>1210</v>
      </c>
      <c r="V613" s="52" t="s">
        <v>1211</v>
      </c>
      <c r="W613" s="52"/>
      <c r="X613" s="52"/>
      <c r="Y613" s="52"/>
      <c r="Z613" s="46" t="s">
        <v>1207</v>
      </c>
    </row>
    <row r="614" spans="1:26">
      <c r="A614" s="49">
        <v>44366</v>
      </c>
      <c r="B614" s="48">
        <v>202106191144</v>
      </c>
      <c r="C614" s="46" t="s">
        <v>3350</v>
      </c>
      <c r="D614" s="46" t="s">
        <v>3377</v>
      </c>
      <c r="E614" s="46" t="s">
        <v>1209</v>
      </c>
      <c r="F614" s="46" t="s">
        <v>3348</v>
      </c>
      <c r="G614" s="46" t="s">
        <v>633</v>
      </c>
      <c r="H614" s="47">
        <v>4714781024716</v>
      </c>
      <c r="I614" s="46" t="s">
        <v>3166</v>
      </c>
      <c r="J614" s="46" t="s">
        <v>3160</v>
      </c>
      <c r="K614" s="46">
        <v>1</v>
      </c>
      <c r="L614" s="46">
        <v>299</v>
      </c>
      <c r="N614" s="46" t="s">
        <v>372</v>
      </c>
      <c r="P614" s="52">
        <v>726</v>
      </c>
      <c r="Q614" s="52" t="s">
        <v>633</v>
      </c>
      <c r="R614" s="52" t="s">
        <v>634</v>
      </c>
      <c r="T614" s="52">
        <v>214386</v>
      </c>
      <c r="U614" s="52" t="s">
        <v>1210</v>
      </c>
      <c r="V614" s="52" t="s">
        <v>1211</v>
      </c>
      <c r="W614" s="52"/>
      <c r="X614" s="52"/>
      <c r="Y614" s="52"/>
      <c r="Z614" s="46" t="s">
        <v>1207</v>
      </c>
    </row>
    <row r="615" spans="1:26">
      <c r="A615" s="49">
        <v>44366</v>
      </c>
      <c r="B615" s="48">
        <v>202106191145</v>
      </c>
      <c r="C615" s="46" t="s">
        <v>3350</v>
      </c>
      <c r="D615" s="46" t="s">
        <v>3376</v>
      </c>
      <c r="E615" s="46" t="s">
        <v>1215</v>
      </c>
      <c r="F615" s="46" t="s">
        <v>3348</v>
      </c>
      <c r="G615" s="46" t="s">
        <v>633</v>
      </c>
      <c r="H615" s="47">
        <v>4714781024730</v>
      </c>
      <c r="I615" s="46" t="s">
        <v>3166</v>
      </c>
      <c r="J615" s="46" t="s">
        <v>3160</v>
      </c>
      <c r="K615" s="46">
        <v>1</v>
      </c>
      <c r="L615" s="46">
        <v>299</v>
      </c>
      <c r="N615" s="46" t="s">
        <v>263</v>
      </c>
      <c r="P615" s="52">
        <v>364</v>
      </c>
      <c r="Q615" s="52" t="s">
        <v>633</v>
      </c>
      <c r="R615" s="52" t="s">
        <v>634</v>
      </c>
      <c r="T615" s="52">
        <v>208657</v>
      </c>
      <c r="U615" s="52" t="s">
        <v>1216</v>
      </c>
      <c r="V615" s="52" t="s">
        <v>1217</v>
      </c>
      <c r="W615" s="52"/>
      <c r="X615" s="52"/>
      <c r="Y615" s="52"/>
      <c r="Z615" s="46" t="s">
        <v>1213</v>
      </c>
    </row>
    <row r="616" spans="1:26">
      <c r="A616" s="49">
        <v>44366</v>
      </c>
      <c r="B616" s="48">
        <v>202106191145</v>
      </c>
      <c r="C616" s="46" t="s">
        <v>3350</v>
      </c>
      <c r="D616" s="46" t="s">
        <v>3376</v>
      </c>
      <c r="E616" s="46" t="s">
        <v>1215</v>
      </c>
      <c r="F616" s="46" t="s">
        <v>3348</v>
      </c>
      <c r="G616" s="46" t="s">
        <v>633</v>
      </c>
      <c r="H616" s="47" t="s">
        <v>3347</v>
      </c>
      <c r="J616" s="46" t="s">
        <v>3346</v>
      </c>
      <c r="K616" s="46">
        <v>1</v>
      </c>
      <c r="L616" s="46">
        <v>65</v>
      </c>
      <c r="P616" s="52"/>
      <c r="Q616" s="52"/>
      <c r="R616" s="52"/>
      <c r="T616" s="52"/>
      <c r="U616" s="52"/>
      <c r="V616" s="52"/>
      <c r="W616" s="52"/>
      <c r="X616" s="52"/>
      <c r="Y616" s="52"/>
    </row>
    <row r="617" spans="1:26">
      <c r="A617" s="49">
        <v>44367</v>
      </c>
      <c r="B617" s="48">
        <v>202106201146</v>
      </c>
      <c r="C617" s="46" t="s">
        <v>3350</v>
      </c>
      <c r="D617" s="46" t="s">
        <v>3375</v>
      </c>
      <c r="E617" s="46" t="s">
        <v>1221</v>
      </c>
      <c r="F617" s="46" t="s">
        <v>3348</v>
      </c>
      <c r="G617" s="46" t="s">
        <v>633</v>
      </c>
      <c r="H617" s="47" t="s">
        <v>1341</v>
      </c>
      <c r="I617" s="46" t="s">
        <v>3309</v>
      </c>
      <c r="J617" s="46" t="s">
        <v>3160</v>
      </c>
      <c r="K617" s="46">
        <v>1</v>
      </c>
      <c r="L617" s="46">
        <v>400</v>
      </c>
      <c r="N617" s="46" t="s">
        <v>1340</v>
      </c>
      <c r="P617" s="52">
        <v>593</v>
      </c>
      <c r="Q617" s="52" t="s">
        <v>633</v>
      </c>
      <c r="R617" s="52" t="s">
        <v>634</v>
      </c>
      <c r="T617" s="52">
        <v>216555</v>
      </c>
      <c r="U617" s="52" t="s">
        <v>1222</v>
      </c>
      <c r="V617" s="52" t="s">
        <v>1223</v>
      </c>
      <c r="W617" s="52"/>
      <c r="X617" s="52"/>
      <c r="Y617" s="52"/>
      <c r="Z617" s="46" t="s">
        <v>1219</v>
      </c>
    </row>
    <row r="618" spans="1:26">
      <c r="A618" s="49">
        <v>44367</v>
      </c>
      <c r="B618" s="48">
        <v>202106201146</v>
      </c>
      <c r="C618" s="46" t="s">
        <v>3350</v>
      </c>
      <c r="D618" s="46" t="s">
        <v>3375</v>
      </c>
      <c r="E618" s="46" t="s">
        <v>1221</v>
      </c>
      <c r="F618" s="46" t="s">
        <v>3348</v>
      </c>
      <c r="G618" s="46" t="s">
        <v>633</v>
      </c>
      <c r="H618" s="47" t="s">
        <v>1339</v>
      </c>
      <c r="I618" s="46" t="s">
        <v>3308</v>
      </c>
      <c r="J618" s="46" t="s">
        <v>3160</v>
      </c>
      <c r="K618" s="46">
        <v>1</v>
      </c>
      <c r="L618" s="46">
        <v>128</v>
      </c>
      <c r="N618" s="46" t="s">
        <v>1338</v>
      </c>
      <c r="P618" s="52">
        <v>593</v>
      </c>
      <c r="Q618" s="52" t="s">
        <v>633</v>
      </c>
      <c r="R618" s="52" t="s">
        <v>634</v>
      </c>
      <c r="T618" s="52">
        <v>216555</v>
      </c>
      <c r="U618" s="52" t="s">
        <v>1222</v>
      </c>
      <c r="V618" s="52" t="s">
        <v>1223</v>
      </c>
      <c r="W618" s="52"/>
      <c r="X618" s="52"/>
      <c r="Y618" s="52"/>
      <c r="Z618" s="46" t="s">
        <v>1219</v>
      </c>
    </row>
    <row r="619" spans="1:26">
      <c r="A619" s="49">
        <v>44367</v>
      </c>
      <c r="B619" s="48">
        <v>202106201146</v>
      </c>
      <c r="C619" s="46" t="s">
        <v>3350</v>
      </c>
      <c r="D619" s="46" t="s">
        <v>3375</v>
      </c>
      <c r="E619" s="46" t="s">
        <v>1221</v>
      </c>
      <c r="F619" s="46" t="s">
        <v>3348</v>
      </c>
      <c r="G619" s="46" t="s">
        <v>633</v>
      </c>
      <c r="H619" s="47" t="s">
        <v>3347</v>
      </c>
      <c r="J619" s="46" t="s">
        <v>3346</v>
      </c>
      <c r="K619" s="46">
        <v>1</v>
      </c>
      <c r="L619" s="46">
        <v>65</v>
      </c>
      <c r="P619" s="52"/>
      <c r="Q619" s="52"/>
      <c r="R619" s="52"/>
      <c r="T619" s="52"/>
      <c r="U619" s="52"/>
      <c r="V619" s="52"/>
      <c r="W619" s="52"/>
      <c r="X619" s="52"/>
      <c r="Y619" s="52"/>
    </row>
    <row r="620" spans="1:26">
      <c r="A620" s="49">
        <v>44367</v>
      </c>
      <c r="B620" s="48">
        <v>202106201147</v>
      </c>
      <c r="C620" s="46" t="s">
        <v>3350</v>
      </c>
      <c r="D620" s="46" t="s">
        <v>3374</v>
      </c>
      <c r="E620" s="46" t="s">
        <v>1227</v>
      </c>
      <c r="F620" s="46" t="s">
        <v>3348</v>
      </c>
      <c r="G620" s="46" t="s">
        <v>633</v>
      </c>
      <c r="H620" s="47" t="s">
        <v>1341</v>
      </c>
      <c r="I620" s="46" t="s">
        <v>3309</v>
      </c>
      <c r="J620" s="46" t="s">
        <v>3160</v>
      </c>
      <c r="K620" s="46">
        <v>1</v>
      </c>
      <c r="L620" s="46">
        <v>400</v>
      </c>
      <c r="N620" s="46" t="s">
        <v>1340</v>
      </c>
      <c r="P620" s="52">
        <v>593</v>
      </c>
      <c r="Q620" s="52" t="s">
        <v>633</v>
      </c>
      <c r="R620" s="52" t="s">
        <v>634</v>
      </c>
      <c r="T620" s="52">
        <v>238599</v>
      </c>
      <c r="U620" s="52" t="s">
        <v>1228</v>
      </c>
      <c r="V620" s="52" t="s">
        <v>1229</v>
      </c>
      <c r="W620" s="52"/>
      <c r="X620" s="52"/>
      <c r="Y620" s="52"/>
      <c r="Z620" s="46" t="s">
        <v>1225</v>
      </c>
    </row>
    <row r="621" spans="1:26">
      <c r="A621" s="49">
        <v>44367</v>
      </c>
      <c r="B621" s="48">
        <v>202106201147</v>
      </c>
      <c r="C621" s="46" t="s">
        <v>3350</v>
      </c>
      <c r="D621" s="46" t="s">
        <v>3374</v>
      </c>
      <c r="E621" s="46" t="s">
        <v>1227</v>
      </c>
      <c r="F621" s="46" t="s">
        <v>3348</v>
      </c>
      <c r="G621" s="46" t="s">
        <v>633</v>
      </c>
      <c r="H621" s="47" t="s">
        <v>1339</v>
      </c>
      <c r="I621" s="46" t="s">
        <v>3308</v>
      </c>
      <c r="J621" s="46" t="s">
        <v>3160</v>
      </c>
      <c r="K621" s="46">
        <v>1</v>
      </c>
      <c r="L621" s="46">
        <v>128</v>
      </c>
      <c r="N621" s="46" t="s">
        <v>1338</v>
      </c>
      <c r="P621" s="52">
        <v>593</v>
      </c>
      <c r="Q621" s="52" t="s">
        <v>633</v>
      </c>
      <c r="R621" s="52" t="s">
        <v>634</v>
      </c>
      <c r="T621" s="52">
        <v>238599</v>
      </c>
      <c r="U621" s="52" t="s">
        <v>1228</v>
      </c>
      <c r="V621" s="52" t="s">
        <v>1229</v>
      </c>
      <c r="W621" s="52"/>
      <c r="X621" s="52"/>
      <c r="Y621" s="52"/>
      <c r="Z621" s="46" t="s">
        <v>1225</v>
      </c>
    </row>
    <row r="622" spans="1:26">
      <c r="A622" s="49">
        <v>44367</v>
      </c>
      <c r="B622" s="48">
        <v>202106201147</v>
      </c>
      <c r="C622" s="46" t="s">
        <v>3350</v>
      </c>
      <c r="D622" s="46" t="s">
        <v>3374</v>
      </c>
      <c r="E622" s="46" t="s">
        <v>1227</v>
      </c>
      <c r="F622" s="46" t="s">
        <v>3348</v>
      </c>
      <c r="G622" s="46" t="s">
        <v>633</v>
      </c>
      <c r="H622" s="47" t="s">
        <v>3347</v>
      </c>
      <c r="J622" s="46" t="s">
        <v>3346</v>
      </c>
      <c r="K622" s="46">
        <v>1</v>
      </c>
      <c r="L622" s="46">
        <v>65</v>
      </c>
      <c r="P622" s="52"/>
      <c r="Q622" s="52"/>
      <c r="R622" s="52"/>
      <c r="T622" s="52"/>
      <c r="U622" s="52"/>
      <c r="V622" s="52"/>
      <c r="W622" s="52"/>
      <c r="X622" s="52"/>
      <c r="Y622" s="52"/>
    </row>
    <row r="623" spans="1:26">
      <c r="A623" s="49">
        <v>44367</v>
      </c>
      <c r="B623" s="48">
        <v>202106201148</v>
      </c>
      <c r="C623" s="46" t="s">
        <v>3350</v>
      </c>
      <c r="D623" s="46" t="s">
        <v>3373</v>
      </c>
      <c r="E623" s="46" t="s">
        <v>1233</v>
      </c>
      <c r="F623" s="46" t="s">
        <v>3348</v>
      </c>
      <c r="G623" s="46" t="s">
        <v>633</v>
      </c>
      <c r="H623" s="47">
        <v>4714781021609</v>
      </c>
      <c r="I623" s="46" t="s">
        <v>3183</v>
      </c>
      <c r="J623" s="46" t="s">
        <v>3160</v>
      </c>
      <c r="K623" s="46">
        <v>2</v>
      </c>
      <c r="L623" s="46">
        <v>237</v>
      </c>
      <c r="N623" s="46" t="s">
        <v>1454</v>
      </c>
      <c r="P623" s="52">
        <v>1670</v>
      </c>
      <c r="Q623" s="52" t="s">
        <v>633</v>
      </c>
      <c r="R623" s="52" t="s">
        <v>634</v>
      </c>
      <c r="T623" s="52">
        <v>893792</v>
      </c>
      <c r="U623" s="52" t="s">
        <v>1234</v>
      </c>
      <c r="V623" s="52" t="s">
        <v>1235</v>
      </c>
      <c r="W623" s="52"/>
      <c r="X623" s="52"/>
      <c r="Y623" s="52"/>
      <c r="Z623" s="46" t="s">
        <v>1231</v>
      </c>
    </row>
    <row r="624" spans="1:26">
      <c r="A624" s="49">
        <v>44367</v>
      </c>
      <c r="B624" s="48">
        <v>202106201148</v>
      </c>
      <c r="C624" s="46" t="s">
        <v>3350</v>
      </c>
      <c r="D624" s="46" t="s">
        <v>3373</v>
      </c>
      <c r="E624" s="46" t="s">
        <v>1233</v>
      </c>
      <c r="F624" s="46" t="s">
        <v>3348</v>
      </c>
      <c r="G624" s="46" t="s">
        <v>633</v>
      </c>
      <c r="H624" s="47">
        <v>4714781021593</v>
      </c>
      <c r="I624" s="46" t="s">
        <v>3183</v>
      </c>
      <c r="J624" s="46" t="s">
        <v>3160</v>
      </c>
      <c r="K624" s="46">
        <v>2</v>
      </c>
      <c r="L624" s="46">
        <v>237</v>
      </c>
      <c r="N624" s="46" t="s">
        <v>1453</v>
      </c>
      <c r="P624" s="52">
        <v>1670</v>
      </c>
      <c r="Q624" s="52" t="s">
        <v>633</v>
      </c>
      <c r="R624" s="52" t="s">
        <v>634</v>
      </c>
      <c r="T624" s="52">
        <v>893792</v>
      </c>
      <c r="U624" s="52" t="s">
        <v>1234</v>
      </c>
      <c r="V624" s="52" t="s">
        <v>1235</v>
      </c>
      <c r="W624" s="52"/>
      <c r="X624" s="52"/>
      <c r="Y624" s="52"/>
      <c r="Z624" s="46" t="s">
        <v>1231</v>
      </c>
    </row>
    <row r="625" spans="1:26">
      <c r="A625" s="49">
        <v>44367</v>
      </c>
      <c r="B625" s="48">
        <v>202106201148</v>
      </c>
      <c r="C625" s="46" t="s">
        <v>3350</v>
      </c>
      <c r="D625" s="46" t="s">
        <v>3373</v>
      </c>
      <c r="E625" s="46" t="s">
        <v>1233</v>
      </c>
      <c r="F625" s="46" t="s">
        <v>3348</v>
      </c>
      <c r="G625" s="46" t="s">
        <v>633</v>
      </c>
      <c r="H625" s="47">
        <v>4714781021029</v>
      </c>
      <c r="I625" s="46" t="s">
        <v>3234</v>
      </c>
      <c r="J625" s="46" t="s">
        <v>3160</v>
      </c>
      <c r="K625" s="46">
        <v>2</v>
      </c>
      <c r="L625" s="46">
        <v>236</v>
      </c>
      <c r="N625" s="46" t="s">
        <v>1452</v>
      </c>
      <c r="P625" s="52">
        <v>1670</v>
      </c>
      <c r="Q625" s="52" t="s">
        <v>633</v>
      </c>
      <c r="R625" s="52" t="s">
        <v>634</v>
      </c>
      <c r="T625" s="52">
        <v>893792</v>
      </c>
      <c r="U625" s="52" t="s">
        <v>1234</v>
      </c>
      <c r="V625" s="52" t="s">
        <v>1235</v>
      </c>
      <c r="W625" s="52"/>
      <c r="X625" s="52"/>
      <c r="Y625" s="52"/>
      <c r="Z625" s="46" t="s">
        <v>1231</v>
      </c>
    </row>
    <row r="626" spans="1:26">
      <c r="A626" s="49">
        <v>44367</v>
      </c>
      <c r="B626" s="48">
        <v>202106201148</v>
      </c>
      <c r="C626" s="46" t="s">
        <v>3350</v>
      </c>
      <c r="D626" s="46" t="s">
        <v>3373</v>
      </c>
      <c r="E626" s="46" t="s">
        <v>1233</v>
      </c>
      <c r="F626" s="46" t="s">
        <v>3348</v>
      </c>
      <c r="G626" s="46" t="s">
        <v>633</v>
      </c>
      <c r="H626" s="47">
        <v>4714781020954</v>
      </c>
      <c r="I626" s="46" t="s">
        <v>3250</v>
      </c>
      <c r="J626" s="46" t="s">
        <v>3160</v>
      </c>
      <c r="K626" s="46">
        <v>1</v>
      </c>
      <c r="L626" s="46">
        <v>140</v>
      </c>
      <c r="N626" s="46" t="s">
        <v>1398</v>
      </c>
      <c r="P626" s="52">
        <v>1670</v>
      </c>
      <c r="Q626" s="52" t="s">
        <v>633</v>
      </c>
      <c r="R626" s="52" t="s">
        <v>634</v>
      </c>
      <c r="T626" s="52">
        <v>893792</v>
      </c>
      <c r="U626" s="52" t="s">
        <v>1234</v>
      </c>
      <c r="V626" s="52" t="s">
        <v>1235</v>
      </c>
      <c r="W626" s="52"/>
      <c r="X626" s="52"/>
      <c r="Y626" s="52"/>
      <c r="Z626" s="46" t="s">
        <v>1231</v>
      </c>
    </row>
    <row r="627" spans="1:26">
      <c r="A627" s="49">
        <v>44367</v>
      </c>
      <c r="B627" s="48">
        <v>202106201148</v>
      </c>
      <c r="C627" s="46" t="s">
        <v>3350</v>
      </c>
      <c r="D627" s="46" t="s">
        <v>3373</v>
      </c>
      <c r="E627" s="46" t="s">
        <v>1233</v>
      </c>
      <c r="F627" s="46" t="s">
        <v>3348</v>
      </c>
      <c r="G627" s="46" t="s">
        <v>633</v>
      </c>
      <c r="H627" s="47">
        <v>4714781020800</v>
      </c>
      <c r="I627" s="46" t="s">
        <v>3220</v>
      </c>
      <c r="J627" s="46" t="s">
        <v>3160</v>
      </c>
      <c r="K627" s="46">
        <v>1</v>
      </c>
      <c r="L627" s="46">
        <v>125</v>
      </c>
      <c r="N627" s="46" t="s">
        <v>1456</v>
      </c>
      <c r="P627" s="52">
        <v>1670</v>
      </c>
      <c r="Q627" s="52" t="s">
        <v>633</v>
      </c>
      <c r="R627" s="52" t="s">
        <v>634</v>
      </c>
      <c r="T627" s="52">
        <v>893792</v>
      </c>
      <c r="U627" s="52" t="s">
        <v>1234</v>
      </c>
      <c r="V627" s="52" t="s">
        <v>1235</v>
      </c>
      <c r="W627" s="52"/>
      <c r="X627" s="52"/>
      <c r="Y627" s="52"/>
      <c r="Z627" s="46" t="s">
        <v>1231</v>
      </c>
    </row>
    <row r="628" spans="1:26">
      <c r="A628" s="49">
        <v>44367</v>
      </c>
      <c r="B628" s="48">
        <v>202106201148</v>
      </c>
      <c r="C628" s="46" t="s">
        <v>3350</v>
      </c>
      <c r="D628" s="46" t="s">
        <v>3373</v>
      </c>
      <c r="E628" s="46" t="s">
        <v>1233</v>
      </c>
      <c r="F628" s="46" t="s">
        <v>3348</v>
      </c>
      <c r="G628" s="46" t="s">
        <v>633</v>
      </c>
      <c r="H628" s="47">
        <v>4714781020817</v>
      </c>
      <c r="I628" s="46" t="s">
        <v>3223</v>
      </c>
      <c r="J628" s="46" t="s">
        <v>3160</v>
      </c>
      <c r="K628" s="46">
        <v>1</v>
      </c>
      <c r="L628" s="46">
        <v>125</v>
      </c>
      <c r="N628" s="46" t="s">
        <v>1455</v>
      </c>
      <c r="P628" s="52">
        <v>1670</v>
      </c>
      <c r="Q628" s="52" t="s">
        <v>633</v>
      </c>
      <c r="R628" s="52" t="s">
        <v>634</v>
      </c>
      <c r="T628" s="52">
        <v>893792</v>
      </c>
      <c r="U628" s="52" t="s">
        <v>1234</v>
      </c>
      <c r="V628" s="52" t="s">
        <v>1235</v>
      </c>
      <c r="W628" s="52"/>
      <c r="X628" s="52"/>
      <c r="Y628" s="52"/>
      <c r="Z628" s="46" t="s">
        <v>1231</v>
      </c>
    </row>
    <row r="629" spans="1:26">
      <c r="A629" s="49">
        <v>44367</v>
      </c>
      <c r="B629" s="48">
        <v>202106201148</v>
      </c>
      <c r="C629" s="46" t="s">
        <v>3350</v>
      </c>
      <c r="D629" s="46" t="s">
        <v>3373</v>
      </c>
      <c r="E629" s="46" t="s">
        <v>1233</v>
      </c>
      <c r="F629" s="46" t="s">
        <v>3348</v>
      </c>
      <c r="G629" s="46" t="s">
        <v>633</v>
      </c>
      <c r="H629" s="47">
        <v>4714781021463</v>
      </c>
      <c r="I629" s="46" t="s">
        <v>3194</v>
      </c>
      <c r="J629" s="46" t="s">
        <v>3160</v>
      </c>
      <c r="K629" s="46">
        <v>1</v>
      </c>
      <c r="L629" s="46">
        <v>120</v>
      </c>
      <c r="N629" s="46" t="s">
        <v>158</v>
      </c>
      <c r="P629" s="52">
        <v>1670</v>
      </c>
      <c r="Q629" s="52" t="s">
        <v>633</v>
      </c>
      <c r="R629" s="52" t="s">
        <v>634</v>
      </c>
      <c r="T629" s="52">
        <v>893792</v>
      </c>
      <c r="U629" s="52" t="s">
        <v>1234</v>
      </c>
      <c r="V629" s="52" t="s">
        <v>1235</v>
      </c>
      <c r="W629" s="52"/>
      <c r="X629" s="52"/>
      <c r="Y629" s="52"/>
      <c r="Z629" s="46" t="s">
        <v>1231</v>
      </c>
    </row>
    <row r="630" spans="1:26">
      <c r="A630" s="49">
        <v>44367</v>
      </c>
      <c r="B630" s="48">
        <v>202106201148</v>
      </c>
      <c r="C630" s="46" t="s">
        <v>3350</v>
      </c>
      <c r="D630" s="46" t="s">
        <v>3373</v>
      </c>
      <c r="E630" s="46" t="s">
        <v>1233</v>
      </c>
      <c r="F630" s="46" t="s">
        <v>3348</v>
      </c>
      <c r="G630" s="46" t="s">
        <v>633</v>
      </c>
      <c r="H630" s="47" t="s">
        <v>1512</v>
      </c>
      <c r="I630" s="46" t="s">
        <v>3194</v>
      </c>
      <c r="J630" s="46" t="s">
        <v>3160</v>
      </c>
      <c r="K630" s="46">
        <v>1</v>
      </c>
      <c r="L630" s="46">
        <v>150</v>
      </c>
      <c r="N630" s="46" t="s">
        <v>1511</v>
      </c>
      <c r="P630" s="52">
        <v>1670</v>
      </c>
      <c r="Q630" s="52" t="s">
        <v>633</v>
      </c>
      <c r="R630" s="52" t="s">
        <v>634</v>
      </c>
      <c r="T630" s="52">
        <v>893792</v>
      </c>
      <c r="U630" s="52" t="s">
        <v>1234</v>
      </c>
      <c r="V630" s="52" t="s">
        <v>1235</v>
      </c>
      <c r="W630" s="52"/>
      <c r="X630" s="52"/>
      <c r="Y630" s="52"/>
      <c r="Z630" s="46" t="s">
        <v>1231</v>
      </c>
    </row>
    <row r="631" spans="1:26">
      <c r="A631" s="49">
        <v>44367</v>
      </c>
      <c r="B631" s="48">
        <v>202106201148</v>
      </c>
      <c r="C631" s="46" t="s">
        <v>3350</v>
      </c>
      <c r="D631" s="46" t="s">
        <v>3373</v>
      </c>
      <c r="E631" s="46" t="s">
        <v>1233</v>
      </c>
      <c r="F631" s="46" t="s">
        <v>3348</v>
      </c>
      <c r="G631" s="46" t="s">
        <v>633</v>
      </c>
      <c r="H631" s="47" t="s">
        <v>1517</v>
      </c>
      <c r="I631" s="46" t="s">
        <v>3295</v>
      </c>
      <c r="J631" s="46" t="s">
        <v>3160</v>
      </c>
      <c r="K631" s="46">
        <v>1</v>
      </c>
      <c r="L631" s="46">
        <v>150</v>
      </c>
      <c r="N631" s="46" t="s">
        <v>1516</v>
      </c>
      <c r="P631" s="52">
        <v>1670</v>
      </c>
      <c r="Q631" s="52" t="s">
        <v>633</v>
      </c>
      <c r="R631" s="52" t="s">
        <v>634</v>
      </c>
      <c r="T631" s="52">
        <v>893792</v>
      </c>
      <c r="U631" s="52" t="s">
        <v>1234</v>
      </c>
      <c r="V631" s="52" t="s">
        <v>1235</v>
      </c>
      <c r="W631" s="52"/>
      <c r="X631" s="52"/>
      <c r="Y631" s="52"/>
      <c r="Z631" s="46" t="s">
        <v>1231</v>
      </c>
    </row>
    <row r="632" spans="1:26">
      <c r="A632" s="49">
        <v>44367</v>
      </c>
      <c r="B632" s="48">
        <v>202106201148</v>
      </c>
      <c r="C632" s="46" t="s">
        <v>3350</v>
      </c>
      <c r="D632" s="46" t="s">
        <v>3373</v>
      </c>
      <c r="E632" s="46" t="s">
        <v>1233</v>
      </c>
      <c r="F632" s="46" t="s">
        <v>3348</v>
      </c>
      <c r="G632" s="46" t="s">
        <v>633</v>
      </c>
      <c r="H632" s="47" t="s">
        <v>1514</v>
      </c>
      <c r="I632" s="46" t="s">
        <v>3295</v>
      </c>
      <c r="J632" s="46" t="s">
        <v>3160</v>
      </c>
      <c r="K632" s="46">
        <v>1</v>
      </c>
      <c r="L632" s="46">
        <v>150</v>
      </c>
      <c r="N632" s="46" t="s">
        <v>1513</v>
      </c>
      <c r="P632" s="52">
        <v>1670</v>
      </c>
      <c r="Q632" s="52" t="s">
        <v>633</v>
      </c>
      <c r="R632" s="52" t="s">
        <v>634</v>
      </c>
      <c r="T632" s="52">
        <v>893792</v>
      </c>
      <c r="U632" s="52" t="s">
        <v>1234</v>
      </c>
      <c r="V632" s="52" t="s">
        <v>1235</v>
      </c>
      <c r="W632" s="52"/>
      <c r="X632" s="52"/>
      <c r="Y632" s="52"/>
      <c r="Z632" s="46" t="s">
        <v>1231</v>
      </c>
    </row>
    <row r="633" spans="1:26">
      <c r="A633" s="49">
        <v>44367</v>
      </c>
      <c r="B633" s="48">
        <v>202106201149</v>
      </c>
      <c r="C633" s="46" t="s">
        <v>3350</v>
      </c>
      <c r="D633" s="46" t="s">
        <v>3372</v>
      </c>
      <c r="E633" s="46" t="s">
        <v>1239</v>
      </c>
      <c r="F633" s="46" t="s">
        <v>3348</v>
      </c>
      <c r="G633" s="46" t="s">
        <v>633</v>
      </c>
      <c r="H633" s="47">
        <v>4714781021609</v>
      </c>
      <c r="I633" s="46" t="s">
        <v>3183</v>
      </c>
      <c r="J633" s="46" t="s">
        <v>3160</v>
      </c>
      <c r="K633" s="46">
        <v>6</v>
      </c>
      <c r="L633" s="46">
        <v>798</v>
      </c>
      <c r="N633" s="46" t="s">
        <v>1454</v>
      </c>
      <c r="P633" s="52">
        <v>798</v>
      </c>
      <c r="Q633" s="52" t="s">
        <v>633</v>
      </c>
      <c r="R633" s="52" t="s">
        <v>634</v>
      </c>
      <c r="T633" s="52">
        <v>155290</v>
      </c>
      <c r="U633" s="52" t="s">
        <v>1240</v>
      </c>
      <c r="V633" s="52" t="s">
        <v>1241</v>
      </c>
      <c r="W633" s="52"/>
      <c r="X633" s="52"/>
      <c r="Y633" s="52"/>
      <c r="Z633" s="46" t="s">
        <v>1237</v>
      </c>
    </row>
    <row r="634" spans="1:26">
      <c r="A634" s="49">
        <v>44367</v>
      </c>
      <c r="B634" s="48">
        <v>202106201150</v>
      </c>
      <c r="C634" s="46" t="s">
        <v>3350</v>
      </c>
      <c r="D634" s="46" t="s">
        <v>3371</v>
      </c>
      <c r="E634" s="46" t="s">
        <v>1245</v>
      </c>
      <c r="F634" s="46" t="s">
        <v>3348</v>
      </c>
      <c r="G634" s="46" t="s">
        <v>633</v>
      </c>
      <c r="H634" s="47">
        <v>4714781021609</v>
      </c>
      <c r="I634" s="46" t="s">
        <v>3183</v>
      </c>
      <c r="J634" s="46" t="s">
        <v>3160</v>
      </c>
      <c r="K634" s="46">
        <v>1</v>
      </c>
      <c r="L634" s="46">
        <v>133</v>
      </c>
      <c r="N634" s="46" t="s">
        <v>1454</v>
      </c>
      <c r="P634" s="52">
        <v>464</v>
      </c>
      <c r="Q634" s="52" t="s">
        <v>633</v>
      </c>
      <c r="R634" s="52" t="s">
        <v>634</v>
      </c>
      <c r="T634" s="52">
        <v>118682</v>
      </c>
      <c r="U634" s="52" t="s">
        <v>1246</v>
      </c>
      <c r="V634" s="52" t="s">
        <v>1247</v>
      </c>
      <c r="W634" s="52"/>
      <c r="X634" s="52"/>
      <c r="Y634" s="52"/>
      <c r="Z634" s="46" t="s">
        <v>1243</v>
      </c>
    </row>
    <row r="635" spans="1:26">
      <c r="A635" s="49">
        <v>44367</v>
      </c>
      <c r="B635" s="48">
        <v>202106201150</v>
      </c>
      <c r="C635" s="46" t="s">
        <v>3350</v>
      </c>
      <c r="D635" s="46" t="s">
        <v>3371</v>
      </c>
      <c r="E635" s="46" t="s">
        <v>1245</v>
      </c>
      <c r="F635" s="46" t="s">
        <v>3348</v>
      </c>
      <c r="G635" s="46" t="s">
        <v>633</v>
      </c>
      <c r="H635" s="47">
        <v>4714781021593</v>
      </c>
      <c r="I635" s="46" t="s">
        <v>3183</v>
      </c>
      <c r="J635" s="46" t="s">
        <v>3160</v>
      </c>
      <c r="K635" s="46">
        <v>1</v>
      </c>
      <c r="L635" s="46">
        <v>133</v>
      </c>
      <c r="N635" s="46" t="s">
        <v>1453</v>
      </c>
      <c r="P635" s="52">
        <v>464</v>
      </c>
      <c r="Q635" s="52" t="s">
        <v>633</v>
      </c>
      <c r="R635" s="52" t="s">
        <v>634</v>
      </c>
      <c r="T635" s="52">
        <v>118682</v>
      </c>
      <c r="U635" s="52" t="s">
        <v>1246</v>
      </c>
      <c r="V635" s="52" t="s">
        <v>1247</v>
      </c>
      <c r="W635" s="52"/>
      <c r="X635" s="52"/>
      <c r="Y635" s="52"/>
      <c r="Z635" s="46" t="s">
        <v>1243</v>
      </c>
    </row>
    <row r="636" spans="1:26">
      <c r="A636" s="49">
        <v>44367</v>
      </c>
      <c r="B636" s="48">
        <v>202106201150</v>
      </c>
      <c r="C636" s="46" t="s">
        <v>3350</v>
      </c>
      <c r="D636" s="46" t="s">
        <v>3371</v>
      </c>
      <c r="E636" s="46" t="s">
        <v>1245</v>
      </c>
      <c r="F636" s="46" t="s">
        <v>3348</v>
      </c>
      <c r="G636" s="46" t="s">
        <v>633</v>
      </c>
      <c r="H636" s="47">
        <v>4714781021029</v>
      </c>
      <c r="I636" s="46" t="s">
        <v>3234</v>
      </c>
      <c r="J636" s="46" t="s">
        <v>3160</v>
      </c>
      <c r="K636" s="46">
        <v>1</v>
      </c>
      <c r="L636" s="46">
        <v>133</v>
      </c>
      <c r="N636" s="46" t="s">
        <v>1452</v>
      </c>
      <c r="P636" s="52">
        <v>464</v>
      </c>
      <c r="Q636" s="52" t="s">
        <v>633</v>
      </c>
      <c r="R636" s="52" t="s">
        <v>634</v>
      </c>
      <c r="T636" s="52">
        <v>118682</v>
      </c>
      <c r="U636" s="52" t="s">
        <v>1246</v>
      </c>
      <c r="V636" s="52" t="s">
        <v>1247</v>
      </c>
      <c r="W636" s="52"/>
      <c r="X636" s="52"/>
      <c r="Y636" s="52"/>
      <c r="Z636" s="46" t="s">
        <v>1243</v>
      </c>
    </row>
    <row r="637" spans="1:26">
      <c r="A637" s="49">
        <v>44367</v>
      </c>
      <c r="B637" s="48">
        <v>202106201150</v>
      </c>
      <c r="C637" s="46" t="s">
        <v>3350</v>
      </c>
      <c r="D637" s="46" t="s">
        <v>3371</v>
      </c>
      <c r="E637" s="46" t="s">
        <v>1245</v>
      </c>
      <c r="F637" s="46" t="s">
        <v>3348</v>
      </c>
      <c r="G637" s="46" t="s">
        <v>633</v>
      </c>
      <c r="H637" s="47" t="s">
        <v>3347</v>
      </c>
      <c r="J637" s="46" t="s">
        <v>3346</v>
      </c>
      <c r="K637" s="46">
        <v>1</v>
      </c>
      <c r="L637" s="46">
        <v>65</v>
      </c>
      <c r="P637" s="52"/>
      <c r="Q637" s="52"/>
      <c r="R637" s="52"/>
      <c r="T637" s="52"/>
      <c r="U637" s="52"/>
      <c r="V637" s="52"/>
      <c r="W637" s="52"/>
      <c r="X637" s="52"/>
      <c r="Y637" s="52"/>
    </row>
    <row r="638" spans="1:26">
      <c r="A638" s="49">
        <v>44367</v>
      </c>
      <c r="B638" s="48">
        <v>202106201151</v>
      </c>
      <c r="C638" s="46" t="s">
        <v>3350</v>
      </c>
      <c r="D638" s="46" t="s">
        <v>3370</v>
      </c>
      <c r="E638" s="46" t="s">
        <v>1251</v>
      </c>
      <c r="F638" s="46" t="s">
        <v>3348</v>
      </c>
      <c r="G638" s="46" t="s">
        <v>633</v>
      </c>
      <c r="H638" s="47" t="s">
        <v>1493</v>
      </c>
      <c r="I638" s="46" t="s">
        <v>3276</v>
      </c>
      <c r="J638" s="46" t="s">
        <v>3160</v>
      </c>
      <c r="K638" s="46">
        <v>1</v>
      </c>
      <c r="L638" s="46">
        <v>140</v>
      </c>
      <c r="N638" s="46" t="s">
        <v>1492</v>
      </c>
      <c r="P638" s="52">
        <v>1527</v>
      </c>
      <c r="Q638" s="52" t="s">
        <v>633</v>
      </c>
      <c r="R638" s="52" t="s">
        <v>634</v>
      </c>
      <c r="T638" s="52">
        <v>196992</v>
      </c>
      <c r="U638" s="52" t="s">
        <v>1252</v>
      </c>
      <c r="V638" s="52" t="s">
        <v>1253</v>
      </c>
      <c r="W638" s="52"/>
      <c r="X638" s="52"/>
      <c r="Y638" s="52"/>
      <c r="Z638" s="46" t="s">
        <v>1249</v>
      </c>
    </row>
    <row r="639" spans="1:26">
      <c r="A639" s="49">
        <v>44367</v>
      </c>
      <c r="B639" s="48">
        <v>202106201151</v>
      </c>
      <c r="C639" s="46" t="s">
        <v>3350</v>
      </c>
      <c r="D639" s="46" t="s">
        <v>3370</v>
      </c>
      <c r="E639" s="46" t="s">
        <v>1251</v>
      </c>
      <c r="F639" s="46" t="s">
        <v>3348</v>
      </c>
      <c r="G639" s="46" t="s">
        <v>633</v>
      </c>
      <c r="H639" s="47" t="s">
        <v>1491</v>
      </c>
      <c r="I639" s="46" t="s">
        <v>3273</v>
      </c>
      <c r="J639" s="46" t="s">
        <v>3160</v>
      </c>
      <c r="K639" s="46">
        <v>1</v>
      </c>
      <c r="L639" s="46">
        <v>140</v>
      </c>
      <c r="N639" s="46" t="s">
        <v>1490</v>
      </c>
      <c r="P639" s="52">
        <v>1527</v>
      </c>
      <c r="Q639" s="52" t="s">
        <v>633</v>
      </c>
      <c r="R639" s="52" t="s">
        <v>634</v>
      </c>
      <c r="T639" s="52">
        <v>196992</v>
      </c>
      <c r="U639" s="52" t="s">
        <v>1252</v>
      </c>
      <c r="V639" s="52" t="s">
        <v>1253</v>
      </c>
      <c r="W639" s="52"/>
      <c r="X639" s="52"/>
      <c r="Y639" s="52"/>
      <c r="Z639" s="46" t="s">
        <v>1249</v>
      </c>
    </row>
    <row r="640" spans="1:26">
      <c r="A640" s="49">
        <v>44367</v>
      </c>
      <c r="B640" s="48">
        <v>202106201151</v>
      </c>
      <c r="C640" s="46" t="s">
        <v>3350</v>
      </c>
      <c r="D640" s="46" t="s">
        <v>3370</v>
      </c>
      <c r="E640" s="46" t="s">
        <v>1251</v>
      </c>
      <c r="F640" s="46" t="s">
        <v>3348</v>
      </c>
      <c r="G640" s="46" t="s">
        <v>633</v>
      </c>
      <c r="H640" s="47">
        <v>4714781020282</v>
      </c>
      <c r="I640" s="46" t="s">
        <v>3307</v>
      </c>
      <c r="J640" s="46" t="s">
        <v>3160</v>
      </c>
      <c r="K640" s="46">
        <v>1</v>
      </c>
      <c r="L640" s="46">
        <v>299</v>
      </c>
      <c r="N640" s="46" t="s">
        <v>274</v>
      </c>
      <c r="P640" s="52">
        <v>1527</v>
      </c>
      <c r="Q640" s="52" t="s">
        <v>633</v>
      </c>
      <c r="R640" s="52" t="s">
        <v>634</v>
      </c>
      <c r="T640" s="52">
        <v>196992</v>
      </c>
      <c r="U640" s="52" t="s">
        <v>1252</v>
      </c>
      <c r="V640" s="52" t="s">
        <v>1253</v>
      </c>
      <c r="W640" s="52"/>
      <c r="X640" s="52"/>
      <c r="Y640" s="52"/>
      <c r="Z640" s="46" t="s">
        <v>1249</v>
      </c>
    </row>
    <row r="641" spans="1:26">
      <c r="A641" s="49">
        <v>44367</v>
      </c>
      <c r="B641" s="48">
        <v>202106201151</v>
      </c>
      <c r="C641" s="46" t="s">
        <v>3350</v>
      </c>
      <c r="D641" s="46" t="s">
        <v>3370</v>
      </c>
      <c r="E641" s="46" t="s">
        <v>1251</v>
      </c>
      <c r="F641" s="46" t="s">
        <v>3348</v>
      </c>
      <c r="G641" s="46" t="s">
        <v>633</v>
      </c>
      <c r="H641" s="47">
        <v>4714781024716</v>
      </c>
      <c r="I641" s="46" t="s">
        <v>3166</v>
      </c>
      <c r="J641" s="46" t="s">
        <v>3160</v>
      </c>
      <c r="K641" s="46">
        <v>1</v>
      </c>
      <c r="L641" s="46">
        <v>299</v>
      </c>
      <c r="N641" s="46" t="s">
        <v>372</v>
      </c>
      <c r="P641" s="52">
        <v>1527</v>
      </c>
      <c r="Q641" s="52" t="s">
        <v>633</v>
      </c>
      <c r="R641" s="52" t="s">
        <v>634</v>
      </c>
      <c r="T641" s="52">
        <v>196992</v>
      </c>
      <c r="U641" s="52" t="s">
        <v>1252</v>
      </c>
      <c r="V641" s="52" t="s">
        <v>1253</v>
      </c>
      <c r="W641" s="52"/>
      <c r="X641" s="52"/>
      <c r="Y641" s="52"/>
      <c r="Z641" s="46" t="s">
        <v>1249</v>
      </c>
    </row>
    <row r="642" spans="1:26">
      <c r="A642" s="49">
        <v>44367</v>
      </c>
      <c r="B642" s="48">
        <v>202106201151</v>
      </c>
      <c r="C642" s="46" t="s">
        <v>3350</v>
      </c>
      <c r="D642" s="46" t="s">
        <v>3370</v>
      </c>
      <c r="E642" s="46" t="s">
        <v>1251</v>
      </c>
      <c r="F642" s="46" t="s">
        <v>3348</v>
      </c>
      <c r="G642" s="46" t="s">
        <v>633</v>
      </c>
      <c r="H642" s="47">
        <v>4714781024730</v>
      </c>
      <c r="I642" s="46" t="s">
        <v>3166</v>
      </c>
      <c r="J642" s="46" t="s">
        <v>3160</v>
      </c>
      <c r="K642" s="46">
        <v>1</v>
      </c>
      <c r="L642" s="46">
        <v>299</v>
      </c>
      <c r="N642" s="46" t="s">
        <v>263</v>
      </c>
      <c r="P642" s="52">
        <v>1527</v>
      </c>
      <c r="Q642" s="52" t="s">
        <v>633</v>
      </c>
      <c r="R642" s="52" t="s">
        <v>634</v>
      </c>
      <c r="T642" s="52">
        <v>196992</v>
      </c>
      <c r="U642" s="52" t="s">
        <v>1252</v>
      </c>
      <c r="V642" s="52" t="s">
        <v>1253</v>
      </c>
      <c r="W642" s="52"/>
      <c r="X642" s="52"/>
      <c r="Y642" s="52"/>
      <c r="Z642" s="46" t="s">
        <v>1249</v>
      </c>
    </row>
    <row r="643" spans="1:26">
      <c r="A643" s="49">
        <v>44367</v>
      </c>
      <c r="B643" s="48">
        <v>202106201151</v>
      </c>
      <c r="C643" s="46" t="s">
        <v>3350</v>
      </c>
      <c r="D643" s="46" t="s">
        <v>3370</v>
      </c>
      <c r="E643" s="46" t="s">
        <v>1251</v>
      </c>
      <c r="F643" s="46" t="s">
        <v>3348</v>
      </c>
      <c r="G643" s="46" t="s">
        <v>633</v>
      </c>
      <c r="H643" s="47">
        <v>4714781020855</v>
      </c>
      <c r="I643" s="46" t="s">
        <v>3253</v>
      </c>
      <c r="J643" s="46" t="s">
        <v>3160</v>
      </c>
      <c r="K643" s="46">
        <v>1</v>
      </c>
      <c r="L643" s="46">
        <v>350</v>
      </c>
      <c r="N643" s="46" t="s">
        <v>1255</v>
      </c>
      <c r="P643" s="52">
        <v>1527</v>
      </c>
      <c r="Q643" s="52" t="s">
        <v>633</v>
      </c>
      <c r="R643" s="52" t="s">
        <v>634</v>
      </c>
      <c r="T643" s="52">
        <v>196992</v>
      </c>
      <c r="U643" s="52" t="s">
        <v>1252</v>
      </c>
      <c r="V643" s="52" t="s">
        <v>1253</v>
      </c>
      <c r="W643" s="52"/>
      <c r="X643" s="52"/>
      <c r="Y643" s="52"/>
      <c r="Z643" s="46" t="s">
        <v>1249</v>
      </c>
    </row>
    <row r="644" spans="1:26">
      <c r="A644" s="49">
        <v>44367</v>
      </c>
      <c r="B644" s="48">
        <v>202106201152</v>
      </c>
      <c r="C644" s="46" t="s">
        <v>3350</v>
      </c>
      <c r="D644" s="46" t="s">
        <v>3369</v>
      </c>
      <c r="E644" s="46" t="s">
        <v>425</v>
      </c>
      <c r="F644" s="46" t="s">
        <v>3348</v>
      </c>
      <c r="G644" s="46" t="s">
        <v>39</v>
      </c>
      <c r="H644" s="47" t="s">
        <v>1334</v>
      </c>
      <c r="I644" s="46" t="s">
        <v>3165</v>
      </c>
      <c r="J644" s="46" t="s">
        <v>3160</v>
      </c>
      <c r="K644" s="46">
        <v>1</v>
      </c>
      <c r="L644" s="46">
        <v>654</v>
      </c>
      <c r="N644" s="46" t="s">
        <v>1333</v>
      </c>
      <c r="P644" s="52">
        <v>719</v>
      </c>
      <c r="Q644" s="52" t="s">
        <v>39</v>
      </c>
      <c r="R644" s="52" t="s">
        <v>59</v>
      </c>
      <c r="T644" s="52"/>
      <c r="U644" s="52"/>
      <c r="V644" s="52"/>
      <c r="W644" s="52">
        <v>401</v>
      </c>
      <c r="X644" s="52" t="s">
        <v>426</v>
      </c>
      <c r="Y644" s="52"/>
      <c r="Z644" s="46" t="s">
        <v>423</v>
      </c>
    </row>
    <row r="645" spans="1:26">
      <c r="A645" s="49">
        <v>44367</v>
      </c>
      <c r="B645" s="48">
        <v>202106201152</v>
      </c>
      <c r="C645" s="46" t="s">
        <v>3350</v>
      </c>
      <c r="D645" s="46" t="s">
        <v>3369</v>
      </c>
      <c r="E645" s="46" t="s">
        <v>425</v>
      </c>
      <c r="F645" s="46" t="s">
        <v>3348</v>
      </c>
      <c r="G645" s="46" t="s">
        <v>39</v>
      </c>
      <c r="H645" s="47" t="s">
        <v>1332</v>
      </c>
      <c r="I645" s="46" t="s">
        <v>3161</v>
      </c>
      <c r="J645" s="46" t="s">
        <v>3160</v>
      </c>
      <c r="K645" s="46">
        <v>2</v>
      </c>
      <c r="L645" s="46">
        <v>65</v>
      </c>
      <c r="N645" s="46" t="s">
        <v>1331</v>
      </c>
      <c r="P645" s="52">
        <v>719</v>
      </c>
      <c r="Q645" s="52" t="s">
        <v>39</v>
      </c>
      <c r="R645" s="52" t="s">
        <v>59</v>
      </c>
      <c r="T645" s="52"/>
      <c r="U645" s="52"/>
      <c r="V645" s="52"/>
      <c r="W645" s="52">
        <v>401</v>
      </c>
      <c r="X645" s="52" t="s">
        <v>426</v>
      </c>
      <c r="Y645" s="52"/>
      <c r="Z645" s="46" t="s">
        <v>423</v>
      </c>
    </row>
    <row r="646" spans="1:26">
      <c r="A646" s="49">
        <v>44367</v>
      </c>
      <c r="B646" s="48">
        <v>202106201153</v>
      </c>
      <c r="C646" s="46" t="s">
        <v>3350</v>
      </c>
      <c r="D646" s="46" t="s">
        <v>3368</v>
      </c>
      <c r="E646" s="46" t="s">
        <v>1260</v>
      </c>
      <c r="F646" s="46" t="s">
        <v>3348</v>
      </c>
      <c r="G646" s="46" t="s">
        <v>633</v>
      </c>
      <c r="H646" s="47">
        <v>4714781020954</v>
      </c>
      <c r="I646" s="46" t="s">
        <v>3250</v>
      </c>
      <c r="J646" s="46" t="s">
        <v>3160</v>
      </c>
      <c r="K646" s="46">
        <v>1</v>
      </c>
      <c r="L646" s="46">
        <v>149</v>
      </c>
      <c r="N646" s="46" t="s">
        <v>139</v>
      </c>
      <c r="P646" s="52">
        <v>714</v>
      </c>
      <c r="Q646" s="52" t="s">
        <v>633</v>
      </c>
      <c r="R646" s="52" t="s">
        <v>337</v>
      </c>
      <c r="T646" s="52">
        <v>228499</v>
      </c>
      <c r="U646" s="52" t="s">
        <v>1261</v>
      </c>
      <c r="V646" s="52" t="s">
        <v>1262</v>
      </c>
      <c r="W646" s="52"/>
      <c r="X646" s="52"/>
      <c r="Y646" s="52"/>
      <c r="Z646" s="46" t="s">
        <v>1258</v>
      </c>
    </row>
    <row r="647" spans="1:26">
      <c r="A647" s="49">
        <v>44367</v>
      </c>
      <c r="B647" s="48">
        <v>202106201153</v>
      </c>
      <c r="C647" s="46" t="s">
        <v>3350</v>
      </c>
      <c r="D647" s="46" t="s">
        <v>3368</v>
      </c>
      <c r="E647" s="46" t="s">
        <v>1260</v>
      </c>
      <c r="F647" s="46" t="s">
        <v>3348</v>
      </c>
      <c r="G647" s="46" t="s">
        <v>633</v>
      </c>
      <c r="H647" s="47">
        <v>4714781020787</v>
      </c>
      <c r="I647" s="46" t="s">
        <v>3273</v>
      </c>
      <c r="J647" s="46" t="s">
        <v>3160</v>
      </c>
      <c r="K647" s="46">
        <v>1</v>
      </c>
      <c r="L647" s="46">
        <v>135</v>
      </c>
      <c r="N647" s="46" t="s">
        <v>95</v>
      </c>
      <c r="P647" s="52">
        <v>714</v>
      </c>
      <c r="Q647" s="52" t="s">
        <v>633</v>
      </c>
      <c r="R647" s="52" t="s">
        <v>337</v>
      </c>
      <c r="T647" s="52">
        <v>228499</v>
      </c>
      <c r="U647" s="52" t="s">
        <v>1261</v>
      </c>
      <c r="V647" s="52" t="s">
        <v>1262</v>
      </c>
      <c r="W647" s="52"/>
      <c r="X647" s="52"/>
      <c r="Y647" s="52"/>
      <c r="Z647" s="46" t="s">
        <v>1258</v>
      </c>
    </row>
    <row r="648" spans="1:26">
      <c r="A648" s="49">
        <v>44367</v>
      </c>
      <c r="B648" s="48">
        <v>202106201153</v>
      </c>
      <c r="C648" s="46" t="s">
        <v>3350</v>
      </c>
      <c r="D648" s="46" t="s">
        <v>3368</v>
      </c>
      <c r="E648" s="46" t="s">
        <v>1260</v>
      </c>
      <c r="F648" s="46" t="s">
        <v>3348</v>
      </c>
      <c r="G648" s="46" t="s">
        <v>633</v>
      </c>
      <c r="H648" s="47">
        <v>4714781020770</v>
      </c>
      <c r="I648" s="46" t="s">
        <v>3276</v>
      </c>
      <c r="J648" s="46" t="s">
        <v>3160</v>
      </c>
      <c r="K648" s="46">
        <v>1</v>
      </c>
      <c r="L648" s="46">
        <v>140</v>
      </c>
      <c r="N648" s="46" t="s">
        <v>1380</v>
      </c>
      <c r="P648" s="52">
        <v>714</v>
      </c>
      <c r="Q648" s="52" t="s">
        <v>633</v>
      </c>
      <c r="R648" s="52" t="s">
        <v>337</v>
      </c>
      <c r="T648" s="52">
        <v>228499</v>
      </c>
      <c r="U648" s="52" t="s">
        <v>1261</v>
      </c>
      <c r="V648" s="52" t="s">
        <v>1262</v>
      </c>
      <c r="W648" s="52"/>
      <c r="X648" s="52"/>
      <c r="Y648" s="52"/>
      <c r="Z648" s="46" t="s">
        <v>1258</v>
      </c>
    </row>
    <row r="649" spans="1:26">
      <c r="A649" s="49">
        <v>44367</v>
      </c>
      <c r="B649" s="48">
        <v>202106201153</v>
      </c>
      <c r="C649" s="46" t="s">
        <v>3350</v>
      </c>
      <c r="D649" s="46" t="s">
        <v>3368</v>
      </c>
      <c r="E649" s="46" t="s">
        <v>1260</v>
      </c>
      <c r="F649" s="46" t="s">
        <v>3348</v>
      </c>
      <c r="G649" s="46" t="s">
        <v>633</v>
      </c>
      <c r="H649" s="47">
        <v>4714781020787</v>
      </c>
      <c r="I649" s="46" t="s">
        <v>3273</v>
      </c>
      <c r="J649" s="46" t="s">
        <v>3160</v>
      </c>
      <c r="K649" s="46">
        <v>1</v>
      </c>
      <c r="L649" s="46">
        <v>140</v>
      </c>
      <c r="N649" s="46" t="s">
        <v>1378</v>
      </c>
      <c r="P649" s="52">
        <v>714</v>
      </c>
      <c r="Q649" s="52" t="s">
        <v>633</v>
      </c>
      <c r="R649" s="52" t="s">
        <v>337</v>
      </c>
      <c r="T649" s="52">
        <v>228499</v>
      </c>
      <c r="U649" s="52" t="s">
        <v>1261</v>
      </c>
      <c r="V649" s="52" t="s">
        <v>1262</v>
      </c>
      <c r="W649" s="52"/>
      <c r="X649" s="52"/>
      <c r="Y649" s="52"/>
      <c r="Z649" s="46" t="s">
        <v>1258</v>
      </c>
    </row>
    <row r="650" spans="1:26">
      <c r="A650" s="49">
        <v>44367</v>
      </c>
      <c r="B650" s="48">
        <v>202106201153</v>
      </c>
      <c r="C650" s="46" t="s">
        <v>3350</v>
      </c>
      <c r="D650" s="46" t="s">
        <v>3368</v>
      </c>
      <c r="E650" s="46" t="s">
        <v>1260</v>
      </c>
      <c r="F650" s="46" t="s">
        <v>3348</v>
      </c>
      <c r="G650" s="46" t="s">
        <v>633</v>
      </c>
      <c r="H650" s="47">
        <v>4714781020954</v>
      </c>
      <c r="I650" s="46" t="s">
        <v>3250</v>
      </c>
      <c r="J650" s="46" t="s">
        <v>3160</v>
      </c>
      <c r="K650" s="46">
        <v>1</v>
      </c>
      <c r="L650" s="46">
        <v>150</v>
      </c>
      <c r="N650" s="46" t="s">
        <v>140</v>
      </c>
      <c r="P650" s="52">
        <v>714</v>
      </c>
      <c r="Q650" s="52" t="s">
        <v>633</v>
      </c>
      <c r="R650" s="52" t="s">
        <v>337</v>
      </c>
      <c r="T650" s="52">
        <v>228499</v>
      </c>
      <c r="U650" s="52" t="s">
        <v>1261</v>
      </c>
      <c r="V650" s="52" t="s">
        <v>1262</v>
      </c>
      <c r="W650" s="52"/>
      <c r="X650" s="52"/>
      <c r="Y650" s="52"/>
      <c r="Z650" s="46" t="s">
        <v>1258</v>
      </c>
    </row>
    <row r="651" spans="1:26">
      <c r="A651" s="49">
        <v>44367</v>
      </c>
      <c r="B651" s="48">
        <v>202106201154</v>
      </c>
      <c r="C651" s="46" t="s">
        <v>3350</v>
      </c>
      <c r="D651" s="46" t="s">
        <v>3355</v>
      </c>
      <c r="E651" s="46" t="s">
        <v>370</v>
      </c>
      <c r="F651" s="46" t="s">
        <v>3348</v>
      </c>
      <c r="G651" s="46" t="s">
        <v>39</v>
      </c>
      <c r="H651" s="47" t="s">
        <v>1484</v>
      </c>
      <c r="I651" s="46" t="s">
        <v>3253</v>
      </c>
      <c r="J651" s="46" t="s">
        <v>3160</v>
      </c>
      <c r="K651" s="46">
        <v>1</v>
      </c>
      <c r="L651" s="46">
        <v>340</v>
      </c>
      <c r="N651" s="46" t="s">
        <v>1483</v>
      </c>
      <c r="P651" s="52">
        <v>869</v>
      </c>
      <c r="Q651" s="52" t="s">
        <v>39</v>
      </c>
      <c r="R651" s="52" t="s">
        <v>40</v>
      </c>
      <c r="T651" s="52"/>
      <c r="U651" s="52"/>
      <c r="V651" s="52"/>
      <c r="W651" s="52">
        <v>407</v>
      </c>
      <c r="X651" s="52" t="s">
        <v>374</v>
      </c>
      <c r="Y651" s="52"/>
      <c r="Z651" s="46" t="s">
        <v>419</v>
      </c>
    </row>
    <row r="652" spans="1:26">
      <c r="A652" s="49">
        <v>44367</v>
      </c>
      <c r="B652" s="48">
        <v>202106201154</v>
      </c>
      <c r="C652" s="46" t="s">
        <v>3350</v>
      </c>
      <c r="D652" s="46" t="s">
        <v>3355</v>
      </c>
      <c r="E652" s="46" t="s">
        <v>370</v>
      </c>
      <c r="F652" s="46" t="s">
        <v>3348</v>
      </c>
      <c r="G652" s="46" t="s">
        <v>39</v>
      </c>
      <c r="H652" s="47" t="s">
        <v>1491</v>
      </c>
      <c r="I652" s="46" t="s">
        <v>3273</v>
      </c>
      <c r="J652" s="46" t="s">
        <v>3160</v>
      </c>
      <c r="K652" s="46">
        <v>1</v>
      </c>
      <c r="L652" s="46">
        <v>140</v>
      </c>
      <c r="N652" s="46" t="s">
        <v>1490</v>
      </c>
      <c r="P652" s="52">
        <v>869</v>
      </c>
      <c r="Q652" s="52" t="s">
        <v>39</v>
      </c>
      <c r="R652" s="52" t="s">
        <v>40</v>
      </c>
      <c r="T652" s="52"/>
      <c r="U652" s="52"/>
      <c r="V652" s="52"/>
      <c r="W652" s="52">
        <v>407</v>
      </c>
      <c r="X652" s="52" t="s">
        <v>374</v>
      </c>
      <c r="Y652" s="52"/>
      <c r="Z652" s="46" t="s">
        <v>419</v>
      </c>
    </row>
    <row r="653" spans="1:26">
      <c r="A653" s="49">
        <v>44367</v>
      </c>
      <c r="B653" s="48">
        <v>202106201154</v>
      </c>
      <c r="C653" s="46" t="s">
        <v>3350</v>
      </c>
      <c r="D653" s="46" t="s">
        <v>3355</v>
      </c>
      <c r="E653" s="46" t="s">
        <v>370</v>
      </c>
      <c r="F653" s="46" t="s">
        <v>3348</v>
      </c>
      <c r="G653" s="46" t="s">
        <v>39</v>
      </c>
      <c r="H653" s="47">
        <v>4714781021463</v>
      </c>
      <c r="I653" s="46" t="s">
        <v>3194</v>
      </c>
      <c r="J653" s="46" t="s">
        <v>3160</v>
      </c>
      <c r="K653" s="46">
        <v>2</v>
      </c>
      <c r="L653" s="46">
        <v>240</v>
      </c>
      <c r="N653" s="46" t="s">
        <v>158</v>
      </c>
      <c r="P653" s="52">
        <v>869</v>
      </c>
      <c r="Q653" s="52" t="s">
        <v>39</v>
      </c>
      <c r="R653" s="52" t="s">
        <v>40</v>
      </c>
      <c r="T653" s="52"/>
      <c r="U653" s="52"/>
      <c r="V653" s="52"/>
      <c r="W653" s="52">
        <v>407</v>
      </c>
      <c r="X653" s="52" t="s">
        <v>374</v>
      </c>
      <c r="Y653" s="52"/>
      <c r="Z653" s="46" t="s">
        <v>419</v>
      </c>
    </row>
    <row r="654" spans="1:26">
      <c r="A654" s="49">
        <v>44367</v>
      </c>
      <c r="B654" s="48">
        <v>202106201154</v>
      </c>
      <c r="C654" s="46" t="s">
        <v>3350</v>
      </c>
      <c r="D654" s="46" t="s">
        <v>3355</v>
      </c>
      <c r="E654" s="46" t="s">
        <v>370</v>
      </c>
      <c r="F654" s="46" t="s">
        <v>3348</v>
      </c>
      <c r="G654" s="46" t="s">
        <v>39</v>
      </c>
      <c r="H654" s="47">
        <v>4714781020954</v>
      </c>
      <c r="I654" s="46" t="s">
        <v>3250</v>
      </c>
      <c r="J654" s="46" t="s">
        <v>3160</v>
      </c>
      <c r="K654" s="46">
        <v>1</v>
      </c>
      <c r="L654" s="46">
        <v>149</v>
      </c>
      <c r="N654" s="46" t="s">
        <v>139</v>
      </c>
      <c r="P654" s="52">
        <v>869</v>
      </c>
      <c r="Q654" s="52" t="s">
        <v>39</v>
      </c>
      <c r="R654" s="52" t="s">
        <v>40</v>
      </c>
      <c r="T654" s="52"/>
      <c r="U654" s="52"/>
      <c r="V654" s="52"/>
      <c r="W654" s="52">
        <v>407</v>
      </c>
      <c r="X654" s="52" t="s">
        <v>374</v>
      </c>
      <c r="Y654" s="52"/>
      <c r="Z654" s="46" t="s">
        <v>419</v>
      </c>
    </row>
    <row r="655" spans="1:26">
      <c r="A655" s="49">
        <v>44367</v>
      </c>
      <c r="B655" s="48">
        <v>202106201155</v>
      </c>
      <c r="C655" s="46" t="s">
        <v>3350</v>
      </c>
      <c r="D655" s="46" t="s">
        <v>3367</v>
      </c>
      <c r="E655" s="46" t="s">
        <v>1266</v>
      </c>
      <c r="F655" s="46" t="s">
        <v>3348</v>
      </c>
      <c r="G655" s="46" t="s">
        <v>633</v>
      </c>
      <c r="H655" s="47" t="s">
        <v>1341</v>
      </c>
      <c r="I655" s="46" t="s">
        <v>3309</v>
      </c>
      <c r="J655" s="46" t="s">
        <v>3160</v>
      </c>
      <c r="K655" s="46">
        <v>1</v>
      </c>
      <c r="L655" s="46">
        <v>400</v>
      </c>
      <c r="N655" s="46" t="s">
        <v>1340</v>
      </c>
      <c r="P655" s="52">
        <v>593</v>
      </c>
      <c r="Q655" s="52" t="s">
        <v>633</v>
      </c>
      <c r="R655" s="52" t="s">
        <v>634</v>
      </c>
      <c r="T655" s="52">
        <v>201221</v>
      </c>
      <c r="U655" s="52" t="s">
        <v>1267</v>
      </c>
      <c r="V655" s="52" t="s">
        <v>1268</v>
      </c>
      <c r="W655" s="52"/>
      <c r="X655" s="52"/>
      <c r="Y655" s="52"/>
      <c r="Z655" s="46" t="s">
        <v>1264</v>
      </c>
    </row>
    <row r="656" spans="1:26">
      <c r="A656" s="49">
        <v>44367</v>
      </c>
      <c r="B656" s="48">
        <v>202106201155</v>
      </c>
      <c r="C656" s="46" t="s">
        <v>3350</v>
      </c>
      <c r="D656" s="46" t="s">
        <v>3367</v>
      </c>
      <c r="E656" s="46" t="s">
        <v>1266</v>
      </c>
      <c r="F656" s="46" t="s">
        <v>3348</v>
      </c>
      <c r="G656" s="46" t="s">
        <v>633</v>
      </c>
      <c r="H656" s="47" t="s">
        <v>1339</v>
      </c>
      <c r="I656" s="46" t="s">
        <v>3308</v>
      </c>
      <c r="J656" s="46" t="s">
        <v>3160</v>
      </c>
      <c r="K656" s="46">
        <v>1</v>
      </c>
      <c r="L656" s="46">
        <v>128</v>
      </c>
      <c r="N656" s="46" t="s">
        <v>1338</v>
      </c>
      <c r="P656" s="52">
        <v>593</v>
      </c>
      <c r="Q656" s="52" t="s">
        <v>633</v>
      </c>
      <c r="R656" s="52" t="s">
        <v>634</v>
      </c>
      <c r="T656" s="52">
        <v>201221</v>
      </c>
      <c r="U656" s="52" t="s">
        <v>1267</v>
      </c>
      <c r="V656" s="52" t="s">
        <v>1268</v>
      </c>
      <c r="W656" s="52"/>
      <c r="X656" s="52"/>
      <c r="Y656" s="52"/>
      <c r="Z656" s="46" t="s">
        <v>1264</v>
      </c>
    </row>
    <row r="657" spans="1:26">
      <c r="A657" s="49">
        <v>44367</v>
      </c>
      <c r="B657" s="48">
        <v>202106201155</v>
      </c>
      <c r="C657" s="46" t="s">
        <v>3350</v>
      </c>
      <c r="D657" s="46" t="s">
        <v>3367</v>
      </c>
      <c r="E657" s="46" t="s">
        <v>1266</v>
      </c>
      <c r="F657" s="46" t="s">
        <v>3348</v>
      </c>
      <c r="G657" s="46" t="s">
        <v>633</v>
      </c>
      <c r="H657" s="47" t="s">
        <v>3347</v>
      </c>
      <c r="J657" s="46" t="s">
        <v>3346</v>
      </c>
      <c r="K657" s="46">
        <v>1</v>
      </c>
      <c r="L657" s="46">
        <v>65</v>
      </c>
      <c r="P657" s="52"/>
      <c r="Q657" s="52"/>
      <c r="R657" s="52"/>
      <c r="T657" s="52"/>
      <c r="U657" s="52"/>
      <c r="V657" s="52"/>
      <c r="W657" s="52"/>
      <c r="X657" s="52"/>
      <c r="Y657" s="52"/>
    </row>
    <row r="658" spans="1:26">
      <c r="A658" s="49">
        <v>44367</v>
      </c>
      <c r="B658" s="48">
        <v>202106201156</v>
      </c>
      <c r="C658" s="46" t="s">
        <v>3350</v>
      </c>
      <c r="D658" s="46" t="s">
        <v>3366</v>
      </c>
      <c r="E658" s="46" t="s">
        <v>1272</v>
      </c>
      <c r="F658" s="46" t="s">
        <v>3348</v>
      </c>
      <c r="G658" s="46" t="s">
        <v>633</v>
      </c>
      <c r="H658" s="47">
        <v>4714781020954</v>
      </c>
      <c r="I658" s="46" t="s">
        <v>3250</v>
      </c>
      <c r="J658" s="46" t="s">
        <v>3160</v>
      </c>
      <c r="K658" s="46">
        <v>1</v>
      </c>
      <c r="L658" s="46">
        <v>113</v>
      </c>
      <c r="N658" s="46" t="s">
        <v>1398</v>
      </c>
      <c r="P658" s="52">
        <v>1173</v>
      </c>
      <c r="Q658" s="52" t="s">
        <v>633</v>
      </c>
      <c r="R658" s="52" t="s">
        <v>634</v>
      </c>
      <c r="T658" s="52">
        <v>113090</v>
      </c>
      <c r="U658" s="52" t="s">
        <v>1273</v>
      </c>
      <c r="V658" s="52" t="s">
        <v>1274</v>
      </c>
      <c r="W658" s="52">
        <v>800</v>
      </c>
      <c r="X658" s="52"/>
      <c r="Y658" s="52"/>
      <c r="Z658" s="46" t="s">
        <v>1270</v>
      </c>
    </row>
    <row r="659" spans="1:26">
      <c r="A659" s="49">
        <v>44367</v>
      </c>
      <c r="B659" s="48">
        <v>202106201156</v>
      </c>
      <c r="C659" s="46" t="s">
        <v>3350</v>
      </c>
      <c r="D659" s="46" t="s">
        <v>3366</v>
      </c>
      <c r="E659" s="46" t="s">
        <v>1272</v>
      </c>
      <c r="F659" s="46" t="s">
        <v>3348</v>
      </c>
      <c r="G659" s="46" t="s">
        <v>633</v>
      </c>
      <c r="H659" s="47">
        <v>4714781020800</v>
      </c>
      <c r="I659" s="46" t="s">
        <v>3220</v>
      </c>
      <c r="J659" s="46" t="s">
        <v>3160</v>
      </c>
      <c r="K659" s="46">
        <v>1</v>
      </c>
      <c r="L659" s="46">
        <v>101</v>
      </c>
      <c r="N659" s="46" t="s">
        <v>1456</v>
      </c>
      <c r="P659" s="52">
        <v>1173</v>
      </c>
      <c r="Q659" s="52" t="s">
        <v>633</v>
      </c>
      <c r="R659" s="52" t="s">
        <v>634</v>
      </c>
      <c r="T659" s="52">
        <v>113090</v>
      </c>
      <c r="U659" s="52" t="s">
        <v>1273</v>
      </c>
      <c r="V659" s="52" t="s">
        <v>1274</v>
      </c>
      <c r="W659" s="52">
        <v>800</v>
      </c>
      <c r="X659" s="52"/>
      <c r="Y659" s="52"/>
      <c r="Z659" s="46" t="s">
        <v>1270</v>
      </c>
    </row>
    <row r="660" spans="1:26">
      <c r="A660" s="49">
        <v>44367</v>
      </c>
      <c r="B660" s="48">
        <v>202106201156</v>
      </c>
      <c r="C660" s="46" t="s">
        <v>3350</v>
      </c>
      <c r="D660" s="46" t="s">
        <v>3366</v>
      </c>
      <c r="E660" s="46" t="s">
        <v>1272</v>
      </c>
      <c r="F660" s="46" t="s">
        <v>3348</v>
      </c>
      <c r="G660" s="46" t="s">
        <v>633</v>
      </c>
      <c r="H660" s="47">
        <v>4714781020817</v>
      </c>
      <c r="I660" s="46" t="s">
        <v>3223</v>
      </c>
      <c r="J660" s="46" t="s">
        <v>3160</v>
      </c>
      <c r="K660" s="46">
        <v>1</v>
      </c>
      <c r="L660" s="46">
        <v>102</v>
      </c>
      <c r="N660" s="46" t="s">
        <v>1455</v>
      </c>
      <c r="P660" s="52">
        <v>1173</v>
      </c>
      <c r="Q660" s="52" t="s">
        <v>633</v>
      </c>
      <c r="R660" s="52" t="s">
        <v>634</v>
      </c>
      <c r="T660" s="52">
        <v>113090</v>
      </c>
      <c r="U660" s="52" t="s">
        <v>1273</v>
      </c>
      <c r="V660" s="52" t="s">
        <v>1274</v>
      </c>
      <c r="W660" s="52">
        <v>800</v>
      </c>
      <c r="X660" s="52"/>
      <c r="Y660" s="52"/>
      <c r="Z660" s="46" t="s">
        <v>1270</v>
      </c>
    </row>
    <row r="661" spans="1:26">
      <c r="A661" s="49">
        <v>44367</v>
      </c>
      <c r="B661" s="48">
        <v>202106201156</v>
      </c>
      <c r="C661" s="46" t="s">
        <v>3350</v>
      </c>
      <c r="D661" s="46" t="s">
        <v>3366</v>
      </c>
      <c r="E661" s="46" t="s">
        <v>1272</v>
      </c>
      <c r="F661" s="46" t="s">
        <v>3348</v>
      </c>
      <c r="G661" s="46" t="s">
        <v>633</v>
      </c>
      <c r="H661" s="47" t="s">
        <v>1512</v>
      </c>
      <c r="I661" s="46" t="s">
        <v>3194</v>
      </c>
      <c r="J661" s="46" t="s">
        <v>3160</v>
      </c>
      <c r="K661" s="46">
        <v>1</v>
      </c>
      <c r="L661" s="46">
        <v>173</v>
      </c>
      <c r="N661" s="46" t="s">
        <v>1511</v>
      </c>
      <c r="P661" s="52">
        <v>1173</v>
      </c>
      <c r="Q661" s="52" t="s">
        <v>633</v>
      </c>
      <c r="R661" s="52" t="s">
        <v>634</v>
      </c>
      <c r="T661" s="52">
        <v>113090</v>
      </c>
      <c r="U661" s="52" t="s">
        <v>1273</v>
      </c>
      <c r="V661" s="52" t="s">
        <v>1274</v>
      </c>
      <c r="W661" s="52">
        <v>800</v>
      </c>
      <c r="X661" s="52"/>
      <c r="Y661" s="52"/>
      <c r="Z661" s="46" t="s">
        <v>1270</v>
      </c>
    </row>
    <row r="662" spans="1:26">
      <c r="A662" s="49">
        <v>44367</v>
      </c>
      <c r="B662" s="48">
        <v>202106201156</v>
      </c>
      <c r="C662" s="46" t="s">
        <v>3350</v>
      </c>
      <c r="D662" s="46" t="s">
        <v>3366</v>
      </c>
      <c r="E662" s="46" t="s">
        <v>1272</v>
      </c>
      <c r="F662" s="46" t="s">
        <v>3348</v>
      </c>
      <c r="G662" s="46" t="s">
        <v>633</v>
      </c>
      <c r="H662" s="47" t="s">
        <v>1531</v>
      </c>
      <c r="I662" s="46" t="s">
        <v>3307</v>
      </c>
      <c r="J662" s="46" t="s">
        <v>3160</v>
      </c>
      <c r="K662" s="46">
        <v>1</v>
      </c>
      <c r="L662" s="46">
        <v>288</v>
      </c>
      <c r="N662" s="46" t="s">
        <v>1530</v>
      </c>
      <c r="P662" s="52">
        <v>1173</v>
      </c>
      <c r="Q662" s="52" t="s">
        <v>633</v>
      </c>
      <c r="R662" s="52" t="s">
        <v>634</v>
      </c>
      <c r="T662" s="52">
        <v>113090</v>
      </c>
      <c r="U662" s="52" t="s">
        <v>1273</v>
      </c>
      <c r="V662" s="52" t="s">
        <v>1274</v>
      </c>
      <c r="W662" s="52">
        <v>800</v>
      </c>
      <c r="X662" s="52"/>
      <c r="Y662" s="52"/>
      <c r="Z662" s="46" t="s">
        <v>1270</v>
      </c>
    </row>
    <row r="663" spans="1:26">
      <c r="A663" s="49">
        <v>44367</v>
      </c>
      <c r="B663" s="48">
        <v>202106201156</v>
      </c>
      <c r="C663" s="46" t="s">
        <v>3350</v>
      </c>
      <c r="D663" s="46" t="s">
        <v>3366</v>
      </c>
      <c r="E663" s="46" t="s">
        <v>1272</v>
      </c>
      <c r="F663" s="46" t="s">
        <v>3348</v>
      </c>
      <c r="G663" s="46" t="s">
        <v>633</v>
      </c>
      <c r="H663" s="47" t="s">
        <v>1508</v>
      </c>
      <c r="I663" s="46" t="s">
        <v>3166</v>
      </c>
      <c r="J663" s="46" t="s">
        <v>3160</v>
      </c>
      <c r="K663" s="46">
        <v>1</v>
      </c>
      <c r="L663" s="46">
        <v>287</v>
      </c>
      <c r="N663" s="46" t="s">
        <v>1507</v>
      </c>
      <c r="P663" s="52">
        <v>1173</v>
      </c>
      <c r="Q663" s="52" t="s">
        <v>633</v>
      </c>
      <c r="R663" s="52" t="s">
        <v>634</v>
      </c>
      <c r="T663" s="52">
        <v>113090</v>
      </c>
      <c r="U663" s="52" t="s">
        <v>1273</v>
      </c>
      <c r="V663" s="52" t="s">
        <v>1274</v>
      </c>
      <c r="W663" s="52">
        <v>800</v>
      </c>
      <c r="X663" s="52"/>
      <c r="Y663" s="52"/>
      <c r="Z663" s="46" t="s">
        <v>1270</v>
      </c>
    </row>
    <row r="664" spans="1:26">
      <c r="A664" s="49">
        <v>44367</v>
      </c>
      <c r="B664" s="48">
        <v>202106201156</v>
      </c>
      <c r="C664" s="46" t="s">
        <v>3350</v>
      </c>
      <c r="D664" s="46" t="s">
        <v>3366</v>
      </c>
      <c r="E664" s="46" t="s">
        <v>1272</v>
      </c>
      <c r="F664" s="46" t="s">
        <v>3348</v>
      </c>
      <c r="G664" s="46" t="s">
        <v>633</v>
      </c>
      <c r="H664" s="47">
        <v>4714781020794</v>
      </c>
      <c r="I664" s="46" t="s">
        <v>3162</v>
      </c>
      <c r="J664" s="46" t="s">
        <v>3160</v>
      </c>
      <c r="K664" s="46">
        <v>1</v>
      </c>
      <c r="L664" s="46">
        <v>109</v>
      </c>
      <c r="N664" s="46" t="s">
        <v>143</v>
      </c>
      <c r="P664" s="52">
        <v>1173</v>
      </c>
      <c r="Q664" s="52" t="s">
        <v>633</v>
      </c>
      <c r="R664" s="52" t="s">
        <v>634</v>
      </c>
      <c r="T664" s="52">
        <v>113090</v>
      </c>
      <c r="U664" s="52" t="s">
        <v>1273</v>
      </c>
      <c r="V664" s="52" t="s">
        <v>1274</v>
      </c>
      <c r="W664" s="52">
        <v>800</v>
      </c>
      <c r="X664" s="52"/>
      <c r="Y664" s="52"/>
      <c r="Z664" s="46" t="s">
        <v>1270</v>
      </c>
    </row>
    <row r="665" spans="1:26">
      <c r="A665" s="49">
        <v>44367</v>
      </c>
      <c r="B665" s="48">
        <v>202106201157</v>
      </c>
      <c r="C665" s="46" t="s">
        <v>3350</v>
      </c>
      <c r="D665" s="46" t="s">
        <v>3365</v>
      </c>
      <c r="E665" s="46" t="s">
        <v>414</v>
      </c>
      <c r="F665" s="46" t="s">
        <v>3348</v>
      </c>
      <c r="G665" s="46" t="s">
        <v>39</v>
      </c>
      <c r="H665" s="47">
        <v>4714781021609</v>
      </c>
      <c r="I665" s="46" t="s">
        <v>3183</v>
      </c>
      <c r="J665" s="46" t="s">
        <v>3160</v>
      </c>
      <c r="K665" s="46">
        <v>3</v>
      </c>
      <c r="L665" s="46">
        <v>372</v>
      </c>
      <c r="N665" s="46" t="s">
        <v>1454</v>
      </c>
      <c r="P665" s="52">
        <v>1565</v>
      </c>
      <c r="Q665" s="52" t="s">
        <v>39</v>
      </c>
      <c r="R665" s="52" t="s">
        <v>40</v>
      </c>
      <c r="T665" s="52"/>
      <c r="U665" s="52"/>
      <c r="V665" s="52"/>
      <c r="W665" s="52">
        <v>433</v>
      </c>
      <c r="X665" s="52" t="s">
        <v>415</v>
      </c>
      <c r="Y665" s="52"/>
      <c r="Z665" s="46" t="s">
        <v>412</v>
      </c>
    </row>
    <row r="666" spans="1:26">
      <c r="A666" s="49">
        <v>44367</v>
      </c>
      <c r="B666" s="48">
        <v>202106201157</v>
      </c>
      <c r="C666" s="46" t="s">
        <v>3350</v>
      </c>
      <c r="D666" s="46" t="s">
        <v>3365</v>
      </c>
      <c r="E666" s="46" t="s">
        <v>414</v>
      </c>
      <c r="F666" s="46" t="s">
        <v>3348</v>
      </c>
      <c r="G666" s="46" t="s">
        <v>39</v>
      </c>
      <c r="H666" s="47">
        <v>4714781021593</v>
      </c>
      <c r="I666" s="46" t="s">
        <v>3183</v>
      </c>
      <c r="J666" s="46" t="s">
        <v>3160</v>
      </c>
      <c r="K666" s="46">
        <v>3</v>
      </c>
      <c r="L666" s="46">
        <v>372</v>
      </c>
      <c r="N666" s="46" t="s">
        <v>1453</v>
      </c>
      <c r="P666" s="52">
        <v>1565</v>
      </c>
      <c r="Q666" s="52" t="s">
        <v>39</v>
      </c>
      <c r="R666" s="52" t="s">
        <v>40</v>
      </c>
      <c r="T666" s="52"/>
      <c r="U666" s="52"/>
      <c r="V666" s="52"/>
      <c r="W666" s="52">
        <v>433</v>
      </c>
      <c r="X666" s="52" t="s">
        <v>415</v>
      </c>
      <c r="Y666" s="52"/>
      <c r="Z666" s="46" t="s">
        <v>412</v>
      </c>
    </row>
    <row r="667" spans="1:26">
      <c r="A667" s="49">
        <v>44367</v>
      </c>
      <c r="B667" s="48">
        <v>202106201157</v>
      </c>
      <c r="C667" s="46" t="s">
        <v>3350</v>
      </c>
      <c r="D667" s="46" t="s">
        <v>3365</v>
      </c>
      <c r="E667" s="46" t="s">
        <v>414</v>
      </c>
      <c r="F667" s="46" t="s">
        <v>3348</v>
      </c>
      <c r="G667" s="46" t="s">
        <v>39</v>
      </c>
      <c r="H667" s="47">
        <v>4714781021029</v>
      </c>
      <c r="I667" s="46" t="s">
        <v>3234</v>
      </c>
      <c r="J667" s="46" t="s">
        <v>3160</v>
      </c>
      <c r="K667" s="46">
        <v>3</v>
      </c>
      <c r="L667" s="46">
        <v>371</v>
      </c>
      <c r="N667" s="46" t="s">
        <v>1452</v>
      </c>
      <c r="P667" s="52">
        <v>1565</v>
      </c>
      <c r="Q667" s="52" t="s">
        <v>39</v>
      </c>
      <c r="R667" s="52" t="s">
        <v>40</v>
      </c>
      <c r="T667" s="52"/>
      <c r="U667" s="52"/>
      <c r="V667" s="52"/>
      <c r="W667" s="52">
        <v>433</v>
      </c>
      <c r="X667" s="52" t="s">
        <v>415</v>
      </c>
      <c r="Y667" s="52"/>
      <c r="Z667" s="46" t="s">
        <v>412</v>
      </c>
    </row>
    <row r="668" spans="1:26">
      <c r="A668" s="49">
        <v>44367</v>
      </c>
      <c r="B668" s="48">
        <v>202106201157</v>
      </c>
      <c r="C668" s="46" t="s">
        <v>3350</v>
      </c>
      <c r="D668" s="46" t="s">
        <v>3365</v>
      </c>
      <c r="E668" s="46" t="s">
        <v>414</v>
      </c>
      <c r="F668" s="46" t="s">
        <v>3348</v>
      </c>
      <c r="G668" s="46" t="s">
        <v>39</v>
      </c>
      <c r="H668" s="47" t="s">
        <v>1514</v>
      </c>
      <c r="I668" s="46" t="s">
        <v>3295</v>
      </c>
      <c r="J668" s="46" t="s">
        <v>3160</v>
      </c>
      <c r="K668" s="46">
        <v>2</v>
      </c>
      <c r="L668" s="46">
        <v>300</v>
      </c>
      <c r="N668" s="46" t="s">
        <v>1513</v>
      </c>
      <c r="P668" s="52">
        <v>1565</v>
      </c>
      <c r="Q668" s="52" t="s">
        <v>39</v>
      </c>
      <c r="R668" s="52" t="s">
        <v>40</v>
      </c>
      <c r="T668" s="52"/>
      <c r="U668" s="52"/>
      <c r="V668" s="52"/>
      <c r="W668" s="52">
        <v>433</v>
      </c>
      <c r="X668" s="52" t="s">
        <v>415</v>
      </c>
      <c r="Y668" s="52"/>
      <c r="Z668" s="46" t="s">
        <v>412</v>
      </c>
    </row>
    <row r="669" spans="1:26">
      <c r="A669" s="49">
        <v>44367</v>
      </c>
      <c r="B669" s="48">
        <v>202106201157</v>
      </c>
      <c r="C669" s="46" t="s">
        <v>3350</v>
      </c>
      <c r="D669" s="46" t="s">
        <v>3365</v>
      </c>
      <c r="E669" s="46" t="s">
        <v>414</v>
      </c>
      <c r="F669" s="46" t="s">
        <v>3348</v>
      </c>
      <c r="G669" s="46" t="s">
        <v>39</v>
      </c>
      <c r="H669" s="47" t="s">
        <v>1517</v>
      </c>
      <c r="I669" s="46" t="s">
        <v>3295</v>
      </c>
      <c r="J669" s="46" t="s">
        <v>3160</v>
      </c>
      <c r="K669" s="46">
        <v>1</v>
      </c>
      <c r="L669" s="46">
        <v>150</v>
      </c>
      <c r="N669" s="46" t="s">
        <v>1516</v>
      </c>
      <c r="P669" s="52">
        <v>1565</v>
      </c>
      <c r="Q669" s="52" t="s">
        <v>39</v>
      </c>
      <c r="R669" s="52" t="s">
        <v>40</v>
      </c>
      <c r="T669" s="52"/>
      <c r="U669" s="52"/>
      <c r="V669" s="52"/>
      <c r="W669" s="52">
        <v>433</v>
      </c>
      <c r="X669" s="52" t="s">
        <v>415</v>
      </c>
      <c r="Y669" s="52"/>
      <c r="Z669" s="46" t="s">
        <v>412</v>
      </c>
    </row>
    <row r="670" spans="1:26">
      <c r="A670" s="49">
        <v>44367</v>
      </c>
      <c r="B670" s="48">
        <v>202106201158</v>
      </c>
      <c r="C670" s="46" t="s">
        <v>3350</v>
      </c>
      <c r="D670" s="46" t="s">
        <v>3364</v>
      </c>
      <c r="E670" s="46" t="s">
        <v>409</v>
      </c>
      <c r="F670" s="46" t="s">
        <v>3348</v>
      </c>
      <c r="G670" s="46" t="s">
        <v>39</v>
      </c>
      <c r="H670" s="47">
        <v>4714781021609</v>
      </c>
      <c r="I670" s="46" t="s">
        <v>3183</v>
      </c>
      <c r="J670" s="46" t="s">
        <v>3160</v>
      </c>
      <c r="K670" s="46">
        <v>3</v>
      </c>
      <c r="L670" s="46">
        <v>382</v>
      </c>
      <c r="N670" s="46" t="s">
        <v>1454</v>
      </c>
      <c r="P670" s="52">
        <v>1145</v>
      </c>
      <c r="Q670" s="52" t="s">
        <v>39</v>
      </c>
      <c r="R670" s="52" t="s">
        <v>59</v>
      </c>
      <c r="T670" s="52"/>
      <c r="U670" s="52"/>
      <c r="V670" s="52"/>
      <c r="W670" s="52">
        <v>557</v>
      </c>
      <c r="X670" s="52" t="s">
        <v>410</v>
      </c>
      <c r="Y670" s="52"/>
      <c r="Z670" s="46" t="s">
        <v>407</v>
      </c>
    </row>
    <row r="671" spans="1:26">
      <c r="A671" s="49">
        <v>44367</v>
      </c>
      <c r="B671" s="48">
        <v>202106201158</v>
      </c>
      <c r="C671" s="46" t="s">
        <v>3350</v>
      </c>
      <c r="D671" s="46" t="s">
        <v>3364</v>
      </c>
      <c r="E671" s="46" t="s">
        <v>409</v>
      </c>
      <c r="F671" s="46" t="s">
        <v>3348</v>
      </c>
      <c r="G671" s="46" t="s">
        <v>39</v>
      </c>
      <c r="H671" s="47">
        <v>4714781021593</v>
      </c>
      <c r="I671" s="46" t="s">
        <v>3183</v>
      </c>
      <c r="J671" s="46" t="s">
        <v>3160</v>
      </c>
      <c r="K671" s="46">
        <v>3</v>
      </c>
      <c r="L671" s="46">
        <v>382</v>
      </c>
      <c r="N671" s="46" t="s">
        <v>1453</v>
      </c>
      <c r="P671" s="52">
        <v>1145</v>
      </c>
      <c r="Q671" s="52" t="s">
        <v>39</v>
      </c>
      <c r="R671" s="52" t="s">
        <v>59</v>
      </c>
      <c r="T671" s="52"/>
      <c r="U671" s="52"/>
      <c r="V671" s="52"/>
      <c r="W671" s="52">
        <v>557</v>
      </c>
      <c r="X671" s="52" t="s">
        <v>410</v>
      </c>
      <c r="Y671" s="52"/>
      <c r="Z671" s="46" t="s">
        <v>407</v>
      </c>
    </row>
    <row r="672" spans="1:26">
      <c r="A672" s="49">
        <v>44367</v>
      </c>
      <c r="B672" s="48">
        <v>202106201158</v>
      </c>
      <c r="C672" s="46" t="s">
        <v>3350</v>
      </c>
      <c r="D672" s="46" t="s">
        <v>3364</v>
      </c>
      <c r="E672" s="46" t="s">
        <v>409</v>
      </c>
      <c r="F672" s="46" t="s">
        <v>3348</v>
      </c>
      <c r="G672" s="46" t="s">
        <v>39</v>
      </c>
      <c r="H672" s="47">
        <v>4714781021029</v>
      </c>
      <c r="I672" s="46" t="s">
        <v>3234</v>
      </c>
      <c r="J672" s="46" t="s">
        <v>3160</v>
      </c>
      <c r="K672" s="46">
        <v>3</v>
      </c>
      <c r="L672" s="46">
        <v>381</v>
      </c>
      <c r="N672" s="46" t="s">
        <v>1452</v>
      </c>
      <c r="P672" s="52">
        <v>1145</v>
      </c>
      <c r="Q672" s="52" t="s">
        <v>39</v>
      </c>
      <c r="R672" s="52" t="s">
        <v>59</v>
      </c>
      <c r="T672" s="52"/>
      <c r="U672" s="52"/>
      <c r="V672" s="52"/>
      <c r="W672" s="52">
        <v>557</v>
      </c>
      <c r="X672" s="52" t="s">
        <v>410</v>
      </c>
      <c r="Y672" s="52"/>
      <c r="Z672" s="46" t="s">
        <v>407</v>
      </c>
    </row>
    <row r="673" spans="1:26">
      <c r="A673" s="49">
        <v>44367</v>
      </c>
      <c r="B673" s="48">
        <v>202106201159</v>
      </c>
      <c r="C673" s="46" t="s">
        <v>3350</v>
      </c>
      <c r="D673" s="46" t="s">
        <v>3363</v>
      </c>
      <c r="E673" s="46" t="s">
        <v>1278</v>
      </c>
      <c r="F673" s="46" t="s">
        <v>3348</v>
      </c>
      <c r="G673" s="46" t="s">
        <v>633</v>
      </c>
      <c r="H673" s="47">
        <v>4714781021593</v>
      </c>
      <c r="I673" s="46" t="s">
        <v>3183</v>
      </c>
      <c r="J673" s="46" t="s">
        <v>3160</v>
      </c>
      <c r="K673" s="46">
        <v>2</v>
      </c>
      <c r="L673" s="46">
        <v>266</v>
      </c>
      <c r="N673" s="46" t="s">
        <v>1453</v>
      </c>
      <c r="P673" s="52">
        <v>464</v>
      </c>
      <c r="Q673" s="52" t="s">
        <v>633</v>
      </c>
      <c r="R673" s="52" t="s">
        <v>634</v>
      </c>
      <c r="T673" s="52">
        <v>208381</v>
      </c>
      <c r="U673" s="52" t="s">
        <v>1279</v>
      </c>
      <c r="V673" s="52" t="s">
        <v>1280</v>
      </c>
      <c r="W673" s="52"/>
      <c r="X673" s="52"/>
      <c r="Y673" s="52"/>
      <c r="Z673" s="46" t="s">
        <v>1276</v>
      </c>
    </row>
    <row r="674" spans="1:26">
      <c r="A674" s="49">
        <v>44367</v>
      </c>
      <c r="B674" s="48">
        <v>202106201159</v>
      </c>
      <c r="C674" s="46" t="s">
        <v>3350</v>
      </c>
      <c r="D674" s="46" t="s">
        <v>3363</v>
      </c>
      <c r="E674" s="46" t="s">
        <v>1278</v>
      </c>
      <c r="F674" s="46" t="s">
        <v>3348</v>
      </c>
      <c r="G674" s="46" t="s">
        <v>633</v>
      </c>
      <c r="H674" s="47">
        <v>4714781021609</v>
      </c>
      <c r="I674" s="46" t="s">
        <v>3183</v>
      </c>
      <c r="J674" s="46" t="s">
        <v>3160</v>
      </c>
      <c r="K674" s="46">
        <v>1</v>
      </c>
      <c r="L674" s="46">
        <v>133</v>
      </c>
      <c r="N674" s="46" t="s">
        <v>1454</v>
      </c>
      <c r="P674" s="52">
        <v>464</v>
      </c>
      <c r="Q674" s="52" t="s">
        <v>633</v>
      </c>
      <c r="R674" s="52" t="s">
        <v>634</v>
      </c>
      <c r="T674" s="52">
        <v>208381</v>
      </c>
      <c r="U674" s="52" t="s">
        <v>1279</v>
      </c>
      <c r="V674" s="52" t="s">
        <v>1280</v>
      </c>
      <c r="W674" s="52"/>
      <c r="X674" s="52"/>
      <c r="Y674" s="52"/>
      <c r="Z674" s="46" t="s">
        <v>1276</v>
      </c>
    </row>
    <row r="675" spans="1:26">
      <c r="A675" s="49">
        <v>44367</v>
      </c>
      <c r="B675" s="48">
        <v>202106201159</v>
      </c>
      <c r="C675" s="46" t="s">
        <v>3350</v>
      </c>
      <c r="D675" s="46" t="s">
        <v>3363</v>
      </c>
      <c r="E675" s="46" t="s">
        <v>1278</v>
      </c>
      <c r="F675" s="46" t="s">
        <v>3348</v>
      </c>
      <c r="G675" s="46" t="s">
        <v>633</v>
      </c>
      <c r="H675" s="47" t="s">
        <v>3347</v>
      </c>
      <c r="J675" s="46" t="s">
        <v>3346</v>
      </c>
      <c r="K675" s="46">
        <v>1</v>
      </c>
      <c r="L675" s="46">
        <v>65</v>
      </c>
      <c r="P675" s="52"/>
      <c r="Q675" s="52"/>
      <c r="R675" s="52"/>
      <c r="T675" s="52"/>
      <c r="U675" s="52"/>
      <c r="V675" s="52"/>
      <c r="W675" s="52"/>
      <c r="X675" s="52"/>
      <c r="Y675" s="52"/>
    </row>
    <row r="676" spans="1:26">
      <c r="A676" s="49">
        <v>44367</v>
      </c>
      <c r="B676" s="48">
        <v>202106201160</v>
      </c>
      <c r="C676" s="46" t="s">
        <v>3350</v>
      </c>
      <c r="D676" s="46" t="s">
        <v>3362</v>
      </c>
      <c r="E676" s="46" t="s">
        <v>402</v>
      </c>
      <c r="F676" s="46" t="s">
        <v>3348</v>
      </c>
      <c r="G676" s="46" t="s">
        <v>39</v>
      </c>
      <c r="H676" s="47">
        <v>4714781021609</v>
      </c>
      <c r="I676" s="46" t="s">
        <v>3183</v>
      </c>
      <c r="J676" s="46" t="s">
        <v>3160</v>
      </c>
      <c r="K676" s="46">
        <v>2</v>
      </c>
      <c r="L676" s="46">
        <v>250</v>
      </c>
      <c r="N676" s="46" t="s">
        <v>1454</v>
      </c>
      <c r="P676" s="52">
        <v>750</v>
      </c>
      <c r="Q676" s="52" t="s">
        <v>39</v>
      </c>
      <c r="R676" s="52" t="s">
        <v>40</v>
      </c>
      <c r="T676" s="52"/>
      <c r="U676" s="52"/>
      <c r="V676" s="52"/>
      <c r="W676" s="52">
        <v>106</v>
      </c>
      <c r="X676" s="52" t="s">
        <v>404</v>
      </c>
      <c r="Y676" s="52"/>
      <c r="Z676" s="46" t="s">
        <v>400</v>
      </c>
    </row>
    <row r="677" spans="1:26">
      <c r="A677" s="49">
        <v>44367</v>
      </c>
      <c r="B677" s="48">
        <v>202106201160</v>
      </c>
      <c r="C677" s="46" t="s">
        <v>3350</v>
      </c>
      <c r="D677" s="46" t="s">
        <v>3362</v>
      </c>
      <c r="E677" s="46" t="s">
        <v>402</v>
      </c>
      <c r="F677" s="46" t="s">
        <v>3348</v>
      </c>
      <c r="G677" s="46" t="s">
        <v>39</v>
      </c>
      <c r="H677" s="47">
        <v>4714781021029</v>
      </c>
      <c r="I677" s="46" t="s">
        <v>3234</v>
      </c>
      <c r="J677" s="46" t="s">
        <v>3160</v>
      </c>
      <c r="K677" s="46">
        <v>1</v>
      </c>
      <c r="L677" s="46">
        <v>125</v>
      </c>
      <c r="N677" s="46" t="s">
        <v>2072</v>
      </c>
      <c r="P677" s="52">
        <v>750</v>
      </c>
      <c r="Q677" s="52" t="s">
        <v>39</v>
      </c>
      <c r="R677" s="52" t="s">
        <v>40</v>
      </c>
      <c r="T677" s="52"/>
      <c r="U677" s="52"/>
      <c r="V677" s="52"/>
      <c r="W677" s="52">
        <v>106</v>
      </c>
      <c r="X677" s="52" t="s">
        <v>404</v>
      </c>
      <c r="Y677" s="52"/>
      <c r="Z677" s="46" t="s">
        <v>400</v>
      </c>
    </row>
    <row r="678" spans="1:26">
      <c r="A678" s="49">
        <v>44367</v>
      </c>
      <c r="B678" s="48">
        <v>202106201160</v>
      </c>
      <c r="C678" s="46" t="s">
        <v>3350</v>
      </c>
      <c r="D678" s="46" t="s">
        <v>3362</v>
      </c>
      <c r="E678" s="46" t="s">
        <v>402</v>
      </c>
      <c r="F678" s="46" t="s">
        <v>3348</v>
      </c>
      <c r="G678" s="46" t="s">
        <v>39</v>
      </c>
      <c r="H678" s="47">
        <v>4714781021593</v>
      </c>
      <c r="I678" s="46" t="s">
        <v>3183</v>
      </c>
      <c r="J678" s="46" t="s">
        <v>3160</v>
      </c>
      <c r="K678" s="46">
        <v>3</v>
      </c>
      <c r="L678" s="46">
        <v>375</v>
      </c>
      <c r="N678" s="46" t="s">
        <v>1453</v>
      </c>
      <c r="P678" s="52">
        <v>750</v>
      </c>
      <c r="Q678" s="52" t="s">
        <v>39</v>
      </c>
      <c r="R678" s="52" t="s">
        <v>40</v>
      </c>
      <c r="T678" s="52"/>
      <c r="U678" s="52"/>
      <c r="V678" s="52"/>
      <c r="W678" s="52">
        <v>106</v>
      </c>
      <c r="X678" s="52" t="s">
        <v>404</v>
      </c>
      <c r="Y678" s="52"/>
      <c r="Z678" s="46" t="s">
        <v>400</v>
      </c>
    </row>
    <row r="679" spans="1:26">
      <c r="A679" s="49">
        <v>44367</v>
      </c>
      <c r="B679" s="48">
        <v>202106201161</v>
      </c>
      <c r="C679" s="46" t="s">
        <v>3350</v>
      </c>
      <c r="D679" s="46" t="s">
        <v>3361</v>
      </c>
      <c r="E679" s="46" t="s">
        <v>396</v>
      </c>
      <c r="F679" s="46" t="s">
        <v>3348</v>
      </c>
      <c r="G679" s="46" t="s">
        <v>39</v>
      </c>
      <c r="H679" s="47" t="s">
        <v>1512</v>
      </c>
      <c r="I679" s="46" t="s">
        <v>3194</v>
      </c>
      <c r="J679" s="46" t="s">
        <v>3160</v>
      </c>
      <c r="K679" s="46">
        <v>1</v>
      </c>
      <c r="L679" s="46">
        <v>150</v>
      </c>
      <c r="N679" s="46" t="s">
        <v>1511</v>
      </c>
      <c r="P679" s="52">
        <v>1148</v>
      </c>
      <c r="Q679" s="52" t="s">
        <v>39</v>
      </c>
      <c r="R679" s="52" t="s">
        <v>171</v>
      </c>
      <c r="T679" s="52"/>
      <c r="U679" s="52"/>
      <c r="V679" s="52"/>
      <c r="W679" s="52">
        <v>710</v>
      </c>
      <c r="X679" s="52" t="s">
        <v>397</v>
      </c>
      <c r="Y679" s="52" t="s">
        <v>398</v>
      </c>
      <c r="Z679" s="46" t="s">
        <v>394</v>
      </c>
    </row>
    <row r="680" spans="1:26">
      <c r="A680" s="49">
        <v>44367</v>
      </c>
      <c r="B680" s="48">
        <v>202106201161</v>
      </c>
      <c r="C680" s="46" t="s">
        <v>3350</v>
      </c>
      <c r="D680" s="46" t="s">
        <v>3361</v>
      </c>
      <c r="E680" s="46" t="s">
        <v>396</v>
      </c>
      <c r="F680" s="46" t="s">
        <v>3348</v>
      </c>
      <c r="G680" s="46" t="s">
        <v>39</v>
      </c>
      <c r="H680" s="47" t="s">
        <v>1517</v>
      </c>
      <c r="I680" s="46" t="s">
        <v>3295</v>
      </c>
      <c r="J680" s="46" t="s">
        <v>3160</v>
      </c>
      <c r="K680" s="46">
        <v>1</v>
      </c>
      <c r="L680" s="46">
        <v>150</v>
      </c>
      <c r="N680" s="46" t="s">
        <v>1516</v>
      </c>
      <c r="P680" s="52">
        <v>1148</v>
      </c>
      <c r="Q680" s="52" t="s">
        <v>39</v>
      </c>
      <c r="R680" s="52" t="s">
        <v>171</v>
      </c>
      <c r="T680" s="52"/>
      <c r="U680" s="52"/>
      <c r="V680" s="52"/>
      <c r="W680" s="52">
        <v>710</v>
      </c>
      <c r="X680" s="52" t="s">
        <v>397</v>
      </c>
      <c r="Y680" s="52" t="s">
        <v>398</v>
      </c>
      <c r="Z680" s="46" t="s">
        <v>394</v>
      </c>
    </row>
    <row r="681" spans="1:26">
      <c r="A681" s="49">
        <v>44367</v>
      </c>
      <c r="B681" s="48">
        <v>202106201161</v>
      </c>
      <c r="C681" s="46" t="s">
        <v>3350</v>
      </c>
      <c r="D681" s="46" t="s">
        <v>3361</v>
      </c>
      <c r="E681" s="46" t="s">
        <v>396</v>
      </c>
      <c r="F681" s="46" t="s">
        <v>3348</v>
      </c>
      <c r="G681" s="46" t="s">
        <v>39</v>
      </c>
      <c r="H681" s="47" t="s">
        <v>1514</v>
      </c>
      <c r="I681" s="46" t="s">
        <v>3295</v>
      </c>
      <c r="J681" s="46" t="s">
        <v>3160</v>
      </c>
      <c r="K681" s="46">
        <v>1</v>
      </c>
      <c r="L681" s="46">
        <v>150</v>
      </c>
      <c r="N681" s="46" t="s">
        <v>1513</v>
      </c>
      <c r="P681" s="52">
        <v>1148</v>
      </c>
      <c r="Q681" s="52" t="s">
        <v>39</v>
      </c>
      <c r="R681" s="52" t="s">
        <v>171</v>
      </c>
      <c r="T681" s="52"/>
      <c r="U681" s="52"/>
      <c r="V681" s="52"/>
      <c r="W681" s="52">
        <v>710</v>
      </c>
      <c r="X681" s="52" t="s">
        <v>397</v>
      </c>
      <c r="Y681" s="52" t="s">
        <v>398</v>
      </c>
      <c r="Z681" s="46" t="s">
        <v>394</v>
      </c>
    </row>
    <row r="682" spans="1:26">
      <c r="A682" s="49">
        <v>44367</v>
      </c>
      <c r="B682" s="48">
        <v>202106201161</v>
      </c>
      <c r="C682" s="46" t="s">
        <v>3350</v>
      </c>
      <c r="D682" s="46" t="s">
        <v>3361</v>
      </c>
      <c r="E682" s="46" t="s">
        <v>396</v>
      </c>
      <c r="F682" s="46" t="s">
        <v>3348</v>
      </c>
      <c r="G682" s="46" t="s">
        <v>39</v>
      </c>
      <c r="H682" s="47">
        <v>4714781021609</v>
      </c>
      <c r="I682" s="46" t="s">
        <v>3183</v>
      </c>
      <c r="J682" s="46" t="s">
        <v>3160</v>
      </c>
      <c r="K682" s="46">
        <v>1</v>
      </c>
      <c r="L682" s="46">
        <v>133</v>
      </c>
      <c r="N682" s="46" t="s">
        <v>1454</v>
      </c>
      <c r="P682" s="52">
        <v>1148</v>
      </c>
      <c r="Q682" s="52" t="s">
        <v>39</v>
      </c>
      <c r="R682" s="52" t="s">
        <v>171</v>
      </c>
      <c r="T682" s="52"/>
      <c r="U682" s="52"/>
      <c r="V682" s="52"/>
      <c r="W682" s="52">
        <v>710</v>
      </c>
      <c r="X682" s="52" t="s">
        <v>397</v>
      </c>
      <c r="Y682" s="52" t="s">
        <v>398</v>
      </c>
      <c r="Z682" s="46" t="s">
        <v>394</v>
      </c>
    </row>
    <row r="683" spans="1:26">
      <c r="A683" s="49">
        <v>44367</v>
      </c>
      <c r="B683" s="48">
        <v>202106201161</v>
      </c>
      <c r="C683" s="46" t="s">
        <v>3350</v>
      </c>
      <c r="D683" s="46" t="s">
        <v>3361</v>
      </c>
      <c r="E683" s="46" t="s">
        <v>396</v>
      </c>
      <c r="F683" s="46" t="s">
        <v>3348</v>
      </c>
      <c r="G683" s="46" t="s">
        <v>39</v>
      </c>
      <c r="H683" s="47">
        <v>4714781021593</v>
      </c>
      <c r="I683" s="46" t="s">
        <v>3183</v>
      </c>
      <c r="J683" s="46" t="s">
        <v>3160</v>
      </c>
      <c r="K683" s="46">
        <v>1</v>
      </c>
      <c r="L683" s="46">
        <v>133</v>
      </c>
      <c r="N683" s="46" t="s">
        <v>1453</v>
      </c>
      <c r="P683" s="52">
        <v>1148</v>
      </c>
      <c r="Q683" s="52" t="s">
        <v>39</v>
      </c>
      <c r="R683" s="52" t="s">
        <v>171</v>
      </c>
      <c r="T683" s="52"/>
      <c r="U683" s="52"/>
      <c r="V683" s="52"/>
      <c r="W683" s="52">
        <v>710</v>
      </c>
      <c r="X683" s="52" t="s">
        <v>397</v>
      </c>
      <c r="Y683" s="52" t="s">
        <v>398</v>
      </c>
      <c r="Z683" s="46" t="s">
        <v>394</v>
      </c>
    </row>
    <row r="684" spans="1:26">
      <c r="A684" s="49">
        <v>44367</v>
      </c>
      <c r="B684" s="48">
        <v>202106201161</v>
      </c>
      <c r="C684" s="46" t="s">
        <v>3350</v>
      </c>
      <c r="D684" s="46" t="s">
        <v>3361</v>
      </c>
      <c r="E684" s="46" t="s">
        <v>396</v>
      </c>
      <c r="F684" s="46" t="s">
        <v>3348</v>
      </c>
      <c r="G684" s="46" t="s">
        <v>39</v>
      </c>
      <c r="H684" s="47">
        <v>4714781021029</v>
      </c>
      <c r="I684" s="46" t="s">
        <v>3234</v>
      </c>
      <c r="J684" s="46" t="s">
        <v>3160</v>
      </c>
      <c r="K684" s="46">
        <v>1</v>
      </c>
      <c r="L684" s="46">
        <v>133</v>
      </c>
      <c r="N684" s="46" t="s">
        <v>1452</v>
      </c>
      <c r="P684" s="52">
        <v>1148</v>
      </c>
      <c r="Q684" s="52" t="s">
        <v>39</v>
      </c>
      <c r="R684" s="52" t="s">
        <v>171</v>
      </c>
      <c r="T684" s="52"/>
      <c r="U684" s="52"/>
      <c r="V684" s="52"/>
      <c r="W684" s="52">
        <v>710</v>
      </c>
      <c r="X684" s="52" t="s">
        <v>397</v>
      </c>
      <c r="Y684" s="52" t="s">
        <v>398</v>
      </c>
      <c r="Z684" s="46" t="s">
        <v>394</v>
      </c>
    </row>
    <row r="685" spans="1:26">
      <c r="A685" s="49">
        <v>44367</v>
      </c>
      <c r="B685" s="48">
        <v>202106201161</v>
      </c>
      <c r="C685" s="46" t="s">
        <v>3350</v>
      </c>
      <c r="D685" s="46" t="s">
        <v>3361</v>
      </c>
      <c r="E685" s="46" t="s">
        <v>396</v>
      </c>
      <c r="F685" s="46" t="s">
        <v>3348</v>
      </c>
      <c r="G685" s="46" t="s">
        <v>39</v>
      </c>
      <c r="H685" s="47">
        <v>4714781024716</v>
      </c>
      <c r="I685" s="46" t="s">
        <v>3166</v>
      </c>
      <c r="J685" s="46" t="s">
        <v>3160</v>
      </c>
      <c r="K685" s="46">
        <v>1</v>
      </c>
      <c r="L685" s="46">
        <v>299</v>
      </c>
      <c r="N685" s="46" t="s">
        <v>372</v>
      </c>
      <c r="P685" s="52">
        <v>1148</v>
      </c>
      <c r="Q685" s="52" t="s">
        <v>39</v>
      </c>
      <c r="R685" s="52" t="s">
        <v>171</v>
      </c>
      <c r="T685" s="52"/>
      <c r="U685" s="52"/>
      <c r="V685" s="52"/>
      <c r="W685" s="52">
        <v>710</v>
      </c>
      <c r="X685" s="52" t="s">
        <v>397</v>
      </c>
      <c r="Y685" s="52" t="s">
        <v>398</v>
      </c>
      <c r="Z685" s="46" t="s">
        <v>394</v>
      </c>
    </row>
    <row r="686" spans="1:26">
      <c r="A686" s="49">
        <v>44367</v>
      </c>
      <c r="B686" s="48">
        <v>202106201162</v>
      </c>
      <c r="C686" s="46" t="s">
        <v>3350</v>
      </c>
      <c r="D686" s="46" t="s">
        <v>3360</v>
      </c>
      <c r="E686" s="46" t="s">
        <v>391</v>
      </c>
      <c r="F686" s="46" t="s">
        <v>3348</v>
      </c>
      <c r="G686" s="46" t="s">
        <v>39</v>
      </c>
      <c r="H686" s="47">
        <v>4714781020282</v>
      </c>
      <c r="I686" s="46" t="s">
        <v>3307</v>
      </c>
      <c r="J686" s="46" t="s">
        <v>3160</v>
      </c>
      <c r="K686" s="46">
        <v>2</v>
      </c>
      <c r="L686" s="46">
        <v>598</v>
      </c>
      <c r="N686" s="46" t="s">
        <v>274</v>
      </c>
      <c r="P686" s="52">
        <v>1144</v>
      </c>
      <c r="Q686" s="52" t="s">
        <v>39</v>
      </c>
      <c r="R686" s="52" t="s">
        <v>59</v>
      </c>
      <c r="T686" s="52"/>
      <c r="U686" s="52"/>
      <c r="V686" s="52"/>
      <c r="W686" s="52">
        <v>338</v>
      </c>
      <c r="X686" s="52" t="s">
        <v>392</v>
      </c>
      <c r="Y686" s="52"/>
      <c r="Z686" s="46" t="s">
        <v>389</v>
      </c>
    </row>
    <row r="687" spans="1:26">
      <c r="A687" s="49">
        <v>44367</v>
      </c>
      <c r="B687" s="48">
        <v>202106201162</v>
      </c>
      <c r="C687" s="46" t="s">
        <v>3350</v>
      </c>
      <c r="D687" s="46" t="s">
        <v>3360</v>
      </c>
      <c r="E687" s="46" t="s">
        <v>391</v>
      </c>
      <c r="F687" s="46" t="s">
        <v>3348</v>
      </c>
      <c r="G687" s="46" t="s">
        <v>39</v>
      </c>
      <c r="H687" s="47">
        <v>4714781020954</v>
      </c>
      <c r="I687" s="46" t="s">
        <v>3250</v>
      </c>
      <c r="J687" s="46" t="s">
        <v>3160</v>
      </c>
      <c r="K687" s="46">
        <v>1</v>
      </c>
      <c r="L687" s="46">
        <v>149</v>
      </c>
      <c r="N687" s="46" t="s">
        <v>139</v>
      </c>
      <c r="P687" s="52">
        <v>1144</v>
      </c>
      <c r="Q687" s="52" t="s">
        <v>39</v>
      </c>
      <c r="R687" s="52" t="s">
        <v>59</v>
      </c>
      <c r="T687" s="52"/>
      <c r="U687" s="52"/>
      <c r="V687" s="52"/>
      <c r="W687" s="52">
        <v>338</v>
      </c>
      <c r="X687" s="52" t="s">
        <v>392</v>
      </c>
      <c r="Y687" s="52"/>
      <c r="Z687" s="46" t="s">
        <v>389</v>
      </c>
    </row>
    <row r="688" spans="1:26">
      <c r="A688" s="49">
        <v>44367</v>
      </c>
      <c r="B688" s="48">
        <v>202106201162</v>
      </c>
      <c r="C688" s="46" t="s">
        <v>3350</v>
      </c>
      <c r="D688" s="46" t="s">
        <v>3360</v>
      </c>
      <c r="E688" s="46" t="s">
        <v>391</v>
      </c>
      <c r="F688" s="46" t="s">
        <v>3348</v>
      </c>
      <c r="G688" s="46" t="s">
        <v>39</v>
      </c>
      <c r="H688" s="47">
        <v>4714781020770</v>
      </c>
      <c r="I688" s="46" t="s">
        <v>3276</v>
      </c>
      <c r="J688" s="46" t="s">
        <v>3160</v>
      </c>
      <c r="K688" s="46">
        <v>1</v>
      </c>
      <c r="L688" s="46">
        <v>149</v>
      </c>
      <c r="N688" s="46" t="s">
        <v>349</v>
      </c>
      <c r="P688" s="52">
        <v>1144</v>
      </c>
      <c r="Q688" s="52" t="s">
        <v>39</v>
      </c>
      <c r="R688" s="52" t="s">
        <v>59</v>
      </c>
      <c r="T688" s="52"/>
      <c r="U688" s="52"/>
      <c r="V688" s="52"/>
      <c r="W688" s="52">
        <v>338</v>
      </c>
      <c r="X688" s="52" t="s">
        <v>392</v>
      </c>
      <c r="Y688" s="52"/>
      <c r="Z688" s="46" t="s">
        <v>389</v>
      </c>
    </row>
    <row r="689" spans="1:26">
      <c r="A689" s="49">
        <v>44367</v>
      </c>
      <c r="B689" s="48">
        <v>202106201162</v>
      </c>
      <c r="C689" s="46" t="s">
        <v>3350</v>
      </c>
      <c r="D689" s="46" t="s">
        <v>3360</v>
      </c>
      <c r="E689" s="46" t="s">
        <v>391</v>
      </c>
      <c r="F689" s="46" t="s">
        <v>3348</v>
      </c>
      <c r="G689" s="46" t="s">
        <v>39</v>
      </c>
      <c r="H689" s="47">
        <v>4714781020800</v>
      </c>
      <c r="I689" s="46" t="s">
        <v>3220</v>
      </c>
      <c r="J689" s="46" t="s">
        <v>3160</v>
      </c>
      <c r="K689" s="46">
        <v>1</v>
      </c>
      <c r="L689" s="46">
        <v>128</v>
      </c>
      <c r="N689" s="46" t="s">
        <v>66</v>
      </c>
      <c r="P689" s="52">
        <v>1144</v>
      </c>
      <c r="Q689" s="52" t="s">
        <v>39</v>
      </c>
      <c r="R689" s="52" t="s">
        <v>59</v>
      </c>
      <c r="T689" s="52"/>
      <c r="U689" s="52"/>
      <c r="V689" s="52"/>
      <c r="W689" s="52">
        <v>338</v>
      </c>
      <c r="X689" s="52" t="s">
        <v>392</v>
      </c>
      <c r="Y689" s="52"/>
      <c r="Z689" s="46" t="s">
        <v>389</v>
      </c>
    </row>
    <row r="690" spans="1:26">
      <c r="A690" s="49">
        <v>44367</v>
      </c>
      <c r="B690" s="48">
        <v>202106201162</v>
      </c>
      <c r="C690" s="46" t="s">
        <v>3350</v>
      </c>
      <c r="D690" s="46" t="s">
        <v>3360</v>
      </c>
      <c r="E690" s="46" t="s">
        <v>391</v>
      </c>
      <c r="F690" s="46" t="s">
        <v>3348</v>
      </c>
      <c r="G690" s="46" t="s">
        <v>39</v>
      </c>
      <c r="H690" s="47">
        <v>4714781021463</v>
      </c>
      <c r="I690" s="46" t="s">
        <v>3194</v>
      </c>
      <c r="J690" s="46" t="s">
        <v>3160</v>
      </c>
      <c r="K690" s="46">
        <v>1</v>
      </c>
      <c r="L690" s="46">
        <v>120</v>
      </c>
      <c r="N690" s="46" t="s">
        <v>158</v>
      </c>
      <c r="P690" s="52">
        <v>1144</v>
      </c>
      <c r="Q690" s="52" t="s">
        <v>39</v>
      </c>
      <c r="R690" s="52" t="s">
        <v>59</v>
      </c>
      <c r="T690" s="52"/>
      <c r="U690" s="52"/>
      <c r="V690" s="52"/>
      <c r="W690" s="52">
        <v>338</v>
      </c>
      <c r="X690" s="52" t="s">
        <v>392</v>
      </c>
      <c r="Y690" s="52"/>
      <c r="Z690" s="46" t="s">
        <v>389</v>
      </c>
    </row>
    <row r="691" spans="1:26">
      <c r="A691" s="49">
        <v>44367</v>
      </c>
      <c r="B691" s="48">
        <v>202106201163</v>
      </c>
      <c r="C691" s="46" t="s">
        <v>3350</v>
      </c>
      <c r="D691" s="46" t="s">
        <v>3359</v>
      </c>
      <c r="E691" s="46" t="s">
        <v>1284</v>
      </c>
      <c r="F691" s="46" t="s">
        <v>3348</v>
      </c>
      <c r="G691" s="46" t="s">
        <v>633</v>
      </c>
      <c r="H691" s="47" t="s">
        <v>1541</v>
      </c>
      <c r="I691" s="46" t="s">
        <v>3213</v>
      </c>
      <c r="J691" s="46" t="s">
        <v>3160</v>
      </c>
      <c r="K691" s="46">
        <v>1</v>
      </c>
      <c r="L691" s="46">
        <v>119</v>
      </c>
      <c r="N691" s="46" t="s">
        <v>1540</v>
      </c>
      <c r="P691" s="52">
        <v>699</v>
      </c>
      <c r="Q691" s="52" t="s">
        <v>633</v>
      </c>
      <c r="R691" s="52" t="s">
        <v>634</v>
      </c>
      <c r="T691" s="52">
        <v>126890</v>
      </c>
      <c r="U691" s="52" t="s">
        <v>1285</v>
      </c>
      <c r="V691" s="52" t="s">
        <v>1286</v>
      </c>
      <c r="W691" s="52"/>
      <c r="X691" s="52"/>
      <c r="Y691" s="52"/>
      <c r="Z691" s="46" t="s">
        <v>1282</v>
      </c>
    </row>
    <row r="692" spans="1:26">
      <c r="A692" s="49">
        <v>44367</v>
      </c>
      <c r="B692" s="48">
        <v>202106201163</v>
      </c>
      <c r="C692" s="46" t="s">
        <v>3350</v>
      </c>
      <c r="D692" s="46" t="s">
        <v>3359</v>
      </c>
      <c r="E692" s="46" t="s">
        <v>1284</v>
      </c>
      <c r="F692" s="46" t="s">
        <v>3348</v>
      </c>
      <c r="G692" s="46" t="s">
        <v>633</v>
      </c>
      <c r="H692" s="47" t="s">
        <v>1506</v>
      </c>
      <c r="I692" s="46" t="s">
        <v>3166</v>
      </c>
      <c r="J692" s="46" t="s">
        <v>3160</v>
      </c>
      <c r="K692" s="46">
        <v>1</v>
      </c>
      <c r="L692" s="46">
        <v>290</v>
      </c>
      <c r="N692" s="46" t="s">
        <v>1505</v>
      </c>
      <c r="P692" s="52">
        <v>699</v>
      </c>
      <c r="Q692" s="52" t="s">
        <v>633</v>
      </c>
      <c r="R692" s="52" t="s">
        <v>634</v>
      </c>
      <c r="T692" s="52">
        <v>126890</v>
      </c>
      <c r="U692" s="52" t="s">
        <v>1285</v>
      </c>
      <c r="V692" s="52" t="s">
        <v>1286</v>
      </c>
      <c r="W692" s="52"/>
      <c r="X692" s="52"/>
      <c r="Y692" s="52"/>
      <c r="Z692" s="46" t="s">
        <v>1282</v>
      </c>
    </row>
    <row r="693" spans="1:26">
      <c r="A693" s="49">
        <v>44367</v>
      </c>
      <c r="B693" s="48">
        <v>202106201163</v>
      </c>
      <c r="C693" s="46" t="s">
        <v>3350</v>
      </c>
      <c r="D693" s="46" t="s">
        <v>3359</v>
      </c>
      <c r="E693" s="46" t="s">
        <v>1284</v>
      </c>
      <c r="F693" s="46" t="s">
        <v>3348</v>
      </c>
      <c r="G693" s="46" t="s">
        <v>633</v>
      </c>
      <c r="H693" s="47" t="s">
        <v>1508</v>
      </c>
      <c r="I693" s="46" t="s">
        <v>3166</v>
      </c>
      <c r="J693" s="46" t="s">
        <v>3160</v>
      </c>
      <c r="K693" s="46">
        <v>1</v>
      </c>
      <c r="L693" s="46">
        <v>290</v>
      </c>
      <c r="N693" s="46" t="s">
        <v>1507</v>
      </c>
      <c r="P693" s="52">
        <v>699</v>
      </c>
      <c r="Q693" s="52" t="s">
        <v>633</v>
      </c>
      <c r="R693" s="52" t="s">
        <v>634</v>
      </c>
      <c r="T693" s="52">
        <v>126890</v>
      </c>
      <c r="U693" s="52" t="s">
        <v>1285</v>
      </c>
      <c r="V693" s="52" t="s">
        <v>1286</v>
      </c>
      <c r="W693" s="52"/>
      <c r="X693" s="52"/>
      <c r="Y693" s="52"/>
      <c r="Z693" s="46" t="s">
        <v>1282</v>
      </c>
    </row>
    <row r="694" spans="1:26">
      <c r="A694" s="49">
        <v>44367</v>
      </c>
      <c r="B694" s="48">
        <v>202106201164</v>
      </c>
      <c r="C694" s="46" t="s">
        <v>3350</v>
      </c>
      <c r="D694" s="46" t="s">
        <v>3358</v>
      </c>
      <c r="E694" s="46" t="s">
        <v>382</v>
      </c>
      <c r="F694" s="46" t="s">
        <v>3348</v>
      </c>
      <c r="G694" s="46" t="s">
        <v>39</v>
      </c>
      <c r="H694" s="47" t="s">
        <v>1523</v>
      </c>
      <c r="I694" s="46" t="s">
        <v>3169</v>
      </c>
      <c r="J694" s="46" t="s">
        <v>3160</v>
      </c>
      <c r="K694" s="46">
        <v>1</v>
      </c>
      <c r="L694" s="46">
        <v>330</v>
      </c>
      <c r="N694" s="46" t="s">
        <v>1522</v>
      </c>
      <c r="P694" s="52">
        <v>1293</v>
      </c>
      <c r="Q694" s="52" t="s">
        <v>39</v>
      </c>
      <c r="R694" s="52" t="s">
        <v>40</v>
      </c>
      <c r="T694" s="52"/>
      <c r="U694" s="52"/>
      <c r="V694" s="52"/>
      <c r="W694" s="52">
        <v>604</v>
      </c>
      <c r="X694" s="52" t="s">
        <v>387</v>
      </c>
      <c r="Y694" s="52"/>
      <c r="Z694" s="46" t="s">
        <v>380</v>
      </c>
    </row>
    <row r="695" spans="1:26">
      <c r="A695" s="49">
        <v>44367</v>
      </c>
      <c r="B695" s="48">
        <v>202106201164</v>
      </c>
      <c r="C695" s="46" t="s">
        <v>3350</v>
      </c>
      <c r="D695" s="46" t="s">
        <v>3358</v>
      </c>
      <c r="E695" s="46" t="s">
        <v>382</v>
      </c>
      <c r="F695" s="46" t="s">
        <v>3348</v>
      </c>
      <c r="G695" s="46" t="s">
        <v>39</v>
      </c>
      <c r="H695" s="47" t="s">
        <v>1531</v>
      </c>
      <c r="I695" s="46" t="s">
        <v>3307</v>
      </c>
      <c r="J695" s="46" t="s">
        <v>3160</v>
      </c>
      <c r="K695" s="46">
        <v>1</v>
      </c>
      <c r="L695" s="46">
        <v>282</v>
      </c>
      <c r="N695" s="46" t="s">
        <v>1530</v>
      </c>
      <c r="P695" s="52">
        <v>1293</v>
      </c>
      <c r="Q695" s="52" t="s">
        <v>39</v>
      </c>
      <c r="R695" s="52" t="s">
        <v>40</v>
      </c>
      <c r="T695" s="52"/>
      <c r="U695" s="52"/>
      <c r="V695" s="52"/>
      <c r="W695" s="52">
        <v>604</v>
      </c>
      <c r="X695" s="52" t="s">
        <v>387</v>
      </c>
      <c r="Y695" s="52"/>
      <c r="Z695" s="46" t="s">
        <v>380</v>
      </c>
    </row>
    <row r="696" spans="1:26">
      <c r="A696" s="49">
        <v>44367</v>
      </c>
      <c r="B696" s="48">
        <v>202106201164</v>
      </c>
      <c r="C696" s="46" t="s">
        <v>3350</v>
      </c>
      <c r="D696" s="46" t="s">
        <v>3358</v>
      </c>
      <c r="E696" s="46" t="s">
        <v>382</v>
      </c>
      <c r="F696" s="46" t="s">
        <v>3348</v>
      </c>
      <c r="G696" s="46" t="s">
        <v>39</v>
      </c>
      <c r="H696" s="47" t="s">
        <v>1508</v>
      </c>
      <c r="I696" s="46" t="s">
        <v>3166</v>
      </c>
      <c r="J696" s="46" t="s">
        <v>3160</v>
      </c>
      <c r="K696" s="46">
        <v>1</v>
      </c>
      <c r="L696" s="46">
        <v>282</v>
      </c>
      <c r="N696" s="46" t="s">
        <v>1507</v>
      </c>
      <c r="P696" s="52">
        <v>1293</v>
      </c>
      <c r="Q696" s="52" t="s">
        <v>39</v>
      </c>
      <c r="R696" s="52" t="s">
        <v>40</v>
      </c>
      <c r="T696" s="52"/>
      <c r="U696" s="52"/>
      <c r="V696" s="52"/>
      <c r="W696" s="52">
        <v>604</v>
      </c>
      <c r="X696" s="52" t="s">
        <v>387</v>
      </c>
      <c r="Y696" s="52"/>
      <c r="Z696" s="46" t="s">
        <v>380</v>
      </c>
    </row>
    <row r="697" spans="1:26">
      <c r="A697" s="49">
        <v>44367</v>
      </c>
      <c r="B697" s="48">
        <v>202106201164</v>
      </c>
      <c r="C697" s="46" t="s">
        <v>3350</v>
      </c>
      <c r="D697" s="46" t="s">
        <v>3358</v>
      </c>
      <c r="E697" s="46" t="s">
        <v>382</v>
      </c>
      <c r="F697" s="46" t="s">
        <v>3348</v>
      </c>
      <c r="G697" s="46" t="s">
        <v>39</v>
      </c>
      <c r="H697" s="47">
        <v>4714781021777</v>
      </c>
      <c r="I697" s="46" t="s">
        <v>3169</v>
      </c>
      <c r="J697" s="46" t="s">
        <v>3160</v>
      </c>
      <c r="K697" s="46">
        <v>1</v>
      </c>
      <c r="L697" s="46">
        <v>399</v>
      </c>
      <c r="N697" s="46" t="s">
        <v>270</v>
      </c>
      <c r="P697" s="52">
        <v>1293</v>
      </c>
      <c r="Q697" s="52" t="s">
        <v>39</v>
      </c>
      <c r="R697" s="52" t="s">
        <v>40</v>
      </c>
      <c r="T697" s="52"/>
      <c r="U697" s="52"/>
      <c r="V697" s="52"/>
      <c r="W697" s="52">
        <v>604</v>
      </c>
      <c r="X697" s="52" t="s">
        <v>387</v>
      </c>
      <c r="Y697" s="52"/>
      <c r="Z697" s="46" t="s">
        <v>380</v>
      </c>
    </row>
    <row r="698" spans="1:26">
      <c r="A698" s="49">
        <v>44367</v>
      </c>
      <c r="B698" s="48">
        <v>202106201165</v>
      </c>
      <c r="C698" s="46" t="s">
        <v>3350</v>
      </c>
      <c r="D698" s="46" t="s">
        <v>3357</v>
      </c>
      <c r="E698" s="46" t="s">
        <v>1290</v>
      </c>
      <c r="F698" s="46" t="s">
        <v>3348</v>
      </c>
      <c r="G698" s="46" t="s">
        <v>633</v>
      </c>
      <c r="H698" s="47">
        <v>4714781021609</v>
      </c>
      <c r="I698" s="46" t="s">
        <v>3183</v>
      </c>
      <c r="J698" s="46" t="s">
        <v>3160</v>
      </c>
      <c r="K698" s="46">
        <v>2</v>
      </c>
      <c r="L698" s="46">
        <v>233</v>
      </c>
      <c r="N698" s="46" t="s">
        <v>1454</v>
      </c>
      <c r="P698" s="52">
        <v>799</v>
      </c>
      <c r="Q698" s="52" t="s">
        <v>633</v>
      </c>
      <c r="R698" s="52" t="s">
        <v>634</v>
      </c>
      <c r="T698" s="52">
        <v>956835</v>
      </c>
      <c r="U698" s="52" t="s">
        <v>1291</v>
      </c>
      <c r="V698" s="52" t="s">
        <v>1292</v>
      </c>
      <c r="W698" s="52"/>
      <c r="X698" s="52"/>
      <c r="Y698" s="52"/>
      <c r="Z698" s="46" t="s">
        <v>1288</v>
      </c>
    </row>
    <row r="699" spans="1:26">
      <c r="A699" s="49">
        <v>44367</v>
      </c>
      <c r="B699" s="48">
        <v>202106201165</v>
      </c>
      <c r="C699" s="46" t="s">
        <v>3350</v>
      </c>
      <c r="D699" s="46" t="s">
        <v>3357</v>
      </c>
      <c r="E699" s="46" t="s">
        <v>1290</v>
      </c>
      <c r="F699" s="46" t="s">
        <v>3348</v>
      </c>
      <c r="G699" s="46" t="s">
        <v>633</v>
      </c>
      <c r="H699" s="47">
        <v>4714781021593</v>
      </c>
      <c r="I699" s="46" t="s">
        <v>3183</v>
      </c>
      <c r="J699" s="46" t="s">
        <v>3160</v>
      </c>
      <c r="K699" s="46">
        <v>1</v>
      </c>
      <c r="L699" s="46">
        <v>116</v>
      </c>
      <c r="N699" s="46" t="s">
        <v>1453</v>
      </c>
      <c r="P699" s="52">
        <v>799</v>
      </c>
      <c r="Q699" s="52" t="s">
        <v>633</v>
      </c>
      <c r="R699" s="52" t="s">
        <v>634</v>
      </c>
      <c r="T699" s="52">
        <v>956835</v>
      </c>
      <c r="U699" s="52" t="s">
        <v>1291</v>
      </c>
      <c r="V699" s="52" t="s">
        <v>1292</v>
      </c>
      <c r="W699" s="52"/>
      <c r="X699" s="52"/>
      <c r="Y699" s="52"/>
      <c r="Z699" s="46" t="s">
        <v>1288</v>
      </c>
    </row>
    <row r="700" spans="1:26">
      <c r="A700" s="49">
        <v>44367</v>
      </c>
      <c r="B700" s="48">
        <v>202106201165</v>
      </c>
      <c r="C700" s="46" t="s">
        <v>3350</v>
      </c>
      <c r="D700" s="46" t="s">
        <v>3357</v>
      </c>
      <c r="E700" s="46" t="s">
        <v>1290</v>
      </c>
      <c r="F700" s="46" t="s">
        <v>3348</v>
      </c>
      <c r="G700" s="46" t="s">
        <v>633</v>
      </c>
      <c r="H700" s="47" t="s">
        <v>1517</v>
      </c>
      <c r="I700" s="46" t="s">
        <v>3295</v>
      </c>
      <c r="J700" s="46" t="s">
        <v>3160</v>
      </c>
      <c r="K700" s="46">
        <v>2</v>
      </c>
      <c r="L700" s="46">
        <v>300</v>
      </c>
      <c r="N700" s="46" t="s">
        <v>1516</v>
      </c>
      <c r="P700" s="52">
        <v>799</v>
      </c>
      <c r="Q700" s="52" t="s">
        <v>633</v>
      </c>
      <c r="R700" s="52" t="s">
        <v>634</v>
      </c>
      <c r="T700" s="52">
        <v>956835</v>
      </c>
      <c r="U700" s="52" t="s">
        <v>1291</v>
      </c>
      <c r="V700" s="52" t="s">
        <v>1292</v>
      </c>
      <c r="W700" s="52"/>
      <c r="X700" s="52"/>
      <c r="Y700" s="52"/>
      <c r="Z700" s="46" t="s">
        <v>1288</v>
      </c>
    </row>
    <row r="701" spans="1:26">
      <c r="A701" s="49">
        <v>44367</v>
      </c>
      <c r="B701" s="48">
        <v>202106201165</v>
      </c>
      <c r="C701" s="46" t="s">
        <v>3350</v>
      </c>
      <c r="D701" s="46" t="s">
        <v>3357</v>
      </c>
      <c r="E701" s="46" t="s">
        <v>1290</v>
      </c>
      <c r="F701" s="46" t="s">
        <v>3348</v>
      </c>
      <c r="G701" s="46" t="s">
        <v>633</v>
      </c>
      <c r="H701" s="47" t="s">
        <v>1514</v>
      </c>
      <c r="I701" s="46" t="s">
        <v>3295</v>
      </c>
      <c r="J701" s="46" t="s">
        <v>3160</v>
      </c>
      <c r="K701" s="46">
        <v>1</v>
      </c>
      <c r="L701" s="46">
        <v>150</v>
      </c>
      <c r="N701" s="46" t="s">
        <v>1513</v>
      </c>
      <c r="P701" s="52">
        <v>799</v>
      </c>
      <c r="Q701" s="52" t="s">
        <v>633</v>
      </c>
      <c r="R701" s="52" t="s">
        <v>634</v>
      </c>
      <c r="T701" s="52">
        <v>956835</v>
      </c>
      <c r="U701" s="52" t="s">
        <v>1291</v>
      </c>
      <c r="V701" s="52" t="s">
        <v>1292</v>
      </c>
      <c r="W701" s="52"/>
      <c r="X701" s="52"/>
      <c r="Y701" s="52"/>
      <c r="Z701" s="46" t="s">
        <v>1288</v>
      </c>
    </row>
    <row r="702" spans="1:26">
      <c r="A702" s="49">
        <v>44367</v>
      </c>
      <c r="B702" s="48">
        <v>202106201166</v>
      </c>
      <c r="C702" s="46" t="s">
        <v>3350</v>
      </c>
      <c r="D702" s="46" t="s">
        <v>3356</v>
      </c>
      <c r="E702" s="46" t="s">
        <v>1296</v>
      </c>
      <c r="F702" s="46" t="s">
        <v>3348</v>
      </c>
      <c r="G702" s="46" t="s">
        <v>633</v>
      </c>
      <c r="H702" s="47">
        <v>4714781021609</v>
      </c>
      <c r="I702" s="46" t="s">
        <v>3183</v>
      </c>
      <c r="J702" s="46" t="s">
        <v>3160</v>
      </c>
      <c r="K702" s="46">
        <v>1</v>
      </c>
      <c r="L702" s="46">
        <v>133</v>
      </c>
      <c r="N702" s="46" t="s">
        <v>1454</v>
      </c>
      <c r="P702" s="52">
        <v>797</v>
      </c>
      <c r="Q702" s="52" t="s">
        <v>633</v>
      </c>
      <c r="R702" s="52" t="s">
        <v>634</v>
      </c>
      <c r="T702" s="52">
        <v>124540</v>
      </c>
      <c r="U702" s="52" t="s">
        <v>1297</v>
      </c>
      <c r="V702" s="52" t="s">
        <v>1298</v>
      </c>
      <c r="W702" s="52"/>
      <c r="X702" s="52"/>
      <c r="Y702" s="52"/>
      <c r="Z702" s="46" t="s">
        <v>1294</v>
      </c>
    </row>
    <row r="703" spans="1:26">
      <c r="A703" s="49">
        <v>44367</v>
      </c>
      <c r="B703" s="48">
        <v>202106201166</v>
      </c>
      <c r="C703" s="46" t="s">
        <v>3350</v>
      </c>
      <c r="D703" s="46" t="s">
        <v>3356</v>
      </c>
      <c r="E703" s="46" t="s">
        <v>1296</v>
      </c>
      <c r="F703" s="46" t="s">
        <v>3348</v>
      </c>
      <c r="G703" s="46" t="s">
        <v>633</v>
      </c>
      <c r="H703" s="47">
        <v>4714781021593</v>
      </c>
      <c r="I703" s="46" t="s">
        <v>3183</v>
      </c>
      <c r="J703" s="46" t="s">
        <v>3160</v>
      </c>
      <c r="K703" s="46">
        <v>1</v>
      </c>
      <c r="L703" s="46">
        <v>133</v>
      </c>
      <c r="N703" s="46" t="s">
        <v>1453</v>
      </c>
      <c r="P703" s="52">
        <v>797</v>
      </c>
      <c r="Q703" s="52" t="s">
        <v>633</v>
      </c>
      <c r="R703" s="52" t="s">
        <v>634</v>
      </c>
      <c r="T703" s="52">
        <v>124540</v>
      </c>
      <c r="U703" s="52" t="s">
        <v>1297</v>
      </c>
      <c r="V703" s="52" t="s">
        <v>1298</v>
      </c>
      <c r="W703" s="52"/>
      <c r="X703" s="52"/>
      <c r="Y703" s="52"/>
      <c r="Z703" s="46" t="s">
        <v>1294</v>
      </c>
    </row>
    <row r="704" spans="1:26">
      <c r="A704" s="49">
        <v>44367</v>
      </c>
      <c r="B704" s="48">
        <v>202106201166</v>
      </c>
      <c r="C704" s="46" t="s">
        <v>3350</v>
      </c>
      <c r="D704" s="46" t="s">
        <v>3356</v>
      </c>
      <c r="E704" s="46" t="s">
        <v>1296</v>
      </c>
      <c r="F704" s="46" t="s">
        <v>3348</v>
      </c>
      <c r="G704" s="46" t="s">
        <v>633</v>
      </c>
      <c r="H704" s="47">
        <v>4714781021029</v>
      </c>
      <c r="I704" s="46" t="s">
        <v>3234</v>
      </c>
      <c r="J704" s="46" t="s">
        <v>3160</v>
      </c>
      <c r="K704" s="46">
        <v>1</v>
      </c>
      <c r="L704" s="46">
        <v>133</v>
      </c>
      <c r="N704" s="46" t="s">
        <v>1452</v>
      </c>
      <c r="P704" s="52">
        <v>797</v>
      </c>
      <c r="Q704" s="52" t="s">
        <v>633</v>
      </c>
      <c r="R704" s="52" t="s">
        <v>634</v>
      </c>
      <c r="T704" s="52">
        <v>124540</v>
      </c>
      <c r="U704" s="52" t="s">
        <v>1297</v>
      </c>
      <c r="V704" s="52" t="s">
        <v>1298</v>
      </c>
      <c r="W704" s="52"/>
      <c r="X704" s="52"/>
      <c r="Y704" s="52"/>
      <c r="Z704" s="46" t="s">
        <v>1294</v>
      </c>
    </row>
    <row r="705" spans="1:26">
      <c r="A705" s="49">
        <v>44367</v>
      </c>
      <c r="B705" s="48">
        <v>202106201166</v>
      </c>
      <c r="C705" s="46" t="s">
        <v>3350</v>
      </c>
      <c r="D705" s="46" t="s">
        <v>3356</v>
      </c>
      <c r="E705" s="46" t="s">
        <v>1296</v>
      </c>
      <c r="F705" s="46" t="s">
        <v>3348</v>
      </c>
      <c r="G705" s="46" t="s">
        <v>633</v>
      </c>
      <c r="H705" s="47">
        <v>4714781020787</v>
      </c>
      <c r="I705" s="46" t="s">
        <v>3273</v>
      </c>
      <c r="J705" s="46" t="s">
        <v>3160</v>
      </c>
      <c r="K705" s="46">
        <v>2</v>
      </c>
      <c r="L705" s="46">
        <v>270</v>
      </c>
      <c r="N705" s="46" t="s">
        <v>95</v>
      </c>
      <c r="P705" s="52">
        <v>797</v>
      </c>
      <c r="Q705" s="52" t="s">
        <v>633</v>
      </c>
      <c r="R705" s="52" t="s">
        <v>634</v>
      </c>
      <c r="T705" s="52">
        <v>124540</v>
      </c>
      <c r="U705" s="52" t="s">
        <v>1297</v>
      </c>
      <c r="V705" s="52" t="s">
        <v>1298</v>
      </c>
      <c r="W705" s="52"/>
      <c r="X705" s="52"/>
      <c r="Y705" s="52"/>
      <c r="Z705" s="46" t="s">
        <v>1294</v>
      </c>
    </row>
    <row r="706" spans="1:26">
      <c r="A706" s="49">
        <v>44367</v>
      </c>
      <c r="B706" s="48">
        <v>202106201166</v>
      </c>
      <c r="C706" s="46" t="s">
        <v>3350</v>
      </c>
      <c r="D706" s="46" t="s">
        <v>3356</v>
      </c>
      <c r="E706" s="46" t="s">
        <v>1296</v>
      </c>
      <c r="F706" s="46" t="s">
        <v>3348</v>
      </c>
      <c r="G706" s="46" t="s">
        <v>633</v>
      </c>
      <c r="H706" s="47">
        <v>4714781020817</v>
      </c>
      <c r="I706" s="46" t="s">
        <v>3223</v>
      </c>
      <c r="J706" s="46" t="s">
        <v>3160</v>
      </c>
      <c r="K706" s="46">
        <v>1</v>
      </c>
      <c r="L706" s="46">
        <v>128</v>
      </c>
      <c r="N706" s="46" t="s">
        <v>347</v>
      </c>
      <c r="P706" s="52">
        <v>797</v>
      </c>
      <c r="Q706" s="52" t="s">
        <v>633</v>
      </c>
      <c r="R706" s="52" t="s">
        <v>634</v>
      </c>
      <c r="T706" s="52">
        <v>124540</v>
      </c>
      <c r="U706" s="52" t="s">
        <v>1297</v>
      </c>
      <c r="V706" s="52" t="s">
        <v>1298</v>
      </c>
      <c r="W706" s="52"/>
      <c r="X706" s="52"/>
      <c r="Y706" s="52"/>
      <c r="Z706" s="46" t="s">
        <v>1294</v>
      </c>
    </row>
    <row r="707" spans="1:26">
      <c r="A707" s="49">
        <v>44367</v>
      </c>
      <c r="B707" s="48">
        <v>202106201167</v>
      </c>
      <c r="C707" s="46" t="s">
        <v>3350</v>
      </c>
      <c r="D707" s="46" t="s">
        <v>3355</v>
      </c>
      <c r="E707" s="46" t="s">
        <v>370</v>
      </c>
      <c r="F707" s="46" t="s">
        <v>3348</v>
      </c>
      <c r="G707" s="46" t="s">
        <v>39</v>
      </c>
      <c r="H707" s="47">
        <v>4714781024716</v>
      </c>
      <c r="I707" s="46" t="s">
        <v>3166</v>
      </c>
      <c r="J707" s="46" t="s">
        <v>3160</v>
      </c>
      <c r="K707" s="46">
        <v>1</v>
      </c>
      <c r="L707" s="46">
        <v>245</v>
      </c>
      <c r="N707" s="46" t="s">
        <v>372</v>
      </c>
      <c r="P707" s="52">
        <v>1024</v>
      </c>
      <c r="Q707" s="52" t="s">
        <v>39</v>
      </c>
      <c r="R707" s="52" t="s">
        <v>40</v>
      </c>
      <c r="T707" s="52"/>
      <c r="U707" s="52"/>
      <c r="V707" s="52"/>
      <c r="W707" s="52">
        <v>407</v>
      </c>
      <c r="X707" s="52" t="s">
        <v>374</v>
      </c>
      <c r="Y707" s="52"/>
      <c r="Z707" s="46" t="s">
        <v>368</v>
      </c>
    </row>
    <row r="708" spans="1:26">
      <c r="A708" s="49">
        <v>44367</v>
      </c>
      <c r="B708" s="48">
        <v>202106201167</v>
      </c>
      <c r="C708" s="46" t="s">
        <v>3350</v>
      </c>
      <c r="D708" s="46" t="s">
        <v>3355</v>
      </c>
      <c r="E708" s="46" t="s">
        <v>370</v>
      </c>
      <c r="F708" s="46" t="s">
        <v>3348</v>
      </c>
      <c r="G708" s="46" t="s">
        <v>39</v>
      </c>
      <c r="H708" s="47">
        <v>4714781024730</v>
      </c>
      <c r="I708" s="46" t="s">
        <v>3166</v>
      </c>
      <c r="J708" s="46" t="s">
        <v>3160</v>
      </c>
      <c r="K708" s="46">
        <v>1</v>
      </c>
      <c r="L708" s="46">
        <v>299</v>
      </c>
      <c r="N708" s="46" t="s">
        <v>263</v>
      </c>
      <c r="P708" s="52">
        <v>1024</v>
      </c>
      <c r="Q708" s="52" t="s">
        <v>39</v>
      </c>
      <c r="R708" s="52" t="s">
        <v>40</v>
      </c>
      <c r="T708" s="52"/>
      <c r="U708" s="52"/>
      <c r="V708" s="52"/>
      <c r="W708" s="52">
        <v>407</v>
      </c>
      <c r="X708" s="52" t="s">
        <v>374</v>
      </c>
      <c r="Y708" s="52"/>
      <c r="Z708" s="46" t="s">
        <v>368</v>
      </c>
    </row>
    <row r="709" spans="1:26">
      <c r="A709" s="49">
        <v>44367</v>
      </c>
      <c r="B709" s="48">
        <v>202106201167</v>
      </c>
      <c r="C709" s="46" t="s">
        <v>3350</v>
      </c>
      <c r="D709" s="46" t="s">
        <v>3355</v>
      </c>
      <c r="E709" s="46" t="s">
        <v>370</v>
      </c>
      <c r="F709" s="46" t="s">
        <v>3348</v>
      </c>
      <c r="G709" s="46" t="s">
        <v>39</v>
      </c>
      <c r="H709" s="47" t="s">
        <v>1486</v>
      </c>
      <c r="I709" s="46" t="s">
        <v>3253</v>
      </c>
      <c r="J709" s="46" t="s">
        <v>3160</v>
      </c>
      <c r="K709" s="46">
        <v>1</v>
      </c>
      <c r="L709" s="46">
        <v>340</v>
      </c>
      <c r="N709" s="46" t="s">
        <v>1485</v>
      </c>
      <c r="P709" s="52">
        <v>1024</v>
      </c>
      <c r="Q709" s="52" t="s">
        <v>39</v>
      </c>
      <c r="R709" s="52" t="s">
        <v>40</v>
      </c>
      <c r="T709" s="52"/>
      <c r="U709" s="52"/>
      <c r="V709" s="52"/>
      <c r="W709" s="52">
        <v>407</v>
      </c>
      <c r="X709" s="52" t="s">
        <v>374</v>
      </c>
      <c r="Y709" s="52"/>
      <c r="Z709" s="46" t="s">
        <v>368</v>
      </c>
    </row>
    <row r="710" spans="1:26">
      <c r="A710" s="49">
        <v>44367</v>
      </c>
      <c r="B710" s="48">
        <v>202106201167</v>
      </c>
      <c r="C710" s="46" t="s">
        <v>3350</v>
      </c>
      <c r="D710" s="46" t="s">
        <v>3355</v>
      </c>
      <c r="E710" s="46" t="s">
        <v>370</v>
      </c>
      <c r="F710" s="46" t="s">
        <v>3348</v>
      </c>
      <c r="G710" s="46" t="s">
        <v>39</v>
      </c>
      <c r="H710" s="47" t="s">
        <v>1493</v>
      </c>
      <c r="I710" s="46" t="s">
        <v>3276</v>
      </c>
      <c r="J710" s="46" t="s">
        <v>3160</v>
      </c>
      <c r="K710" s="46">
        <v>1</v>
      </c>
      <c r="L710" s="46">
        <v>140</v>
      </c>
      <c r="N710" s="46" t="s">
        <v>1492</v>
      </c>
      <c r="P710" s="52">
        <v>1024</v>
      </c>
      <c r="Q710" s="52" t="s">
        <v>39</v>
      </c>
      <c r="R710" s="52" t="s">
        <v>40</v>
      </c>
      <c r="T710" s="52"/>
      <c r="U710" s="52"/>
      <c r="V710" s="52"/>
      <c r="W710" s="52">
        <v>407</v>
      </c>
      <c r="X710" s="52" t="s">
        <v>374</v>
      </c>
      <c r="Y710" s="52"/>
      <c r="Z710" s="46" t="s">
        <v>368</v>
      </c>
    </row>
    <row r="711" spans="1:26">
      <c r="A711" s="49">
        <v>44368</v>
      </c>
      <c r="B711" s="48">
        <v>202106211168</v>
      </c>
      <c r="C711" s="46" t="s">
        <v>3350</v>
      </c>
      <c r="D711" s="46" t="s">
        <v>3354</v>
      </c>
      <c r="E711" s="46" t="s">
        <v>1302</v>
      </c>
      <c r="F711" s="46" t="s">
        <v>3348</v>
      </c>
      <c r="G711" s="46" t="s">
        <v>633</v>
      </c>
      <c r="H711" s="47">
        <v>4714781020770</v>
      </c>
      <c r="I711" s="46" t="s">
        <v>3276</v>
      </c>
      <c r="J711" s="46" t="s">
        <v>3160</v>
      </c>
      <c r="K711" s="46">
        <v>1</v>
      </c>
      <c r="L711" s="46">
        <v>149</v>
      </c>
      <c r="N711" s="46" t="s">
        <v>349</v>
      </c>
      <c r="P711" s="52">
        <v>998</v>
      </c>
      <c r="Q711" s="52" t="s">
        <v>633</v>
      </c>
      <c r="R711" s="52" t="s">
        <v>634</v>
      </c>
      <c r="T711" s="52">
        <v>120489</v>
      </c>
      <c r="U711" s="52" t="s">
        <v>1303</v>
      </c>
      <c r="V711" s="52" t="s">
        <v>1304</v>
      </c>
      <c r="W711" s="52"/>
      <c r="X711" s="52"/>
      <c r="Y711" s="52"/>
      <c r="Z711" s="46" t="s">
        <v>1300</v>
      </c>
    </row>
    <row r="712" spans="1:26">
      <c r="A712" s="49">
        <v>44368</v>
      </c>
      <c r="B712" s="48">
        <v>202106211168</v>
      </c>
      <c r="C712" s="46" t="s">
        <v>3350</v>
      </c>
      <c r="D712" s="46" t="s">
        <v>3354</v>
      </c>
      <c r="E712" s="46" t="s">
        <v>1302</v>
      </c>
      <c r="F712" s="46" t="s">
        <v>3348</v>
      </c>
      <c r="G712" s="46" t="s">
        <v>633</v>
      </c>
      <c r="H712" s="47">
        <v>4714781021609</v>
      </c>
      <c r="I712" s="46" t="s">
        <v>3183</v>
      </c>
      <c r="J712" s="46" t="s">
        <v>3160</v>
      </c>
      <c r="K712" s="46">
        <v>1</v>
      </c>
      <c r="L712" s="46">
        <v>133</v>
      </c>
      <c r="N712" s="46" t="s">
        <v>1454</v>
      </c>
      <c r="P712" s="52">
        <v>998</v>
      </c>
      <c r="Q712" s="52" t="s">
        <v>633</v>
      </c>
      <c r="R712" s="52" t="s">
        <v>634</v>
      </c>
      <c r="T712" s="52">
        <v>120489</v>
      </c>
      <c r="U712" s="52" t="s">
        <v>1303</v>
      </c>
      <c r="V712" s="52" t="s">
        <v>1304</v>
      </c>
      <c r="W712" s="52"/>
      <c r="X712" s="52"/>
      <c r="Y712" s="52"/>
      <c r="Z712" s="46" t="s">
        <v>1300</v>
      </c>
    </row>
    <row r="713" spans="1:26">
      <c r="A713" s="49">
        <v>44368</v>
      </c>
      <c r="B713" s="48">
        <v>202106211168</v>
      </c>
      <c r="C713" s="46" t="s">
        <v>3350</v>
      </c>
      <c r="D713" s="46" t="s">
        <v>3354</v>
      </c>
      <c r="E713" s="46" t="s">
        <v>1302</v>
      </c>
      <c r="F713" s="46" t="s">
        <v>3348</v>
      </c>
      <c r="G713" s="46" t="s">
        <v>633</v>
      </c>
      <c r="H713" s="47">
        <v>4714781021593</v>
      </c>
      <c r="I713" s="46" t="s">
        <v>3183</v>
      </c>
      <c r="J713" s="46" t="s">
        <v>3160</v>
      </c>
      <c r="K713" s="46">
        <v>1</v>
      </c>
      <c r="L713" s="46">
        <v>133</v>
      </c>
      <c r="N713" s="46" t="s">
        <v>1453</v>
      </c>
      <c r="P713" s="52">
        <v>998</v>
      </c>
      <c r="Q713" s="52" t="s">
        <v>633</v>
      </c>
      <c r="R713" s="52" t="s">
        <v>634</v>
      </c>
      <c r="T713" s="52">
        <v>120489</v>
      </c>
      <c r="U713" s="52" t="s">
        <v>1303</v>
      </c>
      <c r="V713" s="52" t="s">
        <v>1304</v>
      </c>
      <c r="W713" s="52"/>
      <c r="X713" s="52"/>
      <c r="Y713" s="52"/>
      <c r="Z713" s="46" t="s">
        <v>1300</v>
      </c>
    </row>
    <row r="714" spans="1:26">
      <c r="A714" s="49">
        <v>44368</v>
      </c>
      <c r="B714" s="48">
        <v>202106211168</v>
      </c>
      <c r="C714" s="46" t="s">
        <v>3350</v>
      </c>
      <c r="D714" s="46" t="s">
        <v>3354</v>
      </c>
      <c r="E714" s="46" t="s">
        <v>1302</v>
      </c>
      <c r="F714" s="46" t="s">
        <v>3348</v>
      </c>
      <c r="G714" s="46" t="s">
        <v>633</v>
      </c>
      <c r="H714" s="47">
        <v>4714781021029</v>
      </c>
      <c r="I714" s="46" t="s">
        <v>3234</v>
      </c>
      <c r="J714" s="46" t="s">
        <v>3160</v>
      </c>
      <c r="K714" s="46">
        <v>1</v>
      </c>
      <c r="L714" s="46">
        <v>133</v>
      </c>
      <c r="N714" s="46" t="s">
        <v>1452</v>
      </c>
      <c r="P714" s="52">
        <v>998</v>
      </c>
      <c r="Q714" s="52" t="s">
        <v>633</v>
      </c>
      <c r="R714" s="52" t="s">
        <v>634</v>
      </c>
      <c r="T714" s="52">
        <v>120489</v>
      </c>
      <c r="U714" s="52" t="s">
        <v>1303</v>
      </c>
      <c r="V714" s="52" t="s">
        <v>1304</v>
      </c>
      <c r="W714" s="52"/>
      <c r="X714" s="52"/>
      <c r="Y714" s="52"/>
      <c r="Z714" s="46" t="s">
        <v>1300</v>
      </c>
    </row>
    <row r="715" spans="1:26">
      <c r="A715" s="49">
        <v>44368</v>
      </c>
      <c r="B715" s="48">
        <v>202106211168</v>
      </c>
      <c r="C715" s="46" t="s">
        <v>3350</v>
      </c>
      <c r="D715" s="46" t="s">
        <v>3354</v>
      </c>
      <c r="E715" s="46" t="s">
        <v>1302</v>
      </c>
      <c r="F715" s="46" t="s">
        <v>3348</v>
      </c>
      <c r="G715" s="46" t="s">
        <v>633</v>
      </c>
      <c r="H715" s="47" t="s">
        <v>1512</v>
      </c>
      <c r="I715" s="46" t="s">
        <v>3194</v>
      </c>
      <c r="J715" s="46" t="s">
        <v>3160</v>
      </c>
      <c r="K715" s="46">
        <v>1</v>
      </c>
      <c r="L715" s="46">
        <v>150</v>
      </c>
      <c r="N715" s="46" t="s">
        <v>1511</v>
      </c>
      <c r="P715" s="52">
        <v>998</v>
      </c>
      <c r="Q715" s="52" t="s">
        <v>633</v>
      </c>
      <c r="R715" s="52" t="s">
        <v>634</v>
      </c>
      <c r="T715" s="52">
        <v>120489</v>
      </c>
      <c r="U715" s="52" t="s">
        <v>1303</v>
      </c>
      <c r="V715" s="52" t="s">
        <v>1304</v>
      </c>
      <c r="W715" s="52"/>
      <c r="X715" s="52"/>
      <c r="Y715" s="52"/>
      <c r="Z715" s="46" t="s">
        <v>1300</v>
      </c>
    </row>
    <row r="716" spans="1:26">
      <c r="A716" s="49">
        <v>44368</v>
      </c>
      <c r="B716" s="48">
        <v>202106211168</v>
      </c>
      <c r="C716" s="46" t="s">
        <v>3350</v>
      </c>
      <c r="D716" s="46" t="s">
        <v>3354</v>
      </c>
      <c r="E716" s="46" t="s">
        <v>1302</v>
      </c>
      <c r="F716" s="46" t="s">
        <v>3348</v>
      </c>
      <c r="G716" s="46" t="s">
        <v>633</v>
      </c>
      <c r="H716" s="47" t="s">
        <v>1517</v>
      </c>
      <c r="I716" s="46" t="s">
        <v>3295</v>
      </c>
      <c r="J716" s="46" t="s">
        <v>3160</v>
      </c>
      <c r="K716" s="46">
        <v>1</v>
      </c>
      <c r="L716" s="46">
        <v>150</v>
      </c>
      <c r="N716" s="46" t="s">
        <v>1516</v>
      </c>
      <c r="P716" s="52">
        <v>998</v>
      </c>
      <c r="Q716" s="52" t="s">
        <v>633</v>
      </c>
      <c r="R716" s="52" t="s">
        <v>634</v>
      </c>
      <c r="T716" s="52">
        <v>120489</v>
      </c>
      <c r="U716" s="52" t="s">
        <v>1303</v>
      </c>
      <c r="V716" s="52" t="s">
        <v>1304</v>
      </c>
      <c r="W716" s="52"/>
      <c r="X716" s="52"/>
      <c r="Y716" s="52"/>
      <c r="Z716" s="46" t="s">
        <v>1300</v>
      </c>
    </row>
    <row r="717" spans="1:26">
      <c r="A717" s="49">
        <v>44368</v>
      </c>
      <c r="B717" s="48">
        <v>202106211168</v>
      </c>
      <c r="C717" s="46" t="s">
        <v>3350</v>
      </c>
      <c r="D717" s="46" t="s">
        <v>3354</v>
      </c>
      <c r="E717" s="46" t="s">
        <v>1302</v>
      </c>
      <c r="F717" s="46" t="s">
        <v>3348</v>
      </c>
      <c r="G717" s="46" t="s">
        <v>633</v>
      </c>
      <c r="H717" s="47" t="s">
        <v>1514</v>
      </c>
      <c r="I717" s="46" t="s">
        <v>3295</v>
      </c>
      <c r="J717" s="46" t="s">
        <v>3160</v>
      </c>
      <c r="K717" s="46">
        <v>1</v>
      </c>
      <c r="L717" s="46">
        <v>150</v>
      </c>
      <c r="N717" s="46" t="s">
        <v>1513</v>
      </c>
      <c r="P717" s="52">
        <v>998</v>
      </c>
      <c r="Q717" s="52" t="s">
        <v>633</v>
      </c>
      <c r="R717" s="52" t="s">
        <v>634</v>
      </c>
      <c r="T717" s="52">
        <v>120489</v>
      </c>
      <c r="U717" s="52" t="s">
        <v>1303</v>
      </c>
      <c r="V717" s="52" t="s">
        <v>1304</v>
      </c>
      <c r="W717" s="52"/>
      <c r="X717" s="52"/>
      <c r="Y717" s="52"/>
      <c r="Z717" s="46" t="s">
        <v>1300</v>
      </c>
    </row>
    <row r="718" spans="1:26">
      <c r="A718" s="49">
        <v>44368</v>
      </c>
      <c r="B718" s="48">
        <v>202106211169</v>
      </c>
      <c r="C718" s="46" t="s">
        <v>3350</v>
      </c>
      <c r="D718" s="46" t="s">
        <v>3353</v>
      </c>
      <c r="E718" s="46" t="s">
        <v>365</v>
      </c>
      <c r="F718" s="46" t="s">
        <v>3348</v>
      </c>
      <c r="G718" s="46" t="s">
        <v>39</v>
      </c>
      <c r="H718" s="47">
        <v>4714781021609</v>
      </c>
      <c r="I718" s="46" t="s">
        <v>3183</v>
      </c>
      <c r="J718" s="46" t="s">
        <v>3160</v>
      </c>
      <c r="K718" s="46">
        <v>3</v>
      </c>
      <c r="L718" s="46">
        <v>399</v>
      </c>
      <c r="N718" s="46" t="s">
        <v>1454</v>
      </c>
      <c r="P718" s="52">
        <v>627</v>
      </c>
      <c r="Q718" s="52" t="s">
        <v>39</v>
      </c>
      <c r="R718" s="52" t="s">
        <v>59</v>
      </c>
      <c r="T718" s="52"/>
      <c r="U718" s="52"/>
      <c r="V718" s="52"/>
      <c r="W718" s="52">
        <v>950</v>
      </c>
      <c r="X718" s="52" t="s">
        <v>366</v>
      </c>
      <c r="Y718" s="52"/>
      <c r="Z718" s="46" t="s">
        <v>363</v>
      </c>
    </row>
    <row r="719" spans="1:26">
      <c r="A719" s="49">
        <v>44368</v>
      </c>
      <c r="B719" s="48">
        <v>202106211169</v>
      </c>
      <c r="C719" s="46" t="s">
        <v>3350</v>
      </c>
      <c r="D719" s="46" t="s">
        <v>3353</v>
      </c>
      <c r="E719" s="46" t="s">
        <v>365</v>
      </c>
      <c r="F719" s="46" t="s">
        <v>3348</v>
      </c>
      <c r="G719" s="46" t="s">
        <v>39</v>
      </c>
      <c r="H719" s="47">
        <v>4714781020503</v>
      </c>
      <c r="I719" s="46" t="s">
        <v>3295</v>
      </c>
      <c r="J719" s="46" t="s">
        <v>3160</v>
      </c>
      <c r="K719" s="46">
        <v>1</v>
      </c>
      <c r="L719" s="46">
        <v>168</v>
      </c>
      <c r="N719" s="46" t="s">
        <v>351</v>
      </c>
      <c r="P719" s="52">
        <v>627</v>
      </c>
      <c r="Q719" s="52" t="s">
        <v>39</v>
      </c>
      <c r="R719" s="52" t="s">
        <v>59</v>
      </c>
      <c r="T719" s="52"/>
      <c r="U719" s="52"/>
      <c r="V719" s="52"/>
      <c r="W719" s="52">
        <v>950</v>
      </c>
      <c r="X719" s="52" t="s">
        <v>366</v>
      </c>
      <c r="Y719" s="52"/>
      <c r="Z719" s="46" t="s">
        <v>363</v>
      </c>
    </row>
    <row r="720" spans="1:26">
      <c r="A720" s="49">
        <v>44368</v>
      </c>
      <c r="B720" s="48">
        <v>202106211169</v>
      </c>
      <c r="C720" s="46" t="s">
        <v>3350</v>
      </c>
      <c r="D720" s="46" t="s">
        <v>3353</v>
      </c>
      <c r="E720" s="46" t="s">
        <v>365</v>
      </c>
      <c r="F720" s="46" t="s">
        <v>3348</v>
      </c>
      <c r="G720" s="46" t="s">
        <v>39</v>
      </c>
      <c r="H720" s="47" t="s">
        <v>3347</v>
      </c>
      <c r="J720" s="46" t="s">
        <v>3346</v>
      </c>
      <c r="K720" s="46">
        <v>1</v>
      </c>
      <c r="L720" s="46">
        <v>60</v>
      </c>
      <c r="P720" s="52"/>
      <c r="Q720" s="52"/>
      <c r="R720" s="52"/>
      <c r="T720" s="52"/>
      <c r="U720" s="52"/>
      <c r="V720" s="52"/>
      <c r="W720" s="52"/>
      <c r="X720" s="52"/>
      <c r="Y720" s="52"/>
    </row>
    <row r="721" spans="1:26">
      <c r="A721" s="49">
        <v>44368</v>
      </c>
      <c r="B721" s="48">
        <v>202106211170</v>
      </c>
      <c r="C721" s="46" t="s">
        <v>3350</v>
      </c>
      <c r="D721" s="46" t="s">
        <v>3352</v>
      </c>
      <c r="E721" s="46" t="s">
        <v>1308</v>
      </c>
      <c r="F721" s="46" t="s">
        <v>3348</v>
      </c>
      <c r="G721" s="46" t="s">
        <v>633</v>
      </c>
      <c r="H721" s="47">
        <v>4714781020268</v>
      </c>
      <c r="I721" s="46" t="s">
        <v>3309</v>
      </c>
      <c r="J721" s="46" t="s">
        <v>3160</v>
      </c>
      <c r="K721" s="46">
        <v>1</v>
      </c>
      <c r="L721" s="46">
        <v>430</v>
      </c>
      <c r="N721" s="46" t="s">
        <v>105</v>
      </c>
      <c r="P721" s="52">
        <v>802</v>
      </c>
      <c r="Q721" s="52" t="s">
        <v>633</v>
      </c>
      <c r="R721" s="52" t="s">
        <v>634</v>
      </c>
      <c r="T721" s="52">
        <v>215699</v>
      </c>
      <c r="U721" s="52" t="s">
        <v>1309</v>
      </c>
      <c r="V721" s="52" t="s">
        <v>1310</v>
      </c>
      <c r="W721" s="52"/>
      <c r="X721" s="52"/>
      <c r="Y721" s="52"/>
      <c r="Z721" s="46" t="s">
        <v>1306</v>
      </c>
    </row>
    <row r="722" spans="1:26">
      <c r="A722" s="49">
        <v>44368</v>
      </c>
      <c r="B722" s="48">
        <v>202106211170</v>
      </c>
      <c r="C722" s="46" t="s">
        <v>3350</v>
      </c>
      <c r="D722" s="46" t="s">
        <v>3352</v>
      </c>
      <c r="E722" s="46" t="s">
        <v>1308</v>
      </c>
      <c r="F722" s="46" t="s">
        <v>3348</v>
      </c>
      <c r="G722" s="46" t="s">
        <v>633</v>
      </c>
      <c r="H722" s="47">
        <v>4714781020275</v>
      </c>
      <c r="I722" s="46" t="s">
        <v>3308</v>
      </c>
      <c r="J722" s="46" t="s">
        <v>3160</v>
      </c>
      <c r="K722" s="46">
        <v>1</v>
      </c>
      <c r="L722" s="46">
        <v>149</v>
      </c>
      <c r="N722" s="46" t="s">
        <v>725</v>
      </c>
      <c r="P722" s="52">
        <v>802</v>
      </c>
      <c r="Q722" s="52" t="s">
        <v>633</v>
      </c>
      <c r="R722" s="52" t="s">
        <v>634</v>
      </c>
      <c r="T722" s="52">
        <v>215699</v>
      </c>
      <c r="U722" s="52" t="s">
        <v>1309</v>
      </c>
      <c r="V722" s="52" t="s">
        <v>1310</v>
      </c>
      <c r="W722" s="52"/>
      <c r="X722" s="52"/>
      <c r="Y722" s="52"/>
      <c r="Z722" s="46" t="s">
        <v>1306</v>
      </c>
    </row>
    <row r="723" spans="1:26">
      <c r="A723" s="49">
        <v>44368</v>
      </c>
      <c r="B723" s="48">
        <v>202106211170</v>
      </c>
      <c r="C723" s="46" t="s">
        <v>3350</v>
      </c>
      <c r="D723" s="46" t="s">
        <v>3352</v>
      </c>
      <c r="E723" s="46" t="s">
        <v>1308</v>
      </c>
      <c r="F723" s="46" t="s">
        <v>3348</v>
      </c>
      <c r="G723" s="46" t="s">
        <v>633</v>
      </c>
      <c r="H723" s="47">
        <v>4714781021050</v>
      </c>
      <c r="I723" s="46" t="s">
        <v>3227</v>
      </c>
      <c r="J723" s="46" t="s">
        <v>3160</v>
      </c>
      <c r="K723" s="46">
        <v>1</v>
      </c>
      <c r="L723" s="46">
        <v>99</v>
      </c>
      <c r="N723" s="46" t="s">
        <v>603</v>
      </c>
      <c r="P723" s="52">
        <v>802</v>
      </c>
      <c r="Q723" s="52" t="s">
        <v>633</v>
      </c>
      <c r="R723" s="52" t="s">
        <v>634</v>
      </c>
      <c r="T723" s="52">
        <v>215699</v>
      </c>
      <c r="U723" s="52" t="s">
        <v>1309</v>
      </c>
      <c r="V723" s="52" t="s">
        <v>1310</v>
      </c>
      <c r="W723" s="52"/>
      <c r="X723" s="52"/>
      <c r="Y723" s="52"/>
      <c r="Z723" s="46" t="s">
        <v>1306</v>
      </c>
    </row>
    <row r="724" spans="1:26">
      <c r="A724" s="49">
        <v>44368</v>
      </c>
      <c r="B724" s="48">
        <v>202106211170</v>
      </c>
      <c r="C724" s="46" t="s">
        <v>3350</v>
      </c>
      <c r="D724" s="46" t="s">
        <v>3352</v>
      </c>
      <c r="E724" s="46" t="s">
        <v>1308</v>
      </c>
      <c r="F724" s="46" t="s">
        <v>3348</v>
      </c>
      <c r="G724" s="46" t="s">
        <v>633</v>
      </c>
      <c r="H724" s="47">
        <v>4714781021234</v>
      </c>
      <c r="I724" s="46" t="s">
        <v>3215</v>
      </c>
      <c r="J724" s="46" t="s">
        <v>3160</v>
      </c>
      <c r="K724" s="46">
        <v>1</v>
      </c>
      <c r="L724" s="46">
        <v>59</v>
      </c>
      <c r="N724" s="46" t="s">
        <v>87</v>
      </c>
      <c r="P724" s="52">
        <v>802</v>
      </c>
      <c r="Q724" s="52" t="s">
        <v>633</v>
      </c>
      <c r="R724" s="52" t="s">
        <v>634</v>
      </c>
      <c r="T724" s="52">
        <v>215699</v>
      </c>
      <c r="U724" s="52" t="s">
        <v>1309</v>
      </c>
      <c r="V724" s="52" t="s">
        <v>1310</v>
      </c>
      <c r="W724" s="52"/>
      <c r="X724" s="52"/>
      <c r="Y724" s="52"/>
      <c r="Z724" s="46" t="s">
        <v>1306</v>
      </c>
    </row>
    <row r="725" spans="1:26">
      <c r="A725" s="49">
        <v>44368</v>
      </c>
      <c r="B725" s="48">
        <v>202106211170</v>
      </c>
      <c r="C725" s="46" t="s">
        <v>3350</v>
      </c>
      <c r="D725" s="46" t="s">
        <v>3352</v>
      </c>
      <c r="E725" s="46" t="s">
        <v>1308</v>
      </c>
      <c r="F725" s="46" t="s">
        <v>3348</v>
      </c>
      <c r="G725" s="46" t="s">
        <v>633</v>
      </c>
      <c r="H725" s="47" t="s">
        <v>3347</v>
      </c>
      <c r="J725" s="46" t="s">
        <v>3346</v>
      </c>
      <c r="K725" s="46">
        <v>1</v>
      </c>
      <c r="L725" s="46">
        <v>65</v>
      </c>
      <c r="P725" s="52"/>
      <c r="Q725" s="52"/>
      <c r="R725" s="52"/>
      <c r="T725" s="52"/>
      <c r="U725" s="52"/>
      <c r="V725" s="52"/>
      <c r="W725" s="52"/>
      <c r="X725" s="52"/>
      <c r="Y725" s="52"/>
    </row>
    <row r="726" spans="1:26">
      <c r="A726" s="49">
        <v>44368</v>
      </c>
      <c r="B726" s="48">
        <v>202106211171</v>
      </c>
      <c r="C726" s="46" t="s">
        <v>3350</v>
      </c>
      <c r="D726" s="46" t="s">
        <v>3351</v>
      </c>
      <c r="E726" s="46" t="s">
        <v>356</v>
      </c>
      <c r="F726" s="46" t="s">
        <v>3348</v>
      </c>
      <c r="G726" s="46" t="s">
        <v>39</v>
      </c>
      <c r="H726" s="47">
        <v>4714781024723</v>
      </c>
      <c r="I726" s="46" t="s">
        <v>3168</v>
      </c>
      <c r="J726" s="46" t="s">
        <v>3160</v>
      </c>
      <c r="K726" s="46">
        <v>1</v>
      </c>
      <c r="L726" s="46">
        <v>299</v>
      </c>
      <c r="N726" s="46" t="s">
        <v>358</v>
      </c>
      <c r="P726" s="52">
        <v>649</v>
      </c>
      <c r="Q726" s="52" t="s">
        <v>39</v>
      </c>
      <c r="R726" s="52" t="s">
        <v>40</v>
      </c>
      <c r="T726" s="52"/>
      <c r="U726" s="52"/>
      <c r="V726" s="52"/>
      <c r="W726" s="52">
        <v>221</v>
      </c>
      <c r="X726" s="52" t="s">
        <v>360</v>
      </c>
      <c r="Y726" s="52"/>
      <c r="Z726" s="46" t="s">
        <v>354</v>
      </c>
    </row>
    <row r="727" spans="1:26">
      <c r="A727" s="49">
        <v>44368</v>
      </c>
      <c r="B727" s="48">
        <v>202106211171</v>
      </c>
      <c r="C727" s="46" t="s">
        <v>3350</v>
      </c>
      <c r="D727" s="46" t="s">
        <v>3351</v>
      </c>
      <c r="E727" s="46" t="s">
        <v>356</v>
      </c>
      <c r="F727" s="46" t="s">
        <v>3348</v>
      </c>
      <c r="G727" s="46" t="s">
        <v>39</v>
      </c>
      <c r="H727" s="47">
        <v>4714781020954</v>
      </c>
      <c r="I727" s="46" t="s">
        <v>3250</v>
      </c>
      <c r="J727" s="46" t="s">
        <v>3160</v>
      </c>
      <c r="K727" s="46">
        <v>2</v>
      </c>
      <c r="L727" s="46">
        <v>290</v>
      </c>
      <c r="N727" s="46" t="s">
        <v>361</v>
      </c>
      <c r="P727" s="52">
        <v>649</v>
      </c>
      <c r="Q727" s="52" t="s">
        <v>39</v>
      </c>
      <c r="R727" s="52" t="s">
        <v>40</v>
      </c>
      <c r="T727" s="52"/>
      <c r="U727" s="52"/>
      <c r="V727" s="52"/>
      <c r="W727" s="52">
        <v>221</v>
      </c>
      <c r="X727" s="52" t="s">
        <v>360</v>
      </c>
      <c r="Y727" s="52"/>
      <c r="Z727" s="46" t="s">
        <v>354</v>
      </c>
    </row>
    <row r="728" spans="1:26">
      <c r="A728" s="49">
        <v>44368</v>
      </c>
      <c r="B728" s="48">
        <v>202106211171</v>
      </c>
      <c r="C728" s="46" t="s">
        <v>3350</v>
      </c>
      <c r="D728" s="46" t="s">
        <v>3351</v>
      </c>
      <c r="E728" s="46" t="s">
        <v>356</v>
      </c>
      <c r="F728" s="46" t="s">
        <v>3348</v>
      </c>
      <c r="G728" s="46" t="s">
        <v>39</v>
      </c>
      <c r="H728" s="47" t="s">
        <v>3347</v>
      </c>
      <c r="J728" s="46" t="s">
        <v>3346</v>
      </c>
      <c r="K728" s="46">
        <v>1</v>
      </c>
      <c r="L728" s="46">
        <v>60</v>
      </c>
      <c r="P728" s="52"/>
      <c r="Q728" s="52"/>
      <c r="R728" s="52"/>
      <c r="T728" s="52"/>
      <c r="U728" s="52"/>
      <c r="V728" s="52"/>
      <c r="W728" s="52"/>
      <c r="X728" s="52"/>
      <c r="Y728" s="52"/>
    </row>
    <row r="729" spans="1:26">
      <c r="A729" s="49">
        <v>44368</v>
      </c>
      <c r="B729" s="48">
        <v>202106211172</v>
      </c>
      <c r="C729" s="46" t="s">
        <v>3350</v>
      </c>
      <c r="D729" s="46" t="s">
        <v>3349</v>
      </c>
      <c r="E729" s="46" t="s">
        <v>1314</v>
      </c>
      <c r="F729" s="46" t="s">
        <v>3348</v>
      </c>
      <c r="G729" s="46" t="s">
        <v>633</v>
      </c>
      <c r="H729" s="47">
        <v>4714781024723</v>
      </c>
      <c r="I729" s="46" t="s">
        <v>3168</v>
      </c>
      <c r="J729" s="46" t="s">
        <v>3160</v>
      </c>
      <c r="K729" s="46">
        <v>1</v>
      </c>
      <c r="L729" s="46">
        <v>299</v>
      </c>
      <c r="N729" s="46" t="s">
        <v>358</v>
      </c>
      <c r="P729" s="52">
        <v>364</v>
      </c>
      <c r="Q729" s="52" t="s">
        <v>633</v>
      </c>
      <c r="R729" s="52" t="s">
        <v>634</v>
      </c>
      <c r="T729" s="52">
        <v>956167</v>
      </c>
      <c r="U729" s="52" t="s">
        <v>1315</v>
      </c>
      <c r="V729" s="52" t="s">
        <v>1316</v>
      </c>
      <c r="W729" s="52"/>
      <c r="X729" s="52"/>
      <c r="Y729" s="52"/>
      <c r="Z729" s="46" t="s">
        <v>1312</v>
      </c>
    </row>
    <row r="730" spans="1:26">
      <c r="A730" s="49">
        <v>44368</v>
      </c>
      <c r="B730" s="48">
        <v>202106211172</v>
      </c>
      <c r="C730" s="46" t="s">
        <v>3350</v>
      </c>
      <c r="D730" s="46" t="s">
        <v>3349</v>
      </c>
      <c r="E730" s="46" t="s">
        <v>1314</v>
      </c>
      <c r="F730" s="46" t="s">
        <v>3348</v>
      </c>
      <c r="G730" s="46" t="s">
        <v>633</v>
      </c>
      <c r="H730" s="47" t="s">
        <v>3347</v>
      </c>
      <c r="J730" s="46" t="s">
        <v>3346</v>
      </c>
      <c r="K730" s="46">
        <v>1</v>
      </c>
      <c r="L730" s="46">
        <v>65</v>
      </c>
      <c r="P730" s="52"/>
      <c r="Q730" s="52"/>
      <c r="R730" s="52"/>
      <c r="T730" s="52"/>
      <c r="U730" s="52"/>
      <c r="V730" s="52"/>
      <c r="W730" s="52"/>
      <c r="X730" s="52"/>
      <c r="Y730" s="52"/>
    </row>
    <row r="731" spans="1:26">
      <c r="A731" s="49"/>
      <c r="P731" s="52"/>
      <c r="Q731" s="52"/>
      <c r="R731" s="52"/>
      <c r="T731" s="52"/>
      <c r="U731" s="52"/>
      <c r="V731" s="52"/>
      <c r="W731" s="52"/>
      <c r="X731" s="52"/>
      <c r="Y731" s="52"/>
    </row>
    <row r="732" spans="1:26">
      <c r="A732" s="49"/>
      <c r="P732" s="52"/>
      <c r="Q732" s="52"/>
      <c r="R732" s="52"/>
      <c r="T732" s="52"/>
      <c r="U732" s="52"/>
      <c r="V732" s="52"/>
      <c r="W732" s="52"/>
      <c r="X732" s="52"/>
      <c r="Y732" s="52"/>
    </row>
    <row r="733" spans="1:26">
      <c r="A733" s="49"/>
      <c r="P733" s="52"/>
      <c r="Q733" s="52"/>
      <c r="R733" s="52"/>
      <c r="T733" s="52"/>
      <c r="U733" s="52"/>
      <c r="V733" s="52"/>
      <c r="W733" s="52"/>
      <c r="X733" s="52"/>
      <c r="Y733" s="52"/>
    </row>
    <row r="734" spans="1:26">
      <c r="A734" s="49"/>
      <c r="P734" s="52"/>
      <c r="Q734" s="52"/>
      <c r="R734" s="52"/>
      <c r="T734" s="52"/>
      <c r="U734" s="52"/>
      <c r="V734" s="52"/>
      <c r="W734" s="52"/>
      <c r="X734" s="52"/>
      <c r="Y734" s="52"/>
    </row>
    <row r="735" spans="1:26">
      <c r="A735" s="49"/>
      <c r="P735" s="52"/>
      <c r="Q735" s="52"/>
      <c r="R735" s="52"/>
      <c r="T735" s="52"/>
      <c r="U735" s="52"/>
      <c r="V735" s="52"/>
      <c r="W735" s="52"/>
      <c r="X735" s="52"/>
      <c r="Y735" s="52"/>
    </row>
    <row r="736" spans="1:26">
      <c r="A736" s="49"/>
      <c r="P736" s="52"/>
      <c r="Q736" s="52"/>
      <c r="R736" s="52"/>
      <c r="T736" s="52"/>
      <c r="U736" s="52"/>
      <c r="V736" s="52"/>
      <c r="W736" s="52"/>
      <c r="X736" s="52"/>
      <c r="Y736" s="52"/>
    </row>
    <row r="737" spans="1:25">
      <c r="A737" s="49"/>
      <c r="P737" s="52"/>
      <c r="Q737" s="52"/>
      <c r="R737" s="52"/>
      <c r="T737" s="52"/>
      <c r="U737" s="52"/>
      <c r="V737" s="52"/>
      <c r="W737" s="52"/>
      <c r="X737" s="52"/>
      <c r="Y737" s="52"/>
    </row>
    <row r="738" spans="1:25">
      <c r="A738" s="49"/>
      <c r="P738" s="52"/>
      <c r="Q738" s="52"/>
      <c r="R738" s="52"/>
      <c r="T738" s="52"/>
      <c r="U738" s="52"/>
      <c r="V738" s="52"/>
      <c r="W738" s="52"/>
      <c r="X738" s="52"/>
      <c r="Y738" s="52"/>
    </row>
    <row r="739" spans="1:25">
      <c r="A739" s="49"/>
      <c r="P739" s="52"/>
      <c r="Q739" s="52"/>
      <c r="R739" s="52"/>
      <c r="T739" s="52"/>
      <c r="U739" s="52"/>
      <c r="V739" s="52"/>
      <c r="W739" s="52"/>
      <c r="X739" s="52"/>
      <c r="Y739" s="52"/>
    </row>
    <row r="740" spans="1:25">
      <c r="A740" s="49"/>
      <c r="P740" s="52"/>
      <c r="Q740" s="52"/>
      <c r="R740" s="52"/>
      <c r="T740" s="52"/>
      <c r="U740" s="52"/>
      <c r="V740" s="52"/>
      <c r="W740" s="52"/>
      <c r="X740" s="52"/>
      <c r="Y740" s="52"/>
    </row>
    <row r="741" spans="1:25">
      <c r="A741" s="49"/>
      <c r="P741" s="52"/>
      <c r="Q741" s="52"/>
      <c r="R741" s="52"/>
      <c r="T741" s="52"/>
      <c r="U741" s="52"/>
      <c r="V741" s="52"/>
      <c r="W741" s="52"/>
      <c r="X741" s="52"/>
      <c r="Y741" s="52"/>
    </row>
    <row r="742" spans="1:25">
      <c r="A742" s="49"/>
      <c r="P742" s="52"/>
      <c r="Q742" s="52"/>
      <c r="R742" s="52"/>
      <c r="T742" s="52"/>
      <c r="U742" s="52"/>
      <c r="V742" s="52"/>
      <c r="W742" s="52"/>
      <c r="X742" s="52"/>
      <c r="Y742" s="52"/>
    </row>
    <row r="743" spans="1:25">
      <c r="A743" s="49"/>
      <c r="P743" s="52"/>
      <c r="Q743" s="52"/>
      <c r="R743" s="52"/>
      <c r="T743" s="52"/>
      <c r="U743" s="52"/>
      <c r="V743" s="52"/>
      <c r="W743" s="52"/>
      <c r="X743" s="52"/>
      <c r="Y743" s="52"/>
    </row>
    <row r="744" spans="1:25">
      <c r="A744" s="49"/>
      <c r="P744" s="52"/>
      <c r="Q744" s="52"/>
      <c r="R744" s="52"/>
      <c r="T744" s="52"/>
      <c r="U744" s="52"/>
      <c r="V744" s="52"/>
      <c r="W744" s="52"/>
      <c r="X744" s="52"/>
      <c r="Y744" s="52"/>
    </row>
    <row r="745" spans="1:25">
      <c r="A745" s="49"/>
      <c r="P745" s="52"/>
      <c r="Q745" s="52"/>
      <c r="R745" s="52"/>
      <c r="T745" s="52"/>
      <c r="U745" s="52"/>
      <c r="V745" s="52"/>
      <c r="W745" s="52"/>
      <c r="X745" s="52"/>
      <c r="Y745" s="52"/>
    </row>
    <row r="746" spans="1:25">
      <c r="A746" s="49"/>
      <c r="P746" s="52"/>
      <c r="Q746" s="52"/>
      <c r="R746" s="52"/>
      <c r="T746" s="52"/>
      <c r="U746" s="52"/>
      <c r="V746" s="52"/>
      <c r="W746" s="52"/>
      <c r="X746" s="52"/>
      <c r="Y746" s="52"/>
    </row>
    <row r="747" spans="1:25">
      <c r="A747" s="49"/>
      <c r="P747" s="52"/>
      <c r="Q747" s="52"/>
      <c r="R747" s="52"/>
      <c r="T747" s="52"/>
      <c r="U747" s="52"/>
      <c r="V747" s="52"/>
      <c r="W747" s="52"/>
      <c r="X747" s="52"/>
      <c r="Y747" s="52"/>
    </row>
    <row r="748" spans="1:25">
      <c r="A748" s="49"/>
      <c r="P748" s="52"/>
      <c r="Q748" s="52"/>
      <c r="R748" s="52"/>
      <c r="T748" s="52"/>
      <c r="U748" s="52"/>
      <c r="V748" s="52"/>
      <c r="W748" s="52"/>
      <c r="X748" s="52"/>
      <c r="Y748" s="52"/>
    </row>
    <row r="749" spans="1:25">
      <c r="A749" s="49"/>
      <c r="P749" s="52"/>
      <c r="Q749" s="52"/>
      <c r="R749" s="52"/>
      <c r="T749" s="52"/>
      <c r="U749" s="52"/>
      <c r="V749" s="52"/>
      <c r="W749" s="52"/>
      <c r="X749" s="52"/>
      <c r="Y749" s="52"/>
    </row>
    <row r="750" spans="1:25">
      <c r="A750" s="49"/>
      <c r="P750" s="52"/>
      <c r="Q750" s="52"/>
      <c r="R750" s="52"/>
      <c r="T750" s="52"/>
      <c r="U750" s="52"/>
      <c r="V750" s="52"/>
      <c r="W750" s="52"/>
      <c r="X750" s="52"/>
      <c r="Y750" s="52"/>
    </row>
    <row r="751" spans="1:25">
      <c r="A751" s="49"/>
      <c r="P751" s="52"/>
      <c r="Q751" s="52"/>
      <c r="R751" s="52"/>
      <c r="T751" s="52"/>
      <c r="U751" s="52"/>
      <c r="V751" s="52"/>
      <c r="W751" s="52"/>
      <c r="X751" s="52"/>
      <c r="Y751" s="52"/>
    </row>
    <row r="752" spans="1:25">
      <c r="A752" s="49"/>
      <c r="P752" s="52"/>
      <c r="Q752" s="52"/>
      <c r="R752" s="52"/>
      <c r="T752" s="52"/>
      <c r="U752" s="52"/>
      <c r="V752" s="52"/>
      <c r="W752" s="52"/>
      <c r="X752" s="52"/>
      <c r="Y752" s="52"/>
    </row>
    <row r="753" spans="1:25">
      <c r="A753" s="49"/>
      <c r="P753" s="52"/>
      <c r="Q753" s="52"/>
      <c r="R753" s="52"/>
      <c r="T753" s="52"/>
      <c r="U753" s="52"/>
      <c r="V753" s="52"/>
      <c r="W753" s="52"/>
      <c r="X753" s="52"/>
      <c r="Y753" s="52"/>
    </row>
    <row r="754" spans="1:25">
      <c r="A754" s="49"/>
      <c r="P754" s="52"/>
      <c r="Q754" s="52"/>
      <c r="R754" s="52"/>
      <c r="T754" s="52"/>
      <c r="U754" s="52"/>
      <c r="V754" s="52"/>
      <c r="W754" s="52"/>
      <c r="X754" s="52"/>
      <c r="Y754" s="52"/>
    </row>
    <row r="755" spans="1:25">
      <c r="A755" s="49"/>
      <c r="P755" s="52"/>
      <c r="Q755" s="52"/>
      <c r="R755" s="52"/>
      <c r="T755" s="52"/>
      <c r="U755" s="52"/>
      <c r="V755" s="52"/>
      <c r="W755" s="52"/>
      <c r="X755" s="52"/>
      <c r="Y755" s="52"/>
    </row>
    <row r="756" spans="1:25">
      <c r="A756" s="49"/>
      <c r="P756" s="52"/>
      <c r="Q756" s="52"/>
      <c r="R756" s="52"/>
      <c r="T756" s="52"/>
      <c r="U756" s="52"/>
      <c r="V756" s="52"/>
      <c r="W756" s="52"/>
      <c r="X756" s="52"/>
      <c r="Y756" s="52"/>
    </row>
    <row r="757" spans="1:25">
      <c r="A757" s="49"/>
      <c r="P757" s="52"/>
      <c r="Q757" s="52"/>
      <c r="R757" s="52"/>
      <c r="T757" s="52"/>
      <c r="U757" s="52"/>
      <c r="V757" s="52"/>
      <c r="W757" s="52"/>
      <c r="X757" s="52"/>
      <c r="Y757" s="52"/>
    </row>
    <row r="758" spans="1:25">
      <c r="A758" s="49"/>
      <c r="P758" s="52"/>
      <c r="Q758" s="52"/>
      <c r="R758" s="52"/>
      <c r="T758" s="52"/>
      <c r="U758" s="52"/>
      <c r="V758" s="52"/>
      <c r="W758" s="52"/>
      <c r="X758" s="52"/>
      <c r="Y758" s="52"/>
    </row>
    <row r="759" spans="1:25">
      <c r="A759" s="49"/>
      <c r="P759" s="52"/>
      <c r="Q759" s="52"/>
      <c r="R759" s="52"/>
      <c r="T759" s="52"/>
      <c r="U759" s="52"/>
      <c r="V759" s="52"/>
      <c r="W759" s="52"/>
      <c r="X759" s="52"/>
      <c r="Y759" s="52"/>
    </row>
    <row r="760" spans="1:25">
      <c r="A760" s="49"/>
      <c r="P760" s="52"/>
      <c r="Q760" s="52"/>
      <c r="R760" s="52"/>
      <c r="T760" s="52"/>
      <c r="U760" s="52"/>
      <c r="V760" s="52"/>
      <c r="W760" s="52"/>
      <c r="X760" s="52"/>
      <c r="Y760" s="52"/>
    </row>
    <row r="761" spans="1:25">
      <c r="A761" s="49"/>
      <c r="P761" s="52"/>
      <c r="Q761" s="52"/>
      <c r="R761" s="52"/>
      <c r="T761" s="52"/>
      <c r="U761" s="52"/>
      <c r="V761" s="52"/>
      <c r="W761" s="52"/>
      <c r="X761" s="52"/>
      <c r="Y761" s="52"/>
    </row>
    <row r="762" spans="1:25">
      <c r="A762" s="49"/>
      <c r="P762" s="52"/>
      <c r="Q762" s="52"/>
      <c r="R762" s="52"/>
      <c r="T762" s="52"/>
      <c r="U762" s="52"/>
      <c r="V762" s="52"/>
      <c r="W762" s="52"/>
      <c r="X762" s="52"/>
      <c r="Y762" s="52"/>
    </row>
    <row r="763" spans="1:25">
      <c r="A763" s="49"/>
      <c r="P763" s="52"/>
      <c r="Q763" s="52"/>
      <c r="R763" s="52"/>
      <c r="T763" s="52"/>
      <c r="U763" s="52"/>
      <c r="V763" s="52"/>
      <c r="W763" s="52"/>
      <c r="X763" s="52"/>
      <c r="Y763" s="52"/>
    </row>
    <row r="764" spans="1:25">
      <c r="A764" s="49"/>
      <c r="P764" s="52"/>
      <c r="Q764" s="52"/>
      <c r="R764" s="52"/>
      <c r="T764" s="52"/>
      <c r="U764" s="52"/>
      <c r="V764" s="52"/>
      <c r="W764" s="52"/>
      <c r="X764" s="52"/>
      <c r="Y764" s="52"/>
    </row>
    <row r="765" spans="1:25">
      <c r="A765" s="49"/>
      <c r="P765" s="52"/>
      <c r="Q765" s="52"/>
      <c r="R765" s="52"/>
      <c r="T765" s="52"/>
      <c r="U765" s="52"/>
      <c r="V765" s="52"/>
      <c r="W765" s="52"/>
      <c r="X765" s="52"/>
      <c r="Y765" s="52"/>
    </row>
    <row r="766" spans="1:25">
      <c r="A766" s="49"/>
      <c r="P766" s="52"/>
      <c r="Q766" s="52"/>
      <c r="R766" s="52"/>
      <c r="T766" s="52"/>
      <c r="U766" s="52"/>
      <c r="V766" s="52"/>
      <c r="W766" s="52"/>
      <c r="X766" s="52"/>
      <c r="Y766" s="52"/>
    </row>
    <row r="767" spans="1:25">
      <c r="A767" s="49"/>
      <c r="P767" s="52"/>
      <c r="Q767" s="52"/>
      <c r="R767" s="52"/>
      <c r="T767" s="52"/>
      <c r="U767" s="52"/>
      <c r="V767" s="52"/>
      <c r="W767" s="52"/>
      <c r="X767" s="52"/>
      <c r="Y767" s="52"/>
    </row>
    <row r="768" spans="1:25">
      <c r="A768" s="49"/>
      <c r="P768" s="52"/>
      <c r="Q768" s="52"/>
      <c r="R768" s="52"/>
      <c r="T768" s="52"/>
      <c r="U768" s="52"/>
      <c r="V768" s="52"/>
      <c r="W768" s="52"/>
      <c r="X768" s="52"/>
      <c r="Y768" s="52"/>
    </row>
    <row r="769" spans="1:25">
      <c r="A769" s="49"/>
      <c r="P769" s="52"/>
      <c r="Q769" s="52"/>
      <c r="R769" s="52"/>
      <c r="T769" s="52"/>
      <c r="U769" s="52"/>
      <c r="V769" s="52"/>
      <c r="W769" s="52"/>
      <c r="X769" s="52"/>
      <c r="Y769" s="52"/>
    </row>
    <row r="770" spans="1:25">
      <c r="A770" s="49"/>
      <c r="P770" s="52"/>
      <c r="Q770" s="52"/>
      <c r="R770" s="52"/>
      <c r="T770" s="52"/>
      <c r="U770" s="52"/>
      <c r="V770" s="52"/>
      <c r="W770" s="52"/>
      <c r="X770" s="52"/>
      <c r="Y770" s="52"/>
    </row>
    <row r="771" spans="1:25">
      <c r="A771" s="49"/>
      <c r="P771" s="52"/>
      <c r="Q771" s="52"/>
      <c r="R771" s="52"/>
      <c r="T771" s="52"/>
      <c r="U771" s="52"/>
      <c r="V771" s="52"/>
      <c r="W771" s="52"/>
      <c r="X771" s="52"/>
      <c r="Y771" s="52"/>
    </row>
    <row r="772" spans="1:25">
      <c r="A772" s="49"/>
      <c r="P772" s="52"/>
      <c r="Q772" s="52"/>
      <c r="R772" s="52"/>
      <c r="T772" s="52"/>
      <c r="U772" s="52"/>
      <c r="V772" s="52"/>
      <c r="W772" s="52"/>
      <c r="X772" s="52"/>
      <c r="Y772" s="52"/>
    </row>
    <row r="773" spans="1:25">
      <c r="A773" s="49"/>
      <c r="P773" s="52"/>
      <c r="Q773" s="52"/>
      <c r="R773" s="52"/>
      <c r="T773" s="52"/>
      <c r="U773" s="52"/>
      <c r="V773" s="52"/>
      <c r="W773" s="52"/>
      <c r="X773" s="52"/>
      <c r="Y773" s="52"/>
    </row>
    <row r="774" spans="1:25">
      <c r="A774" s="49"/>
      <c r="P774" s="52"/>
      <c r="Q774" s="52"/>
      <c r="R774" s="52"/>
      <c r="T774" s="52"/>
      <c r="U774" s="52"/>
      <c r="V774" s="52"/>
      <c r="W774" s="52"/>
      <c r="X774" s="52"/>
      <c r="Y774" s="52"/>
    </row>
    <row r="775" spans="1:25">
      <c r="A775" s="49"/>
      <c r="P775" s="52"/>
      <c r="Q775" s="52"/>
      <c r="R775" s="52"/>
      <c r="T775" s="52"/>
      <c r="U775" s="52"/>
      <c r="V775" s="52"/>
      <c r="W775" s="52"/>
      <c r="X775" s="52"/>
      <c r="Y775" s="52"/>
    </row>
    <row r="776" spans="1:25">
      <c r="A776" s="49"/>
      <c r="P776" s="52"/>
      <c r="Q776" s="52"/>
      <c r="R776" s="52"/>
      <c r="T776" s="52"/>
      <c r="U776" s="52"/>
      <c r="V776" s="52"/>
      <c r="W776" s="52"/>
      <c r="X776" s="52"/>
      <c r="Y776" s="52"/>
    </row>
    <row r="777" spans="1:25">
      <c r="A777" s="49"/>
      <c r="P777" s="52"/>
      <c r="Q777" s="52"/>
      <c r="R777" s="52"/>
      <c r="T777" s="52"/>
      <c r="U777" s="52"/>
      <c r="V777" s="52"/>
      <c r="W777" s="52"/>
      <c r="X777" s="52"/>
      <c r="Y777" s="52"/>
    </row>
    <row r="778" spans="1:25">
      <c r="A778" s="49"/>
      <c r="P778" s="52"/>
      <c r="Q778" s="52"/>
      <c r="R778" s="52"/>
      <c r="T778" s="52"/>
      <c r="U778" s="52"/>
      <c r="V778" s="52"/>
      <c r="W778" s="52"/>
      <c r="X778" s="52"/>
      <c r="Y778" s="52"/>
    </row>
    <row r="779" spans="1:25">
      <c r="A779" s="49"/>
      <c r="P779" s="52"/>
      <c r="Q779" s="52"/>
      <c r="R779" s="52"/>
      <c r="T779" s="52"/>
      <c r="U779" s="52"/>
      <c r="V779" s="52"/>
      <c r="W779" s="52"/>
      <c r="X779" s="52"/>
      <c r="Y779" s="52"/>
    </row>
    <row r="780" spans="1:25">
      <c r="A780" s="49"/>
      <c r="P780" s="52"/>
      <c r="Q780" s="52"/>
      <c r="R780" s="52"/>
      <c r="T780" s="52"/>
      <c r="U780" s="52"/>
      <c r="V780" s="52"/>
      <c r="W780" s="52"/>
      <c r="X780" s="52"/>
      <c r="Y780" s="52"/>
    </row>
    <row r="781" spans="1:25">
      <c r="A781" s="49"/>
      <c r="P781" s="52"/>
      <c r="Q781" s="52"/>
      <c r="R781" s="52"/>
      <c r="T781" s="52"/>
      <c r="U781" s="52"/>
      <c r="V781" s="52"/>
      <c r="W781" s="52"/>
      <c r="X781" s="52"/>
      <c r="Y781" s="52"/>
    </row>
    <row r="782" spans="1:25">
      <c r="A782" s="49"/>
      <c r="P782" s="52"/>
      <c r="Q782" s="52"/>
      <c r="R782" s="52"/>
      <c r="T782" s="52"/>
      <c r="U782" s="52"/>
      <c r="V782" s="52"/>
      <c r="W782" s="52"/>
      <c r="X782" s="52"/>
      <c r="Y782" s="52"/>
    </row>
    <row r="783" spans="1:25">
      <c r="A783" s="49"/>
      <c r="P783" s="52"/>
      <c r="Q783" s="52"/>
      <c r="R783" s="52"/>
      <c r="T783" s="52"/>
      <c r="U783" s="52"/>
      <c r="V783" s="52"/>
      <c r="W783" s="52"/>
      <c r="X783" s="52"/>
      <c r="Y783" s="52"/>
    </row>
    <row r="784" spans="1:25">
      <c r="A784" s="49"/>
      <c r="P784" s="52"/>
      <c r="Q784" s="52"/>
      <c r="R784" s="52"/>
      <c r="T784" s="52"/>
      <c r="U784" s="52"/>
      <c r="V784" s="52"/>
      <c r="W784" s="52"/>
      <c r="X784" s="52"/>
      <c r="Y784" s="52"/>
    </row>
    <row r="785" spans="1:25">
      <c r="A785" s="49"/>
      <c r="P785" s="52"/>
      <c r="Q785" s="52"/>
      <c r="R785" s="52"/>
      <c r="T785" s="52"/>
      <c r="U785" s="52"/>
      <c r="V785" s="52"/>
      <c r="W785" s="52"/>
      <c r="X785" s="52"/>
      <c r="Y785" s="52"/>
    </row>
    <row r="786" spans="1:25">
      <c r="A786" s="49"/>
      <c r="P786" s="52"/>
      <c r="Q786" s="52"/>
      <c r="R786" s="52"/>
      <c r="T786" s="52"/>
      <c r="U786" s="52"/>
      <c r="V786" s="52"/>
      <c r="W786" s="52"/>
      <c r="X786" s="52"/>
      <c r="Y786" s="52"/>
    </row>
    <row r="787" spans="1:25">
      <c r="A787" s="49"/>
      <c r="P787" s="52"/>
      <c r="Q787" s="52"/>
      <c r="R787" s="52"/>
      <c r="T787" s="52"/>
      <c r="U787" s="52"/>
      <c r="V787" s="52"/>
      <c r="W787" s="52"/>
      <c r="X787" s="52"/>
      <c r="Y787" s="52"/>
    </row>
    <row r="788" spans="1:25">
      <c r="A788" s="49"/>
      <c r="P788" s="52"/>
      <c r="Q788" s="52"/>
      <c r="R788" s="52"/>
      <c r="T788" s="52"/>
      <c r="U788" s="52"/>
      <c r="V788" s="52"/>
      <c r="W788" s="52"/>
      <c r="X788" s="52"/>
      <c r="Y788" s="52"/>
    </row>
    <row r="789" spans="1:25">
      <c r="A789" s="49"/>
      <c r="P789" s="52"/>
      <c r="Q789" s="52"/>
      <c r="R789" s="52"/>
      <c r="T789" s="52"/>
      <c r="U789" s="52"/>
      <c r="V789" s="52"/>
      <c r="W789" s="52"/>
      <c r="X789" s="52"/>
      <c r="Y789" s="52"/>
    </row>
    <row r="790" spans="1:25">
      <c r="A790" s="49"/>
      <c r="P790" s="52"/>
      <c r="Q790" s="52"/>
      <c r="R790" s="52"/>
      <c r="T790" s="52"/>
      <c r="U790" s="52"/>
      <c r="V790" s="52"/>
      <c r="W790" s="52"/>
      <c r="X790" s="52"/>
      <c r="Y790" s="52"/>
    </row>
    <row r="791" spans="1:25">
      <c r="A791" s="49"/>
      <c r="P791" s="52"/>
      <c r="Q791" s="52"/>
      <c r="R791" s="52"/>
      <c r="T791" s="52"/>
      <c r="U791" s="52"/>
      <c r="V791" s="52"/>
      <c r="W791" s="52"/>
      <c r="X791" s="52"/>
      <c r="Y791" s="52"/>
    </row>
    <row r="792" spans="1:25">
      <c r="A792" s="49"/>
      <c r="P792" s="52"/>
      <c r="Q792" s="52"/>
      <c r="R792" s="52"/>
      <c r="T792" s="52"/>
      <c r="U792" s="52"/>
      <c r="V792" s="52"/>
      <c r="W792" s="52"/>
      <c r="X792" s="52"/>
      <c r="Y792" s="52"/>
    </row>
    <row r="793" spans="1:25">
      <c r="A793" s="49"/>
      <c r="P793" s="52"/>
      <c r="Q793" s="52"/>
      <c r="R793" s="52"/>
      <c r="T793" s="52"/>
      <c r="U793" s="52"/>
      <c r="V793" s="52"/>
      <c r="W793" s="52"/>
      <c r="X793" s="52"/>
      <c r="Y793" s="52"/>
    </row>
    <row r="794" spans="1:25">
      <c r="A794" s="49"/>
      <c r="P794" s="52"/>
      <c r="Q794" s="52"/>
      <c r="R794" s="52"/>
      <c r="T794" s="52"/>
      <c r="U794" s="52"/>
      <c r="V794" s="52"/>
      <c r="W794" s="52"/>
      <c r="X794" s="52"/>
      <c r="Y794" s="52"/>
    </row>
    <row r="795" spans="1:25">
      <c r="A795" s="49"/>
      <c r="P795" s="52"/>
      <c r="Q795" s="52"/>
      <c r="R795" s="52"/>
      <c r="T795" s="52"/>
      <c r="U795" s="52"/>
      <c r="V795" s="52"/>
      <c r="W795" s="52"/>
      <c r="X795" s="52"/>
      <c r="Y795" s="52"/>
    </row>
    <row r="796" spans="1:25">
      <c r="A796" s="49"/>
      <c r="P796" s="52"/>
      <c r="Q796" s="52"/>
      <c r="R796" s="52"/>
      <c r="T796" s="52"/>
      <c r="U796" s="52"/>
      <c r="V796" s="52"/>
      <c r="W796" s="52"/>
      <c r="X796" s="52"/>
      <c r="Y796" s="52"/>
    </row>
    <row r="797" spans="1:25">
      <c r="A797" s="49"/>
      <c r="P797" s="52"/>
      <c r="Q797" s="52"/>
      <c r="R797" s="52"/>
      <c r="T797" s="52"/>
      <c r="U797" s="52"/>
      <c r="V797" s="52"/>
      <c r="W797" s="52"/>
      <c r="X797" s="52"/>
      <c r="Y797" s="52"/>
    </row>
    <row r="798" spans="1:25">
      <c r="A798" s="49"/>
      <c r="P798" s="52"/>
      <c r="Q798" s="52"/>
      <c r="R798" s="52"/>
      <c r="T798" s="52"/>
      <c r="U798" s="52"/>
      <c r="V798" s="52"/>
      <c r="W798" s="52"/>
      <c r="X798" s="52"/>
      <c r="Y798" s="52"/>
    </row>
    <row r="799" spans="1:25">
      <c r="A799" s="49"/>
      <c r="P799" s="52"/>
      <c r="Q799" s="52"/>
      <c r="R799" s="52"/>
      <c r="T799" s="52"/>
      <c r="U799" s="52"/>
      <c r="V799" s="52"/>
      <c r="W799" s="52"/>
      <c r="X799" s="52"/>
      <c r="Y799" s="52"/>
    </row>
    <row r="800" spans="1:25">
      <c r="A800" s="49"/>
      <c r="P800" s="52"/>
      <c r="Q800" s="52"/>
      <c r="R800" s="52"/>
      <c r="T800" s="52"/>
      <c r="U800" s="52"/>
      <c r="V800" s="52"/>
      <c r="W800" s="52"/>
      <c r="X800" s="52"/>
      <c r="Y800" s="52"/>
    </row>
    <row r="801" spans="1:25">
      <c r="A801" s="49"/>
      <c r="P801" s="52"/>
      <c r="Q801" s="52"/>
      <c r="R801" s="52"/>
      <c r="T801" s="52"/>
      <c r="U801" s="52"/>
      <c r="V801" s="52"/>
      <c r="W801" s="52"/>
      <c r="X801" s="52"/>
      <c r="Y801" s="52"/>
    </row>
    <row r="802" spans="1:25">
      <c r="A802" s="49"/>
      <c r="P802" s="52"/>
      <c r="Q802" s="52"/>
      <c r="R802" s="52"/>
      <c r="T802" s="52"/>
      <c r="U802" s="52"/>
      <c r="V802" s="52"/>
      <c r="W802" s="52"/>
      <c r="X802" s="52"/>
      <c r="Y802" s="52"/>
    </row>
    <row r="803" spans="1:25">
      <c r="A803" s="49"/>
      <c r="P803" s="52"/>
      <c r="Q803" s="52"/>
      <c r="R803" s="52"/>
      <c r="T803" s="52"/>
      <c r="U803" s="52"/>
      <c r="V803" s="52"/>
      <c r="W803" s="52"/>
      <c r="X803" s="52"/>
      <c r="Y803" s="52"/>
    </row>
    <row r="804" spans="1:25">
      <c r="A804" s="49"/>
      <c r="P804" s="52"/>
      <c r="Q804" s="52"/>
      <c r="R804" s="52"/>
      <c r="T804" s="52"/>
      <c r="U804" s="52"/>
      <c r="V804" s="52"/>
      <c r="W804" s="52"/>
      <c r="X804" s="52"/>
      <c r="Y804" s="52"/>
    </row>
    <row r="805" spans="1:25">
      <c r="A805" s="49"/>
      <c r="P805" s="52"/>
      <c r="Q805" s="52"/>
      <c r="R805" s="52"/>
      <c r="T805" s="52"/>
      <c r="U805" s="52"/>
      <c r="V805" s="52"/>
      <c r="W805" s="52"/>
      <c r="X805" s="52"/>
      <c r="Y805" s="52"/>
    </row>
    <row r="806" spans="1:25">
      <c r="A806" s="49"/>
      <c r="P806" s="52"/>
      <c r="Q806" s="52"/>
      <c r="R806" s="52"/>
      <c r="T806" s="52"/>
      <c r="U806" s="52"/>
      <c r="V806" s="52"/>
      <c r="W806" s="52"/>
      <c r="X806" s="52"/>
      <c r="Y806" s="52"/>
    </row>
    <row r="807" spans="1:25">
      <c r="A807" s="49"/>
      <c r="P807" s="52"/>
      <c r="Q807" s="52"/>
      <c r="R807" s="52"/>
      <c r="T807" s="52"/>
      <c r="U807" s="52"/>
      <c r="V807" s="52"/>
      <c r="W807" s="52"/>
      <c r="X807" s="52"/>
      <c r="Y807" s="52"/>
    </row>
    <row r="808" spans="1:25">
      <c r="A808" s="49"/>
      <c r="P808" s="52"/>
      <c r="Q808" s="52"/>
      <c r="R808" s="52"/>
      <c r="T808" s="52"/>
      <c r="U808" s="52"/>
      <c r="V808" s="52"/>
      <c r="W808" s="52"/>
      <c r="X808" s="52"/>
      <c r="Y808" s="52"/>
    </row>
    <row r="809" spans="1:25">
      <c r="A809" s="49"/>
      <c r="P809" s="52"/>
      <c r="Q809" s="52"/>
      <c r="R809" s="52"/>
      <c r="T809" s="52"/>
      <c r="U809" s="52"/>
      <c r="V809" s="52"/>
      <c r="W809" s="52"/>
      <c r="X809" s="52"/>
      <c r="Y809" s="52"/>
    </row>
    <row r="810" spans="1:25">
      <c r="A810" s="49"/>
      <c r="P810" s="52"/>
      <c r="Q810" s="52"/>
      <c r="R810" s="52"/>
      <c r="T810" s="52"/>
      <c r="U810" s="52"/>
      <c r="V810" s="52"/>
      <c r="W810" s="52"/>
      <c r="X810" s="52"/>
      <c r="Y810" s="52"/>
    </row>
    <row r="811" spans="1:25">
      <c r="A811" s="49"/>
      <c r="P811" s="52"/>
      <c r="Q811" s="52"/>
      <c r="R811" s="52"/>
      <c r="T811" s="52"/>
      <c r="U811" s="52"/>
      <c r="V811" s="52"/>
      <c r="W811" s="52"/>
      <c r="X811" s="52"/>
      <c r="Y811" s="52"/>
    </row>
    <row r="812" spans="1:25">
      <c r="A812" s="49"/>
      <c r="P812" s="52"/>
      <c r="Q812" s="52"/>
      <c r="R812" s="52"/>
      <c r="T812" s="52"/>
      <c r="U812" s="52"/>
      <c r="V812" s="52"/>
      <c r="W812" s="52"/>
      <c r="X812" s="52"/>
      <c r="Y812" s="52"/>
    </row>
    <row r="813" spans="1:25">
      <c r="A813" s="49"/>
      <c r="P813" s="52"/>
      <c r="Q813" s="52"/>
      <c r="R813" s="52"/>
      <c r="T813" s="52"/>
      <c r="U813" s="52"/>
      <c r="V813" s="52"/>
      <c r="W813" s="52"/>
      <c r="X813" s="52"/>
      <c r="Y813" s="52"/>
    </row>
    <row r="814" spans="1:25">
      <c r="A814" s="49"/>
      <c r="P814" s="52"/>
      <c r="Q814" s="52"/>
      <c r="R814" s="52"/>
      <c r="T814" s="52"/>
      <c r="U814" s="52"/>
      <c r="V814" s="52"/>
      <c r="W814" s="52"/>
      <c r="X814" s="52"/>
      <c r="Y814" s="52"/>
    </row>
    <row r="815" spans="1:25">
      <c r="A815" s="49"/>
      <c r="P815" s="52"/>
      <c r="Q815" s="52"/>
      <c r="R815" s="52"/>
      <c r="T815" s="52"/>
      <c r="U815" s="52"/>
      <c r="V815" s="52"/>
      <c r="W815" s="52"/>
      <c r="X815" s="52"/>
      <c r="Y815" s="52"/>
    </row>
    <row r="816" spans="1:25">
      <c r="A816" s="49"/>
      <c r="P816" s="52"/>
      <c r="Q816" s="52"/>
      <c r="R816" s="52"/>
      <c r="T816" s="52"/>
      <c r="U816" s="52"/>
      <c r="V816" s="52"/>
      <c r="W816" s="52"/>
      <c r="X816" s="52"/>
      <c r="Y816" s="52"/>
    </row>
    <row r="817" spans="1:25">
      <c r="A817" s="49"/>
      <c r="P817" s="52"/>
      <c r="Q817" s="52"/>
      <c r="R817" s="52"/>
      <c r="T817" s="52"/>
      <c r="U817" s="52"/>
      <c r="V817" s="52"/>
      <c r="W817" s="52"/>
      <c r="X817" s="52"/>
      <c r="Y817" s="52"/>
    </row>
    <row r="818" spans="1:25">
      <c r="A818" s="49"/>
      <c r="P818" s="52"/>
      <c r="Q818" s="52"/>
      <c r="R818" s="52"/>
      <c r="T818" s="52"/>
      <c r="U818" s="52"/>
      <c r="V818" s="52"/>
      <c r="W818" s="52"/>
      <c r="X818" s="52"/>
      <c r="Y818" s="52"/>
    </row>
    <row r="819" spans="1:25">
      <c r="A819" s="49"/>
      <c r="P819" s="52"/>
      <c r="Q819" s="52"/>
      <c r="R819" s="52"/>
      <c r="T819" s="52"/>
      <c r="U819" s="52"/>
      <c r="V819" s="52"/>
      <c r="W819" s="52"/>
      <c r="X819" s="52"/>
      <c r="Y819" s="52"/>
    </row>
    <row r="820" spans="1:25">
      <c r="A820" s="49"/>
      <c r="P820" s="52"/>
      <c r="Q820" s="52"/>
      <c r="R820" s="52"/>
      <c r="T820" s="52"/>
      <c r="U820" s="52"/>
      <c r="V820" s="52"/>
      <c r="W820" s="52"/>
      <c r="X820" s="52"/>
      <c r="Y820" s="52"/>
    </row>
    <row r="821" spans="1:25">
      <c r="A821" s="49"/>
      <c r="P821" s="52"/>
      <c r="Q821" s="52"/>
      <c r="R821" s="52"/>
      <c r="T821" s="52"/>
      <c r="U821" s="52"/>
      <c r="V821" s="52"/>
      <c r="W821" s="52"/>
      <c r="X821" s="52"/>
      <c r="Y821" s="52"/>
    </row>
    <row r="822" spans="1:25">
      <c r="A822" s="49"/>
      <c r="P822" s="52"/>
      <c r="Q822" s="52"/>
      <c r="R822" s="52"/>
      <c r="T822" s="52"/>
      <c r="U822" s="52"/>
      <c r="V822" s="52"/>
      <c r="W822" s="52"/>
      <c r="X822" s="52"/>
      <c r="Y822" s="52"/>
    </row>
    <row r="823" spans="1:25">
      <c r="A823" s="49"/>
      <c r="P823" s="52"/>
      <c r="Q823" s="52"/>
      <c r="R823" s="52"/>
      <c r="T823" s="52"/>
      <c r="U823" s="52"/>
      <c r="V823" s="52"/>
      <c r="W823" s="52"/>
      <c r="X823" s="52"/>
      <c r="Y823" s="52"/>
    </row>
    <row r="824" spans="1:25">
      <c r="A824" s="49"/>
      <c r="P824" s="52"/>
      <c r="Q824" s="52"/>
      <c r="R824" s="52"/>
      <c r="T824" s="52"/>
      <c r="U824" s="52"/>
      <c r="V824" s="52"/>
      <c r="W824" s="52"/>
      <c r="X824" s="52"/>
      <c r="Y824" s="52"/>
    </row>
    <row r="825" spans="1:25">
      <c r="A825" s="49"/>
      <c r="P825" s="52"/>
      <c r="Q825" s="52"/>
      <c r="R825" s="52"/>
      <c r="T825" s="52"/>
      <c r="U825" s="52"/>
      <c r="V825" s="52"/>
      <c r="W825" s="52"/>
      <c r="X825" s="52"/>
      <c r="Y825" s="52"/>
    </row>
    <row r="826" spans="1:25">
      <c r="A826" s="49"/>
      <c r="P826" s="52"/>
      <c r="Q826" s="52"/>
      <c r="R826" s="52"/>
      <c r="T826" s="52"/>
      <c r="U826" s="52"/>
      <c r="V826" s="52"/>
      <c r="W826" s="52"/>
      <c r="X826" s="52"/>
      <c r="Y826" s="52"/>
    </row>
    <row r="827" spans="1:25">
      <c r="A827" s="49"/>
      <c r="P827" s="52"/>
      <c r="Q827" s="52"/>
      <c r="R827" s="52"/>
      <c r="T827" s="52"/>
      <c r="U827" s="52"/>
      <c r="V827" s="52"/>
      <c r="W827" s="52"/>
      <c r="X827" s="52"/>
      <c r="Y827" s="52"/>
    </row>
    <row r="828" spans="1:25">
      <c r="A828" s="49"/>
      <c r="P828" s="52"/>
      <c r="Q828" s="52"/>
      <c r="R828" s="52"/>
      <c r="T828" s="52"/>
      <c r="U828" s="52"/>
      <c r="V828" s="52"/>
      <c r="W828" s="52"/>
      <c r="X828" s="52"/>
      <c r="Y828" s="52"/>
    </row>
    <row r="829" spans="1:25">
      <c r="A829" s="49"/>
      <c r="P829" s="52"/>
      <c r="Q829" s="52"/>
      <c r="R829" s="52"/>
      <c r="T829" s="52"/>
      <c r="U829" s="52"/>
      <c r="V829" s="52"/>
      <c r="W829" s="52"/>
      <c r="X829" s="52"/>
      <c r="Y829" s="52"/>
    </row>
    <row r="830" spans="1:25">
      <c r="A830" s="49"/>
      <c r="P830" s="52"/>
      <c r="Q830" s="52"/>
      <c r="R830" s="52"/>
      <c r="T830" s="52"/>
      <c r="U830" s="52"/>
      <c r="V830" s="52"/>
      <c r="W830" s="52"/>
      <c r="X830" s="52"/>
      <c r="Y830" s="52"/>
    </row>
    <row r="831" spans="1:25">
      <c r="A831" s="49"/>
      <c r="P831" s="52"/>
      <c r="Q831" s="52"/>
      <c r="R831" s="52"/>
      <c r="T831" s="52"/>
      <c r="U831" s="52"/>
      <c r="V831" s="52"/>
      <c r="W831" s="52"/>
      <c r="X831" s="52"/>
      <c r="Y831" s="52"/>
    </row>
    <row r="832" spans="1:25">
      <c r="A832" s="49"/>
      <c r="P832" s="52"/>
      <c r="Q832" s="52"/>
      <c r="R832" s="52"/>
      <c r="T832" s="52"/>
      <c r="U832" s="52"/>
      <c r="V832" s="52"/>
      <c r="W832" s="52"/>
      <c r="X832" s="52"/>
      <c r="Y832" s="52"/>
    </row>
    <row r="833" spans="1:25">
      <c r="A833" s="49"/>
      <c r="P833" s="52"/>
      <c r="Q833" s="52"/>
      <c r="R833" s="52"/>
      <c r="T833" s="52"/>
      <c r="U833" s="52"/>
      <c r="V833" s="52"/>
      <c r="W833" s="52"/>
      <c r="X833" s="52"/>
      <c r="Y833" s="52"/>
    </row>
    <row r="834" spans="1:25">
      <c r="A834" s="49"/>
      <c r="P834" s="52"/>
      <c r="Q834" s="52"/>
      <c r="R834" s="52"/>
      <c r="T834" s="52"/>
      <c r="U834" s="52"/>
      <c r="V834" s="52"/>
      <c r="W834" s="52"/>
      <c r="X834" s="52"/>
      <c r="Y834" s="52"/>
    </row>
    <row r="835" spans="1:25">
      <c r="A835" s="49"/>
      <c r="P835" s="52"/>
      <c r="Q835" s="52"/>
      <c r="R835" s="52"/>
      <c r="T835" s="52"/>
      <c r="U835" s="52"/>
      <c r="V835" s="52"/>
      <c r="W835" s="52"/>
      <c r="X835" s="52"/>
      <c r="Y835" s="52"/>
    </row>
    <row r="836" spans="1:25">
      <c r="A836" s="49"/>
      <c r="P836" s="52"/>
      <c r="Q836" s="52"/>
      <c r="R836" s="52"/>
      <c r="T836" s="52"/>
      <c r="U836" s="52"/>
      <c r="V836" s="52"/>
      <c r="W836" s="52"/>
      <c r="X836" s="52"/>
      <c r="Y836" s="52"/>
    </row>
    <row r="837" spans="1:25">
      <c r="A837" s="49"/>
      <c r="P837" s="52"/>
      <c r="Q837" s="52"/>
      <c r="R837" s="52"/>
      <c r="T837" s="52"/>
      <c r="U837" s="52"/>
      <c r="V837" s="52"/>
      <c r="W837" s="52"/>
      <c r="X837" s="52"/>
      <c r="Y837" s="52"/>
    </row>
    <row r="838" spans="1:25">
      <c r="A838" s="49"/>
      <c r="P838" s="52"/>
      <c r="Q838" s="52"/>
      <c r="R838" s="52"/>
      <c r="T838" s="52"/>
      <c r="U838" s="52"/>
      <c r="V838" s="52"/>
      <c r="W838" s="52"/>
      <c r="X838" s="52"/>
      <c r="Y838" s="52"/>
    </row>
    <row r="839" spans="1:25">
      <c r="A839" s="49"/>
      <c r="P839" s="52"/>
      <c r="Q839" s="52"/>
      <c r="R839" s="52"/>
      <c r="T839" s="52"/>
      <c r="U839" s="52"/>
      <c r="V839" s="52"/>
      <c r="W839" s="52"/>
      <c r="X839" s="52"/>
      <c r="Y839" s="52"/>
    </row>
    <row r="840" spans="1:25">
      <c r="A840" s="49"/>
      <c r="P840" s="52"/>
      <c r="Q840" s="52"/>
      <c r="R840" s="52"/>
      <c r="T840" s="52"/>
      <c r="U840" s="52"/>
      <c r="V840" s="52"/>
      <c r="W840" s="52"/>
      <c r="X840" s="52"/>
      <c r="Y840" s="52"/>
    </row>
    <row r="841" spans="1:25">
      <c r="A841" s="49"/>
      <c r="P841" s="52"/>
      <c r="Q841" s="52"/>
      <c r="R841" s="52"/>
      <c r="T841" s="52"/>
      <c r="U841" s="52"/>
      <c r="V841" s="52"/>
      <c r="W841" s="52"/>
      <c r="X841" s="52"/>
      <c r="Y841" s="52"/>
    </row>
    <row r="842" spans="1:25">
      <c r="A842" s="49"/>
      <c r="P842" s="52"/>
      <c r="Q842" s="52"/>
      <c r="R842" s="52"/>
      <c r="T842" s="52"/>
      <c r="U842" s="52"/>
      <c r="V842" s="52"/>
      <c r="W842" s="52"/>
      <c r="X842" s="52"/>
      <c r="Y842" s="52"/>
    </row>
    <row r="843" spans="1:25">
      <c r="A843" s="49"/>
      <c r="P843" s="52"/>
      <c r="Q843" s="52"/>
      <c r="R843" s="52"/>
      <c r="T843" s="52"/>
      <c r="U843" s="52"/>
      <c r="V843" s="52"/>
      <c r="W843" s="52"/>
      <c r="X843" s="52"/>
      <c r="Y843" s="52"/>
    </row>
    <row r="844" spans="1:25">
      <c r="A844" s="49"/>
      <c r="P844" s="52"/>
      <c r="Q844" s="52"/>
      <c r="R844" s="52"/>
      <c r="T844" s="52"/>
      <c r="U844" s="52"/>
      <c r="V844" s="52"/>
      <c r="W844" s="52"/>
      <c r="X844" s="52"/>
      <c r="Y844" s="52"/>
    </row>
    <row r="845" spans="1:25">
      <c r="A845" s="49"/>
      <c r="P845" s="52"/>
      <c r="Q845" s="52"/>
      <c r="R845" s="52"/>
      <c r="T845" s="52"/>
      <c r="U845" s="52"/>
      <c r="V845" s="52"/>
      <c r="W845" s="52"/>
      <c r="X845" s="52"/>
      <c r="Y845" s="52"/>
    </row>
    <row r="846" spans="1:25">
      <c r="A846" s="49"/>
      <c r="P846" s="52"/>
      <c r="Q846" s="52"/>
      <c r="R846" s="52"/>
      <c r="T846" s="52"/>
      <c r="U846" s="52"/>
      <c r="V846" s="52"/>
      <c r="W846" s="52"/>
      <c r="X846" s="52"/>
      <c r="Y846" s="52"/>
    </row>
    <row r="847" spans="1:25">
      <c r="A847" s="49"/>
      <c r="P847" s="52"/>
      <c r="Q847" s="52"/>
      <c r="R847" s="52"/>
      <c r="T847" s="52"/>
      <c r="U847" s="52"/>
      <c r="V847" s="52"/>
      <c r="W847" s="52"/>
      <c r="X847" s="52"/>
      <c r="Y847" s="52"/>
    </row>
    <row r="848" spans="1:25">
      <c r="A848" s="49"/>
      <c r="P848" s="52"/>
      <c r="Q848" s="52"/>
      <c r="R848" s="52"/>
      <c r="T848" s="52"/>
      <c r="U848" s="52"/>
      <c r="V848" s="52"/>
      <c r="W848" s="52"/>
      <c r="X848" s="52"/>
      <c r="Y848" s="52"/>
    </row>
    <row r="849" spans="1:25">
      <c r="A849" s="49"/>
      <c r="P849" s="52"/>
      <c r="Q849" s="52"/>
      <c r="R849" s="52"/>
      <c r="T849" s="52"/>
      <c r="U849" s="52"/>
      <c r="V849" s="52"/>
      <c r="W849" s="52"/>
      <c r="X849" s="52"/>
      <c r="Y849" s="52"/>
    </row>
    <row r="850" spans="1:25">
      <c r="A850" s="49"/>
      <c r="P850" s="52"/>
      <c r="Q850" s="52"/>
      <c r="R850" s="52"/>
      <c r="T850" s="52"/>
      <c r="U850" s="52"/>
      <c r="V850" s="52"/>
      <c r="W850" s="52"/>
      <c r="X850" s="52"/>
      <c r="Y850" s="52"/>
    </row>
    <row r="851" spans="1:25">
      <c r="A851" s="49"/>
      <c r="P851" s="52"/>
      <c r="Q851" s="52"/>
      <c r="R851" s="52"/>
      <c r="T851" s="52"/>
      <c r="U851" s="52"/>
      <c r="V851" s="52"/>
      <c r="W851" s="52"/>
      <c r="X851" s="52"/>
      <c r="Y851" s="52"/>
    </row>
    <row r="852" spans="1:25">
      <c r="A852" s="49"/>
      <c r="P852" s="52"/>
      <c r="Q852" s="52"/>
      <c r="R852" s="52"/>
      <c r="T852" s="52"/>
      <c r="U852" s="52"/>
      <c r="V852" s="52"/>
      <c r="W852" s="52"/>
      <c r="X852" s="52"/>
      <c r="Y852" s="52"/>
    </row>
    <row r="853" spans="1:25">
      <c r="A853" s="49"/>
      <c r="P853" s="52"/>
      <c r="Q853" s="52"/>
      <c r="R853" s="52"/>
      <c r="T853" s="52"/>
      <c r="U853" s="52"/>
      <c r="V853" s="52"/>
      <c r="W853" s="52"/>
      <c r="X853" s="52"/>
      <c r="Y853" s="52"/>
    </row>
    <row r="854" spans="1:25">
      <c r="A854" s="49"/>
      <c r="P854" s="52"/>
      <c r="Q854" s="52"/>
      <c r="R854" s="52"/>
      <c r="T854" s="52"/>
      <c r="U854" s="52"/>
      <c r="V854" s="52"/>
      <c r="W854" s="52"/>
      <c r="X854" s="52"/>
      <c r="Y854" s="52"/>
    </row>
    <row r="855" spans="1:25">
      <c r="A855" s="49"/>
      <c r="P855" s="52"/>
      <c r="Q855" s="52"/>
      <c r="R855" s="52"/>
      <c r="T855" s="52"/>
      <c r="U855" s="52"/>
      <c r="V855" s="52"/>
      <c r="W855" s="52"/>
      <c r="X855" s="52"/>
      <c r="Y855" s="52"/>
    </row>
    <row r="856" spans="1:25">
      <c r="A856" s="49"/>
      <c r="P856" s="52"/>
      <c r="Q856" s="52"/>
      <c r="R856" s="52"/>
      <c r="T856" s="52"/>
      <c r="U856" s="52"/>
      <c r="V856" s="52"/>
      <c r="W856" s="52"/>
      <c r="X856" s="52"/>
      <c r="Y856" s="52"/>
    </row>
    <row r="857" spans="1:25">
      <c r="A857" s="49"/>
      <c r="P857" s="52"/>
      <c r="Q857" s="52"/>
      <c r="R857" s="52"/>
      <c r="T857" s="52"/>
      <c r="U857" s="52"/>
      <c r="V857" s="52"/>
      <c r="W857" s="52"/>
      <c r="X857" s="52"/>
      <c r="Y857" s="52"/>
    </row>
    <row r="858" spans="1:25">
      <c r="A858" s="49"/>
      <c r="P858" s="52"/>
      <c r="Q858" s="52"/>
      <c r="R858" s="52"/>
      <c r="T858" s="52"/>
      <c r="U858" s="52"/>
      <c r="V858" s="52"/>
      <c r="W858" s="52"/>
      <c r="X858" s="52"/>
      <c r="Y858" s="52"/>
    </row>
    <row r="859" spans="1:25">
      <c r="A859" s="49"/>
      <c r="P859" s="52"/>
      <c r="Q859" s="52"/>
      <c r="R859" s="52"/>
      <c r="T859" s="52"/>
      <c r="U859" s="52"/>
      <c r="V859" s="52"/>
      <c r="W859" s="52"/>
      <c r="X859" s="52"/>
      <c r="Y859" s="52"/>
    </row>
    <row r="860" spans="1:25">
      <c r="A860" s="49"/>
      <c r="P860" s="52"/>
      <c r="Q860" s="52"/>
      <c r="R860" s="52"/>
      <c r="T860" s="52"/>
      <c r="U860" s="52"/>
      <c r="V860" s="52"/>
      <c r="W860" s="52"/>
      <c r="X860" s="52"/>
      <c r="Y860" s="52"/>
    </row>
    <row r="861" spans="1:25">
      <c r="A861" s="49"/>
      <c r="P861" s="52"/>
      <c r="Q861" s="52"/>
      <c r="R861" s="52"/>
      <c r="T861" s="52"/>
      <c r="U861" s="52"/>
      <c r="V861" s="52"/>
      <c r="W861" s="52"/>
      <c r="X861" s="52"/>
      <c r="Y861" s="52"/>
    </row>
    <row r="862" spans="1:25">
      <c r="A862" s="49"/>
      <c r="P862" s="52"/>
      <c r="Q862" s="52"/>
      <c r="R862" s="52"/>
      <c r="T862" s="52"/>
      <c r="U862" s="52"/>
      <c r="V862" s="52"/>
      <c r="W862" s="52"/>
      <c r="X862" s="52"/>
      <c r="Y862" s="52"/>
    </row>
    <row r="863" spans="1:25">
      <c r="A863" s="49"/>
      <c r="P863" s="52"/>
      <c r="Q863" s="52"/>
      <c r="R863" s="52"/>
      <c r="T863" s="52"/>
      <c r="U863" s="52"/>
      <c r="V863" s="52"/>
      <c r="W863" s="52"/>
      <c r="X863" s="52"/>
      <c r="Y863" s="52"/>
    </row>
    <row r="864" spans="1:25">
      <c r="A864" s="49"/>
      <c r="P864" s="52"/>
      <c r="Q864" s="52"/>
      <c r="R864" s="52"/>
      <c r="T864" s="52"/>
      <c r="U864" s="52"/>
      <c r="V864" s="52"/>
      <c r="W864" s="52"/>
      <c r="X864" s="52"/>
      <c r="Y864" s="52"/>
    </row>
    <row r="865" spans="1:25">
      <c r="A865" s="49"/>
      <c r="P865" s="52"/>
      <c r="Q865" s="52"/>
      <c r="R865" s="52"/>
      <c r="T865" s="52"/>
      <c r="U865" s="52"/>
      <c r="V865" s="52"/>
      <c r="W865" s="52"/>
      <c r="X865" s="52"/>
      <c r="Y865" s="52"/>
    </row>
    <row r="866" spans="1:25">
      <c r="A866" s="49"/>
      <c r="P866" s="52"/>
      <c r="Q866" s="52"/>
      <c r="R866" s="52"/>
      <c r="T866" s="52"/>
      <c r="U866" s="52"/>
      <c r="V866" s="52"/>
      <c r="W866" s="52"/>
      <c r="X866" s="52"/>
      <c r="Y866" s="52"/>
    </row>
    <row r="867" spans="1:25">
      <c r="A867" s="49"/>
      <c r="P867" s="52"/>
      <c r="Q867" s="52"/>
      <c r="R867" s="52"/>
      <c r="T867" s="52"/>
      <c r="U867" s="52"/>
      <c r="V867" s="52"/>
      <c r="W867" s="52"/>
      <c r="X867" s="52"/>
      <c r="Y867" s="52"/>
    </row>
    <row r="868" spans="1:25">
      <c r="A868" s="49"/>
      <c r="P868" s="52"/>
      <c r="Q868" s="52"/>
      <c r="R868" s="52"/>
      <c r="T868" s="52"/>
      <c r="U868" s="52"/>
      <c r="V868" s="52"/>
      <c r="W868" s="52"/>
      <c r="X868" s="52"/>
      <c r="Y868" s="52"/>
    </row>
    <row r="869" spans="1:25">
      <c r="A869" s="49"/>
      <c r="P869" s="52"/>
      <c r="Q869" s="52"/>
      <c r="R869" s="52"/>
      <c r="T869" s="52"/>
      <c r="U869" s="52"/>
      <c r="V869" s="52"/>
      <c r="W869" s="52"/>
      <c r="X869" s="52"/>
      <c r="Y869" s="52"/>
    </row>
    <row r="870" spans="1:25">
      <c r="A870" s="49"/>
      <c r="P870" s="52"/>
      <c r="Q870" s="52"/>
      <c r="R870" s="52"/>
      <c r="T870" s="52"/>
      <c r="U870" s="52"/>
      <c r="V870" s="52"/>
      <c r="W870" s="52"/>
      <c r="X870" s="52"/>
      <c r="Y870" s="52"/>
    </row>
    <row r="871" spans="1:25">
      <c r="A871" s="49"/>
      <c r="P871" s="52"/>
      <c r="Q871" s="52"/>
      <c r="R871" s="52"/>
      <c r="T871" s="52"/>
      <c r="U871" s="52"/>
      <c r="V871" s="52"/>
      <c r="W871" s="52"/>
      <c r="X871" s="52"/>
      <c r="Y871" s="52"/>
    </row>
    <row r="872" spans="1:25">
      <c r="A872" s="49"/>
      <c r="P872" s="52"/>
      <c r="Q872" s="52"/>
      <c r="R872" s="52"/>
      <c r="T872" s="52"/>
      <c r="U872" s="52"/>
      <c r="V872" s="52"/>
      <c r="W872" s="52"/>
      <c r="X872" s="52"/>
      <c r="Y872" s="52"/>
    </row>
    <row r="873" spans="1:25">
      <c r="A873" s="49"/>
      <c r="P873" s="52"/>
      <c r="Q873" s="52"/>
      <c r="R873" s="52"/>
      <c r="T873" s="52"/>
      <c r="U873" s="52"/>
      <c r="V873" s="52"/>
      <c r="W873" s="52"/>
      <c r="X873" s="52"/>
      <c r="Y873" s="52"/>
    </row>
    <row r="874" spans="1:25">
      <c r="A874" s="49"/>
      <c r="P874" s="52"/>
      <c r="Q874" s="52"/>
      <c r="R874" s="52"/>
      <c r="T874" s="52"/>
      <c r="U874" s="52"/>
      <c r="V874" s="52"/>
      <c r="W874" s="52"/>
      <c r="X874" s="52"/>
      <c r="Y874" s="52"/>
    </row>
    <row r="875" spans="1:25">
      <c r="A875" s="49"/>
      <c r="P875" s="52"/>
      <c r="Q875" s="52"/>
      <c r="R875" s="52"/>
      <c r="T875" s="52"/>
      <c r="U875" s="52"/>
      <c r="V875" s="52"/>
      <c r="W875" s="52"/>
      <c r="X875" s="52"/>
      <c r="Y875" s="52"/>
    </row>
    <row r="876" spans="1:25">
      <c r="A876" s="49"/>
      <c r="P876" s="52"/>
      <c r="Q876" s="52"/>
      <c r="R876" s="52"/>
      <c r="T876" s="52"/>
      <c r="U876" s="52"/>
      <c r="V876" s="52"/>
      <c r="W876" s="52"/>
      <c r="X876" s="52"/>
      <c r="Y876" s="52"/>
    </row>
    <row r="877" spans="1:25">
      <c r="A877" s="49"/>
      <c r="P877" s="52"/>
      <c r="Q877" s="52"/>
      <c r="R877" s="52"/>
      <c r="T877" s="52"/>
      <c r="U877" s="52"/>
      <c r="V877" s="52"/>
      <c r="W877" s="52"/>
      <c r="X877" s="52"/>
      <c r="Y877" s="52"/>
    </row>
    <row r="878" spans="1:25">
      <c r="A878" s="49"/>
      <c r="P878" s="52"/>
      <c r="Q878" s="52"/>
      <c r="R878" s="52"/>
      <c r="T878" s="52"/>
      <c r="U878" s="52"/>
      <c r="V878" s="52"/>
      <c r="W878" s="52"/>
      <c r="X878" s="52"/>
      <c r="Y878" s="52"/>
    </row>
    <row r="879" spans="1:25">
      <c r="A879" s="49"/>
      <c r="P879" s="52"/>
      <c r="Q879" s="52"/>
      <c r="R879" s="52"/>
      <c r="T879" s="52"/>
      <c r="U879" s="52"/>
      <c r="V879" s="52"/>
      <c r="W879" s="52"/>
      <c r="X879" s="52"/>
      <c r="Y879" s="52"/>
    </row>
    <row r="880" spans="1:25">
      <c r="A880" s="49"/>
      <c r="P880" s="52"/>
      <c r="Q880" s="52"/>
      <c r="R880" s="52"/>
      <c r="T880" s="52"/>
      <c r="U880" s="52"/>
      <c r="V880" s="52"/>
      <c r="W880" s="52"/>
      <c r="X880" s="52"/>
      <c r="Y880" s="52"/>
    </row>
    <row r="881" spans="1:25">
      <c r="A881" s="49"/>
      <c r="P881" s="52"/>
      <c r="Q881" s="52"/>
      <c r="R881" s="52"/>
      <c r="T881" s="52"/>
      <c r="U881" s="52"/>
      <c r="V881" s="52"/>
      <c r="W881" s="52"/>
      <c r="X881" s="52"/>
      <c r="Y881" s="52"/>
    </row>
    <row r="882" spans="1:25">
      <c r="A882" s="49"/>
      <c r="P882" s="52"/>
      <c r="Q882" s="52"/>
      <c r="R882" s="52"/>
      <c r="T882" s="52"/>
      <c r="U882" s="52"/>
      <c r="V882" s="52"/>
      <c r="W882" s="52"/>
      <c r="X882" s="52"/>
      <c r="Y882" s="52"/>
    </row>
    <row r="883" spans="1:25">
      <c r="A883" s="49"/>
      <c r="P883" s="52"/>
      <c r="Q883" s="52"/>
      <c r="R883" s="52"/>
      <c r="T883" s="52"/>
      <c r="U883" s="52"/>
      <c r="V883" s="52"/>
      <c r="W883" s="52"/>
      <c r="X883" s="52"/>
      <c r="Y883" s="52"/>
    </row>
    <row r="884" spans="1:25">
      <c r="A884" s="49"/>
      <c r="P884" s="52"/>
      <c r="Q884" s="52"/>
      <c r="R884" s="52"/>
      <c r="T884" s="52"/>
      <c r="U884" s="52"/>
      <c r="V884" s="52"/>
      <c r="W884" s="52"/>
      <c r="X884" s="52"/>
      <c r="Y884" s="52"/>
    </row>
    <row r="885" spans="1:25">
      <c r="A885" s="49"/>
      <c r="P885" s="52"/>
      <c r="Q885" s="52"/>
      <c r="R885" s="52"/>
      <c r="T885" s="52"/>
      <c r="U885" s="52"/>
      <c r="V885" s="52"/>
      <c r="W885" s="52"/>
      <c r="X885" s="52"/>
      <c r="Y885" s="52"/>
    </row>
    <row r="886" spans="1:25">
      <c r="A886" s="49"/>
      <c r="P886" s="52"/>
      <c r="Q886" s="52"/>
      <c r="R886" s="52"/>
      <c r="T886" s="52"/>
      <c r="U886" s="52"/>
      <c r="V886" s="52"/>
      <c r="W886" s="52"/>
      <c r="X886" s="52"/>
      <c r="Y886" s="52"/>
    </row>
    <row r="887" spans="1:25">
      <c r="A887" s="49"/>
      <c r="P887" s="52"/>
      <c r="Q887" s="52"/>
      <c r="R887" s="52"/>
      <c r="T887" s="52"/>
      <c r="U887" s="52"/>
      <c r="V887" s="52"/>
      <c r="W887" s="52"/>
      <c r="X887" s="52"/>
      <c r="Y887" s="52"/>
    </row>
    <row r="888" spans="1:25">
      <c r="A888" s="49"/>
      <c r="P888" s="52"/>
      <c r="Q888" s="52"/>
      <c r="R888" s="52"/>
      <c r="T888" s="52"/>
      <c r="U888" s="52"/>
      <c r="V888" s="52"/>
      <c r="W888" s="52"/>
      <c r="X888" s="52"/>
      <c r="Y888" s="52"/>
    </row>
    <row r="889" spans="1:25">
      <c r="A889" s="49"/>
      <c r="P889" s="52"/>
      <c r="Q889" s="52"/>
      <c r="R889" s="52"/>
      <c r="T889" s="52"/>
      <c r="U889" s="52"/>
      <c r="V889" s="52"/>
      <c r="W889" s="52"/>
      <c r="X889" s="52"/>
      <c r="Y889" s="52"/>
    </row>
    <row r="890" spans="1:25">
      <c r="A890" s="49"/>
      <c r="P890" s="52"/>
      <c r="Q890" s="52"/>
      <c r="R890" s="52"/>
      <c r="T890" s="52"/>
      <c r="U890" s="52"/>
      <c r="V890" s="52"/>
      <c r="W890" s="52"/>
      <c r="X890" s="52"/>
      <c r="Y890" s="52"/>
    </row>
    <row r="891" spans="1:25">
      <c r="A891" s="49"/>
      <c r="P891" s="52"/>
      <c r="Q891" s="52"/>
      <c r="R891" s="52"/>
      <c r="T891" s="52"/>
      <c r="U891" s="52"/>
      <c r="V891" s="52"/>
      <c r="W891" s="52"/>
      <c r="X891" s="52"/>
      <c r="Y891" s="52"/>
    </row>
    <row r="892" spans="1:25">
      <c r="A892" s="49"/>
      <c r="P892" s="52"/>
      <c r="Q892" s="52"/>
      <c r="R892" s="52"/>
      <c r="T892" s="52"/>
      <c r="U892" s="52"/>
      <c r="V892" s="52"/>
      <c r="W892" s="52"/>
      <c r="X892" s="52"/>
      <c r="Y892" s="52"/>
    </row>
    <row r="893" spans="1:25">
      <c r="A893" s="49"/>
      <c r="P893" s="52"/>
      <c r="Q893" s="52"/>
      <c r="R893" s="52"/>
      <c r="T893" s="52"/>
      <c r="U893" s="52"/>
      <c r="V893" s="52"/>
      <c r="W893" s="52"/>
      <c r="X893" s="52"/>
      <c r="Y893" s="52"/>
    </row>
    <row r="894" spans="1:25">
      <c r="A894" s="49"/>
      <c r="P894" s="52"/>
      <c r="Q894" s="52"/>
      <c r="R894" s="52"/>
      <c r="T894" s="52"/>
      <c r="U894" s="52"/>
      <c r="V894" s="52"/>
      <c r="W894" s="52"/>
      <c r="X894" s="52"/>
      <c r="Y894" s="52"/>
    </row>
    <row r="895" spans="1:25">
      <c r="A895" s="49"/>
      <c r="P895" s="52"/>
      <c r="Q895" s="52"/>
      <c r="R895" s="52"/>
      <c r="T895" s="52"/>
      <c r="U895" s="52"/>
      <c r="V895" s="52"/>
      <c r="W895" s="52"/>
      <c r="X895" s="52"/>
      <c r="Y895" s="52"/>
    </row>
    <row r="896" spans="1:25">
      <c r="A896" s="49"/>
      <c r="P896" s="52"/>
      <c r="Q896" s="52"/>
      <c r="R896" s="52"/>
      <c r="T896" s="52"/>
      <c r="U896" s="52"/>
      <c r="V896" s="52"/>
      <c r="W896" s="52"/>
      <c r="X896" s="52"/>
      <c r="Y896" s="52"/>
    </row>
    <row r="897" spans="1:25">
      <c r="A897" s="49"/>
      <c r="P897" s="52"/>
      <c r="Q897" s="52"/>
      <c r="R897" s="52"/>
      <c r="T897" s="52"/>
      <c r="U897" s="52"/>
      <c r="V897" s="52"/>
      <c r="W897" s="52"/>
      <c r="X897" s="52"/>
      <c r="Y897" s="52"/>
    </row>
    <row r="898" spans="1:25">
      <c r="A898" s="49"/>
      <c r="P898" s="52"/>
      <c r="Q898" s="52"/>
      <c r="R898" s="52"/>
      <c r="T898" s="52"/>
      <c r="U898" s="52"/>
      <c r="V898" s="52"/>
      <c r="W898" s="52"/>
      <c r="X898" s="52"/>
      <c r="Y898" s="52"/>
    </row>
    <row r="899" spans="1:25">
      <c r="A899" s="49"/>
      <c r="P899" s="52"/>
      <c r="Q899" s="52"/>
      <c r="R899" s="52"/>
      <c r="T899" s="52"/>
      <c r="U899" s="52"/>
      <c r="V899" s="52"/>
      <c r="W899" s="52"/>
      <c r="X899" s="52"/>
      <c r="Y899" s="52"/>
    </row>
    <row r="900" spans="1:25">
      <c r="A900" s="49"/>
      <c r="P900" s="52"/>
      <c r="Q900" s="52"/>
      <c r="R900" s="52"/>
      <c r="T900" s="52"/>
      <c r="U900" s="52"/>
      <c r="V900" s="52"/>
      <c r="W900" s="52"/>
      <c r="X900" s="52"/>
      <c r="Y900" s="52"/>
    </row>
    <row r="901" spans="1:25">
      <c r="A901" s="49"/>
      <c r="P901" s="52"/>
      <c r="Q901" s="52"/>
      <c r="R901" s="52"/>
      <c r="T901" s="52"/>
      <c r="U901" s="52"/>
      <c r="V901" s="52"/>
      <c r="W901" s="52"/>
      <c r="X901" s="52"/>
      <c r="Y901" s="52"/>
    </row>
    <row r="902" spans="1:25">
      <c r="A902" s="49"/>
      <c r="P902" s="52"/>
      <c r="Q902" s="52"/>
      <c r="R902" s="52"/>
      <c r="T902" s="52"/>
      <c r="U902" s="52"/>
      <c r="V902" s="52"/>
      <c r="W902" s="52"/>
      <c r="X902" s="52"/>
      <c r="Y902" s="52"/>
    </row>
    <row r="903" spans="1:25">
      <c r="A903" s="49"/>
      <c r="P903" s="52"/>
      <c r="Q903" s="52"/>
      <c r="R903" s="52"/>
      <c r="T903" s="52"/>
      <c r="U903" s="52"/>
      <c r="V903" s="52"/>
      <c r="W903" s="52"/>
      <c r="X903" s="52"/>
      <c r="Y903" s="52"/>
    </row>
    <row r="904" spans="1:25">
      <c r="A904" s="49"/>
      <c r="P904" s="52"/>
      <c r="Q904" s="52"/>
      <c r="R904" s="52"/>
      <c r="T904" s="52"/>
      <c r="U904" s="52"/>
      <c r="V904" s="52"/>
      <c r="W904" s="52"/>
      <c r="X904" s="52"/>
      <c r="Y904" s="52"/>
    </row>
    <row r="905" spans="1:25">
      <c r="A905" s="49"/>
      <c r="P905" s="52"/>
      <c r="Q905" s="52"/>
      <c r="R905" s="52"/>
      <c r="T905" s="52"/>
      <c r="U905" s="52"/>
      <c r="V905" s="52"/>
      <c r="W905" s="52"/>
      <c r="X905" s="52"/>
      <c r="Y905" s="52"/>
    </row>
    <row r="906" spans="1:25">
      <c r="A906" s="49"/>
      <c r="P906" s="52"/>
      <c r="Q906" s="52"/>
      <c r="R906" s="52"/>
      <c r="T906" s="52"/>
      <c r="U906" s="52"/>
      <c r="V906" s="52"/>
      <c r="W906" s="52"/>
      <c r="X906" s="52"/>
      <c r="Y906" s="52"/>
    </row>
    <row r="907" spans="1:25">
      <c r="A907" s="49"/>
      <c r="P907" s="52"/>
      <c r="Q907" s="52"/>
      <c r="R907" s="52"/>
      <c r="T907" s="52"/>
      <c r="U907" s="52"/>
      <c r="V907" s="52"/>
      <c r="W907" s="52"/>
      <c r="X907" s="52"/>
      <c r="Y907" s="52"/>
    </row>
    <row r="908" spans="1:25">
      <c r="A908" s="49"/>
      <c r="P908" s="52"/>
      <c r="Q908" s="52"/>
      <c r="R908" s="52"/>
      <c r="T908" s="52"/>
      <c r="U908" s="52"/>
      <c r="V908" s="52"/>
      <c r="W908" s="52"/>
      <c r="X908" s="52"/>
      <c r="Y908" s="52"/>
    </row>
    <row r="909" spans="1:25">
      <c r="A909" s="49"/>
      <c r="P909" s="52"/>
      <c r="Q909" s="52"/>
      <c r="R909" s="52"/>
      <c r="T909" s="52"/>
      <c r="U909" s="52"/>
      <c r="V909" s="52"/>
      <c r="W909" s="52"/>
      <c r="X909" s="52"/>
      <c r="Y909" s="52"/>
    </row>
    <row r="910" spans="1:25">
      <c r="A910" s="49"/>
      <c r="P910" s="52"/>
      <c r="Q910" s="52"/>
      <c r="R910" s="52"/>
      <c r="T910" s="52"/>
      <c r="U910" s="52"/>
      <c r="V910" s="52"/>
      <c r="W910" s="52"/>
      <c r="X910" s="52"/>
      <c r="Y910" s="52"/>
    </row>
    <row r="911" spans="1:25">
      <c r="A911" s="49"/>
      <c r="P911" s="52"/>
      <c r="Q911" s="52"/>
      <c r="R911" s="52"/>
      <c r="T911" s="52"/>
      <c r="U911" s="52"/>
      <c r="V911" s="52"/>
      <c r="W911" s="52"/>
      <c r="X911" s="52"/>
      <c r="Y911" s="52"/>
    </row>
    <row r="912" spans="1:25">
      <c r="A912" s="49"/>
      <c r="P912" s="52"/>
      <c r="Q912" s="52"/>
      <c r="R912" s="52"/>
      <c r="T912" s="52"/>
      <c r="U912" s="52"/>
      <c r="V912" s="52"/>
      <c r="W912" s="52"/>
      <c r="X912" s="52"/>
      <c r="Y912" s="52"/>
    </row>
    <row r="913" spans="1:25">
      <c r="A913" s="49"/>
      <c r="P913" s="52"/>
      <c r="Q913" s="52"/>
      <c r="R913" s="52"/>
      <c r="T913" s="52"/>
      <c r="U913" s="52"/>
      <c r="V913" s="52"/>
      <c r="W913" s="52"/>
      <c r="X913" s="52"/>
      <c r="Y913" s="52"/>
    </row>
    <row r="914" spans="1:25">
      <c r="A914" s="49"/>
      <c r="P914" s="52"/>
      <c r="Q914" s="52"/>
      <c r="R914" s="52"/>
      <c r="T914" s="52"/>
      <c r="U914" s="52"/>
      <c r="V914" s="52"/>
      <c r="W914" s="52"/>
      <c r="X914" s="52"/>
      <c r="Y914" s="52"/>
    </row>
    <row r="915" spans="1:25">
      <c r="A915" s="49"/>
      <c r="P915" s="52"/>
      <c r="Q915" s="52"/>
      <c r="R915" s="52"/>
      <c r="T915" s="52"/>
      <c r="U915" s="52"/>
      <c r="V915" s="52"/>
      <c r="W915" s="52"/>
      <c r="X915" s="52"/>
      <c r="Y915" s="52"/>
    </row>
    <row r="916" spans="1:25">
      <c r="A916" s="49"/>
      <c r="P916" s="52"/>
      <c r="Q916" s="52"/>
      <c r="R916" s="52"/>
      <c r="T916" s="52"/>
      <c r="U916" s="52"/>
      <c r="V916" s="52"/>
      <c r="W916" s="52"/>
      <c r="X916" s="52"/>
      <c r="Y916" s="52"/>
    </row>
    <row r="917" spans="1:25">
      <c r="A917" s="49"/>
      <c r="P917" s="52"/>
      <c r="Q917" s="52"/>
      <c r="R917" s="52"/>
      <c r="T917" s="52"/>
      <c r="U917" s="52"/>
      <c r="V917" s="52"/>
      <c r="W917" s="52"/>
      <c r="X917" s="52"/>
      <c r="Y917" s="52"/>
    </row>
    <row r="918" spans="1:25">
      <c r="A918" s="49"/>
      <c r="P918" s="52"/>
      <c r="Q918" s="52"/>
      <c r="R918" s="52"/>
      <c r="T918" s="52"/>
      <c r="U918" s="52"/>
      <c r="V918" s="52"/>
      <c r="W918" s="52"/>
      <c r="X918" s="52"/>
      <c r="Y918" s="52"/>
    </row>
    <row r="919" spans="1:25">
      <c r="A919" s="49"/>
      <c r="P919" s="52"/>
      <c r="Q919" s="52"/>
      <c r="R919" s="52"/>
      <c r="T919" s="52"/>
      <c r="U919" s="52"/>
      <c r="V919" s="52"/>
      <c r="W919" s="52"/>
      <c r="X919" s="52"/>
      <c r="Y919" s="52"/>
    </row>
    <row r="920" spans="1:25">
      <c r="A920" s="49"/>
      <c r="P920" s="52"/>
      <c r="Q920" s="52"/>
      <c r="R920" s="52"/>
      <c r="T920" s="52"/>
      <c r="U920" s="52"/>
      <c r="V920" s="52"/>
      <c r="W920" s="52"/>
      <c r="X920" s="52"/>
      <c r="Y920" s="52"/>
    </row>
    <row r="921" spans="1:25">
      <c r="A921" s="49"/>
      <c r="P921" s="52"/>
      <c r="Q921" s="52"/>
      <c r="R921" s="52"/>
      <c r="T921" s="52"/>
      <c r="U921" s="52"/>
      <c r="V921" s="52"/>
      <c r="W921" s="52"/>
      <c r="X921" s="52"/>
      <c r="Y921" s="52"/>
    </row>
    <row r="922" spans="1:25">
      <c r="A922" s="49"/>
      <c r="P922" s="52"/>
      <c r="Q922" s="52"/>
      <c r="R922" s="52"/>
      <c r="T922" s="52"/>
      <c r="U922" s="52"/>
      <c r="V922" s="52"/>
      <c r="W922" s="52"/>
      <c r="X922" s="52"/>
      <c r="Y922" s="52"/>
    </row>
    <row r="923" spans="1:25">
      <c r="A923" s="49"/>
      <c r="P923" s="52"/>
      <c r="Q923" s="52"/>
      <c r="R923" s="52"/>
      <c r="T923" s="52"/>
      <c r="U923" s="52"/>
      <c r="V923" s="52"/>
      <c r="W923" s="52"/>
      <c r="X923" s="52"/>
      <c r="Y923" s="52"/>
    </row>
    <row r="924" spans="1:25">
      <c r="A924" s="49"/>
      <c r="P924" s="52"/>
      <c r="Q924" s="52"/>
      <c r="R924" s="52"/>
      <c r="T924" s="52"/>
      <c r="U924" s="52"/>
      <c r="V924" s="52"/>
      <c r="W924" s="52"/>
      <c r="X924" s="52"/>
      <c r="Y924" s="52"/>
    </row>
    <row r="925" spans="1:25">
      <c r="A925" s="49"/>
      <c r="P925" s="52"/>
      <c r="Q925" s="52"/>
      <c r="R925" s="52"/>
      <c r="T925" s="52"/>
      <c r="U925" s="52"/>
      <c r="V925" s="52"/>
      <c r="W925" s="52"/>
      <c r="X925" s="52"/>
      <c r="Y925" s="52"/>
    </row>
    <row r="926" spans="1:25">
      <c r="A926" s="49"/>
      <c r="P926" s="52"/>
      <c r="Q926" s="52"/>
      <c r="R926" s="52"/>
      <c r="T926" s="52"/>
      <c r="U926" s="52"/>
      <c r="V926" s="52"/>
      <c r="W926" s="52"/>
      <c r="X926" s="52"/>
      <c r="Y926" s="52"/>
    </row>
    <row r="927" spans="1:25">
      <c r="A927" s="49"/>
      <c r="P927" s="52"/>
      <c r="Q927" s="52"/>
      <c r="R927" s="52"/>
      <c r="T927" s="52"/>
      <c r="U927" s="52"/>
      <c r="V927" s="52"/>
      <c r="W927" s="52"/>
      <c r="X927" s="52"/>
      <c r="Y927" s="52"/>
    </row>
    <row r="928" spans="1:25">
      <c r="A928" s="49"/>
      <c r="P928" s="52"/>
      <c r="Q928" s="52"/>
      <c r="R928" s="52"/>
      <c r="T928" s="52"/>
      <c r="U928" s="52"/>
      <c r="V928" s="52"/>
      <c r="W928" s="52"/>
      <c r="X928" s="52"/>
      <c r="Y928" s="52"/>
    </row>
    <row r="929" spans="1:25">
      <c r="A929" s="49"/>
      <c r="P929" s="52"/>
      <c r="Q929" s="52"/>
      <c r="R929" s="52"/>
      <c r="T929" s="52"/>
      <c r="U929" s="52"/>
      <c r="V929" s="52"/>
      <c r="W929" s="52"/>
      <c r="X929" s="52"/>
      <c r="Y929" s="52"/>
    </row>
    <row r="930" spans="1:25">
      <c r="A930" s="49"/>
      <c r="P930" s="52"/>
      <c r="Q930" s="52"/>
      <c r="R930" s="52"/>
      <c r="T930" s="52"/>
      <c r="U930" s="52"/>
      <c r="V930" s="52"/>
      <c r="W930" s="52"/>
      <c r="X930" s="52"/>
      <c r="Y930" s="52"/>
    </row>
    <row r="931" spans="1:25">
      <c r="A931" s="49"/>
      <c r="P931" s="52"/>
      <c r="Q931" s="52"/>
      <c r="R931" s="52"/>
      <c r="T931" s="52"/>
      <c r="U931" s="52"/>
      <c r="V931" s="52"/>
      <c r="W931" s="52"/>
      <c r="X931" s="52"/>
      <c r="Y931" s="52"/>
    </row>
    <row r="932" spans="1:25">
      <c r="A932" s="49"/>
      <c r="P932" s="52"/>
      <c r="Q932" s="52"/>
      <c r="R932" s="52"/>
      <c r="T932" s="52"/>
      <c r="U932" s="52"/>
      <c r="V932" s="52"/>
      <c r="W932" s="52"/>
      <c r="X932" s="52"/>
      <c r="Y932" s="52"/>
    </row>
    <row r="933" spans="1:25">
      <c r="A933" s="49"/>
      <c r="P933" s="52"/>
      <c r="Q933" s="52"/>
      <c r="R933" s="52"/>
      <c r="T933" s="52"/>
      <c r="U933" s="52"/>
      <c r="V933" s="52"/>
      <c r="W933" s="52"/>
      <c r="X933" s="52"/>
      <c r="Y933" s="52"/>
    </row>
    <row r="934" spans="1:25">
      <c r="A934" s="49"/>
      <c r="P934" s="52"/>
      <c r="Q934" s="52"/>
      <c r="R934" s="52"/>
      <c r="T934" s="52"/>
      <c r="U934" s="52"/>
      <c r="V934" s="52"/>
      <c r="W934" s="52"/>
      <c r="X934" s="52"/>
      <c r="Y934" s="52"/>
    </row>
    <row r="935" spans="1:25">
      <c r="A935" s="49"/>
      <c r="P935" s="52"/>
      <c r="Q935" s="52"/>
      <c r="R935" s="52"/>
      <c r="T935" s="52"/>
      <c r="U935" s="52"/>
      <c r="V935" s="52"/>
      <c r="W935" s="52"/>
      <c r="X935" s="52"/>
      <c r="Y935" s="52"/>
    </row>
    <row r="936" spans="1:25">
      <c r="A936" s="49"/>
      <c r="P936" s="52"/>
      <c r="Q936" s="52"/>
      <c r="R936" s="52"/>
      <c r="T936" s="52"/>
      <c r="U936" s="52"/>
      <c r="V936" s="52"/>
      <c r="W936" s="52"/>
      <c r="X936" s="52"/>
      <c r="Y936" s="52"/>
    </row>
    <row r="937" spans="1:25">
      <c r="A937" s="49"/>
      <c r="P937" s="52"/>
      <c r="Q937" s="52"/>
      <c r="R937" s="52"/>
      <c r="T937" s="52"/>
      <c r="U937" s="52"/>
      <c r="V937" s="52"/>
      <c r="W937" s="52"/>
      <c r="X937" s="52"/>
      <c r="Y937" s="52"/>
    </row>
    <row r="938" spans="1:25">
      <c r="A938" s="49"/>
      <c r="P938" s="52"/>
      <c r="Q938" s="52"/>
      <c r="R938" s="52"/>
      <c r="T938" s="52"/>
      <c r="U938" s="52"/>
      <c r="V938" s="52"/>
      <c r="W938" s="52"/>
      <c r="X938" s="52"/>
      <c r="Y938" s="52"/>
    </row>
    <row r="939" spans="1:25">
      <c r="A939" s="49"/>
      <c r="P939" s="52"/>
      <c r="Q939" s="52"/>
      <c r="R939" s="52"/>
      <c r="T939" s="52"/>
      <c r="U939" s="52"/>
      <c r="V939" s="52"/>
      <c r="W939" s="52"/>
      <c r="X939" s="52"/>
      <c r="Y939" s="52"/>
    </row>
    <row r="940" spans="1:25">
      <c r="A940" s="49"/>
      <c r="P940" s="52"/>
      <c r="Q940" s="52"/>
      <c r="R940" s="52"/>
      <c r="T940" s="52"/>
      <c r="U940" s="52"/>
      <c r="V940" s="52"/>
      <c r="W940" s="52"/>
      <c r="X940" s="52"/>
      <c r="Y940" s="52"/>
    </row>
    <row r="941" spans="1:25">
      <c r="A941" s="49"/>
      <c r="P941" s="52"/>
      <c r="Q941" s="52"/>
      <c r="R941" s="52"/>
      <c r="T941" s="52"/>
      <c r="U941" s="52"/>
      <c r="V941" s="52"/>
      <c r="W941" s="52"/>
      <c r="X941" s="52"/>
      <c r="Y941" s="52"/>
    </row>
    <row r="942" spans="1:25">
      <c r="A942" s="49"/>
      <c r="P942" s="52"/>
      <c r="Q942" s="52"/>
      <c r="R942" s="52"/>
      <c r="T942" s="52"/>
      <c r="U942" s="52"/>
      <c r="V942" s="52"/>
      <c r="W942" s="52"/>
      <c r="X942" s="52"/>
      <c r="Y942" s="52"/>
    </row>
    <row r="943" spans="1:25">
      <c r="A943" s="49"/>
      <c r="P943" s="52"/>
      <c r="Q943" s="52"/>
      <c r="R943" s="52"/>
      <c r="T943" s="52"/>
      <c r="U943" s="52"/>
      <c r="V943" s="52"/>
      <c r="W943" s="52"/>
      <c r="X943" s="52"/>
      <c r="Y943" s="52"/>
    </row>
    <row r="944" spans="1:25">
      <c r="A944" s="49"/>
      <c r="P944" s="52"/>
      <c r="Q944" s="52"/>
      <c r="R944" s="52"/>
      <c r="T944" s="52"/>
      <c r="U944" s="52"/>
      <c r="V944" s="52"/>
      <c r="W944" s="52"/>
      <c r="X944" s="52"/>
      <c r="Y944" s="52"/>
    </row>
    <row r="945" spans="1:25">
      <c r="A945" s="49"/>
      <c r="P945" s="52"/>
      <c r="Q945" s="52"/>
      <c r="R945" s="52"/>
      <c r="T945" s="52"/>
      <c r="U945" s="52"/>
      <c r="V945" s="52"/>
      <c r="W945" s="52"/>
      <c r="X945" s="52"/>
      <c r="Y945" s="52"/>
    </row>
    <row r="946" spans="1:25">
      <c r="A946" s="49"/>
      <c r="P946" s="52"/>
      <c r="Q946" s="52"/>
      <c r="R946" s="52"/>
      <c r="T946" s="52"/>
      <c r="U946" s="52"/>
      <c r="V946" s="52"/>
      <c r="W946" s="52"/>
      <c r="X946" s="52"/>
      <c r="Y946" s="52"/>
    </row>
    <row r="947" spans="1:25">
      <c r="A947" s="49"/>
      <c r="P947" s="52"/>
      <c r="Q947" s="52"/>
      <c r="R947" s="52"/>
      <c r="T947" s="52"/>
      <c r="U947" s="52"/>
      <c r="V947" s="52"/>
      <c r="W947" s="52"/>
      <c r="X947" s="52"/>
      <c r="Y947" s="52"/>
    </row>
    <row r="948" spans="1:25">
      <c r="A948" s="49"/>
      <c r="P948" s="52"/>
      <c r="Q948" s="52"/>
      <c r="R948" s="52"/>
      <c r="T948" s="52"/>
      <c r="U948" s="52"/>
      <c r="V948" s="52"/>
      <c r="W948" s="52"/>
      <c r="X948" s="52"/>
      <c r="Y948" s="52"/>
    </row>
    <row r="949" spans="1:25">
      <c r="A949" s="49"/>
      <c r="P949" s="52"/>
      <c r="Q949" s="52"/>
      <c r="R949" s="52"/>
      <c r="T949" s="52"/>
      <c r="U949" s="52"/>
      <c r="V949" s="52"/>
      <c r="W949" s="52"/>
      <c r="X949" s="52"/>
      <c r="Y949" s="52"/>
    </row>
    <row r="950" spans="1:25">
      <c r="A950" s="49"/>
      <c r="P950" s="52"/>
      <c r="Q950" s="52"/>
      <c r="R950" s="52"/>
      <c r="T950" s="52"/>
      <c r="U950" s="52"/>
      <c r="V950" s="52"/>
      <c r="W950" s="52"/>
      <c r="X950" s="52"/>
      <c r="Y950" s="52"/>
    </row>
    <row r="951" spans="1:25">
      <c r="A951" s="49"/>
      <c r="P951" s="52"/>
      <c r="Q951" s="52"/>
      <c r="R951" s="52"/>
      <c r="T951" s="52"/>
      <c r="U951" s="52"/>
      <c r="V951" s="52"/>
      <c r="W951" s="52"/>
      <c r="X951" s="52"/>
      <c r="Y951" s="52"/>
    </row>
    <row r="952" spans="1:25">
      <c r="A952" s="49"/>
      <c r="P952" s="52"/>
      <c r="Q952" s="52"/>
      <c r="R952" s="52"/>
      <c r="T952" s="52"/>
      <c r="U952" s="52"/>
      <c r="V952" s="52"/>
      <c r="W952" s="52"/>
      <c r="X952" s="52"/>
      <c r="Y952" s="52"/>
    </row>
    <row r="953" spans="1:25">
      <c r="A953" s="49"/>
      <c r="P953" s="52"/>
      <c r="Q953" s="52"/>
      <c r="R953" s="52"/>
      <c r="T953" s="52"/>
      <c r="U953" s="52"/>
      <c r="V953" s="52"/>
      <c r="W953" s="52"/>
      <c r="X953" s="52"/>
      <c r="Y953" s="52"/>
    </row>
    <row r="954" spans="1:25">
      <c r="A954" s="49"/>
      <c r="P954" s="52"/>
      <c r="Q954" s="52"/>
      <c r="R954" s="52"/>
      <c r="T954" s="52"/>
      <c r="U954" s="52"/>
      <c r="V954" s="52"/>
      <c r="W954" s="52"/>
      <c r="X954" s="52"/>
      <c r="Y954" s="52"/>
    </row>
    <row r="955" spans="1:25">
      <c r="A955" s="49"/>
      <c r="P955" s="52"/>
      <c r="Q955" s="52"/>
      <c r="R955" s="52"/>
      <c r="T955" s="52"/>
      <c r="U955" s="52"/>
      <c r="V955" s="52"/>
      <c r="W955" s="52"/>
      <c r="X955" s="52"/>
      <c r="Y955" s="52"/>
    </row>
    <row r="956" spans="1:25">
      <c r="A956" s="49"/>
      <c r="P956" s="52"/>
      <c r="Q956" s="52"/>
      <c r="R956" s="52"/>
      <c r="T956" s="52"/>
      <c r="U956" s="52"/>
      <c r="V956" s="52"/>
      <c r="W956" s="52"/>
      <c r="X956" s="52"/>
      <c r="Y956" s="52"/>
    </row>
    <row r="957" spans="1:25">
      <c r="A957" s="49"/>
      <c r="P957" s="52"/>
      <c r="Q957" s="52"/>
      <c r="R957" s="52"/>
      <c r="T957" s="52"/>
      <c r="U957" s="52"/>
      <c r="V957" s="52"/>
      <c r="W957" s="52"/>
      <c r="X957" s="52"/>
      <c r="Y957" s="52"/>
    </row>
    <row r="958" spans="1:25">
      <c r="A958" s="49"/>
      <c r="P958" s="52"/>
      <c r="Q958" s="52"/>
      <c r="R958" s="52"/>
      <c r="T958" s="52"/>
      <c r="U958" s="52"/>
      <c r="V958" s="52"/>
      <c r="W958" s="52"/>
      <c r="X958" s="52"/>
      <c r="Y958" s="52"/>
    </row>
    <row r="959" spans="1:25">
      <c r="A959" s="49"/>
      <c r="P959" s="52"/>
      <c r="Q959" s="52"/>
      <c r="R959" s="52"/>
      <c r="T959" s="52"/>
      <c r="U959" s="52"/>
      <c r="V959" s="52"/>
      <c r="W959" s="52"/>
      <c r="X959" s="52"/>
      <c r="Y959" s="52"/>
    </row>
    <row r="960" spans="1:25">
      <c r="A960" s="49"/>
      <c r="P960" s="52"/>
      <c r="Q960" s="52"/>
      <c r="R960" s="52"/>
      <c r="T960" s="52"/>
      <c r="U960" s="52"/>
      <c r="V960" s="52"/>
      <c r="W960" s="52"/>
      <c r="X960" s="52"/>
      <c r="Y960" s="52"/>
    </row>
    <row r="961" spans="1:25">
      <c r="A961" s="49"/>
      <c r="P961" s="52"/>
      <c r="Q961" s="52"/>
      <c r="R961" s="52"/>
      <c r="T961" s="52"/>
      <c r="U961" s="52"/>
      <c r="V961" s="52"/>
      <c r="W961" s="52"/>
      <c r="X961" s="52"/>
      <c r="Y961" s="52"/>
    </row>
    <row r="962" spans="1:25">
      <c r="A962" s="49"/>
      <c r="P962" s="52"/>
      <c r="Q962" s="52"/>
      <c r="R962" s="52"/>
      <c r="T962" s="52"/>
      <c r="U962" s="52"/>
      <c r="V962" s="52"/>
      <c r="W962" s="52"/>
      <c r="X962" s="52"/>
      <c r="Y962" s="52"/>
    </row>
    <row r="963" spans="1:25">
      <c r="A963" s="49"/>
      <c r="P963" s="52"/>
      <c r="Q963" s="52"/>
      <c r="R963" s="52"/>
      <c r="T963" s="52"/>
      <c r="U963" s="52"/>
      <c r="V963" s="52"/>
      <c r="W963" s="52"/>
      <c r="X963" s="52"/>
      <c r="Y963" s="52"/>
    </row>
    <row r="964" spans="1:25">
      <c r="A964" s="49"/>
      <c r="P964" s="52"/>
      <c r="Q964" s="52"/>
      <c r="R964" s="52"/>
      <c r="T964" s="52"/>
      <c r="U964" s="52"/>
      <c r="V964" s="52"/>
      <c r="W964" s="52"/>
      <c r="X964" s="52"/>
      <c r="Y964" s="52"/>
    </row>
    <row r="965" spans="1:25">
      <c r="A965" s="49"/>
      <c r="P965" s="52"/>
      <c r="Q965" s="52"/>
      <c r="R965" s="52"/>
      <c r="T965" s="52"/>
      <c r="U965" s="52"/>
      <c r="V965" s="52"/>
      <c r="W965" s="52"/>
      <c r="X965" s="52"/>
      <c r="Y965" s="52"/>
    </row>
    <row r="966" spans="1:25">
      <c r="A966" s="49"/>
      <c r="P966" s="52"/>
      <c r="Q966" s="52"/>
      <c r="R966" s="52"/>
      <c r="T966" s="52"/>
      <c r="U966" s="52"/>
      <c r="V966" s="52"/>
      <c r="W966" s="52"/>
      <c r="X966" s="52"/>
      <c r="Y966" s="52"/>
    </row>
    <row r="967" spans="1:25">
      <c r="A967" s="49"/>
      <c r="P967" s="52"/>
      <c r="Q967" s="52"/>
      <c r="R967" s="52"/>
      <c r="T967" s="52"/>
      <c r="U967" s="52"/>
      <c r="V967" s="52"/>
      <c r="W967" s="52"/>
      <c r="X967" s="52"/>
      <c r="Y967" s="52"/>
    </row>
    <row r="968" spans="1:25">
      <c r="A968" s="49"/>
      <c r="P968" s="52"/>
      <c r="Q968" s="52"/>
      <c r="R968" s="52"/>
      <c r="T968" s="52"/>
      <c r="U968" s="52"/>
      <c r="V968" s="52"/>
      <c r="W968" s="52"/>
      <c r="X968" s="52"/>
      <c r="Y968" s="52"/>
    </row>
    <row r="969" spans="1:25">
      <c r="A969" s="49"/>
      <c r="P969" s="52"/>
      <c r="Q969" s="52"/>
      <c r="R969" s="52"/>
      <c r="T969" s="52"/>
      <c r="U969" s="52"/>
      <c r="V969" s="52"/>
      <c r="W969" s="52"/>
      <c r="X969" s="52"/>
      <c r="Y969" s="52"/>
    </row>
    <row r="970" spans="1:25">
      <c r="A970" s="49"/>
      <c r="P970" s="52"/>
      <c r="Q970" s="52"/>
      <c r="R970" s="52"/>
      <c r="T970" s="52"/>
      <c r="U970" s="52"/>
      <c r="V970" s="52"/>
      <c r="W970" s="52"/>
      <c r="X970" s="52"/>
      <c r="Y970" s="52"/>
    </row>
    <row r="971" spans="1:25">
      <c r="A971" s="49"/>
      <c r="P971" s="52"/>
      <c r="Q971" s="52"/>
      <c r="R971" s="52"/>
      <c r="T971" s="52"/>
      <c r="U971" s="52"/>
      <c r="V971" s="52"/>
      <c r="W971" s="52"/>
      <c r="X971" s="52"/>
      <c r="Y971" s="52"/>
    </row>
    <row r="972" spans="1:25">
      <c r="A972" s="49"/>
      <c r="P972" s="52"/>
      <c r="Q972" s="52"/>
      <c r="R972" s="52"/>
      <c r="T972" s="52"/>
      <c r="U972" s="52"/>
      <c r="V972" s="52"/>
      <c r="W972" s="52"/>
      <c r="X972" s="52"/>
      <c r="Y972" s="52"/>
    </row>
    <row r="973" spans="1:25">
      <c r="A973" s="49"/>
      <c r="P973" s="52"/>
      <c r="Q973" s="52"/>
      <c r="R973" s="52"/>
      <c r="T973" s="52"/>
      <c r="U973" s="52"/>
      <c r="V973" s="52"/>
      <c r="W973" s="52"/>
      <c r="X973" s="52"/>
      <c r="Y973" s="52"/>
    </row>
    <row r="974" spans="1:25">
      <c r="A974" s="49"/>
      <c r="P974" s="52"/>
      <c r="Q974" s="52"/>
      <c r="R974" s="52"/>
      <c r="T974" s="52"/>
      <c r="U974" s="52"/>
      <c r="V974" s="52"/>
      <c r="W974" s="52"/>
      <c r="X974" s="52"/>
      <c r="Y974" s="52"/>
    </row>
    <row r="975" spans="1:25">
      <c r="A975" s="49"/>
      <c r="P975" s="52"/>
      <c r="Q975" s="52"/>
      <c r="R975" s="52"/>
      <c r="T975" s="52"/>
      <c r="U975" s="52"/>
      <c r="V975" s="52"/>
      <c r="W975" s="52"/>
      <c r="X975" s="52"/>
      <c r="Y975" s="52"/>
    </row>
    <row r="976" spans="1:25">
      <c r="A976" s="49"/>
      <c r="P976" s="52"/>
      <c r="Q976" s="52"/>
      <c r="R976" s="52"/>
      <c r="T976" s="52"/>
      <c r="U976" s="52"/>
      <c r="V976" s="52"/>
      <c r="W976" s="52"/>
      <c r="X976" s="52"/>
      <c r="Y976" s="52"/>
    </row>
    <row r="977" spans="1:25">
      <c r="A977" s="49"/>
      <c r="P977" s="52"/>
      <c r="Q977" s="52"/>
      <c r="R977" s="52"/>
      <c r="T977" s="52"/>
      <c r="U977" s="52"/>
      <c r="V977" s="52"/>
      <c r="W977" s="52"/>
      <c r="X977" s="52"/>
      <c r="Y977" s="52"/>
    </row>
    <row r="978" spans="1:25">
      <c r="A978" s="49"/>
      <c r="P978" s="52"/>
      <c r="Q978" s="52"/>
      <c r="R978" s="52"/>
      <c r="T978" s="52"/>
      <c r="U978" s="52"/>
      <c r="V978" s="52"/>
      <c r="W978" s="52"/>
      <c r="X978" s="52"/>
      <c r="Y978" s="52"/>
    </row>
    <row r="979" spans="1:25">
      <c r="A979" s="49"/>
      <c r="P979" s="52"/>
      <c r="Q979" s="52"/>
      <c r="R979" s="52"/>
      <c r="T979" s="52"/>
      <c r="U979" s="52"/>
      <c r="V979" s="52"/>
      <c r="W979" s="52"/>
      <c r="X979" s="52"/>
      <c r="Y979" s="52"/>
    </row>
    <row r="980" spans="1:25">
      <c r="A980" s="49"/>
      <c r="P980" s="52"/>
      <c r="Q980" s="52"/>
      <c r="R980" s="52"/>
      <c r="T980" s="52"/>
      <c r="U980" s="52"/>
      <c r="V980" s="52"/>
      <c r="W980" s="52"/>
      <c r="X980" s="52"/>
      <c r="Y980" s="52"/>
    </row>
    <row r="981" spans="1:25">
      <c r="A981" s="49"/>
      <c r="P981" s="52"/>
      <c r="Q981" s="52"/>
      <c r="R981" s="52"/>
      <c r="T981" s="52"/>
      <c r="U981" s="52"/>
      <c r="V981" s="52"/>
      <c r="W981" s="52"/>
      <c r="X981" s="52"/>
      <c r="Y981" s="52"/>
    </row>
    <row r="982" spans="1:25">
      <c r="A982" s="49"/>
      <c r="P982" s="52"/>
      <c r="Q982" s="52"/>
      <c r="R982" s="52"/>
      <c r="T982" s="52"/>
      <c r="U982" s="52"/>
      <c r="V982" s="52"/>
      <c r="W982" s="52"/>
      <c r="X982" s="52"/>
      <c r="Y982" s="52"/>
    </row>
    <row r="983" spans="1:25">
      <c r="A983" s="49"/>
      <c r="P983" s="52"/>
      <c r="Q983" s="52"/>
      <c r="R983" s="52"/>
      <c r="T983" s="52"/>
      <c r="U983" s="52"/>
      <c r="V983" s="52"/>
      <c r="W983" s="52"/>
      <c r="X983" s="52"/>
      <c r="Y983" s="52"/>
    </row>
    <row r="984" spans="1:25">
      <c r="A984" s="49"/>
      <c r="P984" s="52"/>
      <c r="Q984" s="52"/>
      <c r="R984" s="52"/>
      <c r="T984" s="52"/>
      <c r="U984" s="52"/>
      <c r="V984" s="52"/>
      <c r="W984" s="52"/>
      <c r="X984" s="52"/>
      <c r="Y984" s="52"/>
    </row>
    <row r="985" spans="1:25">
      <c r="A985" s="49"/>
      <c r="P985" s="52"/>
      <c r="Q985" s="52"/>
      <c r="R985" s="52"/>
      <c r="T985" s="52"/>
      <c r="U985" s="52"/>
      <c r="V985" s="52"/>
      <c r="W985" s="52"/>
      <c r="X985" s="52"/>
      <c r="Y985" s="52"/>
    </row>
    <row r="986" spans="1:25">
      <c r="A986" s="49"/>
      <c r="P986" s="52"/>
      <c r="Q986" s="52"/>
      <c r="R986" s="52"/>
      <c r="T986" s="52"/>
      <c r="U986" s="52"/>
      <c r="V986" s="52"/>
      <c r="W986" s="52"/>
      <c r="X986" s="52"/>
      <c r="Y986" s="52"/>
    </row>
    <row r="987" spans="1:25">
      <c r="A987" s="49"/>
      <c r="P987" s="52"/>
      <c r="Q987" s="52"/>
      <c r="R987" s="52"/>
      <c r="T987" s="52"/>
      <c r="U987" s="52"/>
      <c r="V987" s="52"/>
      <c r="W987" s="52"/>
      <c r="X987" s="52"/>
      <c r="Y987" s="52"/>
    </row>
    <row r="988" spans="1:25">
      <c r="A988" s="49"/>
      <c r="P988" s="52"/>
      <c r="Q988" s="52"/>
      <c r="R988" s="52"/>
      <c r="T988" s="52"/>
      <c r="U988" s="52"/>
      <c r="V988" s="52"/>
      <c r="W988" s="52"/>
      <c r="X988" s="52"/>
      <c r="Y988" s="52"/>
    </row>
    <row r="989" spans="1:25">
      <c r="A989" s="49"/>
      <c r="P989" s="52"/>
      <c r="Q989" s="52"/>
      <c r="R989" s="52"/>
      <c r="T989" s="52"/>
      <c r="U989" s="52"/>
      <c r="V989" s="52"/>
      <c r="W989" s="52"/>
      <c r="X989" s="52"/>
      <c r="Y989" s="52"/>
    </row>
    <row r="990" spans="1:25">
      <c r="A990" s="49"/>
      <c r="P990" s="52"/>
      <c r="Q990" s="52"/>
      <c r="R990" s="52"/>
      <c r="T990" s="52"/>
      <c r="U990" s="52"/>
      <c r="V990" s="52"/>
      <c r="W990" s="52"/>
      <c r="X990" s="52"/>
      <c r="Y990" s="52"/>
    </row>
    <row r="991" spans="1:25">
      <c r="A991" s="49"/>
      <c r="P991" s="52"/>
      <c r="Q991" s="52"/>
      <c r="R991" s="52"/>
      <c r="T991" s="52"/>
      <c r="U991" s="52"/>
      <c r="V991" s="52"/>
      <c r="W991" s="52"/>
      <c r="X991" s="52"/>
      <c r="Y991" s="52"/>
    </row>
    <row r="992" spans="1:25">
      <c r="A992" s="49"/>
      <c r="P992" s="52"/>
      <c r="Q992" s="52"/>
      <c r="R992" s="52"/>
      <c r="T992" s="52"/>
      <c r="U992" s="52"/>
      <c r="V992" s="52"/>
      <c r="W992" s="52"/>
      <c r="X992" s="52"/>
      <c r="Y992" s="52"/>
    </row>
    <row r="993" spans="1:25">
      <c r="A993" s="49"/>
      <c r="P993" s="52"/>
      <c r="Q993" s="52"/>
      <c r="R993" s="52"/>
      <c r="T993" s="52"/>
      <c r="U993" s="52"/>
      <c r="V993" s="52"/>
      <c r="W993" s="52"/>
      <c r="X993" s="52"/>
      <c r="Y993" s="52"/>
    </row>
    <row r="994" spans="1:25">
      <c r="A994" s="49"/>
      <c r="P994" s="52"/>
      <c r="Q994" s="52"/>
      <c r="R994" s="52"/>
      <c r="T994" s="52"/>
      <c r="U994" s="52"/>
      <c r="V994" s="52"/>
      <c r="W994" s="52"/>
      <c r="X994" s="52"/>
      <c r="Y994" s="52"/>
    </row>
    <row r="995" spans="1:25">
      <c r="A995" s="49"/>
      <c r="P995" s="52"/>
      <c r="Q995" s="52"/>
      <c r="R995" s="52"/>
      <c r="T995" s="52"/>
      <c r="U995" s="52"/>
      <c r="V995" s="52"/>
      <c r="W995" s="52"/>
      <c r="X995" s="52"/>
      <c r="Y995" s="52"/>
    </row>
    <row r="996" spans="1:25">
      <c r="A996" s="49"/>
      <c r="P996" s="52"/>
      <c r="Q996" s="52"/>
      <c r="R996" s="52"/>
      <c r="T996" s="52"/>
      <c r="U996" s="52"/>
      <c r="V996" s="52"/>
      <c r="W996" s="52"/>
      <c r="X996" s="52"/>
      <c r="Y996" s="52"/>
    </row>
    <row r="997" spans="1:25">
      <c r="A997" s="49"/>
      <c r="P997" s="52"/>
      <c r="Q997" s="52"/>
      <c r="R997" s="52"/>
      <c r="T997" s="52"/>
      <c r="U997" s="52"/>
      <c r="V997" s="52"/>
      <c r="W997" s="52"/>
      <c r="X997" s="52"/>
      <c r="Y997" s="52"/>
    </row>
    <row r="998" spans="1:25">
      <c r="A998" s="49"/>
      <c r="P998" s="52"/>
      <c r="Q998" s="52"/>
      <c r="R998" s="52"/>
      <c r="T998" s="52"/>
      <c r="U998" s="52"/>
      <c r="V998" s="52"/>
      <c r="W998" s="52"/>
      <c r="X998" s="52"/>
      <c r="Y998" s="52"/>
    </row>
    <row r="999" spans="1:25">
      <c r="A999" s="49"/>
      <c r="P999" s="52"/>
      <c r="Q999" s="52"/>
      <c r="R999" s="52"/>
      <c r="T999" s="52"/>
      <c r="U999" s="52"/>
      <c r="V999" s="52"/>
      <c r="W999" s="52"/>
      <c r="X999" s="52"/>
      <c r="Y999" s="52"/>
    </row>
    <row r="1000" spans="1:25">
      <c r="A1000" s="49"/>
      <c r="P1000" s="52"/>
      <c r="Q1000" s="52"/>
      <c r="R1000" s="52"/>
      <c r="T1000" s="52"/>
      <c r="U1000" s="52"/>
      <c r="V1000" s="52"/>
      <c r="W1000" s="52"/>
      <c r="X1000" s="52"/>
      <c r="Y1000" s="52"/>
    </row>
    <row r="1001" spans="1:25">
      <c r="A1001" s="49"/>
      <c r="P1001" s="52"/>
      <c r="Q1001" s="52"/>
      <c r="R1001" s="52"/>
      <c r="T1001" s="52"/>
      <c r="U1001" s="52"/>
      <c r="V1001" s="52"/>
      <c r="W1001" s="52"/>
      <c r="X1001" s="52"/>
      <c r="Y1001" s="52"/>
    </row>
    <row r="1002" spans="1:25">
      <c r="A1002" s="49"/>
      <c r="P1002" s="52"/>
      <c r="Q1002" s="52"/>
      <c r="R1002" s="52"/>
      <c r="T1002" s="52"/>
      <c r="U1002" s="52"/>
      <c r="V1002" s="52"/>
      <c r="W1002" s="52"/>
      <c r="X1002" s="52"/>
      <c r="Y1002" s="52"/>
    </row>
    <row r="1003" spans="1:25">
      <c r="A1003" s="49"/>
      <c r="P1003" s="52"/>
      <c r="Q1003" s="52"/>
      <c r="R1003" s="52"/>
      <c r="T1003" s="52"/>
      <c r="U1003" s="52"/>
      <c r="V1003" s="52"/>
      <c r="W1003" s="52"/>
      <c r="X1003" s="52"/>
      <c r="Y1003" s="52"/>
    </row>
    <row r="1004" spans="1:25">
      <c r="A1004" s="49"/>
      <c r="P1004" s="52"/>
      <c r="Q1004" s="52"/>
      <c r="R1004" s="52"/>
      <c r="T1004" s="52"/>
      <c r="U1004" s="52"/>
      <c r="V1004" s="52"/>
      <c r="W1004" s="52"/>
      <c r="X1004" s="52"/>
      <c r="Y1004" s="52"/>
    </row>
    <row r="1005" spans="1:25">
      <c r="A1005" s="49"/>
      <c r="P1005" s="52"/>
      <c r="Q1005" s="52"/>
      <c r="R1005" s="52"/>
      <c r="T1005" s="52"/>
      <c r="U1005" s="52"/>
      <c r="V1005" s="52"/>
      <c r="W1005" s="52"/>
      <c r="X1005" s="52"/>
      <c r="Y1005" s="52"/>
    </row>
    <row r="1006" spans="1:25">
      <c r="A1006" s="49"/>
      <c r="P1006" s="52"/>
      <c r="Q1006" s="52"/>
      <c r="R1006" s="52"/>
      <c r="T1006" s="52"/>
      <c r="U1006" s="52"/>
      <c r="V1006" s="52"/>
      <c r="W1006" s="52"/>
      <c r="X1006" s="52"/>
      <c r="Y1006" s="52"/>
    </row>
    <row r="1007" spans="1:25">
      <c r="A1007" s="49"/>
      <c r="P1007" s="52"/>
      <c r="Q1007" s="52"/>
      <c r="R1007" s="52"/>
      <c r="T1007" s="52"/>
      <c r="U1007" s="52"/>
      <c r="V1007" s="52"/>
      <c r="W1007" s="52"/>
      <c r="X1007" s="52"/>
      <c r="Y1007" s="52"/>
    </row>
    <row r="1008" spans="1:25">
      <c r="A1008" s="49"/>
      <c r="P1008" s="52"/>
      <c r="Q1008" s="52"/>
      <c r="R1008" s="52"/>
      <c r="T1008" s="52"/>
      <c r="U1008" s="52"/>
      <c r="V1008" s="52"/>
      <c r="W1008" s="52"/>
      <c r="X1008" s="52"/>
      <c r="Y1008" s="52"/>
    </row>
    <row r="1009" spans="1:25">
      <c r="A1009" s="49"/>
      <c r="P1009" s="52"/>
      <c r="Q1009" s="52"/>
      <c r="R1009" s="52"/>
      <c r="T1009" s="52"/>
      <c r="U1009" s="52"/>
      <c r="V1009" s="52"/>
      <c r="W1009" s="52"/>
      <c r="X1009" s="52"/>
      <c r="Y1009" s="52"/>
    </row>
    <row r="1010" spans="1:25">
      <c r="A1010" s="49"/>
      <c r="P1010" s="52"/>
      <c r="Q1010" s="52"/>
      <c r="R1010" s="52"/>
      <c r="T1010" s="52"/>
      <c r="U1010" s="52"/>
      <c r="V1010" s="52"/>
      <c r="W1010" s="52"/>
      <c r="X1010" s="52"/>
      <c r="Y1010" s="52"/>
    </row>
    <row r="1011" spans="1:25">
      <c r="A1011" s="49"/>
      <c r="P1011" s="52"/>
      <c r="Q1011" s="52"/>
      <c r="R1011" s="52"/>
      <c r="T1011" s="52"/>
      <c r="U1011" s="52"/>
      <c r="V1011" s="52"/>
      <c r="W1011" s="52"/>
      <c r="X1011" s="52"/>
      <c r="Y1011" s="52"/>
    </row>
    <row r="1012" spans="1:25">
      <c r="A1012" s="49"/>
      <c r="P1012" s="52"/>
      <c r="Q1012" s="52"/>
      <c r="R1012" s="52"/>
      <c r="T1012" s="52"/>
      <c r="U1012" s="52"/>
      <c r="V1012" s="52"/>
      <c r="W1012" s="52"/>
      <c r="X1012" s="52"/>
      <c r="Y1012" s="52"/>
    </row>
    <row r="1013" spans="1:25">
      <c r="A1013" s="49"/>
      <c r="P1013" s="52"/>
      <c r="Q1013" s="52"/>
      <c r="R1013" s="52"/>
      <c r="T1013" s="52"/>
      <c r="U1013" s="52"/>
      <c r="V1013" s="52"/>
      <c r="W1013" s="52"/>
      <c r="X1013" s="52"/>
      <c r="Y1013" s="52"/>
    </row>
    <row r="1014" spans="1:25">
      <c r="A1014" s="49"/>
      <c r="P1014" s="52"/>
      <c r="Q1014" s="52"/>
      <c r="R1014" s="52"/>
      <c r="T1014" s="52"/>
      <c r="U1014" s="52"/>
      <c r="V1014" s="52"/>
      <c r="W1014" s="52"/>
      <c r="X1014" s="52"/>
      <c r="Y1014" s="52"/>
    </row>
    <row r="1015" spans="1:25">
      <c r="A1015" s="49"/>
      <c r="P1015" s="52"/>
      <c r="Q1015" s="52"/>
      <c r="R1015" s="52"/>
      <c r="T1015" s="52"/>
      <c r="U1015" s="52"/>
      <c r="V1015" s="52"/>
      <c r="W1015" s="52"/>
      <c r="X1015" s="52"/>
      <c r="Y1015" s="52"/>
    </row>
    <row r="1016" spans="1:25">
      <c r="A1016" s="49"/>
      <c r="P1016" s="52"/>
      <c r="Q1016" s="52"/>
      <c r="R1016" s="52"/>
      <c r="T1016" s="52"/>
      <c r="U1016" s="52"/>
      <c r="V1016" s="52"/>
      <c r="W1016" s="52"/>
      <c r="X1016" s="52"/>
      <c r="Y1016" s="52"/>
    </row>
    <row r="1017" spans="1:25">
      <c r="A1017" s="49"/>
      <c r="P1017" s="52"/>
      <c r="Q1017" s="52"/>
      <c r="R1017" s="52"/>
      <c r="T1017" s="52"/>
      <c r="U1017" s="52"/>
      <c r="V1017" s="52"/>
      <c r="W1017" s="52"/>
      <c r="X1017" s="52"/>
      <c r="Y1017" s="52"/>
    </row>
    <row r="1018" spans="1:25">
      <c r="A1018" s="49"/>
      <c r="P1018" s="52"/>
      <c r="Q1018" s="52"/>
      <c r="R1018" s="52"/>
      <c r="T1018" s="52"/>
      <c r="U1018" s="52"/>
      <c r="V1018" s="52"/>
      <c r="W1018" s="52"/>
      <c r="X1018" s="52"/>
      <c r="Y1018" s="52"/>
    </row>
    <row r="1019" spans="1:25">
      <c r="A1019" s="49"/>
      <c r="P1019" s="52"/>
      <c r="Q1019" s="52"/>
      <c r="R1019" s="52"/>
      <c r="T1019" s="52"/>
      <c r="U1019" s="52"/>
      <c r="V1019" s="52"/>
      <c r="W1019" s="52"/>
      <c r="X1019" s="52"/>
      <c r="Y1019" s="52"/>
    </row>
    <row r="1020" spans="1:25">
      <c r="A1020" s="49"/>
      <c r="P1020" s="52"/>
      <c r="Q1020" s="52"/>
      <c r="R1020" s="52"/>
      <c r="T1020" s="52"/>
      <c r="U1020" s="52"/>
      <c r="V1020" s="52"/>
      <c r="W1020" s="52"/>
      <c r="X1020" s="52"/>
      <c r="Y1020" s="52"/>
    </row>
    <row r="1021" spans="1:25">
      <c r="A1021" s="49"/>
      <c r="P1021" s="52"/>
      <c r="Q1021" s="52"/>
      <c r="R1021" s="52"/>
      <c r="T1021" s="52"/>
      <c r="U1021" s="52"/>
      <c r="V1021" s="52"/>
      <c r="W1021" s="52"/>
      <c r="X1021" s="52"/>
      <c r="Y1021" s="52"/>
    </row>
    <row r="1022" spans="1:25">
      <c r="A1022" s="49"/>
      <c r="P1022" s="52"/>
      <c r="Q1022" s="52"/>
      <c r="R1022" s="52"/>
      <c r="T1022" s="52"/>
      <c r="U1022" s="52"/>
      <c r="V1022" s="52"/>
      <c r="W1022" s="52"/>
      <c r="X1022" s="52"/>
      <c r="Y1022" s="52"/>
    </row>
    <row r="1023" spans="1:25">
      <c r="A1023" s="49"/>
      <c r="P1023" s="52"/>
      <c r="Q1023" s="52"/>
      <c r="R1023" s="52"/>
      <c r="T1023" s="52"/>
      <c r="U1023" s="52"/>
      <c r="V1023" s="52"/>
      <c r="W1023" s="52"/>
      <c r="X1023" s="52"/>
      <c r="Y1023" s="52"/>
    </row>
    <row r="1024" spans="1:25">
      <c r="A1024" s="49"/>
      <c r="P1024" s="52"/>
      <c r="Q1024" s="52"/>
      <c r="R1024" s="52"/>
      <c r="T1024" s="52"/>
      <c r="U1024" s="52"/>
      <c r="V1024" s="52"/>
      <c r="W1024" s="52"/>
      <c r="X1024" s="52"/>
      <c r="Y1024" s="52"/>
    </row>
    <row r="1025" spans="1:25">
      <c r="A1025" s="49"/>
      <c r="P1025" s="52"/>
      <c r="Q1025" s="52"/>
      <c r="R1025" s="52"/>
      <c r="T1025" s="52"/>
      <c r="U1025" s="52"/>
      <c r="V1025" s="52"/>
      <c r="W1025" s="52"/>
      <c r="X1025" s="52"/>
      <c r="Y1025" s="52"/>
    </row>
    <row r="1026" spans="1:25">
      <c r="A1026" s="49"/>
      <c r="P1026" s="52"/>
      <c r="Q1026" s="52"/>
      <c r="R1026" s="52"/>
      <c r="T1026" s="52"/>
      <c r="U1026" s="52"/>
      <c r="V1026" s="52"/>
      <c r="W1026" s="52"/>
      <c r="X1026" s="52"/>
      <c r="Y1026" s="52"/>
    </row>
    <row r="1027" spans="1:25">
      <c r="A1027" s="49"/>
      <c r="P1027" s="52"/>
      <c r="Q1027" s="52"/>
      <c r="R1027" s="52"/>
      <c r="T1027" s="52"/>
      <c r="U1027" s="52"/>
      <c r="V1027" s="52"/>
      <c r="W1027" s="52"/>
      <c r="X1027" s="52"/>
      <c r="Y1027" s="52"/>
    </row>
    <row r="1028" spans="1:25">
      <c r="A1028" s="49"/>
      <c r="P1028" s="52"/>
      <c r="Q1028" s="52"/>
      <c r="R1028" s="52"/>
      <c r="T1028" s="52"/>
      <c r="U1028" s="52"/>
      <c r="V1028" s="52"/>
      <c r="W1028" s="52"/>
      <c r="X1028" s="52"/>
      <c r="Y1028" s="52"/>
    </row>
    <row r="1029" spans="1:25">
      <c r="A1029" s="49"/>
      <c r="P1029" s="52"/>
      <c r="Q1029" s="52"/>
      <c r="R1029" s="52"/>
      <c r="T1029" s="52"/>
      <c r="U1029" s="52"/>
      <c r="V1029" s="52"/>
      <c r="W1029" s="52"/>
      <c r="X1029" s="52"/>
      <c r="Y1029" s="52"/>
    </row>
    <row r="1030" spans="1:25">
      <c r="A1030" s="49"/>
      <c r="P1030" s="52"/>
      <c r="Q1030" s="52"/>
      <c r="R1030" s="52"/>
      <c r="T1030" s="52"/>
      <c r="U1030" s="52"/>
      <c r="V1030" s="52"/>
      <c r="W1030" s="52"/>
      <c r="X1030" s="52"/>
      <c r="Y1030" s="52"/>
    </row>
    <row r="1031" spans="1:25">
      <c r="A1031" s="49"/>
      <c r="P1031" s="52"/>
      <c r="Q1031" s="52"/>
      <c r="R1031" s="52"/>
      <c r="T1031" s="52"/>
      <c r="U1031" s="52"/>
      <c r="V1031" s="52"/>
      <c r="W1031" s="52"/>
      <c r="X1031" s="52"/>
      <c r="Y1031" s="52"/>
    </row>
    <row r="1032" spans="1:25">
      <c r="A1032" s="49"/>
      <c r="P1032" s="52"/>
      <c r="Q1032" s="52"/>
      <c r="R1032" s="52"/>
      <c r="T1032" s="52"/>
      <c r="U1032" s="52"/>
      <c r="V1032" s="52"/>
      <c r="W1032" s="52"/>
      <c r="X1032" s="52"/>
      <c r="Y1032" s="52"/>
    </row>
    <row r="1033" spans="1:25">
      <c r="A1033" s="49"/>
      <c r="P1033" s="52"/>
      <c r="Q1033" s="52"/>
      <c r="R1033" s="52"/>
      <c r="T1033" s="52"/>
      <c r="U1033" s="52"/>
      <c r="V1033" s="52"/>
      <c r="W1033" s="52"/>
      <c r="X1033" s="52"/>
      <c r="Y1033" s="52"/>
    </row>
    <row r="1034" spans="1:25">
      <c r="A1034" s="49"/>
      <c r="P1034" s="52"/>
      <c r="Q1034" s="52"/>
      <c r="R1034" s="52"/>
      <c r="T1034" s="52"/>
      <c r="U1034" s="52"/>
      <c r="V1034" s="52"/>
      <c r="W1034" s="52"/>
      <c r="X1034" s="52"/>
      <c r="Y1034" s="52"/>
    </row>
    <row r="1035" spans="1:25">
      <c r="A1035" s="49"/>
      <c r="P1035" s="52"/>
      <c r="Q1035" s="52"/>
      <c r="R1035" s="52"/>
      <c r="T1035" s="52"/>
      <c r="U1035" s="52"/>
      <c r="V1035" s="52"/>
      <c r="W1035" s="52"/>
      <c r="X1035" s="52"/>
      <c r="Y1035" s="52"/>
    </row>
    <row r="1036" spans="1:25">
      <c r="A1036" s="49"/>
      <c r="P1036" s="52"/>
      <c r="Q1036" s="52"/>
      <c r="R1036" s="52"/>
      <c r="T1036" s="52"/>
      <c r="U1036" s="52"/>
      <c r="V1036" s="52"/>
      <c r="W1036" s="52"/>
      <c r="X1036" s="52"/>
      <c r="Y1036" s="52"/>
    </row>
    <row r="1037" spans="1:25">
      <c r="A1037" s="49"/>
      <c r="P1037" s="52"/>
      <c r="Q1037" s="52"/>
      <c r="R1037" s="52"/>
      <c r="T1037" s="52"/>
      <c r="U1037" s="52"/>
      <c r="V1037" s="52"/>
      <c r="W1037" s="52"/>
      <c r="X1037" s="52"/>
      <c r="Y1037" s="52"/>
    </row>
    <row r="1038" spans="1:25">
      <c r="A1038" s="49"/>
      <c r="P1038" s="52"/>
      <c r="Q1038" s="52"/>
      <c r="R1038" s="52"/>
      <c r="T1038" s="52"/>
      <c r="U1038" s="52"/>
      <c r="V1038" s="52"/>
      <c r="W1038" s="52"/>
      <c r="X1038" s="52"/>
      <c r="Y1038" s="52"/>
    </row>
    <row r="1039" spans="1:25">
      <c r="A1039" s="49"/>
      <c r="P1039" s="52"/>
      <c r="Q1039" s="52"/>
      <c r="R1039" s="52"/>
      <c r="T1039" s="52"/>
      <c r="U1039" s="52"/>
      <c r="V1039" s="52"/>
      <c r="W1039" s="52"/>
      <c r="X1039" s="52"/>
      <c r="Y1039" s="52"/>
    </row>
    <row r="1040" spans="1:25">
      <c r="A1040" s="49"/>
      <c r="P1040" s="52"/>
      <c r="Q1040" s="52"/>
      <c r="R1040" s="52"/>
      <c r="T1040" s="52"/>
      <c r="U1040" s="52"/>
      <c r="V1040" s="52"/>
      <c r="W1040" s="52"/>
      <c r="X1040" s="52"/>
      <c r="Y1040" s="52"/>
    </row>
    <row r="1041" spans="1:25">
      <c r="A1041" s="49"/>
      <c r="P1041" s="52"/>
      <c r="Q1041" s="52"/>
      <c r="R1041" s="52"/>
      <c r="T1041" s="52"/>
      <c r="U1041" s="52"/>
      <c r="V1041" s="52"/>
      <c r="W1041" s="52"/>
      <c r="X1041" s="52"/>
      <c r="Y1041" s="52"/>
    </row>
    <row r="1042" spans="1:25">
      <c r="A1042" s="49"/>
      <c r="P1042" s="52"/>
      <c r="Q1042" s="52"/>
      <c r="R1042" s="52"/>
      <c r="T1042" s="52"/>
      <c r="U1042" s="52"/>
      <c r="V1042" s="52"/>
      <c r="W1042" s="52"/>
      <c r="X1042" s="52"/>
      <c r="Y1042" s="52"/>
    </row>
    <row r="1043" spans="1:25">
      <c r="A1043" s="49"/>
      <c r="P1043" s="52"/>
      <c r="Q1043" s="52"/>
      <c r="R1043" s="52"/>
      <c r="T1043" s="52"/>
      <c r="U1043" s="52"/>
      <c r="V1043" s="52"/>
      <c r="W1043" s="52"/>
      <c r="X1043" s="52"/>
      <c r="Y1043" s="52"/>
    </row>
    <row r="1044" spans="1:25">
      <c r="A1044" s="49"/>
      <c r="P1044" s="52"/>
      <c r="Q1044" s="52"/>
      <c r="R1044" s="52"/>
      <c r="T1044" s="52"/>
      <c r="U1044" s="52"/>
      <c r="V1044" s="52"/>
      <c r="W1044" s="52"/>
      <c r="X1044" s="52"/>
      <c r="Y1044" s="52"/>
    </row>
    <row r="1045" spans="1:25">
      <c r="A1045" s="49"/>
      <c r="P1045" s="52"/>
      <c r="Q1045" s="52"/>
      <c r="R1045" s="52"/>
      <c r="T1045" s="52"/>
      <c r="U1045" s="52"/>
      <c r="V1045" s="52"/>
      <c r="W1045" s="52"/>
      <c r="X1045" s="52"/>
      <c r="Y1045" s="52"/>
    </row>
    <row r="1046" spans="1:25">
      <c r="A1046" s="49"/>
      <c r="P1046" s="52"/>
      <c r="Q1046" s="52"/>
      <c r="R1046" s="52"/>
      <c r="T1046" s="52"/>
      <c r="U1046" s="52"/>
      <c r="V1046" s="52"/>
      <c r="W1046" s="52"/>
      <c r="X1046" s="52"/>
      <c r="Y1046" s="52"/>
    </row>
    <row r="1047" spans="1:25">
      <c r="A1047" s="49"/>
      <c r="P1047" s="52"/>
      <c r="Q1047" s="52"/>
      <c r="R1047" s="52"/>
      <c r="T1047" s="52"/>
      <c r="U1047" s="52"/>
      <c r="V1047" s="52"/>
      <c r="W1047" s="52"/>
      <c r="X1047" s="52"/>
      <c r="Y1047" s="52"/>
    </row>
    <row r="1048" spans="1:25">
      <c r="A1048" s="49"/>
      <c r="P1048" s="52"/>
      <c r="Q1048" s="52"/>
      <c r="R1048" s="52"/>
      <c r="T1048" s="52"/>
      <c r="U1048" s="52"/>
      <c r="V1048" s="52"/>
      <c r="W1048" s="52"/>
      <c r="X1048" s="52"/>
      <c r="Y1048" s="52"/>
    </row>
    <row r="1049" spans="1:25">
      <c r="A1049" s="49"/>
      <c r="P1049" s="52"/>
      <c r="Q1049" s="52"/>
      <c r="R1049" s="52"/>
      <c r="T1049" s="52"/>
      <c r="U1049" s="52"/>
      <c r="V1049" s="52"/>
      <c r="W1049" s="52"/>
      <c r="X1049" s="52"/>
      <c r="Y1049" s="52"/>
    </row>
    <row r="1050" spans="1:25">
      <c r="A1050" s="49"/>
      <c r="P1050" s="52"/>
      <c r="Q1050" s="52"/>
      <c r="R1050" s="52"/>
      <c r="T1050" s="52"/>
      <c r="U1050" s="52"/>
      <c r="V1050" s="52"/>
      <c r="W1050" s="52"/>
      <c r="X1050" s="52"/>
      <c r="Y1050" s="52"/>
    </row>
    <row r="1051" spans="1:25">
      <c r="A1051" s="49"/>
      <c r="P1051" s="52"/>
      <c r="Q1051" s="52"/>
      <c r="R1051" s="52"/>
      <c r="T1051" s="52"/>
      <c r="U1051" s="52"/>
      <c r="V1051" s="52"/>
      <c r="W1051" s="52"/>
      <c r="X1051" s="52"/>
      <c r="Y1051" s="52"/>
    </row>
    <row r="1052" spans="1:25">
      <c r="A1052" s="49"/>
      <c r="P1052" s="52"/>
      <c r="Q1052" s="52"/>
      <c r="R1052" s="52"/>
      <c r="T1052" s="52"/>
      <c r="U1052" s="52"/>
      <c r="V1052" s="52"/>
      <c r="W1052" s="52"/>
      <c r="X1052" s="52"/>
      <c r="Y1052" s="52"/>
    </row>
    <row r="1053" spans="1:25">
      <c r="A1053" s="49"/>
      <c r="P1053" s="52"/>
      <c r="Q1053" s="52"/>
      <c r="R1053" s="52"/>
      <c r="T1053" s="52"/>
      <c r="U1053" s="52"/>
      <c r="V1053" s="52"/>
      <c r="W1053" s="52"/>
      <c r="X1053" s="52"/>
      <c r="Y1053" s="52"/>
    </row>
    <row r="1054" spans="1:25">
      <c r="A1054" s="49"/>
      <c r="P1054" s="52"/>
      <c r="Q1054" s="52"/>
      <c r="R1054" s="52"/>
      <c r="T1054" s="52"/>
      <c r="U1054" s="52"/>
      <c r="V1054" s="52"/>
      <c r="W1054" s="52"/>
      <c r="X1054" s="52"/>
      <c r="Y1054" s="52"/>
    </row>
    <row r="1055" spans="1:25">
      <c r="A1055" s="49"/>
      <c r="P1055" s="52"/>
      <c r="Q1055" s="52"/>
      <c r="R1055" s="52"/>
      <c r="T1055" s="52"/>
      <c r="U1055" s="52"/>
      <c r="V1055" s="52"/>
      <c r="W1055" s="52"/>
      <c r="X1055" s="52"/>
      <c r="Y1055" s="52"/>
    </row>
    <row r="1056" spans="1:25">
      <c r="A1056" s="49"/>
      <c r="P1056" s="52"/>
      <c r="Q1056" s="52"/>
      <c r="R1056" s="52"/>
      <c r="T1056" s="52"/>
      <c r="U1056" s="52"/>
      <c r="V1056" s="52"/>
      <c r="W1056" s="52"/>
      <c r="X1056" s="52"/>
      <c r="Y1056" s="52"/>
    </row>
    <row r="1057" spans="1:25">
      <c r="A1057" s="49"/>
      <c r="P1057" s="52"/>
      <c r="Q1057" s="52"/>
      <c r="R1057" s="52"/>
      <c r="T1057" s="52"/>
      <c r="U1057" s="52"/>
      <c r="V1057" s="52"/>
      <c r="W1057" s="52"/>
      <c r="X1057" s="52"/>
      <c r="Y1057" s="52"/>
    </row>
    <row r="1058" spans="1:25">
      <c r="A1058" s="49"/>
      <c r="P1058" s="52"/>
      <c r="Q1058" s="52"/>
      <c r="R1058" s="52"/>
      <c r="T1058" s="52"/>
      <c r="U1058" s="52"/>
      <c r="V1058" s="52"/>
      <c r="W1058" s="52"/>
      <c r="X1058" s="52"/>
      <c r="Y1058" s="52"/>
    </row>
    <row r="1059" spans="1:25">
      <c r="A1059" s="49"/>
      <c r="P1059" s="52"/>
      <c r="Q1059" s="52"/>
      <c r="R1059" s="52"/>
      <c r="T1059" s="52"/>
      <c r="U1059" s="52"/>
      <c r="V1059" s="52"/>
      <c r="W1059" s="52"/>
      <c r="X1059" s="52"/>
      <c r="Y1059" s="52"/>
    </row>
    <row r="1060" spans="1:25">
      <c r="A1060" s="49"/>
      <c r="P1060" s="52"/>
      <c r="Q1060" s="52"/>
      <c r="R1060" s="52"/>
      <c r="T1060" s="52"/>
      <c r="U1060" s="52"/>
      <c r="V1060" s="52"/>
      <c r="W1060" s="52"/>
      <c r="X1060" s="52"/>
      <c r="Y1060" s="52"/>
    </row>
    <row r="1061" spans="1:25">
      <c r="A1061" s="49"/>
      <c r="P1061" s="52"/>
      <c r="Q1061" s="52"/>
      <c r="R1061" s="52"/>
      <c r="T1061" s="52"/>
      <c r="U1061" s="52"/>
      <c r="V1061" s="52"/>
      <c r="W1061" s="52"/>
      <c r="X1061" s="52"/>
      <c r="Y1061" s="52"/>
    </row>
    <row r="1062" spans="1:25">
      <c r="A1062" s="49"/>
      <c r="P1062" s="52"/>
      <c r="Q1062" s="52"/>
      <c r="R1062" s="52"/>
      <c r="T1062" s="52"/>
      <c r="U1062" s="52"/>
      <c r="V1062" s="52"/>
      <c r="W1062" s="52"/>
      <c r="X1062" s="52"/>
      <c r="Y1062" s="52"/>
    </row>
    <row r="1063" spans="1:25">
      <c r="A1063" s="49"/>
      <c r="P1063" s="52"/>
      <c r="Q1063" s="52"/>
      <c r="R1063" s="52"/>
      <c r="T1063" s="52"/>
      <c r="U1063" s="52"/>
      <c r="V1063" s="52"/>
      <c r="W1063" s="52"/>
      <c r="X1063" s="52"/>
      <c r="Y1063" s="52"/>
    </row>
    <row r="1064" spans="1:25">
      <c r="A1064" s="49"/>
      <c r="P1064" s="52"/>
      <c r="Q1064" s="52"/>
      <c r="R1064" s="52"/>
      <c r="T1064" s="52"/>
      <c r="U1064" s="52"/>
      <c r="V1064" s="52"/>
      <c r="W1064" s="52"/>
      <c r="X1064" s="52"/>
      <c r="Y1064" s="52"/>
    </row>
    <row r="1065" spans="1:25">
      <c r="A1065" s="49"/>
      <c r="P1065" s="52"/>
      <c r="Q1065" s="52"/>
      <c r="R1065" s="52"/>
      <c r="T1065" s="52"/>
      <c r="U1065" s="52"/>
      <c r="V1065" s="52"/>
      <c r="W1065" s="52"/>
      <c r="X1065" s="52"/>
      <c r="Y1065" s="52"/>
    </row>
    <row r="1066" spans="1:25">
      <c r="A1066" s="49"/>
      <c r="P1066" s="52"/>
      <c r="Q1066" s="52"/>
      <c r="R1066" s="52"/>
      <c r="T1066" s="52"/>
      <c r="U1066" s="52"/>
      <c r="V1066" s="52"/>
      <c r="W1066" s="52"/>
      <c r="X1066" s="52"/>
      <c r="Y1066" s="52"/>
    </row>
    <row r="1067" spans="1:25">
      <c r="A1067" s="49"/>
      <c r="P1067" s="52"/>
      <c r="Q1067" s="52"/>
      <c r="R1067" s="52"/>
      <c r="T1067" s="52"/>
      <c r="U1067" s="52"/>
      <c r="V1067" s="52"/>
      <c r="W1067" s="52"/>
      <c r="X1067" s="52"/>
      <c r="Y1067" s="52"/>
    </row>
    <row r="1068" spans="1:25">
      <c r="A1068" s="49"/>
      <c r="P1068" s="52"/>
      <c r="Q1068" s="52"/>
      <c r="R1068" s="52"/>
      <c r="T1068" s="52"/>
      <c r="U1068" s="52"/>
      <c r="V1068" s="52"/>
      <c r="W1068" s="52"/>
      <c r="X1068" s="52"/>
      <c r="Y1068" s="52"/>
    </row>
    <row r="1069" spans="1:25">
      <c r="A1069" s="49"/>
      <c r="P1069" s="52"/>
      <c r="Q1069" s="52"/>
      <c r="R1069" s="52"/>
      <c r="T1069" s="52"/>
      <c r="U1069" s="52"/>
      <c r="V1069" s="52"/>
      <c r="W1069" s="52"/>
      <c r="X1069" s="52"/>
      <c r="Y1069" s="52"/>
    </row>
    <row r="1070" spans="1:25">
      <c r="A1070" s="49"/>
      <c r="P1070" s="52"/>
      <c r="Q1070" s="52"/>
      <c r="R1070" s="52"/>
      <c r="T1070" s="52"/>
      <c r="U1070" s="52"/>
      <c r="V1070" s="52"/>
      <c r="W1070" s="52"/>
      <c r="X1070" s="52"/>
      <c r="Y1070" s="52"/>
    </row>
    <row r="1071" spans="1:25">
      <c r="A1071" s="49"/>
      <c r="P1071" s="52"/>
      <c r="Q1071" s="52"/>
      <c r="R1071" s="52"/>
      <c r="T1071" s="52"/>
      <c r="U1071" s="52"/>
      <c r="V1071" s="52"/>
      <c r="W1071" s="52"/>
      <c r="X1071" s="52"/>
      <c r="Y1071" s="52"/>
    </row>
    <row r="1072" spans="1:25">
      <c r="A1072" s="49"/>
      <c r="P1072" s="52"/>
      <c r="Q1072" s="52"/>
      <c r="R1072" s="52"/>
      <c r="T1072" s="52"/>
      <c r="U1072" s="52"/>
      <c r="V1072" s="52"/>
      <c r="W1072" s="52"/>
      <c r="X1072" s="52"/>
      <c r="Y1072" s="52"/>
    </row>
    <row r="1073" spans="1:25">
      <c r="A1073" s="49"/>
      <c r="P1073" s="52"/>
      <c r="Q1073" s="52"/>
      <c r="R1073" s="52"/>
      <c r="T1073" s="52"/>
      <c r="U1073" s="52"/>
      <c r="V1073" s="52"/>
      <c r="W1073" s="52"/>
      <c r="X1073" s="52"/>
      <c r="Y1073" s="52"/>
    </row>
    <row r="1074" spans="1:25">
      <c r="A1074" s="49"/>
      <c r="P1074" s="52"/>
      <c r="Q1074" s="52"/>
      <c r="R1074" s="52"/>
      <c r="T1074" s="52"/>
      <c r="U1074" s="52"/>
      <c r="V1074" s="52"/>
      <c r="W1074" s="52"/>
      <c r="X1074" s="52"/>
      <c r="Y1074" s="52"/>
    </row>
    <row r="1075" spans="1:25">
      <c r="A1075" s="49"/>
      <c r="P1075" s="52"/>
      <c r="Q1075" s="52"/>
      <c r="R1075" s="52"/>
      <c r="T1075" s="52"/>
      <c r="U1075" s="52"/>
      <c r="V1075" s="52"/>
      <c r="W1075" s="52"/>
      <c r="X1075" s="52"/>
      <c r="Y1075" s="52"/>
    </row>
    <row r="1076" spans="1:25">
      <c r="A1076" s="49"/>
      <c r="P1076" s="52"/>
      <c r="Q1076" s="52"/>
      <c r="R1076" s="52"/>
      <c r="T1076" s="52"/>
      <c r="U1076" s="52"/>
      <c r="V1076" s="52"/>
      <c r="W1076" s="52"/>
      <c r="X1076" s="52"/>
      <c r="Y1076" s="52"/>
    </row>
    <row r="1077" spans="1:25">
      <c r="A1077" s="49"/>
      <c r="P1077" s="52"/>
      <c r="Q1077" s="52"/>
      <c r="R1077" s="52"/>
      <c r="T1077" s="52"/>
      <c r="U1077" s="52"/>
      <c r="V1077" s="52"/>
      <c r="W1077" s="52"/>
      <c r="X1077" s="52"/>
      <c r="Y1077" s="52"/>
    </row>
    <row r="1078" spans="1:25">
      <c r="A1078" s="49"/>
      <c r="P1078" s="52"/>
      <c r="Q1078" s="52"/>
      <c r="R1078" s="52"/>
      <c r="T1078" s="52"/>
      <c r="U1078" s="52"/>
      <c r="V1078" s="52"/>
      <c r="W1078" s="52"/>
      <c r="X1078" s="52"/>
      <c r="Y1078" s="52"/>
    </row>
    <row r="1079" spans="1:25">
      <c r="A1079" s="49"/>
      <c r="P1079" s="52"/>
      <c r="Q1079" s="52"/>
      <c r="R1079" s="52"/>
      <c r="T1079" s="52"/>
      <c r="U1079" s="52"/>
      <c r="V1079" s="52"/>
      <c r="W1079" s="52"/>
      <c r="X1079" s="52"/>
      <c r="Y1079" s="52"/>
    </row>
    <row r="1080" spans="1:25">
      <c r="A1080" s="49"/>
      <c r="P1080" s="52"/>
      <c r="Q1080" s="52"/>
      <c r="R1080" s="52"/>
      <c r="T1080" s="52"/>
      <c r="U1080" s="52"/>
      <c r="V1080" s="52"/>
      <c r="W1080" s="52"/>
      <c r="X1080" s="52"/>
      <c r="Y1080" s="52"/>
    </row>
    <row r="1081" spans="1:25">
      <c r="A1081" s="49"/>
      <c r="P1081" s="52"/>
      <c r="Q1081" s="52"/>
      <c r="R1081" s="52"/>
      <c r="T1081" s="52"/>
      <c r="U1081" s="52"/>
      <c r="V1081" s="52"/>
      <c r="W1081" s="52"/>
      <c r="X1081" s="52"/>
      <c r="Y1081" s="52"/>
    </row>
    <row r="1082" spans="1:25">
      <c r="A1082" s="49"/>
      <c r="P1082" s="52"/>
      <c r="Q1082" s="52"/>
      <c r="R1082" s="52"/>
      <c r="T1082" s="52"/>
      <c r="U1082" s="52"/>
      <c r="V1082" s="52"/>
      <c r="W1082" s="52"/>
      <c r="X1082" s="52"/>
      <c r="Y1082" s="52"/>
    </row>
    <row r="1083" spans="1:25">
      <c r="A1083" s="49"/>
      <c r="P1083" s="52"/>
      <c r="Q1083" s="52"/>
      <c r="R1083" s="52"/>
      <c r="T1083" s="52"/>
      <c r="U1083" s="52"/>
      <c r="V1083" s="52"/>
      <c r="W1083" s="52"/>
      <c r="X1083" s="52"/>
      <c r="Y1083" s="52"/>
    </row>
    <row r="1084" spans="1:25">
      <c r="A1084" s="49"/>
      <c r="P1084" s="52"/>
      <c r="Q1084" s="52"/>
      <c r="R1084" s="52"/>
      <c r="T1084" s="52"/>
      <c r="U1084" s="52"/>
      <c r="V1084" s="52"/>
      <c r="W1084" s="52"/>
      <c r="X1084" s="52"/>
      <c r="Y1084" s="52"/>
    </row>
    <row r="1085" spans="1:25">
      <c r="A1085" s="49"/>
      <c r="P1085" s="52"/>
      <c r="Q1085" s="52"/>
      <c r="R1085" s="52"/>
      <c r="T1085" s="52"/>
      <c r="U1085" s="52"/>
      <c r="V1085" s="52"/>
      <c r="W1085" s="52"/>
      <c r="X1085" s="52"/>
      <c r="Y1085" s="52"/>
    </row>
    <row r="1086" spans="1:25">
      <c r="A1086" s="49"/>
      <c r="P1086" s="52"/>
      <c r="Q1086" s="52"/>
      <c r="R1086" s="52"/>
      <c r="T1086" s="52"/>
      <c r="U1086" s="52"/>
      <c r="V1086" s="52"/>
      <c r="W1086" s="52"/>
      <c r="X1086" s="52"/>
      <c r="Y1086" s="52"/>
    </row>
    <row r="1087" spans="1:25">
      <c r="A1087" s="49"/>
      <c r="P1087" s="52"/>
      <c r="Q1087" s="52"/>
      <c r="R1087" s="52"/>
      <c r="T1087" s="52"/>
      <c r="U1087" s="52"/>
      <c r="V1087" s="52"/>
      <c r="W1087" s="52"/>
      <c r="X1087" s="52"/>
      <c r="Y1087" s="52"/>
    </row>
    <row r="1088" spans="1:25">
      <c r="A1088" s="49"/>
      <c r="P1088" s="52"/>
      <c r="Q1088" s="52"/>
      <c r="R1088" s="52"/>
      <c r="T1088" s="52"/>
      <c r="U1088" s="52"/>
      <c r="V1088" s="52"/>
      <c r="W1088" s="52"/>
      <c r="X1088" s="52"/>
      <c r="Y1088" s="52"/>
    </row>
    <row r="1089" spans="1:25">
      <c r="A1089" s="49"/>
      <c r="P1089" s="52"/>
      <c r="Q1089" s="52"/>
      <c r="R1089" s="52"/>
      <c r="T1089" s="52"/>
      <c r="U1089" s="52"/>
      <c r="V1089" s="52"/>
      <c r="W1089" s="52"/>
      <c r="X1089" s="52"/>
      <c r="Y1089" s="52"/>
    </row>
    <row r="1090" spans="1:25">
      <c r="A1090" s="49"/>
      <c r="P1090" s="52"/>
      <c r="Q1090" s="52"/>
      <c r="R1090" s="52"/>
      <c r="T1090" s="52"/>
      <c r="U1090" s="52"/>
      <c r="V1090" s="52"/>
      <c r="W1090" s="52"/>
      <c r="X1090" s="52"/>
      <c r="Y1090" s="52"/>
    </row>
    <row r="1091" spans="1:25">
      <c r="A1091" s="49"/>
      <c r="P1091" s="52"/>
      <c r="Q1091" s="52"/>
      <c r="R1091" s="52"/>
      <c r="T1091" s="52"/>
      <c r="U1091" s="52"/>
      <c r="V1091" s="52"/>
      <c r="W1091" s="52"/>
      <c r="X1091" s="52"/>
      <c r="Y1091" s="52"/>
    </row>
    <row r="1092" spans="1:25">
      <c r="A1092" s="49"/>
      <c r="P1092" s="52"/>
      <c r="Q1092" s="52"/>
      <c r="R1092" s="52"/>
      <c r="T1092" s="52"/>
      <c r="U1092" s="52"/>
      <c r="V1092" s="52"/>
      <c r="W1092" s="52"/>
      <c r="X1092" s="52"/>
      <c r="Y1092" s="52"/>
    </row>
    <row r="1093" spans="1:25">
      <c r="A1093" s="49"/>
      <c r="P1093" s="52"/>
      <c r="Q1093" s="52"/>
      <c r="R1093" s="52"/>
      <c r="T1093" s="52"/>
      <c r="U1093" s="52"/>
      <c r="V1093" s="52"/>
      <c r="W1093" s="52"/>
      <c r="X1093" s="52"/>
      <c r="Y1093" s="52"/>
    </row>
    <row r="1094" spans="1:25">
      <c r="A1094" s="49"/>
      <c r="P1094" s="52"/>
      <c r="Q1094" s="52"/>
      <c r="R1094" s="52"/>
      <c r="T1094" s="52"/>
      <c r="U1094" s="52"/>
      <c r="V1094" s="52"/>
      <c r="W1094" s="52"/>
      <c r="X1094" s="52"/>
      <c r="Y1094" s="52"/>
    </row>
    <row r="1095" spans="1:25">
      <c r="A1095" s="49"/>
      <c r="P1095" s="52"/>
      <c r="Q1095" s="52"/>
      <c r="R1095" s="52"/>
      <c r="T1095" s="52"/>
      <c r="U1095" s="52"/>
      <c r="V1095" s="52"/>
      <c r="W1095" s="52"/>
      <c r="X1095" s="52"/>
      <c r="Y1095" s="52"/>
    </row>
    <row r="1096" spans="1:25">
      <c r="A1096" s="49"/>
      <c r="P1096" s="52"/>
      <c r="Q1096" s="52"/>
      <c r="R1096" s="52"/>
      <c r="T1096" s="52"/>
      <c r="U1096" s="52"/>
      <c r="V1096" s="52"/>
      <c r="W1096" s="52"/>
      <c r="X1096" s="52"/>
      <c r="Y1096" s="52"/>
    </row>
    <row r="1097" spans="1:25">
      <c r="A1097" s="49"/>
      <c r="P1097" s="52"/>
      <c r="Q1097" s="52"/>
      <c r="R1097" s="52"/>
      <c r="T1097" s="52"/>
      <c r="U1097" s="52"/>
      <c r="V1097" s="52"/>
      <c r="W1097" s="52"/>
      <c r="X1097" s="52"/>
      <c r="Y1097" s="52"/>
    </row>
    <row r="1098" spans="1:25">
      <c r="A1098" s="49"/>
      <c r="P1098" s="52"/>
      <c r="Q1098" s="52"/>
      <c r="R1098" s="52"/>
      <c r="T1098" s="52"/>
      <c r="U1098" s="52"/>
      <c r="V1098" s="52"/>
      <c r="W1098" s="52"/>
      <c r="X1098" s="52"/>
      <c r="Y1098" s="52"/>
    </row>
    <row r="1099" spans="1:25">
      <c r="A1099" s="49"/>
      <c r="P1099" s="52"/>
      <c r="Q1099" s="52"/>
      <c r="R1099" s="52"/>
      <c r="T1099" s="52"/>
      <c r="U1099" s="52"/>
      <c r="V1099" s="52"/>
      <c r="W1099" s="52"/>
      <c r="X1099" s="52"/>
      <c r="Y1099" s="52"/>
    </row>
    <row r="1100" spans="1:25">
      <c r="A1100" s="49"/>
      <c r="P1100" s="52"/>
      <c r="Q1100" s="52"/>
      <c r="R1100" s="52"/>
      <c r="T1100" s="52"/>
      <c r="U1100" s="52"/>
      <c r="V1100" s="52"/>
      <c r="W1100" s="52"/>
      <c r="X1100" s="52"/>
      <c r="Y1100" s="52"/>
    </row>
    <row r="1101" spans="1:25">
      <c r="A1101" s="49"/>
      <c r="P1101" s="52"/>
      <c r="Q1101" s="52"/>
      <c r="R1101" s="52"/>
      <c r="T1101" s="52"/>
      <c r="U1101" s="52"/>
      <c r="V1101" s="52"/>
      <c r="W1101" s="52"/>
      <c r="X1101" s="52"/>
      <c r="Y1101" s="52"/>
    </row>
    <row r="1102" spans="1:25">
      <c r="A1102" s="49"/>
      <c r="P1102" s="52"/>
      <c r="Q1102" s="52"/>
      <c r="R1102" s="52"/>
      <c r="T1102" s="52"/>
      <c r="U1102" s="52"/>
      <c r="V1102" s="52"/>
      <c r="W1102" s="52"/>
      <c r="X1102" s="52"/>
      <c r="Y1102" s="52"/>
    </row>
    <row r="1103" spans="1:25">
      <c r="A1103" s="49"/>
      <c r="P1103" s="52"/>
      <c r="Q1103" s="52"/>
      <c r="R1103" s="52"/>
      <c r="T1103" s="52"/>
      <c r="U1103" s="52"/>
      <c r="V1103" s="52"/>
      <c r="W1103" s="52"/>
      <c r="X1103" s="52"/>
      <c r="Y1103" s="52"/>
    </row>
    <row r="1104" spans="1:25">
      <c r="A1104" s="49"/>
      <c r="P1104" s="52"/>
      <c r="Q1104" s="52"/>
      <c r="R1104" s="52"/>
      <c r="T1104" s="52"/>
      <c r="U1104" s="52"/>
      <c r="V1104" s="52"/>
      <c r="W1104" s="52"/>
      <c r="X1104" s="52"/>
      <c r="Y1104" s="52"/>
    </row>
    <row r="1105" spans="1:25">
      <c r="A1105" s="49"/>
      <c r="P1105" s="52"/>
      <c r="Q1105" s="52"/>
      <c r="R1105" s="52"/>
      <c r="T1105" s="52"/>
      <c r="U1105" s="52"/>
      <c r="V1105" s="52"/>
      <c r="W1105" s="52"/>
      <c r="X1105" s="52"/>
      <c r="Y1105" s="52"/>
    </row>
    <row r="1106" spans="1:25">
      <c r="A1106" s="49"/>
      <c r="P1106" s="52"/>
      <c r="Q1106" s="52"/>
      <c r="R1106" s="52"/>
      <c r="T1106" s="52"/>
      <c r="U1106" s="52"/>
      <c r="V1106" s="52"/>
      <c r="W1106" s="52"/>
      <c r="X1106" s="52"/>
      <c r="Y1106" s="52"/>
    </row>
    <row r="1107" spans="1:25">
      <c r="A1107" s="49"/>
      <c r="P1107" s="52"/>
      <c r="Q1107" s="52"/>
      <c r="R1107" s="52"/>
      <c r="T1107" s="52"/>
      <c r="U1107" s="52"/>
      <c r="V1107" s="52"/>
      <c r="W1107" s="52"/>
      <c r="X1107" s="52"/>
      <c r="Y1107" s="52"/>
    </row>
    <row r="1108" spans="1:25">
      <c r="A1108" s="49"/>
      <c r="P1108" s="52"/>
      <c r="Q1108" s="52"/>
      <c r="R1108" s="52"/>
      <c r="T1108" s="52"/>
      <c r="U1108" s="52"/>
      <c r="V1108" s="52"/>
      <c r="W1108" s="52"/>
      <c r="X1108" s="52"/>
      <c r="Y1108" s="52"/>
    </row>
    <row r="1109" spans="1:25">
      <c r="A1109" s="49"/>
      <c r="P1109" s="52"/>
      <c r="Q1109" s="52"/>
      <c r="R1109" s="52"/>
      <c r="T1109" s="52"/>
      <c r="U1109" s="52"/>
      <c r="V1109" s="52"/>
      <c r="W1109" s="52"/>
      <c r="X1109" s="52"/>
      <c r="Y1109" s="52"/>
    </row>
    <row r="1110" spans="1:25">
      <c r="A1110" s="49"/>
      <c r="P1110" s="52"/>
      <c r="Q1110" s="52"/>
      <c r="R1110" s="52"/>
      <c r="T1110" s="52"/>
      <c r="U1110" s="52"/>
      <c r="V1110" s="52"/>
      <c r="W1110" s="52"/>
      <c r="X1110" s="52"/>
      <c r="Y1110" s="52"/>
    </row>
    <row r="1111" spans="1:25">
      <c r="A1111" s="49"/>
      <c r="P1111" s="52"/>
      <c r="Q1111" s="52"/>
      <c r="R1111" s="52"/>
      <c r="T1111" s="52"/>
      <c r="U1111" s="52"/>
      <c r="V1111" s="52"/>
      <c r="W1111" s="52"/>
      <c r="X1111" s="52"/>
      <c r="Y1111" s="52"/>
    </row>
    <row r="1112" spans="1:25">
      <c r="A1112" s="49"/>
      <c r="P1112" s="52"/>
      <c r="Q1112" s="52"/>
      <c r="R1112" s="52"/>
      <c r="T1112" s="52"/>
      <c r="U1112" s="52"/>
      <c r="V1112" s="52"/>
      <c r="W1112" s="52"/>
      <c r="X1112" s="52"/>
      <c r="Y1112" s="52"/>
    </row>
    <row r="1113" spans="1:25">
      <c r="A1113" s="49"/>
      <c r="P1113" s="52"/>
      <c r="Q1113" s="52"/>
      <c r="R1113" s="52"/>
      <c r="T1113" s="52"/>
      <c r="U1113" s="52"/>
      <c r="V1113" s="52"/>
      <c r="W1113" s="52"/>
      <c r="X1113" s="52"/>
      <c r="Y1113" s="52"/>
    </row>
    <row r="1114" spans="1:25">
      <c r="A1114" s="49"/>
      <c r="P1114" s="52"/>
      <c r="Q1114" s="52"/>
      <c r="R1114" s="52"/>
      <c r="T1114" s="52"/>
      <c r="U1114" s="52"/>
      <c r="V1114" s="52"/>
      <c r="W1114" s="52"/>
      <c r="X1114" s="52"/>
      <c r="Y1114" s="52"/>
    </row>
    <row r="1115" spans="1:25">
      <c r="A1115" s="49"/>
      <c r="P1115" s="52"/>
      <c r="Q1115" s="52"/>
      <c r="R1115" s="52"/>
      <c r="T1115" s="52"/>
      <c r="U1115" s="52"/>
      <c r="V1115" s="52"/>
      <c r="W1115" s="52"/>
      <c r="X1115" s="52"/>
      <c r="Y1115" s="52"/>
    </row>
    <row r="1116" spans="1:25">
      <c r="A1116" s="49"/>
      <c r="P1116" s="52"/>
      <c r="Q1116" s="52"/>
      <c r="R1116" s="52"/>
      <c r="T1116" s="52"/>
      <c r="U1116" s="52"/>
      <c r="V1116" s="52"/>
      <c r="W1116" s="52"/>
      <c r="X1116" s="52"/>
      <c r="Y1116" s="52"/>
    </row>
    <row r="1117" spans="1:25">
      <c r="A1117" s="49"/>
      <c r="P1117" s="52"/>
      <c r="Q1117" s="52"/>
      <c r="R1117" s="52"/>
      <c r="T1117" s="52"/>
      <c r="U1117" s="52"/>
      <c r="V1117" s="52"/>
      <c r="W1117" s="52"/>
      <c r="X1117" s="52"/>
      <c r="Y1117" s="52"/>
    </row>
    <row r="1118" spans="1:25">
      <c r="A1118" s="49"/>
      <c r="P1118" s="52"/>
      <c r="Q1118" s="52"/>
      <c r="R1118" s="52"/>
      <c r="T1118" s="52"/>
      <c r="U1118" s="52"/>
      <c r="V1118" s="52"/>
      <c r="W1118" s="52"/>
      <c r="X1118" s="52"/>
      <c r="Y1118" s="52"/>
    </row>
    <row r="1119" spans="1:25">
      <c r="A1119" s="49"/>
      <c r="P1119" s="52"/>
      <c r="Q1119" s="52"/>
      <c r="R1119" s="52"/>
      <c r="T1119" s="52"/>
      <c r="U1119" s="52"/>
      <c r="V1119" s="52"/>
      <c r="W1119" s="52"/>
      <c r="X1119" s="52"/>
      <c r="Y1119" s="52"/>
    </row>
    <row r="1120" spans="1:25">
      <c r="A1120" s="49"/>
      <c r="P1120" s="52"/>
      <c r="Q1120" s="52"/>
      <c r="R1120" s="52"/>
      <c r="T1120" s="52"/>
      <c r="U1120" s="52"/>
      <c r="V1120" s="52"/>
      <c r="W1120" s="52"/>
      <c r="X1120" s="52"/>
      <c r="Y1120" s="52"/>
    </row>
    <row r="1121" spans="1:25">
      <c r="A1121" s="49"/>
      <c r="P1121" s="52"/>
      <c r="Q1121" s="52"/>
      <c r="R1121" s="52"/>
      <c r="T1121" s="52"/>
      <c r="U1121" s="52"/>
      <c r="V1121" s="52"/>
      <c r="W1121" s="52"/>
      <c r="X1121" s="52"/>
      <c r="Y1121" s="52"/>
    </row>
    <row r="1122" spans="1:25">
      <c r="A1122" s="49"/>
      <c r="P1122" s="52"/>
      <c r="Q1122" s="52"/>
      <c r="R1122" s="52"/>
      <c r="T1122" s="52"/>
      <c r="U1122" s="52"/>
      <c r="V1122" s="52"/>
      <c r="W1122" s="52"/>
      <c r="X1122" s="52"/>
      <c r="Y1122" s="52"/>
    </row>
    <row r="1123" spans="1:25">
      <c r="A1123" s="49"/>
      <c r="P1123" s="52"/>
      <c r="Q1123" s="52"/>
      <c r="R1123" s="52"/>
      <c r="T1123" s="52"/>
      <c r="U1123" s="52"/>
      <c r="V1123" s="52"/>
      <c r="W1123" s="52"/>
      <c r="X1123" s="52"/>
      <c r="Y1123" s="52"/>
    </row>
    <row r="1124" spans="1:25">
      <c r="A1124" s="49"/>
      <c r="P1124" s="52"/>
      <c r="Q1124" s="52"/>
      <c r="R1124" s="52"/>
      <c r="T1124" s="52"/>
      <c r="U1124" s="52"/>
      <c r="V1124" s="52"/>
      <c r="W1124" s="52"/>
      <c r="X1124" s="52"/>
      <c r="Y1124" s="52"/>
    </row>
    <row r="1125" spans="1:25">
      <c r="A1125" s="49"/>
      <c r="P1125" s="52"/>
      <c r="Q1125" s="52"/>
      <c r="R1125" s="52"/>
      <c r="T1125" s="52"/>
      <c r="U1125" s="52"/>
      <c r="V1125" s="52"/>
      <c r="W1125" s="52"/>
      <c r="X1125" s="52"/>
      <c r="Y1125" s="52"/>
    </row>
    <row r="1126" spans="1:25">
      <c r="A1126" s="49"/>
      <c r="P1126" s="52"/>
      <c r="Q1126" s="52"/>
      <c r="R1126" s="52"/>
      <c r="T1126" s="52"/>
      <c r="U1126" s="52"/>
      <c r="V1126" s="52"/>
      <c r="W1126" s="52"/>
      <c r="X1126" s="52"/>
      <c r="Y1126" s="52"/>
    </row>
    <row r="1127" spans="1:25">
      <c r="A1127" s="49"/>
      <c r="P1127" s="52"/>
      <c r="Q1127" s="52"/>
      <c r="R1127" s="52"/>
      <c r="T1127" s="52"/>
      <c r="U1127" s="52"/>
      <c r="V1127" s="52"/>
      <c r="W1127" s="52"/>
      <c r="X1127" s="52"/>
      <c r="Y1127" s="52"/>
    </row>
    <row r="1128" spans="1:25">
      <c r="A1128" s="49"/>
      <c r="P1128" s="52"/>
      <c r="Q1128" s="52"/>
      <c r="R1128" s="52"/>
      <c r="T1128" s="52"/>
      <c r="U1128" s="52"/>
      <c r="V1128" s="52"/>
      <c r="W1128" s="52"/>
      <c r="X1128" s="52"/>
      <c r="Y1128" s="52"/>
    </row>
    <row r="1129" spans="1:25">
      <c r="A1129" s="49"/>
      <c r="P1129" s="52"/>
      <c r="Q1129" s="52"/>
      <c r="R1129" s="52"/>
      <c r="T1129" s="52"/>
      <c r="U1129" s="52"/>
      <c r="V1129" s="52"/>
      <c r="W1129" s="52"/>
      <c r="X1129" s="52"/>
      <c r="Y1129" s="52"/>
    </row>
    <row r="1130" spans="1:25">
      <c r="A1130" s="49"/>
      <c r="P1130" s="52"/>
      <c r="Q1130" s="52"/>
      <c r="R1130" s="52"/>
      <c r="T1130" s="52"/>
      <c r="U1130" s="52"/>
      <c r="V1130" s="52"/>
      <c r="W1130" s="52"/>
      <c r="X1130" s="52"/>
      <c r="Y1130" s="52"/>
    </row>
    <row r="1131" spans="1:25">
      <c r="A1131" s="49"/>
      <c r="P1131" s="52"/>
      <c r="Q1131" s="52"/>
      <c r="R1131" s="52"/>
      <c r="T1131" s="52"/>
      <c r="U1131" s="52"/>
      <c r="V1131" s="52"/>
      <c r="W1131" s="52"/>
      <c r="X1131" s="52"/>
      <c r="Y1131" s="52"/>
    </row>
    <row r="1132" spans="1:25">
      <c r="A1132" s="49"/>
      <c r="P1132" s="52"/>
      <c r="Q1132" s="52"/>
      <c r="R1132" s="52"/>
      <c r="T1132" s="52"/>
      <c r="U1132" s="52"/>
      <c r="V1132" s="52"/>
      <c r="W1132" s="52"/>
      <c r="X1132" s="52"/>
      <c r="Y1132" s="52"/>
    </row>
    <row r="1133" spans="1:25">
      <c r="A1133" s="49"/>
      <c r="P1133" s="52"/>
      <c r="Q1133" s="52"/>
      <c r="R1133" s="52"/>
      <c r="T1133" s="52"/>
      <c r="U1133" s="52"/>
      <c r="V1133" s="52"/>
      <c r="W1133" s="52"/>
      <c r="X1133" s="52"/>
      <c r="Y1133" s="52"/>
    </row>
    <row r="1134" spans="1:25">
      <c r="A1134" s="49"/>
      <c r="P1134" s="52"/>
      <c r="Q1134" s="52"/>
      <c r="R1134" s="52"/>
      <c r="T1134" s="52"/>
      <c r="U1134" s="52"/>
      <c r="V1134" s="52"/>
      <c r="W1134" s="52"/>
      <c r="X1134" s="52"/>
      <c r="Y1134" s="52"/>
    </row>
    <row r="1135" spans="1:25">
      <c r="A1135" s="49"/>
      <c r="P1135" s="52"/>
      <c r="Q1135" s="52"/>
      <c r="R1135" s="52"/>
      <c r="T1135" s="52"/>
      <c r="U1135" s="52"/>
      <c r="V1135" s="52"/>
      <c r="W1135" s="52"/>
      <c r="X1135" s="52"/>
      <c r="Y1135" s="52"/>
    </row>
    <row r="1136" spans="1:25">
      <c r="A1136" s="49"/>
      <c r="P1136" s="52"/>
      <c r="Q1136" s="52"/>
      <c r="R1136" s="52"/>
      <c r="T1136" s="52"/>
      <c r="U1136" s="52"/>
      <c r="V1136" s="52"/>
      <c r="W1136" s="52"/>
      <c r="X1136" s="52"/>
      <c r="Y1136" s="52"/>
    </row>
    <row r="1137" spans="1:25">
      <c r="A1137" s="49"/>
      <c r="P1137" s="52"/>
      <c r="Q1137" s="52"/>
      <c r="R1137" s="52"/>
      <c r="T1137" s="52"/>
      <c r="U1137" s="52"/>
      <c r="V1137" s="52"/>
      <c r="W1137" s="52"/>
      <c r="X1137" s="52"/>
      <c r="Y1137" s="52"/>
    </row>
    <row r="1138" spans="1:25">
      <c r="A1138" s="49"/>
      <c r="P1138" s="52"/>
      <c r="Q1138" s="52"/>
      <c r="R1138" s="52"/>
      <c r="T1138" s="52"/>
      <c r="U1138" s="52"/>
      <c r="V1138" s="52"/>
      <c r="W1138" s="52"/>
      <c r="X1138" s="52"/>
      <c r="Y1138" s="52"/>
    </row>
    <row r="1139" spans="1:25">
      <c r="A1139" s="49"/>
      <c r="P1139" s="52"/>
      <c r="Q1139" s="52"/>
      <c r="R1139" s="52"/>
      <c r="T1139" s="52"/>
      <c r="U1139" s="52"/>
      <c r="V1139" s="52"/>
      <c r="W1139" s="52"/>
      <c r="X1139" s="52"/>
      <c r="Y1139" s="52"/>
    </row>
    <row r="1140" spans="1:25">
      <c r="A1140" s="49"/>
      <c r="P1140" s="52"/>
      <c r="Q1140" s="52"/>
      <c r="R1140" s="52"/>
      <c r="T1140" s="52"/>
      <c r="U1140" s="52"/>
      <c r="V1140" s="52"/>
      <c r="W1140" s="52"/>
      <c r="X1140" s="52"/>
      <c r="Y1140" s="52"/>
    </row>
    <row r="1141" spans="1:25">
      <c r="A1141" s="49"/>
      <c r="P1141" s="52"/>
      <c r="Q1141" s="52"/>
      <c r="R1141" s="52"/>
      <c r="T1141" s="52"/>
      <c r="U1141" s="52"/>
      <c r="V1141" s="52"/>
      <c r="W1141" s="52"/>
      <c r="X1141" s="52"/>
      <c r="Y1141" s="52"/>
    </row>
    <row r="1142" spans="1:25">
      <c r="A1142" s="49"/>
      <c r="P1142" s="52"/>
      <c r="Q1142" s="52"/>
      <c r="R1142" s="52"/>
      <c r="T1142" s="52"/>
      <c r="U1142" s="52"/>
      <c r="V1142" s="52"/>
      <c r="W1142" s="52"/>
      <c r="X1142" s="52"/>
      <c r="Y1142" s="52"/>
    </row>
    <row r="1143" spans="1:25">
      <c r="A1143" s="49"/>
      <c r="P1143" s="52"/>
      <c r="Q1143" s="52"/>
      <c r="R1143" s="52"/>
      <c r="T1143" s="52"/>
      <c r="U1143" s="52"/>
      <c r="V1143" s="52"/>
      <c r="W1143" s="52"/>
      <c r="X1143" s="52"/>
      <c r="Y1143" s="52"/>
    </row>
    <row r="1144" spans="1:25">
      <c r="A1144" s="49"/>
      <c r="P1144" s="52"/>
      <c r="Q1144" s="52"/>
      <c r="R1144" s="52"/>
      <c r="T1144" s="52"/>
      <c r="U1144" s="52"/>
      <c r="V1144" s="52"/>
      <c r="W1144" s="52"/>
      <c r="X1144" s="52"/>
      <c r="Y1144" s="52"/>
    </row>
    <row r="1145" spans="1:25">
      <c r="A1145" s="49"/>
      <c r="P1145" s="52"/>
      <c r="Q1145" s="52"/>
      <c r="R1145" s="52"/>
      <c r="T1145" s="52"/>
      <c r="U1145" s="52"/>
      <c r="V1145" s="52"/>
      <c r="W1145" s="52"/>
      <c r="X1145" s="52"/>
      <c r="Y1145" s="52"/>
    </row>
    <row r="1146" spans="1:25">
      <c r="A1146" s="49"/>
      <c r="P1146" s="52"/>
      <c r="Q1146" s="52"/>
      <c r="R1146" s="52"/>
      <c r="T1146" s="52"/>
      <c r="U1146" s="52"/>
      <c r="V1146" s="52"/>
      <c r="W1146" s="52"/>
      <c r="X1146" s="52"/>
      <c r="Y1146" s="52"/>
    </row>
    <row r="1147" spans="1:25">
      <c r="A1147" s="49"/>
      <c r="P1147" s="52"/>
      <c r="Q1147" s="52"/>
      <c r="R1147" s="52"/>
      <c r="T1147" s="52"/>
      <c r="U1147" s="52"/>
      <c r="V1147" s="52"/>
      <c r="W1147" s="52"/>
      <c r="X1147" s="52"/>
      <c r="Y1147" s="52"/>
    </row>
    <row r="1148" spans="1:25">
      <c r="A1148" s="49"/>
      <c r="P1148" s="52"/>
      <c r="Q1148" s="52"/>
      <c r="R1148" s="52"/>
      <c r="T1148" s="52"/>
      <c r="U1148" s="52"/>
      <c r="V1148" s="52"/>
      <c r="W1148" s="52"/>
      <c r="X1148" s="52"/>
      <c r="Y1148" s="52"/>
    </row>
    <row r="1149" spans="1:25">
      <c r="A1149" s="49"/>
      <c r="P1149" s="52"/>
      <c r="Q1149" s="52"/>
      <c r="R1149" s="52"/>
      <c r="T1149" s="52"/>
      <c r="U1149" s="52"/>
      <c r="V1149" s="52"/>
      <c r="W1149" s="52"/>
      <c r="X1149" s="52"/>
      <c r="Y1149" s="52"/>
    </row>
    <row r="1150" spans="1:25">
      <c r="A1150" s="49"/>
      <c r="P1150" s="52"/>
      <c r="Q1150" s="52"/>
      <c r="R1150" s="52"/>
      <c r="T1150" s="52"/>
      <c r="U1150" s="52"/>
      <c r="V1150" s="52"/>
      <c r="W1150" s="52"/>
      <c r="X1150" s="52"/>
      <c r="Y1150" s="52"/>
    </row>
    <row r="1151" spans="1:25">
      <c r="A1151" s="49"/>
      <c r="P1151" s="52"/>
      <c r="Q1151" s="52"/>
      <c r="R1151" s="52"/>
      <c r="T1151" s="52"/>
      <c r="U1151" s="52"/>
      <c r="V1151" s="52"/>
      <c r="W1151" s="52"/>
      <c r="X1151" s="52"/>
      <c r="Y1151" s="52"/>
    </row>
    <row r="1152" spans="1:25">
      <c r="A1152" s="49"/>
      <c r="P1152" s="52"/>
      <c r="Q1152" s="52"/>
      <c r="R1152" s="52"/>
      <c r="T1152" s="52"/>
      <c r="U1152" s="52"/>
      <c r="V1152" s="52"/>
      <c r="W1152" s="52"/>
      <c r="X1152" s="52"/>
      <c r="Y1152" s="52"/>
    </row>
    <row r="1153" spans="1:25">
      <c r="A1153" s="49"/>
      <c r="P1153" s="52"/>
      <c r="Q1153" s="52"/>
      <c r="R1153" s="52"/>
      <c r="T1153" s="52"/>
      <c r="U1153" s="52"/>
      <c r="V1153" s="52"/>
      <c r="W1153" s="52"/>
      <c r="X1153" s="52"/>
      <c r="Y1153" s="52"/>
    </row>
    <row r="1154" spans="1:25">
      <c r="A1154" s="49"/>
      <c r="P1154" s="52"/>
      <c r="Q1154" s="52"/>
      <c r="R1154" s="52"/>
      <c r="T1154" s="52"/>
      <c r="U1154" s="52"/>
      <c r="V1154" s="52"/>
      <c r="W1154" s="52"/>
      <c r="X1154" s="52"/>
      <c r="Y1154" s="52"/>
    </row>
    <row r="1155" spans="1:25">
      <c r="A1155" s="49"/>
      <c r="P1155" s="52"/>
      <c r="Q1155" s="52"/>
      <c r="R1155" s="52"/>
      <c r="T1155" s="52"/>
      <c r="U1155" s="52"/>
      <c r="V1155" s="52"/>
      <c r="W1155" s="52"/>
      <c r="X1155" s="52"/>
      <c r="Y1155" s="52"/>
    </row>
    <row r="1156" spans="1:25">
      <c r="A1156" s="49"/>
      <c r="P1156" s="52"/>
      <c r="Q1156" s="52"/>
      <c r="R1156" s="52"/>
      <c r="T1156" s="52"/>
      <c r="U1156" s="52"/>
      <c r="V1156" s="52"/>
      <c r="W1156" s="52"/>
      <c r="X1156" s="52"/>
      <c r="Y1156" s="52"/>
    </row>
    <row r="1157" spans="1:25">
      <c r="A1157" s="49"/>
      <c r="P1157" s="52"/>
      <c r="Q1157" s="52"/>
      <c r="R1157" s="52"/>
      <c r="T1157" s="52"/>
      <c r="U1157" s="52"/>
      <c r="V1157" s="52"/>
      <c r="W1157" s="52"/>
      <c r="X1157" s="52"/>
      <c r="Y1157" s="52"/>
    </row>
    <row r="1158" spans="1:25">
      <c r="A1158" s="49"/>
      <c r="P1158" s="52"/>
      <c r="Q1158" s="52"/>
      <c r="R1158" s="52"/>
      <c r="T1158" s="52"/>
      <c r="U1158" s="52"/>
      <c r="V1158" s="52"/>
      <c r="W1158" s="52"/>
      <c r="X1158" s="52"/>
      <c r="Y1158" s="52"/>
    </row>
    <row r="1159" spans="1:25">
      <c r="A1159" s="49"/>
      <c r="P1159" s="52"/>
      <c r="Q1159" s="52"/>
      <c r="R1159" s="52"/>
      <c r="T1159" s="52"/>
      <c r="U1159" s="52"/>
      <c r="V1159" s="52"/>
      <c r="W1159" s="52"/>
      <c r="X1159" s="52"/>
      <c r="Y1159" s="52"/>
    </row>
    <row r="1160" spans="1:25">
      <c r="A1160" s="49"/>
      <c r="P1160" s="52"/>
      <c r="Q1160" s="52"/>
      <c r="R1160" s="52"/>
      <c r="T1160" s="52"/>
      <c r="U1160" s="52"/>
      <c r="V1160" s="52"/>
      <c r="W1160" s="52"/>
      <c r="X1160" s="52"/>
      <c r="Y1160" s="52"/>
    </row>
    <row r="1161" spans="1:25">
      <c r="A1161" s="49"/>
      <c r="P1161" s="52"/>
      <c r="Q1161" s="52"/>
      <c r="R1161" s="52"/>
      <c r="T1161" s="52"/>
      <c r="U1161" s="52"/>
      <c r="V1161" s="52"/>
      <c r="W1161" s="52"/>
      <c r="X1161" s="52"/>
      <c r="Y1161" s="52"/>
    </row>
    <row r="1162" spans="1:25">
      <c r="A1162" s="49"/>
      <c r="P1162" s="52"/>
      <c r="Q1162" s="52"/>
      <c r="R1162" s="52"/>
      <c r="T1162" s="52"/>
      <c r="U1162" s="52"/>
      <c r="V1162" s="52"/>
      <c r="W1162" s="52"/>
      <c r="X1162" s="52"/>
      <c r="Y1162" s="52"/>
    </row>
    <row r="1163" spans="1:25">
      <c r="A1163" s="49"/>
      <c r="P1163" s="52"/>
      <c r="Q1163" s="52"/>
      <c r="R1163" s="52"/>
      <c r="T1163" s="52"/>
      <c r="U1163" s="52"/>
      <c r="V1163" s="52"/>
      <c r="W1163" s="52"/>
      <c r="X1163" s="52"/>
      <c r="Y1163" s="52"/>
    </row>
    <row r="1164" spans="1:25">
      <c r="A1164" s="49"/>
      <c r="P1164" s="52"/>
      <c r="Q1164" s="52"/>
      <c r="R1164" s="52"/>
      <c r="T1164" s="52"/>
      <c r="U1164" s="52"/>
      <c r="V1164" s="52"/>
      <c r="W1164" s="52"/>
      <c r="X1164" s="52"/>
      <c r="Y1164" s="52"/>
    </row>
    <row r="1165" spans="1:25">
      <c r="A1165" s="49"/>
      <c r="P1165" s="52"/>
      <c r="Q1165" s="52"/>
      <c r="R1165" s="52"/>
      <c r="T1165" s="52"/>
      <c r="U1165" s="52"/>
      <c r="V1165" s="52"/>
      <c r="W1165" s="52"/>
      <c r="X1165" s="52"/>
      <c r="Y1165" s="52"/>
    </row>
    <row r="1166" spans="1:25">
      <c r="A1166" s="49"/>
      <c r="P1166" s="52"/>
      <c r="Q1166" s="52"/>
      <c r="R1166" s="52"/>
      <c r="T1166" s="52"/>
      <c r="U1166" s="52"/>
      <c r="V1166" s="52"/>
      <c r="W1166" s="52"/>
      <c r="X1166" s="52"/>
      <c r="Y1166" s="52"/>
    </row>
    <row r="1167" spans="1:25">
      <c r="A1167" s="49"/>
      <c r="P1167" s="52"/>
      <c r="Q1167" s="52"/>
      <c r="R1167" s="52"/>
      <c r="T1167" s="52"/>
      <c r="U1167" s="52"/>
      <c r="V1167" s="52"/>
      <c r="W1167" s="52"/>
      <c r="X1167" s="52"/>
      <c r="Y1167" s="52"/>
    </row>
    <row r="1168" spans="1:25">
      <c r="A1168" s="49"/>
      <c r="P1168" s="52"/>
      <c r="Q1168" s="52"/>
      <c r="R1168" s="52"/>
      <c r="T1168" s="52"/>
      <c r="U1168" s="52"/>
      <c r="V1168" s="52"/>
      <c r="W1168" s="52"/>
      <c r="X1168" s="52"/>
      <c r="Y1168" s="52"/>
    </row>
    <row r="1169" spans="1:25">
      <c r="A1169" s="49"/>
      <c r="P1169" s="52"/>
      <c r="Q1169" s="52"/>
      <c r="R1169" s="52"/>
      <c r="T1169" s="52"/>
      <c r="U1169" s="52"/>
      <c r="V1169" s="52"/>
      <c r="W1169" s="52"/>
      <c r="X1169" s="52"/>
      <c r="Y1169" s="52"/>
    </row>
    <row r="1170" spans="1:25">
      <c r="A1170" s="49"/>
      <c r="P1170" s="52"/>
      <c r="Q1170" s="52"/>
      <c r="R1170" s="52"/>
      <c r="T1170" s="52"/>
      <c r="U1170" s="52"/>
      <c r="V1170" s="52"/>
      <c r="W1170" s="52"/>
      <c r="X1170" s="52"/>
      <c r="Y1170" s="52"/>
    </row>
    <row r="1171" spans="1:25">
      <c r="A1171" s="49"/>
      <c r="P1171" s="52"/>
      <c r="Q1171" s="52"/>
      <c r="R1171" s="52"/>
      <c r="T1171" s="52"/>
      <c r="U1171" s="52"/>
      <c r="V1171" s="52"/>
      <c r="W1171" s="52"/>
      <c r="X1171" s="52"/>
      <c r="Y1171" s="52"/>
    </row>
    <row r="1172" spans="1:25">
      <c r="A1172" s="49"/>
      <c r="P1172" s="52"/>
      <c r="Q1172" s="52"/>
      <c r="R1172" s="52"/>
      <c r="T1172" s="52"/>
      <c r="U1172" s="52"/>
      <c r="V1172" s="52"/>
      <c r="W1172" s="52"/>
      <c r="X1172" s="52"/>
      <c r="Y1172" s="52"/>
    </row>
    <row r="1173" spans="1:25">
      <c r="A1173" s="49"/>
      <c r="P1173" s="52"/>
      <c r="Q1173" s="52"/>
      <c r="R1173" s="52"/>
      <c r="T1173" s="52"/>
      <c r="U1173" s="52"/>
      <c r="V1173" s="52"/>
      <c r="W1173" s="52"/>
      <c r="X1173" s="52"/>
      <c r="Y1173" s="52"/>
    </row>
    <row r="1174" spans="1:25">
      <c r="A1174" s="49"/>
      <c r="P1174" s="52"/>
      <c r="Q1174" s="52"/>
      <c r="R1174" s="52"/>
      <c r="T1174" s="52"/>
      <c r="U1174" s="52"/>
      <c r="V1174" s="52"/>
      <c r="W1174" s="52"/>
      <c r="X1174" s="52"/>
      <c r="Y1174" s="52"/>
    </row>
    <row r="1175" spans="1:25">
      <c r="A1175" s="49"/>
      <c r="P1175" s="52"/>
      <c r="Q1175" s="52"/>
      <c r="R1175" s="52"/>
      <c r="T1175" s="52"/>
      <c r="U1175" s="52"/>
      <c r="V1175" s="52"/>
      <c r="W1175" s="52"/>
      <c r="X1175" s="52"/>
      <c r="Y1175" s="52"/>
    </row>
    <row r="1176" spans="1:25">
      <c r="A1176" s="49"/>
      <c r="P1176" s="52"/>
      <c r="Q1176" s="52"/>
      <c r="R1176" s="52"/>
      <c r="T1176" s="52"/>
      <c r="U1176" s="52"/>
      <c r="V1176" s="52"/>
      <c r="W1176" s="52"/>
      <c r="X1176" s="52"/>
      <c r="Y1176" s="52"/>
    </row>
    <row r="1177" spans="1:25">
      <c r="A1177" s="49"/>
      <c r="P1177" s="52"/>
      <c r="Q1177" s="52"/>
      <c r="R1177" s="52"/>
      <c r="T1177" s="52"/>
      <c r="U1177" s="52"/>
      <c r="V1177" s="52"/>
      <c r="W1177" s="52"/>
      <c r="X1177" s="52"/>
      <c r="Y1177" s="52"/>
    </row>
    <row r="1178" spans="1:25">
      <c r="A1178" s="49"/>
      <c r="P1178" s="52"/>
      <c r="Q1178" s="52"/>
      <c r="R1178" s="52"/>
      <c r="T1178" s="52"/>
      <c r="U1178" s="52"/>
      <c r="V1178" s="52"/>
      <c r="W1178" s="52"/>
      <c r="X1178" s="52"/>
      <c r="Y1178" s="52"/>
    </row>
    <row r="1179" spans="1:25">
      <c r="A1179" s="49"/>
      <c r="P1179" s="52"/>
      <c r="Q1179" s="52"/>
      <c r="R1179" s="52"/>
      <c r="T1179" s="52"/>
      <c r="U1179" s="52"/>
      <c r="V1179" s="52"/>
      <c r="W1179" s="52"/>
      <c r="X1179" s="52"/>
      <c r="Y1179" s="52"/>
    </row>
    <row r="1180" spans="1:25">
      <c r="A1180" s="49"/>
      <c r="P1180" s="52"/>
      <c r="Q1180" s="52"/>
      <c r="R1180" s="52"/>
      <c r="T1180" s="52"/>
      <c r="U1180" s="52"/>
      <c r="V1180" s="52"/>
      <c r="W1180" s="52"/>
      <c r="X1180" s="52"/>
      <c r="Y1180" s="52"/>
    </row>
    <row r="1181" spans="1:25">
      <c r="A1181" s="49"/>
      <c r="P1181" s="52"/>
      <c r="Q1181" s="52"/>
      <c r="R1181" s="52"/>
      <c r="T1181" s="52"/>
      <c r="U1181" s="52"/>
      <c r="V1181" s="52"/>
      <c r="W1181" s="52"/>
      <c r="X1181" s="52"/>
      <c r="Y1181" s="52"/>
    </row>
    <row r="1182" spans="1:25">
      <c r="A1182" s="49"/>
      <c r="P1182" s="52"/>
      <c r="Q1182" s="52"/>
      <c r="R1182" s="52"/>
      <c r="T1182" s="52"/>
      <c r="U1182" s="52"/>
      <c r="V1182" s="52"/>
      <c r="W1182" s="52"/>
      <c r="X1182" s="52"/>
      <c r="Y1182" s="52"/>
    </row>
    <row r="1183" spans="1:25">
      <c r="A1183" s="49"/>
      <c r="P1183" s="52"/>
      <c r="Q1183" s="52"/>
      <c r="R1183" s="52"/>
      <c r="T1183" s="52"/>
      <c r="U1183" s="52"/>
      <c r="V1183" s="52"/>
      <c r="W1183" s="52"/>
      <c r="X1183" s="52"/>
      <c r="Y1183" s="52"/>
    </row>
    <row r="1184" spans="1:25">
      <c r="A1184" s="49"/>
      <c r="P1184" s="52"/>
      <c r="Q1184" s="52"/>
      <c r="R1184" s="52"/>
      <c r="T1184" s="52"/>
      <c r="U1184" s="52"/>
      <c r="V1184" s="52"/>
      <c r="W1184" s="52"/>
      <c r="X1184" s="52"/>
      <c r="Y1184" s="52"/>
    </row>
    <row r="1185" spans="1:25">
      <c r="A1185" s="49"/>
      <c r="P1185" s="52"/>
      <c r="Q1185" s="52"/>
      <c r="R1185" s="52"/>
      <c r="T1185" s="52"/>
      <c r="U1185" s="52"/>
      <c r="V1185" s="52"/>
      <c r="W1185" s="52"/>
      <c r="X1185" s="52"/>
      <c r="Y1185" s="52"/>
    </row>
    <row r="1186" spans="1:25">
      <c r="A1186" s="49"/>
      <c r="P1186" s="52"/>
      <c r="Q1186" s="52"/>
      <c r="R1186" s="52"/>
      <c r="T1186" s="52"/>
      <c r="U1186" s="52"/>
      <c r="V1186" s="52"/>
      <c r="W1186" s="52"/>
      <c r="X1186" s="52"/>
      <c r="Y1186" s="52"/>
    </row>
    <row r="1187" spans="1:25">
      <c r="A1187" s="49"/>
      <c r="P1187" s="52"/>
      <c r="Q1187" s="52"/>
      <c r="R1187" s="52"/>
      <c r="T1187" s="52"/>
      <c r="U1187" s="52"/>
      <c r="V1187" s="52"/>
      <c r="W1187" s="52"/>
      <c r="X1187" s="52"/>
      <c r="Y1187" s="52"/>
    </row>
    <row r="1188" spans="1:25">
      <c r="A1188" s="49"/>
      <c r="P1188" s="52"/>
      <c r="Q1188" s="52"/>
      <c r="R1188" s="52"/>
      <c r="T1188" s="52"/>
      <c r="U1188" s="52"/>
      <c r="V1188" s="52"/>
      <c r="W1188" s="52"/>
      <c r="X1188" s="52"/>
      <c r="Y1188" s="52"/>
    </row>
    <row r="1189" spans="1:25">
      <c r="A1189" s="49"/>
      <c r="P1189" s="52"/>
      <c r="Q1189" s="52"/>
      <c r="R1189" s="52"/>
      <c r="T1189" s="52"/>
      <c r="U1189" s="52"/>
      <c r="V1189" s="52"/>
      <c r="W1189" s="52"/>
      <c r="X1189" s="52"/>
      <c r="Y1189" s="52"/>
    </row>
    <row r="1190" spans="1:25">
      <c r="A1190" s="49"/>
      <c r="P1190" s="52"/>
      <c r="Q1190" s="52"/>
      <c r="R1190" s="52"/>
      <c r="T1190" s="52"/>
      <c r="U1190" s="52"/>
      <c r="V1190" s="52"/>
      <c r="W1190" s="52"/>
      <c r="X1190" s="52"/>
      <c r="Y1190" s="52"/>
    </row>
    <row r="1191" spans="1:25">
      <c r="A1191" s="49"/>
      <c r="P1191" s="52"/>
      <c r="Q1191" s="52"/>
      <c r="R1191" s="52"/>
      <c r="T1191" s="52"/>
      <c r="U1191" s="52"/>
      <c r="V1191" s="52"/>
      <c r="W1191" s="52"/>
      <c r="X1191" s="52"/>
      <c r="Y1191" s="52"/>
    </row>
    <row r="1192" spans="1:25">
      <c r="A1192" s="49"/>
      <c r="P1192" s="52"/>
      <c r="Q1192" s="52"/>
      <c r="R1192" s="52"/>
      <c r="T1192" s="52"/>
      <c r="U1192" s="52"/>
      <c r="V1192" s="52"/>
      <c r="W1192" s="52"/>
      <c r="X1192" s="52"/>
      <c r="Y1192" s="52"/>
    </row>
    <row r="1193" spans="1:25">
      <c r="A1193" s="49"/>
      <c r="P1193" s="52"/>
      <c r="Q1193" s="52"/>
      <c r="R1193" s="52"/>
      <c r="T1193" s="52"/>
      <c r="U1193" s="52"/>
      <c r="V1193" s="52"/>
      <c r="W1193" s="52"/>
      <c r="X1193" s="52"/>
      <c r="Y1193" s="52"/>
    </row>
    <row r="1194" spans="1:25">
      <c r="A1194" s="49"/>
      <c r="P1194" s="52"/>
      <c r="Q1194" s="52"/>
      <c r="R1194" s="52"/>
      <c r="T1194" s="52"/>
      <c r="U1194" s="52"/>
      <c r="V1194" s="52"/>
      <c r="W1194" s="52"/>
      <c r="X1194" s="52"/>
      <c r="Y1194" s="52"/>
    </row>
    <row r="1195" spans="1:25">
      <c r="A1195" s="49"/>
      <c r="P1195" s="52"/>
      <c r="Q1195" s="52"/>
      <c r="R1195" s="52"/>
      <c r="T1195" s="52"/>
      <c r="U1195" s="52"/>
      <c r="V1195" s="52"/>
      <c r="W1195" s="52"/>
      <c r="X1195" s="52"/>
      <c r="Y1195" s="52"/>
    </row>
    <row r="1196" spans="1:25">
      <c r="A1196" s="49"/>
      <c r="P1196" s="52"/>
      <c r="Q1196" s="52"/>
      <c r="R1196" s="52"/>
      <c r="T1196" s="52"/>
      <c r="U1196" s="52"/>
      <c r="V1196" s="52"/>
      <c r="W1196" s="52"/>
      <c r="X1196" s="52"/>
      <c r="Y1196" s="52"/>
    </row>
    <row r="1197" spans="1:25">
      <c r="A1197" s="49"/>
      <c r="P1197" s="52"/>
      <c r="Q1197" s="52"/>
      <c r="R1197" s="52"/>
      <c r="T1197" s="52"/>
      <c r="U1197" s="52"/>
      <c r="V1197" s="52"/>
      <c r="W1197" s="52"/>
      <c r="X1197" s="52"/>
      <c r="Y1197" s="52"/>
    </row>
    <row r="1198" spans="1:25">
      <c r="A1198" s="49"/>
      <c r="P1198" s="52"/>
      <c r="Q1198" s="52"/>
      <c r="R1198" s="52"/>
      <c r="T1198" s="52"/>
      <c r="U1198" s="52"/>
      <c r="V1198" s="52"/>
      <c r="W1198" s="52"/>
      <c r="X1198" s="52"/>
      <c r="Y1198" s="52"/>
    </row>
    <row r="1199" spans="1:25">
      <c r="A1199" s="49"/>
      <c r="P1199" s="52"/>
      <c r="Q1199" s="52"/>
      <c r="R1199" s="52"/>
      <c r="T1199" s="52"/>
      <c r="U1199" s="52"/>
      <c r="V1199" s="52"/>
      <c r="W1199" s="52"/>
      <c r="X1199" s="52"/>
      <c r="Y1199" s="52"/>
    </row>
    <row r="1200" spans="1:25">
      <c r="A1200" s="49"/>
      <c r="P1200" s="52"/>
      <c r="Q1200" s="52"/>
      <c r="R1200" s="52"/>
      <c r="T1200" s="52"/>
      <c r="U1200" s="52"/>
      <c r="V1200" s="52"/>
      <c r="W1200" s="52"/>
      <c r="X1200" s="52"/>
      <c r="Y1200" s="52"/>
    </row>
    <row r="1201" spans="1:25">
      <c r="A1201" s="49"/>
      <c r="P1201" s="52"/>
      <c r="Q1201" s="52"/>
      <c r="R1201" s="52"/>
      <c r="T1201" s="52"/>
      <c r="U1201" s="52"/>
      <c r="V1201" s="52"/>
      <c r="W1201" s="52"/>
      <c r="X1201" s="52"/>
      <c r="Y1201" s="52"/>
    </row>
    <row r="1202" spans="1:25">
      <c r="A1202" s="49"/>
      <c r="P1202" s="52"/>
      <c r="Q1202" s="52"/>
      <c r="R1202" s="52"/>
      <c r="T1202" s="52"/>
      <c r="U1202" s="52"/>
      <c r="V1202" s="52"/>
      <c r="W1202" s="52"/>
      <c r="X1202" s="52"/>
      <c r="Y1202" s="52"/>
    </row>
    <row r="1203" spans="1:25">
      <c r="A1203" s="49"/>
      <c r="P1203" s="52"/>
      <c r="Q1203" s="52"/>
      <c r="R1203" s="52"/>
      <c r="T1203" s="52"/>
      <c r="U1203" s="52"/>
      <c r="V1203" s="52"/>
      <c r="W1203" s="52"/>
      <c r="X1203" s="52"/>
      <c r="Y1203" s="52"/>
    </row>
    <row r="1204" spans="1:25">
      <c r="A1204" s="49"/>
      <c r="P1204" s="52"/>
      <c r="Q1204" s="52"/>
      <c r="R1204" s="52"/>
      <c r="T1204" s="52"/>
      <c r="U1204" s="52"/>
      <c r="V1204" s="52"/>
      <c r="W1204" s="52"/>
      <c r="X1204" s="52"/>
      <c r="Y1204" s="52"/>
    </row>
    <row r="1205" spans="1:25">
      <c r="A1205" s="49"/>
      <c r="P1205" s="52"/>
      <c r="Q1205" s="52"/>
      <c r="R1205" s="52"/>
      <c r="T1205" s="52"/>
      <c r="U1205" s="52"/>
      <c r="V1205" s="52"/>
      <c r="W1205" s="52"/>
      <c r="X1205" s="52"/>
      <c r="Y1205" s="52"/>
    </row>
    <row r="1206" spans="1:25">
      <c r="A1206" s="49"/>
      <c r="P1206" s="52"/>
      <c r="Q1206" s="52"/>
      <c r="R1206" s="52"/>
      <c r="T1206" s="52"/>
      <c r="U1206" s="52"/>
      <c r="V1206" s="52"/>
      <c r="W1206" s="52"/>
      <c r="X1206" s="52"/>
      <c r="Y1206" s="52"/>
    </row>
    <row r="1207" spans="1:25">
      <c r="A1207" s="49"/>
      <c r="P1207" s="52"/>
      <c r="Q1207" s="52"/>
      <c r="R1207" s="52"/>
      <c r="T1207" s="52"/>
      <c r="U1207" s="52"/>
      <c r="V1207" s="52"/>
      <c r="W1207" s="52"/>
      <c r="X1207" s="52"/>
      <c r="Y1207" s="52"/>
    </row>
    <row r="1208" spans="1:25">
      <c r="A1208" s="49"/>
      <c r="P1208" s="52"/>
      <c r="Q1208" s="52"/>
      <c r="R1208" s="52"/>
      <c r="T1208" s="52"/>
      <c r="U1208" s="52"/>
      <c r="V1208" s="52"/>
      <c r="W1208" s="52"/>
      <c r="X1208" s="52"/>
      <c r="Y1208" s="52"/>
    </row>
    <row r="1209" spans="1:25">
      <c r="A1209" s="49"/>
      <c r="P1209" s="52"/>
      <c r="Q1209" s="52"/>
      <c r="R1209" s="52"/>
      <c r="T1209" s="52"/>
      <c r="U1209" s="52"/>
      <c r="V1209" s="52"/>
      <c r="W1209" s="52"/>
      <c r="X1209" s="52"/>
      <c r="Y1209" s="52"/>
    </row>
    <row r="1210" spans="1:25">
      <c r="A1210" s="49"/>
      <c r="P1210" s="52"/>
      <c r="Q1210" s="52"/>
      <c r="R1210" s="52"/>
      <c r="T1210" s="52"/>
      <c r="U1210" s="52"/>
      <c r="V1210" s="52"/>
      <c r="W1210" s="52"/>
      <c r="X1210" s="52"/>
      <c r="Y1210" s="52"/>
    </row>
    <row r="1211" spans="1:25">
      <c r="A1211" s="49"/>
      <c r="P1211" s="52"/>
      <c r="Q1211" s="52"/>
      <c r="R1211" s="52"/>
      <c r="T1211" s="52"/>
      <c r="U1211" s="52"/>
      <c r="V1211" s="52"/>
      <c r="W1211" s="52"/>
      <c r="X1211" s="52"/>
      <c r="Y1211" s="52"/>
    </row>
    <row r="1212" spans="1:25">
      <c r="A1212" s="49"/>
      <c r="P1212" s="52"/>
      <c r="Q1212" s="52"/>
      <c r="R1212" s="52"/>
      <c r="T1212" s="52"/>
      <c r="U1212" s="52"/>
      <c r="V1212" s="52"/>
      <c r="W1212" s="52"/>
      <c r="X1212" s="52"/>
      <c r="Y1212" s="52"/>
    </row>
    <row r="1213" spans="1:25">
      <c r="A1213" s="49"/>
      <c r="P1213" s="52"/>
      <c r="Q1213" s="52"/>
      <c r="R1213" s="52"/>
      <c r="T1213" s="52"/>
      <c r="U1213" s="52"/>
      <c r="V1213" s="52"/>
      <c r="W1213" s="52"/>
      <c r="X1213" s="52"/>
      <c r="Y1213" s="52"/>
    </row>
    <row r="1214" spans="1:25">
      <c r="A1214" s="49"/>
      <c r="P1214" s="52"/>
      <c r="Q1214" s="52"/>
      <c r="R1214" s="52"/>
      <c r="T1214" s="52"/>
      <c r="U1214" s="52"/>
      <c r="V1214" s="52"/>
      <c r="W1214" s="52"/>
      <c r="X1214" s="52"/>
      <c r="Y1214" s="52"/>
    </row>
    <row r="1215" spans="1:25">
      <c r="A1215" s="49"/>
      <c r="P1215" s="52"/>
      <c r="Q1215" s="52"/>
      <c r="R1215" s="52"/>
      <c r="T1215" s="52"/>
      <c r="U1215" s="52"/>
      <c r="V1215" s="52"/>
      <c r="W1215" s="52"/>
      <c r="X1215" s="52"/>
      <c r="Y1215" s="52"/>
    </row>
    <row r="1216" spans="1:25">
      <c r="A1216" s="49"/>
      <c r="P1216" s="52"/>
      <c r="Q1216" s="52"/>
      <c r="R1216" s="52"/>
      <c r="T1216" s="52"/>
      <c r="U1216" s="52"/>
      <c r="V1216" s="52"/>
      <c r="W1216" s="52"/>
      <c r="X1216" s="52"/>
      <c r="Y1216" s="52"/>
    </row>
    <row r="1217" spans="1:25">
      <c r="A1217" s="49"/>
      <c r="P1217" s="52"/>
      <c r="Q1217" s="52"/>
      <c r="R1217" s="52"/>
      <c r="T1217" s="52"/>
      <c r="U1217" s="52"/>
      <c r="V1217" s="52"/>
      <c r="W1217" s="52"/>
      <c r="X1217" s="52"/>
      <c r="Y1217" s="52"/>
    </row>
    <row r="1218" spans="1:25">
      <c r="A1218" s="49"/>
      <c r="P1218" s="52"/>
      <c r="Q1218" s="52"/>
      <c r="R1218" s="52"/>
      <c r="T1218" s="52"/>
      <c r="U1218" s="52"/>
      <c r="V1218" s="52"/>
      <c r="W1218" s="52"/>
      <c r="X1218" s="52"/>
      <c r="Y1218" s="52"/>
    </row>
    <row r="1219" spans="1:25">
      <c r="A1219" s="49"/>
      <c r="P1219" s="52"/>
      <c r="Q1219" s="52"/>
      <c r="R1219" s="52"/>
      <c r="T1219" s="52"/>
      <c r="U1219" s="52"/>
      <c r="V1219" s="52"/>
      <c r="W1219" s="52"/>
      <c r="X1219" s="52"/>
      <c r="Y1219" s="52"/>
    </row>
    <row r="1220" spans="1:25">
      <c r="A1220" s="49"/>
      <c r="P1220" s="52"/>
      <c r="Q1220" s="52"/>
      <c r="R1220" s="52"/>
      <c r="T1220" s="52"/>
      <c r="U1220" s="52"/>
      <c r="V1220" s="52"/>
      <c r="W1220" s="52"/>
      <c r="X1220" s="52"/>
      <c r="Y1220" s="52"/>
    </row>
    <row r="1221" spans="1:25">
      <c r="A1221" s="49"/>
      <c r="P1221" s="52"/>
      <c r="Q1221" s="52"/>
      <c r="R1221" s="52"/>
      <c r="T1221" s="52"/>
      <c r="U1221" s="52"/>
      <c r="V1221" s="52"/>
      <c r="W1221" s="52"/>
      <c r="X1221" s="52"/>
      <c r="Y1221" s="52"/>
    </row>
    <row r="1222" spans="1:25">
      <c r="A1222" s="49"/>
      <c r="P1222" s="52"/>
      <c r="Q1222" s="52"/>
      <c r="R1222" s="52"/>
      <c r="T1222" s="52"/>
      <c r="U1222" s="52"/>
      <c r="V1222" s="52"/>
      <c r="W1222" s="52"/>
      <c r="X1222" s="52"/>
      <c r="Y1222" s="52"/>
    </row>
    <row r="1223" spans="1:25">
      <c r="A1223" s="49"/>
      <c r="P1223" s="52"/>
      <c r="Q1223" s="52"/>
      <c r="R1223" s="52"/>
      <c r="T1223" s="52"/>
      <c r="U1223" s="52"/>
      <c r="V1223" s="52"/>
      <c r="W1223" s="52"/>
      <c r="X1223" s="52"/>
      <c r="Y1223" s="52"/>
    </row>
    <row r="1224" spans="1:25">
      <c r="A1224" s="49"/>
      <c r="P1224" s="52"/>
      <c r="Q1224" s="52"/>
      <c r="R1224" s="52"/>
      <c r="T1224" s="52"/>
      <c r="U1224" s="52"/>
      <c r="V1224" s="52"/>
      <c r="W1224" s="52"/>
      <c r="X1224" s="52"/>
      <c r="Y1224" s="52"/>
    </row>
    <row r="1225" spans="1:25">
      <c r="A1225" s="49"/>
      <c r="P1225" s="52"/>
      <c r="Q1225" s="52"/>
      <c r="R1225" s="52"/>
      <c r="T1225" s="52"/>
      <c r="U1225" s="52"/>
      <c r="V1225" s="52"/>
      <c r="W1225" s="52"/>
      <c r="X1225" s="52"/>
      <c r="Y1225" s="52"/>
    </row>
    <row r="1226" spans="1:25">
      <c r="A1226" s="49"/>
      <c r="P1226" s="52"/>
      <c r="Q1226" s="52"/>
      <c r="R1226" s="52"/>
      <c r="T1226" s="52"/>
      <c r="U1226" s="52"/>
      <c r="V1226" s="52"/>
      <c r="W1226" s="52"/>
      <c r="X1226" s="52"/>
      <c r="Y1226" s="52"/>
    </row>
    <row r="1227" spans="1:25">
      <c r="A1227" s="49"/>
      <c r="P1227" s="52"/>
      <c r="Q1227" s="52"/>
      <c r="R1227" s="52"/>
      <c r="T1227" s="52"/>
      <c r="U1227" s="52"/>
      <c r="V1227" s="52"/>
      <c r="W1227" s="52"/>
      <c r="X1227" s="52"/>
      <c r="Y1227" s="52"/>
    </row>
    <row r="1228" spans="1:25">
      <c r="A1228" s="49"/>
      <c r="P1228" s="52"/>
      <c r="Q1228" s="52"/>
      <c r="R1228" s="52"/>
      <c r="T1228" s="52"/>
      <c r="U1228" s="52"/>
      <c r="V1228" s="52"/>
      <c r="W1228" s="52"/>
      <c r="X1228" s="52"/>
      <c r="Y1228" s="52"/>
    </row>
    <row r="1229" spans="1:25">
      <c r="A1229" s="49"/>
      <c r="P1229" s="52"/>
      <c r="Q1229" s="52"/>
      <c r="R1229" s="52"/>
      <c r="T1229" s="52"/>
      <c r="U1229" s="52"/>
      <c r="V1229" s="52"/>
      <c r="W1229" s="52"/>
      <c r="X1229" s="52"/>
      <c r="Y1229" s="52"/>
    </row>
    <row r="1230" spans="1:25">
      <c r="A1230" s="49"/>
      <c r="P1230" s="52"/>
      <c r="Q1230" s="52"/>
      <c r="R1230" s="52"/>
      <c r="T1230" s="52"/>
      <c r="U1230" s="52"/>
      <c r="V1230" s="52"/>
      <c r="W1230" s="52"/>
      <c r="X1230" s="52"/>
      <c r="Y1230" s="52"/>
    </row>
    <row r="1231" spans="1:25">
      <c r="A1231" s="49"/>
      <c r="P1231" s="52"/>
      <c r="Q1231" s="52"/>
      <c r="R1231" s="52"/>
      <c r="T1231" s="52"/>
      <c r="U1231" s="52"/>
      <c r="V1231" s="52"/>
      <c r="W1231" s="52"/>
      <c r="X1231" s="52"/>
      <c r="Y1231" s="52"/>
    </row>
    <row r="1232" spans="1:25">
      <c r="A1232" s="49"/>
      <c r="P1232" s="52"/>
      <c r="Q1232" s="52"/>
      <c r="R1232" s="52"/>
      <c r="T1232" s="52"/>
      <c r="U1232" s="52"/>
      <c r="V1232" s="52"/>
      <c r="W1232" s="52"/>
      <c r="X1232" s="52"/>
      <c r="Y1232" s="52"/>
    </row>
    <row r="1233" spans="1:25">
      <c r="A1233" s="49"/>
      <c r="P1233" s="52"/>
      <c r="Q1233" s="52"/>
      <c r="R1233" s="52"/>
      <c r="T1233" s="52"/>
      <c r="U1233" s="52"/>
      <c r="V1233" s="52"/>
      <c r="W1233" s="52"/>
      <c r="X1233" s="52"/>
      <c r="Y1233" s="52"/>
    </row>
    <row r="1234" spans="1:25">
      <c r="A1234" s="49"/>
      <c r="P1234" s="52"/>
      <c r="Q1234" s="52"/>
      <c r="R1234" s="52"/>
      <c r="T1234" s="52"/>
      <c r="U1234" s="52"/>
      <c r="V1234" s="52"/>
      <c r="W1234" s="52"/>
      <c r="X1234" s="52"/>
      <c r="Y1234" s="52"/>
    </row>
    <row r="1235" spans="1:25">
      <c r="A1235" s="49"/>
      <c r="P1235" s="52"/>
      <c r="Q1235" s="52"/>
      <c r="R1235" s="52"/>
      <c r="T1235" s="52"/>
      <c r="U1235" s="52"/>
      <c r="V1235" s="52"/>
      <c r="W1235" s="52"/>
      <c r="X1235" s="52"/>
      <c r="Y1235" s="52"/>
    </row>
    <row r="1236" spans="1:25">
      <c r="A1236" s="49"/>
      <c r="P1236" s="52"/>
      <c r="Q1236" s="52"/>
      <c r="R1236" s="52"/>
      <c r="T1236" s="52"/>
      <c r="U1236" s="52"/>
      <c r="V1236" s="52"/>
      <c r="W1236" s="52"/>
      <c r="X1236" s="52"/>
      <c r="Y1236" s="52"/>
    </row>
    <row r="1237" spans="1:25">
      <c r="A1237" s="49"/>
      <c r="P1237" s="52"/>
      <c r="Q1237" s="52"/>
      <c r="R1237" s="52"/>
      <c r="T1237" s="52"/>
      <c r="U1237" s="52"/>
      <c r="V1237" s="52"/>
      <c r="W1237" s="52"/>
      <c r="X1237" s="52"/>
      <c r="Y1237" s="52"/>
    </row>
    <row r="1238" spans="1:25">
      <c r="A1238" s="49"/>
      <c r="P1238" s="52"/>
      <c r="Q1238" s="52"/>
      <c r="R1238" s="52"/>
      <c r="T1238" s="52"/>
      <c r="U1238" s="52"/>
      <c r="V1238" s="52"/>
      <c r="W1238" s="52"/>
      <c r="X1238" s="52"/>
      <c r="Y1238" s="52"/>
    </row>
    <row r="1239" spans="1:25">
      <c r="A1239" s="49"/>
      <c r="P1239" s="52"/>
      <c r="Q1239" s="52"/>
      <c r="R1239" s="52"/>
      <c r="T1239" s="52"/>
      <c r="U1239" s="52"/>
      <c r="V1239" s="52"/>
      <c r="W1239" s="52"/>
      <c r="X1239" s="52"/>
      <c r="Y1239" s="52"/>
    </row>
    <row r="1240" spans="1:25">
      <c r="A1240" s="49"/>
      <c r="P1240" s="52"/>
      <c r="Q1240" s="52"/>
      <c r="R1240" s="52"/>
      <c r="T1240" s="52"/>
      <c r="U1240" s="52"/>
      <c r="V1240" s="52"/>
      <c r="W1240" s="52"/>
      <c r="X1240" s="52"/>
      <c r="Y1240" s="52"/>
    </row>
    <row r="1241" spans="1:25">
      <c r="A1241" s="49"/>
      <c r="P1241" s="52"/>
      <c r="Q1241" s="52"/>
      <c r="R1241" s="52"/>
      <c r="T1241" s="52"/>
      <c r="U1241" s="52"/>
      <c r="V1241" s="52"/>
      <c r="W1241" s="52"/>
      <c r="X1241" s="52"/>
      <c r="Y1241" s="52"/>
    </row>
    <row r="1242" spans="1:25">
      <c r="A1242" s="49"/>
      <c r="P1242" s="52"/>
      <c r="Q1242" s="52"/>
      <c r="R1242" s="52"/>
      <c r="T1242" s="52"/>
      <c r="U1242" s="52"/>
      <c r="V1242" s="52"/>
      <c r="W1242" s="52"/>
      <c r="X1242" s="52"/>
      <c r="Y1242" s="52"/>
    </row>
    <row r="1243" spans="1:25">
      <c r="A1243" s="49"/>
      <c r="P1243" s="52"/>
      <c r="Q1243" s="52"/>
      <c r="R1243" s="52"/>
      <c r="T1243" s="52"/>
      <c r="U1243" s="52"/>
      <c r="V1243" s="52"/>
      <c r="W1243" s="52"/>
      <c r="X1243" s="52"/>
      <c r="Y1243" s="52"/>
    </row>
    <row r="1244" spans="1:25">
      <c r="A1244" s="49"/>
      <c r="P1244" s="52"/>
      <c r="Q1244" s="52"/>
      <c r="R1244" s="52"/>
      <c r="T1244" s="52"/>
      <c r="U1244" s="52"/>
      <c r="V1244" s="52"/>
      <c r="W1244" s="52"/>
      <c r="X1244" s="52"/>
      <c r="Y1244" s="52"/>
    </row>
    <row r="1245" spans="1:25">
      <c r="A1245" s="49"/>
      <c r="P1245" s="52"/>
      <c r="Q1245" s="52"/>
      <c r="R1245" s="52"/>
      <c r="T1245" s="52"/>
      <c r="U1245" s="52"/>
      <c r="V1245" s="52"/>
      <c r="W1245" s="52"/>
      <c r="X1245" s="52"/>
      <c r="Y1245" s="52"/>
    </row>
    <row r="1246" spans="1:25">
      <c r="A1246" s="49"/>
      <c r="P1246" s="52"/>
      <c r="Q1246" s="52"/>
      <c r="R1246" s="52"/>
      <c r="T1246" s="52"/>
      <c r="U1246" s="52"/>
      <c r="V1246" s="52"/>
      <c r="W1246" s="52"/>
      <c r="X1246" s="52"/>
      <c r="Y1246" s="52"/>
    </row>
    <row r="1247" spans="1:25">
      <c r="A1247" s="49"/>
      <c r="P1247" s="52"/>
      <c r="Q1247" s="52"/>
      <c r="R1247" s="52"/>
      <c r="T1247" s="52"/>
      <c r="U1247" s="52"/>
      <c r="V1247" s="52"/>
      <c r="W1247" s="52"/>
      <c r="X1247" s="52"/>
      <c r="Y1247" s="52"/>
    </row>
    <row r="1248" spans="1:25">
      <c r="A1248" s="49"/>
      <c r="P1248" s="52"/>
      <c r="Q1248" s="52"/>
      <c r="R1248" s="52"/>
      <c r="T1248" s="52"/>
      <c r="U1248" s="52"/>
      <c r="V1248" s="52"/>
      <c r="W1248" s="52"/>
      <c r="X1248" s="52"/>
      <c r="Y1248" s="52"/>
    </row>
    <row r="1249" spans="1:25">
      <c r="A1249" s="49"/>
      <c r="P1249" s="52"/>
      <c r="Q1249" s="52"/>
      <c r="R1249" s="52"/>
      <c r="T1249" s="52"/>
      <c r="U1249" s="52"/>
      <c r="V1249" s="52"/>
      <c r="W1249" s="52"/>
      <c r="X1249" s="52"/>
      <c r="Y1249" s="52"/>
    </row>
    <row r="1250" spans="1:25">
      <c r="A1250" s="49"/>
      <c r="P1250" s="52"/>
      <c r="Q1250" s="52"/>
      <c r="R1250" s="52"/>
      <c r="T1250" s="52"/>
      <c r="U1250" s="52"/>
      <c r="V1250" s="52"/>
      <c r="W1250" s="52"/>
      <c r="X1250" s="52"/>
      <c r="Y1250" s="52"/>
    </row>
    <row r="1251" spans="1:25">
      <c r="A1251" s="49"/>
      <c r="P1251" s="52"/>
      <c r="Q1251" s="52"/>
      <c r="R1251" s="52"/>
      <c r="T1251" s="52"/>
      <c r="U1251" s="52"/>
      <c r="V1251" s="52"/>
      <c r="W1251" s="52"/>
      <c r="X1251" s="52"/>
      <c r="Y1251" s="52"/>
    </row>
    <row r="1252" spans="1:25">
      <c r="A1252" s="49"/>
      <c r="P1252" s="52"/>
      <c r="Q1252" s="52"/>
      <c r="R1252" s="52"/>
      <c r="T1252" s="52"/>
      <c r="U1252" s="52"/>
      <c r="V1252" s="52"/>
      <c r="W1252" s="52"/>
      <c r="X1252" s="52"/>
      <c r="Y1252" s="52"/>
    </row>
    <row r="1253" spans="1:25">
      <c r="A1253" s="49"/>
      <c r="P1253" s="52"/>
      <c r="Q1253" s="52"/>
      <c r="R1253" s="52"/>
      <c r="T1253" s="52"/>
      <c r="U1253" s="52"/>
      <c r="V1253" s="52"/>
      <c r="W1253" s="52"/>
      <c r="X1253" s="52"/>
      <c r="Y1253" s="52"/>
    </row>
    <row r="1254" spans="1:25">
      <c r="A1254" s="49"/>
      <c r="P1254" s="52"/>
      <c r="Q1254" s="52"/>
      <c r="R1254" s="52"/>
      <c r="T1254" s="52"/>
      <c r="U1254" s="52"/>
      <c r="V1254" s="52"/>
      <c r="W1254" s="52"/>
      <c r="X1254" s="52"/>
      <c r="Y1254" s="52"/>
    </row>
    <row r="1255" spans="1:25">
      <c r="A1255" s="49"/>
      <c r="P1255" s="52"/>
      <c r="Q1255" s="52"/>
      <c r="R1255" s="52"/>
      <c r="T1255" s="52"/>
      <c r="U1255" s="52"/>
      <c r="V1255" s="52"/>
      <c r="W1255" s="52"/>
      <c r="X1255" s="52"/>
      <c r="Y1255" s="52"/>
    </row>
    <row r="1256" spans="1:25">
      <c r="A1256" s="49"/>
      <c r="P1256" s="52"/>
      <c r="Q1256" s="52"/>
      <c r="R1256" s="52"/>
      <c r="T1256" s="52"/>
      <c r="U1256" s="52"/>
      <c r="V1256" s="52"/>
      <c r="W1256" s="52"/>
      <c r="X1256" s="52"/>
      <c r="Y1256" s="52"/>
    </row>
    <row r="1257" spans="1:25">
      <c r="A1257" s="49"/>
      <c r="P1257" s="52"/>
      <c r="Q1257" s="52"/>
      <c r="R1257" s="52"/>
      <c r="T1257" s="52"/>
      <c r="U1257" s="52"/>
      <c r="V1257" s="52"/>
      <c r="W1257" s="52"/>
      <c r="X1257" s="52"/>
      <c r="Y1257" s="52"/>
    </row>
    <row r="1258" spans="1:25">
      <c r="A1258" s="49"/>
      <c r="P1258" s="52"/>
      <c r="Q1258" s="52"/>
      <c r="R1258" s="52"/>
      <c r="T1258" s="52"/>
      <c r="U1258" s="52"/>
      <c r="V1258" s="52"/>
      <c r="W1258" s="52"/>
      <c r="X1258" s="52"/>
      <c r="Y1258" s="52"/>
    </row>
    <row r="1259" spans="1:25">
      <c r="A1259" s="49"/>
      <c r="P1259" s="52"/>
      <c r="Q1259" s="52"/>
      <c r="R1259" s="52"/>
      <c r="T1259" s="52"/>
      <c r="U1259" s="52"/>
      <c r="V1259" s="52"/>
      <c r="W1259" s="52"/>
      <c r="X1259" s="52"/>
      <c r="Y1259" s="52"/>
    </row>
    <row r="1260" spans="1:25">
      <c r="A1260" s="49"/>
      <c r="P1260" s="52"/>
      <c r="Q1260" s="52"/>
      <c r="R1260" s="52"/>
      <c r="T1260" s="52"/>
      <c r="U1260" s="52"/>
      <c r="V1260" s="52"/>
      <c r="W1260" s="52"/>
      <c r="X1260" s="52"/>
      <c r="Y1260" s="52"/>
    </row>
    <row r="1261" spans="1:25">
      <c r="A1261" s="49"/>
      <c r="P1261" s="52"/>
      <c r="Q1261" s="52"/>
      <c r="R1261" s="52"/>
      <c r="T1261" s="52"/>
      <c r="U1261" s="52"/>
      <c r="V1261" s="52"/>
      <c r="W1261" s="52"/>
      <c r="X1261" s="52"/>
      <c r="Y1261" s="52"/>
    </row>
    <row r="1262" spans="1:25">
      <c r="A1262" s="49"/>
      <c r="P1262" s="52"/>
      <c r="Q1262" s="52"/>
      <c r="R1262" s="52"/>
      <c r="T1262" s="52"/>
      <c r="U1262" s="52"/>
      <c r="V1262" s="52"/>
      <c r="W1262" s="52"/>
      <c r="X1262" s="52"/>
      <c r="Y1262" s="52"/>
    </row>
    <row r="1263" spans="1:25">
      <c r="A1263" s="49"/>
      <c r="P1263" s="52"/>
      <c r="Q1263" s="52"/>
      <c r="R1263" s="52"/>
      <c r="T1263" s="52"/>
      <c r="U1263" s="52"/>
      <c r="V1263" s="52"/>
      <c r="W1263" s="52"/>
      <c r="X1263" s="52"/>
      <c r="Y1263" s="52"/>
    </row>
    <row r="1264" spans="1:25">
      <c r="A1264" s="49"/>
      <c r="P1264" s="52"/>
      <c r="Q1264" s="52"/>
      <c r="R1264" s="52"/>
      <c r="T1264" s="52"/>
      <c r="U1264" s="52"/>
      <c r="V1264" s="52"/>
      <c r="W1264" s="52"/>
      <c r="X1264" s="52"/>
      <c r="Y1264" s="52"/>
    </row>
    <row r="1265" spans="1:25">
      <c r="A1265" s="49"/>
      <c r="P1265" s="52"/>
      <c r="Q1265" s="52"/>
      <c r="R1265" s="52"/>
      <c r="T1265" s="52"/>
      <c r="U1265" s="52"/>
      <c r="V1265" s="52"/>
      <c r="W1265" s="52"/>
      <c r="X1265" s="52"/>
      <c r="Y1265" s="52"/>
    </row>
    <row r="1266" spans="1:25">
      <c r="A1266" s="49"/>
      <c r="P1266" s="52"/>
      <c r="Q1266" s="52"/>
      <c r="R1266" s="52"/>
      <c r="T1266" s="52"/>
      <c r="U1266" s="52"/>
      <c r="V1266" s="52"/>
      <c r="W1266" s="52"/>
      <c r="X1266" s="52"/>
      <c r="Y1266" s="52"/>
    </row>
    <row r="1267" spans="1:25">
      <c r="A1267" s="49"/>
      <c r="P1267" s="52"/>
      <c r="Q1267" s="52"/>
      <c r="R1267" s="52"/>
      <c r="T1267" s="52"/>
      <c r="U1267" s="52"/>
      <c r="V1267" s="52"/>
      <c r="W1267" s="52"/>
      <c r="X1267" s="52"/>
      <c r="Y1267" s="52"/>
    </row>
    <row r="1268" spans="1:25">
      <c r="A1268" s="49"/>
      <c r="P1268" s="52"/>
      <c r="Q1268" s="52"/>
      <c r="R1268" s="52"/>
      <c r="T1268" s="52"/>
      <c r="U1268" s="52"/>
      <c r="V1268" s="52"/>
      <c r="W1268" s="52"/>
      <c r="X1268" s="52"/>
      <c r="Y1268" s="52"/>
    </row>
    <row r="1269" spans="1:25">
      <c r="A1269" s="49"/>
      <c r="P1269" s="52"/>
      <c r="Q1269" s="52"/>
      <c r="R1269" s="52"/>
      <c r="T1269" s="52"/>
      <c r="U1269" s="52"/>
      <c r="V1269" s="52"/>
      <c r="W1269" s="52"/>
      <c r="X1269" s="52"/>
      <c r="Y1269" s="52"/>
    </row>
    <row r="1270" spans="1:25">
      <c r="A1270" s="49"/>
      <c r="P1270" s="52"/>
      <c r="Q1270" s="52"/>
      <c r="R1270" s="52"/>
      <c r="T1270" s="52"/>
      <c r="U1270" s="52"/>
      <c r="V1270" s="52"/>
      <c r="W1270" s="52"/>
      <c r="X1270" s="52"/>
      <c r="Y1270" s="52"/>
    </row>
    <row r="1271" spans="1:25">
      <c r="A1271" s="49"/>
      <c r="P1271" s="52"/>
      <c r="Q1271" s="52"/>
      <c r="R1271" s="52"/>
      <c r="T1271" s="52"/>
      <c r="U1271" s="52"/>
      <c r="V1271" s="52"/>
      <c r="W1271" s="52"/>
      <c r="X1271" s="52"/>
      <c r="Y1271" s="52"/>
    </row>
    <row r="1272" spans="1:25">
      <c r="A1272" s="49"/>
      <c r="P1272" s="52"/>
      <c r="Q1272" s="52"/>
      <c r="R1272" s="52"/>
      <c r="T1272" s="52"/>
      <c r="U1272" s="52"/>
      <c r="V1272" s="52"/>
      <c r="W1272" s="52"/>
      <c r="X1272" s="52"/>
      <c r="Y1272" s="52"/>
    </row>
    <row r="1273" spans="1:25">
      <c r="A1273" s="49"/>
      <c r="P1273" s="52"/>
      <c r="Q1273" s="52"/>
      <c r="R1273" s="52"/>
      <c r="T1273" s="52"/>
      <c r="U1273" s="52"/>
      <c r="V1273" s="52"/>
      <c r="W1273" s="52"/>
      <c r="X1273" s="52"/>
      <c r="Y1273" s="52"/>
    </row>
    <row r="1274" spans="1:25">
      <c r="A1274" s="49"/>
      <c r="P1274" s="52"/>
      <c r="Q1274" s="52"/>
      <c r="R1274" s="52"/>
      <c r="T1274" s="52"/>
      <c r="U1274" s="52"/>
      <c r="V1274" s="52"/>
      <c r="W1274" s="52"/>
      <c r="X1274" s="52"/>
      <c r="Y1274" s="52"/>
    </row>
    <row r="1275" spans="1:25">
      <c r="A1275" s="49"/>
      <c r="P1275" s="52"/>
      <c r="Q1275" s="52"/>
      <c r="R1275" s="52"/>
      <c r="T1275" s="52"/>
      <c r="U1275" s="52"/>
      <c r="V1275" s="52"/>
      <c r="W1275" s="52"/>
      <c r="X1275" s="52"/>
      <c r="Y1275" s="52"/>
    </row>
    <row r="1276" spans="1:25">
      <c r="A1276" s="49"/>
      <c r="P1276" s="52"/>
      <c r="Q1276" s="52"/>
      <c r="R1276" s="52"/>
      <c r="T1276" s="52"/>
      <c r="U1276" s="52"/>
      <c r="V1276" s="52"/>
      <c r="W1276" s="52"/>
      <c r="X1276" s="52"/>
      <c r="Y1276" s="52"/>
    </row>
    <row r="1277" spans="1:25">
      <c r="A1277" s="49"/>
      <c r="P1277" s="52"/>
      <c r="Q1277" s="52"/>
      <c r="R1277" s="52"/>
      <c r="T1277" s="52"/>
      <c r="U1277" s="52"/>
      <c r="V1277" s="52"/>
      <c r="W1277" s="52"/>
      <c r="X1277" s="52"/>
      <c r="Y1277" s="52"/>
    </row>
    <row r="1278" spans="1:25">
      <c r="A1278" s="49"/>
      <c r="P1278" s="52"/>
      <c r="Q1278" s="52"/>
      <c r="R1278" s="52"/>
      <c r="T1278" s="52"/>
      <c r="U1278" s="52"/>
      <c r="V1278" s="52"/>
      <c r="W1278" s="52"/>
      <c r="X1278" s="52"/>
      <c r="Y1278" s="52"/>
    </row>
    <row r="1279" spans="1:25">
      <c r="A1279" s="49"/>
      <c r="P1279" s="52"/>
      <c r="Q1279" s="52"/>
      <c r="R1279" s="52"/>
      <c r="T1279" s="52"/>
      <c r="U1279" s="52"/>
      <c r="V1279" s="52"/>
      <c r="W1279" s="52"/>
      <c r="X1279" s="52"/>
      <c r="Y1279" s="52"/>
    </row>
    <row r="1280" spans="1:25">
      <c r="A1280" s="49"/>
      <c r="P1280" s="52"/>
      <c r="Q1280" s="52"/>
      <c r="R1280" s="52"/>
      <c r="T1280" s="52"/>
      <c r="U1280" s="52"/>
      <c r="V1280" s="52"/>
      <c r="W1280" s="52"/>
      <c r="X1280" s="52"/>
      <c r="Y1280" s="52"/>
    </row>
    <row r="1281" spans="1:25">
      <c r="A1281" s="49"/>
      <c r="P1281" s="52"/>
      <c r="Q1281" s="52"/>
      <c r="R1281" s="52"/>
      <c r="T1281" s="52"/>
      <c r="U1281" s="52"/>
      <c r="V1281" s="52"/>
      <c r="W1281" s="52"/>
      <c r="X1281" s="52"/>
      <c r="Y1281" s="52"/>
    </row>
    <row r="1282" spans="1:25">
      <c r="A1282" s="49"/>
      <c r="P1282" s="52"/>
      <c r="Q1282" s="52"/>
      <c r="R1282" s="52"/>
      <c r="T1282" s="52"/>
      <c r="U1282" s="52"/>
      <c r="V1282" s="52"/>
      <c r="W1282" s="52"/>
      <c r="X1282" s="52"/>
      <c r="Y1282" s="52"/>
    </row>
    <row r="1283" spans="1:25">
      <c r="A1283" s="49"/>
      <c r="P1283" s="52"/>
      <c r="Q1283" s="52"/>
      <c r="R1283" s="52"/>
      <c r="T1283" s="52"/>
      <c r="U1283" s="52"/>
      <c r="V1283" s="52"/>
      <c r="W1283" s="52"/>
      <c r="X1283" s="52"/>
      <c r="Y1283" s="52"/>
    </row>
    <row r="1284" spans="1:25">
      <c r="A1284" s="49"/>
      <c r="P1284" s="52"/>
      <c r="Q1284" s="52"/>
      <c r="R1284" s="52"/>
      <c r="T1284" s="52"/>
      <c r="U1284" s="52"/>
      <c r="V1284" s="52"/>
      <c r="W1284" s="52"/>
      <c r="X1284" s="52"/>
      <c r="Y1284" s="52"/>
    </row>
    <row r="1285" spans="1:25">
      <c r="A1285" s="49"/>
      <c r="P1285" s="52"/>
      <c r="Q1285" s="52"/>
      <c r="R1285" s="52"/>
      <c r="T1285" s="52"/>
      <c r="U1285" s="52"/>
      <c r="V1285" s="52"/>
      <c r="W1285" s="52"/>
      <c r="X1285" s="52"/>
      <c r="Y1285" s="52"/>
    </row>
    <row r="1286" spans="1:25">
      <c r="A1286" s="49"/>
      <c r="P1286" s="52"/>
      <c r="Q1286" s="52"/>
      <c r="R1286" s="52"/>
      <c r="T1286" s="52"/>
      <c r="U1286" s="52"/>
      <c r="V1286" s="52"/>
      <c r="W1286" s="52"/>
      <c r="X1286" s="52"/>
      <c r="Y1286" s="52"/>
    </row>
    <row r="1287" spans="1:25">
      <c r="A1287" s="49"/>
      <c r="P1287" s="52"/>
      <c r="Q1287" s="52"/>
      <c r="R1287" s="52"/>
      <c r="T1287" s="52"/>
      <c r="U1287" s="52"/>
      <c r="V1287" s="52"/>
      <c r="W1287" s="52"/>
      <c r="X1287" s="52"/>
      <c r="Y1287" s="52"/>
    </row>
    <row r="1288" spans="1:25">
      <c r="A1288" s="49"/>
      <c r="P1288" s="52"/>
      <c r="Q1288" s="52"/>
      <c r="R1288" s="52"/>
      <c r="T1288" s="52"/>
      <c r="U1288" s="52"/>
      <c r="V1288" s="52"/>
      <c r="W1288" s="52"/>
      <c r="X1288" s="52"/>
      <c r="Y1288" s="52"/>
    </row>
    <row r="1289" spans="1:25">
      <c r="A1289" s="49"/>
      <c r="P1289" s="52"/>
      <c r="Q1289" s="52"/>
      <c r="R1289" s="52"/>
      <c r="T1289" s="52"/>
      <c r="U1289" s="52"/>
      <c r="V1289" s="52"/>
      <c r="W1289" s="52"/>
      <c r="X1289" s="52"/>
      <c r="Y1289" s="52"/>
    </row>
    <row r="1290" spans="1:25">
      <c r="A1290" s="49"/>
      <c r="P1290" s="52"/>
      <c r="Q1290" s="52"/>
      <c r="R1290" s="52"/>
      <c r="T1290" s="52"/>
      <c r="U1290" s="52"/>
      <c r="V1290" s="52"/>
      <c r="W1290" s="52"/>
      <c r="X1290" s="52"/>
      <c r="Y1290" s="52"/>
    </row>
    <row r="1291" spans="1:25">
      <c r="A1291" s="49"/>
      <c r="P1291" s="52"/>
      <c r="Q1291" s="52"/>
      <c r="R1291" s="52"/>
      <c r="T1291" s="52"/>
      <c r="U1291" s="52"/>
      <c r="V1291" s="52"/>
      <c r="W1291" s="52"/>
      <c r="X1291" s="52"/>
      <c r="Y1291" s="52"/>
    </row>
    <row r="1292" spans="1:25">
      <c r="A1292" s="49"/>
      <c r="P1292" s="52"/>
      <c r="Q1292" s="52"/>
      <c r="R1292" s="52"/>
      <c r="T1292" s="52"/>
      <c r="U1292" s="52"/>
      <c r="V1292" s="52"/>
      <c r="W1292" s="52"/>
      <c r="X1292" s="52"/>
      <c r="Y1292" s="52"/>
    </row>
    <row r="1293" spans="1:25">
      <c r="A1293" s="49"/>
      <c r="P1293" s="52"/>
      <c r="Q1293" s="52"/>
      <c r="R1293" s="52"/>
      <c r="T1293" s="52"/>
      <c r="U1293" s="52"/>
      <c r="V1293" s="52"/>
      <c r="W1293" s="52"/>
      <c r="X1293" s="52"/>
      <c r="Y1293" s="52"/>
    </row>
    <row r="1294" spans="1:25">
      <c r="A1294" s="49"/>
      <c r="P1294" s="52"/>
      <c r="Q1294" s="52"/>
      <c r="R1294" s="52"/>
      <c r="T1294" s="52"/>
      <c r="U1294" s="52"/>
      <c r="V1294" s="52"/>
      <c r="W1294" s="52"/>
      <c r="X1294" s="52"/>
      <c r="Y1294" s="52"/>
    </row>
    <row r="1295" spans="1:25">
      <c r="A1295" s="49"/>
      <c r="P1295" s="52"/>
      <c r="Q1295" s="52"/>
      <c r="R1295" s="52"/>
      <c r="T1295" s="52"/>
      <c r="U1295" s="52"/>
      <c r="V1295" s="52"/>
      <c r="W1295" s="52"/>
      <c r="X1295" s="52"/>
      <c r="Y1295" s="52"/>
    </row>
    <row r="1296" spans="1:25">
      <c r="A1296" s="49"/>
      <c r="P1296" s="52"/>
      <c r="Q1296" s="52"/>
      <c r="R1296" s="52"/>
      <c r="T1296" s="52"/>
      <c r="U1296" s="52"/>
      <c r="V1296" s="52"/>
      <c r="W1296" s="52"/>
      <c r="X1296" s="52"/>
      <c r="Y1296" s="52"/>
    </row>
    <row r="1297" spans="1:25">
      <c r="A1297" s="49"/>
      <c r="P1297" s="52"/>
      <c r="Q1297" s="52"/>
      <c r="R1297" s="52"/>
      <c r="T1297" s="52"/>
      <c r="U1297" s="52"/>
      <c r="V1297" s="52"/>
      <c r="W1297" s="52"/>
      <c r="X1297" s="52"/>
      <c r="Y1297" s="52"/>
    </row>
    <row r="1298" spans="1:25">
      <c r="A1298" s="49"/>
      <c r="P1298" s="52"/>
      <c r="Q1298" s="52"/>
      <c r="R1298" s="52"/>
      <c r="T1298" s="52"/>
      <c r="U1298" s="52"/>
      <c r="V1298" s="52"/>
      <c r="W1298" s="52"/>
      <c r="X1298" s="52"/>
      <c r="Y1298" s="52"/>
    </row>
    <row r="1299" spans="1:25">
      <c r="A1299" s="49"/>
      <c r="P1299" s="52"/>
      <c r="Q1299" s="52"/>
      <c r="R1299" s="52"/>
      <c r="T1299" s="52"/>
      <c r="U1299" s="52"/>
      <c r="V1299" s="52"/>
      <c r="W1299" s="52"/>
      <c r="X1299" s="52"/>
      <c r="Y1299" s="52"/>
    </row>
    <row r="1300" spans="1:25">
      <c r="A1300" s="49"/>
      <c r="P1300" s="52"/>
      <c r="Q1300" s="52"/>
      <c r="R1300" s="52"/>
      <c r="T1300" s="52"/>
      <c r="U1300" s="52"/>
      <c r="V1300" s="52"/>
      <c r="W1300" s="52"/>
      <c r="X1300" s="52"/>
      <c r="Y1300" s="52"/>
    </row>
    <row r="1301" spans="1:25">
      <c r="A1301" s="49"/>
      <c r="P1301" s="52"/>
      <c r="Q1301" s="52"/>
      <c r="R1301" s="52"/>
      <c r="T1301" s="52"/>
      <c r="U1301" s="52"/>
      <c r="V1301" s="52"/>
      <c r="W1301" s="52"/>
      <c r="X1301" s="52"/>
      <c r="Y1301" s="52"/>
    </row>
    <row r="1302" spans="1:25">
      <c r="A1302" s="49"/>
      <c r="P1302" s="52"/>
      <c r="Q1302" s="52"/>
      <c r="R1302" s="52"/>
      <c r="T1302" s="52"/>
      <c r="U1302" s="52"/>
      <c r="V1302" s="52"/>
      <c r="W1302" s="52"/>
      <c r="X1302" s="52"/>
      <c r="Y1302" s="52"/>
    </row>
    <row r="1303" spans="1:25">
      <c r="A1303" s="49"/>
      <c r="P1303" s="52"/>
      <c r="Q1303" s="52"/>
      <c r="R1303" s="52"/>
      <c r="T1303" s="52"/>
      <c r="U1303" s="52"/>
      <c r="V1303" s="52"/>
      <c r="W1303" s="52"/>
      <c r="X1303" s="52"/>
      <c r="Y1303" s="52"/>
    </row>
    <row r="1304" spans="1:25">
      <c r="A1304" s="49"/>
      <c r="P1304" s="52"/>
      <c r="Q1304" s="52"/>
      <c r="R1304" s="52"/>
      <c r="T1304" s="52"/>
      <c r="U1304" s="52"/>
      <c r="V1304" s="52"/>
      <c r="W1304" s="52"/>
      <c r="X1304" s="52"/>
      <c r="Y1304" s="52"/>
    </row>
    <row r="1305" spans="1:25">
      <c r="A1305" s="49"/>
      <c r="P1305" s="52"/>
      <c r="Q1305" s="52"/>
      <c r="R1305" s="52"/>
      <c r="T1305" s="52"/>
      <c r="U1305" s="52"/>
      <c r="V1305" s="52"/>
      <c r="W1305" s="52"/>
      <c r="X1305" s="52"/>
      <c r="Y1305" s="52"/>
    </row>
    <row r="1306" spans="1:25">
      <c r="A1306" s="49"/>
      <c r="P1306" s="52"/>
      <c r="Q1306" s="52"/>
      <c r="R1306" s="52"/>
      <c r="T1306" s="52"/>
      <c r="U1306" s="52"/>
      <c r="V1306" s="52"/>
      <c r="W1306" s="52"/>
      <c r="X1306" s="52"/>
      <c r="Y1306" s="52"/>
    </row>
    <row r="1307" spans="1:25">
      <c r="A1307" s="49"/>
      <c r="P1307" s="52"/>
      <c r="Q1307" s="52"/>
      <c r="R1307" s="52"/>
      <c r="T1307" s="52"/>
      <c r="U1307" s="52"/>
      <c r="V1307" s="52"/>
      <c r="W1307" s="52"/>
      <c r="X1307" s="52"/>
      <c r="Y1307" s="52"/>
    </row>
    <row r="1308" spans="1:25">
      <c r="A1308" s="49"/>
      <c r="P1308" s="52"/>
      <c r="Q1308" s="52"/>
      <c r="R1308" s="52"/>
      <c r="T1308" s="52"/>
      <c r="U1308" s="52"/>
      <c r="V1308" s="52"/>
      <c r="W1308" s="52"/>
      <c r="X1308" s="52"/>
      <c r="Y1308" s="52"/>
    </row>
    <row r="1309" spans="1:25">
      <c r="A1309" s="49"/>
      <c r="P1309" s="52"/>
      <c r="Q1309" s="52"/>
      <c r="R1309" s="52"/>
      <c r="T1309" s="52"/>
      <c r="U1309" s="52"/>
      <c r="V1309" s="52"/>
      <c r="W1309" s="52"/>
      <c r="X1309" s="52"/>
      <c r="Y1309" s="52"/>
    </row>
    <row r="1310" spans="1:25">
      <c r="A1310" s="49"/>
      <c r="P1310" s="52"/>
      <c r="Q1310" s="52"/>
      <c r="R1310" s="52"/>
      <c r="T1310" s="52"/>
      <c r="U1310" s="52"/>
      <c r="V1310" s="52"/>
      <c r="W1310" s="52"/>
      <c r="X1310" s="52"/>
      <c r="Y1310" s="52"/>
    </row>
    <row r="1311" spans="1:25">
      <c r="A1311" s="49"/>
      <c r="P1311" s="52"/>
      <c r="Q1311" s="52"/>
      <c r="R1311" s="52"/>
      <c r="T1311" s="52"/>
      <c r="U1311" s="52"/>
      <c r="V1311" s="52"/>
      <c r="W1311" s="52"/>
      <c r="X1311" s="52"/>
      <c r="Y1311" s="52"/>
    </row>
    <row r="1312" spans="1:25">
      <c r="A1312" s="49"/>
      <c r="P1312" s="52"/>
      <c r="Q1312" s="52"/>
      <c r="R1312" s="52"/>
      <c r="T1312" s="52"/>
      <c r="U1312" s="52"/>
      <c r="V1312" s="52"/>
      <c r="W1312" s="52"/>
      <c r="X1312" s="52"/>
      <c r="Y1312" s="52"/>
    </row>
    <row r="1313" spans="1:25">
      <c r="A1313" s="49"/>
      <c r="P1313" s="52"/>
      <c r="Q1313" s="52"/>
      <c r="R1313" s="52"/>
      <c r="T1313" s="52"/>
      <c r="U1313" s="52"/>
      <c r="V1313" s="52"/>
      <c r="W1313" s="52"/>
      <c r="X1313" s="52"/>
      <c r="Y1313" s="52"/>
    </row>
    <row r="1314" spans="1:25">
      <c r="A1314" s="49"/>
      <c r="P1314" s="52"/>
      <c r="Q1314" s="52"/>
      <c r="R1314" s="52"/>
      <c r="T1314" s="52"/>
      <c r="U1314" s="52"/>
      <c r="V1314" s="52"/>
      <c r="W1314" s="52"/>
      <c r="X1314" s="52"/>
      <c r="Y1314" s="52"/>
    </row>
    <row r="1315" spans="1:25">
      <c r="A1315" s="49"/>
      <c r="P1315" s="52"/>
      <c r="Q1315" s="52"/>
      <c r="R1315" s="52"/>
      <c r="T1315" s="52"/>
      <c r="U1315" s="52"/>
      <c r="V1315" s="52"/>
      <c r="W1315" s="52"/>
      <c r="X1315" s="52"/>
      <c r="Y1315" s="52"/>
    </row>
    <row r="1316" spans="1:25">
      <c r="A1316" s="49"/>
      <c r="P1316" s="52"/>
      <c r="Q1316" s="52"/>
      <c r="R1316" s="52"/>
      <c r="T1316" s="52"/>
      <c r="U1316" s="52"/>
      <c r="V1316" s="52"/>
      <c r="W1316" s="52"/>
      <c r="X1316" s="52"/>
      <c r="Y1316" s="52"/>
    </row>
    <row r="1317" spans="1:25">
      <c r="A1317" s="49"/>
      <c r="P1317" s="52"/>
      <c r="Q1317" s="52"/>
      <c r="R1317" s="52"/>
      <c r="T1317" s="52"/>
      <c r="U1317" s="52"/>
      <c r="V1317" s="52"/>
      <c r="W1317" s="52"/>
      <c r="X1317" s="52"/>
      <c r="Y1317" s="52"/>
    </row>
    <row r="1318" spans="1:25">
      <c r="A1318" s="49"/>
      <c r="P1318" s="52"/>
      <c r="Q1318" s="52"/>
      <c r="R1318" s="52"/>
      <c r="T1318" s="52"/>
      <c r="U1318" s="52"/>
      <c r="V1318" s="52"/>
      <c r="W1318" s="52"/>
      <c r="X1318" s="52"/>
      <c r="Y1318" s="52"/>
    </row>
    <row r="1319" spans="1:25">
      <c r="A1319" s="49"/>
      <c r="P1319" s="52"/>
      <c r="Q1319" s="52"/>
      <c r="R1319" s="52"/>
      <c r="T1319" s="52"/>
      <c r="U1319" s="52"/>
      <c r="V1319" s="52"/>
      <c r="W1319" s="52"/>
      <c r="X1319" s="52"/>
      <c r="Y1319" s="52"/>
    </row>
    <row r="1320" spans="1:25">
      <c r="A1320" s="49"/>
      <c r="P1320" s="52"/>
      <c r="Q1320" s="52"/>
      <c r="R1320" s="52"/>
      <c r="T1320" s="52"/>
      <c r="U1320" s="52"/>
      <c r="V1320" s="52"/>
      <c r="W1320" s="52"/>
      <c r="X1320" s="52"/>
      <c r="Y1320" s="52"/>
    </row>
    <row r="1321" spans="1:25">
      <c r="A1321" s="49"/>
      <c r="P1321" s="52"/>
      <c r="Q1321" s="52"/>
      <c r="R1321" s="52"/>
      <c r="T1321" s="52"/>
      <c r="U1321" s="52"/>
      <c r="V1321" s="52"/>
      <c r="W1321" s="52"/>
      <c r="X1321" s="52"/>
      <c r="Y1321" s="52"/>
    </row>
    <row r="1322" spans="1:25">
      <c r="A1322" s="49"/>
      <c r="P1322" s="52"/>
      <c r="Q1322" s="52"/>
      <c r="R1322" s="52"/>
      <c r="T1322" s="52"/>
      <c r="U1322" s="52"/>
      <c r="V1322" s="52"/>
      <c r="W1322" s="52"/>
      <c r="X1322" s="52"/>
      <c r="Y1322" s="52"/>
    </row>
    <row r="1323" spans="1:25">
      <c r="A1323" s="49"/>
      <c r="P1323" s="52"/>
      <c r="Q1323" s="52"/>
      <c r="R1323" s="52"/>
      <c r="T1323" s="52"/>
      <c r="U1323" s="52"/>
      <c r="V1323" s="52"/>
      <c r="W1323" s="52"/>
      <c r="X1323" s="52"/>
      <c r="Y1323" s="52"/>
    </row>
    <row r="1324" spans="1:25">
      <c r="A1324" s="49"/>
      <c r="P1324" s="52"/>
      <c r="Q1324" s="52"/>
      <c r="R1324" s="52"/>
      <c r="T1324" s="52"/>
      <c r="U1324" s="52"/>
      <c r="V1324" s="52"/>
      <c r="W1324" s="52"/>
      <c r="X1324" s="52"/>
      <c r="Y1324" s="52"/>
    </row>
    <row r="1325" spans="1:25">
      <c r="A1325" s="49"/>
      <c r="P1325" s="52"/>
      <c r="Q1325" s="52"/>
      <c r="R1325" s="52"/>
      <c r="T1325" s="52"/>
      <c r="U1325" s="52"/>
      <c r="V1325" s="52"/>
      <c r="W1325" s="52"/>
      <c r="X1325" s="52"/>
      <c r="Y1325" s="52"/>
    </row>
    <row r="1326" spans="1:25">
      <c r="A1326" s="49"/>
      <c r="P1326" s="52"/>
      <c r="Q1326" s="52"/>
      <c r="R1326" s="52"/>
      <c r="T1326" s="52"/>
      <c r="U1326" s="52"/>
      <c r="V1326" s="52"/>
      <c r="W1326" s="52"/>
      <c r="X1326" s="52"/>
      <c r="Y1326" s="52"/>
    </row>
    <row r="1327" spans="1:25">
      <c r="A1327" s="49"/>
      <c r="P1327" s="52"/>
      <c r="Q1327" s="52"/>
      <c r="R1327" s="52"/>
      <c r="T1327" s="52"/>
      <c r="U1327" s="52"/>
      <c r="V1327" s="52"/>
      <c r="W1327" s="52"/>
      <c r="X1327" s="52"/>
      <c r="Y1327" s="52"/>
    </row>
    <row r="1328" spans="1:25">
      <c r="A1328" s="49"/>
      <c r="P1328" s="52"/>
      <c r="Q1328" s="52"/>
      <c r="R1328" s="52"/>
      <c r="T1328" s="52"/>
      <c r="U1328" s="52"/>
      <c r="V1328" s="52"/>
      <c r="W1328" s="52"/>
      <c r="X1328" s="52"/>
      <c r="Y1328" s="52"/>
    </row>
    <row r="1329" spans="1:25">
      <c r="A1329" s="49"/>
      <c r="P1329" s="52"/>
      <c r="Q1329" s="52"/>
      <c r="R1329" s="52"/>
      <c r="T1329" s="52"/>
      <c r="U1329" s="52"/>
      <c r="V1329" s="52"/>
      <c r="W1329" s="52"/>
      <c r="X1329" s="52"/>
      <c r="Y1329" s="52"/>
    </row>
    <row r="1330" spans="1:25">
      <c r="A1330" s="49"/>
      <c r="P1330" s="52"/>
      <c r="Q1330" s="52"/>
      <c r="R1330" s="52"/>
      <c r="T1330" s="52"/>
      <c r="U1330" s="52"/>
      <c r="V1330" s="52"/>
      <c r="W1330" s="52"/>
      <c r="X1330" s="52"/>
      <c r="Y1330" s="52"/>
    </row>
    <row r="1331" spans="1:25">
      <c r="A1331" s="49"/>
      <c r="P1331" s="52"/>
      <c r="Q1331" s="52"/>
      <c r="R1331" s="52"/>
      <c r="T1331" s="52"/>
      <c r="U1331" s="52"/>
      <c r="V1331" s="52"/>
      <c r="W1331" s="52"/>
      <c r="X1331" s="52"/>
      <c r="Y1331" s="52"/>
    </row>
    <row r="1332" spans="1:25">
      <c r="A1332" s="49"/>
      <c r="P1332" s="52"/>
      <c r="Q1332" s="52"/>
      <c r="R1332" s="52"/>
      <c r="T1332" s="52"/>
      <c r="U1332" s="52"/>
      <c r="V1332" s="52"/>
      <c r="W1332" s="52"/>
      <c r="X1332" s="52"/>
      <c r="Y1332" s="52"/>
    </row>
    <row r="1333" spans="1:25">
      <c r="A1333" s="49"/>
      <c r="P1333" s="52"/>
      <c r="Q1333" s="52"/>
      <c r="R1333" s="52"/>
      <c r="T1333" s="52"/>
      <c r="U1333" s="52"/>
      <c r="V1333" s="52"/>
      <c r="W1333" s="52"/>
      <c r="X1333" s="52"/>
      <c r="Y1333" s="52"/>
    </row>
    <row r="1334" spans="1:25">
      <c r="A1334" s="49"/>
      <c r="P1334" s="52"/>
      <c r="Q1334" s="52"/>
      <c r="R1334" s="52"/>
      <c r="T1334" s="52"/>
      <c r="U1334" s="52"/>
      <c r="V1334" s="52"/>
      <c r="W1334" s="52"/>
      <c r="X1334" s="52"/>
      <c r="Y1334" s="52"/>
    </row>
    <row r="1335" spans="1:25">
      <c r="A1335" s="49"/>
      <c r="P1335" s="52"/>
      <c r="Q1335" s="52"/>
      <c r="R1335" s="52"/>
      <c r="T1335" s="52"/>
      <c r="U1335" s="52"/>
      <c r="V1335" s="52"/>
      <c r="W1335" s="52"/>
      <c r="X1335" s="52"/>
      <c r="Y1335" s="52"/>
    </row>
    <row r="1336" spans="1:25">
      <c r="A1336" s="49"/>
      <c r="P1336" s="52"/>
      <c r="Q1336" s="52"/>
      <c r="R1336" s="52"/>
      <c r="T1336" s="52"/>
      <c r="U1336" s="52"/>
      <c r="V1336" s="52"/>
      <c r="W1336" s="52"/>
      <c r="X1336" s="52"/>
      <c r="Y1336" s="52"/>
    </row>
    <row r="1337" spans="1:25">
      <c r="A1337" s="49"/>
      <c r="P1337" s="52"/>
      <c r="Q1337" s="52"/>
      <c r="R1337" s="52"/>
      <c r="T1337" s="52"/>
      <c r="U1337" s="52"/>
      <c r="V1337" s="52"/>
      <c r="W1337" s="52"/>
      <c r="X1337" s="52"/>
      <c r="Y1337" s="52"/>
    </row>
    <row r="1338" spans="1:25">
      <c r="A1338" s="49"/>
      <c r="P1338" s="52"/>
      <c r="Q1338" s="52"/>
      <c r="R1338" s="52"/>
      <c r="T1338" s="52"/>
      <c r="U1338" s="52"/>
      <c r="V1338" s="52"/>
      <c r="W1338" s="52"/>
      <c r="X1338" s="52"/>
      <c r="Y1338" s="52"/>
    </row>
    <row r="1339" spans="1:25">
      <c r="A1339" s="49"/>
      <c r="P1339" s="52"/>
      <c r="Q1339" s="52"/>
      <c r="R1339" s="52"/>
      <c r="T1339" s="52"/>
      <c r="U1339" s="52"/>
      <c r="V1339" s="52"/>
      <c r="W1339" s="52"/>
      <c r="X1339" s="52"/>
      <c r="Y1339" s="52"/>
    </row>
    <row r="1340" spans="1:25">
      <c r="A1340" s="49"/>
      <c r="P1340" s="52"/>
      <c r="Q1340" s="52"/>
      <c r="R1340" s="52"/>
      <c r="T1340" s="52"/>
      <c r="U1340" s="52"/>
      <c r="V1340" s="52"/>
      <c r="W1340" s="52"/>
      <c r="X1340" s="52"/>
      <c r="Y1340" s="52"/>
    </row>
    <row r="1341" spans="1:25">
      <c r="A1341" s="49"/>
      <c r="P1341" s="52"/>
      <c r="Q1341" s="52"/>
      <c r="R1341" s="52"/>
      <c r="T1341" s="52"/>
      <c r="U1341" s="52"/>
      <c r="V1341" s="52"/>
      <c r="W1341" s="52"/>
      <c r="X1341" s="52"/>
      <c r="Y1341" s="52"/>
    </row>
    <row r="1342" spans="1:25">
      <c r="A1342" s="49"/>
      <c r="P1342" s="52"/>
      <c r="Q1342" s="52"/>
      <c r="R1342" s="52"/>
      <c r="T1342" s="52"/>
      <c r="U1342" s="52"/>
      <c r="V1342" s="52"/>
      <c r="W1342" s="52"/>
      <c r="X1342" s="52"/>
      <c r="Y1342" s="52"/>
    </row>
    <row r="1343" spans="1:25">
      <c r="A1343" s="49"/>
      <c r="P1343" s="52"/>
      <c r="Q1343" s="52"/>
      <c r="R1343" s="52"/>
      <c r="T1343" s="52"/>
      <c r="U1343" s="52"/>
      <c r="V1343" s="52"/>
      <c r="W1343" s="52"/>
      <c r="X1343" s="52"/>
      <c r="Y1343" s="52"/>
    </row>
    <row r="1344" spans="1:25">
      <c r="A1344" s="49"/>
      <c r="P1344" s="52"/>
      <c r="Q1344" s="52"/>
      <c r="R1344" s="52"/>
      <c r="T1344" s="52"/>
      <c r="U1344" s="52"/>
      <c r="V1344" s="52"/>
      <c r="W1344" s="52"/>
      <c r="X1344" s="52"/>
      <c r="Y1344" s="52"/>
    </row>
    <row r="1345" spans="1:25">
      <c r="A1345" s="49"/>
      <c r="P1345" s="52"/>
      <c r="Q1345" s="52"/>
      <c r="R1345" s="52"/>
      <c r="T1345" s="52"/>
      <c r="U1345" s="52"/>
      <c r="V1345" s="52"/>
      <c r="W1345" s="52"/>
      <c r="X1345" s="52"/>
      <c r="Y1345" s="52"/>
    </row>
    <row r="1346" spans="1:25">
      <c r="A1346" s="49"/>
      <c r="P1346" s="52"/>
      <c r="Q1346" s="52"/>
      <c r="R1346" s="52"/>
      <c r="T1346" s="52"/>
      <c r="U1346" s="52"/>
      <c r="V1346" s="52"/>
      <c r="W1346" s="52"/>
      <c r="X1346" s="52"/>
      <c r="Y1346" s="52"/>
    </row>
    <row r="1347" spans="1:25">
      <c r="A1347" s="49"/>
      <c r="P1347" s="52"/>
      <c r="Q1347" s="52"/>
      <c r="R1347" s="52"/>
      <c r="T1347" s="52"/>
      <c r="U1347" s="52"/>
      <c r="V1347" s="52"/>
      <c r="W1347" s="52"/>
      <c r="X1347" s="52"/>
      <c r="Y1347" s="52"/>
    </row>
    <row r="1348" spans="1:25">
      <c r="A1348" s="49"/>
      <c r="P1348" s="52"/>
      <c r="Q1348" s="52"/>
      <c r="R1348" s="52"/>
      <c r="T1348" s="52"/>
      <c r="U1348" s="52"/>
      <c r="V1348" s="52"/>
      <c r="W1348" s="52"/>
      <c r="X1348" s="52"/>
      <c r="Y1348" s="52"/>
    </row>
    <row r="1349" spans="1:25">
      <c r="A1349" s="49"/>
      <c r="P1349" s="52"/>
      <c r="Q1349" s="52"/>
      <c r="R1349" s="52"/>
      <c r="T1349" s="52"/>
      <c r="U1349" s="52"/>
      <c r="V1349" s="52"/>
      <c r="W1349" s="52"/>
      <c r="X1349" s="52"/>
      <c r="Y1349" s="52"/>
    </row>
    <row r="1350" spans="1:25">
      <c r="A1350" s="49"/>
      <c r="P1350" s="52"/>
      <c r="Q1350" s="52"/>
      <c r="R1350" s="52"/>
      <c r="T1350" s="52"/>
      <c r="U1350" s="52"/>
      <c r="V1350" s="52"/>
      <c r="W1350" s="52"/>
      <c r="X1350" s="52"/>
      <c r="Y1350" s="52"/>
    </row>
    <row r="1351" spans="1:25">
      <c r="A1351" s="49"/>
      <c r="P1351" s="52"/>
      <c r="Q1351" s="52"/>
      <c r="R1351" s="52"/>
      <c r="T1351" s="52"/>
      <c r="U1351" s="52"/>
      <c r="V1351" s="52"/>
      <c r="W1351" s="52"/>
      <c r="X1351" s="52"/>
      <c r="Y1351" s="52"/>
    </row>
    <row r="1352" spans="1:25">
      <c r="A1352" s="49"/>
      <c r="P1352" s="52"/>
      <c r="Q1352" s="52"/>
      <c r="R1352" s="52"/>
      <c r="T1352" s="52"/>
      <c r="U1352" s="52"/>
      <c r="V1352" s="52"/>
      <c r="W1352" s="52"/>
      <c r="X1352" s="52"/>
      <c r="Y1352" s="52"/>
    </row>
    <row r="1353" spans="1:25">
      <c r="A1353" s="49"/>
      <c r="P1353" s="52"/>
      <c r="Q1353" s="52"/>
      <c r="R1353" s="52"/>
      <c r="T1353" s="52"/>
      <c r="U1353" s="52"/>
      <c r="V1353" s="52"/>
      <c r="W1353" s="52"/>
      <c r="X1353" s="52"/>
      <c r="Y1353" s="52"/>
    </row>
    <row r="1354" spans="1:25">
      <c r="A1354" s="49"/>
      <c r="P1354" s="52"/>
      <c r="Q1354" s="52"/>
      <c r="R1354" s="52"/>
      <c r="T1354" s="52"/>
      <c r="U1354" s="52"/>
      <c r="V1354" s="52"/>
      <c r="W1354" s="52"/>
      <c r="X1354" s="52"/>
      <c r="Y1354" s="52"/>
    </row>
    <row r="1355" spans="1:25">
      <c r="A1355" s="49"/>
      <c r="P1355" s="52"/>
      <c r="Q1355" s="52"/>
      <c r="R1355" s="52"/>
      <c r="T1355" s="52"/>
      <c r="U1355" s="52"/>
      <c r="V1355" s="52"/>
      <c r="W1355" s="52"/>
      <c r="X1355" s="52"/>
      <c r="Y1355" s="52"/>
    </row>
    <row r="1356" spans="1:25">
      <c r="A1356" s="49"/>
      <c r="P1356" s="52"/>
      <c r="Q1356" s="52"/>
      <c r="R1356" s="52"/>
      <c r="T1356" s="52"/>
      <c r="U1356" s="52"/>
      <c r="V1356" s="52"/>
      <c r="W1356" s="52"/>
      <c r="X1356" s="52"/>
      <c r="Y1356" s="52"/>
    </row>
    <row r="1357" spans="1:25">
      <c r="A1357" s="49"/>
      <c r="P1357" s="51"/>
      <c r="Q1357" s="51"/>
      <c r="R1357" s="51"/>
      <c r="T1357" s="51"/>
      <c r="U1357" s="51"/>
      <c r="V1357" s="51"/>
      <c r="W1357" s="51"/>
      <c r="X1357" s="51"/>
      <c r="Y1357" s="51"/>
    </row>
    <row r="1358" spans="1:25">
      <c r="A1358" s="49"/>
      <c r="P1358" s="51"/>
      <c r="Q1358" s="51"/>
      <c r="R1358" s="51"/>
      <c r="T1358" s="51"/>
      <c r="U1358" s="51"/>
      <c r="V1358" s="51"/>
      <c r="W1358" s="51"/>
      <c r="X1358" s="51"/>
      <c r="Y1358" s="51"/>
    </row>
    <row r="1359" spans="1:25">
      <c r="A1359" s="49"/>
      <c r="P1359" s="51"/>
      <c r="Q1359" s="51"/>
      <c r="R1359" s="51"/>
      <c r="T1359" s="51"/>
      <c r="U1359" s="51"/>
      <c r="V1359" s="51"/>
      <c r="W1359" s="51"/>
      <c r="X1359" s="51"/>
      <c r="Y1359" s="51"/>
    </row>
    <row r="1360" spans="1:25">
      <c r="A1360" s="49"/>
      <c r="P1360" s="51"/>
      <c r="Q1360" s="51"/>
      <c r="R1360" s="51"/>
      <c r="T1360" s="51"/>
      <c r="U1360" s="51"/>
      <c r="V1360" s="51"/>
      <c r="W1360" s="51"/>
      <c r="X1360" s="51"/>
      <c r="Y1360" s="51"/>
    </row>
    <row r="1361" spans="1:25">
      <c r="A1361" s="49"/>
      <c r="P1361" s="51"/>
      <c r="Q1361" s="51"/>
      <c r="R1361" s="51"/>
      <c r="T1361" s="51"/>
      <c r="U1361" s="51"/>
      <c r="V1361" s="51"/>
      <c r="W1361" s="51"/>
      <c r="X1361" s="51"/>
      <c r="Y1361" s="51"/>
    </row>
    <row r="1362" spans="1:25">
      <c r="A1362" s="49"/>
      <c r="P1362" s="51"/>
      <c r="Q1362" s="51"/>
      <c r="R1362" s="51"/>
      <c r="T1362" s="51"/>
      <c r="U1362" s="51"/>
      <c r="V1362" s="51"/>
      <c r="W1362" s="51"/>
      <c r="X1362" s="51"/>
      <c r="Y1362" s="51"/>
    </row>
    <row r="1363" spans="1:25">
      <c r="A1363" s="49"/>
      <c r="P1363" s="51"/>
      <c r="Q1363" s="51"/>
      <c r="R1363" s="51"/>
      <c r="T1363" s="51"/>
      <c r="U1363" s="51"/>
      <c r="V1363" s="51"/>
      <c r="W1363" s="51"/>
      <c r="X1363" s="51"/>
      <c r="Y1363" s="51"/>
    </row>
    <row r="1364" spans="1:25">
      <c r="A1364" s="49"/>
      <c r="P1364" s="51"/>
      <c r="Q1364" s="51"/>
      <c r="R1364" s="51"/>
      <c r="T1364" s="51"/>
      <c r="U1364" s="51"/>
      <c r="V1364" s="51"/>
      <c r="W1364" s="51"/>
      <c r="X1364" s="51"/>
      <c r="Y1364" s="51"/>
    </row>
    <row r="1365" spans="1:25">
      <c r="A1365" s="49"/>
      <c r="P1365" s="51"/>
      <c r="Q1365" s="51"/>
      <c r="R1365" s="51"/>
      <c r="T1365" s="51"/>
      <c r="U1365" s="51"/>
      <c r="V1365" s="51"/>
      <c r="W1365" s="51"/>
      <c r="X1365" s="51"/>
      <c r="Y1365" s="51"/>
    </row>
    <row r="1366" spans="1:25">
      <c r="A1366" s="49"/>
      <c r="P1366" s="51"/>
      <c r="Q1366" s="51"/>
      <c r="R1366" s="51"/>
      <c r="T1366" s="51"/>
      <c r="U1366" s="51"/>
      <c r="V1366" s="51"/>
      <c r="W1366" s="51"/>
      <c r="X1366" s="51"/>
      <c r="Y1366" s="51"/>
    </row>
    <row r="1367" spans="1:25">
      <c r="A1367" s="49"/>
      <c r="P1367" s="51"/>
      <c r="Q1367" s="51"/>
      <c r="R1367" s="51"/>
      <c r="T1367" s="51"/>
      <c r="U1367" s="51"/>
      <c r="V1367" s="51"/>
      <c r="W1367" s="51"/>
      <c r="X1367" s="51"/>
      <c r="Y1367" s="51"/>
    </row>
    <row r="1368" spans="1:25">
      <c r="A1368" s="49"/>
      <c r="P1368" s="51"/>
      <c r="Q1368" s="51"/>
      <c r="R1368" s="51"/>
      <c r="T1368" s="51"/>
      <c r="U1368" s="51"/>
      <c r="V1368" s="51"/>
      <c r="W1368" s="51"/>
      <c r="X1368" s="51"/>
      <c r="Y1368" s="51"/>
    </row>
    <row r="1369" spans="1:25">
      <c r="A1369" s="49"/>
      <c r="P1369" s="51"/>
      <c r="Q1369" s="51"/>
      <c r="R1369" s="51"/>
      <c r="T1369" s="51"/>
      <c r="U1369" s="51"/>
      <c r="V1369" s="51"/>
      <c r="W1369" s="51"/>
      <c r="X1369" s="51"/>
      <c r="Y1369" s="51"/>
    </row>
    <row r="1370" spans="1:25">
      <c r="A1370" s="49"/>
      <c r="P1370" s="51"/>
      <c r="Q1370" s="51"/>
      <c r="R1370" s="51"/>
      <c r="T1370" s="51"/>
      <c r="U1370" s="51"/>
      <c r="V1370" s="51"/>
      <c r="W1370" s="51"/>
      <c r="X1370" s="51"/>
      <c r="Y1370" s="51"/>
    </row>
    <row r="1371" spans="1:25">
      <c r="A1371" s="49"/>
      <c r="P1371" s="51"/>
      <c r="Q1371" s="51"/>
      <c r="R1371" s="51"/>
      <c r="T1371" s="51"/>
      <c r="U1371" s="51"/>
      <c r="V1371" s="51"/>
      <c r="W1371" s="51"/>
      <c r="X1371" s="51"/>
      <c r="Y1371" s="51"/>
    </row>
    <row r="1372" spans="1:25">
      <c r="A1372" s="49"/>
      <c r="P1372" s="51"/>
      <c r="Q1372" s="51"/>
      <c r="R1372" s="51"/>
      <c r="T1372" s="51"/>
      <c r="U1372" s="51"/>
      <c r="V1372" s="51"/>
      <c r="W1372" s="51"/>
      <c r="X1372" s="51"/>
      <c r="Y1372" s="51"/>
    </row>
    <row r="1373" spans="1:25">
      <c r="A1373" s="49"/>
      <c r="P1373" s="51"/>
      <c r="Q1373" s="51"/>
      <c r="R1373" s="51"/>
      <c r="T1373" s="51"/>
      <c r="U1373" s="51"/>
      <c r="V1373" s="51"/>
      <c r="W1373" s="51"/>
      <c r="X1373" s="51"/>
      <c r="Y1373" s="51"/>
    </row>
    <row r="1374" spans="1:25">
      <c r="A1374" s="49"/>
      <c r="P1374" s="51"/>
      <c r="Q1374" s="51"/>
      <c r="R1374" s="51"/>
      <c r="T1374" s="51"/>
      <c r="U1374" s="51"/>
      <c r="V1374" s="51"/>
      <c r="W1374" s="51"/>
      <c r="X1374" s="51"/>
      <c r="Y1374" s="51"/>
    </row>
    <row r="1375" spans="1:25">
      <c r="A1375" s="49"/>
      <c r="P1375" s="51"/>
      <c r="Q1375" s="51"/>
      <c r="R1375" s="51"/>
      <c r="T1375" s="51"/>
      <c r="U1375" s="51"/>
      <c r="V1375" s="51"/>
      <c r="W1375" s="51"/>
      <c r="X1375" s="51"/>
      <c r="Y1375" s="51"/>
    </row>
    <row r="1376" spans="1:25">
      <c r="A1376" s="49"/>
      <c r="P1376" s="51"/>
      <c r="Q1376" s="51"/>
      <c r="R1376" s="51"/>
      <c r="T1376" s="51"/>
      <c r="U1376" s="51"/>
      <c r="V1376" s="51"/>
      <c r="W1376" s="51"/>
      <c r="X1376" s="51"/>
      <c r="Y1376" s="51"/>
    </row>
    <row r="1377" spans="1:25">
      <c r="A1377" s="49"/>
      <c r="P1377" s="51"/>
      <c r="Q1377" s="51"/>
      <c r="R1377" s="51"/>
      <c r="T1377" s="51"/>
      <c r="U1377" s="51"/>
      <c r="V1377" s="51"/>
      <c r="W1377" s="51"/>
      <c r="X1377" s="51"/>
      <c r="Y1377" s="51"/>
    </row>
    <row r="1378" spans="1:25">
      <c r="A1378" s="49"/>
      <c r="P1378" s="51"/>
      <c r="Q1378" s="51"/>
      <c r="R1378" s="51"/>
      <c r="T1378" s="51"/>
      <c r="U1378" s="51"/>
      <c r="V1378" s="51"/>
      <c r="W1378" s="51"/>
      <c r="X1378" s="51"/>
      <c r="Y1378" s="51"/>
    </row>
    <row r="1379" spans="1:25">
      <c r="A1379" s="49"/>
      <c r="P1379" s="51"/>
      <c r="Q1379" s="51"/>
      <c r="R1379" s="51"/>
      <c r="T1379" s="51"/>
      <c r="U1379" s="51"/>
      <c r="V1379" s="51"/>
      <c r="W1379" s="51"/>
      <c r="X1379" s="51"/>
      <c r="Y1379" s="51"/>
    </row>
    <row r="1380" spans="1:25">
      <c r="A1380" s="49"/>
      <c r="P1380" s="51"/>
      <c r="Q1380" s="51"/>
      <c r="R1380" s="51"/>
      <c r="T1380" s="51"/>
      <c r="U1380" s="51"/>
      <c r="V1380" s="51"/>
      <c r="W1380" s="51"/>
      <c r="X1380" s="51"/>
      <c r="Y1380" s="51"/>
    </row>
    <row r="1381" spans="1:25">
      <c r="A1381" s="49"/>
      <c r="P1381" s="51"/>
      <c r="Q1381" s="51"/>
      <c r="R1381" s="51"/>
      <c r="T1381" s="51"/>
      <c r="U1381" s="51"/>
      <c r="V1381" s="51"/>
      <c r="W1381" s="51"/>
      <c r="X1381" s="51"/>
      <c r="Y1381" s="51"/>
    </row>
    <row r="1382" spans="1:25">
      <c r="A1382" s="49"/>
      <c r="P1382" s="51"/>
      <c r="Q1382" s="51"/>
      <c r="R1382" s="51"/>
      <c r="T1382" s="51"/>
      <c r="U1382" s="51"/>
      <c r="V1382" s="51"/>
      <c r="W1382" s="51"/>
      <c r="X1382" s="51"/>
      <c r="Y1382" s="51"/>
    </row>
    <row r="1383" spans="1:25">
      <c r="A1383" s="49"/>
      <c r="P1383" s="51"/>
      <c r="Q1383" s="51"/>
      <c r="R1383" s="51"/>
      <c r="T1383" s="51"/>
      <c r="U1383" s="51"/>
      <c r="V1383" s="51"/>
      <c r="W1383" s="51"/>
      <c r="X1383" s="51"/>
      <c r="Y1383" s="51"/>
    </row>
    <row r="1384" spans="1:25">
      <c r="A1384" s="49"/>
      <c r="P1384" s="51"/>
      <c r="Q1384" s="51"/>
      <c r="R1384" s="51"/>
      <c r="T1384" s="51"/>
      <c r="U1384" s="51"/>
      <c r="V1384" s="51"/>
      <c r="W1384" s="51"/>
      <c r="X1384" s="51"/>
      <c r="Y1384" s="51"/>
    </row>
    <row r="1385" spans="1:25">
      <c r="A1385" s="49"/>
      <c r="P1385" s="51"/>
      <c r="Q1385" s="51"/>
      <c r="R1385" s="51"/>
      <c r="T1385" s="51"/>
      <c r="U1385" s="51"/>
      <c r="V1385" s="51"/>
      <c r="W1385" s="51"/>
      <c r="X1385" s="51"/>
      <c r="Y1385" s="51"/>
    </row>
    <row r="1386" spans="1:25">
      <c r="A1386" s="49"/>
      <c r="P1386" s="51"/>
      <c r="Q1386" s="51"/>
      <c r="R1386" s="51"/>
      <c r="T1386" s="51"/>
      <c r="U1386" s="51"/>
      <c r="V1386" s="51"/>
      <c r="W1386" s="51"/>
      <c r="X1386" s="51"/>
      <c r="Y1386" s="51"/>
    </row>
    <row r="1387" spans="1:25">
      <c r="A1387" s="49"/>
      <c r="P1387" s="51"/>
      <c r="Q1387" s="51"/>
      <c r="R1387" s="51"/>
      <c r="T1387" s="51"/>
      <c r="U1387" s="51"/>
      <c r="V1387" s="51"/>
      <c r="W1387" s="51"/>
      <c r="X1387" s="51"/>
      <c r="Y1387" s="51"/>
    </row>
    <row r="1388" spans="1:25">
      <c r="A1388" s="49"/>
      <c r="P1388" s="51"/>
      <c r="Q1388" s="51"/>
      <c r="R1388" s="51"/>
      <c r="T1388" s="51"/>
      <c r="U1388" s="51"/>
      <c r="V1388" s="51"/>
      <c r="W1388" s="51"/>
      <c r="X1388" s="51"/>
      <c r="Y1388" s="51"/>
    </row>
    <row r="1389" spans="1:25">
      <c r="A1389" s="49"/>
      <c r="P1389" s="51"/>
      <c r="Q1389" s="51"/>
      <c r="R1389" s="51"/>
      <c r="T1389" s="51"/>
      <c r="U1389" s="51"/>
      <c r="V1389" s="51"/>
      <c r="W1389" s="51"/>
      <c r="X1389" s="51"/>
      <c r="Y1389" s="51"/>
    </row>
    <row r="1390" spans="1:25">
      <c r="A1390" s="49"/>
      <c r="P1390" s="51"/>
      <c r="Q1390" s="51"/>
      <c r="R1390" s="51"/>
      <c r="T1390" s="51"/>
      <c r="U1390" s="51"/>
      <c r="V1390" s="51"/>
      <c r="W1390" s="51"/>
      <c r="X1390" s="51"/>
      <c r="Y1390" s="51"/>
    </row>
    <row r="1391" spans="1:25">
      <c r="A1391" s="49"/>
      <c r="P1391" s="51"/>
      <c r="Q1391" s="51"/>
      <c r="R1391" s="51"/>
      <c r="T1391" s="51"/>
      <c r="U1391" s="51"/>
      <c r="V1391" s="51"/>
      <c r="W1391" s="51"/>
      <c r="X1391" s="51"/>
      <c r="Y1391" s="51"/>
    </row>
    <row r="1392" spans="1:25">
      <c r="A1392" s="49"/>
      <c r="P1392" s="51"/>
      <c r="Q1392" s="51"/>
      <c r="R1392" s="51"/>
      <c r="T1392" s="51"/>
      <c r="U1392" s="51"/>
      <c r="V1392" s="51"/>
      <c r="W1392" s="51"/>
      <c r="X1392" s="51"/>
      <c r="Y1392" s="51"/>
    </row>
    <row r="1393" spans="1:25">
      <c r="A1393" s="49"/>
      <c r="P1393" s="51"/>
      <c r="Q1393" s="51"/>
      <c r="R1393" s="51"/>
      <c r="T1393" s="51"/>
      <c r="U1393" s="51"/>
      <c r="V1393" s="51"/>
      <c r="W1393" s="51"/>
      <c r="X1393" s="51"/>
      <c r="Y1393" s="51"/>
    </row>
    <row r="1394" spans="1:25">
      <c r="A1394" s="49"/>
      <c r="P1394" s="51"/>
      <c r="Q1394" s="51"/>
      <c r="R1394" s="51"/>
      <c r="T1394" s="51"/>
      <c r="U1394" s="51"/>
      <c r="V1394" s="51"/>
      <c r="W1394" s="51"/>
      <c r="X1394" s="51"/>
      <c r="Y1394" s="51"/>
    </row>
    <row r="1395" spans="1:25">
      <c r="A1395" s="49"/>
      <c r="P1395" s="51"/>
      <c r="Q1395" s="51"/>
      <c r="R1395" s="51"/>
      <c r="T1395" s="51"/>
      <c r="U1395" s="51"/>
      <c r="V1395" s="51"/>
      <c r="W1395" s="51"/>
      <c r="X1395" s="51"/>
      <c r="Y1395" s="51"/>
    </row>
    <row r="1396" spans="1:25">
      <c r="A1396" s="49"/>
      <c r="P1396" s="51"/>
      <c r="Q1396" s="51"/>
      <c r="R1396" s="51"/>
      <c r="T1396" s="51"/>
      <c r="U1396" s="51"/>
      <c r="V1396" s="51"/>
      <c r="W1396" s="51"/>
      <c r="X1396" s="51"/>
      <c r="Y1396" s="51"/>
    </row>
    <row r="1397" spans="1:25">
      <c r="A1397" s="49"/>
      <c r="P1397" s="51"/>
      <c r="Q1397" s="51"/>
      <c r="R1397" s="51"/>
      <c r="T1397" s="51"/>
      <c r="U1397" s="51"/>
      <c r="V1397" s="51"/>
      <c r="W1397" s="51"/>
      <c r="X1397" s="51"/>
      <c r="Y1397" s="51"/>
    </row>
    <row r="1398" spans="1:25">
      <c r="A1398" s="49"/>
      <c r="P1398" s="51"/>
      <c r="Q1398" s="51"/>
      <c r="R1398" s="51"/>
      <c r="T1398" s="51"/>
      <c r="U1398" s="51"/>
      <c r="V1398" s="51"/>
      <c r="W1398" s="51"/>
      <c r="X1398" s="51"/>
      <c r="Y1398" s="51"/>
    </row>
    <row r="1399" spans="1:25">
      <c r="A1399" s="49"/>
      <c r="P1399" s="51"/>
      <c r="Q1399" s="51"/>
      <c r="R1399" s="51"/>
      <c r="T1399" s="51"/>
      <c r="U1399" s="51"/>
      <c r="V1399" s="51"/>
      <c r="W1399" s="51"/>
      <c r="X1399" s="51"/>
      <c r="Y1399" s="51"/>
    </row>
    <row r="1400" spans="1:25">
      <c r="A1400" s="49"/>
      <c r="P1400" s="51"/>
      <c r="Q1400" s="51"/>
      <c r="R1400" s="51"/>
      <c r="T1400" s="51"/>
      <c r="U1400" s="51"/>
      <c r="V1400" s="51"/>
      <c r="W1400" s="51"/>
      <c r="X1400" s="51"/>
      <c r="Y1400" s="51"/>
    </row>
    <row r="1401" spans="1:25">
      <c r="A1401" s="49"/>
      <c r="P1401" s="51"/>
      <c r="Q1401" s="51"/>
      <c r="R1401" s="51"/>
      <c r="T1401" s="51"/>
      <c r="U1401" s="51"/>
      <c r="V1401" s="51"/>
      <c r="W1401" s="51"/>
      <c r="X1401" s="51"/>
      <c r="Y1401" s="51"/>
    </row>
    <row r="1402" spans="1:25">
      <c r="A1402" s="49"/>
      <c r="P1402" s="51"/>
      <c r="Q1402" s="51"/>
      <c r="R1402" s="51"/>
      <c r="T1402" s="51"/>
      <c r="U1402" s="51"/>
      <c r="V1402" s="51"/>
      <c r="W1402" s="51"/>
      <c r="X1402" s="51"/>
      <c r="Y1402" s="51"/>
    </row>
    <row r="1403" spans="1:25">
      <c r="A1403" s="49"/>
      <c r="P1403" s="51"/>
      <c r="Q1403" s="51"/>
      <c r="R1403" s="51"/>
      <c r="T1403" s="51"/>
      <c r="U1403" s="51"/>
      <c r="V1403" s="51"/>
      <c r="W1403" s="51"/>
      <c r="X1403" s="51"/>
      <c r="Y1403" s="51"/>
    </row>
    <row r="1404" spans="1:25">
      <c r="A1404" s="49"/>
      <c r="P1404" s="51"/>
      <c r="Q1404" s="51"/>
      <c r="R1404" s="51"/>
      <c r="T1404" s="51"/>
      <c r="U1404" s="51"/>
      <c r="V1404" s="51"/>
      <c r="W1404" s="51"/>
      <c r="X1404" s="51"/>
      <c r="Y1404" s="51"/>
    </row>
    <row r="1405" spans="1:25">
      <c r="A1405" s="49"/>
      <c r="P1405" s="51"/>
      <c r="Q1405" s="51"/>
      <c r="R1405" s="51"/>
      <c r="T1405" s="51"/>
      <c r="U1405" s="51"/>
      <c r="V1405" s="51"/>
      <c r="W1405" s="51"/>
      <c r="X1405" s="51"/>
      <c r="Y1405" s="51"/>
    </row>
    <row r="1406" spans="1:25">
      <c r="A1406" s="49"/>
      <c r="P1406" s="51"/>
      <c r="Q1406" s="51"/>
      <c r="R1406" s="51"/>
      <c r="T1406" s="51"/>
      <c r="U1406" s="51"/>
      <c r="V1406" s="51"/>
      <c r="W1406" s="51"/>
      <c r="X1406" s="51"/>
      <c r="Y1406" s="51"/>
    </row>
    <row r="1407" spans="1:25">
      <c r="A1407" s="49"/>
      <c r="P1407" s="51"/>
      <c r="Q1407" s="51"/>
      <c r="R1407" s="51"/>
      <c r="T1407" s="51"/>
      <c r="U1407" s="51"/>
      <c r="V1407" s="51"/>
      <c r="W1407" s="51"/>
      <c r="X1407" s="51"/>
      <c r="Y1407" s="51"/>
    </row>
    <row r="1408" spans="1:25">
      <c r="A1408" s="49"/>
      <c r="P1408" s="51"/>
      <c r="Q1408" s="51"/>
      <c r="R1408" s="51"/>
      <c r="T1408" s="51"/>
      <c r="U1408" s="51"/>
      <c r="V1408" s="51"/>
      <c r="W1408" s="51"/>
      <c r="X1408" s="51"/>
      <c r="Y1408" s="51"/>
    </row>
    <row r="1409" spans="1:25">
      <c r="A1409" s="49"/>
      <c r="P1409" s="51"/>
      <c r="Q1409" s="51"/>
      <c r="R1409" s="51"/>
      <c r="T1409" s="51"/>
      <c r="U1409" s="51"/>
      <c r="V1409" s="51"/>
      <c r="W1409" s="51"/>
      <c r="X1409" s="51"/>
      <c r="Y1409" s="51"/>
    </row>
    <row r="1410" spans="1:25">
      <c r="A1410" s="49"/>
      <c r="P1410" s="51"/>
      <c r="Q1410" s="51"/>
      <c r="R1410" s="51"/>
      <c r="T1410" s="51"/>
      <c r="U1410" s="51"/>
      <c r="V1410" s="51"/>
      <c r="W1410" s="51"/>
      <c r="X1410" s="51"/>
      <c r="Y1410" s="51"/>
    </row>
    <row r="1411" spans="1:25">
      <c r="A1411" s="49"/>
      <c r="P1411" s="51"/>
      <c r="Q1411" s="51"/>
      <c r="R1411" s="51"/>
      <c r="T1411" s="51"/>
      <c r="U1411" s="51"/>
      <c r="V1411" s="51"/>
      <c r="W1411" s="51"/>
      <c r="X1411" s="51"/>
      <c r="Y1411" s="51"/>
    </row>
    <row r="1412" spans="1:25">
      <c r="A1412" s="49"/>
      <c r="P1412" s="51"/>
      <c r="Q1412" s="51"/>
      <c r="R1412" s="51"/>
      <c r="T1412" s="51"/>
      <c r="U1412" s="51"/>
      <c r="V1412" s="51"/>
      <c r="W1412" s="51"/>
      <c r="X1412" s="51"/>
      <c r="Y1412" s="51"/>
    </row>
    <row r="1413" spans="1:25">
      <c r="A1413" s="49"/>
      <c r="P1413" s="51"/>
      <c r="Q1413" s="51"/>
      <c r="R1413" s="51"/>
      <c r="T1413" s="51"/>
      <c r="U1413" s="51"/>
      <c r="V1413" s="51"/>
      <c r="W1413" s="51"/>
      <c r="X1413" s="51"/>
      <c r="Y1413" s="51"/>
    </row>
    <row r="1414" spans="1:25">
      <c r="A1414" s="49"/>
      <c r="P1414" s="51"/>
      <c r="Q1414" s="51"/>
      <c r="R1414" s="51"/>
      <c r="T1414" s="51"/>
      <c r="U1414" s="51"/>
      <c r="V1414" s="51"/>
      <c r="W1414" s="51"/>
      <c r="X1414" s="51"/>
      <c r="Y1414" s="51"/>
    </row>
    <row r="1415" spans="1:25">
      <c r="A1415" s="49"/>
      <c r="P1415" s="51"/>
      <c r="Q1415" s="51"/>
      <c r="R1415" s="51"/>
      <c r="T1415" s="51"/>
      <c r="U1415" s="51"/>
      <c r="V1415" s="51"/>
      <c r="W1415" s="51"/>
      <c r="X1415" s="51"/>
      <c r="Y1415" s="51"/>
    </row>
    <row r="1416" spans="1:25">
      <c r="A1416" s="49"/>
      <c r="P1416" s="51"/>
      <c r="Q1416" s="51"/>
      <c r="R1416" s="51"/>
      <c r="T1416" s="51"/>
      <c r="U1416" s="51"/>
      <c r="V1416" s="51"/>
      <c r="W1416" s="51"/>
      <c r="X1416" s="51"/>
      <c r="Y1416" s="51"/>
    </row>
    <row r="1417" spans="1:25">
      <c r="A1417" s="49"/>
      <c r="P1417" s="51"/>
      <c r="Q1417" s="51"/>
      <c r="R1417" s="51"/>
      <c r="T1417" s="51"/>
      <c r="U1417" s="51"/>
      <c r="V1417" s="51"/>
      <c r="W1417" s="51"/>
      <c r="X1417" s="51"/>
      <c r="Y1417" s="51"/>
    </row>
    <row r="1418" spans="1:25">
      <c r="A1418" s="49"/>
      <c r="P1418" s="51"/>
      <c r="Q1418" s="51"/>
      <c r="R1418" s="51"/>
      <c r="T1418" s="51"/>
      <c r="U1418" s="51"/>
      <c r="V1418" s="51"/>
      <c r="W1418" s="51"/>
      <c r="X1418" s="51"/>
      <c r="Y1418" s="51"/>
    </row>
    <row r="1419" spans="1:25">
      <c r="A1419" s="49"/>
      <c r="P1419" s="51"/>
      <c r="Q1419" s="51"/>
      <c r="R1419" s="51"/>
      <c r="T1419" s="51"/>
      <c r="U1419" s="51"/>
      <c r="V1419" s="51"/>
      <c r="W1419" s="51"/>
      <c r="X1419" s="51"/>
      <c r="Y1419" s="51"/>
    </row>
    <row r="1420" spans="1:25">
      <c r="A1420" s="49"/>
      <c r="P1420" s="51"/>
      <c r="Q1420" s="51"/>
      <c r="R1420" s="51"/>
      <c r="T1420" s="51"/>
      <c r="U1420" s="51"/>
      <c r="V1420" s="51"/>
      <c r="W1420" s="51"/>
      <c r="X1420" s="51"/>
      <c r="Y1420" s="51"/>
    </row>
    <row r="1421" spans="1:25">
      <c r="A1421" s="49"/>
      <c r="P1421" s="51"/>
      <c r="Q1421" s="51"/>
      <c r="R1421" s="51"/>
      <c r="T1421" s="51"/>
      <c r="U1421" s="51"/>
      <c r="V1421" s="51"/>
      <c r="W1421" s="51"/>
      <c r="X1421" s="51"/>
      <c r="Y1421" s="51"/>
    </row>
    <row r="1422" spans="1:25">
      <c r="A1422" s="49"/>
      <c r="P1422" s="51"/>
      <c r="Q1422" s="51"/>
      <c r="R1422" s="51"/>
      <c r="T1422" s="51"/>
      <c r="U1422" s="51"/>
      <c r="V1422" s="51"/>
      <c r="W1422" s="51"/>
      <c r="X1422" s="51"/>
      <c r="Y1422" s="51"/>
    </row>
    <row r="1423" spans="1:25">
      <c r="A1423" s="49"/>
      <c r="P1423" s="51"/>
      <c r="Q1423" s="51"/>
      <c r="R1423" s="51"/>
      <c r="T1423" s="51"/>
      <c r="U1423" s="51"/>
      <c r="V1423" s="51"/>
      <c r="W1423" s="51"/>
      <c r="X1423" s="51"/>
      <c r="Y1423" s="51"/>
    </row>
    <row r="1424" spans="1:25">
      <c r="A1424" s="49"/>
      <c r="P1424" s="51"/>
      <c r="Q1424" s="51"/>
      <c r="R1424" s="51"/>
      <c r="T1424" s="51"/>
      <c r="U1424" s="51"/>
      <c r="V1424" s="51"/>
      <c r="W1424" s="51"/>
      <c r="X1424" s="51"/>
      <c r="Y1424" s="51"/>
    </row>
    <row r="1425" spans="1:25">
      <c r="A1425" s="49"/>
      <c r="P1425" s="51"/>
      <c r="Q1425" s="51"/>
      <c r="R1425" s="51"/>
      <c r="T1425" s="51"/>
      <c r="U1425" s="51"/>
      <c r="V1425" s="51"/>
      <c r="W1425" s="51"/>
      <c r="X1425" s="51"/>
      <c r="Y1425" s="51"/>
    </row>
    <row r="1426" spans="1:25">
      <c r="A1426" s="49"/>
      <c r="P1426" s="51"/>
      <c r="Q1426" s="51"/>
      <c r="R1426" s="51"/>
      <c r="T1426" s="51"/>
      <c r="U1426" s="51"/>
      <c r="V1426" s="51"/>
      <c r="W1426" s="51"/>
      <c r="X1426" s="51"/>
      <c r="Y1426" s="51"/>
    </row>
    <row r="1427" spans="1:25">
      <c r="A1427" s="49"/>
      <c r="P1427" s="51"/>
      <c r="Q1427" s="51"/>
      <c r="R1427" s="51"/>
      <c r="T1427" s="51"/>
      <c r="U1427" s="51"/>
      <c r="V1427" s="51"/>
      <c r="W1427" s="51"/>
      <c r="X1427" s="51"/>
      <c r="Y1427" s="51"/>
    </row>
    <row r="1428" spans="1:25">
      <c r="A1428" s="49"/>
      <c r="P1428" s="51"/>
      <c r="Q1428" s="51"/>
      <c r="R1428" s="51"/>
      <c r="T1428" s="51"/>
      <c r="U1428" s="51"/>
      <c r="V1428" s="51"/>
      <c r="W1428" s="51"/>
      <c r="X1428" s="51"/>
      <c r="Y1428" s="51"/>
    </row>
    <row r="1429" spans="1:25">
      <c r="A1429" s="49"/>
      <c r="P1429" s="51"/>
      <c r="Q1429" s="51"/>
      <c r="R1429" s="51"/>
      <c r="T1429" s="51"/>
      <c r="U1429" s="51"/>
      <c r="V1429" s="51"/>
      <c r="W1429" s="51"/>
      <c r="X1429" s="51"/>
      <c r="Y1429" s="51"/>
    </row>
    <row r="1430" spans="1:25">
      <c r="A1430" s="49"/>
      <c r="P1430" s="51"/>
      <c r="Q1430" s="51"/>
      <c r="R1430" s="51"/>
      <c r="T1430" s="51"/>
      <c r="U1430" s="51"/>
      <c r="V1430" s="51"/>
      <c r="W1430" s="51"/>
      <c r="X1430" s="51"/>
      <c r="Y1430" s="51"/>
    </row>
    <row r="1431" spans="1:25">
      <c r="A1431" s="49"/>
      <c r="P1431" s="51"/>
      <c r="Q1431" s="51"/>
      <c r="R1431" s="51"/>
      <c r="T1431" s="51"/>
      <c r="U1431" s="51"/>
      <c r="V1431" s="51"/>
      <c r="W1431" s="51"/>
      <c r="X1431" s="51"/>
      <c r="Y1431" s="51"/>
    </row>
    <row r="1432" spans="1:25">
      <c r="A1432" s="49"/>
      <c r="P1432" s="51"/>
      <c r="Q1432" s="51"/>
      <c r="R1432" s="51"/>
      <c r="T1432" s="51"/>
      <c r="U1432" s="51"/>
      <c r="V1432" s="51"/>
      <c r="W1432" s="51"/>
      <c r="X1432" s="51"/>
      <c r="Y1432" s="51"/>
    </row>
    <row r="1433" spans="1:25">
      <c r="A1433" s="49"/>
      <c r="P1433" s="51"/>
      <c r="Q1433" s="51"/>
      <c r="R1433" s="51"/>
      <c r="T1433" s="51"/>
      <c r="U1433" s="51"/>
      <c r="V1433" s="51"/>
      <c r="W1433" s="51"/>
      <c r="X1433" s="51"/>
      <c r="Y1433" s="51"/>
    </row>
    <row r="1434" spans="1:25">
      <c r="A1434" s="49"/>
      <c r="P1434" s="51"/>
      <c r="Q1434" s="51"/>
      <c r="R1434" s="51"/>
      <c r="T1434" s="51"/>
      <c r="U1434" s="51"/>
      <c r="V1434" s="51"/>
      <c r="W1434" s="51"/>
      <c r="X1434" s="51"/>
      <c r="Y1434" s="51"/>
    </row>
    <row r="1435" spans="1:25">
      <c r="A1435" s="49"/>
      <c r="P1435" s="51"/>
      <c r="Q1435" s="51"/>
      <c r="R1435" s="51"/>
      <c r="T1435" s="51"/>
      <c r="U1435" s="51"/>
      <c r="V1435" s="51"/>
      <c r="W1435" s="51"/>
      <c r="X1435" s="51"/>
      <c r="Y1435" s="51"/>
    </row>
    <row r="1436" spans="1:25">
      <c r="A1436" s="49"/>
      <c r="P1436" s="51"/>
      <c r="Q1436" s="51"/>
      <c r="R1436" s="51"/>
      <c r="T1436" s="51"/>
      <c r="U1436" s="51"/>
      <c r="V1436" s="51"/>
      <c r="W1436" s="51"/>
      <c r="X1436" s="51"/>
      <c r="Y1436" s="51"/>
    </row>
    <row r="1437" spans="1:25">
      <c r="A1437" s="49"/>
      <c r="P1437" s="51"/>
      <c r="Q1437" s="51"/>
      <c r="R1437" s="51"/>
      <c r="T1437" s="51"/>
      <c r="U1437" s="51"/>
      <c r="V1437" s="51"/>
      <c r="W1437" s="51"/>
      <c r="X1437" s="51"/>
      <c r="Y1437" s="51"/>
    </row>
    <row r="1438" spans="1:25">
      <c r="A1438" s="49"/>
      <c r="P1438" s="51"/>
      <c r="Q1438" s="51"/>
      <c r="R1438" s="51"/>
      <c r="T1438" s="51"/>
      <c r="U1438" s="51"/>
      <c r="V1438" s="51"/>
      <c r="W1438" s="51"/>
      <c r="X1438" s="51"/>
      <c r="Y1438" s="51"/>
    </row>
    <row r="1439" spans="1:25">
      <c r="A1439" s="49"/>
      <c r="P1439" s="51"/>
      <c r="Q1439" s="51"/>
      <c r="R1439" s="51"/>
      <c r="T1439" s="51"/>
      <c r="U1439" s="51"/>
      <c r="V1439" s="51"/>
      <c r="W1439" s="51"/>
      <c r="X1439" s="51"/>
      <c r="Y1439" s="51"/>
    </row>
    <row r="1440" spans="1:25">
      <c r="A1440" s="49"/>
      <c r="P1440" s="51"/>
      <c r="Q1440" s="51"/>
      <c r="R1440" s="51"/>
      <c r="T1440" s="51"/>
      <c r="U1440" s="51"/>
      <c r="V1440" s="51"/>
      <c r="W1440" s="51"/>
      <c r="X1440" s="51"/>
      <c r="Y1440" s="51"/>
    </row>
    <row r="1441" spans="1:25">
      <c r="A1441" s="49"/>
      <c r="P1441" s="51"/>
      <c r="Q1441" s="51"/>
      <c r="R1441" s="51"/>
      <c r="T1441" s="51"/>
      <c r="U1441" s="51"/>
      <c r="V1441" s="51"/>
      <c r="W1441" s="51"/>
      <c r="X1441" s="51"/>
      <c r="Y1441" s="51"/>
    </row>
    <row r="1442" spans="1:25">
      <c r="A1442" s="49"/>
      <c r="P1442" s="51"/>
      <c r="Q1442" s="51"/>
      <c r="R1442" s="51"/>
      <c r="T1442" s="51"/>
      <c r="U1442" s="51"/>
      <c r="V1442" s="51"/>
      <c r="W1442" s="51"/>
      <c r="X1442" s="51"/>
      <c r="Y1442" s="51"/>
    </row>
    <row r="1443" spans="1:25">
      <c r="A1443" s="49"/>
      <c r="P1443" s="51"/>
      <c r="Q1443" s="51"/>
      <c r="R1443" s="51"/>
      <c r="T1443" s="51"/>
      <c r="U1443" s="51"/>
      <c r="V1443" s="51"/>
      <c r="W1443" s="51"/>
      <c r="X1443" s="51"/>
      <c r="Y1443" s="51"/>
    </row>
    <row r="1444" spans="1:25">
      <c r="A1444" s="49"/>
      <c r="P1444" s="51"/>
      <c r="Q1444" s="51"/>
      <c r="R1444" s="51"/>
      <c r="T1444" s="51"/>
      <c r="U1444" s="51"/>
      <c r="V1444" s="51"/>
      <c r="W1444" s="51"/>
      <c r="X1444" s="51"/>
      <c r="Y1444" s="51"/>
    </row>
    <row r="1445" spans="1:25">
      <c r="A1445" s="49"/>
      <c r="P1445" s="51"/>
      <c r="Q1445" s="51"/>
      <c r="R1445" s="51"/>
      <c r="T1445" s="51"/>
      <c r="U1445" s="51"/>
      <c r="V1445" s="51"/>
      <c r="W1445" s="51"/>
      <c r="X1445" s="51"/>
      <c r="Y1445" s="51"/>
    </row>
    <row r="1446" spans="1:25">
      <c r="A1446" s="49"/>
      <c r="P1446" s="51"/>
      <c r="Q1446" s="51"/>
      <c r="R1446" s="51"/>
      <c r="T1446" s="51"/>
      <c r="U1446" s="51"/>
      <c r="V1446" s="51"/>
      <c r="W1446" s="51"/>
      <c r="X1446" s="51"/>
      <c r="Y1446" s="51"/>
    </row>
    <row r="1447" spans="1:25">
      <c r="A1447" s="49"/>
      <c r="P1447" s="51"/>
      <c r="Q1447" s="51"/>
      <c r="R1447" s="51"/>
      <c r="T1447" s="51"/>
      <c r="U1447" s="51"/>
      <c r="V1447" s="51"/>
      <c r="W1447" s="51"/>
      <c r="X1447" s="51"/>
      <c r="Y1447" s="51"/>
    </row>
    <row r="1448" spans="1:25">
      <c r="A1448" s="49"/>
      <c r="P1448" s="51"/>
      <c r="Q1448" s="51"/>
      <c r="R1448" s="51"/>
      <c r="T1448" s="51"/>
      <c r="U1448" s="51"/>
      <c r="V1448" s="51"/>
      <c r="W1448" s="51"/>
      <c r="X1448" s="51"/>
      <c r="Y1448" s="51"/>
    </row>
    <row r="1449" spans="1:25">
      <c r="A1449" s="49"/>
      <c r="P1449" s="51"/>
      <c r="Q1449" s="51"/>
      <c r="R1449" s="51"/>
      <c r="T1449" s="51"/>
      <c r="U1449" s="51"/>
      <c r="V1449" s="51"/>
      <c r="W1449" s="51"/>
      <c r="X1449" s="51"/>
      <c r="Y1449" s="51"/>
    </row>
    <row r="1450" spans="1:25">
      <c r="A1450" s="49"/>
      <c r="P1450" s="51"/>
      <c r="Q1450" s="51"/>
      <c r="R1450" s="51"/>
      <c r="T1450" s="51"/>
      <c r="U1450" s="51"/>
      <c r="V1450" s="51"/>
      <c r="W1450" s="51"/>
      <c r="X1450" s="51"/>
      <c r="Y1450" s="51"/>
    </row>
    <row r="1451" spans="1:25">
      <c r="A1451" s="49"/>
      <c r="P1451" s="51"/>
      <c r="Q1451" s="51"/>
      <c r="R1451" s="51"/>
      <c r="T1451" s="51"/>
      <c r="U1451" s="51"/>
      <c r="V1451" s="51"/>
      <c r="W1451" s="51"/>
      <c r="X1451" s="51"/>
      <c r="Y1451" s="51"/>
    </row>
    <row r="1452" spans="1:25">
      <c r="A1452" s="49"/>
      <c r="P1452" s="51"/>
      <c r="Q1452" s="51"/>
      <c r="R1452" s="51"/>
      <c r="T1452" s="51"/>
      <c r="U1452" s="51"/>
      <c r="V1452" s="51"/>
      <c r="W1452" s="51"/>
      <c r="X1452" s="51"/>
      <c r="Y1452" s="51"/>
    </row>
    <row r="1453" spans="1:25">
      <c r="A1453" s="49"/>
      <c r="P1453" s="51"/>
      <c r="Q1453" s="51"/>
      <c r="R1453" s="51"/>
      <c r="T1453" s="51"/>
      <c r="U1453" s="51"/>
      <c r="V1453" s="51"/>
      <c r="W1453" s="51"/>
      <c r="X1453" s="51"/>
      <c r="Y1453" s="51"/>
    </row>
    <row r="1454" spans="1:25">
      <c r="A1454" s="49"/>
      <c r="P1454" s="51"/>
      <c r="Q1454" s="51"/>
      <c r="R1454" s="51"/>
      <c r="T1454" s="51"/>
      <c r="U1454" s="51"/>
      <c r="V1454" s="51"/>
      <c r="W1454" s="51"/>
      <c r="X1454" s="51"/>
      <c r="Y1454" s="51"/>
    </row>
    <row r="1455" spans="1:25">
      <c r="A1455" s="49"/>
      <c r="P1455" s="51"/>
      <c r="Q1455" s="51"/>
      <c r="R1455" s="51"/>
      <c r="T1455" s="51"/>
      <c r="U1455" s="51"/>
      <c r="V1455" s="51"/>
      <c r="W1455" s="51"/>
      <c r="X1455" s="51"/>
      <c r="Y1455" s="51"/>
    </row>
    <row r="1456" spans="1:25">
      <c r="A1456" s="49"/>
      <c r="P1456" s="51"/>
      <c r="Q1456" s="51"/>
      <c r="R1456" s="51"/>
      <c r="T1456" s="51"/>
      <c r="U1456" s="51"/>
      <c r="V1456" s="51"/>
      <c r="W1456" s="51"/>
      <c r="X1456" s="51"/>
      <c r="Y1456" s="51"/>
    </row>
    <row r="1457" spans="1:25">
      <c r="A1457" s="49"/>
      <c r="P1457" s="51"/>
      <c r="Q1457" s="51"/>
      <c r="R1457" s="51"/>
      <c r="T1457" s="51"/>
      <c r="U1457" s="51"/>
      <c r="V1457" s="51"/>
      <c r="W1457" s="51"/>
      <c r="X1457" s="51"/>
      <c r="Y1457" s="51"/>
    </row>
    <row r="1458" spans="1:25">
      <c r="A1458" s="49"/>
      <c r="P1458" s="51"/>
      <c r="Q1458" s="51"/>
      <c r="R1458" s="51"/>
      <c r="T1458" s="51"/>
      <c r="U1458" s="51"/>
      <c r="V1458" s="51"/>
      <c r="W1458" s="51"/>
      <c r="X1458" s="51"/>
      <c r="Y1458" s="51"/>
    </row>
    <row r="1459" spans="1:25">
      <c r="A1459" s="49"/>
      <c r="P1459" s="51"/>
      <c r="Q1459" s="51"/>
      <c r="R1459" s="51"/>
      <c r="T1459" s="51"/>
      <c r="U1459" s="51"/>
      <c r="V1459" s="51"/>
      <c r="W1459" s="51"/>
      <c r="X1459" s="51"/>
      <c r="Y1459" s="51"/>
    </row>
    <row r="1460" spans="1:25">
      <c r="A1460" s="49"/>
      <c r="P1460" s="51"/>
      <c r="Q1460" s="51"/>
      <c r="R1460" s="51"/>
      <c r="T1460" s="51"/>
      <c r="U1460" s="51"/>
      <c r="V1460" s="51"/>
      <c r="W1460" s="51"/>
      <c r="X1460" s="51"/>
      <c r="Y1460" s="51"/>
    </row>
    <row r="1461" spans="1:25">
      <c r="A1461" s="49"/>
      <c r="P1461" s="51"/>
      <c r="Q1461" s="51"/>
      <c r="R1461" s="51"/>
      <c r="T1461" s="51"/>
      <c r="U1461" s="51"/>
      <c r="V1461" s="51"/>
      <c r="W1461" s="51"/>
      <c r="X1461" s="51"/>
      <c r="Y1461" s="51"/>
    </row>
    <row r="1462" spans="1:25">
      <c r="A1462" s="49"/>
      <c r="P1462" s="51"/>
      <c r="Q1462" s="51"/>
      <c r="R1462" s="51"/>
      <c r="T1462" s="51"/>
      <c r="U1462" s="51"/>
      <c r="V1462" s="51"/>
      <c r="W1462" s="51"/>
      <c r="X1462" s="51"/>
      <c r="Y1462" s="51"/>
    </row>
    <row r="1463" spans="1:25">
      <c r="A1463" s="49"/>
      <c r="P1463" s="51"/>
      <c r="Q1463" s="51"/>
      <c r="R1463" s="51"/>
      <c r="T1463" s="51"/>
      <c r="U1463" s="51"/>
      <c r="V1463" s="51"/>
      <c r="W1463" s="51"/>
      <c r="X1463" s="51"/>
      <c r="Y1463" s="51"/>
    </row>
    <row r="1464" spans="1:25">
      <c r="A1464" s="49"/>
      <c r="P1464" s="51"/>
      <c r="Q1464" s="51"/>
      <c r="R1464" s="51"/>
      <c r="T1464" s="51"/>
      <c r="U1464" s="51"/>
      <c r="V1464" s="51"/>
      <c r="W1464" s="51"/>
      <c r="X1464" s="51"/>
      <c r="Y1464" s="51"/>
    </row>
    <row r="1465" spans="1:25">
      <c r="A1465" s="49"/>
      <c r="P1465" s="51"/>
      <c r="Q1465" s="51"/>
      <c r="R1465" s="51"/>
      <c r="T1465" s="51"/>
      <c r="U1465" s="51"/>
      <c r="V1465" s="51"/>
      <c r="W1465" s="51"/>
      <c r="X1465" s="51"/>
      <c r="Y1465" s="51"/>
    </row>
    <row r="1466" spans="1:25">
      <c r="A1466" s="49"/>
      <c r="P1466" s="51"/>
      <c r="Q1466" s="51"/>
      <c r="R1466" s="51"/>
      <c r="T1466" s="51"/>
      <c r="U1466" s="51"/>
      <c r="V1466" s="51"/>
      <c r="W1466" s="51"/>
      <c r="X1466" s="51"/>
      <c r="Y1466" s="51"/>
    </row>
    <row r="1467" spans="1:25">
      <c r="A1467" s="49"/>
      <c r="P1467" s="51"/>
      <c r="Q1467" s="51"/>
      <c r="R1467" s="51"/>
      <c r="T1467" s="51"/>
      <c r="U1467" s="51"/>
      <c r="V1467" s="51"/>
      <c r="W1467" s="51"/>
      <c r="X1467" s="51"/>
      <c r="Y1467" s="51"/>
    </row>
    <row r="1468" spans="1:25">
      <c r="A1468" s="49"/>
      <c r="P1468" s="51"/>
      <c r="Q1468" s="51"/>
      <c r="R1468" s="51"/>
      <c r="T1468" s="51"/>
      <c r="U1468" s="51"/>
      <c r="V1468" s="51"/>
      <c r="W1468" s="51"/>
      <c r="X1468" s="51"/>
      <c r="Y1468" s="51"/>
    </row>
    <row r="1469" spans="1:25">
      <c r="A1469" s="49"/>
      <c r="P1469" s="51"/>
      <c r="Q1469" s="51"/>
      <c r="R1469" s="51"/>
      <c r="T1469" s="51"/>
      <c r="U1469" s="51"/>
      <c r="V1469" s="51"/>
      <c r="W1469" s="51"/>
      <c r="X1469" s="51"/>
      <c r="Y1469" s="51"/>
    </row>
    <row r="1470" spans="1:25">
      <c r="A1470" s="49"/>
      <c r="P1470" s="51"/>
      <c r="Q1470" s="51"/>
      <c r="R1470" s="51"/>
      <c r="T1470" s="51"/>
      <c r="U1470" s="51"/>
      <c r="V1470" s="51"/>
      <c r="W1470" s="51"/>
      <c r="X1470" s="51"/>
      <c r="Y1470" s="51"/>
    </row>
    <row r="1471" spans="1:25">
      <c r="A1471" s="49"/>
      <c r="P1471" s="51"/>
      <c r="Q1471" s="51"/>
      <c r="R1471" s="51"/>
      <c r="T1471" s="51"/>
      <c r="U1471" s="51"/>
      <c r="V1471" s="51"/>
      <c r="W1471" s="51"/>
      <c r="X1471" s="51"/>
      <c r="Y1471" s="51"/>
    </row>
    <row r="1472" spans="1:25">
      <c r="A1472" s="49"/>
      <c r="P1472" s="51"/>
      <c r="Q1472" s="51"/>
      <c r="R1472" s="51"/>
      <c r="T1472" s="51"/>
      <c r="U1472" s="51"/>
      <c r="V1472" s="51"/>
      <c r="W1472" s="51"/>
      <c r="X1472" s="51"/>
      <c r="Y1472" s="51"/>
    </row>
    <row r="1473" spans="1:25">
      <c r="A1473" s="49"/>
      <c r="P1473" s="51"/>
      <c r="Q1473" s="51"/>
      <c r="R1473" s="51"/>
      <c r="T1473" s="51"/>
      <c r="U1473" s="51"/>
      <c r="V1473" s="51"/>
      <c r="W1473" s="51"/>
      <c r="X1473" s="51"/>
      <c r="Y1473" s="51"/>
    </row>
    <row r="1474" spans="1:25">
      <c r="A1474" s="49"/>
      <c r="P1474" s="51"/>
      <c r="Q1474" s="51"/>
      <c r="R1474" s="51"/>
      <c r="T1474" s="51"/>
      <c r="U1474" s="51"/>
      <c r="V1474" s="51"/>
      <c r="W1474" s="51"/>
      <c r="X1474" s="51"/>
      <c r="Y1474" s="51"/>
    </row>
    <row r="1475" spans="1:25">
      <c r="A1475" s="49"/>
      <c r="P1475" s="51"/>
      <c r="Q1475" s="51"/>
      <c r="R1475" s="51"/>
      <c r="T1475" s="51"/>
      <c r="U1475" s="51"/>
      <c r="V1475" s="51"/>
      <c r="W1475" s="51"/>
      <c r="X1475" s="51"/>
      <c r="Y1475" s="51"/>
    </row>
    <row r="1476" spans="1:25">
      <c r="A1476" s="49"/>
      <c r="P1476" s="51"/>
      <c r="Q1476" s="51"/>
      <c r="R1476" s="51"/>
      <c r="T1476" s="51"/>
      <c r="U1476" s="51"/>
      <c r="V1476" s="51"/>
      <c r="W1476" s="51"/>
      <c r="X1476" s="51"/>
      <c r="Y1476" s="51"/>
    </row>
    <row r="1477" spans="1:25">
      <c r="A1477" s="49"/>
      <c r="P1477" s="51"/>
      <c r="Q1477" s="51"/>
      <c r="R1477" s="51"/>
      <c r="T1477" s="51"/>
      <c r="U1477" s="51"/>
      <c r="V1477" s="51"/>
      <c r="W1477" s="51"/>
      <c r="X1477" s="51"/>
      <c r="Y1477" s="51"/>
    </row>
    <row r="1478" spans="1:25">
      <c r="A1478" s="49"/>
      <c r="P1478" s="51"/>
      <c r="Q1478" s="51"/>
      <c r="R1478" s="51"/>
      <c r="T1478" s="51"/>
      <c r="U1478" s="51"/>
      <c r="V1478" s="51"/>
      <c r="W1478" s="51"/>
      <c r="X1478" s="51"/>
      <c r="Y1478" s="51"/>
    </row>
    <row r="1479" spans="1:25">
      <c r="A1479" s="49"/>
      <c r="P1479" s="51"/>
      <c r="Q1479" s="51"/>
      <c r="R1479" s="51"/>
      <c r="T1479" s="51"/>
      <c r="U1479" s="51"/>
      <c r="V1479" s="51"/>
      <c r="W1479" s="51"/>
      <c r="X1479" s="51"/>
      <c r="Y1479" s="51"/>
    </row>
    <row r="1480" spans="1:25">
      <c r="A1480" s="49"/>
      <c r="P1480" s="51"/>
      <c r="Q1480" s="51"/>
      <c r="R1480" s="51"/>
      <c r="T1480" s="51"/>
      <c r="U1480" s="51"/>
      <c r="V1480" s="51"/>
      <c r="W1480" s="51"/>
      <c r="X1480" s="51"/>
      <c r="Y1480" s="51"/>
    </row>
    <row r="1481" spans="1:25">
      <c r="A1481" s="49"/>
      <c r="P1481" s="51"/>
      <c r="Q1481" s="51"/>
      <c r="R1481" s="51"/>
      <c r="T1481" s="51"/>
      <c r="U1481" s="51"/>
      <c r="V1481" s="51"/>
      <c r="W1481" s="51"/>
      <c r="X1481" s="51"/>
      <c r="Y1481" s="51"/>
    </row>
    <row r="1482" spans="1:25">
      <c r="A1482" s="49"/>
      <c r="P1482" s="51"/>
      <c r="Q1482" s="51"/>
      <c r="R1482" s="51"/>
      <c r="T1482" s="51"/>
      <c r="U1482" s="51"/>
      <c r="V1482" s="51"/>
      <c r="W1482" s="51"/>
      <c r="X1482" s="51"/>
      <c r="Y1482" s="51"/>
    </row>
    <row r="1483" spans="1:25">
      <c r="A1483" s="49"/>
      <c r="P1483" s="51"/>
      <c r="Q1483" s="51"/>
      <c r="R1483" s="51"/>
      <c r="T1483" s="51"/>
      <c r="U1483" s="51"/>
      <c r="V1483" s="51"/>
      <c r="W1483" s="51"/>
      <c r="X1483" s="51"/>
      <c r="Y1483" s="51"/>
    </row>
    <row r="1484" spans="1:25">
      <c r="A1484" s="49"/>
      <c r="P1484" s="51"/>
      <c r="Q1484" s="51"/>
      <c r="R1484" s="51"/>
      <c r="T1484" s="51"/>
      <c r="U1484" s="51"/>
      <c r="V1484" s="51"/>
      <c r="W1484" s="51"/>
      <c r="X1484" s="51"/>
      <c r="Y1484" s="51"/>
    </row>
    <row r="1485" spans="1:25">
      <c r="A1485" s="49"/>
      <c r="P1485" s="51"/>
      <c r="Q1485" s="51"/>
      <c r="R1485" s="51"/>
      <c r="T1485" s="51"/>
      <c r="U1485" s="51"/>
      <c r="V1485" s="51"/>
      <c r="W1485" s="51"/>
      <c r="X1485" s="51"/>
      <c r="Y1485" s="51"/>
    </row>
    <row r="1486" spans="1:25">
      <c r="A1486" s="49"/>
      <c r="P1486" s="51"/>
      <c r="Q1486" s="51"/>
      <c r="R1486" s="51"/>
      <c r="T1486" s="51"/>
      <c r="U1486" s="51"/>
      <c r="V1486" s="51"/>
      <c r="W1486" s="51"/>
      <c r="X1486" s="51"/>
      <c r="Y1486" s="51"/>
    </row>
    <row r="1487" spans="1:25">
      <c r="A1487" s="49"/>
      <c r="P1487" s="51"/>
      <c r="Q1487" s="51"/>
      <c r="R1487" s="51"/>
      <c r="T1487" s="51"/>
      <c r="U1487" s="51"/>
      <c r="V1487" s="51"/>
      <c r="W1487" s="51"/>
      <c r="X1487" s="51"/>
      <c r="Y1487" s="51"/>
    </row>
    <row r="1488" spans="1:25">
      <c r="A1488" s="49"/>
      <c r="P1488" s="51"/>
      <c r="Q1488" s="51"/>
      <c r="R1488" s="51"/>
      <c r="T1488" s="51"/>
      <c r="U1488" s="51"/>
      <c r="V1488" s="51"/>
      <c r="W1488" s="51"/>
      <c r="X1488" s="51"/>
      <c r="Y1488" s="51"/>
    </row>
    <row r="1489" spans="1:25">
      <c r="A1489" s="49"/>
      <c r="P1489" s="51"/>
      <c r="Q1489" s="51"/>
      <c r="R1489" s="51"/>
      <c r="T1489" s="51"/>
      <c r="U1489" s="51"/>
      <c r="V1489" s="51"/>
      <c r="W1489" s="51"/>
      <c r="X1489" s="51"/>
      <c r="Y1489" s="51"/>
    </row>
    <row r="1490" spans="1:25">
      <c r="A1490" s="49"/>
      <c r="P1490" s="51"/>
      <c r="Q1490" s="51"/>
      <c r="R1490" s="51"/>
      <c r="T1490" s="51"/>
      <c r="U1490" s="51"/>
      <c r="V1490" s="51"/>
      <c r="W1490" s="51"/>
      <c r="X1490" s="51"/>
      <c r="Y1490" s="51"/>
    </row>
    <row r="1491" spans="1:25">
      <c r="A1491" s="49"/>
      <c r="P1491" s="51"/>
      <c r="Q1491" s="51"/>
      <c r="R1491" s="51"/>
      <c r="T1491" s="51"/>
      <c r="U1491" s="51"/>
      <c r="V1491" s="51"/>
      <c r="W1491" s="51"/>
      <c r="X1491" s="51"/>
      <c r="Y1491" s="51"/>
    </row>
    <row r="1492" spans="1:25">
      <c r="A1492" s="49"/>
      <c r="P1492" s="51"/>
      <c r="Q1492" s="51"/>
      <c r="R1492" s="51"/>
      <c r="T1492" s="51"/>
      <c r="U1492" s="51"/>
      <c r="V1492" s="51"/>
      <c r="W1492" s="51"/>
      <c r="X1492" s="51"/>
      <c r="Y1492" s="51"/>
    </row>
    <row r="1493" spans="1:25">
      <c r="A1493" s="49"/>
      <c r="P1493" s="51"/>
      <c r="Q1493" s="51"/>
      <c r="R1493" s="51"/>
      <c r="T1493" s="51"/>
      <c r="U1493" s="51"/>
      <c r="V1493" s="51"/>
      <c r="W1493" s="51"/>
      <c r="X1493" s="51"/>
      <c r="Y1493" s="51"/>
    </row>
    <row r="1494" spans="1:25">
      <c r="A1494" s="49"/>
      <c r="P1494" s="51"/>
      <c r="Q1494" s="51"/>
      <c r="R1494" s="51"/>
      <c r="T1494" s="51"/>
      <c r="U1494" s="51"/>
      <c r="V1494" s="51"/>
      <c r="W1494" s="51"/>
      <c r="X1494" s="51"/>
      <c r="Y1494" s="51"/>
    </row>
    <row r="1495" spans="1:25">
      <c r="A1495" s="49"/>
      <c r="P1495" s="51"/>
      <c r="Q1495" s="51"/>
      <c r="R1495" s="51"/>
      <c r="T1495" s="51"/>
      <c r="U1495" s="51"/>
      <c r="V1495" s="51"/>
      <c r="W1495" s="51"/>
      <c r="X1495" s="51"/>
      <c r="Y1495" s="51"/>
    </row>
    <row r="1496" spans="1:25">
      <c r="A1496" s="49"/>
      <c r="P1496" s="51"/>
      <c r="Q1496" s="51"/>
      <c r="R1496" s="51"/>
      <c r="T1496" s="51"/>
      <c r="U1496" s="51"/>
      <c r="V1496" s="51"/>
      <c r="W1496" s="51"/>
      <c r="X1496" s="51"/>
      <c r="Y1496" s="51"/>
    </row>
    <row r="1497" spans="1:25">
      <c r="A1497" s="49"/>
      <c r="P1497" s="51"/>
      <c r="Q1497" s="51"/>
      <c r="R1497" s="51"/>
      <c r="T1497" s="51"/>
      <c r="U1497" s="51"/>
      <c r="V1497" s="51"/>
      <c r="W1497" s="51"/>
      <c r="X1497" s="51"/>
      <c r="Y1497" s="51"/>
    </row>
    <row r="1498" spans="1:25">
      <c r="A1498" s="49"/>
      <c r="P1498" s="51"/>
      <c r="Q1498" s="51"/>
      <c r="R1498" s="51"/>
      <c r="T1498" s="51"/>
      <c r="U1498" s="51"/>
      <c r="V1498" s="51"/>
      <c r="W1498" s="51"/>
      <c r="X1498" s="51"/>
      <c r="Y1498" s="51"/>
    </row>
    <row r="1499" spans="1:25">
      <c r="A1499" s="49"/>
      <c r="P1499" s="51"/>
      <c r="Q1499" s="51"/>
      <c r="R1499" s="51"/>
      <c r="T1499" s="51"/>
      <c r="U1499" s="51"/>
      <c r="V1499" s="51"/>
      <c r="W1499" s="51"/>
      <c r="X1499" s="51"/>
      <c r="Y1499" s="51"/>
    </row>
    <row r="1500" spans="1:25">
      <c r="A1500" s="49"/>
      <c r="P1500" s="51"/>
      <c r="Q1500" s="51"/>
      <c r="R1500" s="51"/>
      <c r="T1500" s="51"/>
      <c r="U1500" s="51"/>
      <c r="V1500" s="51"/>
      <c r="W1500" s="51"/>
      <c r="X1500" s="51"/>
      <c r="Y1500" s="51"/>
    </row>
    <row r="1501" spans="1:25">
      <c r="A1501" s="49"/>
      <c r="P1501" s="51"/>
      <c r="Q1501" s="51"/>
      <c r="R1501" s="51"/>
      <c r="T1501" s="51"/>
      <c r="U1501" s="51"/>
      <c r="V1501" s="51"/>
      <c r="W1501" s="51"/>
      <c r="X1501" s="51"/>
      <c r="Y1501" s="51"/>
    </row>
    <row r="1502" spans="1:25">
      <c r="A1502" s="49"/>
      <c r="P1502" s="51"/>
      <c r="Q1502" s="51"/>
      <c r="R1502" s="51"/>
      <c r="T1502" s="51"/>
      <c r="U1502" s="51"/>
      <c r="V1502" s="51"/>
      <c r="W1502" s="51"/>
      <c r="X1502" s="51"/>
      <c r="Y1502" s="51"/>
    </row>
    <row r="1503" spans="1:25">
      <c r="A1503" s="49"/>
      <c r="P1503" s="51"/>
      <c r="Q1503" s="51"/>
      <c r="R1503" s="51"/>
      <c r="T1503" s="51"/>
      <c r="U1503" s="51"/>
      <c r="V1503" s="51"/>
      <c r="W1503" s="51"/>
      <c r="X1503" s="51"/>
      <c r="Y1503" s="51"/>
    </row>
    <row r="1504" spans="1:25">
      <c r="A1504" s="49"/>
      <c r="P1504" s="51"/>
      <c r="Q1504" s="51"/>
      <c r="R1504" s="51"/>
      <c r="T1504" s="51"/>
      <c r="U1504" s="51"/>
      <c r="V1504" s="51"/>
      <c r="W1504" s="51"/>
      <c r="X1504" s="51"/>
      <c r="Y1504" s="51"/>
    </row>
    <row r="1505" spans="1:25">
      <c r="A1505" s="49"/>
      <c r="P1505" s="51"/>
      <c r="Q1505" s="51"/>
      <c r="R1505" s="51"/>
      <c r="T1505" s="51"/>
      <c r="U1505" s="51"/>
      <c r="V1505" s="51"/>
      <c r="W1505" s="51"/>
      <c r="X1505" s="51"/>
      <c r="Y1505" s="51"/>
    </row>
    <row r="1506" spans="1:25">
      <c r="A1506" s="49"/>
      <c r="P1506" s="51"/>
      <c r="Q1506" s="51"/>
      <c r="R1506" s="51"/>
      <c r="T1506" s="51"/>
      <c r="U1506" s="51"/>
      <c r="V1506" s="51"/>
      <c r="W1506" s="51"/>
      <c r="X1506" s="51"/>
      <c r="Y1506" s="51"/>
    </row>
    <row r="1507" spans="1:25">
      <c r="A1507" s="49"/>
      <c r="P1507" s="51"/>
      <c r="Q1507" s="51"/>
      <c r="R1507" s="51"/>
      <c r="T1507" s="51"/>
      <c r="U1507" s="51"/>
      <c r="V1507" s="51"/>
      <c r="W1507" s="51"/>
      <c r="X1507" s="51"/>
      <c r="Y1507" s="51"/>
    </row>
    <row r="1508" spans="1:25">
      <c r="A1508" s="49"/>
      <c r="P1508" s="51"/>
      <c r="Q1508" s="51"/>
      <c r="R1508" s="51"/>
      <c r="T1508" s="51"/>
      <c r="U1508" s="51"/>
      <c r="V1508" s="51"/>
      <c r="W1508" s="51"/>
      <c r="X1508" s="51"/>
      <c r="Y1508" s="51"/>
    </row>
    <row r="1509" spans="1:25">
      <c r="A1509" s="49"/>
      <c r="P1509" s="51"/>
      <c r="Q1509" s="51"/>
      <c r="R1509" s="51"/>
      <c r="T1509" s="51"/>
      <c r="U1509" s="51"/>
      <c r="V1509" s="51"/>
      <c r="W1509" s="51"/>
      <c r="X1509" s="51"/>
      <c r="Y1509" s="51"/>
    </row>
    <row r="1510" spans="1:25">
      <c r="A1510" s="49"/>
      <c r="P1510" s="51"/>
      <c r="Q1510" s="51"/>
      <c r="R1510" s="51"/>
      <c r="T1510" s="51"/>
      <c r="U1510" s="51"/>
      <c r="V1510" s="51"/>
      <c r="W1510" s="51"/>
      <c r="X1510" s="51"/>
      <c r="Y1510" s="51"/>
    </row>
    <row r="1511" spans="1:25">
      <c r="A1511" s="49"/>
      <c r="P1511" s="51"/>
      <c r="Q1511" s="51"/>
      <c r="R1511" s="51"/>
      <c r="T1511" s="51"/>
      <c r="U1511" s="51"/>
      <c r="V1511" s="51"/>
      <c r="W1511" s="51"/>
      <c r="X1511" s="51"/>
      <c r="Y1511" s="51"/>
    </row>
    <row r="1512" spans="1:25">
      <c r="A1512" s="49"/>
      <c r="P1512" s="51"/>
      <c r="Q1512" s="51"/>
      <c r="R1512" s="51"/>
      <c r="T1512" s="51"/>
      <c r="U1512" s="51"/>
      <c r="V1512" s="51"/>
      <c r="W1512" s="51"/>
      <c r="X1512" s="51"/>
      <c r="Y1512" s="51"/>
    </row>
    <row r="1513" spans="1:25">
      <c r="A1513" s="49"/>
      <c r="P1513" s="51"/>
      <c r="Q1513" s="51"/>
      <c r="R1513" s="51"/>
      <c r="T1513" s="51"/>
      <c r="U1513" s="51"/>
      <c r="V1513" s="51"/>
      <c r="W1513" s="51"/>
      <c r="X1513" s="51"/>
      <c r="Y1513" s="51"/>
    </row>
    <row r="1514" spans="1:25">
      <c r="A1514" s="49"/>
      <c r="P1514" s="51"/>
      <c r="Q1514" s="51"/>
      <c r="R1514" s="51"/>
      <c r="T1514" s="51"/>
      <c r="U1514" s="51"/>
      <c r="V1514" s="51"/>
      <c r="W1514" s="51"/>
      <c r="X1514" s="51"/>
      <c r="Y1514" s="51"/>
    </row>
    <row r="1515" spans="1:25">
      <c r="A1515" s="49"/>
      <c r="P1515" s="51"/>
      <c r="Q1515" s="51"/>
      <c r="R1515" s="51"/>
      <c r="T1515" s="51"/>
      <c r="U1515" s="51"/>
      <c r="V1515" s="51"/>
      <c r="W1515" s="51"/>
      <c r="X1515" s="51"/>
      <c r="Y1515" s="51"/>
    </row>
    <row r="1516" spans="1:25">
      <c r="A1516" s="49"/>
      <c r="P1516" s="51"/>
      <c r="Q1516" s="51"/>
      <c r="R1516" s="51"/>
      <c r="T1516" s="51"/>
      <c r="U1516" s="51"/>
      <c r="V1516" s="51"/>
      <c r="W1516" s="51"/>
      <c r="X1516" s="51"/>
      <c r="Y1516" s="51"/>
    </row>
    <row r="1517" spans="1:25">
      <c r="A1517" s="49"/>
      <c r="P1517" s="51"/>
      <c r="Q1517" s="51"/>
      <c r="R1517" s="51"/>
      <c r="T1517" s="51"/>
      <c r="U1517" s="51"/>
      <c r="V1517" s="51"/>
      <c r="W1517" s="51"/>
      <c r="X1517" s="51"/>
      <c r="Y1517" s="51"/>
    </row>
    <row r="1518" spans="1:25">
      <c r="A1518" s="49"/>
      <c r="P1518" s="51"/>
      <c r="Q1518" s="51"/>
      <c r="R1518" s="51"/>
      <c r="T1518" s="51"/>
      <c r="U1518" s="51"/>
      <c r="V1518" s="51"/>
      <c r="W1518" s="51"/>
      <c r="X1518" s="51"/>
      <c r="Y1518" s="51"/>
    </row>
    <row r="1519" spans="1:25">
      <c r="A1519" s="49"/>
      <c r="P1519" s="51"/>
      <c r="Q1519" s="51"/>
      <c r="R1519" s="51"/>
      <c r="T1519" s="51"/>
      <c r="U1519" s="51"/>
      <c r="V1519" s="51"/>
      <c r="W1519" s="51"/>
      <c r="X1519" s="51"/>
      <c r="Y1519" s="51"/>
    </row>
    <row r="1520" spans="1:25">
      <c r="A1520" s="49"/>
      <c r="P1520" s="51"/>
      <c r="Q1520" s="51"/>
      <c r="R1520" s="51"/>
      <c r="T1520" s="51"/>
      <c r="U1520" s="51"/>
      <c r="V1520" s="51"/>
      <c r="W1520" s="51"/>
      <c r="X1520" s="51"/>
      <c r="Y1520" s="51"/>
    </row>
    <row r="1521" spans="1:25">
      <c r="A1521" s="49"/>
      <c r="P1521" s="51"/>
      <c r="Q1521" s="51"/>
      <c r="R1521" s="51"/>
      <c r="T1521" s="51"/>
      <c r="U1521" s="51"/>
      <c r="V1521" s="51"/>
      <c r="W1521" s="51"/>
      <c r="X1521" s="51"/>
      <c r="Y1521" s="51"/>
    </row>
    <row r="1522" spans="1:25">
      <c r="A1522" s="49"/>
      <c r="P1522" s="51"/>
      <c r="Q1522" s="51"/>
      <c r="R1522" s="51"/>
      <c r="T1522" s="51"/>
      <c r="U1522" s="51"/>
      <c r="V1522" s="51"/>
      <c r="W1522" s="51"/>
      <c r="X1522" s="51"/>
      <c r="Y1522" s="51"/>
    </row>
    <row r="1523" spans="1:25">
      <c r="A1523" s="49"/>
      <c r="P1523" s="51"/>
      <c r="Q1523" s="51"/>
      <c r="R1523" s="51"/>
      <c r="T1523" s="51"/>
      <c r="U1523" s="51"/>
      <c r="V1523" s="51"/>
      <c r="W1523" s="51"/>
      <c r="X1523" s="51"/>
      <c r="Y1523" s="51"/>
    </row>
    <row r="1524" spans="1:25">
      <c r="A1524" s="49"/>
      <c r="P1524" s="51"/>
      <c r="Q1524" s="51"/>
      <c r="R1524" s="51"/>
      <c r="T1524" s="51"/>
      <c r="U1524" s="51"/>
      <c r="V1524" s="51"/>
      <c r="W1524" s="51"/>
      <c r="X1524" s="51"/>
      <c r="Y1524" s="51"/>
    </row>
    <row r="1525" spans="1:25">
      <c r="A1525" s="49"/>
      <c r="P1525" s="51"/>
      <c r="Q1525" s="51"/>
      <c r="R1525" s="51"/>
      <c r="T1525" s="51"/>
      <c r="U1525" s="51"/>
      <c r="V1525" s="51"/>
      <c r="W1525" s="51"/>
      <c r="X1525" s="51"/>
      <c r="Y1525" s="51"/>
    </row>
    <row r="1526" spans="1:25">
      <c r="A1526" s="49"/>
      <c r="P1526" s="51"/>
      <c r="Q1526" s="51"/>
      <c r="R1526" s="51"/>
      <c r="T1526" s="51"/>
      <c r="U1526" s="51"/>
      <c r="V1526" s="51"/>
      <c r="W1526" s="51"/>
      <c r="X1526" s="51"/>
      <c r="Y1526" s="51"/>
    </row>
    <row r="1527" spans="1:25">
      <c r="A1527" s="49"/>
      <c r="P1527" s="51"/>
      <c r="Q1527" s="51"/>
      <c r="R1527" s="51"/>
      <c r="T1527" s="51"/>
      <c r="U1527" s="51"/>
      <c r="V1527" s="51"/>
      <c r="W1527" s="51"/>
      <c r="X1527" s="51"/>
      <c r="Y1527" s="51"/>
    </row>
    <row r="1528" spans="1:25">
      <c r="A1528" s="49"/>
      <c r="P1528" s="51"/>
      <c r="Q1528" s="51"/>
      <c r="R1528" s="51"/>
      <c r="T1528" s="51"/>
      <c r="U1528" s="51"/>
      <c r="V1528" s="51"/>
      <c r="W1528" s="51"/>
      <c r="X1528" s="51"/>
      <c r="Y1528" s="51"/>
    </row>
    <row r="1529" spans="1:25">
      <c r="A1529" s="49"/>
      <c r="P1529" s="51"/>
      <c r="Q1529" s="51"/>
      <c r="R1529" s="51"/>
      <c r="T1529" s="51"/>
      <c r="U1529" s="51"/>
      <c r="V1529" s="51"/>
      <c r="W1529" s="51"/>
      <c r="X1529" s="51"/>
      <c r="Y1529" s="51"/>
    </row>
    <row r="1530" spans="1:25">
      <c r="A1530" s="49"/>
      <c r="P1530" s="51"/>
      <c r="Q1530" s="51"/>
      <c r="R1530" s="51"/>
      <c r="T1530" s="51"/>
      <c r="U1530" s="51"/>
      <c r="V1530" s="51"/>
      <c r="W1530" s="51"/>
      <c r="X1530" s="51"/>
      <c r="Y1530" s="51"/>
    </row>
    <row r="1531" spans="1:25">
      <c r="A1531" s="49"/>
      <c r="P1531" s="51"/>
      <c r="Q1531" s="51"/>
      <c r="R1531" s="51"/>
      <c r="T1531" s="51"/>
      <c r="U1531" s="51"/>
      <c r="V1531" s="51"/>
      <c r="W1531" s="51"/>
      <c r="X1531" s="51"/>
      <c r="Y1531" s="51"/>
    </row>
    <row r="1532" spans="1:25">
      <c r="A1532" s="49"/>
      <c r="P1532" s="51"/>
      <c r="Q1532" s="51"/>
      <c r="R1532" s="51"/>
      <c r="T1532" s="51"/>
      <c r="U1532" s="51"/>
      <c r="V1532" s="51"/>
      <c r="W1532" s="51"/>
      <c r="X1532" s="51"/>
      <c r="Y1532" s="51"/>
    </row>
    <row r="1533" spans="1:25">
      <c r="A1533" s="49"/>
      <c r="P1533" s="51"/>
      <c r="Q1533" s="51"/>
      <c r="R1533" s="51"/>
      <c r="T1533" s="51"/>
      <c r="U1533" s="51"/>
      <c r="V1533" s="51"/>
      <c r="W1533" s="51"/>
      <c r="X1533" s="51"/>
      <c r="Y1533" s="51"/>
    </row>
    <row r="1534" spans="1:25">
      <c r="A1534" s="49"/>
      <c r="P1534" s="51"/>
      <c r="Q1534" s="51"/>
      <c r="R1534" s="51"/>
      <c r="T1534" s="51"/>
      <c r="U1534" s="51"/>
      <c r="V1534" s="51"/>
      <c r="W1534" s="51"/>
      <c r="X1534" s="51"/>
      <c r="Y1534" s="51"/>
    </row>
    <row r="1535" spans="1:25">
      <c r="A1535" s="49"/>
      <c r="P1535" s="51"/>
      <c r="Q1535" s="51"/>
      <c r="R1535" s="51"/>
      <c r="T1535" s="51"/>
      <c r="U1535" s="51"/>
      <c r="V1535" s="51"/>
      <c r="W1535" s="51"/>
      <c r="X1535" s="51"/>
      <c r="Y1535" s="51"/>
    </row>
    <row r="1536" spans="1:25">
      <c r="A1536" s="49"/>
      <c r="P1536" s="51"/>
      <c r="Q1536" s="51"/>
      <c r="R1536" s="51"/>
      <c r="T1536" s="51"/>
      <c r="U1536" s="51"/>
      <c r="V1536" s="51"/>
      <c r="W1536" s="51"/>
      <c r="X1536" s="51"/>
      <c r="Y1536" s="51"/>
    </row>
    <row r="1537" spans="1:25">
      <c r="A1537" s="49"/>
      <c r="P1537" s="51"/>
      <c r="Q1537" s="51"/>
      <c r="R1537" s="51"/>
      <c r="T1537" s="51"/>
      <c r="U1537" s="51"/>
      <c r="V1537" s="51"/>
      <c r="W1537" s="51"/>
      <c r="X1537" s="51"/>
      <c r="Y1537" s="51"/>
    </row>
    <row r="1538" spans="1:25">
      <c r="A1538" s="49"/>
      <c r="P1538" s="51"/>
      <c r="Q1538" s="51"/>
      <c r="R1538" s="51"/>
      <c r="T1538" s="51"/>
      <c r="U1538" s="51"/>
      <c r="V1538" s="51"/>
      <c r="W1538" s="51"/>
      <c r="X1538" s="51"/>
      <c r="Y1538" s="51"/>
    </row>
    <row r="1539" spans="1:25">
      <c r="A1539" s="49"/>
      <c r="P1539" s="51"/>
      <c r="Q1539" s="51"/>
      <c r="R1539" s="51"/>
      <c r="T1539" s="51"/>
      <c r="U1539" s="51"/>
      <c r="V1539" s="51"/>
      <c r="W1539" s="51"/>
      <c r="X1539" s="51"/>
      <c r="Y1539" s="51"/>
    </row>
    <row r="1540" spans="1:25">
      <c r="A1540" s="49"/>
      <c r="P1540" s="51"/>
      <c r="Q1540" s="51"/>
      <c r="R1540" s="51"/>
      <c r="T1540" s="51"/>
      <c r="U1540" s="51"/>
      <c r="V1540" s="51"/>
      <c r="W1540" s="51"/>
      <c r="X1540" s="51"/>
      <c r="Y1540" s="51"/>
    </row>
    <row r="1541" spans="1:25">
      <c r="A1541" s="49"/>
      <c r="P1541" s="51"/>
      <c r="Q1541" s="51"/>
      <c r="R1541" s="51"/>
      <c r="T1541" s="51"/>
      <c r="U1541" s="51"/>
      <c r="V1541" s="51"/>
      <c r="W1541" s="51"/>
      <c r="X1541" s="51"/>
      <c r="Y1541" s="51"/>
    </row>
    <row r="1542" spans="1:25">
      <c r="A1542" s="49"/>
      <c r="P1542" s="51"/>
      <c r="Q1542" s="51"/>
      <c r="R1542" s="51"/>
      <c r="T1542" s="51"/>
      <c r="U1542" s="51"/>
      <c r="V1542" s="51"/>
      <c r="W1542" s="51"/>
      <c r="X1542" s="51"/>
      <c r="Y1542" s="51"/>
    </row>
    <row r="1543" spans="1:25">
      <c r="A1543" s="49"/>
      <c r="P1543" s="51"/>
      <c r="Q1543" s="51"/>
      <c r="R1543" s="51"/>
      <c r="T1543" s="51"/>
      <c r="U1543" s="51"/>
      <c r="V1543" s="51"/>
      <c r="W1543" s="51"/>
      <c r="X1543" s="51"/>
      <c r="Y1543" s="51"/>
    </row>
    <row r="1544" spans="1:25">
      <c r="A1544" s="49"/>
      <c r="P1544" s="51"/>
      <c r="Q1544" s="51"/>
      <c r="R1544" s="51"/>
      <c r="T1544" s="51"/>
      <c r="U1544" s="51"/>
      <c r="V1544" s="51"/>
      <c r="W1544" s="51"/>
      <c r="X1544" s="51"/>
      <c r="Y1544" s="51"/>
    </row>
    <row r="1545" spans="1:25">
      <c r="A1545" s="49"/>
      <c r="P1545" s="51"/>
      <c r="Q1545" s="51"/>
      <c r="R1545" s="51"/>
      <c r="T1545" s="51"/>
      <c r="U1545" s="51"/>
      <c r="V1545" s="51"/>
      <c r="W1545" s="51"/>
      <c r="X1545" s="51"/>
      <c r="Y1545" s="51"/>
    </row>
    <row r="1546" spans="1:25">
      <c r="A1546" s="49"/>
      <c r="P1546" s="51"/>
      <c r="Q1546" s="51"/>
      <c r="R1546" s="51"/>
      <c r="T1546" s="51"/>
      <c r="U1546" s="51"/>
      <c r="V1546" s="51"/>
      <c r="W1546" s="51"/>
      <c r="X1546" s="51"/>
      <c r="Y1546" s="51"/>
    </row>
    <row r="1547" spans="1:25">
      <c r="A1547" s="49"/>
      <c r="P1547" s="51"/>
      <c r="Q1547" s="51"/>
      <c r="R1547" s="51"/>
      <c r="T1547" s="51"/>
      <c r="U1547" s="51"/>
      <c r="V1547" s="51"/>
      <c r="W1547" s="51"/>
      <c r="X1547" s="51"/>
      <c r="Y1547" s="51"/>
    </row>
    <row r="1548" spans="1:25">
      <c r="A1548" s="49"/>
      <c r="P1548" s="51"/>
      <c r="Q1548" s="51"/>
      <c r="R1548" s="51"/>
      <c r="T1548" s="51"/>
      <c r="U1548" s="51"/>
      <c r="V1548" s="51"/>
      <c r="W1548" s="51"/>
      <c r="X1548" s="51"/>
      <c r="Y1548" s="51"/>
    </row>
    <row r="1549" spans="1:25">
      <c r="A1549" s="49"/>
      <c r="P1549" s="51"/>
      <c r="Q1549" s="51"/>
      <c r="R1549" s="51"/>
      <c r="T1549" s="51"/>
      <c r="U1549" s="51"/>
      <c r="V1549" s="51"/>
      <c r="W1549" s="51"/>
      <c r="X1549" s="51"/>
      <c r="Y1549" s="51"/>
    </row>
    <row r="1550" spans="1:25">
      <c r="A1550" s="49"/>
      <c r="P1550" s="51"/>
      <c r="Q1550" s="51"/>
      <c r="R1550" s="51"/>
      <c r="T1550" s="51"/>
      <c r="U1550" s="51"/>
      <c r="V1550" s="51"/>
      <c r="W1550" s="51"/>
      <c r="X1550" s="51"/>
      <c r="Y1550" s="51"/>
    </row>
    <row r="1551" spans="1:25">
      <c r="A1551" s="49"/>
      <c r="P1551" s="51"/>
      <c r="Q1551" s="51"/>
      <c r="R1551" s="51"/>
      <c r="T1551" s="51"/>
      <c r="U1551" s="51"/>
      <c r="V1551" s="51"/>
      <c r="W1551" s="51"/>
      <c r="X1551" s="51"/>
      <c r="Y1551" s="51"/>
    </row>
    <row r="1552" spans="1:25">
      <c r="A1552" s="49"/>
      <c r="P1552" s="51"/>
      <c r="Q1552" s="51"/>
      <c r="R1552" s="51"/>
      <c r="T1552" s="51"/>
      <c r="U1552" s="51"/>
      <c r="V1552" s="51"/>
      <c r="W1552" s="51"/>
      <c r="X1552" s="51"/>
      <c r="Y1552" s="51"/>
    </row>
    <row r="1553" spans="1:25">
      <c r="A1553" s="49"/>
      <c r="P1553" s="51"/>
      <c r="Q1553" s="51"/>
      <c r="R1553" s="51"/>
      <c r="T1553" s="51"/>
      <c r="U1553" s="51"/>
      <c r="V1553" s="51"/>
      <c r="W1553" s="51"/>
      <c r="X1553" s="51"/>
      <c r="Y1553" s="51"/>
    </row>
    <row r="1554" spans="1:25">
      <c r="A1554" s="49"/>
      <c r="P1554" s="51"/>
      <c r="Q1554" s="51"/>
      <c r="R1554" s="51"/>
      <c r="T1554" s="51"/>
      <c r="U1554" s="51"/>
      <c r="V1554" s="51"/>
      <c r="W1554" s="51"/>
      <c r="X1554" s="51"/>
      <c r="Y1554" s="51"/>
    </row>
    <row r="1555" spans="1:25">
      <c r="A1555" s="49"/>
      <c r="P1555" s="51"/>
      <c r="Q1555" s="51"/>
      <c r="R1555" s="51"/>
      <c r="T1555" s="51"/>
      <c r="U1555" s="51"/>
      <c r="V1555" s="51"/>
      <c r="W1555" s="51"/>
      <c r="X1555" s="51"/>
      <c r="Y1555" s="51"/>
    </row>
    <row r="1556" spans="1:25">
      <c r="A1556" s="49"/>
      <c r="P1556" s="51"/>
      <c r="Q1556" s="51"/>
      <c r="R1556" s="51"/>
      <c r="T1556" s="51"/>
      <c r="U1556" s="51"/>
      <c r="V1556" s="51"/>
      <c r="W1556" s="51"/>
      <c r="X1556" s="51"/>
      <c r="Y1556" s="51"/>
    </row>
    <row r="1557" spans="1:25">
      <c r="A1557" s="49"/>
      <c r="P1557" s="51"/>
      <c r="Q1557" s="51"/>
      <c r="R1557" s="51"/>
      <c r="T1557" s="51"/>
      <c r="U1557" s="51"/>
      <c r="V1557" s="51"/>
      <c r="W1557" s="51"/>
      <c r="X1557" s="51"/>
      <c r="Y1557" s="51"/>
    </row>
    <row r="1558" spans="1:25">
      <c r="A1558" s="49"/>
      <c r="P1558" s="51"/>
      <c r="Q1558" s="51"/>
      <c r="R1558" s="51"/>
      <c r="T1558" s="51"/>
      <c r="U1558" s="51"/>
      <c r="V1558" s="51"/>
      <c r="W1558" s="51"/>
      <c r="X1558" s="51"/>
      <c r="Y1558" s="51"/>
    </row>
    <row r="1559" spans="1:25">
      <c r="A1559" s="49"/>
      <c r="P1559" s="51"/>
      <c r="Q1559" s="51"/>
      <c r="R1559" s="51"/>
      <c r="T1559" s="51"/>
      <c r="U1559" s="51"/>
      <c r="V1559" s="51"/>
      <c r="W1559" s="51"/>
      <c r="X1559" s="51"/>
      <c r="Y1559" s="51"/>
    </row>
    <row r="1560" spans="1:25">
      <c r="A1560" s="49"/>
      <c r="P1560" s="51"/>
      <c r="Q1560" s="51"/>
      <c r="R1560" s="51"/>
      <c r="T1560" s="51"/>
      <c r="U1560" s="51"/>
      <c r="V1560" s="51"/>
      <c r="W1560" s="51"/>
      <c r="X1560" s="51"/>
      <c r="Y1560" s="51"/>
    </row>
    <row r="1561" spans="1:25">
      <c r="A1561" s="49"/>
      <c r="P1561" s="51"/>
      <c r="Q1561" s="51"/>
      <c r="R1561" s="51"/>
      <c r="T1561" s="51"/>
      <c r="U1561" s="51"/>
      <c r="V1561" s="51"/>
      <c r="W1561" s="51"/>
      <c r="X1561" s="51"/>
      <c r="Y1561" s="51"/>
    </row>
    <row r="1562" spans="1:25">
      <c r="A1562" s="49"/>
      <c r="P1562" s="51"/>
      <c r="Q1562" s="51"/>
      <c r="R1562" s="51"/>
      <c r="T1562" s="51"/>
      <c r="U1562" s="51"/>
      <c r="V1562" s="51"/>
      <c r="W1562" s="51"/>
      <c r="X1562" s="51"/>
      <c r="Y1562" s="51"/>
    </row>
    <row r="1563" spans="1:25">
      <c r="A1563" s="49"/>
      <c r="P1563" s="51"/>
      <c r="Q1563" s="51"/>
      <c r="R1563" s="51"/>
      <c r="T1563" s="51"/>
      <c r="U1563" s="51"/>
      <c r="V1563" s="51"/>
      <c r="W1563" s="51"/>
      <c r="X1563" s="51"/>
      <c r="Y1563" s="51"/>
    </row>
    <row r="1564" spans="1:25">
      <c r="A1564" s="49"/>
      <c r="P1564" s="51"/>
      <c r="Q1564" s="51"/>
      <c r="R1564" s="51"/>
      <c r="T1564" s="51"/>
      <c r="U1564" s="51"/>
      <c r="V1564" s="51"/>
      <c r="W1564" s="51"/>
      <c r="X1564" s="51"/>
      <c r="Y1564" s="51"/>
    </row>
    <row r="1565" spans="1:25">
      <c r="A1565" s="49"/>
      <c r="P1565" s="51"/>
      <c r="Q1565" s="51"/>
      <c r="R1565" s="51"/>
      <c r="T1565" s="51"/>
      <c r="U1565" s="51"/>
      <c r="V1565" s="51"/>
      <c r="W1565" s="51"/>
      <c r="X1565" s="51"/>
      <c r="Y1565" s="51"/>
    </row>
    <row r="1566" spans="1:25">
      <c r="A1566" s="49"/>
      <c r="P1566" s="51"/>
      <c r="Q1566" s="51"/>
      <c r="R1566" s="51"/>
      <c r="T1566" s="51"/>
      <c r="U1566" s="51"/>
      <c r="V1566" s="51"/>
      <c r="W1566" s="51"/>
      <c r="X1566" s="51"/>
      <c r="Y1566" s="51"/>
    </row>
    <row r="1567" spans="1:25">
      <c r="A1567" s="49"/>
      <c r="P1567" s="51"/>
      <c r="Q1567" s="51"/>
      <c r="R1567" s="51"/>
      <c r="T1567" s="51"/>
      <c r="U1567" s="51"/>
      <c r="V1567" s="51"/>
      <c r="W1567" s="51"/>
      <c r="X1567" s="51"/>
      <c r="Y1567" s="51"/>
    </row>
    <row r="1568" spans="1:25">
      <c r="A1568" s="49"/>
      <c r="P1568" s="51"/>
      <c r="Q1568" s="51"/>
      <c r="R1568" s="51"/>
      <c r="T1568" s="51"/>
      <c r="U1568" s="51"/>
      <c r="V1568" s="51"/>
      <c r="W1568" s="51"/>
      <c r="X1568" s="51"/>
      <c r="Y1568" s="51"/>
    </row>
    <row r="1569" spans="1:25">
      <c r="A1569" s="49"/>
      <c r="P1569" s="51"/>
      <c r="Q1569" s="51"/>
      <c r="R1569" s="51"/>
      <c r="T1569" s="51"/>
      <c r="U1569" s="51"/>
      <c r="V1569" s="51"/>
      <c r="W1569" s="51"/>
      <c r="X1569" s="51"/>
      <c r="Y1569" s="51"/>
    </row>
    <row r="1570" spans="1:25">
      <c r="A1570" s="49"/>
      <c r="P1570" s="51"/>
      <c r="Q1570" s="51"/>
      <c r="R1570" s="51"/>
      <c r="T1570" s="51"/>
      <c r="U1570" s="51"/>
      <c r="V1570" s="51"/>
      <c r="W1570" s="51"/>
      <c r="X1570" s="51"/>
      <c r="Y1570" s="51"/>
    </row>
    <row r="1571" spans="1:25">
      <c r="A1571" s="49"/>
      <c r="P1571" s="51"/>
      <c r="Q1571" s="51"/>
      <c r="R1571" s="51"/>
      <c r="T1571" s="51"/>
      <c r="U1571" s="51"/>
      <c r="V1571" s="51"/>
      <c r="W1571" s="51"/>
      <c r="X1571" s="51"/>
      <c r="Y1571" s="51"/>
    </row>
    <row r="1572" spans="1:25">
      <c r="A1572" s="49"/>
      <c r="P1572" s="51"/>
      <c r="Q1572" s="51"/>
      <c r="R1572" s="51"/>
      <c r="T1572" s="51"/>
      <c r="U1572" s="51"/>
      <c r="V1572" s="51"/>
      <c r="W1572" s="51"/>
      <c r="X1572" s="51"/>
      <c r="Y1572" s="51"/>
    </row>
    <row r="1573" spans="1:25">
      <c r="A1573" s="49"/>
      <c r="P1573" s="51"/>
      <c r="Q1573" s="51"/>
      <c r="R1573" s="51"/>
      <c r="T1573" s="51"/>
      <c r="U1573" s="51"/>
      <c r="V1573" s="51"/>
      <c r="W1573" s="51"/>
      <c r="X1573" s="51"/>
      <c r="Y1573" s="51"/>
    </row>
    <row r="1574" spans="1:25">
      <c r="A1574" s="49"/>
      <c r="P1574" s="51"/>
      <c r="Q1574" s="51"/>
      <c r="R1574" s="51"/>
      <c r="T1574" s="51"/>
      <c r="U1574" s="51"/>
      <c r="V1574" s="51"/>
      <c r="W1574" s="51"/>
      <c r="X1574" s="51"/>
      <c r="Y1574" s="51"/>
    </row>
    <row r="1575" spans="1:25">
      <c r="A1575" s="49"/>
      <c r="P1575" s="51"/>
      <c r="Q1575" s="51"/>
      <c r="R1575" s="51"/>
      <c r="T1575" s="51"/>
      <c r="U1575" s="51"/>
      <c r="V1575" s="51"/>
      <c r="W1575" s="51"/>
      <c r="X1575" s="51"/>
      <c r="Y1575" s="51"/>
    </row>
    <row r="1576" spans="1:25">
      <c r="A1576" s="49"/>
      <c r="P1576" s="51"/>
      <c r="Q1576" s="51"/>
      <c r="R1576" s="51"/>
      <c r="T1576" s="51"/>
      <c r="U1576" s="51"/>
      <c r="V1576" s="51"/>
      <c r="W1576" s="51"/>
      <c r="X1576" s="51"/>
      <c r="Y1576" s="51"/>
    </row>
    <row r="1577" spans="1:25">
      <c r="A1577" s="49"/>
      <c r="P1577" s="51"/>
      <c r="Q1577" s="51"/>
      <c r="R1577" s="51"/>
      <c r="T1577" s="51"/>
      <c r="U1577" s="51"/>
      <c r="V1577" s="51"/>
      <c r="W1577" s="51"/>
      <c r="X1577" s="51"/>
      <c r="Y1577" s="51"/>
    </row>
    <row r="1578" spans="1:25">
      <c r="A1578" s="49"/>
      <c r="P1578" s="51"/>
      <c r="Q1578" s="51"/>
      <c r="R1578" s="51"/>
      <c r="T1578" s="51"/>
      <c r="U1578" s="51"/>
      <c r="V1578" s="51"/>
      <c r="W1578" s="51"/>
      <c r="X1578" s="51"/>
      <c r="Y1578" s="51"/>
    </row>
    <row r="1579" spans="1:25">
      <c r="A1579" s="49"/>
      <c r="P1579" s="51"/>
      <c r="Q1579" s="51"/>
      <c r="R1579" s="51"/>
      <c r="T1579" s="51"/>
      <c r="U1579" s="51"/>
      <c r="V1579" s="51"/>
      <c r="W1579" s="51"/>
      <c r="X1579" s="51"/>
      <c r="Y1579" s="51"/>
    </row>
    <row r="1580" spans="1:25">
      <c r="A1580" s="49"/>
      <c r="P1580" s="51"/>
      <c r="Q1580" s="51"/>
      <c r="R1580" s="51"/>
      <c r="T1580" s="51"/>
      <c r="U1580" s="51"/>
      <c r="V1580" s="51"/>
      <c r="W1580" s="51"/>
      <c r="X1580" s="51"/>
      <c r="Y1580" s="51"/>
    </row>
    <row r="1581" spans="1:25">
      <c r="A1581" s="49"/>
      <c r="P1581" s="51"/>
      <c r="Q1581" s="51"/>
      <c r="R1581" s="51"/>
      <c r="T1581" s="51"/>
      <c r="U1581" s="51"/>
      <c r="V1581" s="51"/>
      <c r="W1581" s="51"/>
      <c r="X1581" s="51"/>
      <c r="Y1581" s="51"/>
    </row>
    <row r="1582" spans="1:25">
      <c r="A1582" s="49"/>
      <c r="P1582" s="51"/>
      <c r="Q1582" s="51"/>
      <c r="R1582" s="51"/>
      <c r="T1582" s="51"/>
      <c r="U1582" s="51"/>
      <c r="V1582" s="51"/>
      <c r="W1582" s="51"/>
      <c r="X1582" s="51"/>
      <c r="Y1582" s="51"/>
    </row>
    <row r="1583" spans="1:25">
      <c r="A1583" s="49"/>
      <c r="P1583" s="51"/>
      <c r="Q1583" s="51"/>
      <c r="R1583" s="51"/>
      <c r="T1583" s="51"/>
      <c r="U1583" s="51"/>
      <c r="V1583" s="51"/>
      <c r="W1583" s="51"/>
      <c r="X1583" s="51"/>
      <c r="Y1583" s="51"/>
    </row>
    <row r="1584" spans="1:25">
      <c r="A1584" s="49"/>
      <c r="P1584" s="51"/>
      <c r="Q1584" s="51"/>
      <c r="R1584" s="51"/>
      <c r="T1584" s="51"/>
      <c r="U1584" s="51"/>
      <c r="V1584" s="51"/>
      <c r="W1584" s="51"/>
      <c r="X1584" s="51"/>
      <c r="Y1584" s="51"/>
    </row>
    <row r="1585" spans="1:25">
      <c r="A1585" s="49"/>
      <c r="P1585" s="51"/>
      <c r="Q1585" s="51"/>
      <c r="R1585" s="51"/>
      <c r="T1585" s="51"/>
      <c r="U1585" s="51"/>
      <c r="V1585" s="51"/>
      <c r="W1585" s="51"/>
      <c r="X1585" s="51"/>
      <c r="Y1585" s="51"/>
    </row>
    <row r="1586" spans="1:25">
      <c r="A1586" s="49"/>
      <c r="P1586" s="51"/>
      <c r="Q1586" s="51"/>
      <c r="R1586" s="51"/>
      <c r="T1586" s="51"/>
      <c r="U1586" s="51"/>
      <c r="V1586" s="51"/>
      <c r="W1586" s="51"/>
      <c r="X1586" s="51"/>
      <c r="Y1586" s="51"/>
    </row>
    <row r="1587" spans="1:25">
      <c r="A1587" s="49"/>
      <c r="P1587" s="51"/>
      <c r="Q1587" s="51"/>
      <c r="R1587" s="51"/>
      <c r="T1587" s="51"/>
      <c r="U1587" s="51"/>
      <c r="V1587" s="51"/>
      <c r="W1587" s="51"/>
      <c r="X1587" s="51"/>
      <c r="Y1587" s="51"/>
    </row>
    <row r="1588" spans="1:25">
      <c r="A1588" s="49"/>
      <c r="P1588" s="51"/>
      <c r="Q1588" s="51"/>
      <c r="R1588" s="51"/>
      <c r="T1588" s="51"/>
      <c r="U1588" s="51"/>
      <c r="V1588" s="51"/>
      <c r="W1588" s="51"/>
      <c r="X1588" s="51"/>
      <c r="Y1588" s="51"/>
    </row>
    <row r="1589" spans="1:25">
      <c r="A1589" s="49"/>
      <c r="P1589" s="51"/>
      <c r="Q1589" s="51"/>
      <c r="R1589" s="51"/>
      <c r="T1589" s="51"/>
      <c r="U1589" s="51"/>
      <c r="V1589" s="51"/>
      <c r="W1589" s="51"/>
      <c r="X1589" s="51"/>
      <c r="Y1589" s="51"/>
    </row>
    <row r="1590" spans="1:25">
      <c r="A1590" s="49"/>
      <c r="P1590" s="51"/>
      <c r="Q1590" s="51"/>
      <c r="R1590" s="51"/>
      <c r="T1590" s="51"/>
      <c r="U1590" s="51"/>
      <c r="V1590" s="51"/>
      <c r="W1590" s="51"/>
      <c r="X1590" s="51"/>
      <c r="Y1590" s="51"/>
    </row>
    <row r="1591" spans="1:25">
      <c r="A1591" s="49"/>
      <c r="P1591" s="51"/>
      <c r="Q1591" s="51"/>
      <c r="R1591" s="51"/>
      <c r="T1591" s="51"/>
      <c r="U1591" s="51"/>
      <c r="V1591" s="51"/>
      <c r="W1591" s="51"/>
      <c r="X1591" s="51"/>
      <c r="Y1591" s="51"/>
    </row>
    <row r="1592" spans="1:25">
      <c r="A1592" s="49"/>
      <c r="P1592" s="51"/>
      <c r="Q1592" s="51"/>
      <c r="R1592" s="51"/>
      <c r="T1592" s="51"/>
      <c r="U1592" s="51"/>
      <c r="V1592" s="51"/>
      <c r="W1592" s="51"/>
      <c r="X1592" s="51"/>
      <c r="Y1592" s="51"/>
    </row>
    <row r="1593" spans="1:25">
      <c r="A1593" s="49"/>
      <c r="P1593" s="51"/>
      <c r="Q1593" s="51"/>
      <c r="R1593" s="51"/>
      <c r="T1593" s="51"/>
      <c r="U1593" s="51"/>
      <c r="V1593" s="51"/>
      <c r="W1593" s="51"/>
      <c r="X1593" s="51"/>
      <c r="Y1593" s="51"/>
    </row>
    <row r="1594" spans="1:25">
      <c r="A1594" s="49"/>
      <c r="P1594" s="51"/>
      <c r="Q1594" s="51"/>
      <c r="R1594" s="51"/>
      <c r="T1594" s="51"/>
      <c r="U1594" s="51"/>
      <c r="V1594" s="51"/>
      <c r="W1594" s="51"/>
      <c r="X1594" s="51"/>
      <c r="Y1594" s="51"/>
    </row>
    <row r="1595" spans="1:25">
      <c r="A1595" s="49"/>
      <c r="P1595" s="51"/>
      <c r="Q1595" s="51"/>
      <c r="R1595" s="51"/>
      <c r="T1595" s="51"/>
      <c r="U1595" s="51"/>
      <c r="V1595" s="51"/>
      <c r="W1595" s="51"/>
      <c r="X1595" s="51"/>
      <c r="Y1595" s="51"/>
    </row>
    <row r="1596" spans="1:25">
      <c r="A1596" s="49"/>
      <c r="P1596" s="51"/>
      <c r="Q1596" s="51"/>
      <c r="R1596" s="51"/>
      <c r="T1596" s="51"/>
      <c r="U1596" s="51"/>
      <c r="V1596" s="51"/>
      <c r="W1596" s="51"/>
      <c r="X1596" s="51"/>
      <c r="Y1596" s="51"/>
    </row>
    <row r="1597" spans="1:25">
      <c r="A1597" s="49"/>
      <c r="P1597" s="51"/>
      <c r="Q1597" s="51"/>
      <c r="R1597" s="51"/>
      <c r="T1597" s="51"/>
      <c r="U1597" s="51"/>
      <c r="V1597" s="51"/>
      <c r="W1597" s="51"/>
      <c r="X1597" s="51"/>
      <c r="Y1597" s="51"/>
    </row>
    <row r="1598" spans="1:25">
      <c r="A1598" s="49"/>
      <c r="P1598" s="51"/>
      <c r="Q1598" s="51"/>
      <c r="R1598" s="51"/>
      <c r="T1598" s="51"/>
      <c r="U1598" s="51"/>
      <c r="V1598" s="51"/>
      <c r="W1598" s="51"/>
      <c r="X1598" s="51"/>
      <c r="Y1598" s="51"/>
    </row>
    <row r="1599" spans="1:25">
      <c r="A1599" s="49"/>
      <c r="P1599" s="51"/>
      <c r="Q1599" s="51"/>
      <c r="R1599" s="51"/>
      <c r="T1599" s="51"/>
      <c r="U1599" s="51"/>
      <c r="V1599" s="51"/>
      <c r="W1599" s="51"/>
      <c r="X1599" s="51"/>
      <c r="Y1599" s="51"/>
    </row>
    <row r="1600" spans="1:25">
      <c r="A1600" s="49"/>
      <c r="P1600" s="51"/>
      <c r="Q1600" s="51"/>
      <c r="R1600" s="51"/>
      <c r="T1600" s="51"/>
      <c r="U1600" s="51"/>
      <c r="V1600" s="51"/>
      <c r="W1600" s="51"/>
      <c r="X1600" s="51"/>
      <c r="Y1600" s="51"/>
    </row>
    <row r="1601" spans="1:25">
      <c r="A1601" s="49"/>
      <c r="P1601" s="51"/>
      <c r="Q1601" s="51"/>
      <c r="R1601" s="51"/>
      <c r="T1601" s="51"/>
      <c r="U1601" s="51"/>
      <c r="V1601" s="51"/>
      <c r="W1601" s="51"/>
      <c r="X1601" s="51"/>
      <c r="Y1601" s="51"/>
    </row>
    <row r="1602" spans="1:25">
      <c r="A1602" s="49"/>
      <c r="P1602" s="51"/>
      <c r="Q1602" s="51"/>
      <c r="R1602" s="51"/>
      <c r="T1602" s="51"/>
      <c r="U1602" s="51"/>
      <c r="V1602" s="51"/>
      <c r="W1602" s="51"/>
      <c r="X1602" s="51"/>
      <c r="Y1602" s="51"/>
    </row>
    <row r="1603" spans="1:25">
      <c r="A1603" s="49"/>
      <c r="P1603" s="51"/>
      <c r="Q1603" s="51"/>
      <c r="R1603" s="51"/>
      <c r="T1603" s="51"/>
      <c r="U1603" s="51"/>
      <c r="V1603" s="51"/>
      <c r="W1603" s="51"/>
      <c r="X1603" s="51"/>
      <c r="Y1603" s="51"/>
    </row>
    <row r="1604" spans="1:25">
      <c r="A1604" s="49"/>
      <c r="P1604" s="51"/>
      <c r="Q1604" s="51"/>
      <c r="R1604" s="51"/>
      <c r="T1604" s="51"/>
      <c r="U1604" s="51"/>
      <c r="V1604" s="51"/>
      <c r="W1604" s="51"/>
      <c r="X1604" s="51"/>
      <c r="Y1604" s="51"/>
    </row>
    <row r="1605" spans="1:25">
      <c r="A1605" s="49"/>
      <c r="P1605" s="51"/>
      <c r="Q1605" s="51"/>
      <c r="R1605" s="51"/>
      <c r="T1605" s="51"/>
      <c r="U1605" s="51"/>
      <c r="V1605" s="51"/>
      <c r="W1605" s="51"/>
      <c r="X1605" s="51"/>
      <c r="Y1605" s="51"/>
    </row>
    <row r="1606" spans="1:25">
      <c r="A1606" s="49"/>
      <c r="P1606" s="51"/>
      <c r="Q1606" s="51"/>
      <c r="R1606" s="51"/>
      <c r="T1606" s="51"/>
      <c r="U1606" s="51"/>
      <c r="V1606" s="51"/>
      <c r="W1606" s="51"/>
      <c r="X1606" s="51"/>
      <c r="Y1606" s="51"/>
    </row>
    <row r="1607" spans="1:25">
      <c r="A1607" s="49"/>
      <c r="P1607" s="51"/>
      <c r="Q1607" s="51"/>
      <c r="R1607" s="51"/>
      <c r="T1607" s="51"/>
      <c r="U1607" s="51"/>
      <c r="V1607" s="51"/>
      <c r="W1607" s="51"/>
      <c r="X1607" s="51"/>
      <c r="Y1607" s="51"/>
    </row>
    <row r="1608" spans="1:25">
      <c r="A1608" s="49"/>
      <c r="P1608" s="51"/>
      <c r="Q1608" s="51"/>
      <c r="R1608" s="51"/>
      <c r="T1608" s="51"/>
      <c r="U1608" s="51"/>
      <c r="V1608" s="51"/>
      <c r="W1608" s="51"/>
      <c r="X1608" s="51"/>
      <c r="Y1608" s="51"/>
    </row>
    <row r="1609" spans="1:25">
      <c r="A1609" s="49"/>
      <c r="P1609" s="51"/>
      <c r="Q1609" s="51"/>
      <c r="R1609" s="51"/>
      <c r="T1609" s="51"/>
      <c r="U1609" s="51"/>
      <c r="V1609" s="51"/>
      <c r="W1609" s="51"/>
      <c r="X1609" s="51"/>
      <c r="Y1609" s="51"/>
    </row>
    <row r="1610" spans="1:25">
      <c r="A1610" s="49"/>
      <c r="P1610" s="51"/>
      <c r="Q1610" s="51"/>
      <c r="R1610" s="51"/>
      <c r="T1610" s="51"/>
      <c r="U1610" s="51"/>
      <c r="V1610" s="51"/>
      <c r="W1610" s="51"/>
      <c r="X1610" s="51"/>
      <c r="Y1610" s="51"/>
    </row>
    <row r="1611" spans="1:25">
      <c r="A1611" s="49"/>
      <c r="P1611" s="51"/>
      <c r="Q1611" s="51"/>
      <c r="R1611" s="51"/>
      <c r="T1611" s="51"/>
      <c r="U1611" s="51"/>
      <c r="V1611" s="51"/>
      <c r="W1611" s="51"/>
      <c r="X1611" s="51"/>
      <c r="Y1611" s="51"/>
    </row>
    <row r="1612" spans="1:25">
      <c r="A1612" s="49"/>
      <c r="P1612" s="51"/>
      <c r="Q1612" s="51"/>
      <c r="R1612" s="51"/>
      <c r="T1612" s="51"/>
      <c r="U1612" s="51"/>
      <c r="V1612" s="51"/>
      <c r="W1612" s="51"/>
      <c r="X1612" s="51"/>
      <c r="Y1612" s="51"/>
    </row>
    <row r="1613" spans="1:25">
      <c r="A1613" s="49"/>
      <c r="P1613" s="51"/>
      <c r="Q1613" s="51"/>
      <c r="R1613" s="51"/>
      <c r="T1613" s="51"/>
      <c r="U1613" s="51"/>
      <c r="V1613" s="51"/>
      <c r="W1613" s="51"/>
      <c r="X1613" s="51"/>
      <c r="Y1613" s="51"/>
    </row>
    <row r="1614" spans="1:25">
      <c r="A1614" s="49"/>
      <c r="P1614" s="51"/>
      <c r="Q1614" s="51"/>
      <c r="R1614" s="51"/>
      <c r="T1614" s="51"/>
      <c r="U1614" s="51"/>
      <c r="V1614" s="51"/>
      <c r="W1614" s="51"/>
      <c r="X1614" s="51"/>
      <c r="Y1614" s="51"/>
    </row>
    <row r="1615" spans="1:25">
      <c r="A1615" s="49"/>
      <c r="P1615" s="51"/>
      <c r="Q1615" s="51"/>
      <c r="R1615" s="51"/>
      <c r="T1615" s="51"/>
      <c r="U1615" s="51"/>
      <c r="V1615" s="51"/>
      <c r="W1615" s="51"/>
      <c r="X1615" s="51"/>
      <c r="Y1615" s="51"/>
    </row>
    <row r="1616" spans="1:25">
      <c r="A1616" s="49"/>
      <c r="P1616" s="51"/>
      <c r="Q1616" s="51"/>
      <c r="R1616" s="51"/>
      <c r="T1616" s="51"/>
      <c r="U1616" s="51"/>
      <c r="V1616" s="51"/>
      <c r="W1616" s="51"/>
      <c r="X1616" s="51"/>
      <c r="Y1616" s="51"/>
    </row>
    <row r="1617" spans="1:25">
      <c r="A1617" s="49"/>
      <c r="P1617" s="51"/>
      <c r="Q1617" s="51"/>
      <c r="R1617" s="51"/>
      <c r="T1617" s="51"/>
      <c r="U1617" s="51"/>
      <c r="V1617" s="51"/>
      <c r="W1617" s="51"/>
      <c r="X1617" s="51"/>
      <c r="Y1617" s="51"/>
    </row>
    <row r="1618" spans="1:25">
      <c r="A1618" s="49"/>
      <c r="P1618" s="51"/>
      <c r="Q1618" s="51"/>
      <c r="R1618" s="51"/>
      <c r="T1618" s="51"/>
      <c r="U1618" s="51"/>
      <c r="V1618" s="51"/>
      <c r="W1618" s="51"/>
      <c r="X1618" s="51"/>
      <c r="Y1618" s="51"/>
    </row>
    <row r="1619" spans="1:25">
      <c r="A1619" s="49"/>
      <c r="P1619" s="51"/>
      <c r="Q1619" s="51"/>
      <c r="R1619" s="51"/>
      <c r="T1619" s="51"/>
      <c r="U1619" s="51"/>
      <c r="V1619" s="51"/>
      <c r="W1619" s="51"/>
      <c r="X1619" s="51"/>
      <c r="Y1619" s="51"/>
    </row>
    <row r="1620" spans="1:25">
      <c r="A1620" s="49"/>
      <c r="P1620" s="51"/>
      <c r="Q1620" s="51"/>
      <c r="R1620" s="51"/>
      <c r="T1620" s="51"/>
      <c r="U1620" s="51"/>
      <c r="V1620" s="51"/>
      <c r="W1620" s="51"/>
      <c r="X1620" s="51"/>
      <c r="Y1620" s="51"/>
    </row>
    <row r="1621" spans="1:25">
      <c r="A1621" s="49"/>
      <c r="P1621" s="51"/>
      <c r="Q1621" s="51"/>
      <c r="R1621" s="51"/>
      <c r="T1621" s="51"/>
      <c r="U1621" s="51"/>
      <c r="V1621" s="51"/>
      <c r="W1621" s="51"/>
      <c r="X1621" s="51"/>
      <c r="Y1621" s="51"/>
    </row>
    <row r="1622" spans="1:25">
      <c r="A1622" s="49"/>
      <c r="P1622" s="51"/>
      <c r="Q1622" s="51"/>
      <c r="R1622" s="51"/>
      <c r="T1622" s="51"/>
      <c r="U1622" s="51"/>
      <c r="V1622" s="51"/>
      <c r="W1622" s="51"/>
      <c r="X1622" s="51"/>
      <c r="Y1622" s="51"/>
    </row>
    <row r="1623" spans="1:25">
      <c r="A1623" s="49"/>
      <c r="P1623" s="51"/>
      <c r="Q1623" s="51"/>
      <c r="R1623" s="51"/>
      <c r="T1623" s="51"/>
      <c r="U1623" s="51"/>
      <c r="V1623" s="51"/>
      <c r="W1623" s="51"/>
      <c r="X1623" s="51"/>
      <c r="Y1623" s="51"/>
    </row>
    <row r="1624" spans="1:25">
      <c r="A1624" s="49"/>
      <c r="P1624" s="51"/>
      <c r="Q1624" s="51"/>
      <c r="R1624" s="51"/>
      <c r="T1624" s="51"/>
      <c r="U1624" s="51"/>
      <c r="V1624" s="51"/>
      <c r="W1624" s="51"/>
      <c r="X1624" s="51"/>
      <c r="Y1624" s="51"/>
    </row>
    <row r="1625" spans="1:25">
      <c r="A1625" s="49"/>
      <c r="P1625" s="51"/>
      <c r="Q1625" s="51"/>
      <c r="R1625" s="51"/>
      <c r="T1625" s="51"/>
      <c r="U1625" s="51"/>
      <c r="V1625" s="51"/>
      <c r="W1625" s="51"/>
      <c r="X1625" s="51"/>
      <c r="Y1625" s="51"/>
    </row>
    <row r="1626" spans="1:25">
      <c r="A1626" s="49"/>
      <c r="P1626" s="51"/>
      <c r="Q1626" s="51"/>
      <c r="R1626" s="51"/>
      <c r="T1626" s="51"/>
      <c r="U1626" s="51"/>
      <c r="V1626" s="51"/>
      <c r="W1626" s="51"/>
      <c r="X1626" s="51"/>
      <c r="Y1626" s="51"/>
    </row>
    <row r="1627" spans="1:25">
      <c r="A1627" s="49"/>
      <c r="P1627" s="51"/>
      <c r="Q1627" s="51"/>
      <c r="R1627" s="51"/>
      <c r="T1627" s="51"/>
      <c r="U1627" s="51"/>
      <c r="V1627" s="51"/>
      <c r="W1627" s="51"/>
      <c r="X1627" s="51"/>
      <c r="Y1627" s="51"/>
    </row>
    <row r="1628" spans="1:25">
      <c r="A1628" s="49"/>
      <c r="P1628" s="51"/>
      <c r="Q1628" s="51"/>
      <c r="R1628" s="51"/>
      <c r="T1628" s="51"/>
      <c r="U1628" s="51"/>
      <c r="V1628" s="51"/>
      <c r="W1628" s="51"/>
      <c r="X1628" s="51"/>
      <c r="Y1628" s="51"/>
    </row>
    <row r="1629" spans="1:25">
      <c r="A1629" s="49"/>
      <c r="P1629" s="51"/>
      <c r="Q1629" s="51"/>
      <c r="R1629" s="51"/>
      <c r="T1629" s="51"/>
      <c r="U1629" s="51"/>
      <c r="V1629" s="51"/>
      <c r="W1629" s="51"/>
      <c r="X1629" s="51"/>
      <c r="Y1629" s="51"/>
    </row>
    <row r="1630" spans="1:25">
      <c r="A1630" s="49"/>
      <c r="P1630" s="51"/>
      <c r="Q1630" s="51"/>
      <c r="R1630" s="51"/>
      <c r="T1630" s="51"/>
      <c r="U1630" s="51"/>
      <c r="V1630" s="51"/>
      <c r="W1630" s="51"/>
      <c r="X1630" s="51"/>
      <c r="Y1630" s="51"/>
    </row>
    <row r="1631" spans="1:25">
      <c r="A1631" s="49"/>
      <c r="P1631" s="51"/>
      <c r="Q1631" s="51"/>
      <c r="R1631" s="51"/>
      <c r="T1631" s="51"/>
      <c r="U1631" s="51"/>
      <c r="V1631" s="51"/>
      <c r="W1631" s="51"/>
      <c r="X1631" s="51"/>
      <c r="Y1631" s="51"/>
    </row>
    <row r="1632" spans="1:25">
      <c r="A1632" s="49"/>
      <c r="P1632" s="51"/>
      <c r="Q1632" s="51"/>
      <c r="R1632" s="51"/>
      <c r="T1632" s="51"/>
      <c r="U1632" s="51"/>
      <c r="V1632" s="51"/>
      <c r="W1632" s="51"/>
      <c r="X1632" s="51"/>
      <c r="Y1632" s="51"/>
    </row>
    <row r="1633" spans="1:25">
      <c r="A1633" s="49"/>
      <c r="P1633" s="51"/>
      <c r="Q1633" s="51"/>
      <c r="R1633" s="51"/>
      <c r="T1633" s="51"/>
      <c r="U1633" s="51"/>
      <c r="V1633" s="51"/>
      <c r="W1633" s="51"/>
      <c r="X1633" s="51"/>
      <c r="Y1633" s="51"/>
    </row>
    <row r="1634" spans="1:25">
      <c r="A1634" s="49"/>
      <c r="P1634" s="51"/>
      <c r="Q1634" s="51"/>
      <c r="R1634" s="51"/>
      <c r="T1634" s="51"/>
      <c r="U1634" s="51"/>
      <c r="V1634" s="51"/>
      <c r="W1634" s="51"/>
      <c r="X1634" s="51"/>
      <c r="Y1634" s="51"/>
    </row>
    <row r="1635" spans="1:25">
      <c r="A1635" s="49"/>
      <c r="P1635" s="51"/>
      <c r="Q1635" s="51"/>
      <c r="R1635" s="51"/>
      <c r="T1635" s="51"/>
      <c r="U1635" s="51"/>
      <c r="V1635" s="51"/>
      <c r="W1635" s="51"/>
      <c r="X1635" s="51"/>
      <c r="Y1635" s="51"/>
    </row>
    <row r="1636" spans="1:25">
      <c r="A1636" s="49"/>
      <c r="P1636" s="51"/>
      <c r="Q1636" s="51"/>
      <c r="R1636" s="51"/>
      <c r="T1636" s="51"/>
      <c r="U1636" s="51"/>
      <c r="V1636" s="51"/>
      <c r="W1636" s="51"/>
      <c r="X1636" s="51"/>
      <c r="Y1636" s="51"/>
    </row>
    <row r="1637" spans="1:25">
      <c r="A1637" s="49"/>
      <c r="P1637" s="51"/>
      <c r="Q1637" s="51"/>
      <c r="R1637" s="51"/>
      <c r="T1637" s="51"/>
      <c r="U1637" s="51"/>
      <c r="V1637" s="51"/>
      <c r="W1637" s="51"/>
      <c r="X1637" s="51"/>
      <c r="Y1637" s="51"/>
    </row>
    <row r="1638" spans="1:25">
      <c r="A1638" s="49"/>
      <c r="P1638" s="51"/>
      <c r="Q1638" s="51"/>
      <c r="R1638" s="51"/>
      <c r="T1638" s="51"/>
      <c r="U1638" s="51"/>
      <c r="V1638" s="51"/>
      <c r="W1638" s="51"/>
      <c r="X1638" s="51"/>
      <c r="Y1638" s="51"/>
    </row>
    <row r="1639" spans="1:25">
      <c r="A1639" s="49"/>
      <c r="P1639" s="51"/>
      <c r="Q1639" s="51"/>
      <c r="R1639" s="51"/>
      <c r="T1639" s="51"/>
      <c r="U1639" s="51"/>
      <c r="V1639" s="51"/>
      <c r="W1639" s="51"/>
      <c r="X1639" s="51"/>
      <c r="Y1639" s="51"/>
    </row>
    <row r="1640" spans="1:25">
      <c r="A1640" s="49"/>
      <c r="P1640" s="51"/>
      <c r="Q1640" s="51"/>
      <c r="R1640" s="51"/>
      <c r="T1640" s="51"/>
      <c r="U1640" s="51"/>
      <c r="V1640" s="51"/>
      <c r="W1640" s="51"/>
      <c r="X1640" s="51"/>
      <c r="Y1640" s="51"/>
    </row>
    <row r="1641" spans="1:25">
      <c r="A1641" s="49"/>
      <c r="P1641" s="51"/>
      <c r="Q1641" s="51"/>
      <c r="R1641" s="51"/>
      <c r="T1641" s="51"/>
      <c r="U1641" s="51"/>
      <c r="V1641" s="51"/>
      <c r="W1641" s="51"/>
      <c r="X1641" s="51"/>
      <c r="Y1641" s="51"/>
    </row>
    <row r="1642" spans="1:25">
      <c r="A1642" s="49"/>
      <c r="P1642" s="51"/>
      <c r="Q1642" s="51"/>
      <c r="R1642" s="51"/>
      <c r="T1642" s="51"/>
      <c r="U1642" s="51"/>
      <c r="V1642" s="51"/>
      <c r="W1642" s="51"/>
      <c r="X1642" s="51"/>
      <c r="Y1642" s="51"/>
    </row>
    <row r="1643" spans="1:25">
      <c r="A1643" s="49"/>
      <c r="P1643" s="51"/>
      <c r="Q1643" s="51"/>
      <c r="R1643" s="51"/>
      <c r="T1643" s="51"/>
      <c r="U1643" s="51"/>
      <c r="V1643" s="51"/>
      <c r="W1643" s="51"/>
      <c r="X1643" s="51"/>
      <c r="Y1643" s="51"/>
    </row>
    <row r="1644" spans="1:25">
      <c r="A1644" s="49"/>
      <c r="P1644" s="51"/>
      <c r="Q1644" s="51"/>
      <c r="R1644" s="51"/>
      <c r="T1644" s="51"/>
      <c r="U1644" s="51"/>
      <c r="V1644" s="51"/>
      <c r="W1644" s="51"/>
      <c r="X1644" s="51"/>
      <c r="Y1644" s="51"/>
    </row>
    <row r="1645" spans="1:25">
      <c r="A1645" s="49"/>
      <c r="P1645" s="51"/>
      <c r="Q1645" s="51"/>
      <c r="R1645" s="51"/>
      <c r="T1645" s="51"/>
      <c r="U1645" s="51"/>
      <c r="V1645" s="51"/>
      <c r="W1645" s="51"/>
      <c r="X1645" s="51"/>
      <c r="Y1645" s="51"/>
    </row>
    <row r="1646" spans="1:25">
      <c r="A1646" s="49"/>
      <c r="P1646" s="51"/>
      <c r="Q1646" s="51"/>
      <c r="R1646" s="51"/>
      <c r="T1646" s="51"/>
      <c r="U1646" s="51"/>
      <c r="V1646" s="51"/>
      <c r="W1646" s="51"/>
      <c r="X1646" s="51"/>
      <c r="Y1646" s="51"/>
    </row>
    <row r="1647" spans="1:25">
      <c r="A1647" s="49"/>
      <c r="P1647" s="51"/>
      <c r="Q1647" s="51"/>
      <c r="R1647" s="51"/>
      <c r="T1647" s="51"/>
      <c r="U1647" s="51"/>
      <c r="V1647" s="51"/>
      <c r="W1647" s="51"/>
      <c r="X1647" s="51"/>
      <c r="Y1647" s="51"/>
    </row>
    <row r="1648" spans="1:25">
      <c r="A1648" s="49"/>
      <c r="P1648" s="51"/>
      <c r="Q1648" s="51"/>
      <c r="R1648" s="51"/>
      <c r="T1648" s="51"/>
      <c r="U1648" s="51"/>
      <c r="V1648" s="51"/>
      <c r="W1648" s="51"/>
      <c r="X1648" s="51"/>
      <c r="Y1648" s="51"/>
    </row>
    <row r="1649" spans="1:25">
      <c r="A1649" s="49"/>
      <c r="P1649" s="51"/>
      <c r="Q1649" s="51"/>
      <c r="R1649" s="51"/>
      <c r="T1649" s="51"/>
      <c r="U1649" s="51"/>
      <c r="V1649" s="51"/>
      <c r="W1649" s="51"/>
      <c r="X1649" s="51"/>
      <c r="Y1649" s="51"/>
    </row>
    <row r="1650" spans="1:25">
      <c r="A1650" s="49"/>
      <c r="P1650" s="51"/>
      <c r="Q1650" s="51"/>
      <c r="R1650" s="51"/>
      <c r="T1650" s="51"/>
      <c r="U1650" s="51"/>
      <c r="V1650" s="51"/>
      <c r="W1650" s="51"/>
      <c r="X1650" s="51"/>
      <c r="Y1650" s="51"/>
    </row>
    <row r="1651" spans="1:25">
      <c r="A1651" s="49"/>
      <c r="P1651" s="51"/>
      <c r="Q1651" s="51"/>
      <c r="R1651" s="51"/>
      <c r="T1651" s="51"/>
      <c r="U1651" s="51"/>
      <c r="V1651" s="51"/>
      <c r="W1651" s="51"/>
      <c r="X1651" s="51"/>
      <c r="Y1651" s="51"/>
    </row>
    <row r="1652" spans="1:25">
      <c r="A1652" s="49"/>
      <c r="P1652" s="51"/>
      <c r="Q1652" s="51"/>
      <c r="R1652" s="51"/>
      <c r="T1652" s="51"/>
      <c r="U1652" s="51"/>
      <c r="V1652" s="51"/>
      <c r="W1652" s="51"/>
      <c r="X1652" s="51"/>
      <c r="Y1652" s="51"/>
    </row>
    <row r="1653" spans="1:25">
      <c r="A1653" s="49"/>
      <c r="P1653" s="51"/>
      <c r="Q1653" s="51"/>
      <c r="R1653" s="51"/>
      <c r="T1653" s="51"/>
      <c r="U1653" s="51"/>
      <c r="V1653" s="51"/>
      <c r="W1653" s="51"/>
      <c r="X1653" s="51"/>
      <c r="Y1653" s="51"/>
    </row>
    <row r="1654" spans="1:25">
      <c r="A1654" s="49"/>
      <c r="P1654" s="51"/>
      <c r="Q1654" s="51"/>
      <c r="R1654" s="51"/>
      <c r="T1654" s="51"/>
      <c r="U1654" s="51"/>
      <c r="V1654" s="51"/>
      <c r="W1654" s="51"/>
      <c r="X1654" s="51"/>
      <c r="Y1654" s="51"/>
    </row>
    <row r="1655" spans="1:25">
      <c r="A1655" s="49"/>
      <c r="P1655" s="51"/>
      <c r="Q1655" s="51"/>
      <c r="R1655" s="51"/>
      <c r="T1655" s="51"/>
      <c r="U1655" s="51"/>
      <c r="V1655" s="51"/>
      <c r="W1655" s="51"/>
      <c r="X1655" s="51"/>
      <c r="Y1655" s="51"/>
    </row>
    <row r="1656" spans="1:25">
      <c r="A1656" s="49"/>
      <c r="P1656" s="51"/>
      <c r="Q1656" s="51"/>
      <c r="R1656" s="51"/>
      <c r="T1656" s="51"/>
      <c r="U1656" s="51"/>
      <c r="V1656" s="51"/>
      <c r="W1656" s="51"/>
      <c r="X1656" s="51"/>
      <c r="Y1656" s="51"/>
    </row>
    <row r="1657" spans="1:25">
      <c r="A1657" s="49"/>
      <c r="P1657" s="51"/>
      <c r="Q1657" s="51"/>
      <c r="R1657" s="51"/>
      <c r="T1657" s="51"/>
      <c r="U1657" s="51"/>
      <c r="V1657" s="51"/>
      <c r="W1657" s="51"/>
      <c r="X1657" s="51"/>
      <c r="Y1657" s="51"/>
    </row>
    <row r="1658" spans="1:25">
      <c r="A1658" s="49"/>
      <c r="P1658" s="51"/>
      <c r="Q1658" s="51"/>
      <c r="R1658" s="51"/>
      <c r="T1658" s="51"/>
      <c r="U1658" s="51"/>
      <c r="V1658" s="51"/>
      <c r="W1658" s="51"/>
      <c r="X1658" s="51"/>
      <c r="Y1658" s="51"/>
    </row>
    <row r="1659" spans="1:25">
      <c r="A1659" s="49"/>
      <c r="P1659" s="51"/>
      <c r="Q1659" s="51"/>
      <c r="R1659" s="51"/>
      <c r="T1659" s="51"/>
      <c r="U1659" s="51"/>
      <c r="V1659" s="51"/>
      <c r="W1659" s="51"/>
      <c r="X1659" s="51"/>
      <c r="Y1659" s="51"/>
    </row>
    <row r="1660" spans="1:25">
      <c r="A1660" s="49"/>
      <c r="P1660" s="51"/>
      <c r="Q1660" s="51"/>
      <c r="R1660" s="51"/>
      <c r="T1660" s="51"/>
      <c r="U1660" s="51"/>
      <c r="V1660" s="51"/>
      <c r="W1660" s="51"/>
      <c r="X1660" s="51"/>
      <c r="Y1660" s="51"/>
    </row>
    <row r="1661" spans="1:25">
      <c r="A1661" s="49"/>
      <c r="P1661" s="51"/>
      <c r="Q1661" s="51"/>
      <c r="R1661" s="51"/>
      <c r="T1661" s="51"/>
      <c r="U1661" s="51"/>
      <c r="V1661" s="51"/>
      <c r="W1661" s="51"/>
      <c r="X1661" s="51"/>
      <c r="Y1661" s="51"/>
    </row>
    <row r="1662" spans="1:25">
      <c r="A1662" s="49"/>
      <c r="P1662" s="51"/>
      <c r="Q1662" s="51"/>
      <c r="R1662" s="51"/>
      <c r="T1662" s="51"/>
      <c r="U1662" s="51"/>
      <c r="V1662" s="51"/>
      <c r="W1662" s="51"/>
      <c r="X1662" s="51"/>
      <c r="Y1662" s="51"/>
    </row>
    <row r="1663" spans="1:25">
      <c r="A1663" s="49"/>
      <c r="P1663" s="51"/>
      <c r="Q1663" s="51"/>
      <c r="R1663" s="51"/>
      <c r="T1663" s="51"/>
      <c r="U1663" s="51"/>
      <c r="V1663" s="51"/>
      <c r="W1663" s="51"/>
      <c r="X1663" s="51"/>
      <c r="Y1663" s="51"/>
    </row>
    <row r="1664" spans="1:25">
      <c r="A1664" s="49"/>
      <c r="P1664" s="51"/>
      <c r="Q1664" s="51"/>
      <c r="R1664" s="51"/>
      <c r="T1664" s="51"/>
      <c r="U1664" s="51"/>
      <c r="V1664" s="51"/>
      <c r="W1664" s="51"/>
      <c r="X1664" s="51"/>
      <c r="Y1664" s="51"/>
    </row>
    <row r="1665" spans="1:25">
      <c r="A1665" s="49"/>
      <c r="P1665" s="51"/>
      <c r="Q1665" s="51"/>
      <c r="R1665" s="51"/>
      <c r="T1665" s="51"/>
      <c r="U1665" s="51"/>
      <c r="V1665" s="51"/>
      <c r="W1665" s="51"/>
      <c r="X1665" s="51"/>
      <c r="Y1665" s="51"/>
    </row>
    <row r="1666" spans="1:25">
      <c r="A1666" s="49"/>
      <c r="P1666" s="51"/>
      <c r="Q1666" s="51"/>
      <c r="R1666" s="51"/>
      <c r="T1666" s="51"/>
      <c r="U1666" s="51"/>
      <c r="V1666" s="51"/>
      <c r="W1666" s="51"/>
      <c r="X1666" s="51"/>
      <c r="Y1666" s="51"/>
    </row>
    <row r="1667" spans="1:25">
      <c r="A1667" s="49"/>
      <c r="P1667" s="51"/>
      <c r="Q1667" s="51"/>
      <c r="R1667" s="51"/>
      <c r="T1667" s="51"/>
      <c r="U1667" s="51"/>
      <c r="V1667" s="51"/>
      <c r="W1667" s="51"/>
      <c r="X1667" s="51"/>
      <c r="Y1667" s="51"/>
    </row>
    <row r="1668" spans="1:25">
      <c r="A1668" s="49"/>
      <c r="P1668" s="51"/>
      <c r="Q1668" s="51"/>
      <c r="R1668" s="51"/>
      <c r="T1668" s="51"/>
      <c r="U1668" s="51"/>
      <c r="V1668" s="51"/>
      <c r="W1668" s="51"/>
      <c r="X1668" s="51"/>
      <c r="Y1668" s="51"/>
    </row>
    <row r="1669" spans="1:25">
      <c r="A1669" s="49"/>
      <c r="P1669" s="51"/>
      <c r="Q1669" s="51"/>
      <c r="R1669" s="51"/>
      <c r="T1669" s="51"/>
      <c r="U1669" s="51"/>
      <c r="V1669" s="51"/>
      <c r="W1669" s="51"/>
      <c r="X1669" s="51"/>
      <c r="Y1669" s="51"/>
    </row>
    <row r="1670" spans="1:25">
      <c r="A1670" s="49"/>
      <c r="P1670" s="51"/>
      <c r="Q1670" s="51"/>
      <c r="R1670" s="51"/>
      <c r="T1670" s="51"/>
      <c r="U1670" s="51"/>
      <c r="V1670" s="51"/>
      <c r="W1670" s="51"/>
      <c r="X1670" s="51"/>
      <c r="Y1670" s="51"/>
    </row>
    <row r="1671" spans="1:25">
      <c r="A1671" s="49"/>
      <c r="P1671" s="51"/>
      <c r="Q1671" s="51"/>
      <c r="R1671" s="51"/>
      <c r="T1671" s="51"/>
      <c r="U1671" s="51"/>
      <c r="V1671" s="51"/>
      <c r="W1671" s="51"/>
      <c r="X1671" s="51"/>
      <c r="Y1671" s="51"/>
    </row>
    <row r="1672" spans="1:25">
      <c r="A1672" s="49"/>
      <c r="P1672" s="51"/>
      <c r="Q1672" s="51"/>
      <c r="R1672" s="51"/>
      <c r="T1672" s="51"/>
      <c r="U1672" s="51"/>
      <c r="V1672" s="51"/>
      <c r="W1672" s="51"/>
      <c r="X1672" s="51"/>
      <c r="Y1672" s="51"/>
    </row>
    <row r="1673" spans="1:25">
      <c r="A1673" s="49"/>
      <c r="P1673" s="51"/>
      <c r="Q1673" s="51"/>
      <c r="R1673" s="51"/>
      <c r="T1673" s="51"/>
      <c r="U1673" s="51"/>
      <c r="V1673" s="51"/>
      <c r="W1673" s="51"/>
      <c r="X1673" s="51"/>
      <c r="Y1673" s="51"/>
    </row>
    <row r="1674" spans="1:25">
      <c r="A1674" s="49"/>
      <c r="P1674" s="51"/>
      <c r="Q1674" s="51"/>
      <c r="R1674" s="51"/>
      <c r="T1674" s="51"/>
      <c r="U1674" s="51"/>
      <c r="V1674" s="51"/>
      <c r="W1674" s="51"/>
      <c r="X1674" s="51"/>
      <c r="Y1674" s="51"/>
    </row>
    <row r="1675" spans="1:25">
      <c r="A1675" s="49"/>
      <c r="P1675" s="51"/>
      <c r="Q1675" s="51"/>
      <c r="R1675" s="51"/>
      <c r="T1675" s="51"/>
      <c r="U1675" s="51"/>
      <c r="V1675" s="51"/>
      <c r="W1675" s="51"/>
      <c r="X1675" s="51"/>
      <c r="Y1675" s="51"/>
    </row>
    <row r="1676" spans="1:25">
      <c r="A1676" s="49"/>
      <c r="P1676" s="51"/>
      <c r="Q1676" s="51"/>
      <c r="R1676" s="51"/>
      <c r="T1676" s="51"/>
      <c r="U1676" s="51"/>
      <c r="V1676" s="51"/>
      <c r="W1676" s="51"/>
      <c r="X1676" s="51"/>
      <c r="Y1676" s="51"/>
    </row>
    <row r="1677" spans="1:25">
      <c r="A1677" s="49"/>
      <c r="P1677" s="51"/>
      <c r="Q1677" s="51"/>
      <c r="R1677" s="51"/>
      <c r="T1677" s="51"/>
      <c r="U1677" s="51"/>
      <c r="V1677" s="51"/>
      <c r="W1677" s="51"/>
      <c r="X1677" s="51"/>
      <c r="Y1677" s="51"/>
    </row>
    <row r="1678" spans="1:25">
      <c r="A1678" s="49"/>
      <c r="P1678" s="51"/>
      <c r="Q1678" s="51"/>
      <c r="R1678" s="51"/>
      <c r="T1678" s="51"/>
      <c r="U1678" s="51"/>
      <c r="V1678" s="51"/>
      <c r="W1678" s="51"/>
      <c r="X1678" s="51"/>
      <c r="Y1678" s="51"/>
    </row>
    <row r="1679" spans="1:25">
      <c r="A1679" s="49"/>
      <c r="P1679" s="51"/>
      <c r="Q1679" s="51"/>
      <c r="R1679" s="51"/>
      <c r="T1679" s="51"/>
      <c r="U1679" s="51"/>
      <c r="V1679" s="51"/>
      <c r="W1679" s="51"/>
      <c r="X1679" s="51"/>
      <c r="Y1679" s="51"/>
    </row>
    <row r="1680" spans="1:25">
      <c r="A1680" s="49"/>
      <c r="P1680" s="51"/>
      <c r="Q1680" s="51"/>
      <c r="R1680" s="51"/>
      <c r="T1680" s="51"/>
      <c r="U1680" s="51"/>
      <c r="V1680" s="51"/>
      <c r="W1680" s="51"/>
      <c r="X1680" s="51"/>
      <c r="Y1680" s="51"/>
    </row>
    <row r="1681" spans="1:25">
      <c r="A1681" s="49"/>
      <c r="P1681" s="51"/>
      <c r="Q1681" s="51"/>
      <c r="R1681" s="51"/>
      <c r="T1681" s="51"/>
      <c r="U1681" s="51"/>
      <c r="V1681" s="51"/>
      <c r="W1681" s="51"/>
      <c r="X1681" s="51"/>
      <c r="Y1681" s="51"/>
    </row>
    <row r="1682" spans="1:25">
      <c r="A1682" s="49"/>
      <c r="P1682" s="51"/>
      <c r="Q1682" s="51"/>
      <c r="R1682" s="51"/>
      <c r="T1682" s="51"/>
      <c r="U1682" s="51"/>
      <c r="V1682" s="51"/>
      <c r="W1682" s="51"/>
      <c r="X1682" s="51"/>
      <c r="Y1682" s="51"/>
    </row>
    <row r="1683" spans="1:25">
      <c r="A1683" s="49"/>
      <c r="P1683" s="51"/>
      <c r="Q1683" s="51"/>
      <c r="R1683" s="51"/>
      <c r="T1683" s="51"/>
      <c r="U1683" s="51"/>
      <c r="V1683" s="51"/>
      <c r="W1683" s="51"/>
      <c r="X1683" s="51"/>
      <c r="Y1683" s="51"/>
    </row>
    <row r="1684" spans="1:25">
      <c r="A1684" s="49"/>
      <c r="P1684" s="51"/>
      <c r="Q1684" s="51"/>
      <c r="R1684" s="51"/>
      <c r="T1684" s="51"/>
      <c r="U1684" s="51"/>
      <c r="V1684" s="51"/>
      <c r="W1684" s="51"/>
      <c r="X1684" s="51"/>
      <c r="Y1684" s="51"/>
    </row>
    <row r="1685" spans="1:25">
      <c r="A1685" s="49"/>
      <c r="P1685" s="51"/>
      <c r="Q1685" s="51"/>
      <c r="R1685" s="51"/>
      <c r="T1685" s="51"/>
      <c r="U1685" s="51"/>
      <c r="V1685" s="51"/>
      <c r="W1685" s="51"/>
      <c r="X1685" s="51"/>
      <c r="Y1685" s="51"/>
    </row>
    <row r="1686" spans="1:25">
      <c r="A1686" s="49"/>
      <c r="P1686" s="51"/>
      <c r="Q1686" s="51"/>
      <c r="R1686" s="51"/>
      <c r="T1686" s="51"/>
      <c r="U1686" s="51"/>
      <c r="V1686" s="51"/>
      <c r="W1686" s="51"/>
      <c r="X1686" s="51"/>
      <c r="Y1686" s="51"/>
    </row>
    <row r="1687" spans="1:25">
      <c r="A1687" s="49"/>
      <c r="P1687" s="51"/>
      <c r="Q1687" s="51"/>
      <c r="R1687" s="51"/>
      <c r="T1687" s="51"/>
      <c r="U1687" s="51"/>
      <c r="V1687" s="51"/>
      <c r="W1687" s="51"/>
      <c r="X1687" s="51"/>
      <c r="Y1687" s="51"/>
    </row>
    <row r="1688" spans="1:25">
      <c r="A1688" s="49"/>
      <c r="P1688" s="51"/>
      <c r="Q1688" s="51"/>
      <c r="R1688" s="51"/>
      <c r="T1688" s="51"/>
      <c r="U1688" s="51"/>
      <c r="V1688" s="51"/>
      <c r="W1688" s="51"/>
      <c r="X1688" s="51"/>
      <c r="Y1688" s="51"/>
    </row>
    <row r="1689" spans="1:25">
      <c r="A1689" s="49"/>
      <c r="P1689" s="51"/>
      <c r="Q1689" s="51"/>
      <c r="R1689" s="51"/>
      <c r="T1689" s="51"/>
      <c r="U1689" s="51"/>
      <c r="V1689" s="51"/>
      <c r="W1689" s="51"/>
      <c r="X1689" s="51"/>
      <c r="Y1689" s="51"/>
    </row>
    <row r="1690" spans="1:25">
      <c r="A1690" s="49"/>
      <c r="P1690" s="51"/>
      <c r="Q1690" s="51"/>
      <c r="R1690" s="51"/>
      <c r="T1690" s="51"/>
      <c r="U1690" s="51"/>
      <c r="V1690" s="51"/>
      <c r="W1690" s="51"/>
      <c r="X1690" s="51"/>
      <c r="Y1690" s="51"/>
    </row>
    <row r="1691" spans="1:25">
      <c r="A1691" s="49"/>
      <c r="P1691" s="51"/>
      <c r="Q1691" s="51"/>
      <c r="R1691" s="51"/>
      <c r="T1691" s="51"/>
      <c r="U1691" s="51"/>
      <c r="V1691" s="51"/>
      <c r="W1691" s="51"/>
      <c r="X1691" s="51"/>
      <c r="Y1691" s="51"/>
    </row>
    <row r="1692" spans="1:25">
      <c r="A1692" s="49"/>
      <c r="P1692" s="51"/>
      <c r="Q1692" s="51"/>
      <c r="R1692" s="51"/>
      <c r="T1692" s="51"/>
      <c r="U1692" s="51"/>
      <c r="V1692" s="51"/>
      <c r="W1692" s="51"/>
      <c r="X1692" s="51"/>
      <c r="Y1692" s="51"/>
    </row>
    <row r="1693" spans="1:25">
      <c r="A1693" s="49"/>
      <c r="P1693" s="51"/>
      <c r="Q1693" s="51"/>
      <c r="R1693" s="51"/>
      <c r="T1693" s="51"/>
      <c r="U1693" s="51"/>
      <c r="V1693" s="51"/>
      <c r="W1693" s="51"/>
      <c r="X1693" s="51"/>
      <c r="Y1693" s="51"/>
    </row>
    <row r="1694" spans="1:25">
      <c r="A1694" s="49"/>
      <c r="P1694" s="51"/>
      <c r="Q1694" s="51"/>
      <c r="R1694" s="51"/>
      <c r="T1694" s="51"/>
      <c r="U1694" s="51"/>
      <c r="V1694" s="51"/>
      <c r="W1694" s="51"/>
      <c r="X1694" s="51"/>
      <c r="Y1694" s="51"/>
    </row>
    <row r="1695" spans="1:25">
      <c r="A1695" s="49"/>
      <c r="P1695" s="51"/>
      <c r="Q1695" s="51"/>
      <c r="R1695" s="51"/>
      <c r="T1695" s="51"/>
      <c r="U1695" s="51"/>
      <c r="V1695" s="51"/>
      <c r="W1695" s="51"/>
      <c r="X1695" s="51"/>
      <c r="Y1695" s="51"/>
    </row>
    <row r="1696" spans="1:25">
      <c r="A1696" s="49"/>
      <c r="P1696" s="51"/>
      <c r="Q1696" s="51"/>
      <c r="R1696" s="51"/>
      <c r="T1696" s="51"/>
      <c r="U1696" s="51"/>
      <c r="V1696" s="51"/>
      <c r="W1696" s="51"/>
      <c r="X1696" s="51"/>
      <c r="Y1696" s="51"/>
    </row>
    <row r="1697" spans="1:25">
      <c r="A1697" s="49"/>
      <c r="P1697" s="51"/>
      <c r="Q1697" s="51"/>
      <c r="R1697" s="51"/>
      <c r="T1697" s="51"/>
      <c r="U1697" s="51"/>
      <c r="V1697" s="51"/>
      <c r="W1697" s="51"/>
      <c r="X1697" s="51"/>
      <c r="Y1697" s="51"/>
    </row>
    <row r="1698" spans="1:25">
      <c r="A1698" s="49"/>
      <c r="P1698" s="51"/>
      <c r="Q1698" s="51"/>
      <c r="R1698" s="51"/>
      <c r="T1698" s="51"/>
      <c r="U1698" s="51"/>
      <c r="V1698" s="51"/>
      <c r="W1698" s="51"/>
      <c r="X1698" s="51"/>
      <c r="Y1698" s="51"/>
    </row>
    <row r="1699" spans="1:25">
      <c r="A1699" s="49"/>
      <c r="P1699" s="51"/>
      <c r="Q1699" s="51"/>
      <c r="R1699" s="51"/>
      <c r="T1699" s="51"/>
      <c r="U1699" s="51"/>
      <c r="V1699" s="51"/>
      <c r="W1699" s="51"/>
      <c r="X1699" s="51"/>
      <c r="Y1699" s="51"/>
    </row>
    <row r="1700" spans="1:25">
      <c r="A1700" s="49"/>
      <c r="P1700" s="51"/>
      <c r="Q1700" s="51"/>
      <c r="R1700" s="51"/>
      <c r="T1700" s="51"/>
      <c r="U1700" s="51"/>
      <c r="V1700" s="51"/>
      <c r="W1700" s="51"/>
      <c r="X1700" s="51"/>
      <c r="Y1700" s="51"/>
    </row>
    <row r="1701" spans="1:25">
      <c r="A1701" s="49"/>
      <c r="P1701" s="51"/>
      <c r="Q1701" s="51"/>
      <c r="R1701" s="51"/>
      <c r="T1701" s="51"/>
      <c r="U1701" s="51"/>
      <c r="V1701" s="51"/>
      <c r="W1701" s="51"/>
      <c r="X1701" s="51"/>
      <c r="Y1701" s="51"/>
    </row>
    <row r="1702" spans="1:25">
      <c r="A1702" s="49"/>
      <c r="P1702" s="51"/>
      <c r="Q1702" s="51"/>
      <c r="R1702" s="51"/>
      <c r="T1702" s="51"/>
      <c r="U1702" s="51"/>
      <c r="V1702" s="51"/>
      <c r="W1702" s="51"/>
      <c r="X1702" s="51"/>
      <c r="Y1702" s="51"/>
    </row>
    <row r="1703" spans="1:25">
      <c r="A1703" s="49"/>
      <c r="P1703" s="51"/>
      <c r="Q1703" s="51"/>
      <c r="R1703" s="51"/>
      <c r="T1703" s="51"/>
      <c r="U1703" s="51"/>
      <c r="V1703" s="51"/>
      <c r="W1703" s="51"/>
      <c r="X1703" s="51"/>
      <c r="Y1703" s="51"/>
    </row>
    <row r="1704" spans="1:25">
      <c r="A1704" s="49"/>
      <c r="P1704" s="51"/>
      <c r="Q1704" s="51"/>
      <c r="R1704" s="51"/>
      <c r="T1704" s="51"/>
      <c r="U1704" s="51"/>
      <c r="V1704" s="51"/>
      <c r="W1704" s="51"/>
      <c r="X1704" s="51"/>
      <c r="Y1704" s="51"/>
    </row>
    <row r="1705" spans="1:25">
      <c r="A1705" s="49"/>
      <c r="P1705" s="51"/>
      <c r="Q1705" s="51"/>
      <c r="R1705" s="51"/>
      <c r="T1705" s="51"/>
      <c r="U1705" s="51"/>
      <c r="V1705" s="51"/>
      <c r="W1705" s="51"/>
      <c r="X1705" s="51"/>
      <c r="Y1705" s="51"/>
    </row>
    <row r="1706" spans="1:25">
      <c r="A1706" s="49"/>
      <c r="P1706" s="51"/>
      <c r="Q1706" s="51"/>
      <c r="R1706" s="51"/>
      <c r="T1706" s="51"/>
      <c r="U1706" s="51"/>
      <c r="V1706" s="51"/>
      <c r="W1706" s="51"/>
      <c r="X1706" s="51"/>
      <c r="Y1706" s="51"/>
    </row>
    <row r="1707" spans="1:25">
      <c r="A1707" s="49"/>
      <c r="P1707" s="51"/>
      <c r="Q1707" s="51"/>
      <c r="R1707" s="51"/>
      <c r="T1707" s="51"/>
      <c r="U1707" s="51"/>
      <c r="V1707" s="51"/>
      <c r="W1707" s="51"/>
      <c r="X1707" s="51"/>
      <c r="Y1707" s="51"/>
    </row>
    <row r="1708" spans="1:25">
      <c r="A1708" s="49"/>
      <c r="P1708" s="51"/>
      <c r="Q1708" s="51"/>
      <c r="R1708" s="51"/>
      <c r="T1708" s="51"/>
      <c r="U1708" s="51"/>
      <c r="V1708" s="51"/>
      <c r="W1708" s="51"/>
      <c r="X1708" s="51"/>
      <c r="Y1708" s="51"/>
    </row>
    <row r="1709" spans="1:25">
      <c r="A1709" s="49"/>
      <c r="P1709" s="51"/>
      <c r="Q1709" s="51"/>
      <c r="R1709" s="51"/>
      <c r="T1709" s="51"/>
      <c r="U1709" s="51"/>
      <c r="V1709" s="51"/>
      <c r="W1709" s="51"/>
      <c r="X1709" s="51"/>
      <c r="Y1709" s="51"/>
    </row>
    <row r="1710" spans="1:25">
      <c r="A1710" s="49"/>
      <c r="P1710" s="51"/>
      <c r="Q1710" s="51"/>
      <c r="R1710" s="51"/>
      <c r="T1710" s="51"/>
      <c r="U1710" s="51"/>
      <c r="V1710" s="51"/>
      <c r="W1710" s="51"/>
      <c r="X1710" s="51"/>
      <c r="Y1710" s="51"/>
    </row>
    <row r="1711" spans="1:25">
      <c r="A1711" s="49"/>
      <c r="P1711" s="51"/>
      <c r="Q1711" s="51"/>
      <c r="R1711" s="51"/>
      <c r="T1711" s="51"/>
      <c r="U1711" s="51"/>
      <c r="V1711" s="51"/>
      <c r="W1711" s="51"/>
      <c r="X1711" s="51"/>
      <c r="Y1711" s="51"/>
    </row>
    <row r="1712" spans="1:25">
      <c r="A1712" s="49"/>
      <c r="P1712" s="51"/>
      <c r="Q1712" s="51"/>
      <c r="R1712" s="51"/>
      <c r="T1712" s="51"/>
      <c r="U1712" s="51"/>
      <c r="V1712" s="51"/>
      <c r="W1712" s="51"/>
      <c r="X1712" s="51"/>
      <c r="Y1712" s="51"/>
    </row>
    <row r="1713" spans="1:25">
      <c r="A1713" s="49"/>
      <c r="P1713" s="51"/>
      <c r="Q1713" s="51"/>
      <c r="R1713" s="51"/>
      <c r="T1713" s="51"/>
      <c r="U1713" s="51"/>
      <c r="V1713" s="51"/>
      <c r="W1713" s="51"/>
      <c r="X1713" s="51"/>
      <c r="Y1713" s="51"/>
    </row>
    <row r="1714" spans="1:25">
      <c r="A1714" s="49"/>
      <c r="P1714" s="51"/>
      <c r="Q1714" s="51"/>
      <c r="R1714" s="51"/>
      <c r="T1714" s="51"/>
      <c r="U1714" s="51"/>
      <c r="V1714" s="51"/>
      <c r="W1714" s="51"/>
      <c r="X1714" s="51"/>
      <c r="Y1714" s="51"/>
    </row>
    <row r="1715" spans="1:25">
      <c r="A1715" s="49"/>
      <c r="P1715" s="51"/>
      <c r="Q1715" s="51"/>
      <c r="R1715" s="51"/>
      <c r="T1715" s="51"/>
      <c r="U1715" s="51"/>
      <c r="V1715" s="51"/>
      <c r="W1715" s="51"/>
      <c r="X1715" s="51"/>
      <c r="Y1715" s="51"/>
    </row>
    <row r="1716" spans="1:25">
      <c r="A1716" s="49"/>
      <c r="P1716" s="51"/>
      <c r="Q1716" s="51"/>
      <c r="R1716" s="51"/>
      <c r="T1716" s="51"/>
      <c r="U1716" s="51"/>
      <c r="V1716" s="51"/>
      <c r="W1716" s="51"/>
      <c r="X1716" s="51"/>
      <c r="Y1716" s="51"/>
    </row>
    <row r="1717" spans="1:25">
      <c r="A1717" s="49"/>
      <c r="P1717" s="51"/>
      <c r="Q1717" s="51"/>
      <c r="R1717" s="51"/>
      <c r="T1717" s="51"/>
      <c r="U1717" s="51"/>
      <c r="V1717" s="51"/>
      <c r="W1717" s="51"/>
      <c r="X1717" s="51"/>
      <c r="Y1717" s="51"/>
    </row>
    <row r="1718" spans="1:25">
      <c r="A1718" s="49"/>
      <c r="P1718" s="51"/>
      <c r="Q1718" s="51"/>
      <c r="R1718" s="51"/>
      <c r="T1718" s="51"/>
      <c r="U1718" s="51"/>
      <c r="V1718" s="51"/>
      <c r="W1718" s="51"/>
      <c r="X1718" s="51"/>
      <c r="Y1718" s="51"/>
    </row>
    <row r="1719" spans="1:25">
      <c r="A1719" s="49"/>
      <c r="P1719" s="51"/>
      <c r="Q1719" s="51"/>
      <c r="R1719" s="51"/>
      <c r="T1719" s="51"/>
      <c r="U1719" s="51"/>
      <c r="V1719" s="51"/>
      <c r="W1719" s="51"/>
      <c r="X1719" s="51"/>
      <c r="Y1719" s="51"/>
    </row>
    <row r="1720" spans="1:25">
      <c r="A1720" s="49"/>
      <c r="P1720" s="51"/>
      <c r="Q1720" s="51"/>
      <c r="R1720" s="51"/>
      <c r="T1720" s="51"/>
      <c r="U1720" s="51"/>
      <c r="V1720" s="51"/>
      <c r="W1720" s="51"/>
      <c r="X1720" s="51"/>
      <c r="Y1720" s="51"/>
    </row>
    <row r="1721" spans="1:25">
      <c r="A1721" s="49"/>
      <c r="P1721" s="51"/>
      <c r="Q1721" s="51"/>
      <c r="R1721" s="51"/>
      <c r="T1721" s="51"/>
      <c r="U1721" s="51"/>
      <c r="V1721" s="51"/>
      <c r="W1721" s="51"/>
      <c r="X1721" s="51"/>
      <c r="Y1721" s="51"/>
    </row>
    <row r="1722" spans="1:25">
      <c r="A1722" s="49"/>
      <c r="P1722" s="51"/>
      <c r="Q1722" s="51"/>
      <c r="R1722" s="51"/>
      <c r="T1722" s="51"/>
      <c r="U1722" s="51"/>
      <c r="V1722" s="51"/>
      <c r="W1722" s="51"/>
      <c r="X1722" s="51"/>
      <c r="Y1722" s="51"/>
    </row>
    <row r="1723" spans="1:25">
      <c r="A1723" s="49"/>
      <c r="P1723" s="51"/>
      <c r="Q1723" s="51"/>
      <c r="R1723" s="51"/>
      <c r="T1723" s="51"/>
      <c r="U1723" s="51"/>
      <c r="V1723" s="51"/>
      <c r="W1723" s="51"/>
      <c r="X1723" s="51"/>
      <c r="Y1723" s="51"/>
    </row>
    <row r="1724" spans="1:25">
      <c r="A1724" s="49"/>
      <c r="P1724" s="51"/>
      <c r="Q1724" s="51"/>
      <c r="R1724" s="51"/>
      <c r="T1724" s="51"/>
      <c r="U1724" s="51"/>
      <c r="V1724" s="51"/>
      <c r="W1724" s="51"/>
      <c r="X1724" s="51"/>
      <c r="Y1724" s="51"/>
    </row>
    <row r="1725" spans="1:25">
      <c r="A1725" s="49"/>
      <c r="P1725" s="51"/>
      <c r="Q1725" s="51"/>
      <c r="R1725" s="51"/>
      <c r="T1725" s="51"/>
      <c r="U1725" s="51"/>
      <c r="V1725" s="51"/>
      <c r="W1725" s="51"/>
      <c r="X1725" s="51"/>
      <c r="Y1725" s="51"/>
    </row>
    <row r="1726" spans="1:25">
      <c r="A1726" s="49"/>
      <c r="P1726" s="51"/>
      <c r="Q1726" s="51"/>
      <c r="R1726" s="51"/>
      <c r="T1726" s="51"/>
      <c r="U1726" s="51"/>
      <c r="V1726" s="51"/>
      <c r="W1726" s="51"/>
      <c r="X1726" s="51"/>
      <c r="Y1726" s="51"/>
    </row>
    <row r="1727" spans="1:25">
      <c r="A1727" s="49"/>
      <c r="P1727" s="51"/>
      <c r="Q1727" s="51"/>
      <c r="R1727" s="51"/>
      <c r="T1727" s="51"/>
      <c r="U1727" s="51"/>
      <c r="V1727" s="51"/>
      <c r="W1727" s="51"/>
      <c r="X1727" s="51"/>
      <c r="Y1727" s="51"/>
    </row>
    <row r="1728" spans="1:25">
      <c r="A1728" s="49"/>
      <c r="P1728" s="51"/>
      <c r="Q1728" s="51"/>
      <c r="R1728" s="51"/>
      <c r="T1728" s="51"/>
      <c r="U1728" s="51"/>
      <c r="V1728" s="51"/>
      <c r="W1728" s="51"/>
      <c r="X1728" s="51"/>
      <c r="Y1728" s="51"/>
    </row>
    <row r="1729" spans="1:25">
      <c r="A1729" s="49"/>
      <c r="P1729" s="51"/>
      <c r="Q1729" s="51"/>
      <c r="R1729" s="51"/>
      <c r="T1729" s="51"/>
      <c r="U1729" s="51"/>
      <c r="V1729" s="51"/>
      <c r="W1729" s="51"/>
      <c r="X1729" s="51"/>
      <c r="Y1729" s="51"/>
    </row>
    <row r="1730" spans="1:25">
      <c r="A1730" s="49"/>
      <c r="P1730" s="51"/>
      <c r="Q1730" s="51"/>
      <c r="R1730" s="51"/>
      <c r="T1730" s="51"/>
      <c r="U1730" s="51"/>
      <c r="V1730" s="51"/>
      <c r="W1730" s="51"/>
      <c r="X1730" s="51"/>
      <c r="Y1730" s="51"/>
    </row>
    <row r="1731" spans="1:25">
      <c r="A1731" s="49"/>
      <c r="P1731" s="51"/>
      <c r="Q1731" s="51"/>
      <c r="R1731" s="51"/>
      <c r="T1731" s="51"/>
      <c r="U1731" s="51"/>
      <c r="V1731" s="51"/>
      <c r="W1731" s="51"/>
      <c r="X1731" s="51"/>
      <c r="Y1731" s="51"/>
    </row>
    <row r="1732" spans="1:25">
      <c r="A1732" s="49"/>
      <c r="P1732" s="51"/>
      <c r="Q1732" s="51"/>
      <c r="R1732" s="51"/>
      <c r="T1732" s="51"/>
      <c r="U1732" s="51"/>
      <c r="V1732" s="51"/>
      <c r="W1732" s="51"/>
      <c r="X1732" s="51"/>
      <c r="Y1732" s="51"/>
    </row>
    <row r="1733" spans="1:25">
      <c r="A1733" s="49"/>
      <c r="P1733" s="51"/>
      <c r="Q1733" s="51"/>
      <c r="R1733" s="51"/>
      <c r="T1733" s="51"/>
      <c r="U1733" s="51"/>
      <c r="V1733" s="51"/>
      <c r="W1733" s="51"/>
      <c r="X1733" s="51"/>
      <c r="Y1733" s="51"/>
    </row>
    <row r="1734" spans="1:25">
      <c r="A1734" s="49"/>
      <c r="P1734" s="51"/>
      <c r="Q1734" s="51"/>
      <c r="R1734" s="51"/>
      <c r="T1734" s="51"/>
      <c r="U1734" s="51"/>
      <c r="V1734" s="51"/>
      <c r="W1734" s="51"/>
      <c r="X1734" s="51"/>
      <c r="Y1734" s="51"/>
    </row>
    <row r="1735" spans="1:25">
      <c r="A1735" s="49"/>
      <c r="P1735" s="51"/>
      <c r="Q1735" s="51"/>
      <c r="R1735" s="51"/>
      <c r="T1735" s="51"/>
      <c r="U1735" s="51"/>
      <c r="V1735" s="51"/>
      <c r="W1735" s="51"/>
      <c r="X1735" s="51"/>
      <c r="Y1735" s="51"/>
    </row>
    <row r="1736" spans="1:25">
      <c r="A1736" s="49"/>
      <c r="P1736" s="51"/>
      <c r="Q1736" s="51"/>
      <c r="R1736" s="51"/>
      <c r="T1736" s="51"/>
      <c r="U1736" s="51"/>
      <c r="V1736" s="51"/>
      <c r="W1736" s="51"/>
      <c r="X1736" s="51"/>
      <c r="Y1736" s="51"/>
    </row>
    <row r="1737" spans="1:25">
      <c r="A1737" s="49"/>
      <c r="P1737" s="51"/>
      <c r="Q1737" s="51"/>
      <c r="R1737" s="51"/>
      <c r="T1737" s="51"/>
      <c r="U1737" s="51"/>
      <c r="V1737" s="51"/>
      <c r="W1737" s="51"/>
      <c r="X1737" s="51"/>
      <c r="Y1737" s="51"/>
    </row>
    <row r="1738" spans="1:25">
      <c r="A1738" s="49"/>
      <c r="P1738" s="51"/>
      <c r="Q1738" s="51"/>
      <c r="R1738" s="51"/>
      <c r="T1738" s="51"/>
      <c r="U1738" s="51"/>
      <c r="V1738" s="51"/>
      <c r="W1738" s="51"/>
      <c r="X1738" s="51"/>
      <c r="Y1738" s="51"/>
    </row>
    <row r="1739" spans="1:25">
      <c r="A1739" s="49"/>
      <c r="P1739" s="51"/>
      <c r="Q1739" s="51"/>
      <c r="R1739" s="51"/>
      <c r="T1739" s="51"/>
      <c r="U1739" s="51"/>
      <c r="V1739" s="51"/>
      <c r="W1739" s="51"/>
      <c r="X1739" s="51"/>
      <c r="Y1739" s="51"/>
    </row>
    <row r="1740" spans="1:25">
      <c r="A1740" s="49"/>
      <c r="P1740" s="51"/>
      <c r="Q1740" s="51"/>
      <c r="R1740" s="51"/>
      <c r="T1740" s="51"/>
      <c r="U1740" s="51"/>
      <c r="V1740" s="51"/>
      <c r="W1740" s="51"/>
      <c r="X1740" s="51"/>
      <c r="Y1740" s="51"/>
    </row>
    <row r="1741" spans="1:25">
      <c r="A1741" s="49"/>
      <c r="P1741" s="51"/>
      <c r="Q1741" s="51"/>
      <c r="R1741" s="51"/>
      <c r="T1741" s="51"/>
      <c r="U1741" s="51"/>
      <c r="V1741" s="51"/>
      <c r="W1741" s="51"/>
      <c r="X1741" s="51"/>
      <c r="Y1741" s="51"/>
    </row>
    <row r="1742" spans="1:25">
      <c r="A1742" s="49"/>
      <c r="P1742" s="51"/>
      <c r="Q1742" s="51"/>
      <c r="R1742" s="51"/>
      <c r="T1742" s="51"/>
      <c r="U1742" s="51"/>
      <c r="V1742" s="51"/>
      <c r="W1742" s="51"/>
      <c r="X1742" s="51"/>
      <c r="Y1742" s="51"/>
    </row>
    <row r="1743" spans="1:25">
      <c r="A1743" s="49"/>
      <c r="P1743" s="51"/>
      <c r="Q1743" s="51"/>
      <c r="R1743" s="51"/>
      <c r="T1743" s="51"/>
      <c r="U1743" s="51"/>
      <c r="V1743" s="51"/>
      <c r="W1743" s="51"/>
      <c r="X1743" s="51"/>
      <c r="Y1743" s="51"/>
    </row>
    <row r="1744" spans="1:25">
      <c r="A1744" s="49"/>
      <c r="P1744" s="51"/>
      <c r="Q1744" s="51"/>
      <c r="R1744" s="51"/>
      <c r="T1744" s="51"/>
      <c r="U1744" s="51"/>
      <c r="V1744" s="51"/>
      <c r="W1744" s="51"/>
      <c r="X1744" s="51"/>
      <c r="Y1744" s="51"/>
    </row>
    <row r="1745" spans="1:25">
      <c r="A1745" s="49"/>
      <c r="P1745" s="51"/>
      <c r="Q1745" s="51"/>
      <c r="R1745" s="51"/>
      <c r="T1745" s="51"/>
      <c r="U1745" s="51"/>
      <c r="V1745" s="51"/>
      <c r="W1745" s="51"/>
      <c r="X1745" s="51"/>
      <c r="Y1745" s="51"/>
    </row>
    <row r="1746" spans="1:25">
      <c r="A1746" s="49"/>
      <c r="P1746" s="51"/>
      <c r="Q1746" s="51"/>
      <c r="R1746" s="51"/>
      <c r="T1746" s="51"/>
      <c r="U1746" s="51"/>
      <c r="V1746" s="51"/>
      <c r="W1746" s="51"/>
      <c r="X1746" s="51"/>
      <c r="Y1746" s="51"/>
    </row>
    <row r="1747" spans="1:25">
      <c r="A1747" s="49"/>
      <c r="P1747" s="51"/>
      <c r="Q1747" s="51"/>
      <c r="R1747" s="51"/>
      <c r="T1747" s="51"/>
      <c r="U1747" s="51"/>
      <c r="V1747" s="51"/>
      <c r="W1747" s="51"/>
      <c r="X1747" s="51"/>
      <c r="Y1747" s="51"/>
    </row>
    <row r="1748" spans="1:25">
      <c r="A1748" s="49"/>
      <c r="P1748" s="51"/>
      <c r="Q1748" s="51"/>
      <c r="R1748" s="51"/>
      <c r="T1748" s="51"/>
      <c r="U1748" s="51"/>
      <c r="V1748" s="51"/>
      <c r="W1748" s="51"/>
      <c r="X1748" s="51"/>
      <c r="Y1748" s="51"/>
    </row>
    <row r="1749" spans="1:25">
      <c r="A1749" s="49"/>
      <c r="P1749" s="51"/>
      <c r="Q1749" s="51"/>
      <c r="R1749" s="51"/>
      <c r="T1749" s="51"/>
      <c r="U1749" s="51"/>
      <c r="V1749" s="51"/>
      <c r="W1749" s="51"/>
      <c r="X1749" s="51"/>
      <c r="Y1749" s="51"/>
    </row>
    <row r="1750" spans="1:25">
      <c r="A1750" s="49"/>
      <c r="P1750" s="51"/>
      <c r="Q1750" s="51"/>
      <c r="R1750" s="51"/>
      <c r="T1750" s="51"/>
      <c r="U1750" s="51"/>
      <c r="V1750" s="51"/>
      <c r="W1750" s="51"/>
      <c r="X1750" s="51"/>
      <c r="Y1750" s="51"/>
    </row>
    <row r="1751" spans="1:25">
      <c r="A1751" s="49"/>
      <c r="P1751" s="51"/>
      <c r="Q1751" s="51"/>
      <c r="R1751" s="51"/>
      <c r="T1751" s="51"/>
      <c r="U1751" s="51"/>
      <c r="V1751" s="51"/>
      <c r="W1751" s="51"/>
      <c r="X1751" s="51"/>
      <c r="Y1751" s="51"/>
    </row>
    <row r="1752" spans="1:25">
      <c r="A1752" s="49"/>
      <c r="P1752" s="51"/>
      <c r="Q1752" s="51"/>
      <c r="R1752" s="51"/>
      <c r="T1752" s="51"/>
      <c r="U1752" s="51"/>
      <c r="V1752" s="51"/>
      <c r="W1752" s="51"/>
      <c r="X1752" s="51"/>
      <c r="Y1752" s="51"/>
    </row>
    <row r="1753" spans="1:25">
      <c r="A1753" s="49"/>
      <c r="P1753" s="51"/>
      <c r="Q1753" s="51"/>
      <c r="R1753" s="51"/>
      <c r="T1753" s="51"/>
      <c r="U1753" s="51"/>
      <c r="V1753" s="51"/>
      <c r="W1753" s="51"/>
      <c r="X1753" s="51"/>
      <c r="Y1753" s="51"/>
    </row>
    <row r="1754" spans="1:25">
      <c r="A1754" s="49"/>
      <c r="P1754" s="51"/>
      <c r="Q1754" s="51"/>
      <c r="R1754" s="51"/>
      <c r="T1754" s="51"/>
      <c r="U1754" s="51"/>
      <c r="V1754" s="51"/>
      <c r="W1754" s="51"/>
      <c r="X1754" s="51"/>
      <c r="Y1754" s="51"/>
    </row>
    <row r="1755" spans="1:25">
      <c r="A1755" s="49"/>
      <c r="P1755" s="51"/>
      <c r="Q1755" s="51"/>
      <c r="R1755" s="51"/>
      <c r="T1755" s="51"/>
      <c r="U1755" s="51"/>
      <c r="V1755" s="51"/>
      <c r="W1755" s="51"/>
      <c r="X1755" s="51"/>
      <c r="Y1755" s="51"/>
    </row>
    <row r="1756" spans="1:25">
      <c r="A1756" s="49"/>
      <c r="P1756" s="51"/>
      <c r="Q1756" s="51"/>
      <c r="R1756" s="51"/>
      <c r="T1756" s="51"/>
      <c r="U1756" s="51"/>
      <c r="V1756" s="51"/>
      <c r="W1756" s="51"/>
      <c r="X1756" s="51"/>
      <c r="Y1756" s="51"/>
    </row>
    <row r="1757" spans="1:25">
      <c r="A1757" s="49"/>
      <c r="P1757" s="51"/>
      <c r="Q1757" s="51"/>
      <c r="R1757" s="51"/>
      <c r="T1757" s="51"/>
      <c r="U1757" s="51"/>
      <c r="V1757" s="51"/>
      <c r="W1757" s="51"/>
      <c r="X1757" s="51"/>
      <c r="Y1757" s="51"/>
    </row>
    <row r="1758" spans="1:25">
      <c r="A1758" s="49"/>
      <c r="P1758" s="51"/>
      <c r="Q1758" s="51"/>
      <c r="R1758" s="51"/>
      <c r="T1758" s="51"/>
      <c r="U1758" s="51"/>
      <c r="V1758" s="51"/>
      <c r="W1758" s="51"/>
      <c r="X1758" s="51"/>
      <c r="Y1758" s="51"/>
    </row>
    <row r="1759" spans="1:25">
      <c r="A1759" s="49"/>
      <c r="P1759" s="51"/>
      <c r="Q1759" s="51"/>
      <c r="R1759" s="51"/>
      <c r="T1759" s="51"/>
      <c r="U1759" s="51"/>
      <c r="V1759" s="51"/>
      <c r="W1759" s="51"/>
      <c r="X1759" s="51"/>
      <c r="Y1759" s="51"/>
    </row>
    <row r="1760" spans="1:25">
      <c r="A1760" s="49"/>
      <c r="P1760" s="51"/>
      <c r="Q1760" s="51"/>
      <c r="R1760" s="51"/>
      <c r="T1760" s="51"/>
      <c r="U1760" s="51"/>
      <c r="V1760" s="51"/>
      <c r="W1760" s="51"/>
      <c r="X1760" s="51"/>
      <c r="Y1760" s="51"/>
    </row>
    <row r="1761" spans="1:25">
      <c r="A1761" s="49"/>
      <c r="P1761" s="51"/>
      <c r="Q1761" s="51"/>
      <c r="R1761" s="51"/>
      <c r="T1761" s="51"/>
      <c r="U1761" s="51"/>
      <c r="V1761" s="51"/>
      <c r="W1761" s="51"/>
      <c r="X1761" s="51"/>
      <c r="Y1761" s="51"/>
    </row>
    <row r="1762" spans="1:25">
      <c r="A1762" s="49"/>
      <c r="P1762" s="51"/>
      <c r="Q1762" s="51"/>
      <c r="R1762" s="51"/>
      <c r="T1762" s="51"/>
      <c r="U1762" s="51"/>
      <c r="V1762" s="51"/>
      <c r="W1762" s="51"/>
      <c r="X1762" s="51"/>
      <c r="Y1762" s="51"/>
    </row>
    <row r="1763" spans="1:25">
      <c r="A1763" s="49"/>
      <c r="P1763" s="51"/>
      <c r="Q1763" s="51"/>
      <c r="R1763" s="51"/>
      <c r="T1763" s="51"/>
      <c r="U1763" s="51"/>
      <c r="V1763" s="51"/>
      <c r="W1763" s="51"/>
      <c r="X1763" s="51"/>
      <c r="Y1763" s="51"/>
    </row>
    <row r="1764" spans="1:25">
      <c r="A1764" s="49"/>
      <c r="P1764" s="51"/>
      <c r="Q1764" s="51"/>
      <c r="R1764" s="51"/>
      <c r="T1764" s="51"/>
      <c r="U1764" s="51"/>
      <c r="V1764" s="51"/>
      <c r="W1764" s="51"/>
      <c r="X1764" s="51"/>
      <c r="Y1764" s="51"/>
    </row>
    <row r="1765" spans="1:25">
      <c r="A1765" s="49"/>
      <c r="P1765" s="51"/>
      <c r="Q1765" s="51"/>
      <c r="R1765" s="51"/>
      <c r="T1765" s="51"/>
      <c r="U1765" s="51"/>
      <c r="V1765" s="51"/>
      <c r="W1765" s="51"/>
      <c r="X1765" s="51"/>
      <c r="Y1765" s="51"/>
    </row>
    <row r="1766" spans="1:25">
      <c r="A1766" s="49"/>
      <c r="P1766" s="51"/>
      <c r="Q1766" s="51"/>
      <c r="R1766" s="51"/>
      <c r="T1766" s="51"/>
      <c r="U1766" s="51"/>
      <c r="V1766" s="51"/>
      <c r="W1766" s="51"/>
      <c r="X1766" s="51"/>
      <c r="Y1766" s="51"/>
    </row>
    <row r="1767" spans="1:25">
      <c r="A1767" s="49"/>
      <c r="P1767" s="51"/>
      <c r="Q1767" s="51"/>
      <c r="R1767" s="51"/>
      <c r="T1767" s="51"/>
      <c r="U1767" s="51"/>
      <c r="V1767" s="51"/>
      <c r="W1767" s="51"/>
      <c r="X1767" s="51"/>
      <c r="Y1767" s="51"/>
    </row>
    <row r="1768" spans="1:25">
      <c r="A1768" s="49"/>
      <c r="P1768" s="51"/>
      <c r="Q1768" s="51"/>
      <c r="R1768" s="51"/>
      <c r="T1768" s="51"/>
      <c r="U1768" s="51"/>
      <c r="V1768" s="51"/>
      <c r="W1768" s="51"/>
      <c r="X1768" s="51"/>
      <c r="Y1768" s="51"/>
    </row>
    <row r="1769" spans="1:25">
      <c r="A1769" s="49"/>
      <c r="P1769" s="51"/>
      <c r="Q1769" s="51"/>
      <c r="R1769" s="51"/>
      <c r="T1769" s="51"/>
      <c r="U1769" s="51"/>
      <c r="V1769" s="51"/>
      <c r="W1769" s="51"/>
      <c r="X1769" s="51"/>
      <c r="Y1769" s="51"/>
    </row>
    <row r="1770" spans="1:25">
      <c r="A1770" s="49"/>
      <c r="P1770" s="51"/>
      <c r="Q1770" s="51"/>
      <c r="R1770" s="51"/>
      <c r="T1770" s="51"/>
      <c r="U1770" s="51"/>
      <c r="V1770" s="51"/>
      <c r="W1770" s="51"/>
      <c r="X1770" s="51"/>
      <c r="Y1770" s="51"/>
    </row>
    <row r="1771" spans="1:25">
      <c r="A1771" s="49"/>
      <c r="P1771" s="51"/>
      <c r="Q1771" s="51"/>
      <c r="R1771" s="51"/>
      <c r="T1771" s="51"/>
      <c r="U1771" s="51"/>
      <c r="V1771" s="51"/>
      <c r="W1771" s="51"/>
      <c r="X1771" s="51"/>
      <c r="Y1771" s="51"/>
    </row>
    <row r="1772" spans="1:25">
      <c r="A1772" s="49"/>
      <c r="P1772" s="51"/>
      <c r="Q1772" s="51"/>
      <c r="R1772" s="51"/>
      <c r="T1772" s="51"/>
      <c r="U1772" s="51"/>
      <c r="V1772" s="51"/>
      <c r="W1772" s="51"/>
      <c r="X1772" s="51"/>
      <c r="Y1772" s="51"/>
    </row>
    <row r="1773" spans="1:25">
      <c r="A1773" s="49"/>
      <c r="P1773" s="51"/>
      <c r="Q1773" s="51"/>
      <c r="R1773" s="51"/>
      <c r="T1773" s="51"/>
      <c r="U1773" s="51"/>
      <c r="V1773" s="51"/>
      <c r="W1773" s="51"/>
      <c r="X1773" s="51"/>
      <c r="Y1773" s="51"/>
    </row>
    <row r="1774" spans="1:25">
      <c r="A1774" s="49"/>
      <c r="P1774" s="51"/>
      <c r="Q1774" s="51"/>
      <c r="R1774" s="51"/>
      <c r="T1774" s="51"/>
      <c r="U1774" s="51"/>
      <c r="V1774" s="51"/>
      <c r="W1774" s="51"/>
      <c r="X1774" s="51"/>
      <c r="Y1774" s="51"/>
    </row>
    <row r="1775" spans="1:25">
      <c r="A1775" s="49"/>
      <c r="P1775" s="51"/>
      <c r="Q1775" s="51"/>
      <c r="R1775" s="51"/>
      <c r="T1775" s="51"/>
      <c r="U1775" s="51"/>
      <c r="V1775" s="51"/>
      <c r="W1775" s="51"/>
      <c r="X1775" s="51"/>
      <c r="Y1775" s="51"/>
    </row>
    <row r="1776" spans="1:25">
      <c r="A1776" s="49"/>
      <c r="P1776" s="51"/>
      <c r="Q1776" s="51"/>
      <c r="R1776" s="51"/>
      <c r="T1776" s="51"/>
      <c r="U1776" s="51"/>
      <c r="V1776" s="51"/>
      <c r="W1776" s="51"/>
      <c r="X1776" s="51"/>
      <c r="Y1776" s="51"/>
    </row>
    <row r="1777" spans="1:25">
      <c r="A1777" s="49"/>
      <c r="P1777" s="51"/>
      <c r="Q1777" s="51"/>
      <c r="R1777" s="51"/>
      <c r="T1777" s="51"/>
      <c r="U1777" s="51"/>
      <c r="V1777" s="51"/>
      <c r="W1777" s="51"/>
      <c r="X1777" s="51"/>
      <c r="Y1777" s="51"/>
    </row>
    <row r="1778" spans="1:25">
      <c r="A1778" s="49"/>
      <c r="P1778" s="51"/>
      <c r="Q1778" s="51"/>
      <c r="R1778" s="51"/>
      <c r="T1778" s="51"/>
      <c r="U1778" s="51"/>
      <c r="V1778" s="51"/>
      <c r="W1778" s="51"/>
      <c r="X1778" s="51"/>
      <c r="Y1778" s="51"/>
    </row>
    <row r="1779" spans="1:25">
      <c r="A1779" s="49"/>
      <c r="P1779" s="51"/>
      <c r="Q1779" s="51"/>
      <c r="R1779" s="51"/>
      <c r="T1779" s="51"/>
      <c r="U1779" s="51"/>
      <c r="V1779" s="51"/>
      <c r="W1779" s="51"/>
      <c r="X1779" s="51"/>
      <c r="Y1779" s="51"/>
    </row>
    <row r="1780" spans="1:25">
      <c r="A1780" s="49"/>
      <c r="P1780" s="51"/>
      <c r="Q1780" s="51"/>
      <c r="R1780" s="51"/>
      <c r="T1780" s="51"/>
      <c r="U1780" s="51"/>
      <c r="V1780" s="51"/>
      <c r="W1780" s="51"/>
      <c r="X1780" s="51"/>
      <c r="Y1780" s="51"/>
    </row>
    <row r="1781" spans="1:25">
      <c r="A1781" s="49"/>
      <c r="P1781" s="51"/>
      <c r="Q1781" s="51"/>
      <c r="R1781" s="51"/>
      <c r="T1781" s="51"/>
      <c r="U1781" s="51"/>
      <c r="V1781" s="51"/>
      <c r="W1781" s="51"/>
      <c r="X1781" s="51"/>
      <c r="Y1781" s="51"/>
    </row>
    <row r="1782" spans="1:25">
      <c r="A1782" s="49"/>
      <c r="P1782" s="51"/>
      <c r="Q1782" s="51"/>
      <c r="R1782" s="51"/>
      <c r="T1782" s="51"/>
      <c r="U1782" s="51"/>
      <c r="V1782" s="51"/>
      <c r="W1782" s="51"/>
      <c r="X1782" s="51"/>
      <c r="Y1782" s="51"/>
    </row>
    <row r="1783" spans="1:25">
      <c r="A1783" s="49"/>
      <c r="P1783" s="51"/>
      <c r="Q1783" s="51"/>
      <c r="R1783" s="51"/>
      <c r="T1783" s="51"/>
      <c r="U1783" s="51"/>
      <c r="V1783" s="51"/>
      <c r="W1783" s="51"/>
      <c r="X1783" s="51"/>
      <c r="Y1783" s="51"/>
    </row>
    <row r="1784" spans="1:25">
      <c r="A1784" s="49"/>
      <c r="P1784" s="51"/>
      <c r="Q1784" s="51"/>
      <c r="R1784" s="51"/>
      <c r="T1784" s="51"/>
      <c r="U1784" s="51"/>
      <c r="V1784" s="51"/>
      <c r="W1784" s="51"/>
      <c r="X1784" s="51"/>
      <c r="Y1784" s="51"/>
    </row>
    <row r="1785" spans="1:25">
      <c r="A1785" s="49"/>
      <c r="P1785" s="51"/>
      <c r="Q1785" s="51"/>
      <c r="R1785" s="51"/>
      <c r="T1785" s="51"/>
      <c r="U1785" s="51"/>
      <c r="V1785" s="51"/>
      <c r="W1785" s="51"/>
      <c r="X1785" s="51"/>
      <c r="Y1785" s="51"/>
    </row>
    <row r="1786" spans="1:25">
      <c r="A1786" s="49"/>
      <c r="P1786" s="51"/>
      <c r="Q1786" s="51"/>
      <c r="R1786" s="51"/>
      <c r="T1786" s="51"/>
      <c r="U1786" s="51"/>
      <c r="V1786" s="51"/>
      <c r="W1786" s="51"/>
      <c r="X1786" s="51"/>
      <c r="Y1786" s="51"/>
    </row>
    <row r="1787" spans="1:25">
      <c r="A1787" s="49"/>
      <c r="P1787" s="51"/>
      <c r="Q1787" s="51"/>
      <c r="R1787" s="51"/>
      <c r="T1787" s="51"/>
      <c r="U1787" s="51"/>
      <c r="V1787" s="51"/>
      <c r="W1787" s="51"/>
      <c r="X1787" s="51"/>
      <c r="Y1787" s="51"/>
    </row>
    <row r="1788" spans="1:25">
      <c r="A1788" s="49"/>
      <c r="P1788" s="51"/>
      <c r="Q1788" s="51"/>
      <c r="R1788" s="51"/>
      <c r="T1788" s="51"/>
      <c r="U1788" s="51"/>
      <c r="V1788" s="51"/>
      <c r="W1788" s="51"/>
      <c r="X1788" s="51"/>
      <c r="Y1788" s="51"/>
    </row>
    <row r="1789" spans="1:25">
      <c r="A1789" s="49"/>
      <c r="P1789" s="51"/>
      <c r="Q1789" s="51"/>
      <c r="R1789" s="51"/>
      <c r="T1789" s="51"/>
      <c r="U1789" s="51"/>
      <c r="V1789" s="51"/>
      <c r="W1789" s="51"/>
      <c r="X1789" s="51"/>
      <c r="Y1789" s="51"/>
    </row>
    <row r="1790" spans="1:25">
      <c r="A1790" s="49"/>
      <c r="P1790" s="51"/>
      <c r="Q1790" s="51"/>
      <c r="R1790" s="51"/>
      <c r="T1790" s="51"/>
      <c r="U1790" s="51"/>
      <c r="V1790" s="51"/>
      <c r="W1790" s="51"/>
      <c r="X1790" s="51"/>
      <c r="Y1790" s="51"/>
    </row>
    <row r="1791" spans="1:25">
      <c r="A1791" s="49"/>
      <c r="P1791" s="51"/>
      <c r="Q1791" s="51"/>
      <c r="R1791" s="51"/>
      <c r="T1791" s="51"/>
      <c r="U1791" s="51"/>
      <c r="V1791" s="51"/>
      <c r="W1791" s="51"/>
      <c r="X1791" s="51"/>
      <c r="Y1791" s="51"/>
    </row>
    <row r="1792" spans="1:25">
      <c r="A1792" s="49"/>
      <c r="P1792" s="51"/>
      <c r="Q1792" s="51"/>
      <c r="R1792" s="51"/>
      <c r="T1792" s="51"/>
      <c r="U1792" s="51"/>
      <c r="V1792" s="51"/>
      <c r="W1792" s="51"/>
      <c r="X1792" s="51"/>
      <c r="Y1792" s="51"/>
    </row>
    <row r="1793" spans="1:25">
      <c r="A1793" s="49"/>
      <c r="P1793" s="51"/>
      <c r="Q1793" s="51"/>
      <c r="R1793" s="51"/>
      <c r="T1793" s="51"/>
      <c r="U1793" s="51"/>
      <c r="V1793" s="51"/>
      <c r="W1793" s="51"/>
      <c r="X1793" s="51"/>
      <c r="Y1793" s="51"/>
    </row>
    <row r="1794" spans="1:25">
      <c r="A1794" s="49"/>
      <c r="P1794" s="51"/>
      <c r="Q1794" s="51"/>
      <c r="R1794" s="51"/>
      <c r="T1794" s="51"/>
      <c r="U1794" s="51"/>
      <c r="V1794" s="51"/>
      <c r="W1794" s="51"/>
      <c r="X1794" s="51"/>
      <c r="Y1794" s="51"/>
    </row>
    <row r="1795" spans="1:25">
      <c r="A1795" s="49"/>
      <c r="P1795" s="51"/>
      <c r="Q1795" s="51"/>
      <c r="R1795" s="51"/>
      <c r="T1795" s="51"/>
      <c r="U1795" s="51"/>
      <c r="V1795" s="51"/>
      <c r="W1795" s="51"/>
      <c r="X1795" s="51"/>
      <c r="Y1795" s="51"/>
    </row>
    <row r="1796" spans="1:25">
      <c r="A1796" s="49"/>
      <c r="P1796" s="51"/>
      <c r="Q1796" s="51"/>
      <c r="R1796" s="51"/>
      <c r="T1796" s="51"/>
      <c r="U1796" s="51"/>
      <c r="V1796" s="51"/>
      <c r="W1796" s="51"/>
      <c r="X1796" s="51"/>
      <c r="Y1796" s="51"/>
    </row>
    <row r="1797" spans="1:25">
      <c r="A1797" s="49"/>
      <c r="P1797" s="51"/>
      <c r="Q1797" s="51"/>
      <c r="R1797" s="51"/>
      <c r="T1797" s="51"/>
      <c r="U1797" s="51"/>
      <c r="V1797" s="51"/>
      <c r="W1797" s="51"/>
      <c r="X1797" s="51"/>
      <c r="Y1797" s="51"/>
    </row>
    <row r="1798" spans="1:25">
      <c r="A1798" s="49"/>
      <c r="P1798" s="51"/>
      <c r="Q1798" s="51"/>
      <c r="R1798" s="51"/>
      <c r="T1798" s="51"/>
      <c r="U1798" s="51"/>
      <c r="V1798" s="51"/>
      <c r="W1798" s="51"/>
      <c r="X1798" s="51"/>
      <c r="Y1798" s="51"/>
    </row>
    <row r="1799" spans="1:25">
      <c r="A1799" s="49"/>
      <c r="P1799" s="51"/>
      <c r="Q1799" s="51"/>
      <c r="R1799" s="51"/>
      <c r="T1799" s="51"/>
      <c r="U1799" s="51"/>
      <c r="V1799" s="51"/>
      <c r="W1799" s="51"/>
      <c r="X1799" s="51"/>
      <c r="Y1799" s="51"/>
    </row>
    <row r="1800" spans="1:25">
      <c r="A1800" s="49"/>
      <c r="P1800" s="51"/>
      <c r="Q1800" s="51"/>
      <c r="R1800" s="51"/>
      <c r="T1800" s="51"/>
      <c r="U1800" s="51"/>
      <c r="V1800" s="51"/>
      <c r="W1800" s="51"/>
      <c r="X1800" s="51"/>
      <c r="Y1800" s="51"/>
    </row>
    <row r="1801" spans="1:25">
      <c r="A1801" s="49"/>
      <c r="P1801" s="51"/>
      <c r="Q1801" s="51"/>
      <c r="R1801" s="51"/>
      <c r="T1801" s="51"/>
      <c r="U1801" s="51"/>
      <c r="V1801" s="51"/>
      <c r="W1801" s="51"/>
      <c r="X1801" s="51"/>
      <c r="Y1801" s="51"/>
    </row>
    <row r="1802" spans="1:25">
      <c r="A1802" s="49"/>
      <c r="P1802" s="51"/>
      <c r="Q1802" s="51"/>
      <c r="R1802" s="51"/>
      <c r="T1802" s="51"/>
      <c r="U1802" s="51"/>
      <c r="V1802" s="51"/>
      <c r="W1802" s="51"/>
      <c r="X1802" s="51"/>
      <c r="Y1802" s="51"/>
    </row>
    <row r="1803" spans="1:25">
      <c r="A1803" s="49"/>
      <c r="P1803" s="51"/>
      <c r="Q1803" s="51"/>
      <c r="R1803" s="51"/>
      <c r="T1803" s="51"/>
      <c r="U1803" s="51"/>
      <c r="V1803" s="51"/>
      <c r="W1803" s="51"/>
      <c r="X1803" s="51"/>
      <c r="Y1803" s="51"/>
    </row>
    <row r="1804" spans="1:25">
      <c r="A1804" s="49"/>
      <c r="P1804" s="51"/>
      <c r="Q1804" s="51"/>
      <c r="R1804" s="51"/>
      <c r="T1804" s="51"/>
      <c r="U1804" s="51"/>
      <c r="V1804" s="51"/>
      <c r="W1804" s="51"/>
      <c r="X1804" s="51"/>
      <c r="Y1804" s="51"/>
    </row>
    <row r="1805" spans="1:25">
      <c r="A1805" s="49"/>
      <c r="P1805" s="51"/>
      <c r="Q1805" s="51"/>
      <c r="R1805" s="51"/>
      <c r="T1805" s="51"/>
      <c r="U1805" s="51"/>
      <c r="V1805" s="51"/>
      <c r="W1805" s="51"/>
      <c r="X1805" s="51"/>
      <c r="Y1805" s="51"/>
    </row>
    <row r="1806" spans="1:25">
      <c r="A1806" s="49"/>
      <c r="P1806" s="51"/>
      <c r="Q1806" s="51"/>
      <c r="R1806" s="51"/>
      <c r="T1806" s="51"/>
      <c r="U1806" s="51"/>
      <c r="V1806" s="51"/>
      <c r="W1806" s="51"/>
      <c r="X1806" s="51"/>
      <c r="Y1806" s="51"/>
    </row>
    <row r="1807" spans="1:25">
      <c r="A1807" s="49"/>
      <c r="P1807" s="51"/>
      <c r="Q1807" s="51"/>
      <c r="R1807" s="51"/>
      <c r="T1807" s="51"/>
      <c r="U1807" s="51"/>
      <c r="V1807" s="51"/>
      <c r="W1807" s="51"/>
      <c r="X1807" s="51"/>
      <c r="Y1807" s="51"/>
    </row>
    <row r="1808" spans="1:25">
      <c r="A1808" s="49"/>
      <c r="P1808" s="51"/>
      <c r="Q1808" s="51"/>
      <c r="R1808" s="51"/>
      <c r="T1808" s="51"/>
      <c r="U1808" s="51"/>
      <c r="V1808" s="51"/>
      <c r="W1808" s="51"/>
      <c r="X1808" s="51"/>
      <c r="Y1808" s="51"/>
    </row>
    <row r="1809" spans="1:25">
      <c r="A1809" s="49"/>
      <c r="P1809" s="51"/>
      <c r="Q1809" s="51"/>
      <c r="R1809" s="51"/>
      <c r="T1809" s="51"/>
      <c r="U1809" s="51"/>
      <c r="V1809" s="51"/>
      <c r="W1809" s="51"/>
      <c r="X1809" s="51"/>
      <c r="Y1809" s="51"/>
    </row>
    <row r="1810" spans="1:25">
      <c r="A1810" s="49"/>
      <c r="P1810" s="51"/>
      <c r="Q1810" s="51"/>
      <c r="R1810" s="51"/>
      <c r="T1810" s="51"/>
      <c r="U1810" s="51"/>
      <c r="V1810" s="51"/>
      <c r="W1810" s="51"/>
      <c r="X1810" s="51"/>
      <c r="Y1810" s="51"/>
    </row>
    <row r="1811" spans="1:25">
      <c r="A1811" s="49"/>
      <c r="P1811" s="51"/>
      <c r="Q1811" s="51"/>
      <c r="R1811" s="51"/>
      <c r="T1811" s="51"/>
      <c r="U1811" s="51"/>
      <c r="V1811" s="51"/>
      <c r="W1811" s="51"/>
      <c r="X1811" s="51"/>
      <c r="Y1811" s="51"/>
    </row>
    <row r="1812" spans="1:25">
      <c r="A1812" s="49"/>
      <c r="P1812" s="51"/>
      <c r="Q1812" s="51"/>
      <c r="R1812" s="51"/>
      <c r="T1812" s="51"/>
      <c r="U1812" s="51"/>
      <c r="V1812" s="51"/>
      <c r="W1812" s="51"/>
      <c r="X1812" s="51"/>
      <c r="Y1812" s="51"/>
    </row>
    <row r="1813" spans="1:25">
      <c r="A1813" s="49"/>
      <c r="P1813" s="51"/>
      <c r="Q1813" s="51"/>
      <c r="R1813" s="51"/>
      <c r="T1813" s="51"/>
      <c r="U1813" s="51"/>
      <c r="V1813" s="51"/>
      <c r="W1813" s="51"/>
      <c r="X1813" s="51"/>
      <c r="Y1813" s="51"/>
    </row>
    <row r="1814" spans="1:25">
      <c r="A1814" s="49"/>
      <c r="P1814" s="51"/>
      <c r="Q1814" s="51"/>
      <c r="R1814" s="51"/>
      <c r="T1814" s="51"/>
      <c r="U1814" s="51"/>
      <c r="V1814" s="51"/>
      <c r="W1814" s="51"/>
      <c r="X1814" s="51"/>
      <c r="Y1814" s="51"/>
    </row>
    <row r="1815" spans="1:25">
      <c r="A1815" s="49"/>
      <c r="P1815" s="51"/>
      <c r="Q1815" s="51"/>
      <c r="R1815" s="51"/>
      <c r="T1815" s="51"/>
      <c r="U1815" s="51"/>
      <c r="V1815" s="51"/>
      <c r="W1815" s="51"/>
      <c r="X1815" s="51"/>
      <c r="Y1815" s="51"/>
    </row>
    <row r="1816" spans="1:25">
      <c r="A1816" s="49"/>
      <c r="P1816" s="51"/>
      <c r="Q1816" s="51"/>
      <c r="R1816" s="51"/>
      <c r="T1816" s="51"/>
      <c r="U1816" s="51"/>
      <c r="V1816" s="51"/>
      <c r="W1816" s="51"/>
      <c r="X1816" s="51"/>
      <c r="Y1816" s="51"/>
    </row>
    <row r="1817" spans="1:25">
      <c r="A1817" s="49"/>
      <c r="P1817" s="51"/>
      <c r="Q1817" s="51"/>
      <c r="R1817" s="51"/>
      <c r="T1817" s="51"/>
      <c r="U1817" s="51"/>
      <c r="V1817" s="51"/>
      <c r="W1817" s="51"/>
      <c r="X1817" s="51"/>
      <c r="Y1817" s="51"/>
    </row>
    <row r="1818" spans="1:25">
      <c r="A1818" s="49"/>
      <c r="P1818" s="51"/>
      <c r="Q1818" s="51"/>
      <c r="R1818" s="51"/>
      <c r="T1818" s="51"/>
      <c r="U1818" s="51"/>
      <c r="V1818" s="51"/>
      <c r="W1818" s="51"/>
      <c r="X1818" s="51"/>
      <c r="Y1818" s="51"/>
    </row>
    <row r="1819" spans="1:25">
      <c r="A1819" s="49"/>
      <c r="P1819" s="51"/>
      <c r="Q1819" s="51"/>
      <c r="R1819" s="51"/>
      <c r="T1819" s="51"/>
      <c r="U1819" s="51"/>
      <c r="V1819" s="51"/>
      <c r="W1819" s="51"/>
      <c r="X1819" s="51"/>
      <c r="Y1819" s="51"/>
    </row>
    <row r="1820" spans="1:25">
      <c r="A1820" s="49"/>
      <c r="P1820" s="51"/>
      <c r="Q1820" s="51"/>
      <c r="R1820" s="51"/>
      <c r="T1820" s="51"/>
      <c r="U1820" s="51"/>
      <c r="V1820" s="51"/>
      <c r="W1820" s="51"/>
      <c r="X1820" s="51"/>
      <c r="Y1820" s="51"/>
    </row>
    <row r="1821" spans="1:25">
      <c r="A1821" s="49"/>
      <c r="P1821" s="51"/>
      <c r="Q1821" s="51"/>
      <c r="R1821" s="51"/>
      <c r="T1821" s="51"/>
      <c r="U1821" s="51"/>
      <c r="V1821" s="51"/>
      <c r="W1821" s="51"/>
      <c r="X1821" s="51"/>
      <c r="Y1821" s="51"/>
    </row>
    <row r="1822" spans="1:25">
      <c r="A1822" s="49"/>
      <c r="P1822" s="51"/>
      <c r="Q1822" s="51"/>
      <c r="R1822" s="51"/>
      <c r="T1822" s="51"/>
      <c r="U1822" s="51"/>
      <c r="V1822" s="51"/>
      <c r="W1822" s="51"/>
      <c r="X1822" s="51"/>
      <c r="Y1822" s="51"/>
    </row>
    <row r="1823" spans="1:25">
      <c r="A1823" s="49"/>
      <c r="P1823" s="51"/>
      <c r="Q1823" s="51"/>
      <c r="R1823" s="51"/>
      <c r="T1823" s="51"/>
      <c r="U1823" s="51"/>
      <c r="V1823" s="51"/>
      <c r="W1823" s="51"/>
      <c r="X1823" s="51"/>
      <c r="Y1823" s="51"/>
    </row>
    <row r="1824" spans="1:25">
      <c r="A1824" s="49"/>
      <c r="P1824" s="51"/>
      <c r="Q1824" s="51"/>
      <c r="R1824" s="51"/>
      <c r="T1824" s="51"/>
      <c r="U1824" s="51"/>
      <c r="V1824" s="51"/>
      <c r="W1824" s="51"/>
      <c r="X1824" s="51"/>
      <c r="Y1824" s="51"/>
    </row>
    <row r="1825" spans="1:25">
      <c r="A1825" s="49"/>
      <c r="P1825" s="51"/>
      <c r="Q1825" s="51"/>
      <c r="R1825" s="51"/>
      <c r="T1825" s="51"/>
      <c r="U1825" s="51"/>
      <c r="V1825" s="51"/>
      <c r="W1825" s="51"/>
      <c r="X1825" s="51"/>
      <c r="Y1825" s="51"/>
    </row>
    <row r="1826" spans="1:25">
      <c r="A1826" s="49"/>
      <c r="P1826" s="51"/>
      <c r="Q1826" s="51"/>
      <c r="R1826" s="51"/>
      <c r="T1826" s="51"/>
      <c r="U1826" s="51"/>
      <c r="V1826" s="51"/>
      <c r="W1826" s="51"/>
      <c r="X1826" s="51"/>
      <c r="Y1826" s="51"/>
    </row>
    <row r="1827" spans="1:25">
      <c r="A1827" s="49"/>
      <c r="P1827" s="51"/>
      <c r="Q1827" s="51"/>
      <c r="R1827" s="51"/>
      <c r="T1827" s="51"/>
      <c r="U1827" s="51"/>
      <c r="V1827" s="51"/>
      <c r="W1827" s="51"/>
      <c r="X1827" s="51"/>
      <c r="Y1827" s="51"/>
    </row>
    <row r="1828" spans="1:25">
      <c r="A1828" s="49"/>
      <c r="P1828" s="51"/>
      <c r="Q1828" s="51"/>
      <c r="R1828" s="51"/>
      <c r="T1828" s="51"/>
      <c r="U1828" s="51"/>
      <c r="V1828" s="51"/>
      <c r="W1828" s="51"/>
      <c r="X1828" s="51"/>
      <c r="Y1828" s="51"/>
    </row>
    <row r="1829" spans="1:25">
      <c r="A1829" s="49"/>
      <c r="P1829" s="51"/>
      <c r="Q1829" s="51"/>
      <c r="R1829" s="51"/>
      <c r="T1829" s="51"/>
      <c r="U1829" s="51"/>
      <c r="V1829" s="51"/>
      <c r="W1829" s="51"/>
      <c r="X1829" s="51"/>
      <c r="Y1829" s="51"/>
    </row>
    <row r="1830" spans="1:25">
      <c r="A1830" s="49"/>
      <c r="P1830" s="51"/>
      <c r="Q1830" s="51"/>
      <c r="R1830" s="51"/>
      <c r="T1830" s="51"/>
      <c r="U1830" s="51"/>
      <c r="V1830" s="51"/>
      <c r="W1830" s="51"/>
      <c r="X1830" s="51"/>
      <c r="Y1830" s="51"/>
    </row>
    <row r="1831" spans="1:25">
      <c r="A1831" s="49"/>
      <c r="P1831" s="51"/>
      <c r="Q1831" s="51"/>
      <c r="R1831" s="51"/>
      <c r="T1831" s="51"/>
      <c r="U1831" s="51"/>
      <c r="V1831" s="51"/>
      <c r="W1831" s="51"/>
      <c r="X1831" s="51"/>
      <c r="Y1831" s="51"/>
    </row>
    <row r="1832" spans="1:25">
      <c r="A1832" s="49"/>
      <c r="P1832" s="51"/>
      <c r="Q1832" s="51"/>
      <c r="R1832" s="51"/>
      <c r="T1832" s="51"/>
      <c r="U1832" s="51"/>
      <c r="V1832" s="51"/>
      <c r="W1832" s="51"/>
      <c r="X1832" s="51"/>
      <c r="Y1832" s="51"/>
    </row>
    <row r="1833" spans="1:25">
      <c r="A1833" s="49"/>
      <c r="P1833" s="51"/>
      <c r="Q1833" s="51"/>
      <c r="R1833" s="51"/>
      <c r="T1833" s="51"/>
      <c r="U1833" s="51"/>
      <c r="V1833" s="51"/>
      <c r="W1833" s="51"/>
      <c r="X1833" s="51"/>
      <c r="Y1833" s="51"/>
    </row>
    <row r="1834" spans="1:25">
      <c r="A1834" s="49"/>
      <c r="P1834" s="51"/>
      <c r="Q1834" s="51"/>
      <c r="R1834" s="51"/>
      <c r="T1834" s="51"/>
      <c r="U1834" s="51"/>
      <c r="V1834" s="51"/>
      <c r="W1834" s="51"/>
      <c r="X1834" s="51"/>
      <c r="Y1834" s="51"/>
    </row>
    <row r="1835" spans="1:25">
      <c r="A1835" s="49"/>
      <c r="P1835" s="51"/>
      <c r="Q1835" s="51"/>
      <c r="R1835" s="51"/>
      <c r="T1835" s="51"/>
      <c r="U1835" s="51"/>
      <c r="V1835" s="51"/>
      <c r="W1835" s="51"/>
      <c r="X1835" s="51"/>
      <c r="Y1835" s="51"/>
    </row>
    <row r="1836" spans="1:25">
      <c r="A1836" s="49"/>
      <c r="P1836" s="51"/>
      <c r="Q1836" s="51"/>
      <c r="R1836" s="51"/>
      <c r="T1836" s="51"/>
      <c r="U1836" s="51"/>
      <c r="V1836" s="51"/>
      <c r="W1836" s="51"/>
      <c r="X1836" s="51"/>
      <c r="Y1836" s="51"/>
    </row>
    <row r="1837" spans="1:25">
      <c r="A1837" s="49"/>
      <c r="P1837" s="51"/>
      <c r="Q1837" s="51"/>
      <c r="R1837" s="51"/>
      <c r="T1837" s="51"/>
      <c r="U1837" s="51"/>
      <c r="V1837" s="51"/>
      <c r="W1837" s="51"/>
      <c r="X1837" s="51"/>
      <c r="Y1837" s="51"/>
    </row>
    <row r="1838" spans="1:25">
      <c r="A1838" s="49"/>
      <c r="P1838" s="51"/>
      <c r="Q1838" s="51"/>
      <c r="R1838" s="51"/>
      <c r="T1838" s="51"/>
      <c r="U1838" s="51"/>
      <c r="V1838" s="51"/>
      <c r="W1838" s="51"/>
      <c r="X1838" s="51"/>
      <c r="Y1838" s="51"/>
    </row>
    <row r="1839" spans="1:25">
      <c r="A1839" s="49"/>
      <c r="P1839" s="51"/>
      <c r="Q1839" s="51"/>
      <c r="R1839" s="51"/>
      <c r="T1839" s="51"/>
      <c r="U1839" s="51"/>
      <c r="V1839" s="51"/>
      <c r="W1839" s="51"/>
      <c r="X1839" s="51"/>
      <c r="Y1839" s="51"/>
    </row>
    <row r="1840" spans="1:25">
      <c r="A1840" s="49"/>
      <c r="P1840" s="51"/>
      <c r="Q1840" s="51"/>
      <c r="R1840" s="51"/>
      <c r="T1840" s="51"/>
      <c r="U1840" s="51"/>
      <c r="V1840" s="51"/>
      <c r="W1840" s="51"/>
      <c r="X1840" s="51"/>
      <c r="Y1840" s="51"/>
    </row>
    <row r="1841" spans="1:25">
      <c r="A1841" s="49"/>
      <c r="P1841" s="51"/>
      <c r="Q1841" s="51"/>
      <c r="R1841" s="51"/>
      <c r="T1841" s="51"/>
      <c r="U1841" s="51"/>
      <c r="V1841" s="51"/>
      <c r="W1841" s="51"/>
      <c r="X1841" s="51"/>
      <c r="Y1841" s="51"/>
    </row>
    <row r="1842" spans="1:25">
      <c r="A1842" s="49"/>
      <c r="P1842" s="51"/>
      <c r="Q1842" s="51"/>
      <c r="R1842" s="51"/>
      <c r="T1842" s="51"/>
      <c r="U1842" s="51"/>
      <c r="V1842" s="51"/>
      <c r="W1842" s="51"/>
      <c r="X1842" s="51"/>
      <c r="Y1842" s="51"/>
    </row>
    <row r="1843" spans="1:25">
      <c r="A1843" s="49"/>
      <c r="P1843" s="51"/>
      <c r="Q1843" s="51"/>
      <c r="R1843" s="51"/>
      <c r="T1843" s="51"/>
      <c r="U1843" s="51"/>
      <c r="V1843" s="51"/>
      <c r="W1843" s="51"/>
      <c r="X1843" s="51"/>
      <c r="Y1843" s="51"/>
    </row>
    <row r="1844" spans="1:25">
      <c r="A1844" s="49"/>
      <c r="P1844" s="51"/>
      <c r="Q1844" s="51"/>
      <c r="R1844" s="51"/>
      <c r="T1844" s="51"/>
      <c r="U1844" s="51"/>
      <c r="V1844" s="51"/>
      <c r="W1844" s="51"/>
      <c r="X1844" s="51"/>
      <c r="Y1844" s="51"/>
    </row>
    <row r="1845" spans="1:25">
      <c r="A1845" s="49"/>
      <c r="P1845" s="51"/>
      <c r="Q1845" s="51"/>
      <c r="R1845" s="51"/>
      <c r="T1845" s="51"/>
      <c r="U1845" s="51"/>
      <c r="V1845" s="51"/>
      <c r="W1845" s="51"/>
      <c r="X1845" s="51"/>
      <c r="Y1845" s="51"/>
    </row>
    <row r="1846" spans="1:25">
      <c r="A1846" s="49"/>
      <c r="P1846" s="51"/>
      <c r="Q1846" s="51"/>
      <c r="R1846" s="51"/>
      <c r="T1846" s="51"/>
      <c r="U1846" s="51"/>
      <c r="V1846" s="51"/>
      <c r="W1846" s="51"/>
      <c r="X1846" s="51"/>
      <c r="Y1846" s="51"/>
    </row>
    <row r="1847" spans="1:25">
      <c r="A1847" s="49"/>
      <c r="P1847" s="51"/>
      <c r="Q1847" s="51"/>
      <c r="R1847" s="51"/>
      <c r="T1847" s="51"/>
      <c r="U1847" s="51"/>
      <c r="V1847" s="51"/>
      <c r="W1847" s="51"/>
      <c r="X1847" s="51"/>
      <c r="Y1847" s="51"/>
    </row>
    <row r="1848" spans="1:25">
      <c r="A1848" s="49"/>
      <c r="P1848" s="51"/>
      <c r="Q1848" s="51"/>
      <c r="R1848" s="51"/>
      <c r="T1848" s="51"/>
      <c r="U1848" s="51"/>
      <c r="V1848" s="51"/>
      <c r="W1848" s="51"/>
      <c r="X1848" s="51"/>
      <c r="Y1848" s="51"/>
    </row>
    <row r="1849" spans="1:25">
      <c r="A1849" s="49"/>
      <c r="P1849" s="51"/>
      <c r="Q1849" s="51"/>
      <c r="R1849" s="51"/>
      <c r="T1849" s="51"/>
      <c r="U1849" s="51"/>
      <c r="V1849" s="51"/>
      <c r="W1849" s="51"/>
      <c r="X1849" s="51"/>
      <c r="Y1849" s="51"/>
    </row>
    <row r="1850" spans="1:25">
      <c r="A1850" s="49"/>
      <c r="P1850" s="51"/>
      <c r="Q1850" s="51"/>
      <c r="R1850" s="51"/>
      <c r="T1850" s="51"/>
      <c r="U1850" s="51"/>
      <c r="V1850" s="51"/>
      <c r="W1850" s="51"/>
      <c r="X1850" s="51"/>
      <c r="Y1850" s="51"/>
    </row>
    <row r="1851" spans="1:25">
      <c r="A1851" s="49"/>
      <c r="P1851" s="51"/>
      <c r="Q1851" s="51"/>
      <c r="R1851" s="51"/>
      <c r="T1851" s="51"/>
      <c r="U1851" s="51"/>
      <c r="V1851" s="51"/>
      <c r="W1851" s="51"/>
      <c r="X1851" s="51"/>
      <c r="Y1851" s="51"/>
    </row>
    <row r="1852" spans="1:25">
      <c r="A1852" s="49"/>
      <c r="P1852" s="51"/>
      <c r="Q1852" s="51"/>
      <c r="R1852" s="51"/>
      <c r="T1852" s="51"/>
      <c r="U1852" s="51"/>
      <c r="V1852" s="51"/>
      <c r="W1852" s="51"/>
      <c r="X1852" s="51"/>
      <c r="Y1852" s="51"/>
    </row>
    <row r="1853" spans="1:25">
      <c r="A1853" s="49"/>
      <c r="P1853" s="51"/>
      <c r="Q1853" s="51"/>
      <c r="R1853" s="51"/>
      <c r="T1853" s="51"/>
      <c r="U1853" s="51"/>
      <c r="V1853" s="51"/>
      <c r="W1853" s="51"/>
      <c r="X1853" s="51"/>
      <c r="Y1853" s="51"/>
    </row>
    <row r="1854" spans="1:25">
      <c r="A1854" s="49"/>
      <c r="P1854" s="51"/>
      <c r="Q1854" s="51"/>
      <c r="R1854" s="51"/>
      <c r="T1854" s="51"/>
      <c r="U1854" s="51"/>
      <c r="V1854" s="51"/>
      <c r="W1854" s="51"/>
      <c r="X1854" s="51"/>
      <c r="Y1854" s="51"/>
    </row>
    <row r="1855" spans="1:25">
      <c r="A1855" s="49"/>
      <c r="P1855" s="51"/>
      <c r="Q1855" s="51"/>
      <c r="R1855" s="51"/>
      <c r="T1855" s="51"/>
      <c r="U1855" s="51"/>
      <c r="V1855" s="51"/>
      <c r="W1855" s="51"/>
      <c r="X1855" s="51"/>
      <c r="Y1855" s="51"/>
    </row>
    <row r="1856" spans="1:25">
      <c r="A1856" s="49"/>
      <c r="P1856" s="51"/>
      <c r="Q1856" s="51"/>
      <c r="R1856" s="51"/>
      <c r="T1856" s="51"/>
      <c r="U1856" s="51"/>
      <c r="V1856" s="51"/>
      <c r="W1856" s="51"/>
      <c r="X1856" s="51"/>
      <c r="Y1856" s="51"/>
    </row>
    <row r="1857" spans="1:25">
      <c r="A1857" s="49"/>
      <c r="P1857" s="51"/>
      <c r="Q1857" s="51"/>
      <c r="R1857" s="51"/>
      <c r="T1857" s="51"/>
      <c r="U1857" s="51"/>
      <c r="V1857" s="51"/>
      <c r="W1857" s="51"/>
      <c r="X1857" s="51"/>
      <c r="Y1857" s="51"/>
    </row>
    <row r="1858" spans="1:25">
      <c r="A1858" s="49"/>
      <c r="P1858" s="51"/>
      <c r="Q1858" s="51"/>
      <c r="R1858" s="51"/>
      <c r="T1858" s="51"/>
      <c r="U1858" s="51"/>
      <c r="V1858" s="51"/>
      <c r="W1858" s="51"/>
      <c r="X1858" s="51"/>
      <c r="Y1858" s="51"/>
    </row>
    <row r="1859" spans="1:25">
      <c r="A1859" s="49"/>
      <c r="P1859" s="51"/>
      <c r="Q1859" s="51"/>
      <c r="R1859" s="51"/>
      <c r="T1859" s="51"/>
      <c r="U1859" s="51"/>
      <c r="V1859" s="51"/>
      <c r="W1859" s="51"/>
      <c r="X1859" s="51"/>
      <c r="Y1859" s="51"/>
    </row>
    <row r="1860" spans="1:25">
      <c r="A1860" s="49"/>
      <c r="P1860" s="51"/>
      <c r="Q1860" s="51"/>
      <c r="R1860" s="51"/>
      <c r="T1860" s="51"/>
      <c r="U1860" s="51"/>
      <c r="V1860" s="51"/>
      <c r="W1860" s="51"/>
      <c r="X1860" s="51"/>
      <c r="Y1860" s="51"/>
    </row>
    <row r="1861" spans="1:25">
      <c r="A1861" s="49"/>
      <c r="P1861" s="51"/>
      <c r="Q1861" s="51"/>
      <c r="R1861" s="51"/>
      <c r="T1861" s="51"/>
      <c r="U1861" s="51"/>
      <c r="V1861" s="51"/>
      <c r="W1861" s="51"/>
      <c r="X1861" s="51"/>
      <c r="Y1861" s="51"/>
    </row>
    <row r="1862" spans="1:25">
      <c r="A1862" s="49"/>
      <c r="P1862" s="51"/>
      <c r="Q1862" s="51"/>
      <c r="R1862" s="51"/>
      <c r="T1862" s="51"/>
      <c r="U1862" s="51"/>
      <c r="V1862" s="51"/>
      <c r="W1862" s="51"/>
      <c r="X1862" s="51"/>
      <c r="Y1862" s="51"/>
    </row>
    <row r="1863" spans="1:25">
      <c r="A1863" s="49"/>
      <c r="P1863" s="51"/>
      <c r="Q1863" s="51"/>
      <c r="R1863" s="51"/>
      <c r="T1863" s="51"/>
      <c r="U1863" s="51"/>
      <c r="V1863" s="51"/>
      <c r="W1863" s="51"/>
      <c r="X1863" s="51"/>
      <c r="Y1863" s="51"/>
    </row>
    <row r="1864" spans="1:25">
      <c r="A1864" s="49"/>
      <c r="P1864" s="51"/>
      <c r="Q1864" s="51"/>
      <c r="R1864" s="51"/>
      <c r="T1864" s="51"/>
      <c r="U1864" s="51"/>
      <c r="V1864" s="51"/>
      <c r="W1864" s="51"/>
      <c r="X1864" s="51"/>
      <c r="Y1864" s="51"/>
    </row>
    <row r="1865" spans="1:25">
      <c r="A1865" s="49"/>
      <c r="P1865" s="51"/>
      <c r="Q1865" s="51"/>
      <c r="R1865" s="51"/>
      <c r="T1865" s="51"/>
      <c r="U1865" s="51"/>
      <c r="V1865" s="51"/>
      <c r="W1865" s="51"/>
      <c r="X1865" s="51"/>
      <c r="Y1865" s="51"/>
    </row>
    <row r="1866" spans="1:25">
      <c r="A1866" s="49"/>
      <c r="P1866" s="51"/>
      <c r="Q1866" s="51"/>
      <c r="R1866" s="51"/>
      <c r="T1866" s="51"/>
      <c r="U1866" s="51"/>
      <c r="V1866" s="51"/>
      <c r="W1866" s="51"/>
      <c r="X1866" s="51"/>
      <c r="Y1866" s="51"/>
    </row>
    <row r="1867" spans="1:25">
      <c r="A1867" s="49"/>
      <c r="P1867" s="51"/>
      <c r="Q1867" s="51"/>
      <c r="R1867" s="51"/>
      <c r="T1867" s="51"/>
      <c r="U1867" s="51"/>
      <c r="V1867" s="51"/>
      <c r="W1867" s="51"/>
      <c r="X1867" s="51"/>
      <c r="Y1867" s="51"/>
    </row>
    <row r="1868" spans="1:25">
      <c r="A1868" s="49"/>
      <c r="P1868" s="51"/>
      <c r="Q1868" s="51"/>
      <c r="R1868" s="51"/>
      <c r="T1868" s="51"/>
      <c r="U1868" s="51"/>
      <c r="V1868" s="51"/>
      <c r="W1868" s="51"/>
      <c r="X1868" s="51"/>
      <c r="Y1868" s="51"/>
    </row>
    <row r="1869" spans="1:25">
      <c r="A1869" s="49"/>
      <c r="P1869" s="51"/>
      <c r="Q1869" s="51"/>
      <c r="R1869" s="51"/>
      <c r="T1869" s="51"/>
      <c r="U1869" s="51"/>
      <c r="V1869" s="51"/>
      <c r="W1869" s="51"/>
      <c r="X1869" s="51"/>
      <c r="Y1869" s="51"/>
    </row>
    <row r="1870" spans="1:25">
      <c r="A1870" s="49"/>
      <c r="P1870" s="51"/>
      <c r="Q1870" s="51"/>
      <c r="R1870" s="51"/>
      <c r="T1870" s="51"/>
      <c r="U1870" s="51"/>
      <c r="V1870" s="51"/>
      <c r="W1870" s="51"/>
      <c r="X1870" s="51"/>
      <c r="Y1870" s="51"/>
    </row>
    <row r="1871" spans="1:25">
      <c r="A1871" s="49"/>
      <c r="P1871" s="51"/>
      <c r="Q1871" s="51"/>
      <c r="R1871" s="51"/>
      <c r="T1871" s="51"/>
      <c r="U1871" s="51"/>
      <c r="V1871" s="51"/>
      <c r="W1871" s="51"/>
      <c r="X1871" s="51"/>
      <c r="Y1871" s="51"/>
    </row>
    <row r="1872" spans="1:25">
      <c r="A1872" s="49"/>
      <c r="P1872" s="51"/>
      <c r="Q1872" s="51"/>
      <c r="R1872" s="51"/>
      <c r="T1872" s="51"/>
      <c r="U1872" s="51"/>
      <c r="V1872" s="51"/>
      <c r="W1872" s="51"/>
      <c r="X1872" s="51"/>
      <c r="Y1872" s="51"/>
    </row>
    <row r="1873" spans="1:25">
      <c r="A1873" s="49"/>
      <c r="P1873" s="51"/>
      <c r="Q1873" s="51"/>
      <c r="R1873" s="51"/>
      <c r="T1873" s="51"/>
      <c r="U1873" s="51"/>
      <c r="V1873" s="51"/>
      <c r="W1873" s="51"/>
      <c r="X1873" s="51"/>
      <c r="Y1873" s="51"/>
    </row>
    <row r="1874" spans="1:25">
      <c r="A1874" s="49"/>
      <c r="P1874" s="51"/>
      <c r="Q1874" s="51"/>
      <c r="R1874" s="51"/>
      <c r="T1874" s="51"/>
      <c r="U1874" s="51"/>
      <c r="V1874" s="51"/>
      <c r="W1874" s="51"/>
      <c r="X1874" s="51"/>
      <c r="Y1874" s="51"/>
    </row>
    <row r="1875" spans="1:25">
      <c r="A1875" s="49"/>
      <c r="P1875" s="51"/>
      <c r="Q1875" s="51"/>
      <c r="R1875" s="51"/>
      <c r="T1875" s="51"/>
      <c r="U1875" s="51"/>
      <c r="V1875" s="51"/>
      <c r="W1875" s="51"/>
      <c r="X1875" s="51"/>
      <c r="Y1875" s="51"/>
    </row>
    <row r="1876" spans="1:25">
      <c r="A1876" s="49"/>
      <c r="P1876" s="51"/>
      <c r="Q1876" s="51"/>
      <c r="R1876" s="51"/>
      <c r="T1876" s="51"/>
      <c r="U1876" s="51"/>
      <c r="V1876" s="51"/>
      <c r="W1876" s="51"/>
      <c r="X1876" s="51"/>
      <c r="Y1876" s="51"/>
    </row>
    <row r="1877" spans="1:25">
      <c r="A1877" s="49"/>
      <c r="P1877" s="51"/>
      <c r="Q1877" s="51"/>
      <c r="R1877" s="51"/>
      <c r="T1877" s="51"/>
      <c r="U1877" s="51"/>
      <c r="V1877" s="51"/>
      <c r="W1877" s="51"/>
      <c r="X1877" s="51"/>
      <c r="Y1877" s="51"/>
    </row>
    <row r="1878" spans="1:25">
      <c r="A1878" s="49"/>
      <c r="P1878" s="51"/>
      <c r="Q1878" s="51"/>
      <c r="R1878" s="51"/>
      <c r="T1878" s="51"/>
      <c r="U1878" s="51"/>
      <c r="V1878" s="51"/>
      <c r="W1878" s="51"/>
      <c r="X1878" s="51"/>
      <c r="Y1878" s="51"/>
    </row>
    <row r="1879" spans="1:25">
      <c r="A1879" s="49"/>
      <c r="P1879" s="51"/>
      <c r="Q1879" s="51"/>
      <c r="R1879" s="51"/>
      <c r="T1879" s="51"/>
      <c r="U1879" s="51"/>
      <c r="V1879" s="51"/>
      <c r="W1879" s="51"/>
      <c r="X1879" s="51"/>
      <c r="Y1879" s="51"/>
    </row>
    <row r="1880" spans="1:25">
      <c r="A1880" s="49"/>
      <c r="P1880" s="51"/>
      <c r="Q1880" s="51"/>
      <c r="R1880" s="51"/>
      <c r="T1880" s="51"/>
      <c r="U1880" s="51"/>
      <c r="V1880" s="51"/>
      <c r="W1880" s="51"/>
      <c r="X1880" s="51"/>
      <c r="Y1880" s="51"/>
    </row>
    <row r="1881" spans="1:25">
      <c r="A1881" s="49"/>
      <c r="P1881" s="51"/>
      <c r="Q1881" s="51"/>
      <c r="R1881" s="51"/>
      <c r="T1881" s="51"/>
      <c r="U1881" s="51"/>
      <c r="V1881" s="51"/>
      <c r="W1881" s="51"/>
      <c r="X1881" s="51"/>
      <c r="Y1881" s="51"/>
    </row>
    <row r="1882" spans="1:25">
      <c r="A1882" s="49"/>
      <c r="P1882" s="51"/>
      <c r="Q1882" s="51"/>
      <c r="R1882" s="51"/>
      <c r="T1882" s="51"/>
      <c r="U1882" s="51"/>
      <c r="V1882" s="51"/>
      <c r="W1882" s="51"/>
      <c r="X1882" s="51"/>
      <c r="Y1882" s="51"/>
    </row>
    <row r="1883" spans="1:25">
      <c r="A1883" s="49"/>
      <c r="P1883" s="51"/>
      <c r="Q1883" s="51"/>
      <c r="R1883" s="51"/>
      <c r="T1883" s="51"/>
      <c r="U1883" s="51"/>
      <c r="V1883" s="51"/>
      <c r="W1883" s="51"/>
      <c r="X1883" s="51"/>
      <c r="Y1883" s="51"/>
    </row>
    <row r="1884" spans="1:25">
      <c r="A1884" s="49"/>
      <c r="P1884" s="51"/>
      <c r="Q1884" s="51"/>
      <c r="R1884" s="51"/>
      <c r="T1884" s="51"/>
      <c r="U1884" s="51"/>
      <c r="V1884" s="51"/>
      <c r="W1884" s="51"/>
      <c r="X1884" s="51"/>
      <c r="Y1884" s="51"/>
    </row>
    <row r="1885" spans="1:25">
      <c r="A1885" s="49"/>
      <c r="P1885" s="51"/>
      <c r="Q1885" s="51"/>
      <c r="R1885" s="51"/>
      <c r="T1885" s="51"/>
      <c r="U1885" s="51"/>
      <c r="V1885" s="51"/>
      <c r="W1885" s="51"/>
      <c r="X1885" s="51"/>
      <c r="Y1885" s="51"/>
    </row>
    <row r="1886" spans="1:25">
      <c r="A1886" s="49"/>
      <c r="P1886" s="51"/>
      <c r="Q1886" s="51"/>
      <c r="R1886" s="51"/>
      <c r="T1886" s="51"/>
      <c r="U1886" s="51"/>
      <c r="V1886" s="51"/>
      <c r="W1886" s="51"/>
      <c r="X1886" s="51"/>
      <c r="Y1886" s="51"/>
    </row>
    <row r="1887" spans="1:25">
      <c r="A1887" s="49"/>
      <c r="P1887" s="51"/>
      <c r="Q1887" s="51"/>
      <c r="R1887" s="51"/>
      <c r="T1887" s="51"/>
      <c r="U1887" s="51"/>
      <c r="V1887" s="51"/>
      <c r="W1887" s="51"/>
      <c r="X1887" s="51"/>
      <c r="Y1887" s="51"/>
    </row>
    <row r="1888" spans="1:25">
      <c r="A1888" s="49"/>
      <c r="P1888" s="51"/>
      <c r="Q1888" s="51"/>
      <c r="R1888" s="51"/>
      <c r="T1888" s="51"/>
      <c r="U1888" s="51"/>
      <c r="V1888" s="51"/>
      <c r="W1888" s="51"/>
      <c r="X1888" s="51"/>
      <c r="Y1888" s="51"/>
    </row>
    <row r="1889" spans="1:25">
      <c r="A1889" s="49"/>
      <c r="P1889" s="51"/>
      <c r="Q1889" s="51"/>
      <c r="R1889" s="51"/>
      <c r="T1889" s="51"/>
      <c r="U1889" s="51"/>
      <c r="V1889" s="51"/>
      <c r="W1889" s="51"/>
      <c r="X1889" s="51"/>
      <c r="Y1889" s="51"/>
    </row>
    <row r="1890" spans="1:25">
      <c r="A1890" s="49"/>
      <c r="P1890" s="51"/>
      <c r="Q1890" s="51"/>
      <c r="R1890" s="51"/>
      <c r="T1890" s="51"/>
      <c r="U1890" s="51"/>
      <c r="V1890" s="51"/>
      <c r="W1890" s="51"/>
      <c r="X1890" s="51"/>
      <c r="Y1890" s="51"/>
    </row>
    <row r="1891" spans="1:25">
      <c r="A1891" s="49"/>
      <c r="P1891" s="51"/>
      <c r="Q1891" s="51"/>
      <c r="R1891" s="51"/>
      <c r="T1891" s="51"/>
      <c r="U1891" s="51"/>
      <c r="V1891" s="51"/>
      <c r="W1891" s="51"/>
      <c r="X1891" s="51"/>
      <c r="Y1891" s="51"/>
    </row>
    <row r="1892" spans="1:25">
      <c r="A1892" s="49"/>
      <c r="P1892" s="51"/>
      <c r="Q1892" s="51"/>
      <c r="R1892" s="51"/>
      <c r="T1892" s="51"/>
      <c r="U1892" s="51"/>
      <c r="V1892" s="51"/>
      <c r="W1892" s="51"/>
      <c r="X1892" s="51"/>
      <c r="Y1892" s="51"/>
    </row>
    <row r="1893" spans="1:25">
      <c r="A1893" s="49"/>
      <c r="P1893" s="51"/>
      <c r="Q1893" s="51"/>
      <c r="R1893" s="51"/>
      <c r="T1893" s="51"/>
      <c r="U1893" s="51"/>
      <c r="V1893" s="51"/>
      <c r="W1893" s="51"/>
      <c r="X1893" s="51"/>
      <c r="Y1893" s="51"/>
    </row>
    <row r="1894" spans="1:25">
      <c r="A1894" s="49"/>
      <c r="P1894" s="51"/>
      <c r="Q1894" s="51"/>
      <c r="R1894" s="51"/>
      <c r="T1894" s="51"/>
      <c r="U1894" s="51"/>
      <c r="V1894" s="51"/>
      <c r="W1894" s="51"/>
      <c r="X1894" s="51"/>
      <c r="Y1894" s="51"/>
    </row>
    <row r="1895" spans="1:25">
      <c r="A1895" s="49"/>
      <c r="P1895" s="51"/>
      <c r="Q1895" s="51"/>
      <c r="R1895" s="51"/>
      <c r="T1895" s="51"/>
      <c r="U1895" s="51"/>
      <c r="V1895" s="51"/>
      <c r="W1895" s="51"/>
      <c r="X1895" s="51"/>
      <c r="Y1895" s="51"/>
    </row>
    <row r="1896" spans="1:25">
      <c r="A1896" s="49"/>
      <c r="P1896" s="51"/>
      <c r="Q1896" s="51"/>
      <c r="R1896" s="51"/>
      <c r="T1896" s="51"/>
      <c r="U1896" s="51"/>
      <c r="V1896" s="51"/>
      <c r="W1896" s="51"/>
      <c r="X1896" s="51"/>
      <c r="Y1896" s="51"/>
    </row>
    <row r="1897" spans="1:25">
      <c r="A1897" s="49"/>
      <c r="P1897" s="51"/>
      <c r="Q1897" s="51"/>
      <c r="R1897" s="51"/>
      <c r="T1897" s="51"/>
      <c r="U1897" s="51"/>
      <c r="V1897" s="51"/>
      <c r="W1897" s="51"/>
      <c r="X1897" s="51"/>
      <c r="Y1897" s="51"/>
    </row>
    <row r="1898" spans="1:25">
      <c r="A1898" s="49"/>
      <c r="P1898" s="51"/>
      <c r="Q1898" s="51"/>
      <c r="R1898" s="51"/>
      <c r="T1898" s="51"/>
      <c r="U1898" s="51"/>
      <c r="V1898" s="51"/>
      <c r="W1898" s="51"/>
      <c r="X1898" s="51"/>
      <c r="Y1898" s="51"/>
    </row>
    <row r="1899" spans="1:25">
      <c r="A1899" s="49"/>
      <c r="P1899" s="51"/>
      <c r="Q1899" s="51"/>
      <c r="R1899" s="51"/>
      <c r="T1899" s="51"/>
      <c r="U1899" s="51"/>
      <c r="V1899" s="51"/>
      <c r="W1899" s="51"/>
      <c r="X1899" s="51"/>
      <c r="Y1899" s="51"/>
    </row>
    <row r="1900" spans="1:25">
      <c r="A1900" s="49"/>
      <c r="P1900" s="51"/>
      <c r="Q1900" s="51"/>
      <c r="R1900" s="51"/>
      <c r="T1900" s="51"/>
      <c r="U1900" s="51"/>
      <c r="V1900" s="51"/>
      <c r="W1900" s="51"/>
      <c r="X1900" s="51"/>
      <c r="Y1900" s="51"/>
    </row>
    <row r="1901" spans="1:25">
      <c r="A1901" s="49"/>
      <c r="P1901" s="51"/>
      <c r="Q1901" s="51"/>
      <c r="R1901" s="51"/>
      <c r="T1901" s="51"/>
      <c r="U1901" s="51"/>
      <c r="V1901" s="51"/>
      <c r="W1901" s="51"/>
      <c r="X1901" s="51"/>
      <c r="Y1901" s="51"/>
    </row>
    <row r="1902" spans="1:25">
      <c r="A1902" s="49"/>
      <c r="P1902" s="51"/>
      <c r="Q1902" s="51"/>
      <c r="R1902" s="51"/>
      <c r="T1902" s="51"/>
      <c r="U1902" s="51"/>
      <c r="V1902" s="51"/>
      <c r="W1902" s="51"/>
      <c r="X1902" s="51"/>
      <c r="Y1902" s="51"/>
    </row>
    <row r="1903" spans="1:25">
      <c r="A1903" s="49"/>
      <c r="P1903" s="51"/>
      <c r="Q1903" s="51"/>
      <c r="R1903" s="51"/>
      <c r="T1903" s="51"/>
      <c r="U1903" s="51"/>
      <c r="V1903" s="51"/>
      <c r="W1903" s="51"/>
      <c r="X1903" s="51"/>
      <c r="Y1903" s="51"/>
    </row>
    <row r="1904" spans="1:25">
      <c r="A1904" s="49"/>
      <c r="P1904" s="51"/>
      <c r="Q1904" s="51"/>
      <c r="R1904" s="51"/>
      <c r="T1904" s="51"/>
      <c r="U1904" s="51"/>
      <c r="V1904" s="51"/>
      <c r="W1904" s="51"/>
      <c r="X1904" s="51"/>
      <c r="Y1904" s="51"/>
    </row>
    <row r="1905" spans="1:25">
      <c r="A1905" s="49"/>
      <c r="P1905" s="51"/>
      <c r="Q1905" s="51"/>
      <c r="R1905" s="51"/>
      <c r="T1905" s="51"/>
      <c r="U1905" s="51"/>
      <c r="V1905" s="51"/>
      <c r="W1905" s="51"/>
      <c r="X1905" s="51"/>
      <c r="Y1905" s="51"/>
    </row>
    <row r="1906" spans="1:25">
      <c r="A1906" s="49"/>
      <c r="P1906" s="51"/>
      <c r="Q1906" s="51"/>
      <c r="R1906" s="51"/>
      <c r="T1906" s="51"/>
      <c r="U1906" s="51"/>
      <c r="V1906" s="51"/>
      <c r="W1906" s="51"/>
      <c r="X1906" s="51"/>
      <c r="Y1906" s="51"/>
    </row>
    <row r="1907" spans="1:25">
      <c r="A1907" s="49"/>
      <c r="P1907" s="51"/>
      <c r="Q1907" s="51"/>
      <c r="R1907" s="51"/>
      <c r="T1907" s="51"/>
      <c r="U1907" s="51"/>
      <c r="V1907" s="51"/>
      <c r="W1907" s="51"/>
      <c r="X1907" s="51"/>
      <c r="Y1907" s="51"/>
    </row>
    <row r="1908" spans="1:25">
      <c r="A1908" s="49"/>
      <c r="P1908" s="51"/>
      <c r="Q1908" s="51"/>
      <c r="R1908" s="51"/>
      <c r="T1908" s="51"/>
      <c r="U1908" s="51"/>
      <c r="V1908" s="51"/>
      <c r="W1908" s="51"/>
      <c r="X1908" s="51"/>
      <c r="Y1908" s="51"/>
    </row>
    <row r="1909" spans="1:25">
      <c r="A1909" s="49"/>
      <c r="P1909" s="51"/>
      <c r="Q1909" s="51"/>
      <c r="R1909" s="51"/>
      <c r="T1909" s="51"/>
      <c r="U1909" s="51"/>
      <c r="V1909" s="51"/>
      <c r="W1909" s="51"/>
      <c r="X1909" s="51"/>
      <c r="Y1909" s="51"/>
    </row>
    <row r="1910" spans="1:25">
      <c r="A1910" s="49"/>
      <c r="P1910" s="51"/>
      <c r="Q1910" s="51"/>
      <c r="R1910" s="51"/>
      <c r="T1910" s="51"/>
      <c r="U1910" s="51"/>
      <c r="V1910" s="51"/>
      <c r="W1910" s="51"/>
      <c r="X1910" s="51"/>
      <c r="Y1910" s="51"/>
    </row>
    <row r="1911" spans="1:25">
      <c r="A1911" s="49"/>
      <c r="P1911" s="51"/>
      <c r="Q1911" s="51"/>
      <c r="R1911" s="51"/>
      <c r="T1911" s="51"/>
      <c r="U1911" s="51"/>
      <c r="V1911" s="51"/>
      <c r="W1911" s="51"/>
      <c r="X1911" s="51"/>
      <c r="Y1911" s="51"/>
    </row>
    <row r="1912" spans="1:25">
      <c r="A1912" s="49"/>
      <c r="P1912" s="51"/>
      <c r="Q1912" s="51"/>
      <c r="R1912" s="51"/>
      <c r="T1912" s="51"/>
      <c r="U1912" s="51"/>
      <c r="V1912" s="51"/>
      <c r="W1912" s="51"/>
      <c r="X1912" s="51"/>
      <c r="Y1912" s="51"/>
    </row>
    <row r="1913" spans="1:25">
      <c r="A1913" s="49"/>
      <c r="P1913" s="51"/>
      <c r="Q1913" s="51"/>
      <c r="R1913" s="51"/>
      <c r="T1913" s="51"/>
      <c r="U1913" s="51"/>
      <c r="V1913" s="51"/>
      <c r="W1913" s="51"/>
      <c r="X1913" s="51"/>
      <c r="Y1913" s="51"/>
    </row>
    <row r="1914" spans="1:25">
      <c r="A1914" s="49"/>
      <c r="P1914" s="51"/>
      <c r="Q1914" s="51"/>
      <c r="R1914" s="51"/>
      <c r="T1914" s="51"/>
      <c r="U1914" s="51"/>
      <c r="V1914" s="51"/>
      <c r="W1914" s="51"/>
      <c r="X1914" s="51"/>
      <c r="Y1914" s="51"/>
    </row>
    <row r="1915" spans="1:25">
      <c r="A1915" s="49"/>
      <c r="P1915" s="51"/>
      <c r="Q1915" s="51"/>
      <c r="R1915" s="51"/>
      <c r="T1915" s="51"/>
      <c r="U1915" s="51"/>
      <c r="V1915" s="51"/>
      <c r="W1915" s="51"/>
      <c r="X1915" s="51"/>
      <c r="Y1915" s="51"/>
    </row>
    <row r="1916" spans="1:25">
      <c r="A1916" s="49"/>
      <c r="P1916" s="51"/>
      <c r="Q1916" s="51"/>
      <c r="R1916" s="51"/>
      <c r="T1916" s="51"/>
      <c r="U1916" s="51"/>
      <c r="V1916" s="51"/>
      <c r="W1916" s="51"/>
      <c r="X1916" s="51"/>
      <c r="Y1916" s="51"/>
    </row>
    <row r="1917" spans="1:25">
      <c r="A1917" s="49"/>
      <c r="P1917" s="51"/>
      <c r="Q1917" s="51"/>
      <c r="R1917" s="51"/>
      <c r="T1917" s="51"/>
      <c r="U1917" s="51"/>
      <c r="V1917" s="51"/>
      <c r="W1917" s="51"/>
      <c r="X1917" s="51"/>
      <c r="Y1917" s="51"/>
    </row>
    <row r="1918" spans="1:25">
      <c r="A1918" s="49"/>
      <c r="P1918" s="51"/>
      <c r="Q1918" s="51"/>
      <c r="R1918" s="51"/>
      <c r="T1918" s="51"/>
      <c r="U1918" s="51"/>
      <c r="V1918" s="51"/>
      <c r="W1918" s="51"/>
      <c r="X1918" s="51"/>
      <c r="Y1918" s="51"/>
    </row>
    <row r="1919" spans="1:25">
      <c r="A1919" s="49"/>
      <c r="P1919" s="51"/>
      <c r="Q1919" s="51"/>
      <c r="R1919" s="51"/>
      <c r="T1919" s="51"/>
      <c r="U1919" s="51"/>
      <c r="V1919" s="51"/>
      <c r="W1919" s="51"/>
      <c r="X1919" s="51"/>
      <c r="Y1919" s="51"/>
    </row>
    <row r="1920" spans="1:25">
      <c r="A1920" s="49"/>
      <c r="P1920" s="51"/>
      <c r="Q1920" s="51"/>
      <c r="R1920" s="51"/>
      <c r="T1920" s="51"/>
      <c r="U1920" s="51"/>
      <c r="V1920" s="51"/>
      <c r="W1920" s="51"/>
      <c r="X1920" s="51"/>
      <c r="Y1920" s="51"/>
    </row>
    <row r="1921" spans="1:25">
      <c r="A1921" s="49"/>
      <c r="P1921" s="51"/>
      <c r="Q1921" s="51"/>
      <c r="R1921" s="51"/>
      <c r="T1921" s="51"/>
      <c r="U1921" s="51"/>
      <c r="V1921" s="51"/>
      <c r="W1921" s="51"/>
      <c r="X1921" s="51"/>
      <c r="Y1921" s="51"/>
    </row>
    <row r="1922" spans="1:25">
      <c r="A1922" s="49"/>
      <c r="P1922" s="51"/>
      <c r="Q1922" s="51"/>
      <c r="R1922" s="51"/>
      <c r="T1922" s="51"/>
      <c r="U1922" s="51"/>
      <c r="V1922" s="51"/>
      <c r="W1922" s="51"/>
      <c r="X1922" s="51"/>
      <c r="Y1922" s="51"/>
    </row>
    <row r="1923" spans="1:25">
      <c r="A1923" s="49"/>
      <c r="P1923" s="51"/>
      <c r="Q1923" s="51"/>
      <c r="R1923" s="51"/>
      <c r="T1923" s="51"/>
      <c r="U1923" s="51"/>
      <c r="V1923" s="51"/>
      <c r="W1923" s="51"/>
      <c r="X1923" s="51"/>
      <c r="Y1923" s="51"/>
    </row>
    <row r="1924" spans="1:25">
      <c r="A1924" s="49"/>
      <c r="P1924" s="51"/>
      <c r="Q1924" s="51"/>
      <c r="R1924" s="51"/>
      <c r="T1924" s="51"/>
      <c r="U1924" s="51"/>
      <c r="V1924" s="51"/>
      <c r="W1924" s="51"/>
      <c r="X1924" s="51"/>
      <c r="Y1924" s="51"/>
    </row>
    <row r="1925" spans="1:25">
      <c r="A1925" s="49"/>
      <c r="P1925" s="51"/>
      <c r="Q1925" s="51"/>
      <c r="R1925" s="51"/>
      <c r="T1925" s="51"/>
      <c r="U1925" s="51"/>
      <c r="V1925" s="51"/>
      <c r="W1925" s="51"/>
      <c r="X1925" s="51"/>
      <c r="Y1925" s="51"/>
    </row>
    <row r="1926" spans="1:25">
      <c r="A1926" s="49"/>
      <c r="P1926" s="51"/>
      <c r="Q1926" s="51"/>
      <c r="R1926" s="51"/>
      <c r="T1926" s="51"/>
      <c r="U1926" s="51"/>
      <c r="V1926" s="51"/>
      <c r="W1926" s="51"/>
      <c r="X1926" s="51"/>
      <c r="Y1926" s="51"/>
    </row>
    <row r="1927" spans="1:25">
      <c r="A1927" s="49"/>
      <c r="P1927" s="51"/>
      <c r="Q1927" s="51"/>
      <c r="R1927" s="51"/>
      <c r="T1927" s="51"/>
      <c r="U1927" s="51"/>
      <c r="V1927" s="51"/>
      <c r="W1927" s="51"/>
      <c r="X1927" s="51"/>
      <c r="Y1927" s="51"/>
    </row>
    <row r="1928" spans="1:25">
      <c r="A1928" s="49"/>
      <c r="P1928" s="51"/>
      <c r="Q1928" s="51"/>
      <c r="R1928" s="51"/>
      <c r="T1928" s="51"/>
      <c r="U1928" s="51"/>
      <c r="V1928" s="51"/>
      <c r="W1928" s="51"/>
      <c r="X1928" s="51"/>
      <c r="Y1928" s="51"/>
    </row>
    <row r="1929" spans="1:25">
      <c r="A1929" s="49"/>
      <c r="P1929" s="51"/>
      <c r="Q1929" s="51"/>
      <c r="R1929" s="51"/>
      <c r="T1929" s="51"/>
      <c r="U1929" s="51"/>
      <c r="V1929" s="51"/>
      <c r="W1929" s="51"/>
      <c r="X1929" s="51"/>
      <c r="Y1929" s="51"/>
    </row>
    <row r="1930" spans="1:25">
      <c r="A1930" s="49"/>
      <c r="P1930" s="51"/>
      <c r="Q1930" s="51"/>
      <c r="R1930" s="51"/>
      <c r="T1930" s="51"/>
      <c r="U1930" s="51"/>
      <c r="V1930" s="51"/>
      <c r="W1930" s="51"/>
      <c r="X1930" s="51"/>
      <c r="Y1930" s="51"/>
    </row>
    <row r="1931" spans="1:25">
      <c r="A1931" s="49"/>
      <c r="P1931" s="51"/>
      <c r="Q1931" s="51"/>
      <c r="R1931" s="51"/>
      <c r="T1931" s="51"/>
      <c r="U1931" s="51"/>
      <c r="V1931" s="51"/>
      <c r="W1931" s="51"/>
      <c r="X1931" s="51"/>
      <c r="Y1931" s="51"/>
    </row>
    <row r="1932" spans="1:25">
      <c r="A1932" s="49"/>
      <c r="P1932" s="51"/>
      <c r="Q1932" s="51"/>
      <c r="R1932" s="51"/>
      <c r="T1932" s="51"/>
      <c r="U1932" s="51"/>
      <c r="V1932" s="51"/>
      <c r="W1932" s="51"/>
      <c r="X1932" s="51"/>
      <c r="Y1932" s="51"/>
    </row>
    <row r="1933" spans="1:25">
      <c r="A1933" s="49"/>
      <c r="P1933" s="51"/>
      <c r="Q1933" s="51"/>
      <c r="R1933" s="51"/>
      <c r="T1933" s="51"/>
      <c r="U1933" s="51"/>
      <c r="V1933" s="51"/>
      <c r="W1933" s="51"/>
      <c r="X1933" s="51"/>
      <c r="Y1933" s="51"/>
    </row>
    <row r="1934" spans="1:25">
      <c r="A1934" s="49"/>
      <c r="P1934" s="51"/>
      <c r="Q1934" s="51"/>
      <c r="R1934" s="51"/>
      <c r="T1934" s="51"/>
      <c r="U1934" s="51"/>
      <c r="V1934" s="51"/>
      <c r="W1934" s="51"/>
      <c r="X1934" s="51"/>
      <c r="Y1934" s="51"/>
    </row>
    <row r="1935" spans="1:25">
      <c r="A1935" s="49"/>
      <c r="P1935" s="51"/>
      <c r="Q1935" s="51"/>
      <c r="R1935" s="51"/>
      <c r="T1935" s="51"/>
      <c r="U1935" s="51"/>
      <c r="V1935" s="51"/>
      <c r="W1935" s="51"/>
      <c r="X1935" s="51"/>
      <c r="Y1935" s="51"/>
    </row>
    <row r="1936" spans="1:25">
      <c r="A1936" s="49"/>
      <c r="P1936" s="51"/>
      <c r="Q1936" s="51"/>
      <c r="R1936" s="51"/>
      <c r="T1936" s="51"/>
      <c r="U1936" s="51"/>
      <c r="V1936" s="51"/>
      <c r="W1936" s="51"/>
      <c r="X1936" s="51"/>
      <c r="Y1936" s="51"/>
    </row>
    <row r="1937" spans="1:25">
      <c r="A1937" s="49"/>
      <c r="P1937" s="51"/>
      <c r="Q1937" s="51"/>
      <c r="R1937" s="51"/>
      <c r="T1937" s="51"/>
      <c r="U1937" s="51"/>
      <c r="V1937" s="51"/>
      <c r="W1937" s="51"/>
      <c r="X1937" s="51"/>
      <c r="Y1937" s="51"/>
    </row>
    <row r="1938" spans="1:25">
      <c r="A1938" s="49"/>
      <c r="P1938" s="51"/>
      <c r="Q1938" s="51"/>
      <c r="R1938" s="51"/>
      <c r="T1938" s="51"/>
      <c r="U1938" s="51"/>
      <c r="V1938" s="51"/>
      <c r="W1938" s="51"/>
      <c r="X1938" s="51"/>
      <c r="Y1938" s="51"/>
    </row>
    <row r="1939" spans="1:25">
      <c r="A1939" s="49"/>
      <c r="P1939" s="51"/>
      <c r="Q1939" s="51"/>
      <c r="R1939" s="51"/>
      <c r="T1939" s="51"/>
      <c r="U1939" s="51"/>
      <c r="V1939" s="51"/>
      <c r="W1939" s="51"/>
      <c r="X1939" s="51"/>
      <c r="Y1939" s="51"/>
    </row>
    <row r="1940" spans="1:25">
      <c r="A1940" s="49"/>
      <c r="P1940" s="51"/>
      <c r="Q1940" s="51"/>
      <c r="R1940" s="51"/>
      <c r="T1940" s="51"/>
      <c r="U1940" s="51"/>
      <c r="V1940" s="51"/>
      <c r="W1940" s="51"/>
      <c r="X1940" s="51"/>
      <c r="Y1940" s="51"/>
    </row>
    <row r="1941" spans="1:25">
      <c r="A1941" s="49"/>
      <c r="P1941" s="51"/>
      <c r="Q1941" s="51"/>
      <c r="R1941" s="51"/>
      <c r="T1941" s="51"/>
      <c r="U1941" s="51"/>
      <c r="V1941" s="51"/>
      <c r="W1941" s="51"/>
      <c r="X1941" s="51"/>
      <c r="Y1941" s="51"/>
    </row>
    <row r="1942" spans="1:25">
      <c r="A1942" s="49"/>
      <c r="P1942" s="51"/>
      <c r="Q1942" s="51"/>
      <c r="R1942" s="51"/>
      <c r="T1942" s="51"/>
      <c r="U1942" s="51"/>
      <c r="V1942" s="51"/>
      <c r="W1942" s="51"/>
      <c r="X1942" s="51"/>
      <c r="Y1942" s="51"/>
    </row>
    <row r="1943" spans="1:25">
      <c r="A1943" s="49"/>
      <c r="P1943" s="51"/>
      <c r="Q1943" s="51"/>
      <c r="R1943" s="51"/>
      <c r="T1943" s="51"/>
      <c r="U1943" s="51"/>
      <c r="V1943" s="51"/>
      <c r="W1943" s="51"/>
      <c r="X1943" s="51"/>
      <c r="Y1943" s="51"/>
    </row>
    <row r="1944" spans="1:25">
      <c r="A1944" s="49"/>
      <c r="P1944" s="51"/>
      <c r="Q1944" s="51"/>
      <c r="R1944" s="51"/>
      <c r="T1944" s="51"/>
      <c r="U1944" s="51"/>
      <c r="V1944" s="51"/>
      <c r="W1944" s="51"/>
      <c r="X1944" s="51"/>
      <c r="Y1944" s="51"/>
    </row>
    <row r="1945" spans="1:25">
      <c r="A1945" s="49"/>
      <c r="P1945" s="51"/>
      <c r="Q1945" s="51"/>
      <c r="R1945" s="51"/>
      <c r="T1945" s="51"/>
      <c r="U1945" s="51"/>
      <c r="V1945" s="51"/>
      <c r="W1945" s="51"/>
      <c r="X1945" s="51"/>
      <c r="Y1945" s="51"/>
    </row>
    <row r="1946" spans="1:25">
      <c r="A1946" s="49"/>
      <c r="P1946" s="51"/>
      <c r="Q1946" s="51"/>
      <c r="R1946" s="51"/>
      <c r="T1946" s="51"/>
      <c r="U1946" s="51"/>
      <c r="V1946" s="51"/>
      <c r="W1946" s="51"/>
      <c r="X1946" s="51"/>
      <c r="Y1946" s="51"/>
    </row>
    <row r="1947" spans="1:25">
      <c r="A1947" s="49"/>
      <c r="P1947" s="51"/>
      <c r="Q1947" s="51"/>
      <c r="R1947" s="51"/>
      <c r="T1947" s="51"/>
      <c r="U1947" s="51"/>
      <c r="V1947" s="51"/>
      <c r="W1947" s="51"/>
      <c r="X1947" s="51"/>
      <c r="Y1947" s="51"/>
    </row>
    <row r="1948" spans="1:25">
      <c r="A1948" s="49"/>
      <c r="P1948" s="51"/>
      <c r="Q1948" s="51"/>
      <c r="R1948" s="51"/>
      <c r="T1948" s="51"/>
      <c r="U1948" s="51"/>
      <c r="V1948" s="51"/>
      <c r="W1948" s="51"/>
      <c r="X1948" s="51"/>
      <c r="Y1948" s="51"/>
    </row>
    <row r="1949" spans="1:25">
      <c r="A1949" s="49"/>
      <c r="P1949" s="51"/>
      <c r="Q1949" s="51"/>
      <c r="R1949" s="51"/>
      <c r="T1949" s="51"/>
      <c r="U1949" s="51"/>
      <c r="V1949" s="51"/>
      <c r="W1949" s="51"/>
      <c r="X1949" s="51"/>
      <c r="Y1949" s="51"/>
    </row>
    <row r="1950" spans="1:25">
      <c r="A1950" s="49"/>
      <c r="P1950" s="51"/>
      <c r="Q1950" s="51"/>
      <c r="R1950" s="51"/>
      <c r="T1950" s="51"/>
      <c r="U1950" s="51"/>
      <c r="V1950" s="51"/>
      <c r="W1950" s="51"/>
      <c r="X1950" s="51"/>
      <c r="Y1950" s="51"/>
    </row>
    <row r="1951" spans="1:25">
      <c r="A1951" s="49"/>
      <c r="P1951" s="51"/>
      <c r="Q1951" s="51"/>
      <c r="R1951" s="51"/>
      <c r="T1951" s="51"/>
      <c r="U1951" s="51"/>
      <c r="V1951" s="51"/>
      <c r="W1951" s="51"/>
      <c r="X1951" s="51"/>
      <c r="Y1951" s="51"/>
    </row>
    <row r="1952" spans="1:25">
      <c r="A1952" s="49"/>
      <c r="P1952" s="51"/>
      <c r="Q1952" s="51"/>
      <c r="R1952" s="51"/>
      <c r="T1952" s="51"/>
      <c r="U1952" s="51"/>
      <c r="V1952" s="51"/>
      <c r="W1952" s="51"/>
      <c r="X1952" s="51"/>
      <c r="Y1952" s="51"/>
    </row>
    <row r="1953" spans="1:25">
      <c r="A1953" s="49"/>
      <c r="P1953" s="51"/>
      <c r="Q1953" s="51"/>
      <c r="R1953" s="51"/>
      <c r="T1953" s="51"/>
      <c r="U1953" s="51"/>
      <c r="V1953" s="51"/>
      <c r="W1953" s="51"/>
      <c r="X1953" s="51"/>
      <c r="Y1953" s="51"/>
    </row>
    <row r="1954" spans="1:25">
      <c r="A1954" s="49"/>
      <c r="P1954" s="51"/>
      <c r="Q1954" s="51"/>
      <c r="R1954" s="51"/>
      <c r="T1954" s="51"/>
      <c r="U1954" s="51"/>
      <c r="V1954" s="51"/>
      <c r="W1954" s="51"/>
      <c r="X1954" s="51"/>
      <c r="Y1954" s="51"/>
    </row>
    <row r="1955" spans="1:25">
      <c r="A1955" s="49"/>
      <c r="P1955" s="51"/>
      <c r="Q1955" s="51"/>
      <c r="R1955" s="51"/>
      <c r="T1955" s="51"/>
      <c r="U1955" s="51"/>
      <c r="V1955" s="51"/>
      <c r="W1955" s="51"/>
      <c r="X1955" s="51"/>
      <c r="Y1955" s="51"/>
    </row>
    <row r="1956" spans="1:25">
      <c r="A1956" s="49"/>
      <c r="P1956" s="51"/>
      <c r="Q1956" s="51"/>
      <c r="R1956" s="51"/>
      <c r="T1956" s="51"/>
      <c r="U1956" s="51"/>
      <c r="V1956" s="51"/>
      <c r="W1956" s="51"/>
      <c r="X1956" s="51"/>
      <c r="Y1956" s="51"/>
    </row>
    <row r="1957" spans="1:25">
      <c r="A1957" s="49"/>
      <c r="P1957" s="51"/>
      <c r="Q1957" s="51"/>
      <c r="R1957" s="51"/>
      <c r="T1957" s="51"/>
      <c r="U1957" s="51"/>
      <c r="V1957" s="51"/>
      <c r="W1957" s="51"/>
      <c r="X1957" s="51"/>
      <c r="Y1957" s="51"/>
    </row>
    <row r="1958" spans="1:25">
      <c r="A1958" s="49"/>
      <c r="P1958" s="51"/>
      <c r="Q1958" s="51"/>
      <c r="R1958" s="51"/>
      <c r="T1958" s="51"/>
      <c r="U1958" s="51"/>
      <c r="V1958" s="51"/>
      <c r="W1958" s="51"/>
      <c r="X1958" s="51"/>
      <c r="Y1958" s="51"/>
    </row>
    <row r="1959" spans="1:25">
      <c r="A1959" s="49"/>
      <c r="P1959" s="51"/>
      <c r="Q1959" s="51"/>
      <c r="R1959" s="51"/>
      <c r="T1959" s="51"/>
      <c r="U1959" s="51"/>
      <c r="V1959" s="51"/>
      <c r="W1959" s="51"/>
      <c r="X1959" s="51"/>
      <c r="Y1959" s="51"/>
    </row>
    <row r="1960" spans="1:25">
      <c r="A1960" s="49"/>
      <c r="P1960" s="51"/>
      <c r="Q1960" s="51"/>
      <c r="R1960" s="51"/>
      <c r="T1960" s="51"/>
      <c r="U1960" s="51"/>
      <c r="V1960" s="51"/>
      <c r="W1960" s="51"/>
      <c r="X1960" s="51"/>
      <c r="Y1960" s="51"/>
    </row>
    <row r="1961" spans="1:25">
      <c r="A1961" s="49"/>
      <c r="P1961" s="51"/>
      <c r="Q1961" s="51"/>
      <c r="R1961" s="51"/>
      <c r="T1961" s="51"/>
      <c r="U1961" s="51"/>
      <c r="V1961" s="51"/>
      <c r="W1961" s="51"/>
      <c r="X1961" s="51"/>
      <c r="Y1961" s="51"/>
    </row>
    <row r="1962" spans="1:25">
      <c r="A1962" s="49"/>
      <c r="P1962" s="51"/>
      <c r="Q1962" s="51"/>
      <c r="R1962" s="51"/>
      <c r="T1962" s="51"/>
      <c r="U1962" s="51"/>
      <c r="V1962" s="51"/>
      <c r="W1962" s="51"/>
      <c r="X1962" s="51"/>
      <c r="Y1962" s="51"/>
    </row>
    <row r="1963" spans="1:25">
      <c r="A1963" s="49"/>
      <c r="P1963" s="51"/>
      <c r="Q1963" s="51"/>
      <c r="R1963" s="51"/>
      <c r="T1963" s="51"/>
      <c r="U1963" s="51"/>
      <c r="V1963" s="51"/>
      <c r="W1963" s="51"/>
      <c r="X1963" s="51"/>
      <c r="Y1963" s="51"/>
    </row>
    <row r="1964" spans="1:25">
      <c r="A1964" s="49"/>
      <c r="P1964" s="51"/>
      <c r="Q1964" s="51"/>
      <c r="R1964" s="51"/>
      <c r="T1964" s="51"/>
      <c r="U1964" s="51"/>
      <c r="V1964" s="51"/>
      <c r="W1964" s="51"/>
      <c r="X1964" s="51"/>
      <c r="Y1964" s="51"/>
    </row>
    <row r="1965" spans="1:25">
      <c r="A1965" s="49"/>
      <c r="P1965" s="51"/>
      <c r="Q1965" s="51"/>
      <c r="R1965" s="51"/>
      <c r="T1965" s="51"/>
      <c r="U1965" s="51"/>
      <c r="V1965" s="51"/>
      <c r="W1965" s="51"/>
      <c r="X1965" s="51"/>
      <c r="Y1965" s="51"/>
    </row>
    <row r="1966" spans="1:25">
      <c r="A1966" s="49"/>
      <c r="P1966" s="51"/>
      <c r="Q1966" s="51"/>
      <c r="R1966" s="51"/>
      <c r="T1966" s="51"/>
      <c r="U1966" s="51"/>
      <c r="V1966" s="51"/>
      <c r="W1966" s="51"/>
      <c r="X1966" s="51"/>
      <c r="Y1966" s="51"/>
    </row>
    <row r="1967" spans="1:25">
      <c r="A1967" s="49"/>
      <c r="P1967" s="51"/>
      <c r="Q1967" s="51"/>
      <c r="R1967" s="51"/>
      <c r="T1967" s="51"/>
      <c r="U1967" s="51"/>
      <c r="V1967" s="51"/>
      <c r="W1967" s="51"/>
      <c r="X1967" s="51"/>
      <c r="Y1967" s="51"/>
    </row>
    <row r="1968" spans="1:25">
      <c r="A1968" s="49"/>
      <c r="P1968" s="51"/>
      <c r="Q1968" s="51"/>
      <c r="R1968" s="51"/>
      <c r="T1968" s="51"/>
      <c r="U1968" s="51"/>
      <c r="V1968" s="51"/>
      <c r="W1968" s="51"/>
      <c r="X1968" s="51"/>
      <c r="Y1968" s="51"/>
    </row>
    <row r="1969" spans="1:25">
      <c r="A1969" s="49"/>
      <c r="P1969" s="51"/>
      <c r="Q1969" s="51"/>
      <c r="R1969" s="51"/>
      <c r="T1969" s="51"/>
      <c r="U1969" s="51"/>
      <c r="V1969" s="51"/>
      <c r="W1969" s="51"/>
      <c r="X1969" s="51"/>
      <c r="Y1969" s="51"/>
    </row>
    <row r="1970" spans="1:25">
      <c r="A1970" s="49"/>
      <c r="P1970" s="51"/>
      <c r="Q1970" s="51"/>
      <c r="R1970" s="51"/>
      <c r="T1970" s="51"/>
      <c r="U1970" s="51"/>
      <c r="V1970" s="51"/>
      <c r="W1970" s="51"/>
      <c r="X1970" s="51"/>
      <c r="Y1970" s="51"/>
    </row>
    <row r="1971" spans="1:25">
      <c r="A1971" s="49"/>
      <c r="P1971" s="51"/>
      <c r="Q1971" s="51"/>
      <c r="R1971" s="51"/>
      <c r="T1971" s="51"/>
      <c r="U1971" s="51"/>
      <c r="V1971" s="51"/>
      <c r="W1971" s="51"/>
      <c r="X1971" s="51"/>
      <c r="Y1971" s="51"/>
    </row>
    <row r="1972" spans="1:25">
      <c r="A1972" s="49"/>
      <c r="P1972" s="51"/>
      <c r="Q1972" s="51"/>
      <c r="R1972" s="51"/>
      <c r="T1972" s="51"/>
      <c r="U1972" s="51"/>
      <c r="V1972" s="51"/>
      <c r="W1972" s="51"/>
      <c r="X1972" s="51"/>
      <c r="Y1972" s="51"/>
    </row>
    <row r="1973" spans="1:25">
      <c r="A1973" s="49"/>
      <c r="P1973" s="51"/>
      <c r="Q1973" s="51"/>
      <c r="R1973" s="51"/>
      <c r="T1973" s="51"/>
      <c r="U1973" s="51"/>
      <c r="V1973" s="51"/>
      <c r="W1973" s="51"/>
      <c r="X1973" s="51"/>
      <c r="Y1973" s="51"/>
    </row>
    <row r="1974" spans="1:25">
      <c r="A1974" s="49"/>
      <c r="P1974" s="51"/>
      <c r="Q1974" s="51"/>
      <c r="R1974" s="51"/>
      <c r="T1974" s="51"/>
      <c r="U1974" s="51"/>
      <c r="V1974" s="51"/>
      <c r="W1974" s="51"/>
      <c r="X1974" s="51"/>
      <c r="Y1974" s="51"/>
    </row>
    <row r="1975" spans="1:25">
      <c r="A1975" s="49"/>
      <c r="P1975" s="51"/>
      <c r="Q1975" s="51"/>
      <c r="R1975" s="51"/>
      <c r="T1975" s="51"/>
      <c r="U1975" s="51"/>
      <c r="V1975" s="51"/>
      <c r="W1975" s="51"/>
      <c r="X1975" s="51"/>
      <c r="Y1975" s="51"/>
    </row>
    <row r="1976" spans="1:25">
      <c r="A1976" s="49"/>
      <c r="P1976" s="51"/>
      <c r="Q1976" s="51"/>
      <c r="R1976" s="51"/>
      <c r="T1976" s="51"/>
      <c r="U1976" s="51"/>
      <c r="V1976" s="51"/>
      <c r="W1976" s="51"/>
      <c r="X1976" s="51"/>
      <c r="Y1976" s="51"/>
    </row>
    <row r="1977" spans="1:25">
      <c r="A1977" s="49"/>
      <c r="P1977" s="51"/>
      <c r="Q1977" s="51"/>
      <c r="R1977" s="51"/>
      <c r="T1977" s="51"/>
      <c r="U1977" s="51"/>
      <c r="V1977" s="51"/>
      <c r="W1977" s="51"/>
      <c r="X1977" s="51"/>
      <c r="Y1977" s="51"/>
    </row>
    <row r="1978" spans="1:25">
      <c r="A1978" s="49"/>
      <c r="P1978" s="51"/>
      <c r="Q1978" s="51"/>
      <c r="R1978" s="51"/>
      <c r="T1978" s="51"/>
      <c r="U1978" s="51"/>
      <c r="V1978" s="51"/>
      <c r="W1978" s="51"/>
      <c r="X1978" s="51"/>
      <c r="Y1978" s="51"/>
    </row>
    <row r="1979" spans="1:25">
      <c r="A1979" s="49"/>
      <c r="P1979" s="51"/>
      <c r="Q1979" s="51"/>
      <c r="R1979" s="51"/>
      <c r="T1979" s="51"/>
      <c r="U1979" s="51"/>
      <c r="V1979" s="51"/>
      <c r="W1979" s="51"/>
      <c r="X1979" s="51"/>
      <c r="Y1979" s="51"/>
    </row>
    <row r="1980" spans="1:25">
      <c r="A1980" s="49"/>
      <c r="P1980" s="51"/>
      <c r="Q1980" s="51"/>
      <c r="R1980" s="51"/>
      <c r="T1980" s="51"/>
      <c r="U1980" s="51"/>
      <c r="V1980" s="51"/>
      <c r="W1980" s="51"/>
      <c r="X1980" s="51"/>
      <c r="Y1980" s="51"/>
    </row>
    <row r="1981" spans="1:25">
      <c r="A1981" s="49"/>
      <c r="P1981" s="51"/>
      <c r="Q1981" s="51"/>
      <c r="R1981" s="51"/>
      <c r="T1981" s="51"/>
      <c r="U1981" s="51"/>
      <c r="V1981" s="51"/>
      <c r="W1981" s="51"/>
      <c r="X1981" s="51"/>
      <c r="Y1981" s="51"/>
    </row>
    <row r="1982" spans="1:25">
      <c r="A1982" s="49"/>
      <c r="P1982" s="51"/>
      <c r="Q1982" s="51"/>
      <c r="R1982" s="51"/>
      <c r="T1982" s="51"/>
      <c r="U1982" s="51"/>
      <c r="V1982" s="51"/>
      <c r="W1982" s="51"/>
      <c r="X1982" s="51"/>
      <c r="Y1982" s="51"/>
    </row>
    <row r="1983" spans="1:25">
      <c r="A1983" s="49"/>
      <c r="P1983" s="51"/>
      <c r="Q1983" s="51"/>
      <c r="R1983" s="51"/>
      <c r="T1983" s="51"/>
      <c r="U1983" s="51"/>
      <c r="V1983" s="51"/>
      <c r="W1983" s="51"/>
      <c r="X1983" s="51"/>
      <c r="Y1983" s="51"/>
    </row>
    <row r="1984" spans="1:25">
      <c r="A1984" s="49"/>
      <c r="P1984" s="51"/>
      <c r="Q1984" s="51"/>
      <c r="R1984" s="51"/>
      <c r="T1984" s="51"/>
      <c r="U1984" s="51"/>
      <c r="V1984" s="51"/>
      <c r="W1984" s="51"/>
      <c r="X1984" s="51"/>
      <c r="Y1984" s="51"/>
    </row>
    <row r="1985" spans="1:25">
      <c r="A1985" s="49"/>
      <c r="P1985" s="51"/>
      <c r="Q1985" s="51"/>
      <c r="R1985" s="51"/>
      <c r="T1985" s="51"/>
      <c r="U1985" s="51"/>
      <c r="V1985" s="51"/>
      <c r="W1985" s="51"/>
      <c r="X1985" s="51"/>
      <c r="Y1985" s="51"/>
    </row>
    <row r="1986" spans="1:25">
      <c r="A1986" s="49"/>
      <c r="P1986" s="51"/>
      <c r="Q1986" s="51"/>
      <c r="R1986" s="51"/>
      <c r="T1986" s="51"/>
      <c r="U1986" s="51"/>
      <c r="V1986" s="51"/>
      <c r="W1986" s="51"/>
      <c r="X1986" s="51"/>
      <c r="Y1986" s="51"/>
    </row>
    <row r="1987" spans="1:25">
      <c r="A1987" s="49"/>
      <c r="P1987" s="51"/>
      <c r="Q1987" s="51"/>
      <c r="R1987" s="51"/>
      <c r="T1987" s="51"/>
      <c r="U1987" s="51"/>
      <c r="V1987" s="51"/>
      <c r="W1987" s="51"/>
      <c r="X1987" s="51"/>
      <c r="Y1987" s="51"/>
    </row>
    <row r="1988" spans="1:25">
      <c r="A1988" s="49"/>
      <c r="P1988" s="51"/>
      <c r="Q1988" s="51"/>
      <c r="R1988" s="51"/>
      <c r="T1988" s="51"/>
      <c r="U1988" s="51"/>
      <c r="V1988" s="51"/>
      <c r="W1988" s="51"/>
      <c r="X1988" s="51"/>
      <c r="Y1988" s="51"/>
    </row>
    <row r="1989" spans="1:25">
      <c r="A1989" s="49"/>
      <c r="P1989" s="51"/>
      <c r="Q1989" s="51"/>
      <c r="R1989" s="51"/>
      <c r="T1989" s="51"/>
      <c r="U1989" s="51"/>
      <c r="V1989" s="51"/>
      <c r="W1989" s="51"/>
      <c r="X1989" s="51"/>
      <c r="Y1989" s="51"/>
    </row>
    <row r="1990" spans="1:25">
      <c r="A1990" s="49"/>
      <c r="P1990" s="51"/>
      <c r="Q1990" s="51"/>
      <c r="R1990" s="51"/>
      <c r="T1990" s="51"/>
      <c r="U1990" s="51"/>
      <c r="V1990" s="51"/>
      <c r="W1990" s="51"/>
      <c r="X1990" s="51"/>
      <c r="Y1990" s="51"/>
    </row>
    <row r="1991" spans="1:25">
      <c r="A1991" s="49"/>
      <c r="P1991" s="51"/>
      <c r="Q1991" s="51"/>
      <c r="R1991" s="51"/>
      <c r="T1991" s="51"/>
      <c r="U1991" s="51"/>
      <c r="V1991" s="51"/>
      <c r="W1991" s="51"/>
      <c r="X1991" s="51"/>
      <c r="Y1991" s="51"/>
    </row>
    <row r="1992" spans="1:25">
      <c r="A1992" s="49"/>
      <c r="P1992" s="51"/>
      <c r="Q1992" s="51"/>
      <c r="R1992" s="51"/>
      <c r="T1992" s="51"/>
      <c r="U1992" s="51"/>
      <c r="V1992" s="51"/>
      <c r="W1992" s="51"/>
      <c r="X1992" s="51"/>
      <c r="Y1992" s="51"/>
    </row>
    <row r="1993" spans="1:25">
      <c r="A1993" s="49"/>
      <c r="P1993" s="51"/>
      <c r="Q1993" s="51"/>
      <c r="R1993" s="51"/>
      <c r="T1993" s="51"/>
      <c r="U1993" s="51"/>
      <c r="V1993" s="51"/>
      <c r="W1993" s="51"/>
      <c r="X1993" s="51"/>
      <c r="Y1993" s="51"/>
    </row>
    <row r="1994" spans="1:25">
      <c r="A1994" s="49"/>
      <c r="P1994" s="51"/>
      <c r="Q1994" s="51"/>
      <c r="R1994" s="51"/>
      <c r="T1994" s="51"/>
      <c r="U1994" s="51"/>
      <c r="V1994" s="51"/>
      <c r="W1994" s="51"/>
      <c r="X1994" s="51"/>
      <c r="Y1994" s="51"/>
    </row>
    <row r="1995" spans="1:25">
      <c r="A1995" s="49"/>
      <c r="P1995" s="51"/>
      <c r="Q1995" s="51"/>
      <c r="R1995" s="51"/>
      <c r="T1995" s="51"/>
      <c r="U1995" s="51"/>
      <c r="V1995" s="51"/>
      <c r="W1995" s="51"/>
      <c r="X1995" s="51"/>
      <c r="Y1995" s="51"/>
    </row>
    <row r="1996" spans="1:25">
      <c r="A1996" s="49"/>
      <c r="P1996" s="51"/>
      <c r="Q1996" s="51"/>
      <c r="R1996" s="51"/>
      <c r="T1996" s="51"/>
      <c r="U1996" s="51"/>
      <c r="V1996" s="51"/>
      <c r="W1996" s="51"/>
      <c r="X1996" s="51"/>
      <c r="Y1996" s="51"/>
    </row>
    <row r="1997" spans="1:25">
      <c r="A1997" s="49"/>
      <c r="P1997" s="51"/>
      <c r="Q1997" s="51"/>
      <c r="R1997" s="51"/>
      <c r="T1997" s="51"/>
      <c r="U1997" s="51"/>
      <c r="V1997" s="51"/>
      <c r="W1997" s="51"/>
      <c r="X1997" s="51"/>
      <c r="Y1997" s="51"/>
    </row>
    <row r="1998" spans="1:25">
      <c r="A1998" s="49"/>
      <c r="P1998" s="51"/>
      <c r="Q1998" s="51"/>
      <c r="R1998" s="51"/>
      <c r="T1998" s="51"/>
      <c r="U1998" s="51"/>
      <c r="V1998" s="51"/>
      <c r="W1998" s="51"/>
      <c r="X1998" s="51"/>
      <c r="Y1998" s="51"/>
    </row>
    <row r="1999" spans="1:25">
      <c r="A1999" s="49"/>
      <c r="P1999" s="51"/>
      <c r="Q1999" s="51"/>
      <c r="R1999" s="51"/>
      <c r="T1999" s="51"/>
      <c r="U1999" s="51"/>
      <c r="V1999" s="51"/>
      <c r="W1999" s="51"/>
      <c r="X1999" s="51"/>
      <c r="Y1999" s="51"/>
    </row>
    <row r="2000" spans="1:25">
      <c r="A2000" s="49"/>
      <c r="P2000" s="51"/>
      <c r="Q2000" s="51"/>
      <c r="R2000" s="51"/>
      <c r="T2000" s="51"/>
      <c r="U2000" s="51"/>
      <c r="V2000" s="51"/>
      <c r="W2000" s="51"/>
      <c r="X2000" s="51"/>
      <c r="Y2000" s="51"/>
    </row>
    <row r="2001" spans="1:25">
      <c r="A2001" s="49"/>
      <c r="P2001" s="51"/>
      <c r="Q2001" s="51"/>
      <c r="R2001" s="51"/>
      <c r="T2001" s="51"/>
      <c r="U2001" s="51"/>
      <c r="V2001" s="51"/>
      <c r="W2001" s="51"/>
      <c r="X2001" s="51"/>
      <c r="Y2001" s="51"/>
    </row>
    <row r="2002" spans="1:25">
      <c r="A2002" s="49"/>
      <c r="P2002" s="51"/>
      <c r="Q2002" s="51"/>
      <c r="R2002" s="51"/>
      <c r="T2002" s="51"/>
      <c r="U2002" s="51"/>
      <c r="V2002" s="51"/>
      <c r="W2002" s="51"/>
      <c r="X2002" s="51"/>
      <c r="Y2002" s="51"/>
    </row>
    <row r="2003" spans="1:25">
      <c r="A2003" s="49"/>
      <c r="P2003" s="51"/>
      <c r="Q2003" s="51"/>
      <c r="R2003" s="51"/>
      <c r="T2003" s="51"/>
      <c r="U2003" s="51"/>
      <c r="V2003" s="51"/>
      <c r="W2003" s="51"/>
      <c r="X2003" s="51"/>
      <c r="Y2003" s="51"/>
    </row>
    <row r="2004" spans="1:25">
      <c r="A2004" s="49"/>
      <c r="P2004" s="51"/>
      <c r="Q2004" s="51"/>
      <c r="R2004" s="51"/>
      <c r="T2004" s="51"/>
      <c r="U2004" s="51"/>
      <c r="V2004" s="51"/>
      <c r="W2004" s="51"/>
      <c r="X2004" s="51"/>
      <c r="Y2004" s="51"/>
    </row>
    <row r="2005" spans="1:25">
      <c r="A2005" s="49"/>
      <c r="P2005" s="51"/>
      <c r="Q2005" s="51"/>
      <c r="R2005" s="51"/>
      <c r="T2005" s="51"/>
      <c r="U2005" s="51"/>
      <c r="V2005" s="51"/>
      <c r="W2005" s="51"/>
      <c r="X2005" s="51"/>
      <c r="Y2005" s="51"/>
    </row>
    <row r="2006" spans="1:25">
      <c r="A2006" s="49"/>
      <c r="P2006" s="51"/>
      <c r="Q2006" s="51"/>
      <c r="R2006" s="51"/>
      <c r="T2006" s="51"/>
      <c r="U2006" s="51"/>
      <c r="V2006" s="51"/>
      <c r="W2006" s="51"/>
      <c r="X2006" s="51"/>
      <c r="Y2006" s="51"/>
    </row>
    <row r="2007" spans="1:25">
      <c r="A2007" s="49"/>
      <c r="P2007" s="51"/>
      <c r="Q2007" s="51"/>
      <c r="R2007" s="51"/>
      <c r="T2007" s="51"/>
      <c r="U2007" s="51"/>
      <c r="V2007" s="51"/>
      <c r="W2007" s="51"/>
      <c r="X2007" s="51"/>
      <c r="Y2007" s="51"/>
    </row>
    <row r="2008" spans="1:25">
      <c r="A2008" s="49"/>
      <c r="P2008" s="51"/>
      <c r="Q2008" s="51"/>
      <c r="R2008" s="51"/>
      <c r="T2008" s="51"/>
      <c r="U2008" s="51"/>
      <c r="V2008" s="51"/>
      <c r="W2008" s="51"/>
      <c r="X2008" s="51"/>
      <c r="Y2008" s="51"/>
    </row>
    <row r="2009" spans="1:25">
      <c r="A2009" s="49"/>
      <c r="P2009" s="51"/>
      <c r="Q2009" s="51"/>
      <c r="R2009" s="51"/>
      <c r="T2009" s="51"/>
      <c r="U2009" s="51"/>
      <c r="V2009" s="51"/>
      <c r="W2009" s="51"/>
      <c r="X2009" s="51"/>
      <c r="Y2009" s="51"/>
    </row>
    <row r="2010" spans="1:25">
      <c r="A2010" s="49"/>
      <c r="P2010" s="51"/>
      <c r="Q2010" s="51"/>
      <c r="R2010" s="51"/>
      <c r="T2010" s="51"/>
      <c r="U2010" s="51"/>
      <c r="V2010" s="51"/>
      <c r="W2010" s="51"/>
      <c r="X2010" s="51"/>
      <c r="Y2010" s="51"/>
    </row>
    <row r="2011" spans="1:25">
      <c r="A2011" s="49"/>
      <c r="P2011" s="51"/>
      <c r="Q2011" s="51"/>
      <c r="R2011" s="51"/>
      <c r="T2011" s="51"/>
      <c r="U2011" s="51"/>
      <c r="V2011" s="51"/>
      <c r="W2011" s="51"/>
      <c r="X2011" s="51"/>
      <c r="Y2011" s="51"/>
    </row>
    <row r="2012" spans="1:25">
      <c r="A2012" s="49"/>
      <c r="P2012" s="51"/>
      <c r="Q2012" s="51"/>
      <c r="R2012" s="51"/>
      <c r="T2012" s="51"/>
      <c r="U2012" s="51"/>
      <c r="V2012" s="51"/>
      <c r="W2012" s="51"/>
      <c r="X2012" s="51"/>
      <c r="Y2012" s="51"/>
    </row>
    <row r="2013" spans="1:25">
      <c r="A2013" s="49"/>
      <c r="P2013" s="51"/>
      <c r="Q2013" s="51"/>
      <c r="R2013" s="51"/>
      <c r="T2013" s="51"/>
      <c r="U2013" s="51"/>
      <c r="V2013" s="51"/>
      <c r="W2013" s="51"/>
      <c r="X2013" s="51"/>
      <c r="Y2013" s="51"/>
    </row>
    <row r="2014" spans="1:25">
      <c r="A2014" s="49"/>
      <c r="P2014" s="51"/>
      <c r="Q2014" s="51"/>
      <c r="R2014" s="51"/>
      <c r="T2014" s="51"/>
      <c r="U2014" s="51"/>
      <c r="V2014" s="51"/>
      <c r="W2014" s="51"/>
      <c r="X2014" s="51"/>
      <c r="Y2014" s="51"/>
    </row>
    <row r="2015" spans="1:25">
      <c r="A2015" s="49"/>
      <c r="P2015" s="51"/>
      <c r="Q2015" s="51"/>
      <c r="R2015" s="51"/>
      <c r="T2015" s="51"/>
      <c r="U2015" s="51"/>
      <c r="V2015" s="51"/>
      <c r="W2015" s="51"/>
      <c r="X2015" s="51"/>
      <c r="Y2015" s="51"/>
    </row>
    <row r="2016" spans="1:25">
      <c r="A2016" s="49"/>
      <c r="P2016" s="51"/>
      <c r="Q2016" s="51"/>
      <c r="R2016" s="51"/>
      <c r="T2016" s="51"/>
      <c r="U2016" s="51"/>
      <c r="V2016" s="51"/>
      <c r="W2016" s="51"/>
      <c r="X2016" s="51"/>
      <c r="Y2016" s="51"/>
    </row>
    <row r="2017" spans="1:25">
      <c r="A2017" s="49"/>
      <c r="P2017" s="51"/>
      <c r="Q2017" s="51"/>
      <c r="R2017" s="51"/>
      <c r="T2017" s="51"/>
      <c r="U2017" s="51"/>
      <c r="V2017" s="51"/>
      <c r="W2017" s="51"/>
      <c r="X2017" s="51"/>
      <c r="Y2017" s="51"/>
    </row>
    <row r="2018" spans="1:25">
      <c r="A2018" s="49"/>
      <c r="P2018" s="51"/>
      <c r="Q2018" s="51"/>
      <c r="R2018" s="51"/>
      <c r="T2018" s="51"/>
      <c r="U2018" s="51"/>
      <c r="V2018" s="51"/>
      <c r="W2018" s="51"/>
      <c r="X2018" s="51"/>
      <c r="Y2018" s="51"/>
    </row>
    <row r="2019" spans="1:25">
      <c r="A2019" s="49"/>
      <c r="P2019" s="51"/>
      <c r="Q2019" s="51"/>
      <c r="R2019" s="51"/>
      <c r="T2019" s="51"/>
      <c r="U2019" s="51"/>
      <c r="V2019" s="51"/>
      <c r="W2019" s="51"/>
      <c r="X2019" s="51"/>
      <c r="Y2019" s="51"/>
    </row>
    <row r="2020" spans="1:25">
      <c r="A2020" s="49"/>
      <c r="P2020" s="51"/>
      <c r="Q2020" s="51"/>
      <c r="R2020" s="51"/>
      <c r="T2020" s="51"/>
      <c r="U2020" s="51"/>
      <c r="V2020" s="51"/>
      <c r="W2020" s="51"/>
      <c r="X2020" s="51"/>
      <c r="Y2020" s="51"/>
    </row>
    <row r="2021" spans="1:25">
      <c r="A2021" s="49"/>
      <c r="P2021" s="51"/>
      <c r="Q2021" s="51"/>
      <c r="R2021" s="51"/>
      <c r="T2021" s="51"/>
      <c r="U2021" s="51"/>
      <c r="V2021" s="51"/>
      <c r="W2021" s="51"/>
      <c r="X2021" s="51"/>
      <c r="Y2021" s="51"/>
    </row>
    <row r="2022" spans="1:25">
      <c r="A2022" s="49"/>
      <c r="P2022" s="51"/>
      <c r="Q2022" s="51"/>
      <c r="R2022" s="51"/>
      <c r="T2022" s="51"/>
      <c r="U2022" s="51"/>
      <c r="V2022" s="51"/>
      <c r="W2022" s="51"/>
      <c r="X2022" s="51"/>
      <c r="Y2022" s="51"/>
    </row>
    <row r="2023" spans="1:25">
      <c r="A2023" s="49"/>
      <c r="P2023" s="51"/>
      <c r="Q2023" s="51"/>
      <c r="R2023" s="51"/>
      <c r="T2023" s="51"/>
      <c r="U2023" s="51"/>
      <c r="V2023" s="51"/>
      <c r="W2023" s="51"/>
      <c r="X2023" s="51"/>
      <c r="Y2023" s="51"/>
    </row>
    <row r="2024" spans="1:25">
      <c r="A2024" s="49"/>
      <c r="P2024" s="51"/>
      <c r="Q2024" s="51"/>
      <c r="R2024" s="51"/>
      <c r="T2024" s="51"/>
      <c r="U2024" s="51"/>
      <c r="V2024" s="51"/>
      <c r="W2024" s="51"/>
      <c r="X2024" s="51"/>
      <c r="Y2024" s="51"/>
    </row>
    <row r="2025" spans="1:25">
      <c r="A2025" s="49"/>
      <c r="P2025" s="51"/>
      <c r="Q2025" s="51"/>
      <c r="R2025" s="51"/>
      <c r="T2025" s="51"/>
      <c r="U2025" s="51"/>
      <c r="V2025" s="51"/>
      <c r="W2025" s="51"/>
      <c r="X2025" s="51"/>
      <c r="Y2025" s="51"/>
    </row>
    <row r="2026" spans="1:25">
      <c r="A2026" s="49"/>
      <c r="P2026" s="51"/>
      <c r="Q2026" s="51"/>
      <c r="R2026" s="51"/>
      <c r="T2026" s="51"/>
      <c r="U2026" s="51"/>
      <c r="V2026" s="51"/>
      <c r="W2026" s="51"/>
      <c r="X2026" s="51"/>
      <c r="Y2026" s="51"/>
    </row>
    <row r="2027" spans="1:25">
      <c r="A2027" s="49"/>
      <c r="P2027" s="51"/>
      <c r="Q2027" s="51"/>
      <c r="R2027" s="51"/>
      <c r="T2027" s="51"/>
      <c r="U2027" s="51"/>
      <c r="V2027" s="51"/>
      <c r="W2027" s="51"/>
      <c r="X2027" s="51"/>
      <c r="Y2027" s="51"/>
    </row>
    <row r="2028" spans="1:25">
      <c r="A2028" s="49"/>
      <c r="P2028" s="51"/>
      <c r="Q2028" s="51"/>
      <c r="R2028" s="51"/>
      <c r="T2028" s="51"/>
      <c r="U2028" s="51"/>
      <c r="V2028" s="51"/>
      <c r="W2028" s="51"/>
      <c r="X2028" s="51"/>
      <c r="Y2028" s="51"/>
    </row>
    <row r="2029" spans="1:25">
      <c r="A2029" s="49"/>
      <c r="P2029" s="51"/>
      <c r="Q2029" s="51"/>
      <c r="R2029" s="51"/>
      <c r="T2029" s="51"/>
      <c r="U2029" s="51"/>
      <c r="V2029" s="51"/>
      <c r="W2029" s="51"/>
      <c r="X2029" s="51"/>
      <c r="Y2029" s="51"/>
    </row>
    <row r="2030" spans="1:25">
      <c r="A2030" s="49"/>
      <c r="P2030" s="51"/>
      <c r="Q2030" s="51"/>
      <c r="R2030" s="51"/>
      <c r="T2030" s="51"/>
      <c r="U2030" s="51"/>
      <c r="V2030" s="51"/>
      <c r="W2030" s="51"/>
      <c r="X2030" s="51"/>
      <c r="Y2030" s="51"/>
    </row>
    <row r="2031" spans="1:25">
      <c r="A2031" s="49"/>
      <c r="P2031" s="51"/>
      <c r="Q2031" s="51"/>
      <c r="R2031" s="51"/>
      <c r="T2031" s="51"/>
      <c r="U2031" s="51"/>
      <c r="V2031" s="51"/>
      <c r="W2031" s="51"/>
      <c r="X2031" s="51"/>
      <c r="Y2031" s="51"/>
    </row>
    <row r="2032" spans="1:25">
      <c r="A2032" s="49"/>
      <c r="P2032" s="51"/>
      <c r="Q2032" s="51"/>
      <c r="R2032" s="51"/>
      <c r="T2032" s="51"/>
      <c r="U2032" s="51"/>
      <c r="V2032" s="51"/>
      <c r="W2032" s="51"/>
      <c r="X2032" s="51"/>
      <c r="Y2032" s="51"/>
    </row>
    <row r="2033" spans="1:25">
      <c r="A2033" s="49"/>
      <c r="P2033" s="51"/>
      <c r="Q2033" s="51"/>
      <c r="R2033" s="51"/>
      <c r="T2033" s="51"/>
      <c r="U2033" s="51"/>
      <c r="V2033" s="51"/>
      <c r="W2033" s="51"/>
      <c r="X2033" s="51"/>
      <c r="Y2033" s="51"/>
    </row>
    <row r="2034" spans="1:25">
      <c r="A2034" s="49"/>
      <c r="P2034" s="51"/>
      <c r="Q2034" s="51"/>
      <c r="R2034" s="51"/>
      <c r="T2034" s="51"/>
      <c r="U2034" s="51"/>
      <c r="V2034" s="51"/>
      <c r="W2034" s="51"/>
      <c r="X2034" s="51"/>
      <c r="Y2034" s="51"/>
    </row>
    <row r="2035" spans="1:25">
      <c r="A2035" s="49"/>
      <c r="P2035" s="51"/>
      <c r="Q2035" s="51"/>
      <c r="R2035" s="51"/>
      <c r="T2035" s="51"/>
      <c r="U2035" s="51"/>
      <c r="V2035" s="51"/>
      <c r="W2035" s="51"/>
      <c r="X2035" s="51"/>
      <c r="Y2035" s="51"/>
    </row>
    <row r="2036" spans="1:25">
      <c r="A2036" s="49"/>
      <c r="P2036" s="51"/>
      <c r="Q2036" s="51"/>
      <c r="R2036" s="51"/>
      <c r="T2036" s="51"/>
      <c r="U2036" s="51"/>
      <c r="V2036" s="51"/>
      <c r="W2036" s="51"/>
      <c r="X2036" s="51"/>
      <c r="Y2036" s="51"/>
    </row>
    <row r="2037" spans="1:25">
      <c r="A2037" s="49"/>
      <c r="P2037" s="51"/>
      <c r="Q2037" s="51"/>
      <c r="R2037" s="51"/>
      <c r="T2037" s="51"/>
      <c r="U2037" s="51"/>
      <c r="V2037" s="51"/>
      <c r="W2037" s="51"/>
      <c r="X2037" s="51"/>
      <c r="Y2037" s="51"/>
    </row>
    <row r="2038" spans="1:25">
      <c r="A2038" s="49"/>
      <c r="P2038" s="51"/>
      <c r="Q2038" s="51"/>
      <c r="R2038" s="51"/>
      <c r="T2038" s="51"/>
      <c r="U2038" s="51"/>
      <c r="V2038" s="51"/>
      <c r="W2038" s="51"/>
      <c r="X2038" s="51"/>
      <c r="Y2038" s="51"/>
    </row>
    <row r="2039" spans="1:25">
      <c r="A2039" s="49"/>
      <c r="P2039" s="51"/>
      <c r="Q2039" s="51"/>
      <c r="R2039" s="51"/>
      <c r="T2039" s="51"/>
      <c r="U2039" s="51"/>
      <c r="V2039" s="51"/>
      <c r="W2039" s="51"/>
      <c r="X2039" s="51"/>
      <c r="Y2039" s="51"/>
    </row>
    <row r="2040" spans="1:25">
      <c r="A2040" s="49"/>
      <c r="P2040" s="51"/>
      <c r="Q2040" s="51"/>
      <c r="R2040" s="51"/>
      <c r="T2040" s="51"/>
      <c r="U2040" s="51"/>
      <c r="V2040" s="51"/>
      <c r="W2040" s="51"/>
      <c r="X2040" s="51"/>
      <c r="Y2040" s="51"/>
    </row>
    <row r="2041" spans="1:25">
      <c r="A2041" s="49"/>
      <c r="P2041" s="51"/>
      <c r="Q2041" s="51"/>
      <c r="R2041" s="51"/>
      <c r="T2041" s="51"/>
      <c r="U2041" s="51"/>
      <c r="V2041" s="51"/>
      <c r="W2041" s="51"/>
      <c r="X2041" s="51"/>
      <c r="Y2041" s="51"/>
    </row>
    <row r="2042" spans="1:25">
      <c r="A2042" s="49"/>
      <c r="P2042" s="51"/>
      <c r="Q2042" s="51"/>
      <c r="R2042" s="51"/>
      <c r="T2042" s="51"/>
      <c r="U2042" s="51"/>
      <c r="V2042" s="51"/>
      <c r="W2042" s="51"/>
      <c r="X2042" s="51"/>
      <c r="Y2042" s="51"/>
    </row>
    <row r="2043" spans="1:25">
      <c r="A2043" s="49"/>
      <c r="P2043" s="51"/>
      <c r="Q2043" s="51"/>
      <c r="R2043" s="51"/>
      <c r="T2043" s="51"/>
      <c r="U2043" s="51"/>
      <c r="V2043" s="51"/>
      <c r="W2043" s="51"/>
      <c r="X2043" s="51"/>
      <c r="Y2043" s="51"/>
    </row>
    <row r="2044" spans="1:25">
      <c r="A2044" s="49"/>
      <c r="P2044" s="51"/>
      <c r="Q2044" s="51"/>
      <c r="R2044" s="51"/>
      <c r="T2044" s="51"/>
      <c r="U2044" s="51"/>
      <c r="V2044" s="51"/>
      <c r="W2044" s="51"/>
      <c r="X2044" s="51"/>
      <c r="Y2044" s="51"/>
    </row>
    <row r="2045" spans="1:25">
      <c r="A2045" s="49"/>
      <c r="P2045" s="51"/>
      <c r="Q2045" s="51"/>
      <c r="R2045" s="51"/>
      <c r="T2045" s="51"/>
      <c r="U2045" s="51"/>
      <c r="V2045" s="51"/>
      <c r="W2045" s="51"/>
      <c r="X2045" s="51"/>
      <c r="Y2045" s="51"/>
    </row>
    <row r="2046" spans="1:25">
      <c r="A2046" s="49"/>
      <c r="P2046" s="51"/>
      <c r="Q2046" s="51"/>
      <c r="R2046" s="51"/>
      <c r="T2046" s="51"/>
      <c r="U2046" s="51"/>
      <c r="V2046" s="51"/>
      <c r="W2046" s="51"/>
      <c r="X2046" s="51"/>
      <c r="Y2046" s="51"/>
    </row>
    <row r="2047" spans="1:25">
      <c r="A2047" s="49"/>
      <c r="P2047" s="51"/>
      <c r="Q2047" s="51"/>
      <c r="R2047" s="51"/>
      <c r="T2047" s="51"/>
      <c r="U2047" s="51"/>
      <c r="V2047" s="51"/>
      <c r="W2047" s="51"/>
      <c r="X2047" s="51"/>
      <c r="Y2047" s="51"/>
    </row>
    <row r="2048" spans="1:25">
      <c r="A2048" s="49"/>
      <c r="P2048" s="51"/>
      <c r="Q2048" s="51"/>
      <c r="R2048" s="51"/>
      <c r="T2048" s="51"/>
      <c r="U2048" s="51"/>
      <c r="V2048" s="51"/>
      <c r="W2048" s="51"/>
      <c r="X2048" s="51"/>
      <c r="Y2048" s="51"/>
    </row>
    <row r="2049" spans="1:25">
      <c r="A2049" s="49"/>
      <c r="P2049" s="51"/>
      <c r="Q2049" s="51"/>
      <c r="R2049" s="51"/>
      <c r="T2049" s="51"/>
      <c r="U2049" s="51"/>
      <c r="V2049" s="51"/>
      <c r="W2049" s="51"/>
      <c r="X2049" s="51"/>
      <c r="Y2049" s="51"/>
    </row>
    <row r="2050" spans="1:25">
      <c r="A2050" s="49"/>
      <c r="P2050" s="51"/>
      <c r="Q2050" s="51"/>
      <c r="R2050" s="51"/>
      <c r="T2050" s="51"/>
      <c r="U2050" s="51"/>
      <c r="V2050" s="51"/>
      <c r="W2050" s="51"/>
      <c r="X2050" s="51"/>
      <c r="Y2050" s="51"/>
    </row>
    <row r="2051" spans="1:25">
      <c r="A2051" s="49"/>
      <c r="P2051" s="51"/>
      <c r="Q2051" s="51"/>
      <c r="R2051" s="51"/>
      <c r="T2051" s="51"/>
      <c r="U2051" s="51"/>
      <c r="V2051" s="51"/>
      <c r="W2051" s="51"/>
      <c r="X2051" s="51"/>
      <c r="Y2051" s="51"/>
    </row>
    <row r="2052" spans="1:25">
      <c r="A2052" s="49"/>
      <c r="P2052" s="51"/>
      <c r="Q2052" s="51"/>
      <c r="R2052" s="51"/>
      <c r="T2052" s="51"/>
      <c r="U2052" s="51"/>
      <c r="V2052" s="51"/>
      <c r="W2052" s="51"/>
      <c r="X2052" s="51"/>
      <c r="Y2052" s="51"/>
    </row>
    <row r="2053" spans="1:25">
      <c r="A2053" s="49"/>
      <c r="P2053" s="51"/>
      <c r="Q2053" s="51"/>
      <c r="R2053" s="51"/>
      <c r="T2053" s="51"/>
      <c r="U2053" s="51"/>
      <c r="V2053" s="51"/>
      <c r="W2053" s="51"/>
      <c r="X2053" s="51"/>
      <c r="Y2053" s="51"/>
    </row>
    <row r="2054" spans="1:25">
      <c r="A2054" s="49"/>
      <c r="P2054" s="51"/>
      <c r="Q2054" s="51"/>
      <c r="R2054" s="51"/>
      <c r="T2054" s="51"/>
      <c r="U2054" s="51"/>
      <c r="V2054" s="51"/>
      <c r="W2054" s="51"/>
      <c r="X2054" s="51"/>
      <c r="Y2054" s="51"/>
    </row>
    <row r="2055" spans="1:25">
      <c r="A2055" s="49"/>
      <c r="P2055" s="51"/>
      <c r="Q2055" s="51"/>
      <c r="R2055" s="51"/>
      <c r="T2055" s="51"/>
      <c r="U2055" s="51"/>
      <c r="V2055" s="51"/>
      <c r="W2055" s="51"/>
      <c r="X2055" s="51"/>
      <c r="Y2055" s="51"/>
    </row>
    <row r="2056" spans="1:25">
      <c r="A2056" s="49"/>
      <c r="P2056" s="51"/>
      <c r="Q2056" s="51"/>
      <c r="R2056" s="51"/>
      <c r="T2056" s="51"/>
      <c r="U2056" s="51"/>
      <c r="V2056" s="51"/>
      <c r="W2056" s="51"/>
      <c r="X2056" s="51"/>
      <c r="Y2056" s="51"/>
    </row>
    <row r="2057" spans="1:25">
      <c r="A2057" s="49"/>
      <c r="P2057" s="51"/>
      <c r="Q2057" s="51"/>
      <c r="R2057" s="51"/>
      <c r="T2057" s="51"/>
      <c r="U2057" s="51"/>
      <c r="V2057" s="51"/>
      <c r="W2057" s="51"/>
      <c r="X2057" s="51"/>
      <c r="Y2057" s="51"/>
    </row>
    <row r="2058" spans="1:25">
      <c r="A2058" s="49"/>
      <c r="P2058" s="51"/>
      <c r="Q2058" s="51"/>
      <c r="R2058" s="51"/>
      <c r="T2058" s="51"/>
      <c r="U2058" s="51"/>
      <c r="V2058" s="51"/>
      <c r="W2058" s="51"/>
      <c r="X2058" s="51"/>
      <c r="Y2058" s="51"/>
    </row>
    <row r="2059" spans="1:25">
      <c r="A2059" s="49"/>
      <c r="P2059" s="51"/>
      <c r="Q2059" s="51"/>
      <c r="R2059" s="51"/>
      <c r="T2059" s="51"/>
      <c r="U2059" s="51"/>
      <c r="V2059" s="51"/>
      <c r="W2059" s="51"/>
      <c r="X2059" s="51"/>
      <c r="Y2059" s="51"/>
    </row>
    <row r="2060" spans="1:25">
      <c r="A2060" s="49"/>
      <c r="P2060" s="51"/>
      <c r="Q2060" s="51"/>
      <c r="R2060" s="51"/>
      <c r="T2060" s="51"/>
      <c r="U2060" s="51"/>
      <c r="V2060" s="51"/>
      <c r="W2060" s="51"/>
      <c r="X2060" s="51"/>
      <c r="Y2060" s="51"/>
    </row>
    <row r="2061" spans="1:25">
      <c r="A2061" s="49"/>
      <c r="P2061" s="51"/>
      <c r="Q2061" s="51"/>
      <c r="R2061" s="51"/>
      <c r="T2061" s="51"/>
      <c r="U2061" s="51"/>
      <c r="V2061" s="51"/>
      <c r="W2061" s="51"/>
      <c r="X2061" s="51"/>
      <c r="Y2061" s="51"/>
    </row>
    <row r="2062" spans="1:25">
      <c r="A2062" s="49"/>
      <c r="P2062" s="51"/>
      <c r="Q2062" s="51"/>
      <c r="R2062" s="51"/>
      <c r="T2062" s="51"/>
      <c r="U2062" s="51"/>
      <c r="V2062" s="51"/>
      <c r="W2062" s="51"/>
      <c r="X2062" s="51"/>
      <c r="Y2062" s="51"/>
    </row>
    <row r="2063" spans="1:25">
      <c r="A2063" s="49"/>
      <c r="P2063" s="51"/>
      <c r="Q2063" s="51"/>
      <c r="R2063" s="51"/>
      <c r="T2063" s="51"/>
      <c r="U2063" s="51"/>
      <c r="V2063" s="51"/>
      <c r="W2063" s="51"/>
      <c r="X2063" s="51"/>
      <c r="Y2063" s="51"/>
    </row>
    <row r="2064" spans="1:25">
      <c r="A2064" s="49"/>
      <c r="P2064" s="51"/>
      <c r="Q2064" s="51"/>
      <c r="R2064" s="51"/>
      <c r="T2064" s="51"/>
      <c r="U2064" s="51"/>
      <c r="V2064" s="51"/>
      <c r="W2064" s="51"/>
      <c r="X2064" s="51"/>
      <c r="Y2064" s="51"/>
    </row>
    <row r="2065" spans="1:25">
      <c r="A2065" s="49"/>
      <c r="P2065" s="51"/>
      <c r="Q2065" s="51"/>
      <c r="R2065" s="51"/>
      <c r="T2065" s="51"/>
      <c r="U2065" s="51"/>
      <c r="V2065" s="51"/>
      <c r="W2065" s="51"/>
      <c r="X2065" s="51"/>
      <c r="Y2065" s="51"/>
    </row>
    <row r="2066" spans="1:25">
      <c r="A2066" s="49"/>
      <c r="P2066" s="51"/>
      <c r="Q2066" s="51"/>
      <c r="R2066" s="51"/>
      <c r="T2066" s="51"/>
      <c r="U2066" s="51"/>
      <c r="V2066" s="51"/>
      <c r="W2066" s="51"/>
      <c r="X2066" s="51"/>
      <c r="Y2066" s="51"/>
    </row>
    <row r="2067" spans="1:25">
      <c r="A2067" s="49"/>
      <c r="P2067" s="51"/>
      <c r="Q2067" s="51"/>
      <c r="R2067" s="51"/>
      <c r="T2067" s="51"/>
      <c r="U2067" s="51"/>
      <c r="V2067" s="51"/>
      <c r="W2067" s="51"/>
      <c r="X2067" s="51"/>
      <c r="Y2067" s="51"/>
    </row>
    <row r="2068" spans="1:25">
      <c r="A2068" s="49"/>
      <c r="P2068" s="51"/>
      <c r="Q2068" s="51"/>
      <c r="R2068" s="51"/>
      <c r="T2068" s="51"/>
      <c r="U2068" s="51"/>
      <c r="V2068" s="51"/>
      <c r="W2068" s="51"/>
      <c r="X2068" s="51"/>
      <c r="Y2068" s="51"/>
    </row>
    <row r="2069" spans="1:25">
      <c r="A2069" s="49"/>
      <c r="P2069" s="51"/>
      <c r="Q2069" s="51"/>
      <c r="R2069" s="51"/>
      <c r="T2069" s="51"/>
      <c r="U2069" s="51"/>
      <c r="V2069" s="51"/>
      <c r="W2069" s="51"/>
      <c r="X2069" s="51"/>
      <c r="Y2069" s="51"/>
    </row>
    <row r="2070" spans="1:25">
      <c r="A2070" s="49"/>
      <c r="P2070" s="51"/>
      <c r="Q2070" s="51"/>
      <c r="R2070" s="51"/>
      <c r="T2070" s="51"/>
      <c r="U2070" s="51"/>
      <c r="V2070" s="51"/>
      <c r="W2070" s="51"/>
      <c r="X2070" s="51"/>
      <c r="Y2070" s="51"/>
    </row>
    <row r="2071" spans="1:25">
      <c r="A2071" s="49"/>
      <c r="P2071" s="51"/>
      <c r="Q2071" s="51"/>
      <c r="R2071" s="51"/>
      <c r="T2071" s="51"/>
      <c r="U2071" s="51"/>
      <c r="V2071" s="51"/>
      <c r="W2071" s="51"/>
      <c r="X2071" s="51"/>
      <c r="Y2071" s="51"/>
    </row>
    <row r="2072" spans="1:25">
      <c r="A2072" s="49"/>
      <c r="P2072" s="51"/>
      <c r="Q2072" s="51"/>
      <c r="R2072" s="51"/>
      <c r="T2072" s="51"/>
      <c r="U2072" s="51"/>
      <c r="V2072" s="51"/>
      <c r="W2072" s="51"/>
      <c r="X2072" s="51"/>
      <c r="Y2072" s="51"/>
    </row>
    <row r="2073" spans="1:25">
      <c r="A2073" s="49"/>
      <c r="P2073" s="51"/>
      <c r="Q2073" s="51"/>
      <c r="R2073" s="51"/>
      <c r="T2073" s="51"/>
      <c r="U2073" s="51"/>
      <c r="V2073" s="51"/>
      <c r="W2073" s="51"/>
      <c r="X2073" s="51"/>
      <c r="Y2073" s="51"/>
    </row>
    <row r="2074" spans="1:25">
      <c r="A2074" s="49"/>
      <c r="P2074" s="51"/>
      <c r="Q2074" s="51"/>
      <c r="R2074" s="51"/>
      <c r="T2074" s="51"/>
      <c r="U2074" s="51"/>
      <c r="V2074" s="51"/>
      <c r="W2074" s="51"/>
      <c r="X2074" s="51"/>
      <c r="Y2074" s="51"/>
    </row>
    <row r="2075" spans="1:25">
      <c r="A2075" s="49"/>
      <c r="P2075" s="51"/>
      <c r="Q2075" s="51"/>
      <c r="R2075" s="51"/>
      <c r="T2075" s="51"/>
      <c r="U2075" s="51"/>
      <c r="V2075" s="51"/>
      <c r="W2075" s="51"/>
      <c r="X2075" s="51"/>
      <c r="Y2075" s="51"/>
    </row>
    <row r="2076" spans="1:25">
      <c r="A2076" s="49"/>
      <c r="P2076" s="51"/>
      <c r="Q2076" s="51"/>
      <c r="R2076" s="51"/>
      <c r="T2076" s="51"/>
      <c r="U2076" s="51"/>
      <c r="V2076" s="51"/>
      <c r="W2076" s="51"/>
      <c r="X2076" s="51"/>
      <c r="Y2076" s="51"/>
    </row>
    <row r="2077" spans="1:25">
      <c r="A2077" s="49"/>
      <c r="P2077" s="51"/>
      <c r="Q2077" s="51"/>
      <c r="R2077" s="51"/>
      <c r="T2077" s="51"/>
      <c r="U2077" s="51"/>
      <c r="V2077" s="51"/>
      <c r="W2077" s="51"/>
      <c r="X2077" s="51"/>
      <c r="Y2077" s="51"/>
    </row>
    <row r="2078" spans="1:25">
      <c r="A2078" s="49"/>
      <c r="P2078" s="51"/>
      <c r="Q2078" s="51"/>
      <c r="R2078" s="51"/>
      <c r="T2078" s="51"/>
      <c r="U2078" s="51"/>
      <c r="V2078" s="51"/>
      <c r="W2078" s="51"/>
      <c r="X2078" s="51"/>
      <c r="Y2078" s="51"/>
    </row>
    <row r="2079" spans="1:25">
      <c r="A2079" s="49"/>
      <c r="P2079" s="51"/>
      <c r="Q2079" s="51"/>
      <c r="R2079" s="51"/>
      <c r="T2079" s="51"/>
      <c r="U2079" s="51"/>
      <c r="V2079" s="51"/>
      <c r="W2079" s="51"/>
      <c r="X2079" s="51"/>
      <c r="Y2079" s="51"/>
    </row>
    <row r="2080" spans="1:25">
      <c r="A2080" s="49"/>
      <c r="P2080" s="51"/>
      <c r="Q2080" s="51"/>
      <c r="R2080" s="51"/>
      <c r="T2080" s="51"/>
      <c r="U2080" s="51"/>
      <c r="V2080" s="51"/>
      <c r="W2080" s="51"/>
      <c r="X2080" s="51"/>
      <c r="Y2080" s="51"/>
    </row>
    <row r="2081" spans="1:25">
      <c r="A2081" s="49"/>
      <c r="P2081" s="51"/>
      <c r="Q2081" s="51"/>
      <c r="R2081" s="51"/>
      <c r="T2081" s="51"/>
      <c r="U2081" s="51"/>
      <c r="V2081" s="51"/>
      <c r="W2081" s="51"/>
      <c r="X2081" s="51"/>
      <c r="Y2081" s="51"/>
    </row>
    <row r="2082" spans="1:25">
      <c r="A2082" s="49"/>
      <c r="P2082" s="51"/>
      <c r="Q2082" s="51"/>
      <c r="R2082" s="51"/>
      <c r="T2082" s="51"/>
      <c r="U2082" s="51"/>
      <c r="V2082" s="51"/>
      <c r="W2082" s="51"/>
      <c r="X2082" s="51"/>
      <c r="Y2082" s="51"/>
    </row>
    <row r="2083" spans="1:25">
      <c r="A2083" s="49"/>
      <c r="P2083" s="51"/>
      <c r="Q2083" s="51"/>
      <c r="R2083" s="51"/>
      <c r="T2083" s="51"/>
      <c r="U2083" s="51"/>
      <c r="V2083" s="51"/>
      <c r="W2083" s="51"/>
      <c r="X2083" s="51"/>
      <c r="Y2083" s="51"/>
    </row>
    <row r="2084" spans="1:25">
      <c r="A2084" s="49"/>
      <c r="P2084" s="51"/>
      <c r="Q2084" s="51"/>
      <c r="R2084" s="51"/>
      <c r="T2084" s="51"/>
      <c r="U2084" s="51"/>
      <c r="V2084" s="51"/>
      <c r="W2084" s="51"/>
      <c r="X2084" s="51"/>
      <c r="Y2084" s="51"/>
    </row>
    <row r="2085" spans="1:25">
      <c r="A2085" s="49"/>
      <c r="P2085" s="51"/>
      <c r="Q2085" s="51"/>
      <c r="R2085" s="51"/>
      <c r="T2085" s="51"/>
      <c r="U2085" s="51"/>
      <c r="V2085" s="51"/>
      <c r="W2085" s="51"/>
      <c r="X2085" s="51"/>
      <c r="Y2085" s="51"/>
    </row>
    <row r="2086" spans="1:25">
      <c r="A2086" s="49"/>
      <c r="P2086" s="51"/>
      <c r="Q2086" s="51"/>
      <c r="R2086" s="51"/>
      <c r="T2086" s="51"/>
      <c r="U2086" s="51"/>
      <c r="V2086" s="51"/>
      <c r="W2086" s="51"/>
      <c r="X2086" s="51"/>
      <c r="Y2086" s="51"/>
    </row>
    <row r="2087" spans="1:25">
      <c r="A2087" s="49"/>
      <c r="P2087" s="51"/>
      <c r="Q2087" s="51"/>
      <c r="R2087" s="51"/>
      <c r="T2087" s="51"/>
      <c r="U2087" s="51"/>
      <c r="V2087" s="51"/>
      <c r="W2087" s="51"/>
      <c r="X2087" s="51"/>
      <c r="Y2087" s="51"/>
    </row>
    <row r="2088" spans="1:25">
      <c r="A2088" s="49"/>
      <c r="P2088" s="51"/>
      <c r="Q2088" s="51"/>
      <c r="R2088" s="51"/>
      <c r="T2088" s="51"/>
      <c r="U2088" s="51"/>
      <c r="V2088" s="51"/>
      <c r="W2088" s="51"/>
      <c r="X2088" s="51"/>
      <c r="Y2088" s="51"/>
    </row>
    <row r="2089" spans="1:25">
      <c r="A2089" s="49"/>
      <c r="P2089" s="51"/>
      <c r="Q2089" s="51"/>
      <c r="R2089" s="51"/>
      <c r="T2089" s="51"/>
      <c r="U2089" s="51"/>
      <c r="V2089" s="51"/>
      <c r="W2089" s="51"/>
      <c r="X2089" s="51"/>
      <c r="Y2089" s="51"/>
    </row>
    <row r="2090" spans="1:25">
      <c r="A2090" s="49"/>
      <c r="P2090" s="51"/>
      <c r="Q2090" s="51"/>
      <c r="R2090" s="51"/>
      <c r="T2090" s="51"/>
      <c r="U2090" s="51"/>
      <c r="V2090" s="51"/>
      <c r="W2090" s="51"/>
      <c r="X2090" s="51"/>
      <c r="Y2090" s="51"/>
    </row>
    <row r="2091" spans="1:25">
      <c r="A2091" s="49"/>
      <c r="P2091" s="51"/>
      <c r="Q2091" s="51"/>
      <c r="R2091" s="51"/>
      <c r="T2091" s="51"/>
      <c r="U2091" s="51"/>
      <c r="V2091" s="51"/>
      <c r="W2091" s="51"/>
      <c r="X2091" s="51"/>
      <c r="Y2091" s="51"/>
    </row>
    <row r="2092" spans="1:25">
      <c r="A2092" s="49"/>
      <c r="P2092" s="51"/>
      <c r="Q2092" s="51"/>
      <c r="R2092" s="51"/>
      <c r="T2092" s="51"/>
      <c r="U2092" s="51"/>
      <c r="V2092" s="51"/>
      <c r="W2092" s="51"/>
      <c r="X2092" s="51"/>
      <c r="Y2092" s="51"/>
    </row>
    <row r="2093" spans="1:25">
      <c r="A2093" s="49"/>
      <c r="P2093" s="51"/>
      <c r="Q2093" s="51"/>
      <c r="R2093" s="51"/>
      <c r="T2093" s="51"/>
      <c r="U2093" s="51"/>
      <c r="V2093" s="51"/>
      <c r="W2093" s="51"/>
      <c r="X2093" s="51"/>
      <c r="Y2093" s="51"/>
    </row>
    <row r="2094" spans="1:25">
      <c r="A2094" s="49"/>
      <c r="P2094" s="51"/>
      <c r="Q2094" s="51"/>
      <c r="R2094" s="51"/>
      <c r="T2094" s="51"/>
      <c r="U2094" s="51"/>
      <c r="V2094" s="51"/>
      <c r="W2094" s="51"/>
      <c r="X2094" s="51"/>
      <c r="Y2094" s="51"/>
    </row>
    <row r="2095" spans="1:25">
      <c r="A2095" s="49"/>
      <c r="P2095" s="51"/>
      <c r="Q2095" s="51"/>
      <c r="R2095" s="51"/>
      <c r="T2095" s="51"/>
      <c r="U2095" s="51"/>
      <c r="V2095" s="51"/>
      <c r="W2095" s="51"/>
      <c r="X2095" s="51"/>
      <c r="Y2095" s="51"/>
    </row>
    <row r="2096" spans="1:25">
      <c r="A2096" s="49"/>
      <c r="P2096" s="51"/>
      <c r="Q2096" s="51"/>
      <c r="R2096" s="51"/>
      <c r="T2096" s="51"/>
      <c r="U2096" s="51"/>
      <c r="V2096" s="51"/>
      <c r="W2096" s="51"/>
      <c r="X2096" s="51"/>
      <c r="Y2096" s="51"/>
    </row>
    <row r="2097" spans="1:25">
      <c r="A2097" s="49"/>
      <c r="P2097" s="51"/>
      <c r="Q2097" s="51"/>
      <c r="R2097" s="51"/>
      <c r="T2097" s="51"/>
      <c r="U2097" s="51"/>
      <c r="V2097" s="51"/>
      <c r="W2097" s="51"/>
      <c r="X2097" s="51"/>
      <c r="Y2097" s="51"/>
    </row>
    <row r="2098" spans="1:25">
      <c r="A2098" s="49"/>
      <c r="P2098" s="51"/>
      <c r="Q2098" s="51"/>
      <c r="R2098" s="51"/>
      <c r="T2098" s="51"/>
      <c r="U2098" s="51"/>
      <c r="V2098" s="51"/>
      <c r="W2098" s="51"/>
      <c r="X2098" s="51"/>
      <c r="Y2098" s="51"/>
    </row>
    <row r="2099" spans="1:25">
      <c r="A2099" s="49"/>
      <c r="P2099" s="51"/>
      <c r="Q2099" s="51"/>
      <c r="R2099" s="51"/>
      <c r="T2099" s="51"/>
      <c r="U2099" s="51"/>
      <c r="V2099" s="51"/>
      <c r="W2099" s="51"/>
      <c r="X2099" s="51"/>
      <c r="Y2099" s="51"/>
    </row>
    <row r="2100" spans="1:25">
      <c r="A2100" s="49"/>
      <c r="P2100" s="51"/>
      <c r="Q2100" s="51"/>
      <c r="R2100" s="51"/>
      <c r="T2100" s="51"/>
      <c r="U2100" s="51"/>
      <c r="V2100" s="51"/>
      <c r="W2100" s="51"/>
      <c r="X2100" s="51"/>
      <c r="Y2100" s="51"/>
    </row>
    <row r="2101" spans="1:25">
      <c r="A2101" s="49"/>
      <c r="P2101" s="51"/>
      <c r="Q2101" s="51"/>
      <c r="R2101" s="51"/>
      <c r="T2101" s="51"/>
      <c r="U2101" s="51"/>
      <c r="V2101" s="51"/>
      <c r="W2101" s="51"/>
      <c r="X2101" s="51"/>
      <c r="Y2101" s="51"/>
    </row>
    <row r="2102" spans="1:25">
      <c r="A2102" s="49"/>
      <c r="P2102" s="51"/>
      <c r="Q2102" s="51"/>
      <c r="R2102" s="51"/>
      <c r="T2102" s="51"/>
      <c r="U2102" s="51"/>
      <c r="V2102" s="51"/>
      <c r="W2102" s="51"/>
      <c r="X2102" s="51"/>
      <c r="Y2102" s="51"/>
    </row>
    <row r="2103" spans="1:25">
      <c r="A2103" s="49"/>
      <c r="P2103" s="51"/>
      <c r="Q2103" s="51"/>
      <c r="R2103" s="51"/>
      <c r="T2103" s="51"/>
      <c r="U2103" s="51"/>
      <c r="V2103" s="51"/>
      <c r="W2103" s="51"/>
      <c r="X2103" s="51"/>
      <c r="Y2103" s="51"/>
    </row>
    <row r="2104" spans="1:25">
      <c r="A2104" s="49"/>
      <c r="P2104" s="51"/>
      <c r="Q2104" s="51"/>
      <c r="R2104" s="51"/>
      <c r="T2104" s="51"/>
      <c r="U2104" s="51"/>
      <c r="V2104" s="51"/>
      <c r="W2104" s="51"/>
      <c r="X2104" s="51"/>
      <c r="Y2104" s="51"/>
    </row>
    <row r="2105" spans="1:25">
      <c r="A2105" s="49"/>
      <c r="P2105" s="51"/>
      <c r="Q2105" s="51"/>
      <c r="R2105" s="51"/>
      <c r="T2105" s="51"/>
      <c r="U2105" s="51"/>
      <c r="V2105" s="51"/>
      <c r="W2105" s="51"/>
      <c r="X2105" s="51"/>
      <c r="Y2105" s="51"/>
    </row>
    <row r="2106" spans="1:25">
      <c r="A2106" s="49"/>
      <c r="P2106" s="51"/>
      <c r="Q2106" s="51"/>
      <c r="R2106" s="51"/>
      <c r="T2106" s="51"/>
      <c r="U2106" s="51"/>
      <c r="V2106" s="51"/>
      <c r="W2106" s="51"/>
      <c r="X2106" s="51"/>
      <c r="Y2106" s="51"/>
    </row>
    <row r="2107" spans="1:25">
      <c r="A2107" s="49"/>
      <c r="P2107" s="51"/>
      <c r="Q2107" s="51"/>
      <c r="R2107" s="51"/>
      <c r="T2107" s="51"/>
      <c r="U2107" s="51"/>
      <c r="V2107" s="51"/>
      <c r="W2107" s="51"/>
      <c r="X2107" s="51"/>
      <c r="Y2107" s="51"/>
    </row>
    <row r="2108" spans="1:25">
      <c r="A2108" s="49"/>
      <c r="P2108" s="51"/>
      <c r="Q2108" s="51"/>
      <c r="R2108" s="51"/>
      <c r="T2108" s="51"/>
      <c r="U2108" s="51"/>
      <c r="V2108" s="51"/>
      <c r="W2108" s="51"/>
      <c r="X2108" s="51"/>
      <c r="Y2108" s="51"/>
    </row>
    <row r="2109" spans="1:25">
      <c r="A2109" s="49"/>
      <c r="P2109" s="51"/>
      <c r="Q2109" s="51"/>
      <c r="R2109" s="51"/>
      <c r="T2109" s="51"/>
      <c r="U2109" s="51"/>
      <c r="V2109" s="51"/>
      <c r="W2109" s="51"/>
      <c r="X2109" s="51"/>
      <c r="Y2109" s="51"/>
    </row>
    <row r="2110" spans="1:25">
      <c r="A2110" s="49"/>
      <c r="P2110" s="51"/>
      <c r="Q2110" s="51"/>
      <c r="R2110" s="51"/>
      <c r="T2110" s="51"/>
      <c r="U2110" s="51"/>
      <c r="V2110" s="51"/>
      <c r="W2110" s="51"/>
      <c r="X2110" s="51"/>
      <c r="Y2110" s="51"/>
    </row>
    <row r="2111" spans="1:25">
      <c r="A2111" s="49"/>
      <c r="P2111" s="51"/>
      <c r="Q2111" s="51"/>
      <c r="R2111" s="51"/>
      <c r="T2111" s="51"/>
      <c r="U2111" s="51"/>
      <c r="V2111" s="51"/>
      <c r="W2111" s="51"/>
      <c r="X2111" s="51"/>
      <c r="Y2111" s="51"/>
    </row>
    <row r="2112" spans="1:25">
      <c r="A2112" s="49"/>
      <c r="P2112" s="51"/>
      <c r="Q2112" s="51"/>
      <c r="R2112" s="51"/>
      <c r="T2112" s="51"/>
      <c r="U2112" s="51"/>
      <c r="V2112" s="51"/>
      <c r="W2112" s="51"/>
      <c r="X2112" s="51"/>
      <c r="Y2112" s="51"/>
    </row>
    <row r="2113" spans="1:25">
      <c r="A2113" s="49"/>
      <c r="P2113" s="51"/>
      <c r="Q2113" s="51"/>
      <c r="R2113" s="51"/>
      <c r="T2113" s="51"/>
      <c r="U2113" s="51"/>
      <c r="V2113" s="51"/>
      <c r="W2113" s="51"/>
      <c r="X2113" s="51"/>
      <c r="Y2113" s="51"/>
    </row>
    <row r="2114" spans="1:25">
      <c r="A2114" s="49"/>
      <c r="P2114" s="51"/>
      <c r="Q2114" s="51"/>
      <c r="R2114" s="51"/>
      <c r="T2114" s="51"/>
      <c r="U2114" s="51"/>
      <c r="V2114" s="51"/>
      <c r="W2114" s="51"/>
      <c r="X2114" s="51"/>
      <c r="Y2114" s="51"/>
    </row>
    <row r="2115" spans="1:25">
      <c r="A2115" s="49"/>
      <c r="P2115" s="51"/>
      <c r="Q2115" s="51"/>
      <c r="R2115" s="51"/>
      <c r="T2115" s="51"/>
      <c r="U2115" s="51"/>
      <c r="V2115" s="51"/>
      <c r="W2115" s="51"/>
      <c r="X2115" s="51"/>
      <c r="Y2115" s="51"/>
    </row>
    <row r="2116" spans="1:25">
      <c r="A2116" s="49"/>
      <c r="P2116" s="51"/>
      <c r="Q2116" s="51"/>
      <c r="R2116" s="51"/>
      <c r="T2116" s="51"/>
      <c r="U2116" s="51"/>
      <c r="V2116" s="51"/>
      <c r="W2116" s="51"/>
      <c r="X2116" s="51"/>
      <c r="Y2116" s="51"/>
    </row>
    <row r="2117" spans="1:25">
      <c r="A2117" s="49"/>
      <c r="P2117" s="51"/>
      <c r="Q2117" s="51"/>
      <c r="R2117" s="51"/>
      <c r="T2117" s="51"/>
      <c r="U2117" s="51"/>
      <c r="V2117" s="51"/>
      <c r="W2117" s="51"/>
      <c r="X2117" s="51"/>
      <c r="Y2117" s="51"/>
    </row>
    <row r="2118" spans="1:25">
      <c r="A2118" s="49"/>
      <c r="P2118" s="51"/>
      <c r="Q2118" s="51"/>
      <c r="R2118" s="51"/>
      <c r="T2118" s="51"/>
      <c r="U2118" s="51"/>
      <c r="V2118" s="51"/>
      <c r="W2118" s="51"/>
      <c r="X2118" s="51"/>
      <c r="Y2118" s="51"/>
    </row>
    <row r="2119" spans="1:25">
      <c r="A2119" s="49"/>
      <c r="P2119" s="51"/>
      <c r="Q2119" s="51"/>
      <c r="R2119" s="51"/>
      <c r="T2119" s="51"/>
      <c r="U2119" s="51"/>
      <c r="V2119" s="51"/>
      <c r="W2119" s="51"/>
      <c r="X2119" s="51"/>
      <c r="Y2119" s="51"/>
    </row>
    <row r="2120" spans="1:25">
      <c r="A2120" s="49"/>
      <c r="P2120" s="51"/>
      <c r="Q2120" s="51"/>
      <c r="R2120" s="51"/>
      <c r="T2120" s="51"/>
      <c r="U2120" s="51"/>
      <c r="V2120" s="51"/>
      <c r="W2120" s="51"/>
      <c r="X2120" s="51"/>
      <c r="Y2120" s="51"/>
    </row>
    <row r="2121" spans="1:25">
      <c r="A2121" s="49"/>
      <c r="P2121" s="51"/>
      <c r="Q2121" s="51"/>
      <c r="R2121" s="51"/>
      <c r="T2121" s="51"/>
      <c r="U2121" s="51"/>
      <c r="V2121" s="51"/>
      <c r="W2121" s="51"/>
      <c r="X2121" s="51"/>
      <c r="Y2121" s="51"/>
    </row>
    <row r="2122" spans="1:25">
      <c r="A2122" s="49"/>
      <c r="P2122" s="51"/>
      <c r="Q2122" s="51"/>
      <c r="R2122" s="51"/>
      <c r="T2122" s="51"/>
      <c r="U2122" s="51"/>
      <c r="V2122" s="51"/>
      <c r="W2122" s="51"/>
      <c r="X2122" s="51"/>
      <c r="Y2122" s="51"/>
    </row>
    <row r="2123" spans="1:25">
      <c r="A2123" s="49"/>
      <c r="P2123" s="51"/>
      <c r="Q2123" s="51"/>
      <c r="R2123" s="51"/>
      <c r="T2123" s="51"/>
      <c r="U2123" s="51"/>
      <c r="V2123" s="51"/>
      <c r="W2123" s="51"/>
      <c r="X2123" s="51"/>
      <c r="Y2123" s="51"/>
    </row>
    <row r="2124" spans="1:25">
      <c r="A2124" s="49"/>
      <c r="P2124" s="51"/>
      <c r="Q2124" s="51"/>
      <c r="R2124" s="51"/>
      <c r="T2124" s="51"/>
      <c r="U2124" s="51"/>
      <c r="V2124" s="51"/>
      <c r="W2124" s="51"/>
      <c r="X2124" s="51"/>
      <c r="Y2124" s="51"/>
    </row>
    <row r="2125" spans="1:25">
      <c r="A2125" s="49"/>
      <c r="P2125" s="51"/>
      <c r="Q2125" s="51"/>
      <c r="R2125" s="51"/>
      <c r="T2125" s="51"/>
      <c r="U2125" s="51"/>
      <c r="V2125" s="51"/>
      <c r="W2125" s="51"/>
      <c r="X2125" s="51"/>
      <c r="Y2125" s="51"/>
    </row>
    <row r="2126" spans="1:25">
      <c r="A2126" s="49"/>
      <c r="P2126" s="51"/>
      <c r="Q2126" s="51"/>
      <c r="R2126" s="51"/>
      <c r="T2126" s="51"/>
      <c r="U2126" s="51"/>
      <c r="V2126" s="51"/>
      <c r="W2126" s="51"/>
      <c r="X2126" s="51"/>
      <c r="Y2126" s="51"/>
    </row>
    <row r="2127" spans="1:25">
      <c r="A2127" s="49"/>
      <c r="P2127" s="51"/>
      <c r="Q2127" s="51"/>
      <c r="R2127" s="51"/>
      <c r="T2127" s="51"/>
      <c r="U2127" s="51"/>
      <c r="V2127" s="51"/>
      <c r="W2127" s="51"/>
      <c r="X2127" s="51"/>
      <c r="Y2127" s="51"/>
    </row>
    <row r="2128" spans="1:25">
      <c r="A2128" s="49"/>
      <c r="P2128" s="51"/>
      <c r="Q2128" s="51"/>
      <c r="R2128" s="51"/>
      <c r="T2128" s="51"/>
      <c r="U2128" s="51"/>
      <c r="V2128" s="51"/>
      <c r="W2128" s="51"/>
      <c r="X2128" s="51"/>
      <c r="Y2128" s="51"/>
    </row>
    <row r="2129" spans="1:25">
      <c r="A2129" s="49"/>
      <c r="P2129" s="51"/>
      <c r="Q2129" s="51"/>
      <c r="R2129" s="51"/>
      <c r="T2129" s="51"/>
      <c r="U2129" s="51"/>
      <c r="V2129" s="51"/>
      <c r="W2129" s="51"/>
      <c r="X2129" s="51"/>
      <c r="Y2129" s="51"/>
    </row>
    <row r="2130" spans="1:25">
      <c r="A2130" s="49"/>
      <c r="P2130" s="51"/>
      <c r="Q2130" s="51"/>
      <c r="R2130" s="51"/>
      <c r="T2130" s="51"/>
      <c r="U2130" s="51"/>
      <c r="V2130" s="51"/>
      <c r="W2130" s="51"/>
      <c r="X2130" s="51"/>
      <c r="Y2130" s="51"/>
    </row>
    <row r="2131" spans="1:25">
      <c r="A2131" s="49"/>
      <c r="P2131" s="51"/>
      <c r="Q2131" s="51"/>
      <c r="R2131" s="51"/>
      <c r="T2131" s="51"/>
      <c r="U2131" s="51"/>
      <c r="V2131" s="51"/>
      <c r="W2131" s="51"/>
      <c r="X2131" s="51"/>
      <c r="Y2131" s="51"/>
    </row>
    <row r="2132" spans="1:25">
      <c r="A2132" s="49"/>
      <c r="P2132" s="51"/>
      <c r="Q2132" s="51"/>
      <c r="R2132" s="51"/>
      <c r="T2132" s="51"/>
      <c r="U2132" s="51"/>
      <c r="V2132" s="51"/>
      <c r="W2132" s="51"/>
      <c r="X2132" s="51"/>
      <c r="Y2132" s="51"/>
    </row>
    <row r="2133" spans="1:25">
      <c r="A2133" s="49"/>
      <c r="P2133" s="51"/>
      <c r="Q2133" s="51"/>
      <c r="R2133" s="51"/>
      <c r="T2133" s="51"/>
      <c r="U2133" s="51"/>
      <c r="V2133" s="51"/>
      <c r="W2133" s="51"/>
      <c r="X2133" s="51"/>
      <c r="Y2133" s="51"/>
    </row>
    <row r="2134" spans="1:25">
      <c r="A2134" s="49"/>
      <c r="P2134" s="51"/>
      <c r="Q2134" s="51"/>
      <c r="R2134" s="51"/>
      <c r="T2134" s="51"/>
      <c r="U2134" s="51"/>
      <c r="V2134" s="51"/>
      <c r="W2134" s="51"/>
      <c r="X2134" s="51"/>
      <c r="Y2134" s="51"/>
    </row>
    <row r="2135" spans="1:25">
      <c r="A2135" s="49"/>
      <c r="P2135" s="51"/>
      <c r="Q2135" s="51"/>
      <c r="R2135" s="51"/>
      <c r="T2135" s="51"/>
      <c r="U2135" s="51"/>
      <c r="V2135" s="51"/>
      <c r="W2135" s="51"/>
      <c r="X2135" s="51"/>
      <c r="Y2135" s="51"/>
    </row>
    <row r="2136" spans="1:25">
      <c r="A2136" s="49"/>
      <c r="P2136" s="51"/>
      <c r="Q2136" s="51"/>
      <c r="R2136" s="51"/>
      <c r="T2136" s="51"/>
      <c r="U2136" s="51"/>
      <c r="V2136" s="51"/>
      <c r="W2136" s="51"/>
      <c r="X2136" s="51"/>
      <c r="Y2136" s="51"/>
    </row>
    <row r="2137" spans="1:25">
      <c r="A2137" s="49"/>
      <c r="P2137" s="51"/>
      <c r="Q2137" s="51"/>
      <c r="R2137" s="51"/>
      <c r="T2137" s="51"/>
      <c r="U2137" s="51"/>
      <c r="V2137" s="51"/>
      <c r="W2137" s="51"/>
      <c r="X2137" s="51"/>
      <c r="Y2137" s="51"/>
    </row>
    <row r="2138" spans="1:25">
      <c r="A2138" s="49"/>
      <c r="P2138" s="51"/>
      <c r="Q2138" s="51"/>
      <c r="R2138" s="51"/>
      <c r="T2138" s="51"/>
      <c r="U2138" s="51"/>
      <c r="V2138" s="51"/>
      <c r="W2138" s="51"/>
      <c r="X2138" s="51"/>
      <c r="Y2138" s="51"/>
    </row>
    <row r="2139" spans="1:25">
      <c r="A2139" s="49"/>
      <c r="P2139" s="51"/>
      <c r="Q2139" s="51"/>
      <c r="R2139" s="51"/>
      <c r="T2139" s="51"/>
      <c r="U2139" s="51"/>
      <c r="V2139" s="51"/>
      <c r="W2139" s="51"/>
      <c r="X2139" s="51"/>
      <c r="Y2139" s="51"/>
    </row>
    <row r="2140" spans="1:25">
      <c r="A2140" s="49"/>
      <c r="P2140" s="51"/>
      <c r="Q2140" s="51"/>
      <c r="R2140" s="51"/>
      <c r="T2140" s="51"/>
      <c r="U2140" s="51"/>
      <c r="V2140" s="51"/>
      <c r="W2140" s="51"/>
      <c r="X2140" s="51"/>
      <c r="Y2140" s="51"/>
    </row>
    <row r="2141" spans="1:25">
      <c r="A2141" s="49"/>
      <c r="P2141" s="51"/>
      <c r="Q2141" s="51"/>
      <c r="R2141" s="51"/>
      <c r="T2141" s="51"/>
      <c r="U2141" s="51"/>
      <c r="V2141" s="51"/>
      <c r="W2141" s="51"/>
      <c r="X2141" s="51"/>
      <c r="Y2141" s="51"/>
    </row>
    <row r="2142" spans="1:25">
      <c r="A2142" s="49"/>
      <c r="P2142" s="51"/>
      <c r="Q2142" s="51"/>
      <c r="R2142" s="51"/>
      <c r="T2142" s="51"/>
      <c r="U2142" s="51"/>
      <c r="V2142" s="51"/>
      <c r="W2142" s="51"/>
      <c r="X2142" s="51"/>
      <c r="Y2142" s="51"/>
    </row>
    <row r="2143" spans="1:25">
      <c r="A2143" s="49"/>
      <c r="P2143" s="51"/>
      <c r="Q2143" s="51"/>
      <c r="R2143" s="51"/>
      <c r="T2143" s="51"/>
      <c r="U2143" s="51"/>
      <c r="V2143" s="51"/>
      <c r="W2143" s="51"/>
      <c r="X2143" s="51"/>
      <c r="Y2143" s="51"/>
    </row>
    <row r="2144" spans="1:25">
      <c r="A2144" s="49"/>
      <c r="P2144" s="51"/>
      <c r="Q2144" s="51"/>
      <c r="R2144" s="51"/>
      <c r="T2144" s="51"/>
      <c r="U2144" s="51"/>
      <c r="V2144" s="51"/>
      <c r="W2144" s="51"/>
      <c r="X2144" s="51"/>
      <c r="Y2144" s="51"/>
    </row>
    <row r="2145" spans="1:25">
      <c r="A2145" s="49"/>
      <c r="P2145" s="51"/>
      <c r="Q2145" s="51"/>
      <c r="R2145" s="51"/>
      <c r="T2145" s="51"/>
      <c r="U2145" s="51"/>
      <c r="V2145" s="51"/>
      <c r="W2145" s="51"/>
      <c r="X2145" s="51"/>
      <c r="Y2145" s="51"/>
    </row>
    <row r="2146" spans="1:25">
      <c r="A2146" s="49"/>
      <c r="P2146" s="51"/>
      <c r="Q2146" s="51"/>
      <c r="R2146" s="51"/>
      <c r="T2146" s="51"/>
      <c r="U2146" s="51"/>
      <c r="V2146" s="51"/>
      <c r="W2146" s="51"/>
      <c r="X2146" s="51"/>
      <c r="Y2146" s="51"/>
    </row>
    <row r="2147" spans="1:25">
      <c r="A2147" s="49"/>
      <c r="P2147" s="51"/>
      <c r="Q2147" s="51"/>
      <c r="R2147" s="51"/>
      <c r="T2147" s="51"/>
      <c r="U2147" s="51"/>
      <c r="V2147" s="51"/>
      <c r="W2147" s="51"/>
      <c r="X2147" s="51"/>
      <c r="Y2147" s="51"/>
    </row>
    <row r="2148" spans="1:25">
      <c r="A2148" s="49"/>
      <c r="P2148" s="51"/>
      <c r="Q2148" s="51"/>
      <c r="R2148" s="51"/>
      <c r="T2148" s="51"/>
      <c r="U2148" s="51"/>
      <c r="V2148" s="51"/>
      <c r="W2148" s="51"/>
      <c r="X2148" s="51"/>
      <c r="Y2148" s="51"/>
    </row>
    <row r="2149" spans="1:25">
      <c r="A2149" s="49"/>
      <c r="P2149" s="51"/>
      <c r="Q2149" s="51"/>
      <c r="R2149" s="51"/>
      <c r="T2149" s="51"/>
      <c r="U2149" s="51"/>
      <c r="V2149" s="51"/>
      <c r="W2149" s="51"/>
      <c r="X2149" s="51"/>
      <c r="Y2149" s="51"/>
    </row>
    <row r="2150" spans="1:25">
      <c r="A2150" s="49"/>
      <c r="P2150" s="51"/>
      <c r="Q2150" s="51"/>
      <c r="R2150" s="51"/>
      <c r="T2150" s="51"/>
      <c r="U2150" s="51"/>
      <c r="V2150" s="51"/>
      <c r="W2150" s="51"/>
      <c r="X2150" s="51"/>
      <c r="Y2150" s="51"/>
    </row>
    <row r="2151" spans="1:25">
      <c r="A2151" s="49"/>
      <c r="P2151" s="51"/>
      <c r="Q2151" s="51"/>
      <c r="R2151" s="51"/>
      <c r="T2151" s="51"/>
      <c r="U2151" s="51"/>
      <c r="V2151" s="51"/>
      <c r="W2151" s="51"/>
      <c r="X2151" s="51"/>
      <c r="Y2151" s="51"/>
    </row>
    <row r="2152" spans="1:25">
      <c r="A2152" s="49"/>
      <c r="P2152" s="51"/>
      <c r="Q2152" s="51"/>
      <c r="R2152" s="51"/>
      <c r="T2152" s="51"/>
      <c r="U2152" s="51"/>
      <c r="V2152" s="51"/>
      <c r="W2152" s="51"/>
      <c r="X2152" s="51"/>
      <c r="Y2152" s="51"/>
    </row>
    <row r="2153" spans="1:25">
      <c r="A2153" s="49"/>
      <c r="P2153" s="51"/>
      <c r="Q2153" s="51"/>
      <c r="R2153" s="51"/>
      <c r="T2153" s="51"/>
      <c r="U2153" s="51"/>
      <c r="V2153" s="51"/>
      <c r="W2153" s="51"/>
      <c r="X2153" s="51"/>
      <c r="Y2153" s="51"/>
    </row>
    <row r="2154" spans="1:25">
      <c r="A2154" s="49"/>
      <c r="P2154" s="51"/>
      <c r="Q2154" s="51"/>
      <c r="R2154" s="51"/>
      <c r="T2154" s="51"/>
      <c r="U2154" s="51"/>
      <c r="V2154" s="51"/>
      <c r="W2154" s="51"/>
      <c r="X2154" s="51"/>
      <c r="Y2154" s="51"/>
    </row>
    <row r="2155" spans="1:25">
      <c r="A2155" s="49"/>
      <c r="P2155" s="51"/>
      <c r="Q2155" s="51"/>
      <c r="R2155" s="51"/>
      <c r="T2155" s="51"/>
      <c r="U2155" s="51"/>
      <c r="V2155" s="51"/>
      <c r="W2155" s="51"/>
      <c r="X2155" s="51"/>
      <c r="Y2155" s="51"/>
    </row>
    <row r="2156" spans="1:25">
      <c r="A2156" s="49"/>
      <c r="P2156" s="51"/>
      <c r="Q2156" s="51"/>
      <c r="R2156" s="51"/>
      <c r="T2156" s="51"/>
      <c r="U2156" s="51"/>
      <c r="V2156" s="51"/>
      <c r="W2156" s="51"/>
      <c r="X2156" s="51"/>
      <c r="Y2156" s="51"/>
    </row>
    <row r="2157" spans="1:25">
      <c r="A2157" s="49"/>
      <c r="P2157" s="51"/>
      <c r="Q2157" s="51"/>
      <c r="R2157" s="51"/>
      <c r="T2157" s="51"/>
      <c r="U2157" s="51"/>
      <c r="V2157" s="51"/>
      <c r="W2157" s="51"/>
      <c r="X2157" s="51"/>
      <c r="Y2157" s="51"/>
    </row>
    <row r="2158" spans="1:25">
      <c r="A2158" s="49"/>
      <c r="P2158" s="51"/>
      <c r="Q2158" s="51"/>
      <c r="R2158" s="51"/>
      <c r="T2158" s="51"/>
      <c r="U2158" s="51"/>
      <c r="V2158" s="51"/>
      <c r="W2158" s="51"/>
      <c r="X2158" s="51"/>
      <c r="Y2158" s="51"/>
    </row>
    <row r="2159" spans="1:25">
      <c r="A2159" s="49"/>
      <c r="P2159" s="51"/>
      <c r="Q2159" s="51"/>
      <c r="R2159" s="51"/>
      <c r="T2159" s="51"/>
      <c r="U2159" s="51"/>
      <c r="V2159" s="51"/>
      <c r="W2159" s="51"/>
      <c r="X2159" s="51"/>
      <c r="Y2159" s="51"/>
    </row>
    <row r="2160" spans="1:25">
      <c r="A2160" s="49"/>
      <c r="P2160" s="51"/>
      <c r="Q2160" s="51"/>
      <c r="R2160" s="51"/>
      <c r="T2160" s="51"/>
      <c r="U2160" s="51"/>
      <c r="V2160" s="51"/>
      <c r="W2160" s="51"/>
      <c r="X2160" s="51"/>
      <c r="Y2160" s="51"/>
    </row>
    <row r="2161" spans="1:25">
      <c r="A2161" s="49"/>
      <c r="P2161" s="51"/>
      <c r="Q2161" s="51"/>
      <c r="R2161" s="51"/>
      <c r="T2161" s="51"/>
      <c r="U2161" s="51"/>
      <c r="V2161" s="51"/>
      <c r="W2161" s="51"/>
      <c r="X2161" s="51"/>
      <c r="Y2161" s="51"/>
    </row>
    <row r="2162" spans="1:25">
      <c r="A2162" s="49"/>
      <c r="P2162" s="51"/>
      <c r="Q2162" s="51"/>
      <c r="R2162" s="51"/>
      <c r="T2162" s="51"/>
      <c r="U2162" s="51"/>
      <c r="V2162" s="51"/>
      <c r="W2162" s="51"/>
      <c r="X2162" s="51"/>
      <c r="Y2162" s="51"/>
    </row>
    <row r="2163" spans="1:25">
      <c r="A2163" s="49"/>
      <c r="P2163" s="51"/>
      <c r="Q2163" s="51"/>
      <c r="R2163" s="51"/>
      <c r="T2163" s="51"/>
      <c r="U2163" s="51"/>
      <c r="V2163" s="51"/>
      <c r="W2163" s="51"/>
      <c r="X2163" s="51"/>
      <c r="Y2163" s="51"/>
    </row>
    <row r="2164" spans="1:25">
      <c r="A2164" s="49"/>
      <c r="P2164" s="51"/>
      <c r="Q2164" s="51"/>
      <c r="R2164" s="51"/>
      <c r="T2164" s="51"/>
      <c r="U2164" s="51"/>
      <c r="V2164" s="51"/>
      <c r="W2164" s="51"/>
      <c r="X2164" s="51"/>
      <c r="Y2164" s="51"/>
    </row>
    <row r="2165" spans="1:25">
      <c r="A2165" s="49"/>
      <c r="P2165" s="51"/>
      <c r="Q2165" s="51"/>
      <c r="R2165" s="51"/>
      <c r="T2165" s="51"/>
      <c r="U2165" s="51"/>
      <c r="V2165" s="51"/>
      <c r="W2165" s="51"/>
      <c r="X2165" s="51"/>
      <c r="Y2165" s="51"/>
    </row>
    <row r="2166" spans="1:25">
      <c r="A2166" s="49"/>
      <c r="P2166" s="51"/>
      <c r="Q2166" s="51"/>
      <c r="R2166" s="51"/>
      <c r="T2166" s="51"/>
      <c r="U2166" s="51"/>
      <c r="V2166" s="51"/>
      <c r="W2166" s="51"/>
      <c r="X2166" s="51"/>
      <c r="Y2166" s="51"/>
    </row>
    <row r="2167" spans="1:25">
      <c r="A2167" s="49"/>
      <c r="P2167" s="51"/>
      <c r="Q2167" s="51"/>
      <c r="R2167" s="51"/>
      <c r="T2167" s="51"/>
      <c r="U2167" s="51"/>
      <c r="V2167" s="51"/>
      <c r="W2167" s="51"/>
      <c r="X2167" s="51"/>
      <c r="Y2167" s="51"/>
    </row>
    <row r="2168" spans="1:25">
      <c r="A2168" s="49"/>
      <c r="P2168" s="51"/>
      <c r="Q2168" s="51"/>
      <c r="R2168" s="51"/>
      <c r="T2168" s="51"/>
      <c r="U2168" s="51"/>
      <c r="V2168" s="51"/>
      <c r="W2168" s="51"/>
      <c r="X2168" s="51"/>
      <c r="Y2168" s="51"/>
    </row>
    <row r="2169" spans="1:25">
      <c r="A2169" s="49"/>
      <c r="P2169" s="51"/>
      <c r="Q2169" s="51"/>
      <c r="R2169" s="51"/>
      <c r="T2169" s="51"/>
      <c r="U2169" s="51"/>
      <c r="V2169" s="51"/>
      <c r="W2169" s="51"/>
      <c r="X2169" s="51"/>
      <c r="Y2169" s="51"/>
    </row>
    <row r="2170" spans="1:25">
      <c r="A2170" s="49"/>
      <c r="P2170" s="51"/>
      <c r="Q2170" s="51"/>
      <c r="R2170" s="51"/>
      <c r="T2170" s="51"/>
      <c r="U2170" s="51"/>
      <c r="V2170" s="51"/>
      <c r="W2170" s="51"/>
      <c r="X2170" s="51"/>
      <c r="Y2170" s="51"/>
    </row>
    <row r="2171" spans="1:25">
      <c r="A2171" s="49"/>
      <c r="P2171" s="51"/>
      <c r="Q2171" s="51"/>
      <c r="R2171" s="51"/>
      <c r="T2171" s="51"/>
      <c r="U2171" s="51"/>
      <c r="V2171" s="51"/>
      <c r="W2171" s="51"/>
      <c r="X2171" s="51"/>
      <c r="Y2171" s="51"/>
    </row>
    <row r="2172" spans="1:25">
      <c r="A2172" s="49"/>
      <c r="P2172" s="51"/>
      <c r="Q2172" s="51"/>
      <c r="R2172" s="51"/>
      <c r="T2172" s="51"/>
      <c r="U2172" s="51"/>
      <c r="V2172" s="51"/>
      <c r="W2172" s="51"/>
      <c r="X2172" s="51"/>
      <c r="Y2172" s="51"/>
    </row>
    <row r="2173" spans="1:25">
      <c r="A2173" s="49"/>
      <c r="P2173" s="51"/>
      <c r="Q2173" s="51"/>
      <c r="R2173" s="51"/>
      <c r="T2173" s="51"/>
      <c r="U2173" s="51"/>
      <c r="V2173" s="51"/>
      <c r="W2173" s="51"/>
      <c r="X2173" s="51"/>
      <c r="Y2173" s="51"/>
    </row>
    <row r="2174" spans="1:25">
      <c r="A2174" s="49"/>
      <c r="P2174" s="51"/>
      <c r="Q2174" s="51"/>
      <c r="R2174" s="51"/>
      <c r="T2174" s="51"/>
      <c r="U2174" s="51"/>
      <c r="V2174" s="51"/>
      <c r="W2174" s="51"/>
      <c r="X2174" s="51"/>
      <c r="Y2174" s="51"/>
    </row>
    <row r="2175" spans="1:25">
      <c r="A2175" s="49"/>
      <c r="P2175" s="51"/>
      <c r="Q2175" s="51"/>
      <c r="R2175" s="51"/>
      <c r="T2175" s="51"/>
      <c r="U2175" s="51"/>
      <c r="V2175" s="51"/>
      <c r="W2175" s="51"/>
      <c r="X2175" s="51"/>
      <c r="Y2175" s="51"/>
    </row>
    <row r="2176" spans="1:25">
      <c r="A2176" s="49"/>
      <c r="P2176" s="51"/>
      <c r="Q2176" s="51"/>
      <c r="R2176" s="51"/>
      <c r="T2176" s="51"/>
      <c r="U2176" s="51"/>
      <c r="V2176" s="51"/>
      <c r="W2176" s="51"/>
      <c r="X2176" s="51"/>
      <c r="Y2176" s="51"/>
    </row>
    <row r="2177" spans="1:25">
      <c r="A2177" s="49"/>
      <c r="P2177" s="51"/>
      <c r="Q2177" s="51"/>
      <c r="R2177" s="51"/>
      <c r="T2177" s="51"/>
      <c r="U2177" s="51"/>
      <c r="V2177" s="51"/>
      <c r="W2177" s="51"/>
      <c r="X2177" s="51"/>
      <c r="Y2177" s="51"/>
    </row>
    <row r="2178" spans="1:25">
      <c r="A2178" s="49"/>
      <c r="P2178" s="51"/>
      <c r="Q2178" s="51"/>
      <c r="R2178" s="51"/>
      <c r="T2178" s="51"/>
      <c r="U2178" s="51"/>
      <c r="V2178" s="51"/>
      <c r="W2178" s="51"/>
      <c r="X2178" s="51"/>
      <c r="Y2178" s="51"/>
    </row>
    <row r="2179" spans="1:25">
      <c r="A2179" s="49"/>
      <c r="P2179" s="51"/>
      <c r="Q2179" s="51"/>
      <c r="R2179" s="51"/>
      <c r="T2179" s="51"/>
      <c r="U2179" s="51"/>
      <c r="V2179" s="51"/>
      <c r="W2179" s="51"/>
      <c r="X2179" s="51"/>
      <c r="Y2179" s="51"/>
    </row>
    <row r="2180" spans="1:25">
      <c r="A2180" s="49"/>
      <c r="P2180" s="51"/>
      <c r="Q2180" s="51"/>
      <c r="R2180" s="51"/>
      <c r="T2180" s="51"/>
      <c r="U2180" s="51"/>
      <c r="V2180" s="51"/>
      <c r="W2180" s="51"/>
      <c r="X2180" s="51"/>
      <c r="Y2180" s="51"/>
    </row>
    <row r="2181" spans="1:25">
      <c r="A2181" s="49"/>
      <c r="P2181" s="51"/>
      <c r="Q2181" s="51"/>
      <c r="R2181" s="51"/>
      <c r="T2181" s="51"/>
      <c r="U2181" s="51"/>
      <c r="V2181" s="51"/>
      <c r="W2181" s="51"/>
      <c r="X2181" s="51"/>
      <c r="Y2181" s="51"/>
    </row>
    <row r="2182" spans="1:25">
      <c r="A2182" s="49"/>
      <c r="P2182" s="51"/>
      <c r="Q2182" s="51"/>
      <c r="R2182" s="51"/>
      <c r="T2182" s="51"/>
      <c r="U2182" s="51"/>
      <c r="V2182" s="51"/>
      <c r="W2182" s="51"/>
      <c r="X2182" s="51"/>
      <c r="Y2182" s="51"/>
    </row>
    <row r="2183" spans="1:25">
      <c r="A2183" s="49"/>
      <c r="P2183" s="51"/>
      <c r="Q2183" s="51"/>
      <c r="R2183" s="51"/>
      <c r="T2183" s="51"/>
      <c r="U2183" s="51"/>
      <c r="V2183" s="51"/>
      <c r="W2183" s="51"/>
      <c r="X2183" s="51"/>
      <c r="Y2183" s="51"/>
    </row>
    <row r="2184" spans="1:25">
      <c r="A2184" s="49"/>
      <c r="P2184" s="51"/>
      <c r="Q2184" s="51"/>
      <c r="R2184" s="51"/>
      <c r="T2184" s="51"/>
      <c r="U2184" s="51"/>
      <c r="V2184" s="51"/>
      <c r="W2184" s="51"/>
      <c r="X2184" s="51"/>
      <c r="Y2184" s="51"/>
    </row>
    <row r="2185" spans="1:25">
      <c r="A2185" s="49"/>
      <c r="P2185" s="51"/>
      <c r="Q2185" s="51"/>
      <c r="R2185" s="51"/>
      <c r="T2185" s="51"/>
      <c r="U2185" s="51"/>
      <c r="V2185" s="51"/>
      <c r="W2185" s="51"/>
      <c r="X2185" s="51"/>
      <c r="Y2185" s="51"/>
    </row>
    <row r="2186" spans="1:25">
      <c r="A2186" s="49"/>
      <c r="P2186" s="51"/>
      <c r="Q2186" s="51"/>
      <c r="R2186" s="51"/>
      <c r="T2186" s="51"/>
      <c r="U2186" s="51"/>
      <c r="V2186" s="51"/>
      <c r="W2186" s="51"/>
      <c r="X2186" s="51"/>
      <c r="Y2186" s="51"/>
    </row>
    <row r="2187" spans="1:25">
      <c r="A2187" s="49"/>
      <c r="P2187" s="51"/>
      <c r="Q2187" s="51"/>
      <c r="R2187" s="51"/>
      <c r="T2187" s="51"/>
      <c r="U2187" s="51"/>
      <c r="V2187" s="51"/>
      <c r="W2187" s="51"/>
      <c r="X2187" s="51"/>
      <c r="Y2187" s="51"/>
    </row>
    <row r="2188" spans="1:25">
      <c r="A2188" s="49"/>
      <c r="P2188" s="51"/>
      <c r="Q2188" s="51"/>
      <c r="R2188" s="51"/>
      <c r="T2188" s="51"/>
      <c r="U2188" s="51"/>
      <c r="V2188" s="51"/>
      <c r="W2188" s="51"/>
      <c r="X2188" s="51"/>
      <c r="Y2188" s="51"/>
    </row>
    <row r="2189" spans="1:25">
      <c r="A2189" s="49"/>
      <c r="P2189" s="51"/>
      <c r="Q2189" s="51"/>
      <c r="R2189" s="51"/>
      <c r="T2189" s="51"/>
      <c r="U2189" s="51"/>
      <c r="V2189" s="51"/>
      <c r="W2189" s="51"/>
      <c r="X2189" s="51"/>
      <c r="Y2189" s="51"/>
    </row>
    <row r="2190" spans="1:25">
      <c r="A2190" s="49"/>
      <c r="P2190" s="51"/>
      <c r="Q2190" s="51"/>
      <c r="R2190" s="51"/>
      <c r="T2190" s="51"/>
      <c r="U2190" s="51"/>
      <c r="V2190" s="51"/>
      <c r="W2190" s="51"/>
      <c r="X2190" s="51"/>
      <c r="Y2190" s="51"/>
    </row>
    <row r="2191" spans="1:25">
      <c r="A2191" s="49"/>
      <c r="P2191" s="51"/>
      <c r="Q2191" s="51"/>
      <c r="R2191" s="51"/>
      <c r="T2191" s="51"/>
      <c r="U2191" s="51"/>
      <c r="V2191" s="51"/>
      <c r="W2191" s="51"/>
      <c r="X2191" s="51"/>
      <c r="Y2191" s="51"/>
    </row>
    <row r="2192" spans="1:25">
      <c r="A2192" s="49"/>
      <c r="P2192" s="51"/>
      <c r="Q2192" s="51"/>
      <c r="R2192" s="51"/>
      <c r="T2192" s="51"/>
      <c r="U2192" s="51"/>
      <c r="V2192" s="51"/>
      <c r="W2192" s="51"/>
      <c r="X2192" s="51"/>
      <c r="Y2192" s="51"/>
    </row>
    <row r="2193" spans="1:25">
      <c r="A2193" s="49"/>
      <c r="P2193" s="51"/>
      <c r="Q2193" s="51"/>
      <c r="R2193" s="51"/>
      <c r="T2193" s="51"/>
      <c r="U2193" s="51"/>
      <c r="V2193" s="51"/>
      <c r="W2193" s="51"/>
      <c r="X2193" s="51"/>
      <c r="Y2193" s="51"/>
    </row>
    <row r="2194" spans="1:25">
      <c r="A2194" s="49"/>
      <c r="P2194" s="51"/>
      <c r="Q2194" s="51"/>
      <c r="R2194" s="51"/>
      <c r="T2194" s="51"/>
      <c r="U2194" s="51"/>
      <c r="V2194" s="51"/>
      <c r="W2194" s="51"/>
      <c r="X2194" s="51"/>
      <c r="Y2194" s="51"/>
    </row>
    <row r="2195" spans="1:25">
      <c r="A2195" s="49"/>
      <c r="P2195" s="51"/>
      <c r="Q2195" s="51"/>
      <c r="R2195" s="51"/>
      <c r="T2195" s="51"/>
      <c r="U2195" s="51"/>
      <c r="V2195" s="51"/>
      <c r="W2195" s="51"/>
      <c r="X2195" s="51"/>
      <c r="Y2195" s="51"/>
    </row>
    <row r="2196" spans="1:25">
      <c r="A2196" s="49"/>
      <c r="P2196" s="51"/>
      <c r="Q2196" s="51"/>
      <c r="R2196" s="51"/>
      <c r="T2196" s="51"/>
      <c r="U2196" s="51"/>
      <c r="V2196" s="51"/>
      <c r="W2196" s="51"/>
      <c r="X2196" s="51"/>
      <c r="Y2196" s="51"/>
    </row>
    <row r="2197" spans="1:25">
      <c r="A2197" s="49"/>
      <c r="P2197" s="51"/>
      <c r="Q2197" s="51"/>
      <c r="R2197" s="51"/>
      <c r="T2197" s="51"/>
      <c r="U2197" s="51"/>
      <c r="V2197" s="51"/>
      <c r="W2197" s="51"/>
      <c r="X2197" s="51"/>
      <c r="Y2197" s="51"/>
    </row>
    <row r="2198" spans="1:25">
      <c r="A2198" s="49"/>
      <c r="P2198" s="51"/>
      <c r="Q2198" s="51"/>
      <c r="R2198" s="51"/>
      <c r="T2198" s="51"/>
      <c r="U2198" s="51"/>
      <c r="V2198" s="51"/>
      <c r="W2198" s="51"/>
      <c r="X2198" s="51"/>
      <c r="Y2198" s="51"/>
    </row>
    <row r="2199" spans="1:25">
      <c r="A2199" s="49"/>
      <c r="P2199" s="51"/>
      <c r="Q2199" s="51"/>
      <c r="R2199" s="51"/>
      <c r="T2199" s="51"/>
      <c r="U2199" s="51"/>
      <c r="V2199" s="51"/>
      <c r="W2199" s="51"/>
      <c r="X2199" s="51"/>
      <c r="Y2199" s="51"/>
    </row>
    <row r="2200" spans="1:25">
      <c r="A2200" s="49"/>
      <c r="P2200" s="51"/>
      <c r="Q2200" s="51"/>
      <c r="R2200" s="51"/>
      <c r="T2200" s="51"/>
      <c r="U2200" s="51"/>
      <c r="V2200" s="51"/>
      <c r="W2200" s="51"/>
      <c r="X2200" s="51"/>
      <c r="Y2200" s="51"/>
    </row>
    <row r="2201" spans="1:25">
      <c r="A2201" s="49"/>
      <c r="P2201" s="51"/>
      <c r="Q2201" s="51"/>
      <c r="R2201" s="51"/>
      <c r="T2201" s="51"/>
      <c r="U2201" s="51"/>
      <c r="V2201" s="51"/>
      <c r="W2201" s="51"/>
      <c r="X2201" s="51"/>
      <c r="Y2201" s="51"/>
    </row>
    <row r="2202" spans="1:25">
      <c r="A2202" s="49"/>
      <c r="P2202" s="51"/>
      <c r="Q2202" s="51"/>
      <c r="R2202" s="51"/>
      <c r="T2202" s="51"/>
      <c r="U2202" s="51"/>
      <c r="V2202" s="51"/>
      <c r="W2202" s="51"/>
      <c r="X2202" s="51"/>
      <c r="Y2202" s="51"/>
    </row>
    <row r="2203" spans="1:25">
      <c r="A2203" s="49"/>
      <c r="P2203" s="51"/>
      <c r="Q2203" s="51"/>
      <c r="R2203" s="51"/>
      <c r="T2203" s="51"/>
      <c r="U2203" s="51"/>
      <c r="V2203" s="51"/>
      <c r="W2203" s="51"/>
      <c r="X2203" s="51"/>
      <c r="Y2203" s="51"/>
    </row>
    <row r="2204" spans="1:25">
      <c r="A2204" s="49"/>
      <c r="P2204" s="51"/>
      <c r="Q2204" s="51"/>
      <c r="R2204" s="51"/>
      <c r="T2204" s="51"/>
      <c r="U2204" s="51"/>
      <c r="V2204" s="51"/>
      <c r="W2204" s="51"/>
      <c r="X2204" s="51"/>
      <c r="Y2204" s="51"/>
    </row>
    <row r="2205" spans="1:25">
      <c r="A2205" s="49"/>
      <c r="P2205" s="51"/>
      <c r="Q2205" s="51"/>
      <c r="R2205" s="51"/>
      <c r="T2205" s="51"/>
      <c r="U2205" s="51"/>
      <c r="V2205" s="51"/>
      <c r="W2205" s="51"/>
      <c r="X2205" s="51"/>
      <c r="Y2205" s="51"/>
    </row>
    <row r="2206" spans="1:25">
      <c r="A2206" s="49"/>
      <c r="P2206" s="51"/>
      <c r="Q2206" s="51"/>
      <c r="R2206" s="51"/>
      <c r="T2206" s="51"/>
      <c r="U2206" s="51"/>
      <c r="V2206" s="51"/>
      <c r="W2206" s="51"/>
      <c r="X2206" s="51"/>
      <c r="Y2206" s="51"/>
    </row>
    <row r="2207" spans="1:25">
      <c r="A2207" s="49"/>
      <c r="P2207" s="51"/>
      <c r="Q2207" s="51"/>
      <c r="R2207" s="51"/>
      <c r="T2207" s="51"/>
      <c r="U2207" s="51"/>
      <c r="V2207" s="51"/>
      <c r="W2207" s="51"/>
      <c r="X2207" s="51"/>
      <c r="Y2207" s="51"/>
    </row>
    <row r="2208" spans="1:25">
      <c r="A2208" s="49"/>
      <c r="P2208" s="51"/>
      <c r="Q2208" s="51"/>
      <c r="R2208" s="51"/>
      <c r="T2208" s="51"/>
      <c r="U2208" s="51"/>
      <c r="V2208" s="51"/>
      <c r="W2208" s="51"/>
      <c r="X2208" s="51"/>
      <c r="Y2208" s="51"/>
    </row>
    <row r="2209" spans="1:25">
      <c r="A2209" s="49"/>
      <c r="P2209" s="51"/>
      <c r="Q2209" s="51"/>
      <c r="R2209" s="51"/>
      <c r="T2209" s="51"/>
      <c r="U2209" s="51"/>
      <c r="V2209" s="51"/>
      <c r="W2209" s="51"/>
      <c r="X2209" s="51"/>
      <c r="Y2209" s="51"/>
    </row>
    <row r="2210" spans="1:25">
      <c r="A2210" s="49"/>
      <c r="P2210" s="51"/>
      <c r="Q2210" s="51"/>
      <c r="R2210" s="51"/>
      <c r="T2210" s="51"/>
      <c r="U2210" s="51"/>
      <c r="V2210" s="51"/>
      <c r="W2210" s="51"/>
      <c r="X2210" s="51"/>
      <c r="Y2210" s="51"/>
    </row>
    <row r="2211" spans="1:25">
      <c r="A2211" s="49"/>
      <c r="P2211" s="51"/>
      <c r="Q2211" s="51"/>
      <c r="R2211" s="51"/>
      <c r="T2211" s="51"/>
      <c r="U2211" s="51"/>
      <c r="V2211" s="51"/>
      <c r="W2211" s="51"/>
      <c r="X2211" s="51"/>
      <c r="Y2211" s="51"/>
    </row>
    <row r="2212" spans="1:25">
      <c r="A2212" s="49"/>
      <c r="P2212" s="51"/>
      <c r="Q2212" s="51"/>
      <c r="R2212" s="51"/>
      <c r="T2212" s="51"/>
      <c r="U2212" s="51"/>
      <c r="V2212" s="51"/>
      <c r="W2212" s="51"/>
      <c r="X2212" s="51"/>
      <c r="Y2212" s="51"/>
    </row>
    <row r="2213" spans="1:25">
      <c r="A2213" s="49"/>
      <c r="P2213" s="51"/>
      <c r="Q2213" s="51"/>
      <c r="R2213" s="51"/>
      <c r="T2213" s="51"/>
      <c r="U2213" s="51"/>
      <c r="V2213" s="51"/>
      <c r="W2213" s="51"/>
      <c r="X2213" s="51"/>
      <c r="Y2213" s="51"/>
    </row>
    <row r="2214" spans="1:25">
      <c r="A2214" s="49"/>
      <c r="P2214" s="51"/>
      <c r="Q2214" s="51"/>
      <c r="R2214" s="51"/>
      <c r="T2214" s="51"/>
      <c r="U2214" s="51"/>
      <c r="V2214" s="51"/>
      <c r="W2214" s="51"/>
      <c r="X2214" s="51"/>
      <c r="Y2214" s="51"/>
    </row>
    <row r="2215" spans="1:25">
      <c r="A2215" s="49"/>
      <c r="P2215" s="51"/>
      <c r="Q2215" s="51"/>
      <c r="R2215" s="51"/>
      <c r="T2215" s="51"/>
      <c r="U2215" s="51"/>
      <c r="V2215" s="51"/>
      <c r="W2215" s="51"/>
      <c r="X2215" s="51"/>
      <c r="Y2215" s="51"/>
    </row>
    <row r="2216" spans="1:25">
      <c r="A2216" s="49"/>
      <c r="P2216" s="51"/>
      <c r="Q2216" s="51"/>
      <c r="R2216" s="51"/>
      <c r="T2216" s="51"/>
      <c r="U2216" s="51"/>
      <c r="V2216" s="51"/>
      <c r="W2216" s="51"/>
      <c r="X2216" s="51"/>
      <c r="Y2216" s="51"/>
    </row>
    <row r="2217" spans="1:25">
      <c r="A2217" s="49"/>
      <c r="P2217" s="51"/>
      <c r="Q2217" s="51"/>
      <c r="R2217" s="51"/>
      <c r="T2217" s="51"/>
      <c r="U2217" s="51"/>
      <c r="V2217" s="51"/>
      <c r="W2217" s="51"/>
      <c r="X2217" s="51"/>
      <c r="Y2217" s="51"/>
    </row>
    <row r="2218" spans="1:25">
      <c r="A2218" s="49"/>
      <c r="P2218" s="51"/>
      <c r="Q2218" s="51"/>
      <c r="R2218" s="51"/>
      <c r="T2218" s="51"/>
      <c r="U2218" s="51"/>
      <c r="V2218" s="51"/>
      <c r="W2218" s="51"/>
      <c r="X2218" s="51"/>
      <c r="Y2218" s="51"/>
    </row>
    <row r="2219" spans="1:25">
      <c r="A2219" s="49"/>
      <c r="P2219" s="51"/>
      <c r="Q2219" s="51"/>
      <c r="R2219" s="51"/>
      <c r="T2219" s="51"/>
      <c r="U2219" s="51"/>
      <c r="V2219" s="51"/>
      <c r="W2219" s="51"/>
      <c r="X2219" s="51"/>
      <c r="Y2219" s="51"/>
    </row>
    <row r="2220" spans="1:25">
      <c r="A2220" s="49"/>
      <c r="P2220" s="51"/>
      <c r="Q2220" s="51"/>
      <c r="R2220" s="51"/>
      <c r="T2220" s="51"/>
      <c r="U2220" s="51"/>
      <c r="V2220" s="51"/>
      <c r="W2220" s="51"/>
      <c r="X2220" s="51"/>
      <c r="Y2220" s="51"/>
    </row>
    <row r="2221" spans="1:25">
      <c r="A2221" s="49"/>
      <c r="P2221" s="51"/>
      <c r="Q2221" s="51"/>
      <c r="R2221" s="51"/>
      <c r="T2221" s="51"/>
      <c r="U2221" s="51"/>
      <c r="V2221" s="51"/>
      <c r="W2221" s="51"/>
      <c r="X2221" s="51"/>
      <c r="Y2221" s="51"/>
    </row>
    <row r="2222" spans="1:25">
      <c r="A2222" s="49"/>
      <c r="P2222" s="51"/>
      <c r="Q2222" s="51"/>
      <c r="R2222" s="51"/>
      <c r="T2222" s="51"/>
      <c r="U2222" s="51"/>
      <c r="V2222" s="51"/>
      <c r="W2222" s="51"/>
      <c r="X2222" s="51"/>
      <c r="Y2222" s="51"/>
    </row>
    <row r="2223" spans="1:25">
      <c r="A2223" s="49"/>
      <c r="P2223" s="51"/>
      <c r="Q2223" s="51"/>
      <c r="R2223" s="51"/>
      <c r="T2223" s="51"/>
      <c r="U2223" s="51"/>
      <c r="V2223" s="51"/>
      <c r="W2223" s="51"/>
      <c r="X2223" s="51"/>
      <c r="Y2223" s="51"/>
    </row>
    <row r="2224" spans="1:25">
      <c r="A2224" s="49"/>
      <c r="P2224" s="51"/>
      <c r="Q2224" s="51"/>
      <c r="R2224" s="51"/>
      <c r="T2224" s="51"/>
      <c r="U2224" s="51"/>
      <c r="V2224" s="51"/>
      <c r="W2224" s="51"/>
      <c r="X2224" s="51"/>
      <c r="Y2224" s="51"/>
    </row>
    <row r="2225" spans="1:25">
      <c r="A2225" s="49"/>
      <c r="P2225" s="51"/>
      <c r="Q2225" s="51"/>
      <c r="R2225" s="51"/>
      <c r="T2225" s="51"/>
      <c r="U2225" s="51"/>
      <c r="V2225" s="51"/>
      <c r="W2225" s="51"/>
      <c r="X2225" s="51"/>
      <c r="Y2225" s="51"/>
    </row>
    <row r="2226" spans="1:25">
      <c r="A2226" s="49"/>
      <c r="P2226" s="51"/>
      <c r="Q2226" s="51"/>
      <c r="R2226" s="51"/>
      <c r="T2226" s="51"/>
      <c r="U2226" s="51"/>
      <c r="V2226" s="51"/>
      <c r="W2226" s="51"/>
      <c r="X2226" s="51"/>
      <c r="Y2226" s="51"/>
    </row>
    <row r="2227" spans="1:25">
      <c r="A2227" s="49"/>
      <c r="P2227" s="51"/>
      <c r="Q2227" s="51"/>
      <c r="R2227" s="51"/>
      <c r="T2227" s="51"/>
      <c r="U2227" s="51"/>
      <c r="V2227" s="51"/>
      <c r="W2227" s="51"/>
      <c r="X2227" s="51"/>
      <c r="Y2227" s="51"/>
    </row>
    <row r="2228" spans="1:25">
      <c r="A2228" s="49"/>
      <c r="P2228" s="51"/>
      <c r="Q2228" s="51"/>
      <c r="R2228" s="51"/>
      <c r="T2228" s="51"/>
      <c r="U2228" s="51"/>
      <c r="V2228" s="51"/>
      <c r="W2228" s="51"/>
      <c r="X2228" s="51"/>
      <c r="Y2228" s="51"/>
    </row>
    <row r="2229" spans="1:25">
      <c r="A2229" s="49"/>
      <c r="P2229" s="51"/>
      <c r="Q2229" s="51"/>
      <c r="R2229" s="51"/>
      <c r="T2229" s="51"/>
      <c r="U2229" s="51"/>
      <c r="V2229" s="51"/>
      <c r="W2229" s="51"/>
      <c r="X2229" s="51"/>
      <c r="Y2229" s="51"/>
    </row>
    <row r="2230" spans="1:25">
      <c r="A2230" s="49"/>
      <c r="P2230" s="51"/>
      <c r="Q2230" s="51"/>
      <c r="R2230" s="51"/>
      <c r="T2230" s="51"/>
      <c r="U2230" s="51"/>
      <c r="V2230" s="51"/>
      <c r="W2230" s="51"/>
      <c r="X2230" s="51"/>
      <c r="Y2230" s="51"/>
    </row>
    <row r="2231" spans="1:25">
      <c r="A2231" s="49"/>
      <c r="P2231" s="51"/>
      <c r="Q2231" s="51"/>
      <c r="R2231" s="51"/>
      <c r="T2231" s="51"/>
      <c r="U2231" s="51"/>
      <c r="V2231" s="51"/>
      <c r="W2231" s="51"/>
      <c r="X2231" s="51"/>
      <c r="Y2231" s="51"/>
    </row>
    <row r="2232" spans="1:25">
      <c r="A2232" s="49"/>
      <c r="P2232" s="51"/>
      <c r="Q2232" s="51"/>
      <c r="R2232" s="51"/>
      <c r="T2232" s="51"/>
      <c r="U2232" s="51"/>
      <c r="V2232" s="51"/>
      <c r="W2232" s="51"/>
      <c r="X2232" s="51"/>
      <c r="Y2232" s="51"/>
    </row>
    <row r="2233" spans="1:25">
      <c r="A2233" s="49"/>
      <c r="P2233" s="51"/>
      <c r="Q2233" s="51"/>
      <c r="R2233" s="51"/>
      <c r="T2233" s="51"/>
      <c r="U2233" s="51"/>
      <c r="V2233" s="51"/>
      <c r="W2233" s="51"/>
      <c r="X2233" s="51"/>
      <c r="Y2233" s="51"/>
    </row>
    <row r="2234" spans="1:25">
      <c r="A2234" s="49"/>
      <c r="P2234" s="51"/>
      <c r="Q2234" s="51"/>
      <c r="R2234" s="51"/>
      <c r="T2234" s="51"/>
      <c r="U2234" s="51"/>
      <c r="V2234" s="51"/>
      <c r="W2234" s="51"/>
      <c r="X2234" s="51"/>
      <c r="Y2234" s="51"/>
    </row>
    <row r="2235" spans="1:25">
      <c r="A2235" s="49"/>
      <c r="P2235" s="51"/>
      <c r="Q2235" s="51"/>
      <c r="R2235" s="51"/>
      <c r="T2235" s="51"/>
      <c r="U2235" s="51"/>
      <c r="V2235" s="51"/>
      <c r="W2235" s="51"/>
      <c r="X2235" s="51"/>
      <c r="Y2235" s="51"/>
    </row>
    <row r="2236" spans="1:25">
      <c r="A2236" s="49"/>
      <c r="P2236" s="51"/>
      <c r="Q2236" s="51"/>
      <c r="R2236" s="51"/>
      <c r="T2236" s="51"/>
      <c r="U2236" s="51"/>
      <c r="V2236" s="51"/>
      <c r="W2236" s="51"/>
      <c r="X2236" s="51"/>
      <c r="Y2236" s="51"/>
    </row>
    <row r="2237" spans="1:25">
      <c r="A2237" s="49"/>
      <c r="P2237" s="51"/>
      <c r="Q2237" s="51"/>
      <c r="R2237" s="51"/>
      <c r="T2237" s="51"/>
      <c r="U2237" s="51"/>
      <c r="V2237" s="51"/>
      <c r="W2237" s="51"/>
      <c r="X2237" s="51"/>
      <c r="Y2237" s="51"/>
    </row>
    <row r="2238" spans="1:25">
      <c r="A2238" s="49"/>
      <c r="P2238" s="51"/>
      <c r="Q2238" s="51"/>
      <c r="R2238" s="51"/>
      <c r="T2238" s="51"/>
      <c r="U2238" s="51"/>
      <c r="V2238" s="51"/>
      <c r="W2238" s="51"/>
      <c r="X2238" s="51"/>
      <c r="Y2238" s="51"/>
    </row>
    <row r="2239" spans="1:25">
      <c r="A2239" s="49"/>
      <c r="P2239" s="51"/>
      <c r="Q2239" s="51"/>
      <c r="R2239" s="51"/>
      <c r="T2239" s="51"/>
      <c r="U2239" s="51"/>
      <c r="V2239" s="51"/>
      <c r="W2239" s="51"/>
      <c r="X2239" s="51"/>
      <c r="Y2239" s="51"/>
    </row>
    <row r="2240" spans="1:25">
      <c r="A2240" s="49"/>
      <c r="P2240" s="51"/>
      <c r="Q2240" s="51"/>
      <c r="R2240" s="51"/>
      <c r="T2240" s="51"/>
      <c r="U2240" s="51"/>
      <c r="V2240" s="51"/>
      <c r="W2240" s="51"/>
      <c r="X2240" s="51"/>
      <c r="Y2240" s="51"/>
    </row>
    <row r="2241" spans="1:25">
      <c r="A2241" s="49"/>
      <c r="P2241" s="51"/>
      <c r="Q2241" s="51"/>
      <c r="R2241" s="51"/>
      <c r="T2241" s="51"/>
      <c r="U2241" s="51"/>
      <c r="V2241" s="51"/>
      <c r="W2241" s="51"/>
      <c r="X2241" s="51"/>
      <c r="Y2241" s="51"/>
    </row>
    <row r="2242" spans="1:25">
      <c r="A2242" s="49"/>
      <c r="P2242" s="51"/>
      <c r="Q2242" s="51"/>
      <c r="R2242" s="51"/>
      <c r="T2242" s="51"/>
      <c r="U2242" s="51"/>
      <c r="V2242" s="51"/>
      <c r="W2242" s="51"/>
      <c r="X2242" s="51"/>
      <c r="Y2242" s="51"/>
    </row>
    <row r="2243" spans="1:25">
      <c r="A2243" s="49"/>
      <c r="P2243" s="51"/>
      <c r="Q2243" s="51"/>
      <c r="R2243" s="51"/>
      <c r="T2243" s="51"/>
      <c r="U2243" s="51"/>
      <c r="V2243" s="51"/>
      <c r="W2243" s="51"/>
      <c r="X2243" s="51"/>
      <c r="Y2243" s="51"/>
    </row>
    <row r="2244" spans="1:25">
      <c r="A2244" s="49"/>
      <c r="P2244" s="51"/>
      <c r="Q2244" s="51"/>
      <c r="R2244" s="51"/>
      <c r="T2244" s="51"/>
      <c r="U2244" s="51"/>
      <c r="V2244" s="51"/>
      <c r="W2244" s="51"/>
      <c r="X2244" s="51"/>
      <c r="Y2244" s="51"/>
    </row>
    <row r="2245" spans="1:25">
      <c r="A2245" s="49"/>
      <c r="P2245" s="51"/>
      <c r="Q2245" s="51"/>
      <c r="R2245" s="51"/>
      <c r="T2245" s="51"/>
      <c r="U2245" s="51"/>
      <c r="V2245" s="51"/>
      <c r="W2245" s="51"/>
      <c r="X2245" s="51"/>
      <c r="Y2245" s="51"/>
    </row>
    <row r="2246" spans="1:25">
      <c r="A2246" s="49"/>
      <c r="P2246" s="51"/>
      <c r="Q2246" s="51"/>
      <c r="R2246" s="51"/>
      <c r="T2246" s="51"/>
      <c r="U2246" s="51"/>
      <c r="V2246" s="51"/>
      <c r="W2246" s="51"/>
      <c r="X2246" s="51"/>
      <c r="Y2246" s="51"/>
    </row>
    <row r="2247" spans="1:25">
      <c r="A2247" s="49"/>
      <c r="P2247" s="51"/>
      <c r="Q2247" s="51"/>
      <c r="R2247" s="51"/>
      <c r="T2247" s="51"/>
      <c r="U2247" s="51"/>
      <c r="V2247" s="51"/>
      <c r="W2247" s="51"/>
      <c r="X2247" s="51"/>
      <c r="Y2247" s="51"/>
    </row>
    <row r="2248" spans="1:25">
      <c r="A2248" s="49"/>
      <c r="P2248" s="51"/>
      <c r="Q2248" s="51"/>
      <c r="R2248" s="51"/>
      <c r="T2248" s="51"/>
      <c r="U2248" s="51"/>
      <c r="V2248" s="51"/>
      <c r="W2248" s="51"/>
      <c r="X2248" s="51"/>
      <c r="Y2248" s="51"/>
    </row>
    <row r="2249" spans="1:25">
      <c r="A2249" s="49"/>
      <c r="P2249" s="51"/>
      <c r="Q2249" s="51"/>
      <c r="R2249" s="51"/>
      <c r="T2249" s="51"/>
      <c r="U2249" s="51"/>
      <c r="V2249" s="51"/>
      <c r="W2249" s="51"/>
      <c r="X2249" s="51"/>
      <c r="Y2249" s="51"/>
    </row>
    <row r="2250" spans="1:25">
      <c r="A2250" s="49"/>
      <c r="P2250" s="51"/>
      <c r="Q2250" s="51"/>
      <c r="R2250" s="51"/>
      <c r="T2250" s="51"/>
      <c r="U2250" s="51"/>
      <c r="V2250" s="51"/>
      <c r="W2250" s="51"/>
      <c r="X2250" s="51"/>
      <c r="Y2250" s="51"/>
    </row>
    <row r="2251" spans="1:25">
      <c r="A2251" s="49"/>
      <c r="P2251" s="51"/>
      <c r="Q2251" s="51"/>
      <c r="R2251" s="51"/>
      <c r="T2251" s="51"/>
      <c r="U2251" s="51"/>
      <c r="V2251" s="51"/>
      <c r="W2251" s="51"/>
      <c r="X2251" s="51"/>
      <c r="Y2251" s="51"/>
    </row>
    <row r="2252" spans="1:25">
      <c r="A2252" s="49"/>
      <c r="P2252" s="51"/>
      <c r="Q2252" s="51"/>
      <c r="R2252" s="51"/>
      <c r="T2252" s="51"/>
      <c r="U2252" s="51"/>
      <c r="V2252" s="51"/>
      <c r="W2252" s="51"/>
      <c r="X2252" s="51"/>
      <c r="Y2252" s="51"/>
    </row>
    <row r="2253" spans="1:25">
      <c r="A2253" s="49"/>
      <c r="P2253" s="51"/>
      <c r="Q2253" s="51"/>
      <c r="R2253" s="51"/>
      <c r="T2253" s="51"/>
      <c r="U2253" s="51"/>
      <c r="V2253" s="51"/>
      <c r="W2253" s="51"/>
      <c r="X2253" s="51"/>
      <c r="Y2253" s="51"/>
    </row>
    <row r="2254" spans="1:25">
      <c r="A2254" s="49"/>
      <c r="P2254" s="51"/>
      <c r="Q2254" s="51"/>
      <c r="R2254" s="51"/>
      <c r="T2254" s="51"/>
      <c r="U2254" s="51"/>
      <c r="V2254" s="51"/>
      <c r="W2254" s="51"/>
      <c r="X2254" s="51"/>
      <c r="Y2254" s="51"/>
    </row>
    <row r="2255" spans="1:25">
      <c r="A2255" s="49"/>
      <c r="P2255" s="51"/>
      <c r="Q2255" s="51"/>
      <c r="R2255" s="51"/>
      <c r="T2255" s="51"/>
      <c r="U2255" s="51"/>
      <c r="V2255" s="51"/>
      <c r="W2255" s="51"/>
      <c r="X2255" s="51"/>
      <c r="Y2255" s="51"/>
    </row>
    <row r="2256" spans="1:25">
      <c r="A2256" s="49"/>
      <c r="P2256" s="51"/>
      <c r="Q2256" s="51"/>
      <c r="R2256" s="51"/>
      <c r="T2256" s="51"/>
      <c r="U2256" s="51"/>
      <c r="V2256" s="51"/>
      <c r="W2256" s="51"/>
      <c r="X2256" s="51"/>
      <c r="Y2256" s="51"/>
    </row>
    <row r="2257" spans="1:25">
      <c r="A2257" s="49"/>
      <c r="P2257" s="51"/>
      <c r="Q2257" s="51"/>
      <c r="R2257" s="51"/>
      <c r="T2257" s="51"/>
      <c r="U2257" s="51"/>
      <c r="V2257" s="51"/>
      <c r="W2257" s="51"/>
      <c r="X2257" s="51"/>
      <c r="Y2257" s="51"/>
    </row>
    <row r="2258" spans="1:25">
      <c r="A2258" s="49"/>
      <c r="P2258" s="51"/>
      <c r="Q2258" s="51"/>
      <c r="R2258" s="51"/>
      <c r="T2258" s="51"/>
      <c r="U2258" s="51"/>
      <c r="V2258" s="51"/>
      <c r="W2258" s="51"/>
      <c r="X2258" s="51"/>
      <c r="Y2258" s="51"/>
    </row>
    <row r="2259" spans="1:25">
      <c r="A2259" s="49"/>
      <c r="P2259" s="51"/>
      <c r="Q2259" s="51"/>
      <c r="R2259" s="51"/>
      <c r="T2259" s="51"/>
      <c r="U2259" s="51"/>
      <c r="V2259" s="51"/>
      <c r="W2259" s="51"/>
      <c r="X2259" s="51"/>
      <c r="Y2259" s="51"/>
    </row>
    <row r="2260" spans="1:25">
      <c r="A2260" s="49"/>
      <c r="P2260" s="51"/>
      <c r="Q2260" s="51"/>
      <c r="R2260" s="51"/>
      <c r="T2260" s="51"/>
      <c r="U2260" s="51"/>
      <c r="V2260" s="51"/>
      <c r="W2260" s="51"/>
      <c r="X2260" s="51"/>
      <c r="Y2260" s="51"/>
    </row>
    <row r="2261" spans="1:25">
      <c r="A2261" s="49"/>
      <c r="P2261" s="51"/>
      <c r="Q2261" s="51"/>
      <c r="R2261" s="51"/>
      <c r="T2261" s="51"/>
      <c r="U2261" s="51"/>
      <c r="V2261" s="51"/>
      <c r="W2261" s="51"/>
      <c r="X2261" s="51"/>
      <c r="Y2261" s="51"/>
    </row>
    <row r="2262" spans="1:25">
      <c r="A2262" s="49"/>
      <c r="P2262" s="51"/>
      <c r="Q2262" s="51"/>
      <c r="R2262" s="51"/>
      <c r="T2262" s="51"/>
      <c r="U2262" s="51"/>
      <c r="V2262" s="51"/>
      <c r="W2262" s="51"/>
      <c r="X2262" s="51"/>
      <c r="Y2262" s="51"/>
    </row>
    <row r="2263" spans="1:25">
      <c r="A2263" s="49"/>
      <c r="P2263" s="51"/>
      <c r="Q2263" s="51"/>
      <c r="R2263" s="51"/>
      <c r="T2263" s="51"/>
      <c r="U2263" s="51"/>
      <c r="V2263" s="51"/>
      <c r="W2263" s="51"/>
      <c r="X2263" s="51"/>
      <c r="Y2263" s="51"/>
    </row>
    <row r="2264" spans="1:25">
      <c r="A2264" s="49"/>
      <c r="P2264" s="51"/>
      <c r="Q2264" s="51"/>
      <c r="R2264" s="51"/>
      <c r="T2264" s="51"/>
      <c r="U2264" s="51"/>
      <c r="V2264" s="51"/>
      <c r="W2264" s="51"/>
      <c r="X2264" s="51"/>
      <c r="Y2264" s="51"/>
    </row>
    <row r="2265" spans="1:25">
      <c r="A2265" s="49"/>
      <c r="P2265" s="51"/>
      <c r="Q2265" s="51"/>
      <c r="R2265" s="51"/>
      <c r="T2265" s="51"/>
      <c r="U2265" s="51"/>
      <c r="V2265" s="51"/>
      <c r="W2265" s="51"/>
      <c r="X2265" s="51"/>
      <c r="Y2265" s="51"/>
    </row>
    <row r="2266" spans="1:25">
      <c r="A2266" s="49"/>
      <c r="P2266" s="51"/>
      <c r="Q2266" s="51"/>
      <c r="R2266" s="51"/>
      <c r="T2266" s="51"/>
      <c r="U2266" s="51"/>
      <c r="V2266" s="51"/>
      <c r="W2266" s="51"/>
      <c r="X2266" s="51"/>
      <c r="Y2266" s="51"/>
    </row>
    <row r="2267" spans="1:25">
      <c r="A2267" s="49"/>
      <c r="P2267" s="51"/>
      <c r="Q2267" s="51"/>
      <c r="R2267" s="51"/>
      <c r="T2267" s="51"/>
      <c r="U2267" s="51"/>
      <c r="V2267" s="51"/>
      <c r="W2267" s="51"/>
      <c r="X2267" s="51"/>
      <c r="Y2267" s="51"/>
    </row>
    <row r="2268" spans="1:25">
      <c r="A2268" s="49"/>
      <c r="P2268" s="51"/>
      <c r="Q2268" s="51"/>
      <c r="R2268" s="51"/>
      <c r="T2268" s="51"/>
      <c r="U2268" s="51"/>
      <c r="V2268" s="51"/>
      <c r="W2268" s="51"/>
      <c r="X2268" s="51"/>
      <c r="Y2268" s="51"/>
    </row>
    <row r="2269" spans="1:25">
      <c r="A2269" s="49"/>
      <c r="P2269" s="51"/>
      <c r="Q2269" s="51"/>
      <c r="R2269" s="51"/>
      <c r="T2269" s="51"/>
      <c r="U2269" s="51"/>
      <c r="V2269" s="51"/>
      <c r="W2269" s="51"/>
      <c r="X2269" s="51"/>
      <c r="Y2269" s="51"/>
    </row>
    <row r="2270" spans="1:25">
      <c r="A2270" s="49"/>
      <c r="P2270" s="51"/>
      <c r="Q2270" s="51"/>
      <c r="R2270" s="51"/>
      <c r="T2270" s="51"/>
      <c r="U2270" s="51"/>
      <c r="V2270" s="51"/>
      <c r="W2270" s="51"/>
      <c r="X2270" s="51"/>
      <c r="Y2270" s="51"/>
    </row>
    <row r="2271" spans="1:25">
      <c r="A2271" s="49"/>
      <c r="P2271" s="51"/>
      <c r="Q2271" s="51"/>
      <c r="R2271" s="51"/>
      <c r="T2271" s="51"/>
      <c r="U2271" s="51"/>
      <c r="V2271" s="51"/>
      <c r="W2271" s="51"/>
      <c r="X2271" s="51"/>
      <c r="Y2271" s="51"/>
    </row>
    <row r="2272" spans="1:25">
      <c r="A2272" s="49"/>
      <c r="P2272" s="51"/>
      <c r="Q2272" s="51"/>
      <c r="R2272" s="51"/>
      <c r="T2272" s="51"/>
      <c r="U2272" s="51"/>
      <c r="V2272" s="51"/>
      <c r="W2272" s="51"/>
      <c r="X2272" s="51"/>
      <c r="Y2272" s="51"/>
    </row>
    <row r="2273" spans="1:25">
      <c r="A2273" s="49"/>
      <c r="P2273" s="51"/>
      <c r="Q2273" s="51"/>
      <c r="R2273" s="51"/>
      <c r="T2273" s="51"/>
      <c r="U2273" s="51"/>
      <c r="V2273" s="51"/>
      <c r="W2273" s="51"/>
      <c r="X2273" s="51"/>
      <c r="Y2273" s="51"/>
    </row>
    <row r="2274" spans="1:25">
      <c r="A2274" s="49"/>
      <c r="P2274" s="51"/>
      <c r="Q2274" s="51"/>
      <c r="R2274" s="51"/>
      <c r="T2274" s="51"/>
      <c r="U2274" s="51"/>
      <c r="V2274" s="51"/>
      <c r="W2274" s="51"/>
      <c r="X2274" s="51"/>
      <c r="Y2274" s="51"/>
    </row>
    <row r="2275" spans="1:25">
      <c r="A2275" s="49"/>
      <c r="P2275" s="51"/>
      <c r="Q2275" s="51"/>
      <c r="R2275" s="51"/>
      <c r="T2275" s="51"/>
      <c r="U2275" s="51"/>
      <c r="V2275" s="51"/>
      <c r="W2275" s="51"/>
      <c r="X2275" s="51"/>
      <c r="Y2275" s="51"/>
    </row>
    <row r="2276" spans="1:25">
      <c r="A2276" s="49"/>
      <c r="P2276" s="51"/>
      <c r="Q2276" s="51"/>
      <c r="R2276" s="51"/>
      <c r="T2276" s="51"/>
      <c r="U2276" s="51"/>
      <c r="V2276" s="51"/>
      <c r="W2276" s="51"/>
      <c r="X2276" s="51"/>
      <c r="Y2276" s="51"/>
    </row>
    <row r="2277" spans="1:25">
      <c r="A2277" s="49"/>
      <c r="P2277" s="51"/>
      <c r="Q2277" s="51"/>
      <c r="R2277" s="51"/>
      <c r="T2277" s="51"/>
      <c r="U2277" s="51"/>
      <c r="V2277" s="51"/>
      <c r="W2277" s="51"/>
      <c r="X2277" s="51"/>
      <c r="Y2277" s="51"/>
    </row>
    <row r="2278" spans="1:25">
      <c r="A2278" s="49"/>
      <c r="P2278" s="51"/>
      <c r="Q2278" s="51"/>
      <c r="R2278" s="51"/>
      <c r="T2278" s="51"/>
      <c r="U2278" s="51"/>
      <c r="V2278" s="51"/>
      <c r="W2278" s="51"/>
      <c r="X2278" s="51"/>
      <c r="Y2278" s="51"/>
    </row>
    <row r="2279" spans="1:25">
      <c r="A2279" s="49"/>
      <c r="P2279" s="51"/>
      <c r="Q2279" s="51"/>
      <c r="R2279" s="51"/>
      <c r="T2279" s="51"/>
      <c r="U2279" s="51"/>
      <c r="V2279" s="51"/>
      <c r="W2279" s="51"/>
      <c r="X2279" s="51"/>
      <c r="Y2279" s="51"/>
    </row>
    <row r="2280" spans="1:25">
      <c r="A2280" s="49"/>
      <c r="P2280" s="51"/>
      <c r="Q2280" s="51"/>
      <c r="R2280" s="51"/>
      <c r="T2280" s="51"/>
      <c r="U2280" s="51"/>
      <c r="V2280" s="51"/>
      <c r="W2280" s="51"/>
      <c r="X2280" s="51"/>
      <c r="Y2280" s="51"/>
    </row>
    <row r="2281" spans="1:25">
      <c r="A2281" s="49"/>
      <c r="P2281" s="51"/>
      <c r="Q2281" s="51"/>
      <c r="R2281" s="51"/>
      <c r="T2281" s="51"/>
      <c r="U2281" s="51"/>
      <c r="V2281" s="51"/>
      <c r="W2281" s="51"/>
      <c r="X2281" s="51"/>
      <c r="Y2281" s="51"/>
    </row>
    <row r="2282" spans="1:25">
      <c r="A2282" s="49"/>
      <c r="P2282" s="51"/>
      <c r="Q2282" s="51"/>
      <c r="R2282" s="51"/>
      <c r="T2282" s="51"/>
      <c r="U2282" s="51"/>
      <c r="V2282" s="51"/>
      <c r="W2282" s="51"/>
      <c r="X2282" s="51"/>
      <c r="Y2282" s="51"/>
    </row>
    <row r="2283" spans="1:25">
      <c r="A2283" s="49"/>
      <c r="P2283" s="51"/>
      <c r="Q2283" s="51"/>
      <c r="R2283" s="51"/>
      <c r="T2283" s="51"/>
      <c r="U2283" s="51"/>
      <c r="V2283" s="51"/>
      <c r="W2283" s="51"/>
      <c r="X2283" s="51"/>
      <c r="Y2283" s="51"/>
    </row>
    <row r="2284" spans="1:25">
      <c r="A2284" s="49"/>
      <c r="P2284" s="51"/>
      <c r="Q2284" s="51"/>
      <c r="R2284" s="51"/>
      <c r="T2284" s="51"/>
      <c r="U2284" s="51"/>
      <c r="V2284" s="51"/>
      <c r="W2284" s="51"/>
      <c r="X2284" s="51"/>
      <c r="Y2284" s="51"/>
    </row>
    <row r="2285" spans="1:25">
      <c r="A2285" s="49"/>
      <c r="P2285" s="51"/>
      <c r="Q2285" s="51"/>
      <c r="R2285" s="51"/>
      <c r="T2285" s="51"/>
      <c r="U2285" s="51"/>
      <c r="V2285" s="51"/>
      <c r="W2285" s="51"/>
      <c r="X2285" s="51"/>
      <c r="Y2285" s="51"/>
    </row>
    <row r="2286" spans="1:25">
      <c r="A2286" s="49"/>
      <c r="P2286" s="51"/>
      <c r="Q2286" s="51"/>
      <c r="R2286" s="51"/>
      <c r="T2286" s="51"/>
      <c r="U2286" s="51"/>
      <c r="V2286" s="51"/>
      <c r="W2286" s="51"/>
      <c r="X2286" s="51"/>
      <c r="Y2286" s="51"/>
    </row>
    <row r="2287" spans="1:25">
      <c r="A2287" s="49"/>
      <c r="P2287" s="51"/>
      <c r="Q2287" s="51"/>
      <c r="R2287" s="51"/>
      <c r="T2287" s="51"/>
      <c r="U2287" s="51"/>
      <c r="V2287" s="51"/>
      <c r="W2287" s="51"/>
      <c r="X2287" s="51"/>
      <c r="Y2287" s="51"/>
    </row>
    <row r="2288" spans="1:25">
      <c r="A2288" s="49"/>
      <c r="P2288" s="51"/>
      <c r="Q2288" s="51"/>
      <c r="R2288" s="51"/>
      <c r="T2288" s="51"/>
      <c r="U2288" s="51"/>
      <c r="V2288" s="51"/>
      <c r="W2288" s="51"/>
      <c r="X2288" s="51"/>
      <c r="Y2288" s="51"/>
    </row>
    <row r="2289" spans="1:25">
      <c r="A2289" s="49"/>
      <c r="P2289" s="51"/>
      <c r="Q2289" s="51"/>
      <c r="R2289" s="51"/>
      <c r="T2289" s="51"/>
      <c r="U2289" s="51"/>
      <c r="V2289" s="51"/>
      <c r="W2289" s="51"/>
      <c r="X2289" s="51"/>
      <c r="Y2289" s="51"/>
    </row>
    <row r="2290" spans="1:25">
      <c r="A2290" s="49"/>
      <c r="P2290" s="51"/>
      <c r="Q2290" s="51"/>
      <c r="R2290" s="51"/>
      <c r="T2290" s="51"/>
      <c r="U2290" s="51"/>
      <c r="V2290" s="51"/>
      <c r="W2290" s="51"/>
      <c r="X2290" s="51"/>
      <c r="Y2290" s="51"/>
    </row>
    <row r="2291" spans="1:25">
      <c r="A2291" s="49"/>
      <c r="P2291" s="51"/>
      <c r="Q2291" s="51"/>
      <c r="R2291" s="51"/>
      <c r="T2291" s="51"/>
      <c r="U2291" s="51"/>
      <c r="V2291" s="51"/>
      <c r="W2291" s="51"/>
      <c r="X2291" s="51"/>
      <c r="Y2291" s="51"/>
    </row>
    <row r="2292" spans="1:25">
      <c r="A2292" s="49"/>
      <c r="P2292" s="51"/>
      <c r="Q2292" s="51"/>
      <c r="R2292" s="51"/>
      <c r="T2292" s="51"/>
      <c r="U2292" s="51"/>
      <c r="V2292" s="51"/>
      <c r="W2292" s="51"/>
      <c r="X2292" s="51"/>
      <c r="Y2292" s="51"/>
    </row>
    <row r="2293" spans="1:25">
      <c r="A2293" s="49"/>
      <c r="P2293" s="51"/>
      <c r="Q2293" s="51"/>
      <c r="R2293" s="51"/>
      <c r="T2293" s="51"/>
      <c r="U2293" s="51"/>
      <c r="V2293" s="51"/>
      <c r="W2293" s="51"/>
      <c r="X2293" s="51"/>
      <c r="Y2293" s="51"/>
    </row>
    <row r="2294" spans="1:25">
      <c r="A2294" s="49"/>
      <c r="P2294" s="51"/>
      <c r="Q2294" s="51"/>
      <c r="R2294" s="51"/>
      <c r="T2294" s="51"/>
      <c r="U2294" s="51"/>
      <c r="V2294" s="51"/>
      <c r="W2294" s="51"/>
      <c r="X2294" s="51"/>
      <c r="Y2294" s="51"/>
    </row>
    <row r="2295" spans="1:25">
      <c r="A2295" s="49"/>
      <c r="P2295" s="51"/>
      <c r="Q2295" s="51"/>
      <c r="R2295" s="51"/>
      <c r="T2295" s="51"/>
      <c r="U2295" s="51"/>
      <c r="V2295" s="51"/>
      <c r="W2295" s="51"/>
      <c r="X2295" s="51"/>
      <c r="Y2295" s="51"/>
    </row>
    <row r="2296" spans="1:25">
      <c r="A2296" s="49"/>
      <c r="P2296" s="51"/>
      <c r="Q2296" s="51"/>
      <c r="R2296" s="51"/>
      <c r="T2296" s="51"/>
      <c r="U2296" s="51"/>
      <c r="V2296" s="51"/>
      <c r="W2296" s="51"/>
      <c r="X2296" s="51"/>
      <c r="Y2296" s="51"/>
    </row>
    <row r="2297" spans="1:25">
      <c r="A2297" s="49"/>
      <c r="P2297" s="51"/>
      <c r="Q2297" s="51"/>
      <c r="R2297" s="51"/>
      <c r="T2297" s="51"/>
      <c r="U2297" s="51"/>
      <c r="V2297" s="51"/>
      <c r="W2297" s="51"/>
      <c r="X2297" s="51"/>
      <c r="Y2297" s="51"/>
    </row>
    <row r="2298" spans="1:25">
      <c r="A2298" s="49"/>
      <c r="P2298" s="51"/>
      <c r="Q2298" s="51"/>
      <c r="R2298" s="51"/>
      <c r="T2298" s="51"/>
      <c r="U2298" s="51"/>
      <c r="V2298" s="51"/>
      <c r="W2298" s="51"/>
      <c r="X2298" s="51"/>
      <c r="Y2298" s="51"/>
    </row>
    <row r="2299" spans="1:25">
      <c r="A2299" s="49"/>
      <c r="P2299" s="51"/>
      <c r="Q2299" s="51"/>
      <c r="R2299" s="51"/>
      <c r="T2299" s="51"/>
      <c r="U2299" s="51"/>
      <c r="V2299" s="51"/>
      <c r="W2299" s="51"/>
      <c r="X2299" s="51"/>
      <c r="Y2299" s="51"/>
    </row>
    <row r="2300" spans="1:25">
      <c r="A2300" s="49"/>
      <c r="P2300" s="51"/>
      <c r="Q2300" s="51"/>
      <c r="R2300" s="51"/>
      <c r="T2300" s="51"/>
      <c r="U2300" s="51"/>
      <c r="V2300" s="51"/>
      <c r="W2300" s="51"/>
      <c r="X2300" s="51"/>
      <c r="Y2300" s="51"/>
    </row>
    <row r="2301" spans="1:25">
      <c r="A2301" s="49"/>
      <c r="P2301" s="51"/>
      <c r="Q2301" s="51"/>
      <c r="R2301" s="51"/>
      <c r="T2301" s="51"/>
      <c r="U2301" s="51"/>
      <c r="V2301" s="51"/>
      <c r="W2301" s="51"/>
      <c r="X2301" s="51"/>
      <c r="Y2301" s="51"/>
    </row>
    <row r="2302" spans="1:25">
      <c r="A2302" s="49"/>
      <c r="P2302" s="51"/>
      <c r="Q2302" s="51"/>
      <c r="R2302" s="51"/>
      <c r="T2302" s="51"/>
      <c r="U2302" s="51"/>
      <c r="V2302" s="51"/>
      <c r="W2302" s="51"/>
      <c r="X2302" s="51"/>
      <c r="Y2302" s="51"/>
    </row>
    <row r="2303" spans="1:25">
      <c r="A2303" s="49"/>
      <c r="P2303" s="51"/>
      <c r="Q2303" s="51"/>
      <c r="R2303" s="51"/>
      <c r="T2303" s="51"/>
      <c r="U2303" s="51"/>
      <c r="V2303" s="51"/>
      <c r="W2303" s="51"/>
      <c r="X2303" s="51"/>
      <c r="Y2303" s="51"/>
    </row>
    <row r="2304" spans="1:25">
      <c r="A2304" s="49"/>
      <c r="P2304" s="51"/>
      <c r="Q2304" s="51"/>
      <c r="R2304" s="51"/>
      <c r="T2304" s="51"/>
      <c r="U2304" s="51"/>
      <c r="V2304" s="51"/>
      <c r="W2304" s="51"/>
      <c r="X2304" s="51"/>
      <c r="Y2304" s="51"/>
    </row>
    <row r="2305" spans="1:25">
      <c r="A2305" s="49"/>
      <c r="P2305" s="51"/>
      <c r="Q2305" s="51"/>
      <c r="R2305" s="51"/>
      <c r="T2305" s="51"/>
      <c r="U2305" s="51"/>
      <c r="V2305" s="51"/>
      <c r="W2305" s="51"/>
      <c r="X2305" s="51"/>
      <c r="Y2305" s="51"/>
    </row>
    <row r="2306" spans="1:25">
      <c r="A2306" s="49"/>
      <c r="P2306" s="51"/>
      <c r="Q2306" s="51"/>
      <c r="R2306" s="51"/>
      <c r="T2306" s="51"/>
      <c r="U2306" s="51"/>
      <c r="V2306" s="51"/>
      <c r="W2306" s="51"/>
      <c r="X2306" s="51"/>
      <c r="Y2306" s="51"/>
    </row>
    <row r="2307" spans="1:25">
      <c r="A2307" s="49"/>
      <c r="P2307" s="51"/>
      <c r="Q2307" s="51"/>
      <c r="R2307" s="51"/>
      <c r="T2307" s="51"/>
      <c r="U2307" s="51"/>
      <c r="V2307" s="51"/>
      <c r="W2307" s="51"/>
      <c r="X2307" s="51"/>
      <c r="Y2307" s="51"/>
    </row>
    <row r="2308" spans="1:25">
      <c r="A2308" s="49"/>
      <c r="P2308" s="51"/>
      <c r="Q2308" s="51"/>
      <c r="R2308" s="51"/>
      <c r="T2308" s="51"/>
      <c r="U2308" s="51"/>
      <c r="V2308" s="51"/>
      <c r="W2308" s="51"/>
      <c r="X2308" s="51"/>
      <c r="Y2308" s="51"/>
    </row>
    <row r="2309" spans="1:25">
      <c r="A2309" s="49"/>
      <c r="P2309" s="51"/>
      <c r="Q2309" s="51"/>
      <c r="R2309" s="51"/>
      <c r="T2309" s="51"/>
      <c r="U2309" s="51"/>
      <c r="V2309" s="51"/>
      <c r="W2309" s="51"/>
      <c r="X2309" s="51"/>
      <c r="Y2309" s="51"/>
    </row>
    <row r="2310" spans="1:25">
      <c r="A2310" s="49"/>
      <c r="P2310" s="51"/>
      <c r="Q2310" s="51"/>
      <c r="R2310" s="51"/>
      <c r="T2310" s="51"/>
      <c r="U2310" s="51"/>
      <c r="V2310" s="51"/>
      <c r="W2310" s="51"/>
      <c r="X2310" s="51"/>
      <c r="Y2310" s="51"/>
    </row>
    <row r="2311" spans="1:25">
      <c r="A2311" s="49"/>
      <c r="P2311" s="51"/>
      <c r="Q2311" s="51"/>
      <c r="R2311" s="51"/>
      <c r="T2311" s="51"/>
      <c r="U2311" s="51"/>
      <c r="V2311" s="51"/>
      <c r="W2311" s="51"/>
      <c r="X2311" s="51"/>
      <c r="Y2311" s="51"/>
    </row>
    <row r="2312" spans="1:25">
      <c r="A2312" s="49"/>
      <c r="P2312" s="51"/>
      <c r="Q2312" s="51"/>
      <c r="R2312" s="51"/>
      <c r="T2312" s="51"/>
      <c r="U2312" s="51"/>
      <c r="V2312" s="51"/>
      <c r="W2312" s="51"/>
      <c r="X2312" s="51"/>
      <c r="Y2312" s="51"/>
    </row>
    <row r="2313" spans="1:25">
      <c r="A2313" s="49"/>
      <c r="P2313" s="51"/>
      <c r="Q2313" s="51"/>
      <c r="R2313" s="51"/>
      <c r="T2313" s="51"/>
      <c r="U2313" s="51"/>
      <c r="V2313" s="51"/>
      <c r="W2313" s="51"/>
      <c r="X2313" s="51"/>
      <c r="Y2313" s="51"/>
    </row>
    <row r="2314" spans="1:25">
      <c r="A2314" s="49"/>
      <c r="P2314" s="51"/>
      <c r="Q2314" s="51"/>
      <c r="R2314" s="51"/>
      <c r="T2314" s="51"/>
      <c r="U2314" s="51"/>
      <c r="V2314" s="51"/>
      <c r="W2314" s="51"/>
      <c r="X2314" s="51"/>
      <c r="Y2314" s="51"/>
    </row>
    <row r="2315" spans="1:25">
      <c r="A2315" s="49"/>
      <c r="P2315" s="51"/>
      <c r="Q2315" s="51"/>
      <c r="R2315" s="51"/>
      <c r="T2315" s="51"/>
      <c r="U2315" s="51"/>
      <c r="V2315" s="51"/>
      <c r="W2315" s="51"/>
      <c r="X2315" s="51"/>
      <c r="Y2315" s="51"/>
    </row>
    <row r="2316" spans="1:25">
      <c r="A2316" s="49"/>
      <c r="P2316" s="51"/>
      <c r="Q2316" s="51"/>
      <c r="R2316" s="51"/>
      <c r="T2316" s="51"/>
      <c r="U2316" s="51"/>
      <c r="V2316" s="51"/>
      <c r="W2316" s="51"/>
      <c r="X2316" s="51"/>
      <c r="Y2316" s="51"/>
    </row>
    <row r="2317" spans="1:25">
      <c r="A2317" s="49"/>
      <c r="P2317" s="51"/>
      <c r="Q2317" s="51"/>
      <c r="R2317" s="51"/>
      <c r="T2317" s="51"/>
      <c r="U2317" s="51"/>
      <c r="V2317" s="51"/>
      <c r="W2317" s="51"/>
      <c r="X2317" s="51"/>
      <c r="Y2317" s="51"/>
    </row>
    <row r="2318" spans="1:25">
      <c r="A2318" s="49"/>
      <c r="P2318" s="51"/>
      <c r="Q2318" s="51"/>
      <c r="R2318" s="51"/>
      <c r="T2318" s="51"/>
      <c r="U2318" s="51"/>
      <c r="V2318" s="51"/>
      <c r="W2318" s="51"/>
      <c r="X2318" s="51"/>
      <c r="Y2318" s="51"/>
    </row>
    <row r="2319" spans="1:25">
      <c r="A2319" s="49"/>
      <c r="P2319" s="51"/>
      <c r="Q2319" s="51"/>
      <c r="R2319" s="51"/>
      <c r="T2319" s="51"/>
      <c r="U2319" s="51"/>
      <c r="V2319" s="51"/>
      <c r="W2319" s="51"/>
      <c r="X2319" s="51"/>
      <c r="Y2319" s="51"/>
    </row>
    <row r="2320" spans="1:25">
      <c r="A2320" s="49"/>
      <c r="P2320" s="51"/>
      <c r="Q2320" s="51"/>
      <c r="R2320" s="51"/>
      <c r="T2320" s="51"/>
      <c r="U2320" s="51"/>
      <c r="V2320" s="51"/>
      <c r="W2320" s="51"/>
      <c r="X2320" s="51"/>
      <c r="Y2320" s="51"/>
    </row>
    <row r="2321" spans="1:25">
      <c r="A2321" s="49"/>
      <c r="P2321" s="51"/>
      <c r="Q2321" s="51"/>
      <c r="R2321" s="51"/>
      <c r="T2321" s="51"/>
      <c r="U2321" s="51"/>
      <c r="V2321" s="51"/>
      <c r="W2321" s="51"/>
      <c r="X2321" s="51"/>
      <c r="Y2321" s="51"/>
    </row>
    <row r="2322" spans="1:25">
      <c r="A2322" s="49"/>
      <c r="P2322" s="51"/>
      <c r="Q2322" s="51"/>
      <c r="R2322" s="51"/>
      <c r="T2322" s="51"/>
      <c r="U2322" s="51"/>
      <c r="V2322" s="51"/>
      <c r="W2322" s="51"/>
      <c r="X2322" s="51"/>
      <c r="Y2322" s="51"/>
    </row>
    <row r="2323" spans="1:25">
      <c r="A2323" s="49"/>
      <c r="P2323" s="51"/>
      <c r="Q2323" s="51"/>
      <c r="R2323" s="51"/>
      <c r="T2323" s="51"/>
      <c r="U2323" s="51"/>
      <c r="V2323" s="51"/>
      <c r="W2323" s="51"/>
      <c r="X2323" s="51"/>
      <c r="Y2323" s="51"/>
    </row>
    <row r="2324" spans="1:25">
      <c r="A2324" s="49"/>
      <c r="P2324" s="51"/>
      <c r="Q2324" s="51"/>
      <c r="R2324" s="51"/>
      <c r="T2324" s="51"/>
      <c r="U2324" s="51"/>
      <c r="V2324" s="51"/>
      <c r="W2324" s="51"/>
      <c r="X2324" s="51"/>
      <c r="Y2324" s="51"/>
    </row>
    <row r="2325" spans="1:25">
      <c r="A2325" s="49"/>
      <c r="P2325" s="51"/>
      <c r="Q2325" s="51"/>
      <c r="R2325" s="51"/>
      <c r="T2325" s="51"/>
      <c r="U2325" s="51"/>
      <c r="V2325" s="51"/>
      <c r="W2325" s="51"/>
      <c r="X2325" s="51"/>
      <c r="Y2325" s="51"/>
    </row>
    <row r="2326" spans="1:25">
      <c r="A2326" s="49"/>
      <c r="P2326" s="51"/>
      <c r="Q2326" s="51"/>
      <c r="R2326" s="51"/>
      <c r="T2326" s="51"/>
      <c r="U2326" s="51"/>
      <c r="V2326" s="51"/>
      <c r="W2326" s="51"/>
      <c r="X2326" s="51"/>
      <c r="Y2326" s="51"/>
    </row>
    <row r="2327" spans="1:25">
      <c r="A2327" s="49"/>
      <c r="P2327" s="51"/>
      <c r="Q2327" s="51"/>
      <c r="R2327" s="51"/>
      <c r="T2327" s="51"/>
      <c r="U2327" s="51"/>
      <c r="V2327" s="51"/>
      <c r="W2327" s="51"/>
      <c r="X2327" s="51"/>
      <c r="Y2327" s="51"/>
    </row>
    <row r="2328" spans="1:25">
      <c r="A2328" s="49"/>
      <c r="P2328" s="51"/>
      <c r="Q2328" s="51"/>
      <c r="R2328" s="51"/>
      <c r="T2328" s="51"/>
      <c r="U2328" s="51"/>
      <c r="V2328" s="51"/>
      <c r="W2328" s="51"/>
      <c r="X2328" s="51"/>
      <c r="Y2328" s="51"/>
    </row>
    <row r="2329" spans="1:25">
      <c r="A2329" s="49"/>
      <c r="P2329" s="51"/>
      <c r="Q2329" s="51"/>
      <c r="R2329" s="51"/>
      <c r="T2329" s="51"/>
      <c r="U2329" s="51"/>
      <c r="V2329" s="51"/>
      <c r="W2329" s="51"/>
      <c r="X2329" s="51"/>
      <c r="Y2329" s="51"/>
    </row>
    <row r="2330" spans="1:25">
      <c r="A2330" s="49"/>
      <c r="P2330" s="51"/>
      <c r="Q2330" s="51"/>
      <c r="R2330" s="51"/>
      <c r="T2330" s="51"/>
      <c r="U2330" s="51"/>
      <c r="V2330" s="51"/>
      <c r="W2330" s="51"/>
      <c r="X2330" s="51"/>
      <c r="Y2330" s="51"/>
    </row>
    <row r="2331" spans="1:25">
      <c r="A2331" s="49"/>
      <c r="P2331" s="51"/>
      <c r="Q2331" s="51"/>
      <c r="R2331" s="51"/>
      <c r="T2331" s="51"/>
      <c r="U2331" s="51"/>
      <c r="V2331" s="51"/>
      <c r="W2331" s="51"/>
      <c r="X2331" s="51"/>
      <c r="Y2331" s="51"/>
    </row>
    <row r="2332" spans="1:25">
      <c r="A2332" s="49"/>
      <c r="P2332" s="51"/>
      <c r="Q2332" s="51"/>
      <c r="R2332" s="51"/>
      <c r="T2332" s="51"/>
      <c r="U2332" s="51"/>
      <c r="V2332" s="51"/>
      <c r="W2332" s="51"/>
      <c r="X2332" s="51"/>
      <c r="Y2332" s="51"/>
    </row>
    <row r="2333" spans="1:25">
      <c r="A2333" s="49"/>
      <c r="P2333" s="51"/>
      <c r="Q2333" s="51"/>
      <c r="R2333" s="51"/>
      <c r="T2333" s="51"/>
      <c r="U2333" s="51"/>
      <c r="V2333" s="51"/>
      <c r="W2333" s="51"/>
      <c r="X2333" s="51"/>
      <c r="Y2333" s="51"/>
    </row>
    <row r="2334" spans="1:25">
      <c r="A2334" s="49"/>
      <c r="P2334" s="51"/>
      <c r="Q2334" s="51"/>
      <c r="R2334" s="51"/>
      <c r="T2334" s="51"/>
      <c r="U2334" s="51"/>
      <c r="V2334" s="51"/>
      <c r="W2334" s="51"/>
      <c r="X2334" s="51"/>
      <c r="Y2334" s="51"/>
    </row>
    <row r="2335" spans="1:25">
      <c r="A2335" s="49"/>
      <c r="P2335" s="51"/>
      <c r="Q2335" s="51"/>
      <c r="R2335" s="51"/>
      <c r="T2335" s="51"/>
      <c r="U2335" s="51"/>
      <c r="V2335" s="51"/>
      <c r="W2335" s="51"/>
      <c r="X2335" s="51"/>
      <c r="Y2335" s="51"/>
    </row>
    <row r="2336" spans="1:25">
      <c r="A2336" s="49"/>
      <c r="P2336" s="51"/>
      <c r="Q2336" s="51"/>
      <c r="R2336" s="51"/>
      <c r="T2336" s="51"/>
      <c r="U2336" s="51"/>
      <c r="V2336" s="51"/>
      <c r="W2336" s="51"/>
      <c r="X2336" s="51"/>
      <c r="Y2336" s="51"/>
    </row>
    <row r="2337" spans="1:25">
      <c r="A2337" s="49"/>
      <c r="P2337" s="51"/>
      <c r="Q2337" s="51"/>
      <c r="R2337" s="51"/>
      <c r="T2337" s="51"/>
      <c r="U2337" s="51"/>
      <c r="V2337" s="51"/>
      <c r="W2337" s="51"/>
      <c r="X2337" s="51"/>
      <c r="Y2337" s="51"/>
    </row>
    <row r="2338" spans="1:25">
      <c r="A2338" s="49"/>
      <c r="P2338" s="51"/>
      <c r="Q2338" s="51"/>
      <c r="R2338" s="51"/>
      <c r="T2338" s="51"/>
      <c r="U2338" s="51"/>
      <c r="V2338" s="51"/>
      <c r="W2338" s="51"/>
      <c r="X2338" s="51"/>
      <c r="Y2338" s="51"/>
    </row>
    <row r="2339" spans="1:25">
      <c r="A2339" s="49"/>
      <c r="P2339" s="51"/>
      <c r="Q2339" s="51"/>
      <c r="R2339" s="51"/>
      <c r="T2339" s="51"/>
      <c r="U2339" s="51"/>
      <c r="V2339" s="51"/>
      <c r="W2339" s="51"/>
      <c r="X2339" s="51"/>
      <c r="Y2339" s="51"/>
    </row>
    <row r="2340" spans="1:25">
      <c r="A2340" s="49"/>
      <c r="P2340" s="51"/>
      <c r="Q2340" s="51"/>
      <c r="R2340" s="51"/>
      <c r="T2340" s="51"/>
      <c r="U2340" s="51"/>
      <c r="V2340" s="51"/>
      <c r="W2340" s="51"/>
      <c r="X2340" s="51"/>
      <c r="Y2340" s="51"/>
    </row>
    <row r="2341" spans="1:25">
      <c r="A2341" s="49"/>
      <c r="P2341" s="51"/>
      <c r="Q2341" s="51"/>
      <c r="R2341" s="51"/>
      <c r="T2341" s="51"/>
      <c r="U2341" s="51"/>
      <c r="V2341" s="51"/>
      <c r="W2341" s="51"/>
      <c r="X2341" s="51"/>
      <c r="Y2341" s="51"/>
    </row>
    <row r="2342" spans="1:25">
      <c r="A2342" s="49"/>
      <c r="P2342" s="51"/>
      <c r="Q2342" s="51"/>
      <c r="R2342" s="51"/>
      <c r="T2342" s="51"/>
      <c r="U2342" s="51"/>
      <c r="V2342" s="51"/>
      <c r="W2342" s="51"/>
      <c r="X2342" s="51"/>
      <c r="Y2342" s="51"/>
    </row>
    <row r="2343" spans="1:25">
      <c r="A2343" s="49"/>
      <c r="P2343" s="51"/>
      <c r="Q2343" s="51"/>
      <c r="R2343" s="51"/>
      <c r="T2343" s="51"/>
      <c r="U2343" s="51"/>
      <c r="V2343" s="51"/>
      <c r="W2343" s="51"/>
      <c r="X2343" s="51"/>
      <c r="Y2343" s="51"/>
    </row>
    <row r="2344" spans="1:25">
      <c r="A2344" s="49"/>
      <c r="P2344" s="51"/>
      <c r="Q2344" s="51"/>
      <c r="R2344" s="51"/>
      <c r="T2344" s="51"/>
      <c r="U2344" s="51"/>
      <c r="V2344" s="51"/>
      <c r="W2344" s="51"/>
      <c r="X2344" s="51"/>
      <c r="Y2344" s="51"/>
    </row>
    <row r="2345" spans="1:25">
      <c r="A2345" s="49"/>
      <c r="P2345" s="51"/>
      <c r="Q2345" s="51"/>
      <c r="R2345" s="51"/>
      <c r="T2345" s="51"/>
      <c r="U2345" s="51"/>
      <c r="V2345" s="51"/>
      <c r="W2345" s="51"/>
      <c r="X2345" s="51"/>
      <c r="Y2345" s="51"/>
    </row>
    <row r="2346" spans="1:25">
      <c r="A2346" s="49"/>
      <c r="P2346" s="51"/>
      <c r="Q2346" s="51"/>
      <c r="R2346" s="51"/>
      <c r="T2346" s="51"/>
      <c r="U2346" s="51"/>
      <c r="V2346" s="51"/>
      <c r="W2346" s="51"/>
      <c r="X2346" s="51"/>
      <c r="Y2346" s="51"/>
    </row>
    <row r="2347" spans="1:25">
      <c r="A2347" s="49"/>
      <c r="P2347" s="50"/>
      <c r="Q2347" s="50"/>
      <c r="R2347" s="50"/>
      <c r="T2347" s="50"/>
      <c r="U2347" s="50"/>
      <c r="V2347" s="50"/>
      <c r="W2347" s="50"/>
      <c r="X2347" s="50"/>
      <c r="Y2347" s="50"/>
    </row>
    <row r="2348" spans="1:25">
      <c r="A2348" s="49"/>
      <c r="P2348" s="50"/>
      <c r="Q2348" s="50"/>
      <c r="R2348" s="50"/>
      <c r="T2348" s="50"/>
      <c r="U2348" s="50"/>
      <c r="V2348" s="50"/>
      <c r="W2348" s="50"/>
      <c r="X2348" s="50"/>
      <c r="Y2348" s="50"/>
    </row>
    <row r="2349" spans="1:25">
      <c r="A2349" s="49"/>
      <c r="P2349" s="50"/>
      <c r="Q2349" s="50"/>
      <c r="R2349" s="50"/>
      <c r="T2349" s="50"/>
      <c r="U2349" s="50"/>
      <c r="V2349" s="50"/>
      <c r="W2349" s="50"/>
      <c r="X2349" s="50"/>
      <c r="Y2349" s="50"/>
    </row>
    <row r="2350" spans="1:25">
      <c r="A2350" s="49"/>
      <c r="P2350" s="50"/>
      <c r="Q2350" s="50"/>
      <c r="R2350" s="50"/>
      <c r="T2350" s="50"/>
      <c r="U2350" s="50"/>
      <c r="V2350" s="50"/>
      <c r="W2350" s="50"/>
      <c r="X2350" s="50"/>
      <c r="Y2350" s="50"/>
    </row>
    <row r="2351" spans="1:25">
      <c r="A2351" s="49"/>
      <c r="P2351" s="50"/>
      <c r="Q2351" s="50"/>
      <c r="R2351" s="50"/>
      <c r="T2351" s="50"/>
      <c r="U2351" s="50"/>
      <c r="V2351" s="50"/>
      <c r="W2351" s="50"/>
      <c r="X2351" s="50"/>
      <c r="Y2351" s="50"/>
    </row>
    <row r="2352" spans="1:25">
      <c r="A2352" s="49"/>
      <c r="P2352" s="50"/>
      <c r="Q2352" s="50"/>
      <c r="R2352" s="50"/>
      <c r="T2352" s="50"/>
      <c r="U2352" s="50"/>
      <c r="V2352" s="50"/>
      <c r="W2352" s="50"/>
      <c r="X2352" s="50"/>
      <c r="Y2352" s="50"/>
    </row>
    <row r="2353" spans="1:25">
      <c r="A2353" s="49"/>
      <c r="P2353" s="50"/>
      <c r="Q2353" s="50"/>
      <c r="R2353" s="50"/>
      <c r="T2353" s="50"/>
      <c r="U2353" s="50"/>
      <c r="V2353" s="50"/>
      <c r="W2353" s="50"/>
      <c r="X2353" s="50"/>
      <c r="Y2353" s="50"/>
    </row>
    <row r="2354" spans="1:25">
      <c r="A2354" s="49"/>
      <c r="P2354" s="50"/>
      <c r="Q2354" s="50"/>
      <c r="R2354" s="50"/>
      <c r="T2354" s="50"/>
      <c r="U2354" s="50"/>
      <c r="V2354" s="50"/>
      <c r="W2354" s="50"/>
      <c r="X2354" s="50"/>
      <c r="Y2354" s="50"/>
    </row>
    <row r="2355" spans="1:25">
      <c r="A2355" s="49"/>
      <c r="P2355" s="50"/>
      <c r="Q2355" s="50"/>
      <c r="R2355" s="50"/>
      <c r="T2355" s="50"/>
      <c r="U2355" s="50"/>
      <c r="V2355" s="50"/>
      <c r="W2355" s="50"/>
      <c r="X2355" s="50"/>
      <c r="Y2355" s="50"/>
    </row>
    <row r="2356" spans="1:25">
      <c r="A2356" s="49"/>
      <c r="P2356" s="50"/>
      <c r="Q2356" s="50"/>
      <c r="R2356" s="50"/>
      <c r="T2356" s="50"/>
      <c r="U2356" s="50"/>
      <c r="V2356" s="50"/>
      <c r="W2356" s="50"/>
      <c r="X2356" s="50"/>
      <c r="Y2356" s="50"/>
    </row>
    <row r="2357" spans="1:25">
      <c r="A2357" s="49"/>
      <c r="P2357" s="50"/>
      <c r="Q2357" s="50"/>
      <c r="R2357" s="50"/>
      <c r="T2357" s="50"/>
      <c r="U2357" s="50"/>
      <c r="V2357" s="50"/>
      <c r="W2357" s="50"/>
      <c r="X2357" s="50"/>
      <c r="Y2357" s="50"/>
    </row>
    <row r="2358" spans="1:25">
      <c r="A2358" s="49"/>
      <c r="P2358" s="50"/>
      <c r="Q2358" s="50"/>
      <c r="R2358" s="50"/>
      <c r="T2358" s="50"/>
      <c r="U2358" s="50"/>
      <c r="V2358" s="50"/>
      <c r="W2358" s="50"/>
      <c r="X2358" s="50"/>
      <c r="Y2358" s="50"/>
    </row>
    <row r="2359" spans="1:25">
      <c r="A2359" s="49"/>
      <c r="P2359" s="50"/>
      <c r="Q2359" s="50"/>
      <c r="R2359" s="50"/>
      <c r="T2359" s="50"/>
      <c r="U2359" s="50"/>
      <c r="V2359" s="50"/>
      <c r="W2359" s="50"/>
      <c r="X2359" s="50"/>
      <c r="Y2359" s="50"/>
    </row>
    <row r="2360" spans="1:25">
      <c r="A2360" s="49"/>
      <c r="P2360" s="50"/>
      <c r="Q2360" s="50"/>
      <c r="R2360" s="50"/>
      <c r="T2360" s="50"/>
      <c r="U2360" s="50"/>
      <c r="V2360" s="50"/>
      <c r="W2360" s="50"/>
      <c r="X2360" s="50"/>
      <c r="Y2360" s="50"/>
    </row>
    <row r="2361" spans="1:25">
      <c r="A2361" s="49"/>
      <c r="P2361" s="50"/>
      <c r="Q2361" s="50"/>
      <c r="R2361" s="50"/>
      <c r="T2361" s="50"/>
      <c r="U2361" s="50"/>
      <c r="V2361" s="50"/>
      <c r="W2361" s="50"/>
      <c r="X2361" s="50"/>
      <c r="Y2361" s="50"/>
    </row>
    <row r="2362" spans="1:25">
      <c r="A2362" s="49"/>
      <c r="P2362" s="50"/>
      <c r="Q2362" s="50"/>
      <c r="R2362" s="50"/>
      <c r="T2362" s="50"/>
      <c r="U2362" s="50"/>
      <c r="V2362" s="50"/>
      <c r="W2362" s="50"/>
      <c r="X2362" s="50"/>
      <c r="Y2362" s="50"/>
    </row>
    <row r="2363" spans="1:25">
      <c r="A2363" s="49"/>
      <c r="P2363" s="50"/>
      <c r="Q2363" s="50"/>
      <c r="R2363" s="50"/>
      <c r="T2363" s="50"/>
      <c r="U2363" s="50"/>
      <c r="V2363" s="50"/>
      <c r="W2363" s="50"/>
      <c r="X2363" s="50"/>
      <c r="Y2363" s="50"/>
    </row>
    <row r="2364" spans="1:25">
      <c r="A2364" s="49"/>
      <c r="P2364" s="50"/>
      <c r="Q2364" s="50"/>
      <c r="R2364" s="50"/>
      <c r="T2364" s="50"/>
      <c r="U2364" s="50"/>
      <c r="V2364" s="50"/>
      <c r="W2364" s="50"/>
      <c r="X2364" s="50"/>
      <c r="Y2364" s="50"/>
    </row>
    <row r="2365" spans="1:25">
      <c r="A2365" s="49"/>
      <c r="P2365" s="50"/>
      <c r="Q2365" s="50"/>
      <c r="R2365" s="50"/>
      <c r="T2365" s="50"/>
      <c r="U2365" s="50"/>
      <c r="V2365" s="50"/>
      <c r="W2365" s="50"/>
      <c r="X2365" s="50"/>
      <c r="Y2365" s="50"/>
    </row>
    <row r="2366" spans="1:25">
      <c r="A2366" s="49"/>
      <c r="P2366" s="50"/>
      <c r="Q2366" s="50"/>
      <c r="R2366" s="50"/>
      <c r="T2366" s="50"/>
      <c r="U2366" s="50"/>
      <c r="V2366" s="50"/>
      <c r="W2366" s="50"/>
      <c r="X2366" s="50"/>
      <c r="Y2366" s="50"/>
    </row>
    <row r="2367" spans="1:25">
      <c r="A2367" s="49"/>
      <c r="P2367" s="50"/>
      <c r="Q2367" s="50"/>
      <c r="R2367" s="50"/>
      <c r="T2367" s="50"/>
      <c r="U2367" s="50"/>
      <c r="V2367" s="50"/>
      <c r="W2367" s="50"/>
      <c r="X2367" s="50"/>
      <c r="Y2367" s="50"/>
    </row>
    <row r="2368" spans="1:25">
      <c r="A2368" s="49"/>
      <c r="P2368" s="50"/>
      <c r="Q2368" s="50"/>
      <c r="R2368" s="50"/>
      <c r="T2368" s="50"/>
      <c r="U2368" s="50"/>
      <c r="V2368" s="50"/>
      <c r="W2368" s="50"/>
      <c r="X2368" s="50"/>
      <c r="Y2368" s="50"/>
    </row>
    <row r="2369" spans="1:25">
      <c r="A2369" s="49"/>
      <c r="P2369" s="50"/>
      <c r="Q2369" s="50"/>
      <c r="R2369" s="50"/>
      <c r="T2369" s="50"/>
      <c r="U2369" s="50"/>
      <c r="V2369" s="50"/>
      <c r="W2369" s="50"/>
      <c r="X2369" s="50"/>
      <c r="Y2369" s="50"/>
    </row>
    <row r="2370" spans="1:25">
      <c r="A2370" s="49"/>
      <c r="P2370" s="50"/>
      <c r="Q2370" s="50"/>
      <c r="R2370" s="50"/>
      <c r="T2370" s="50"/>
      <c r="U2370" s="50"/>
      <c r="V2370" s="50"/>
      <c r="W2370" s="50"/>
      <c r="X2370" s="50"/>
      <c r="Y2370" s="50"/>
    </row>
    <row r="2371" spans="1:25">
      <c r="A2371" s="49"/>
      <c r="P2371" s="50"/>
      <c r="Q2371" s="50"/>
      <c r="R2371" s="50"/>
      <c r="T2371" s="50"/>
      <c r="U2371" s="50"/>
      <c r="V2371" s="50"/>
      <c r="W2371" s="50"/>
      <c r="X2371" s="50"/>
      <c r="Y2371" s="50"/>
    </row>
    <row r="2372" spans="1:25">
      <c r="A2372" s="49"/>
      <c r="P2372" s="51"/>
      <c r="Q2372" s="51"/>
      <c r="R2372" s="51"/>
      <c r="T2372" s="51"/>
      <c r="U2372" s="51"/>
      <c r="V2372" s="51"/>
      <c r="W2372" s="51"/>
      <c r="X2372" s="51"/>
      <c r="Y2372" s="51"/>
    </row>
    <row r="2373" spans="1:25">
      <c r="A2373" s="49"/>
      <c r="P2373" s="51"/>
      <c r="Q2373" s="51"/>
      <c r="R2373" s="51"/>
      <c r="T2373" s="51"/>
      <c r="U2373" s="51"/>
      <c r="V2373" s="51"/>
      <c r="W2373" s="51"/>
      <c r="X2373" s="51"/>
      <c r="Y2373" s="51"/>
    </row>
    <row r="2374" spans="1:25">
      <c r="A2374" s="49"/>
      <c r="P2374" s="51"/>
      <c r="Q2374" s="51"/>
      <c r="R2374" s="51"/>
      <c r="T2374" s="51"/>
      <c r="U2374" s="51"/>
      <c r="V2374" s="51"/>
      <c r="W2374" s="51"/>
      <c r="X2374" s="51"/>
      <c r="Y2374" s="51"/>
    </row>
    <row r="2375" spans="1:25">
      <c r="A2375" s="49"/>
      <c r="P2375" s="51"/>
      <c r="Q2375" s="51"/>
      <c r="R2375" s="51"/>
      <c r="T2375" s="51"/>
      <c r="U2375" s="51"/>
      <c r="V2375" s="51"/>
      <c r="W2375" s="51"/>
      <c r="X2375" s="51"/>
      <c r="Y2375" s="51"/>
    </row>
    <row r="2376" spans="1:25">
      <c r="A2376" s="49"/>
      <c r="P2376" s="51"/>
      <c r="Q2376" s="51"/>
      <c r="R2376" s="51"/>
      <c r="T2376" s="51"/>
      <c r="U2376" s="51"/>
      <c r="V2376" s="51"/>
      <c r="W2376" s="51"/>
      <c r="X2376" s="51"/>
      <c r="Y2376" s="51"/>
    </row>
    <row r="2377" spans="1:25">
      <c r="A2377" s="49"/>
      <c r="P2377" s="51"/>
      <c r="Q2377" s="51"/>
      <c r="R2377" s="51"/>
      <c r="T2377" s="51"/>
      <c r="U2377" s="51"/>
      <c r="V2377" s="51"/>
      <c r="W2377" s="51"/>
      <c r="X2377" s="51"/>
      <c r="Y2377" s="51"/>
    </row>
    <row r="2378" spans="1:25">
      <c r="A2378" s="49"/>
      <c r="P2378" s="51"/>
      <c r="Q2378" s="51"/>
      <c r="R2378" s="51"/>
      <c r="T2378" s="51"/>
      <c r="U2378" s="51"/>
      <c r="V2378" s="51"/>
      <c r="W2378" s="51"/>
      <c r="X2378" s="51"/>
      <c r="Y2378" s="51"/>
    </row>
    <row r="2379" spans="1:25">
      <c r="A2379" s="49"/>
      <c r="P2379" s="51"/>
      <c r="Q2379" s="51"/>
      <c r="R2379" s="51"/>
      <c r="T2379" s="51"/>
      <c r="U2379" s="51"/>
      <c r="V2379" s="51"/>
      <c r="W2379" s="51"/>
      <c r="X2379" s="51"/>
      <c r="Y2379" s="51"/>
    </row>
    <row r="2380" spans="1:25">
      <c r="A2380" s="49"/>
      <c r="P2380" s="51"/>
      <c r="Q2380" s="51"/>
      <c r="R2380" s="51"/>
      <c r="T2380" s="51"/>
      <c r="U2380" s="51"/>
      <c r="V2380" s="51"/>
      <c r="W2380" s="51"/>
      <c r="X2380" s="51"/>
      <c r="Y2380" s="51"/>
    </row>
    <row r="2381" spans="1:25">
      <c r="A2381" s="49"/>
      <c r="P2381" s="50"/>
      <c r="Q2381" s="50"/>
      <c r="R2381" s="50"/>
      <c r="T2381" s="50"/>
      <c r="U2381" s="50"/>
      <c r="V2381" s="50"/>
      <c r="W2381" s="50"/>
      <c r="X2381" s="50"/>
      <c r="Y2381" s="50"/>
    </row>
    <row r="2382" spans="1:25">
      <c r="A2382" s="49"/>
      <c r="P2382" s="50"/>
      <c r="Q2382" s="50"/>
      <c r="R2382" s="50"/>
      <c r="T2382" s="50"/>
      <c r="U2382" s="50"/>
      <c r="V2382" s="50"/>
      <c r="W2382" s="50"/>
      <c r="X2382" s="50"/>
      <c r="Y2382" s="50"/>
    </row>
    <row r="2383" spans="1:25">
      <c r="A2383" s="49"/>
      <c r="P2383" s="50"/>
      <c r="Q2383" s="50"/>
      <c r="R2383" s="50"/>
      <c r="T2383" s="50"/>
      <c r="U2383" s="50"/>
      <c r="V2383" s="50"/>
      <c r="W2383" s="50"/>
      <c r="X2383" s="50"/>
      <c r="Y2383" s="50"/>
    </row>
    <row r="2384" spans="1:25">
      <c r="A2384" s="49"/>
      <c r="P2384" s="50"/>
      <c r="Q2384" s="50"/>
      <c r="R2384" s="50"/>
      <c r="T2384" s="50"/>
      <c r="U2384" s="50"/>
      <c r="V2384" s="50"/>
      <c r="W2384" s="50"/>
      <c r="X2384" s="50"/>
      <c r="Y2384" s="50"/>
    </row>
    <row r="2385" spans="1:25">
      <c r="A2385" s="49"/>
      <c r="P2385" s="50"/>
      <c r="Q2385" s="50"/>
      <c r="R2385" s="50"/>
      <c r="T2385" s="50"/>
      <c r="U2385" s="50"/>
      <c r="V2385" s="50"/>
      <c r="W2385" s="50"/>
      <c r="X2385" s="50"/>
      <c r="Y2385" s="50"/>
    </row>
    <row r="2386" spans="1:25">
      <c r="A2386" s="49"/>
      <c r="P2386" s="50"/>
      <c r="Q2386" s="50"/>
      <c r="R2386" s="50"/>
      <c r="T2386" s="50"/>
      <c r="U2386" s="50"/>
      <c r="V2386" s="50"/>
      <c r="W2386" s="50"/>
      <c r="X2386" s="50"/>
      <c r="Y2386" s="50"/>
    </row>
    <row r="2387" spans="1:25">
      <c r="A2387" s="49"/>
      <c r="P2387" s="50"/>
      <c r="Q2387" s="50"/>
      <c r="R2387" s="50"/>
      <c r="T2387" s="50"/>
      <c r="U2387" s="50"/>
      <c r="V2387" s="50"/>
      <c r="W2387" s="50"/>
      <c r="X2387" s="50"/>
      <c r="Y2387" s="50"/>
    </row>
    <row r="2388" spans="1:25">
      <c r="A2388" s="49"/>
      <c r="P2388" s="50"/>
      <c r="Q2388" s="50"/>
      <c r="R2388" s="50"/>
      <c r="T2388" s="50"/>
      <c r="U2388" s="50"/>
      <c r="V2388" s="50"/>
      <c r="W2388" s="50"/>
      <c r="X2388" s="50"/>
      <c r="Y2388" s="50"/>
    </row>
    <row r="2389" spans="1:25">
      <c r="A2389" s="49"/>
      <c r="P2389" s="50"/>
      <c r="Q2389" s="50"/>
      <c r="R2389" s="50"/>
      <c r="T2389" s="50"/>
      <c r="U2389" s="50"/>
      <c r="V2389" s="50"/>
      <c r="W2389" s="50"/>
      <c r="X2389" s="50"/>
      <c r="Y2389" s="50"/>
    </row>
    <row r="2390" spans="1:25">
      <c r="A2390" s="49"/>
      <c r="P2390" s="50"/>
      <c r="Q2390" s="50"/>
      <c r="R2390" s="50"/>
      <c r="T2390" s="50"/>
      <c r="U2390" s="50"/>
      <c r="V2390" s="50"/>
      <c r="W2390" s="50"/>
      <c r="X2390" s="50"/>
      <c r="Y2390" s="50"/>
    </row>
    <row r="2391" spans="1:25">
      <c r="A2391" s="49"/>
      <c r="P2391" s="50"/>
      <c r="Q2391" s="50"/>
      <c r="R2391" s="50"/>
      <c r="T2391" s="50"/>
      <c r="U2391" s="50"/>
      <c r="V2391" s="50"/>
      <c r="W2391" s="50"/>
      <c r="X2391" s="50"/>
      <c r="Y2391" s="50"/>
    </row>
    <row r="2392" spans="1:25">
      <c r="A2392" s="49"/>
      <c r="P2392" s="50"/>
      <c r="Q2392" s="50"/>
      <c r="R2392" s="50"/>
      <c r="T2392" s="50"/>
      <c r="U2392" s="50"/>
      <c r="V2392" s="50"/>
      <c r="W2392" s="50"/>
      <c r="X2392" s="50"/>
      <c r="Y2392" s="50"/>
    </row>
    <row r="2393" spans="1:25">
      <c r="A2393" s="49"/>
      <c r="P2393" s="50"/>
      <c r="Q2393" s="50"/>
      <c r="R2393" s="50"/>
      <c r="T2393" s="50"/>
      <c r="U2393" s="50"/>
      <c r="V2393" s="50"/>
      <c r="W2393" s="50"/>
      <c r="X2393" s="50"/>
      <c r="Y2393" s="50"/>
    </row>
    <row r="2394" spans="1:25">
      <c r="A2394" s="49"/>
      <c r="P2394" s="50"/>
      <c r="Q2394" s="50"/>
      <c r="R2394" s="50"/>
      <c r="T2394" s="50"/>
      <c r="U2394" s="50"/>
      <c r="V2394" s="50"/>
      <c r="W2394" s="50"/>
      <c r="X2394" s="50"/>
      <c r="Y2394" s="50"/>
    </row>
    <row r="2395" spans="1:25">
      <c r="A2395" s="49"/>
      <c r="P2395" s="50"/>
      <c r="Q2395" s="50"/>
      <c r="R2395" s="50"/>
      <c r="T2395" s="50"/>
      <c r="U2395" s="50"/>
      <c r="V2395" s="50"/>
      <c r="W2395" s="50"/>
      <c r="X2395" s="50"/>
      <c r="Y2395" s="50"/>
    </row>
    <row r="2396" spans="1:25">
      <c r="A2396" s="49"/>
      <c r="P2396" s="50"/>
      <c r="Q2396" s="50"/>
      <c r="R2396" s="50"/>
      <c r="T2396" s="50"/>
      <c r="U2396" s="50"/>
      <c r="V2396" s="50"/>
      <c r="W2396" s="50"/>
      <c r="X2396" s="50"/>
      <c r="Y2396" s="50"/>
    </row>
    <row r="2397" spans="1:25">
      <c r="A2397" s="49"/>
      <c r="P2397" s="50"/>
      <c r="Q2397" s="50"/>
      <c r="R2397" s="50"/>
      <c r="T2397" s="50"/>
      <c r="U2397" s="50"/>
      <c r="V2397" s="50"/>
      <c r="W2397" s="50"/>
      <c r="X2397" s="50"/>
      <c r="Y2397" s="50"/>
    </row>
    <row r="2398" spans="1:25">
      <c r="A2398" s="49"/>
      <c r="P2398" s="50"/>
      <c r="Q2398" s="50"/>
      <c r="R2398" s="50"/>
      <c r="T2398" s="50"/>
      <c r="U2398" s="50"/>
      <c r="V2398" s="50"/>
      <c r="W2398" s="50"/>
      <c r="X2398" s="50"/>
      <c r="Y2398" s="50"/>
    </row>
    <row r="2399" spans="1:25">
      <c r="A2399" s="49"/>
      <c r="P2399" s="50"/>
      <c r="Q2399" s="50"/>
      <c r="R2399" s="50"/>
      <c r="T2399" s="50"/>
      <c r="U2399" s="50"/>
      <c r="V2399" s="50"/>
      <c r="W2399" s="50"/>
      <c r="X2399" s="50"/>
      <c r="Y2399" s="50"/>
    </row>
    <row r="2400" spans="1:25">
      <c r="A2400" s="49"/>
      <c r="P2400" s="50"/>
      <c r="Q2400" s="50"/>
      <c r="R2400" s="50"/>
      <c r="T2400" s="50"/>
      <c r="U2400" s="50"/>
      <c r="V2400" s="50"/>
      <c r="W2400" s="50"/>
      <c r="X2400" s="50"/>
      <c r="Y2400" s="50"/>
    </row>
    <row r="2401" spans="1:25">
      <c r="A2401" s="49"/>
      <c r="P2401" s="51"/>
      <c r="Q2401" s="51"/>
      <c r="R2401" s="51"/>
      <c r="T2401" s="51"/>
      <c r="U2401" s="51"/>
      <c r="V2401" s="51"/>
      <c r="W2401" s="51"/>
      <c r="X2401" s="51"/>
      <c r="Y2401" s="51"/>
    </row>
    <row r="2402" spans="1:25">
      <c r="A2402" s="49"/>
      <c r="P2402" s="51"/>
      <c r="Q2402" s="51"/>
      <c r="R2402" s="51"/>
      <c r="T2402" s="51"/>
      <c r="U2402" s="51"/>
      <c r="V2402" s="51"/>
      <c r="W2402" s="51"/>
      <c r="X2402" s="51"/>
      <c r="Y2402" s="51"/>
    </row>
    <row r="2403" spans="1:25">
      <c r="A2403" s="49"/>
      <c r="P2403" s="51"/>
      <c r="Q2403" s="51"/>
      <c r="R2403" s="51"/>
      <c r="T2403" s="51"/>
      <c r="U2403" s="51"/>
      <c r="V2403" s="51"/>
      <c r="W2403" s="51"/>
      <c r="X2403" s="51"/>
      <c r="Y2403" s="51"/>
    </row>
    <row r="2404" spans="1:25">
      <c r="A2404" s="49"/>
      <c r="P2404" s="51"/>
      <c r="Q2404" s="51"/>
      <c r="R2404" s="51"/>
      <c r="T2404" s="51"/>
      <c r="U2404" s="51"/>
      <c r="V2404" s="51"/>
      <c r="W2404" s="51"/>
      <c r="X2404" s="51"/>
      <c r="Y2404" s="51"/>
    </row>
    <row r="2405" spans="1:25">
      <c r="A2405" s="49"/>
      <c r="P2405" s="51"/>
      <c r="Q2405" s="51"/>
      <c r="R2405" s="51"/>
      <c r="T2405" s="51"/>
      <c r="U2405" s="51"/>
      <c r="V2405" s="51"/>
      <c r="W2405" s="51"/>
      <c r="X2405" s="51"/>
      <c r="Y2405" s="51"/>
    </row>
    <row r="2406" spans="1:25">
      <c r="A2406" s="49"/>
      <c r="P2406" s="51"/>
      <c r="Q2406" s="51"/>
      <c r="R2406" s="51"/>
      <c r="T2406" s="51"/>
      <c r="U2406" s="51"/>
      <c r="V2406" s="51"/>
      <c r="W2406" s="51"/>
      <c r="X2406" s="51"/>
      <c r="Y2406" s="51"/>
    </row>
    <row r="2407" spans="1:25">
      <c r="A2407" s="49"/>
      <c r="P2407" s="50"/>
      <c r="Q2407" s="50"/>
      <c r="R2407" s="50"/>
      <c r="T2407" s="50"/>
      <c r="U2407" s="50"/>
      <c r="V2407" s="50"/>
      <c r="W2407" s="50"/>
      <c r="X2407" s="50"/>
      <c r="Y2407" s="50"/>
    </row>
    <row r="2408" spans="1:25">
      <c r="A2408" s="49"/>
      <c r="P2408" s="50"/>
      <c r="Q2408" s="50"/>
      <c r="R2408" s="50"/>
      <c r="T2408" s="50"/>
      <c r="U2408" s="50"/>
      <c r="V2408" s="50"/>
      <c r="W2408" s="50"/>
      <c r="X2408" s="50"/>
      <c r="Y2408" s="50"/>
    </row>
    <row r="2409" spans="1:25">
      <c r="A2409" s="49"/>
      <c r="P2409" s="50"/>
      <c r="Q2409" s="50"/>
      <c r="R2409" s="50"/>
      <c r="T2409" s="50"/>
      <c r="U2409" s="50"/>
      <c r="V2409" s="50"/>
      <c r="W2409" s="50"/>
      <c r="X2409" s="50"/>
      <c r="Y2409" s="50"/>
    </row>
    <row r="2410" spans="1:25">
      <c r="A2410" s="49"/>
      <c r="P2410" s="50"/>
      <c r="Q2410" s="50"/>
      <c r="R2410" s="50"/>
      <c r="T2410" s="50"/>
      <c r="U2410" s="50"/>
      <c r="V2410" s="50"/>
      <c r="W2410" s="50"/>
      <c r="X2410" s="50"/>
      <c r="Y2410" s="50"/>
    </row>
    <row r="2411" spans="1:25">
      <c r="A2411" s="49"/>
      <c r="P2411" s="50"/>
      <c r="Q2411" s="50"/>
      <c r="R2411" s="50"/>
      <c r="T2411" s="50"/>
      <c r="U2411" s="50"/>
      <c r="V2411" s="50"/>
      <c r="W2411" s="50"/>
      <c r="X2411" s="50"/>
      <c r="Y2411" s="50"/>
    </row>
    <row r="2412" spans="1:25">
      <c r="A2412" s="49"/>
      <c r="P2412" s="50"/>
      <c r="Q2412" s="50"/>
      <c r="R2412" s="50"/>
      <c r="T2412" s="50"/>
      <c r="U2412" s="50"/>
      <c r="V2412" s="50"/>
      <c r="W2412" s="50"/>
      <c r="X2412" s="50"/>
      <c r="Y2412" s="50"/>
    </row>
    <row r="2413" spans="1:25">
      <c r="A2413" s="49"/>
      <c r="P2413" s="51"/>
      <c r="Q2413" s="51"/>
      <c r="R2413" s="51"/>
      <c r="T2413" s="51"/>
      <c r="U2413" s="51"/>
      <c r="V2413" s="51"/>
      <c r="W2413" s="51"/>
      <c r="X2413" s="51"/>
      <c r="Y2413" s="51"/>
    </row>
    <row r="2414" spans="1:25">
      <c r="A2414" s="49"/>
      <c r="P2414" s="51"/>
      <c r="Q2414" s="51"/>
      <c r="R2414" s="51"/>
      <c r="T2414" s="51"/>
      <c r="U2414" s="51"/>
      <c r="V2414" s="51"/>
      <c r="W2414" s="51"/>
      <c r="X2414" s="51"/>
      <c r="Y2414" s="51"/>
    </row>
    <row r="2415" spans="1:25">
      <c r="A2415" s="49"/>
      <c r="P2415" s="51"/>
      <c r="Q2415" s="51"/>
      <c r="R2415" s="51"/>
      <c r="T2415" s="51"/>
      <c r="U2415" s="51"/>
      <c r="V2415" s="51"/>
      <c r="W2415" s="51"/>
      <c r="X2415" s="51"/>
      <c r="Y2415" s="51"/>
    </row>
    <row r="2416" spans="1:25">
      <c r="A2416" s="49"/>
      <c r="P2416" s="51"/>
      <c r="Q2416" s="51"/>
      <c r="R2416" s="51"/>
      <c r="T2416" s="51"/>
      <c r="U2416" s="51"/>
      <c r="V2416" s="51"/>
      <c r="W2416" s="51"/>
      <c r="X2416" s="51"/>
      <c r="Y2416" s="51"/>
    </row>
    <row r="2417" spans="1:25">
      <c r="A2417" s="49"/>
      <c r="P2417" s="50"/>
      <c r="Q2417" s="50"/>
      <c r="R2417" s="50"/>
      <c r="T2417" s="50"/>
      <c r="U2417" s="50"/>
      <c r="V2417" s="50"/>
      <c r="W2417" s="50"/>
      <c r="X2417" s="50"/>
      <c r="Y2417" s="50"/>
    </row>
    <row r="2418" spans="1:25">
      <c r="A2418" s="49"/>
      <c r="P2418" s="50"/>
      <c r="Q2418" s="50"/>
      <c r="R2418" s="50"/>
      <c r="T2418" s="50"/>
      <c r="U2418" s="50"/>
      <c r="V2418" s="50"/>
      <c r="W2418" s="50"/>
      <c r="X2418" s="50"/>
      <c r="Y2418" s="50"/>
    </row>
    <row r="2419" spans="1:25">
      <c r="A2419" s="49"/>
      <c r="P2419" s="50"/>
      <c r="Q2419" s="50"/>
      <c r="R2419" s="50"/>
      <c r="T2419" s="50"/>
      <c r="U2419" s="50"/>
      <c r="V2419" s="50"/>
      <c r="W2419" s="50"/>
      <c r="X2419" s="50"/>
      <c r="Y2419" s="50"/>
    </row>
    <row r="2420" spans="1:25">
      <c r="A2420" s="49"/>
      <c r="P2420" s="50"/>
      <c r="Q2420" s="50"/>
      <c r="R2420" s="50"/>
      <c r="T2420" s="50"/>
      <c r="U2420" s="50"/>
      <c r="V2420" s="50"/>
      <c r="W2420" s="50"/>
      <c r="X2420" s="50"/>
      <c r="Y2420" s="50"/>
    </row>
    <row r="2421" spans="1:25">
      <c r="A2421" s="49"/>
      <c r="P2421" s="51"/>
      <c r="Q2421" s="51"/>
      <c r="R2421" s="51"/>
      <c r="T2421" s="51"/>
      <c r="U2421" s="51"/>
      <c r="V2421" s="51"/>
      <c r="W2421" s="51"/>
      <c r="X2421" s="51"/>
      <c r="Y2421" s="51"/>
    </row>
    <row r="2422" spans="1:25">
      <c r="A2422" s="49"/>
      <c r="P2422" s="51"/>
      <c r="Q2422" s="51"/>
      <c r="R2422" s="51"/>
      <c r="T2422" s="51"/>
      <c r="U2422" s="51"/>
      <c r="V2422" s="51"/>
      <c r="W2422" s="51"/>
      <c r="X2422" s="51"/>
      <c r="Y2422" s="51"/>
    </row>
    <row r="2423" spans="1:25">
      <c r="A2423" s="49"/>
      <c r="P2423" s="51"/>
      <c r="Q2423" s="51"/>
      <c r="R2423" s="51"/>
      <c r="T2423" s="51"/>
      <c r="U2423" s="51"/>
      <c r="V2423" s="51"/>
      <c r="W2423" s="51"/>
      <c r="X2423" s="51"/>
      <c r="Y2423" s="51"/>
    </row>
    <row r="2424" spans="1:25">
      <c r="A2424" s="49"/>
      <c r="P2424" s="51"/>
      <c r="Q2424" s="51"/>
      <c r="R2424" s="51"/>
      <c r="T2424" s="51"/>
      <c r="U2424" s="51"/>
      <c r="V2424" s="51"/>
      <c r="W2424" s="51"/>
      <c r="X2424" s="51"/>
      <c r="Y2424" s="51"/>
    </row>
    <row r="2425" spans="1:25">
      <c r="A2425" s="49"/>
      <c r="P2425" s="50"/>
      <c r="Q2425" s="50"/>
      <c r="R2425" s="50"/>
      <c r="T2425" s="50"/>
      <c r="U2425" s="50"/>
      <c r="V2425" s="50"/>
      <c r="W2425" s="50"/>
      <c r="X2425" s="50"/>
      <c r="Y2425" s="50"/>
    </row>
    <row r="2426" spans="1:25">
      <c r="A2426" s="49"/>
      <c r="P2426" s="50"/>
      <c r="Q2426" s="50"/>
      <c r="R2426" s="50"/>
      <c r="T2426" s="50"/>
      <c r="U2426" s="50"/>
      <c r="V2426" s="50"/>
      <c r="W2426" s="50"/>
      <c r="X2426" s="50"/>
      <c r="Y2426" s="50"/>
    </row>
    <row r="2427" spans="1:25">
      <c r="A2427" s="49"/>
      <c r="P2427" s="50"/>
      <c r="Q2427" s="50"/>
      <c r="R2427" s="50"/>
      <c r="T2427" s="50"/>
      <c r="U2427" s="50"/>
      <c r="V2427" s="50"/>
      <c r="W2427" s="50"/>
      <c r="X2427" s="50"/>
      <c r="Y2427" s="50"/>
    </row>
    <row r="2428" spans="1:25">
      <c r="A2428" s="49"/>
      <c r="P2428" s="50"/>
      <c r="Q2428" s="50"/>
      <c r="R2428" s="50"/>
      <c r="T2428" s="50"/>
      <c r="U2428" s="50"/>
      <c r="V2428" s="50"/>
      <c r="W2428" s="50"/>
      <c r="X2428" s="50"/>
      <c r="Y2428" s="50"/>
    </row>
    <row r="2429" spans="1:25">
      <c r="A2429" s="49"/>
      <c r="P2429" s="50"/>
      <c r="Q2429" s="50"/>
      <c r="R2429" s="50"/>
      <c r="T2429" s="50"/>
      <c r="U2429" s="50"/>
      <c r="V2429" s="50"/>
      <c r="W2429" s="50"/>
      <c r="X2429" s="50"/>
      <c r="Y2429" s="50"/>
    </row>
    <row r="2430" spans="1:25">
      <c r="A2430" s="49"/>
      <c r="P2430" s="50"/>
      <c r="Q2430" s="50"/>
      <c r="R2430" s="50"/>
      <c r="T2430" s="50"/>
      <c r="U2430" s="50"/>
      <c r="V2430" s="50"/>
      <c r="W2430" s="50"/>
      <c r="X2430" s="50"/>
      <c r="Y2430" s="50"/>
    </row>
    <row r="2431" spans="1:25">
      <c r="A2431" s="49"/>
      <c r="P2431" s="50"/>
      <c r="Q2431" s="50"/>
      <c r="R2431" s="50"/>
      <c r="T2431" s="50"/>
      <c r="U2431" s="50"/>
      <c r="V2431" s="50"/>
      <c r="W2431" s="50"/>
      <c r="X2431" s="50"/>
      <c r="Y2431" s="50"/>
    </row>
    <row r="2432" spans="1:25">
      <c r="A2432" s="49"/>
      <c r="P2432" s="50"/>
      <c r="Q2432" s="50"/>
      <c r="R2432" s="50"/>
      <c r="T2432" s="50"/>
      <c r="U2432" s="50"/>
      <c r="V2432" s="50"/>
      <c r="W2432" s="50"/>
      <c r="X2432" s="50"/>
      <c r="Y2432" s="50"/>
    </row>
    <row r="2433" spans="1:25">
      <c r="A2433" s="49"/>
      <c r="P2433" s="50"/>
      <c r="Q2433" s="50"/>
      <c r="R2433" s="50"/>
      <c r="T2433" s="50"/>
      <c r="U2433" s="50"/>
      <c r="V2433" s="50"/>
      <c r="W2433" s="50"/>
      <c r="X2433" s="50"/>
      <c r="Y2433" s="50"/>
    </row>
    <row r="2434" spans="1:25">
      <c r="A2434" s="49"/>
      <c r="P2434" s="50"/>
      <c r="Q2434" s="50"/>
      <c r="R2434" s="50"/>
      <c r="T2434" s="50"/>
      <c r="U2434" s="50"/>
      <c r="V2434" s="50"/>
      <c r="W2434" s="50"/>
      <c r="X2434" s="50"/>
      <c r="Y2434" s="50"/>
    </row>
    <row r="2435" spans="1:25">
      <c r="A2435" s="49"/>
      <c r="P2435" s="51"/>
      <c r="Q2435" s="51"/>
      <c r="R2435" s="51"/>
      <c r="T2435" s="51"/>
      <c r="U2435" s="51"/>
      <c r="V2435" s="51"/>
      <c r="W2435" s="51"/>
      <c r="X2435" s="51"/>
      <c r="Y2435" s="51"/>
    </row>
    <row r="2436" spans="1:25">
      <c r="A2436" s="49"/>
      <c r="P2436" s="51"/>
      <c r="Q2436" s="51"/>
      <c r="R2436" s="51"/>
      <c r="T2436" s="51"/>
      <c r="U2436" s="51"/>
      <c r="V2436" s="51"/>
      <c r="W2436" s="51"/>
      <c r="X2436" s="51"/>
      <c r="Y2436" s="51"/>
    </row>
    <row r="2437" spans="1:25">
      <c r="A2437" s="49"/>
      <c r="P2437" s="51"/>
      <c r="Q2437" s="51"/>
      <c r="R2437" s="51"/>
      <c r="T2437" s="51"/>
      <c r="U2437" s="51"/>
      <c r="V2437" s="51"/>
      <c r="W2437" s="51"/>
      <c r="X2437" s="51"/>
      <c r="Y2437" s="51"/>
    </row>
    <row r="2438" spans="1:25">
      <c r="A2438" s="49"/>
      <c r="P2438" s="51"/>
      <c r="Q2438" s="51"/>
      <c r="R2438" s="51"/>
      <c r="T2438" s="51"/>
      <c r="U2438" s="51"/>
      <c r="V2438" s="51"/>
      <c r="W2438" s="51"/>
      <c r="X2438" s="51"/>
      <c r="Y2438" s="51"/>
    </row>
    <row r="2439" spans="1:25">
      <c r="A2439" s="49"/>
      <c r="P2439" s="51"/>
      <c r="Q2439" s="51"/>
      <c r="R2439" s="51"/>
      <c r="T2439" s="51"/>
      <c r="U2439" s="51"/>
      <c r="V2439" s="51"/>
      <c r="W2439" s="51"/>
      <c r="X2439" s="51"/>
      <c r="Y2439" s="51"/>
    </row>
    <row r="2440" spans="1:25">
      <c r="A2440" s="49"/>
      <c r="P2440" s="51"/>
      <c r="Q2440" s="51"/>
      <c r="R2440" s="51"/>
      <c r="T2440" s="51"/>
      <c r="U2440" s="51"/>
      <c r="V2440" s="51"/>
      <c r="W2440" s="51"/>
      <c r="X2440" s="51"/>
      <c r="Y2440" s="51"/>
    </row>
    <row r="2441" spans="1:25">
      <c r="A2441" s="49"/>
      <c r="P2441" s="51"/>
      <c r="Q2441" s="51"/>
      <c r="R2441" s="51"/>
      <c r="T2441" s="51"/>
      <c r="U2441" s="51"/>
      <c r="V2441" s="51"/>
      <c r="W2441" s="51"/>
      <c r="X2441" s="51"/>
      <c r="Y2441" s="51"/>
    </row>
    <row r="2442" spans="1:25">
      <c r="A2442" s="49"/>
      <c r="P2442" s="50"/>
      <c r="Q2442" s="50"/>
      <c r="R2442" s="50"/>
      <c r="T2442" s="50"/>
      <c r="U2442" s="50"/>
      <c r="V2442" s="50"/>
      <c r="W2442" s="50"/>
      <c r="X2442" s="50"/>
      <c r="Y2442" s="50"/>
    </row>
    <row r="2443" spans="1:25">
      <c r="A2443" s="49"/>
      <c r="P2443" s="50"/>
      <c r="Q2443" s="50"/>
      <c r="R2443" s="50"/>
      <c r="T2443" s="50"/>
      <c r="U2443" s="50"/>
      <c r="V2443" s="50"/>
      <c r="W2443" s="50"/>
      <c r="X2443" s="50"/>
      <c r="Y2443" s="50"/>
    </row>
    <row r="2444" spans="1:25">
      <c r="A2444" s="49"/>
      <c r="P2444" s="50"/>
      <c r="Q2444" s="50"/>
      <c r="R2444" s="50"/>
      <c r="T2444" s="50"/>
      <c r="U2444" s="50"/>
      <c r="V2444" s="50"/>
      <c r="W2444" s="50"/>
      <c r="X2444" s="50"/>
      <c r="Y2444" s="50"/>
    </row>
    <row r="2445" spans="1:25">
      <c r="A2445" s="49"/>
      <c r="P2445" s="50"/>
      <c r="Q2445" s="50"/>
      <c r="R2445" s="50"/>
      <c r="T2445" s="50"/>
      <c r="U2445" s="50"/>
      <c r="V2445" s="50"/>
      <c r="W2445" s="50"/>
      <c r="X2445" s="50"/>
      <c r="Y2445" s="50"/>
    </row>
    <row r="2446" spans="1:25">
      <c r="A2446" s="49"/>
    </row>
    <row r="2447" spans="1:25">
      <c r="A2447" s="49"/>
    </row>
    <row r="2448" spans="1:25">
      <c r="A2448" s="49"/>
    </row>
    <row r="2449" spans="1:1">
      <c r="A2449" s="49"/>
    </row>
    <row r="2450" spans="1:1">
      <c r="A2450" s="49"/>
    </row>
    <row r="2451" spans="1:1">
      <c r="A2451" s="49"/>
    </row>
    <row r="2452" spans="1:1">
      <c r="A2452" s="49"/>
    </row>
    <row r="2453" spans="1:1">
      <c r="A2453" s="49"/>
    </row>
    <row r="2454" spans="1:1">
      <c r="A2454" s="49"/>
    </row>
    <row r="2455" spans="1:1">
      <c r="A2455" s="49"/>
    </row>
    <row r="2456" spans="1:1">
      <c r="A2456" s="49"/>
    </row>
    <row r="2457" spans="1:1">
      <c r="A2457" s="49"/>
    </row>
    <row r="2458" spans="1:1">
      <c r="A2458" s="49"/>
    </row>
    <row r="2459" spans="1:1">
      <c r="A2459" s="49"/>
    </row>
    <row r="2460" spans="1:1">
      <c r="A2460" s="49"/>
    </row>
    <row r="2461" spans="1:1">
      <c r="A2461" s="49"/>
    </row>
    <row r="2462" spans="1:1">
      <c r="A2462" s="49"/>
    </row>
    <row r="2463" spans="1:1">
      <c r="A2463" s="49"/>
    </row>
    <row r="2464" spans="1:1">
      <c r="A2464" s="49"/>
    </row>
    <row r="2465" spans="1:1">
      <c r="A2465" s="49"/>
    </row>
    <row r="2466" spans="1:1">
      <c r="A2466" s="49"/>
    </row>
    <row r="2467" spans="1:1">
      <c r="A2467" s="49"/>
    </row>
    <row r="2468" spans="1:1">
      <c r="A2468" s="49"/>
    </row>
    <row r="2469" spans="1:1">
      <c r="A2469" s="49"/>
    </row>
    <row r="2470" spans="1:1">
      <c r="A2470" s="49"/>
    </row>
    <row r="2471" spans="1:1">
      <c r="A2471" s="49"/>
    </row>
    <row r="2472" spans="1:1">
      <c r="A2472" s="49"/>
    </row>
    <row r="2473" spans="1:1">
      <c r="A2473" s="49"/>
    </row>
    <row r="2474" spans="1:1">
      <c r="A2474" s="49"/>
    </row>
    <row r="2475" spans="1:1">
      <c r="A2475" s="49"/>
    </row>
    <row r="2476" spans="1:1">
      <c r="A2476" s="49"/>
    </row>
    <row r="2477" spans="1:1">
      <c r="A2477" s="49"/>
    </row>
    <row r="2478" spans="1:1">
      <c r="A2478" s="49"/>
    </row>
    <row r="2479" spans="1:1">
      <c r="A2479" s="49"/>
    </row>
    <row r="2480" spans="1:1">
      <c r="A2480" s="49"/>
    </row>
    <row r="2481" spans="1:1">
      <c r="A2481" s="49"/>
    </row>
    <row r="2482" spans="1:1">
      <c r="A2482" s="49"/>
    </row>
    <row r="2483" spans="1:1">
      <c r="A2483" s="49"/>
    </row>
    <row r="2484" spans="1:1">
      <c r="A2484" s="49"/>
    </row>
    <row r="2485" spans="1:1">
      <c r="A2485" s="49"/>
    </row>
    <row r="2486" spans="1:1">
      <c r="A2486" s="49"/>
    </row>
    <row r="2487" spans="1:1">
      <c r="A2487" s="49"/>
    </row>
    <row r="2488" spans="1:1">
      <c r="A2488" s="49"/>
    </row>
    <row r="2489" spans="1:1">
      <c r="A2489" s="49"/>
    </row>
    <row r="2490" spans="1:1">
      <c r="A2490" s="49"/>
    </row>
    <row r="2491" spans="1:1">
      <c r="A2491" s="49"/>
    </row>
    <row r="2492" spans="1:1">
      <c r="A2492" s="49"/>
    </row>
    <row r="2493" spans="1:1">
      <c r="A2493" s="49"/>
    </row>
    <row r="2494" spans="1:1">
      <c r="A2494" s="49"/>
    </row>
    <row r="2495" spans="1:1">
      <c r="A2495" s="49"/>
    </row>
    <row r="2496" spans="1:1">
      <c r="A2496" s="49"/>
    </row>
    <row r="2497" spans="1:1">
      <c r="A2497" s="49"/>
    </row>
    <row r="2498" spans="1:1">
      <c r="A2498" s="49"/>
    </row>
    <row r="2499" spans="1:1">
      <c r="A2499" s="49"/>
    </row>
    <row r="2500" spans="1:1">
      <c r="A2500" s="49"/>
    </row>
    <row r="2501" spans="1:1">
      <c r="A2501" s="49"/>
    </row>
    <row r="2502" spans="1:1">
      <c r="A2502" s="49"/>
    </row>
    <row r="2503" spans="1:1">
      <c r="A2503" s="49"/>
    </row>
    <row r="2504" spans="1:1">
      <c r="A2504" s="49"/>
    </row>
    <row r="2505" spans="1:1">
      <c r="A2505" s="49"/>
    </row>
    <row r="2506" spans="1:1">
      <c r="A2506" s="49"/>
    </row>
    <row r="2507" spans="1:1">
      <c r="A2507" s="49"/>
    </row>
    <row r="2508" spans="1:1">
      <c r="A2508" s="49"/>
    </row>
    <row r="2509" spans="1:1">
      <c r="A2509" s="49"/>
    </row>
    <row r="2510" spans="1:1">
      <c r="A2510" s="49"/>
    </row>
    <row r="2511" spans="1:1">
      <c r="A2511" s="49"/>
    </row>
    <row r="2512" spans="1:1">
      <c r="A2512" s="49"/>
    </row>
    <row r="2513" spans="1:1">
      <c r="A2513" s="49"/>
    </row>
    <row r="2514" spans="1:1">
      <c r="A2514" s="49"/>
    </row>
    <row r="2515" spans="1:1">
      <c r="A2515" s="49"/>
    </row>
    <row r="2516" spans="1:1">
      <c r="A2516" s="49"/>
    </row>
    <row r="2517" spans="1:1">
      <c r="A2517" s="49"/>
    </row>
    <row r="2518" spans="1:1">
      <c r="A2518" s="49"/>
    </row>
    <row r="2519" spans="1:1">
      <c r="A2519" s="49"/>
    </row>
    <row r="2520" spans="1:1">
      <c r="A2520" s="49"/>
    </row>
    <row r="2521" spans="1:1">
      <c r="A2521" s="49"/>
    </row>
    <row r="2522" spans="1:1">
      <c r="A2522" s="49"/>
    </row>
    <row r="2523" spans="1:1">
      <c r="A2523" s="49"/>
    </row>
    <row r="2524" spans="1:1">
      <c r="A2524" s="49"/>
    </row>
    <row r="2525" spans="1:1">
      <c r="A2525" s="49"/>
    </row>
    <row r="2526" spans="1:1">
      <c r="A2526" s="49"/>
    </row>
    <row r="2527" spans="1:1">
      <c r="A2527" s="49"/>
    </row>
    <row r="2528" spans="1:1">
      <c r="A2528" s="49"/>
    </row>
    <row r="2529" spans="1:1">
      <c r="A2529" s="49"/>
    </row>
    <row r="2530" spans="1:1">
      <c r="A2530" s="49"/>
    </row>
    <row r="2531" spans="1:1">
      <c r="A2531" s="49"/>
    </row>
    <row r="2532" spans="1:1">
      <c r="A2532" s="49"/>
    </row>
    <row r="2533" spans="1:1">
      <c r="A2533" s="49"/>
    </row>
    <row r="2534" spans="1:1">
      <c r="A2534" s="49"/>
    </row>
    <row r="2535" spans="1:1">
      <c r="A2535" s="49"/>
    </row>
    <row r="2536" spans="1:1">
      <c r="A2536" s="49"/>
    </row>
    <row r="2537" spans="1:1">
      <c r="A2537" s="49"/>
    </row>
    <row r="2538" spans="1:1">
      <c r="A2538" s="49"/>
    </row>
    <row r="2539" spans="1:1">
      <c r="A2539" s="49"/>
    </row>
    <row r="2540" spans="1:1">
      <c r="A2540" s="49"/>
    </row>
    <row r="2541" spans="1:1">
      <c r="A2541" s="49"/>
    </row>
    <row r="2542" spans="1:1">
      <c r="A2542" s="49"/>
    </row>
    <row r="2543" spans="1:1">
      <c r="A2543" s="49"/>
    </row>
    <row r="2544" spans="1:1">
      <c r="A2544" s="49"/>
    </row>
    <row r="2545" spans="1:1">
      <c r="A2545" s="49"/>
    </row>
    <row r="2546" spans="1:1">
      <c r="A2546" s="49"/>
    </row>
    <row r="2547" spans="1:1">
      <c r="A2547" s="49"/>
    </row>
    <row r="2548" spans="1:1">
      <c r="A2548" s="49"/>
    </row>
    <row r="2549" spans="1:1">
      <c r="A2549" s="49"/>
    </row>
    <row r="2550" spans="1:1">
      <c r="A2550" s="49"/>
    </row>
    <row r="2551" spans="1:1">
      <c r="A2551" s="49"/>
    </row>
    <row r="2552" spans="1:1">
      <c r="A2552" s="49"/>
    </row>
    <row r="2553" spans="1:1">
      <c r="A2553" s="49"/>
    </row>
    <row r="2554" spans="1:1">
      <c r="A2554" s="49"/>
    </row>
    <row r="2555" spans="1:1">
      <c r="A2555" s="49"/>
    </row>
    <row r="2556" spans="1:1">
      <c r="A2556" s="49"/>
    </row>
    <row r="2557" spans="1:1">
      <c r="A2557" s="49"/>
    </row>
    <row r="2558" spans="1:1">
      <c r="A2558" s="49"/>
    </row>
    <row r="2559" spans="1:1">
      <c r="A2559" s="49"/>
    </row>
    <row r="2560" spans="1:1">
      <c r="A2560" s="49"/>
    </row>
    <row r="2561" spans="1:1">
      <c r="A2561" s="49"/>
    </row>
    <row r="2562" spans="1:1">
      <c r="A2562" s="49"/>
    </row>
    <row r="2563" spans="1:1">
      <c r="A2563" s="49"/>
    </row>
    <row r="2564" spans="1:1">
      <c r="A2564" s="49"/>
    </row>
    <row r="2565" spans="1:1">
      <c r="A2565" s="49"/>
    </row>
    <row r="2566" spans="1:1">
      <c r="A2566" s="49"/>
    </row>
    <row r="2567" spans="1:1">
      <c r="A2567" s="49"/>
    </row>
    <row r="2568" spans="1:1">
      <c r="A2568" s="49"/>
    </row>
    <row r="2569" spans="1:1">
      <c r="A2569" s="49"/>
    </row>
    <row r="2570" spans="1:1">
      <c r="A2570" s="49"/>
    </row>
    <row r="2571" spans="1:1">
      <c r="A2571" s="49"/>
    </row>
    <row r="2572" spans="1:1">
      <c r="A2572" s="49"/>
    </row>
    <row r="2573" spans="1:1">
      <c r="A2573" s="49"/>
    </row>
    <row r="2574" spans="1:1">
      <c r="A2574" s="49"/>
    </row>
    <row r="2575" spans="1:1">
      <c r="A2575" s="49"/>
    </row>
    <row r="2576" spans="1:1">
      <c r="A2576" s="49"/>
    </row>
    <row r="2577" spans="1:1">
      <c r="A2577" s="49"/>
    </row>
    <row r="2578" spans="1:1">
      <c r="A2578" s="49"/>
    </row>
    <row r="2579" spans="1:1">
      <c r="A2579" s="49"/>
    </row>
    <row r="2580" spans="1:1">
      <c r="A2580" s="49"/>
    </row>
    <row r="2581" spans="1:1">
      <c r="A2581" s="49"/>
    </row>
    <row r="2582" spans="1:1">
      <c r="A2582" s="49"/>
    </row>
    <row r="2583" spans="1:1">
      <c r="A2583" s="49"/>
    </row>
    <row r="2584" spans="1:1">
      <c r="A2584" s="49"/>
    </row>
    <row r="2585" spans="1:1">
      <c r="A2585" s="49"/>
    </row>
    <row r="2586" spans="1:1">
      <c r="A2586" s="49"/>
    </row>
    <row r="2587" spans="1:1">
      <c r="A2587" s="49"/>
    </row>
    <row r="2588" spans="1:1">
      <c r="A2588" s="49"/>
    </row>
    <row r="2589" spans="1:1">
      <c r="A2589" s="49"/>
    </row>
    <row r="2590" spans="1:1">
      <c r="A2590" s="49"/>
    </row>
    <row r="2591" spans="1:1">
      <c r="A2591" s="49"/>
    </row>
    <row r="2592" spans="1:1">
      <c r="A2592" s="49"/>
    </row>
    <row r="2593" spans="1:1">
      <c r="A2593" s="49"/>
    </row>
    <row r="2594" spans="1:1">
      <c r="A2594" s="49"/>
    </row>
    <row r="2595" spans="1:1">
      <c r="A2595" s="49"/>
    </row>
    <row r="2596" spans="1:1">
      <c r="A2596" s="49"/>
    </row>
    <row r="2597" spans="1:1">
      <c r="A2597" s="49"/>
    </row>
    <row r="2598" spans="1:1">
      <c r="A2598" s="49"/>
    </row>
    <row r="2599" spans="1:1">
      <c r="A2599" s="49"/>
    </row>
    <row r="2600" spans="1:1">
      <c r="A2600" s="49"/>
    </row>
    <row r="2601" spans="1:1">
      <c r="A2601" s="49"/>
    </row>
    <row r="2602" spans="1:1">
      <c r="A2602" s="49"/>
    </row>
    <row r="2603" spans="1:1">
      <c r="A2603" s="49"/>
    </row>
    <row r="2604" spans="1:1">
      <c r="A2604" s="49"/>
    </row>
    <row r="2605" spans="1:1">
      <c r="A2605" s="49"/>
    </row>
    <row r="2606" spans="1:1">
      <c r="A2606" s="49"/>
    </row>
    <row r="2607" spans="1:1">
      <c r="A2607" s="49"/>
    </row>
    <row r="2608" spans="1:1">
      <c r="A2608" s="49"/>
    </row>
    <row r="2609" spans="1:1">
      <c r="A2609" s="49"/>
    </row>
    <row r="2610" spans="1:1">
      <c r="A2610" s="49"/>
    </row>
    <row r="2611" spans="1:1">
      <c r="A2611" s="49"/>
    </row>
    <row r="2612" spans="1:1">
      <c r="A2612" s="49"/>
    </row>
    <row r="2613" spans="1:1">
      <c r="A2613" s="49"/>
    </row>
    <row r="2614" spans="1:1">
      <c r="A2614" s="49"/>
    </row>
    <row r="2615" spans="1:1">
      <c r="A2615" s="49"/>
    </row>
    <row r="2616" spans="1:1">
      <c r="A2616" s="49"/>
    </row>
    <row r="2617" spans="1:1">
      <c r="A2617" s="49"/>
    </row>
    <row r="2618" spans="1:1">
      <c r="A2618" s="49"/>
    </row>
    <row r="2619" spans="1:1">
      <c r="A2619" s="49"/>
    </row>
    <row r="2620" spans="1:1">
      <c r="A2620" s="49"/>
    </row>
    <row r="2621" spans="1:1">
      <c r="A2621" s="49"/>
    </row>
    <row r="2622" spans="1:1">
      <c r="A2622" s="49"/>
    </row>
    <row r="2623" spans="1:1">
      <c r="A2623" s="49"/>
    </row>
    <row r="2624" spans="1:1">
      <c r="A2624" s="49"/>
    </row>
    <row r="2625" spans="1:1">
      <c r="A2625" s="49"/>
    </row>
    <row r="2626" spans="1:1">
      <c r="A2626" s="49"/>
    </row>
    <row r="2627" spans="1:1">
      <c r="A2627" s="49"/>
    </row>
    <row r="2628" spans="1:1">
      <c r="A2628" s="49"/>
    </row>
    <row r="2629" spans="1:1">
      <c r="A2629" s="49"/>
    </row>
    <row r="2630" spans="1:1">
      <c r="A2630" s="49"/>
    </row>
    <row r="2631" spans="1:1">
      <c r="A2631" s="49"/>
    </row>
    <row r="2632" spans="1:1">
      <c r="A2632" s="49"/>
    </row>
    <row r="2633" spans="1:1">
      <c r="A2633" s="49"/>
    </row>
    <row r="2634" spans="1:1">
      <c r="A2634" s="49"/>
    </row>
    <row r="2635" spans="1:1">
      <c r="A2635" s="49"/>
    </row>
    <row r="2636" spans="1:1">
      <c r="A2636" s="49"/>
    </row>
    <row r="2637" spans="1:1">
      <c r="A2637" s="49"/>
    </row>
    <row r="2638" spans="1:1">
      <c r="A2638" s="49"/>
    </row>
    <row r="2639" spans="1:1">
      <c r="A2639" s="49"/>
    </row>
    <row r="2640" spans="1:1">
      <c r="A2640" s="49"/>
    </row>
    <row r="2641" spans="1:1">
      <c r="A2641" s="49"/>
    </row>
    <row r="2642" spans="1:1">
      <c r="A2642" s="49"/>
    </row>
    <row r="2643" spans="1:1">
      <c r="A2643" s="49"/>
    </row>
    <row r="2644" spans="1:1">
      <c r="A2644" s="49"/>
    </row>
    <row r="2645" spans="1:1">
      <c r="A2645" s="49"/>
    </row>
    <row r="2646" spans="1:1">
      <c r="A2646" s="49"/>
    </row>
    <row r="2647" spans="1:1">
      <c r="A2647" s="49"/>
    </row>
    <row r="2648" spans="1:1">
      <c r="A2648" s="49"/>
    </row>
    <row r="2649" spans="1:1">
      <c r="A2649" s="49"/>
    </row>
    <row r="2650" spans="1:1">
      <c r="A2650" s="49"/>
    </row>
    <row r="2651" spans="1:1">
      <c r="A2651" s="49"/>
    </row>
    <row r="2652" spans="1:1">
      <c r="A2652" s="49"/>
    </row>
    <row r="2653" spans="1:1">
      <c r="A2653" s="49"/>
    </row>
    <row r="2654" spans="1:1">
      <c r="A2654" s="49"/>
    </row>
    <row r="2655" spans="1:1">
      <c r="A2655" s="49"/>
    </row>
    <row r="2656" spans="1:1">
      <c r="A2656" s="49"/>
    </row>
    <row r="2657" spans="1:1">
      <c r="A2657" s="49"/>
    </row>
    <row r="2658" spans="1:1">
      <c r="A2658" s="49"/>
    </row>
    <row r="2659" spans="1:1">
      <c r="A2659" s="49"/>
    </row>
    <row r="2660" spans="1:1">
      <c r="A2660" s="49"/>
    </row>
    <row r="2661" spans="1:1">
      <c r="A2661" s="49"/>
    </row>
    <row r="2662" spans="1:1">
      <c r="A2662" s="49"/>
    </row>
    <row r="2663" spans="1:1">
      <c r="A2663" s="49"/>
    </row>
    <row r="2664" spans="1:1">
      <c r="A2664" s="49"/>
    </row>
    <row r="2665" spans="1:1">
      <c r="A2665" s="49"/>
    </row>
    <row r="2666" spans="1:1">
      <c r="A2666" s="49"/>
    </row>
    <row r="2667" spans="1:1">
      <c r="A2667" s="49"/>
    </row>
    <row r="2668" spans="1:1">
      <c r="A2668" s="49"/>
    </row>
    <row r="2669" spans="1:1">
      <c r="A2669" s="49"/>
    </row>
    <row r="2670" spans="1:1">
      <c r="A2670" s="49"/>
    </row>
    <row r="2671" spans="1:1">
      <c r="A2671" s="49"/>
    </row>
    <row r="2672" spans="1:1">
      <c r="A2672" s="49"/>
    </row>
    <row r="2673" spans="1:1">
      <c r="A2673" s="49"/>
    </row>
    <row r="2674" spans="1:1">
      <c r="A2674" s="49"/>
    </row>
    <row r="2675" spans="1:1">
      <c r="A2675" s="49"/>
    </row>
    <row r="2676" spans="1:1">
      <c r="A2676" s="49"/>
    </row>
    <row r="2677" spans="1:1">
      <c r="A2677" s="49"/>
    </row>
    <row r="2678" spans="1:1">
      <c r="A2678" s="49"/>
    </row>
    <row r="2679" spans="1:1">
      <c r="A2679" s="49"/>
    </row>
    <row r="2680" spans="1:1">
      <c r="A2680" s="49"/>
    </row>
    <row r="2681" spans="1:1">
      <c r="A2681" s="49"/>
    </row>
    <row r="2682" spans="1:1">
      <c r="A2682" s="49"/>
    </row>
    <row r="2683" spans="1:1">
      <c r="A2683" s="49"/>
    </row>
    <row r="2684" spans="1:1">
      <c r="A2684" s="49"/>
    </row>
    <row r="2685" spans="1:1">
      <c r="A2685" s="49"/>
    </row>
    <row r="2686" spans="1:1">
      <c r="A2686" s="49"/>
    </row>
    <row r="2687" spans="1:1">
      <c r="A2687" s="49"/>
    </row>
    <row r="2688" spans="1:1">
      <c r="A2688" s="49"/>
    </row>
    <row r="2689" spans="1:1">
      <c r="A2689" s="49"/>
    </row>
    <row r="2690" spans="1:1">
      <c r="A2690" s="49"/>
    </row>
    <row r="2691" spans="1:1">
      <c r="A2691" s="49"/>
    </row>
    <row r="2692" spans="1:1">
      <c r="A2692" s="49"/>
    </row>
    <row r="2693" spans="1:1">
      <c r="A2693" s="49"/>
    </row>
    <row r="2694" spans="1:1">
      <c r="A2694" s="49"/>
    </row>
    <row r="2695" spans="1:1">
      <c r="A2695" s="49"/>
    </row>
    <row r="2696" spans="1:1">
      <c r="A2696" s="49"/>
    </row>
    <row r="2697" spans="1:1">
      <c r="A2697" s="49"/>
    </row>
    <row r="2698" spans="1:1">
      <c r="A2698" s="49"/>
    </row>
    <row r="2699" spans="1:1">
      <c r="A2699" s="49"/>
    </row>
    <row r="2700" spans="1:1">
      <c r="A2700" s="49"/>
    </row>
    <row r="2701" spans="1:1">
      <c r="A2701" s="49"/>
    </row>
    <row r="2702" spans="1:1">
      <c r="A2702" s="49"/>
    </row>
    <row r="2703" spans="1:1">
      <c r="A2703" s="49"/>
    </row>
    <row r="2704" spans="1:1">
      <c r="A2704" s="49"/>
    </row>
    <row r="2705" spans="1:1">
      <c r="A2705" s="49"/>
    </row>
    <row r="2706" spans="1:1">
      <c r="A2706" s="49"/>
    </row>
    <row r="2707" spans="1:1">
      <c r="A2707" s="49"/>
    </row>
    <row r="2708" spans="1:1">
      <c r="A2708" s="49"/>
    </row>
    <row r="2709" spans="1:1">
      <c r="A2709" s="49"/>
    </row>
    <row r="2710" spans="1:1">
      <c r="A2710" s="49"/>
    </row>
    <row r="2711" spans="1:1">
      <c r="A2711" s="49"/>
    </row>
    <row r="2712" spans="1:1">
      <c r="A2712" s="49"/>
    </row>
    <row r="2713" spans="1:1">
      <c r="A2713" s="49"/>
    </row>
    <row r="2714" spans="1:1">
      <c r="A2714" s="49"/>
    </row>
    <row r="2715" spans="1:1">
      <c r="A2715" s="49"/>
    </row>
    <row r="2716" spans="1:1">
      <c r="A2716" s="49"/>
    </row>
    <row r="2717" spans="1:1">
      <c r="A2717" s="49"/>
    </row>
    <row r="2718" spans="1:1">
      <c r="A2718" s="49"/>
    </row>
    <row r="2719" spans="1:1">
      <c r="A2719" s="49"/>
    </row>
    <row r="2720" spans="1:1">
      <c r="A2720" s="49"/>
    </row>
    <row r="2721" spans="1:1">
      <c r="A2721" s="49"/>
    </row>
    <row r="2722" spans="1:1">
      <c r="A2722" s="49"/>
    </row>
    <row r="2723" spans="1:1">
      <c r="A2723" s="49"/>
    </row>
    <row r="2724" spans="1:1">
      <c r="A2724" s="49"/>
    </row>
    <row r="2725" spans="1:1">
      <c r="A2725" s="49"/>
    </row>
    <row r="2726" spans="1:1">
      <c r="A2726" s="49"/>
    </row>
    <row r="2727" spans="1:1">
      <c r="A2727" s="49"/>
    </row>
    <row r="2728" spans="1:1">
      <c r="A2728" s="49"/>
    </row>
    <row r="2729" spans="1:1">
      <c r="A2729" s="49"/>
    </row>
    <row r="2730" spans="1:1">
      <c r="A2730" s="49"/>
    </row>
    <row r="2731" spans="1:1">
      <c r="A2731" s="49"/>
    </row>
    <row r="2732" spans="1:1">
      <c r="A2732" s="49"/>
    </row>
    <row r="2733" spans="1:1">
      <c r="A2733" s="49"/>
    </row>
    <row r="2734" spans="1:1">
      <c r="A2734" s="49"/>
    </row>
    <row r="2735" spans="1:1">
      <c r="A2735" s="49"/>
    </row>
    <row r="2736" spans="1:1">
      <c r="A2736" s="49"/>
    </row>
    <row r="2737" spans="1:1">
      <c r="A2737" s="49"/>
    </row>
    <row r="2738" spans="1:1">
      <c r="A2738" s="49"/>
    </row>
    <row r="2739" spans="1:1">
      <c r="A2739" s="49"/>
    </row>
    <row r="2740" spans="1:1">
      <c r="A2740" s="49"/>
    </row>
    <row r="2741" spans="1:1">
      <c r="A2741" s="49"/>
    </row>
    <row r="2742" spans="1:1">
      <c r="A2742" s="49"/>
    </row>
    <row r="2743" spans="1:1">
      <c r="A2743" s="49"/>
    </row>
    <row r="2744" spans="1:1">
      <c r="A2744" s="49"/>
    </row>
    <row r="2745" spans="1:1">
      <c r="A2745" s="49"/>
    </row>
    <row r="2746" spans="1:1">
      <c r="A2746" s="49"/>
    </row>
    <row r="2747" spans="1:1">
      <c r="A2747" s="49"/>
    </row>
    <row r="2748" spans="1:1">
      <c r="A2748" s="49"/>
    </row>
    <row r="2749" spans="1:1">
      <c r="A2749" s="49"/>
    </row>
    <row r="2750" spans="1:1">
      <c r="A2750" s="49"/>
    </row>
    <row r="2751" spans="1:1">
      <c r="A2751" s="49"/>
    </row>
    <row r="2752" spans="1:1">
      <c r="A2752" s="49"/>
    </row>
    <row r="2753" spans="1:1">
      <c r="A2753" s="49"/>
    </row>
    <row r="2754" spans="1:1">
      <c r="A2754" s="49"/>
    </row>
    <row r="2755" spans="1:1">
      <c r="A2755" s="49"/>
    </row>
    <row r="2756" spans="1:1">
      <c r="A2756" s="49"/>
    </row>
    <row r="2757" spans="1:1">
      <c r="A2757" s="49"/>
    </row>
    <row r="2758" spans="1:1">
      <c r="A2758" s="49"/>
    </row>
    <row r="2759" spans="1:1">
      <c r="A2759" s="49"/>
    </row>
    <row r="2760" spans="1:1">
      <c r="A2760" s="49"/>
    </row>
    <row r="2761" spans="1:1">
      <c r="A2761" s="49"/>
    </row>
    <row r="2762" spans="1:1">
      <c r="A2762" s="49"/>
    </row>
    <row r="2763" spans="1:1">
      <c r="A2763" s="49"/>
    </row>
    <row r="2764" spans="1:1">
      <c r="A2764" s="49"/>
    </row>
    <row r="2765" spans="1:1">
      <c r="A2765" s="49"/>
    </row>
    <row r="2766" spans="1:1">
      <c r="A2766" s="49"/>
    </row>
    <row r="2767" spans="1:1">
      <c r="A2767" s="49"/>
    </row>
    <row r="2768" spans="1:1">
      <c r="A2768" s="49"/>
    </row>
    <row r="2769" spans="1:1">
      <c r="A2769" s="49"/>
    </row>
    <row r="2770" spans="1:1">
      <c r="A2770" s="49"/>
    </row>
    <row r="2771" spans="1:1">
      <c r="A2771" s="49"/>
    </row>
    <row r="2772" spans="1:1">
      <c r="A2772" s="49"/>
    </row>
    <row r="2773" spans="1:1">
      <c r="A2773" s="49"/>
    </row>
    <row r="2774" spans="1:1">
      <c r="A2774" s="49"/>
    </row>
    <row r="2775" spans="1:1">
      <c r="A2775" s="49"/>
    </row>
    <row r="2776" spans="1:1">
      <c r="A2776" s="49"/>
    </row>
    <row r="2777" spans="1:1">
      <c r="A2777" s="49"/>
    </row>
    <row r="2778" spans="1:1">
      <c r="A2778" s="49"/>
    </row>
    <row r="2779" spans="1:1">
      <c r="A2779" s="49"/>
    </row>
    <row r="2780" spans="1:1">
      <c r="A2780" s="49"/>
    </row>
    <row r="2781" spans="1:1">
      <c r="A2781" s="49"/>
    </row>
    <row r="2782" spans="1:1">
      <c r="A2782" s="49"/>
    </row>
    <row r="2783" spans="1:1">
      <c r="A2783" s="49"/>
    </row>
    <row r="2784" spans="1:1">
      <c r="A2784" s="49"/>
    </row>
    <row r="2785" spans="1:1">
      <c r="A2785" s="49"/>
    </row>
    <row r="2786" spans="1:1">
      <c r="A2786" s="49"/>
    </row>
    <row r="2787" spans="1:1">
      <c r="A2787" s="49"/>
    </row>
    <row r="2788" spans="1:1">
      <c r="A2788" s="49"/>
    </row>
    <row r="2789" spans="1:1">
      <c r="A2789" s="49"/>
    </row>
    <row r="2790" spans="1:1">
      <c r="A2790" s="49"/>
    </row>
    <row r="2791" spans="1:1">
      <c r="A2791" s="49"/>
    </row>
    <row r="2792" spans="1:1">
      <c r="A2792" s="49"/>
    </row>
    <row r="2793" spans="1:1">
      <c r="A2793" s="49"/>
    </row>
    <row r="2794" spans="1:1">
      <c r="A2794" s="49"/>
    </row>
    <row r="2795" spans="1:1">
      <c r="A2795" s="49"/>
    </row>
    <row r="2796" spans="1:1">
      <c r="A2796" s="49"/>
    </row>
    <row r="2797" spans="1:1">
      <c r="A2797" s="49"/>
    </row>
    <row r="2798" spans="1:1">
      <c r="A2798" s="49"/>
    </row>
    <row r="2799" spans="1:1">
      <c r="A2799" s="49"/>
    </row>
    <row r="2800" spans="1:1">
      <c r="A2800" s="49"/>
    </row>
    <row r="2801" spans="1:1">
      <c r="A2801" s="49"/>
    </row>
    <row r="2802" spans="1:1">
      <c r="A2802" s="49"/>
    </row>
    <row r="2803" spans="1:1">
      <c r="A2803" s="49"/>
    </row>
    <row r="2804" spans="1:1">
      <c r="A2804" s="49"/>
    </row>
    <row r="2805" spans="1:1">
      <c r="A2805" s="49"/>
    </row>
    <row r="2806" spans="1:1">
      <c r="A2806" s="49"/>
    </row>
    <row r="2807" spans="1:1">
      <c r="A2807" s="49"/>
    </row>
    <row r="2808" spans="1:1">
      <c r="A2808" s="49"/>
    </row>
    <row r="2809" spans="1:1">
      <c r="A2809" s="49"/>
    </row>
    <row r="2810" spans="1:1">
      <c r="A2810" s="49"/>
    </row>
    <row r="2811" spans="1:1">
      <c r="A2811" s="49"/>
    </row>
    <row r="2812" spans="1:1">
      <c r="A2812" s="49"/>
    </row>
    <row r="2813" spans="1:1">
      <c r="A2813" s="49"/>
    </row>
    <row r="2814" spans="1:1">
      <c r="A2814" s="49"/>
    </row>
    <row r="2815" spans="1:1">
      <c r="A2815" s="49"/>
    </row>
    <row r="2816" spans="1:1">
      <c r="A2816" s="49"/>
    </row>
    <row r="2817" spans="1:1">
      <c r="A2817" s="49"/>
    </row>
    <row r="2818" spans="1:1">
      <c r="A2818" s="49"/>
    </row>
    <row r="2819" spans="1:1">
      <c r="A2819" s="49"/>
    </row>
    <row r="2820" spans="1:1">
      <c r="A2820" s="49"/>
    </row>
    <row r="2821" spans="1:1">
      <c r="A2821" s="49"/>
    </row>
    <row r="2822" spans="1:1">
      <c r="A2822" s="49"/>
    </row>
    <row r="2823" spans="1:1">
      <c r="A2823" s="49"/>
    </row>
    <row r="2824" spans="1:1">
      <c r="A2824" s="49"/>
    </row>
    <row r="2825" spans="1:1">
      <c r="A2825" s="49"/>
    </row>
    <row r="2826" spans="1:1">
      <c r="A2826" s="49"/>
    </row>
    <row r="2827" spans="1:1">
      <c r="A2827" s="49"/>
    </row>
    <row r="2828" spans="1:1">
      <c r="A2828" s="49"/>
    </row>
    <row r="2829" spans="1:1">
      <c r="A2829" s="49"/>
    </row>
    <row r="2830" spans="1:1">
      <c r="A2830" s="49"/>
    </row>
    <row r="2831" spans="1:1">
      <c r="A2831" s="49"/>
    </row>
    <row r="2832" spans="1:1">
      <c r="A2832" s="49"/>
    </row>
    <row r="2833" spans="1:1">
      <c r="A2833" s="49"/>
    </row>
    <row r="2834" spans="1:1">
      <c r="A2834" s="49"/>
    </row>
    <row r="2835" spans="1:1">
      <c r="A2835" s="49"/>
    </row>
    <row r="2836" spans="1:1">
      <c r="A2836" s="49"/>
    </row>
    <row r="2837" spans="1:1">
      <c r="A2837" s="49"/>
    </row>
    <row r="2838" spans="1:1">
      <c r="A2838" s="49"/>
    </row>
    <row r="2839" spans="1:1">
      <c r="A2839" s="49"/>
    </row>
    <row r="2840" spans="1:1">
      <c r="A2840" s="49"/>
    </row>
    <row r="2841" spans="1:1">
      <c r="A2841" s="49"/>
    </row>
    <row r="2842" spans="1:1">
      <c r="A2842" s="49"/>
    </row>
    <row r="2843" spans="1:1">
      <c r="A2843" s="49"/>
    </row>
    <row r="2844" spans="1:1">
      <c r="A2844" s="49"/>
    </row>
    <row r="2845" spans="1:1">
      <c r="A2845" s="49"/>
    </row>
    <row r="2846" spans="1:1">
      <c r="A2846" s="49"/>
    </row>
    <row r="2847" spans="1:1">
      <c r="A2847" s="49"/>
    </row>
    <row r="2848" spans="1:1">
      <c r="A2848" s="49"/>
    </row>
    <row r="2849" spans="1:1">
      <c r="A2849" s="49"/>
    </row>
    <row r="2850" spans="1:1">
      <c r="A2850" s="49"/>
    </row>
    <row r="2851" spans="1:1">
      <c r="A2851" s="49"/>
    </row>
    <row r="2852" spans="1:1">
      <c r="A2852" s="49"/>
    </row>
    <row r="2853" spans="1:1">
      <c r="A2853" s="49"/>
    </row>
    <row r="2854" spans="1:1">
      <c r="A2854" s="49"/>
    </row>
    <row r="2855" spans="1:1">
      <c r="A2855" s="49"/>
    </row>
    <row r="2856" spans="1:1">
      <c r="A2856" s="49"/>
    </row>
    <row r="2857" spans="1:1">
      <c r="A2857" s="49"/>
    </row>
    <row r="2858" spans="1:1">
      <c r="A2858" s="49"/>
    </row>
    <row r="2859" spans="1:1">
      <c r="A2859" s="49"/>
    </row>
    <row r="2860" spans="1:1">
      <c r="A2860" s="49"/>
    </row>
    <row r="2861" spans="1:1">
      <c r="A2861" s="49"/>
    </row>
    <row r="2862" spans="1:1">
      <c r="A2862" s="49"/>
    </row>
    <row r="2863" spans="1:1">
      <c r="A2863" s="49"/>
    </row>
    <row r="2864" spans="1:1">
      <c r="A2864" s="49"/>
    </row>
    <row r="2865" spans="1:1">
      <c r="A2865" s="49"/>
    </row>
    <row r="2866" spans="1:1">
      <c r="A2866" s="49"/>
    </row>
    <row r="2867" spans="1:1">
      <c r="A2867" s="49"/>
    </row>
    <row r="2868" spans="1:1">
      <c r="A2868" s="49"/>
    </row>
    <row r="2869" spans="1:1">
      <c r="A2869" s="49"/>
    </row>
    <row r="2870" spans="1:1">
      <c r="A2870" s="49"/>
    </row>
    <row r="2871" spans="1:1">
      <c r="A2871" s="49"/>
    </row>
    <row r="2872" spans="1:1">
      <c r="A2872" s="49"/>
    </row>
    <row r="2873" spans="1:1">
      <c r="A2873" s="49"/>
    </row>
    <row r="2874" spans="1:1">
      <c r="A2874" s="49"/>
    </row>
    <row r="2875" spans="1:1">
      <c r="A2875" s="49"/>
    </row>
    <row r="2876" spans="1:1">
      <c r="A2876" s="49"/>
    </row>
    <row r="2877" spans="1:1">
      <c r="A2877" s="49"/>
    </row>
    <row r="2878" spans="1:1">
      <c r="A2878" s="49"/>
    </row>
    <row r="2879" spans="1:1">
      <c r="A2879" s="49"/>
    </row>
    <row r="2880" spans="1:1">
      <c r="A2880" s="49"/>
    </row>
    <row r="2881" spans="1:1">
      <c r="A2881" s="49"/>
    </row>
    <row r="2882" spans="1:1">
      <c r="A2882" s="49"/>
    </row>
    <row r="2883" spans="1:1">
      <c r="A2883" s="49"/>
    </row>
    <row r="2884" spans="1:1">
      <c r="A2884" s="49"/>
    </row>
    <row r="2885" spans="1:1">
      <c r="A2885" s="49"/>
    </row>
    <row r="2886" spans="1:1">
      <c r="A2886" s="49"/>
    </row>
    <row r="2887" spans="1:1">
      <c r="A2887" s="49"/>
    </row>
    <row r="2888" spans="1:1">
      <c r="A2888" s="49"/>
    </row>
    <row r="2889" spans="1:1">
      <c r="A2889" s="49"/>
    </row>
    <row r="2890" spans="1:1">
      <c r="A2890" s="49"/>
    </row>
    <row r="2891" spans="1:1">
      <c r="A2891" s="49"/>
    </row>
    <row r="2892" spans="1:1">
      <c r="A2892" s="49"/>
    </row>
    <row r="2893" spans="1:1">
      <c r="A2893" s="49"/>
    </row>
    <row r="2894" spans="1:1">
      <c r="A2894" s="49"/>
    </row>
    <row r="2895" spans="1:1">
      <c r="A2895" s="49"/>
    </row>
    <row r="2896" spans="1:1">
      <c r="A2896" s="49"/>
    </row>
    <row r="2897" spans="1:1">
      <c r="A2897" s="49"/>
    </row>
    <row r="2898" spans="1:1">
      <c r="A2898" s="49"/>
    </row>
    <row r="2899" spans="1:1">
      <c r="A2899" s="49"/>
    </row>
    <row r="2900" spans="1:1">
      <c r="A2900" s="49"/>
    </row>
    <row r="2901" spans="1:1">
      <c r="A2901" s="49"/>
    </row>
    <row r="2902" spans="1:1">
      <c r="A2902" s="49"/>
    </row>
    <row r="2903" spans="1:1">
      <c r="A2903" s="49"/>
    </row>
    <row r="2904" spans="1:1">
      <c r="A2904" s="49"/>
    </row>
    <row r="2905" spans="1:1">
      <c r="A2905" s="49"/>
    </row>
    <row r="2906" spans="1:1">
      <c r="A2906" s="49"/>
    </row>
    <row r="2907" spans="1:1">
      <c r="A2907" s="49"/>
    </row>
    <row r="2908" spans="1:1">
      <c r="A2908" s="49"/>
    </row>
    <row r="2909" spans="1:1">
      <c r="A2909" s="49"/>
    </row>
    <row r="2910" spans="1:1">
      <c r="A2910" s="49"/>
    </row>
    <row r="2911" spans="1:1">
      <c r="A2911" s="49"/>
    </row>
    <row r="2912" spans="1:1">
      <c r="A2912" s="49"/>
    </row>
    <row r="2913" spans="1:1">
      <c r="A2913" s="49"/>
    </row>
    <row r="2914" spans="1:1">
      <c r="A2914" s="49"/>
    </row>
    <row r="2915" spans="1:1">
      <c r="A2915" s="49"/>
    </row>
    <row r="2916" spans="1:1">
      <c r="A2916" s="49"/>
    </row>
    <row r="2917" spans="1:1">
      <c r="A2917" s="49"/>
    </row>
    <row r="2918" spans="1:1">
      <c r="A2918" s="49"/>
    </row>
    <row r="2919" spans="1:1">
      <c r="A2919" s="49"/>
    </row>
    <row r="2920" spans="1:1">
      <c r="A2920" s="49"/>
    </row>
    <row r="2921" spans="1:1">
      <c r="A2921" s="49"/>
    </row>
    <row r="2922" spans="1:1">
      <c r="A2922" s="49"/>
    </row>
    <row r="2923" spans="1:1">
      <c r="A2923" s="49"/>
    </row>
    <row r="2924" spans="1:1">
      <c r="A2924" s="49"/>
    </row>
    <row r="2925" spans="1:1">
      <c r="A2925" s="49"/>
    </row>
    <row r="2926" spans="1:1">
      <c r="A2926" s="49"/>
    </row>
    <row r="2927" spans="1:1">
      <c r="A2927" s="49"/>
    </row>
    <row r="2928" spans="1:1">
      <c r="A2928" s="49"/>
    </row>
    <row r="2929" spans="1:1">
      <c r="A2929" s="49"/>
    </row>
    <row r="2930" spans="1:1">
      <c r="A2930" s="49"/>
    </row>
    <row r="2931" spans="1:1">
      <c r="A2931" s="49"/>
    </row>
    <row r="2932" spans="1:1">
      <c r="A2932" s="49"/>
    </row>
    <row r="2933" spans="1:1">
      <c r="A2933" s="49"/>
    </row>
    <row r="2934" spans="1:1">
      <c r="A2934" s="49"/>
    </row>
    <row r="2935" spans="1:1">
      <c r="A2935" s="49"/>
    </row>
    <row r="2936" spans="1:1">
      <c r="A2936" s="49"/>
    </row>
    <row r="2937" spans="1:1">
      <c r="A2937" s="49"/>
    </row>
    <row r="2938" spans="1:1">
      <c r="A2938" s="49"/>
    </row>
    <row r="2939" spans="1:1">
      <c r="A2939" s="49"/>
    </row>
    <row r="2940" spans="1:1">
      <c r="A2940" s="49"/>
    </row>
    <row r="2941" spans="1:1">
      <c r="A2941" s="49"/>
    </row>
    <row r="2942" spans="1:1">
      <c r="A2942" s="49"/>
    </row>
    <row r="2943" spans="1:1">
      <c r="A2943" s="49"/>
    </row>
    <row r="2944" spans="1:1">
      <c r="A2944" s="49"/>
    </row>
    <row r="2945" spans="1:1">
      <c r="A2945" s="49"/>
    </row>
    <row r="2946" spans="1:1">
      <c r="A2946" s="49"/>
    </row>
    <row r="2947" spans="1:1">
      <c r="A2947" s="49"/>
    </row>
    <row r="2948" spans="1:1">
      <c r="A2948" s="49"/>
    </row>
    <row r="2949" spans="1:1">
      <c r="A2949" s="49"/>
    </row>
    <row r="2950" spans="1:1">
      <c r="A2950" s="49"/>
    </row>
    <row r="2951" spans="1:1">
      <c r="A2951" s="49"/>
    </row>
    <row r="2952" spans="1:1">
      <c r="A2952" s="49"/>
    </row>
    <row r="2953" spans="1:1">
      <c r="A2953" s="49"/>
    </row>
    <row r="2954" spans="1:1">
      <c r="A2954" s="49"/>
    </row>
    <row r="2955" spans="1:1">
      <c r="A2955" s="49"/>
    </row>
    <row r="2956" spans="1:1">
      <c r="A2956" s="49"/>
    </row>
    <row r="2957" spans="1:1">
      <c r="A2957" s="49"/>
    </row>
    <row r="2958" spans="1:1">
      <c r="A2958" s="49"/>
    </row>
    <row r="2959" spans="1:1">
      <c r="A2959" s="49"/>
    </row>
    <row r="2960" spans="1:1">
      <c r="A2960" s="49"/>
    </row>
    <row r="2961" spans="1:1">
      <c r="A2961" s="49"/>
    </row>
    <row r="2962" spans="1:1">
      <c r="A2962" s="49"/>
    </row>
    <row r="2963" spans="1:1">
      <c r="A2963" s="49"/>
    </row>
    <row r="2964" spans="1:1">
      <c r="A2964" s="49"/>
    </row>
    <row r="2965" spans="1:1">
      <c r="A2965" s="49"/>
    </row>
    <row r="2966" spans="1:1">
      <c r="A2966" s="49"/>
    </row>
    <row r="2967" spans="1:1">
      <c r="A2967" s="49"/>
    </row>
    <row r="2968" spans="1:1">
      <c r="A2968" s="49"/>
    </row>
    <row r="2969" spans="1:1">
      <c r="A2969" s="49"/>
    </row>
    <row r="2970" spans="1:1">
      <c r="A2970" s="49"/>
    </row>
    <row r="2971" spans="1:1">
      <c r="A2971" s="49"/>
    </row>
    <row r="2972" spans="1:1">
      <c r="A2972" s="49"/>
    </row>
    <row r="2973" spans="1:1">
      <c r="A2973" s="49"/>
    </row>
    <row r="2974" spans="1:1">
      <c r="A2974" s="49"/>
    </row>
    <row r="2975" spans="1:1">
      <c r="A2975" s="49"/>
    </row>
    <row r="2976" spans="1:1">
      <c r="A2976" s="49"/>
    </row>
    <row r="2977" spans="1:1">
      <c r="A2977" s="49"/>
    </row>
    <row r="2978" spans="1:1">
      <c r="A2978" s="49"/>
    </row>
    <row r="2979" spans="1:1">
      <c r="A2979" s="49"/>
    </row>
    <row r="2980" spans="1:1">
      <c r="A2980" s="49"/>
    </row>
    <row r="2981" spans="1:1">
      <c r="A2981" s="49"/>
    </row>
    <row r="2982" spans="1:1">
      <c r="A2982" s="49"/>
    </row>
    <row r="2983" spans="1:1">
      <c r="A2983" s="49"/>
    </row>
    <row r="2984" spans="1:1">
      <c r="A2984" s="49"/>
    </row>
    <row r="2985" spans="1:1">
      <c r="A2985" s="49"/>
    </row>
    <row r="2986" spans="1:1">
      <c r="A2986" s="49"/>
    </row>
    <row r="2987" spans="1:1">
      <c r="A2987" s="49"/>
    </row>
    <row r="2988" spans="1:1">
      <c r="A2988" s="49"/>
    </row>
    <row r="2989" spans="1:1">
      <c r="A2989" s="49"/>
    </row>
    <row r="2990" spans="1:1">
      <c r="A2990" s="49"/>
    </row>
    <row r="2991" spans="1:1">
      <c r="A2991" s="49"/>
    </row>
    <row r="2992" spans="1:1">
      <c r="A2992" s="49"/>
    </row>
    <row r="2993" spans="1:1">
      <c r="A2993" s="49"/>
    </row>
    <row r="2994" spans="1:1">
      <c r="A2994" s="49"/>
    </row>
    <row r="2995" spans="1:1">
      <c r="A2995" s="49"/>
    </row>
    <row r="2996" spans="1:1">
      <c r="A2996" s="49"/>
    </row>
    <row r="2997" spans="1:1">
      <c r="A2997" s="49"/>
    </row>
    <row r="2998" spans="1:1">
      <c r="A2998" s="49"/>
    </row>
    <row r="2999" spans="1:1">
      <c r="A2999" s="49"/>
    </row>
    <row r="3000" spans="1:1">
      <c r="A3000" s="49"/>
    </row>
    <row r="3001" spans="1:1">
      <c r="A3001" s="49"/>
    </row>
    <row r="3002" spans="1:1">
      <c r="A3002" s="49"/>
    </row>
    <row r="3003" spans="1:1">
      <c r="A3003" s="49"/>
    </row>
    <row r="3004" spans="1:1">
      <c r="A3004" s="49"/>
    </row>
    <row r="3005" spans="1:1">
      <c r="A3005" s="49"/>
    </row>
    <row r="3006" spans="1:1">
      <c r="A3006" s="49"/>
    </row>
    <row r="3007" spans="1:1">
      <c r="A3007" s="49"/>
    </row>
    <row r="3008" spans="1:1">
      <c r="A3008" s="49"/>
    </row>
    <row r="3009" spans="1:1">
      <c r="A3009" s="49"/>
    </row>
    <row r="3010" spans="1:1">
      <c r="A3010" s="49"/>
    </row>
    <row r="3011" spans="1:1">
      <c r="A3011" s="49"/>
    </row>
    <row r="3012" spans="1:1">
      <c r="A3012" s="49"/>
    </row>
    <row r="3013" spans="1:1">
      <c r="A3013" s="49"/>
    </row>
    <row r="3014" spans="1:1">
      <c r="A3014" s="49"/>
    </row>
    <row r="3015" spans="1:1">
      <c r="A3015" s="49"/>
    </row>
    <row r="3016" spans="1:1">
      <c r="A3016" s="49"/>
    </row>
    <row r="3017" spans="1:1">
      <c r="A3017" s="49"/>
    </row>
    <row r="3018" spans="1:1">
      <c r="A3018" s="49"/>
    </row>
    <row r="3019" spans="1:1">
      <c r="A3019" s="49"/>
    </row>
    <row r="3020" spans="1:1">
      <c r="A3020" s="49"/>
    </row>
    <row r="3021" spans="1:1">
      <c r="A3021" s="49"/>
    </row>
    <row r="3022" spans="1:1">
      <c r="A3022" s="49"/>
    </row>
    <row r="3023" spans="1:1">
      <c r="A3023" s="49"/>
    </row>
    <row r="3024" spans="1:1">
      <c r="A3024" s="49"/>
    </row>
    <row r="3025" spans="1:1">
      <c r="A3025" s="49"/>
    </row>
    <row r="3026" spans="1:1">
      <c r="A3026" s="49"/>
    </row>
    <row r="3027" spans="1:1">
      <c r="A3027" s="49"/>
    </row>
    <row r="3028" spans="1:1">
      <c r="A3028" s="49"/>
    </row>
    <row r="3029" spans="1:1">
      <c r="A3029" s="49"/>
    </row>
    <row r="3030" spans="1:1">
      <c r="A3030" s="49"/>
    </row>
    <row r="3031" spans="1:1">
      <c r="A3031" s="49"/>
    </row>
    <row r="3032" spans="1:1">
      <c r="A3032" s="49"/>
    </row>
    <row r="3033" spans="1:1">
      <c r="A3033" s="49"/>
    </row>
    <row r="3034" spans="1:1">
      <c r="A3034" s="49"/>
    </row>
    <row r="3035" spans="1:1">
      <c r="A3035" s="49"/>
    </row>
    <row r="3036" spans="1:1">
      <c r="A3036" s="49"/>
    </row>
    <row r="3037" spans="1:1">
      <c r="A3037" s="49"/>
    </row>
    <row r="3038" spans="1:1">
      <c r="A3038" s="49"/>
    </row>
    <row r="3039" spans="1:1">
      <c r="A3039" s="49"/>
    </row>
    <row r="3040" spans="1:1">
      <c r="A3040" s="49"/>
    </row>
    <row r="3041" spans="1:1">
      <c r="A3041" s="49"/>
    </row>
    <row r="3042" spans="1:1">
      <c r="A3042" s="49"/>
    </row>
    <row r="3043" spans="1:1">
      <c r="A3043" s="49"/>
    </row>
    <row r="3044" spans="1:1">
      <c r="A3044" s="49"/>
    </row>
    <row r="3045" spans="1:1">
      <c r="A3045" s="49"/>
    </row>
    <row r="3046" spans="1:1">
      <c r="A3046" s="49"/>
    </row>
    <row r="3047" spans="1:1">
      <c r="A3047" s="49"/>
    </row>
    <row r="3048" spans="1:1">
      <c r="A3048" s="49"/>
    </row>
    <row r="3049" spans="1:1">
      <c r="A3049" s="49"/>
    </row>
    <row r="3050" spans="1:1">
      <c r="A3050" s="49"/>
    </row>
    <row r="3051" spans="1:1">
      <c r="A3051" s="49"/>
    </row>
    <row r="3052" spans="1:1">
      <c r="A3052" s="49"/>
    </row>
    <row r="3053" spans="1:1">
      <c r="A3053" s="49"/>
    </row>
    <row r="3054" spans="1:1">
      <c r="A3054" s="49"/>
    </row>
    <row r="3055" spans="1:1">
      <c r="A3055" s="49"/>
    </row>
    <row r="3056" spans="1:1">
      <c r="A3056" s="49"/>
    </row>
    <row r="3057" spans="1:1">
      <c r="A3057" s="49"/>
    </row>
    <row r="3058" spans="1:1">
      <c r="A3058" s="49"/>
    </row>
    <row r="3059" spans="1:1">
      <c r="A3059" s="49"/>
    </row>
    <row r="3060" spans="1:1">
      <c r="A3060" s="49"/>
    </row>
    <row r="3061" spans="1:1">
      <c r="A3061" s="49"/>
    </row>
    <row r="3062" spans="1:1">
      <c r="A3062" s="49"/>
    </row>
    <row r="3063" spans="1:1">
      <c r="A3063" s="49"/>
    </row>
    <row r="3064" spans="1:1">
      <c r="A3064" s="49"/>
    </row>
    <row r="3065" spans="1:1">
      <c r="A3065" s="49"/>
    </row>
    <row r="3066" spans="1:1">
      <c r="A3066" s="49"/>
    </row>
    <row r="3067" spans="1:1">
      <c r="A3067" s="49"/>
    </row>
    <row r="3068" spans="1:1">
      <c r="A3068" s="49"/>
    </row>
    <row r="3069" spans="1:1">
      <c r="A3069" s="49"/>
    </row>
    <row r="3070" spans="1:1">
      <c r="A3070" s="49"/>
    </row>
    <row r="3071" spans="1:1">
      <c r="A3071" s="49"/>
    </row>
    <row r="3072" spans="1:1">
      <c r="A3072" s="49"/>
    </row>
    <row r="3073" spans="1:1">
      <c r="A3073" s="49"/>
    </row>
    <row r="3074" spans="1:1">
      <c r="A3074" s="49"/>
    </row>
    <row r="3075" spans="1:1">
      <c r="A3075" s="49"/>
    </row>
    <row r="3076" spans="1:1">
      <c r="A3076" s="49"/>
    </row>
    <row r="3077" spans="1:1">
      <c r="A3077" s="49"/>
    </row>
    <row r="3078" spans="1:1">
      <c r="A3078" s="49"/>
    </row>
    <row r="3079" spans="1:1">
      <c r="A3079" s="49"/>
    </row>
    <row r="3080" spans="1:1">
      <c r="A3080" s="49"/>
    </row>
    <row r="3081" spans="1:1">
      <c r="A3081" s="49"/>
    </row>
    <row r="3082" spans="1:1">
      <c r="A3082" s="49"/>
    </row>
    <row r="3083" spans="1:1">
      <c r="A3083" s="49"/>
    </row>
    <row r="3084" spans="1:1">
      <c r="A3084" s="49"/>
    </row>
    <row r="3085" spans="1:1">
      <c r="A3085" s="49"/>
    </row>
    <row r="3086" spans="1:1">
      <c r="A3086" s="49"/>
    </row>
    <row r="3087" spans="1:1">
      <c r="A3087" s="49"/>
    </row>
    <row r="3088" spans="1:1">
      <c r="A3088" s="49"/>
    </row>
    <row r="3089" spans="1:1">
      <c r="A3089" s="49"/>
    </row>
    <row r="3090" spans="1:1">
      <c r="A3090" s="49"/>
    </row>
    <row r="3091" spans="1:1">
      <c r="A3091" s="49"/>
    </row>
    <row r="3092" spans="1:1">
      <c r="A3092" s="49"/>
    </row>
    <row r="3093" spans="1:1">
      <c r="A3093" s="49"/>
    </row>
    <row r="3094" spans="1:1">
      <c r="A3094" s="49"/>
    </row>
    <row r="3095" spans="1:1">
      <c r="A3095" s="49"/>
    </row>
    <row r="3096" spans="1:1">
      <c r="A3096" s="49"/>
    </row>
    <row r="3097" spans="1:1">
      <c r="A3097" s="49"/>
    </row>
    <row r="3098" spans="1:1">
      <c r="A3098" s="49"/>
    </row>
    <row r="3099" spans="1:1">
      <c r="A3099" s="49"/>
    </row>
    <row r="3100" spans="1:1">
      <c r="A3100" s="49"/>
    </row>
    <row r="3101" spans="1:1">
      <c r="A3101" s="49"/>
    </row>
    <row r="3102" spans="1:1">
      <c r="A3102" s="49"/>
    </row>
    <row r="3103" spans="1:1">
      <c r="A3103" s="49"/>
    </row>
    <row r="3104" spans="1:1">
      <c r="A3104" s="49"/>
    </row>
    <row r="3105" spans="1:1">
      <c r="A3105" s="49"/>
    </row>
    <row r="3106" spans="1:1">
      <c r="A3106" s="49"/>
    </row>
    <row r="3107" spans="1:1">
      <c r="A3107" s="49"/>
    </row>
    <row r="3108" spans="1:1">
      <c r="A3108" s="49"/>
    </row>
    <row r="3109" spans="1:1">
      <c r="A3109" s="49"/>
    </row>
    <row r="3110" spans="1:1">
      <c r="A3110" s="49"/>
    </row>
    <row r="3111" spans="1:1">
      <c r="A3111" s="49"/>
    </row>
    <row r="3112" spans="1:1">
      <c r="A3112" s="49"/>
    </row>
    <row r="3113" spans="1:1">
      <c r="A3113" s="49"/>
    </row>
    <row r="3114" spans="1:1">
      <c r="A3114" s="49"/>
    </row>
    <row r="3115" spans="1:1">
      <c r="A3115" s="49"/>
    </row>
    <row r="3116" spans="1:1">
      <c r="A3116" s="49"/>
    </row>
    <row r="3117" spans="1:1">
      <c r="A3117" s="49"/>
    </row>
    <row r="3118" spans="1:1">
      <c r="A3118" s="49"/>
    </row>
    <row r="3119" spans="1:1">
      <c r="A3119" s="49"/>
    </row>
    <row r="3120" spans="1:1">
      <c r="A3120" s="49"/>
    </row>
    <row r="3121" spans="1:1">
      <c r="A3121" s="49"/>
    </row>
    <row r="3122" spans="1:1">
      <c r="A3122" s="49"/>
    </row>
    <row r="3123" spans="1:1">
      <c r="A3123" s="49"/>
    </row>
    <row r="3124" spans="1:1">
      <c r="A3124" s="49"/>
    </row>
    <row r="3125" spans="1:1">
      <c r="A3125" s="49"/>
    </row>
    <row r="3126" spans="1:1">
      <c r="A3126" s="49"/>
    </row>
    <row r="3127" spans="1:1">
      <c r="A3127" s="49"/>
    </row>
    <row r="3128" spans="1:1">
      <c r="A3128" s="49"/>
    </row>
    <row r="3129" spans="1:1">
      <c r="A3129" s="49"/>
    </row>
    <row r="3130" spans="1:1">
      <c r="A3130" s="49"/>
    </row>
    <row r="3131" spans="1:1">
      <c r="A3131" s="49"/>
    </row>
    <row r="3132" spans="1:1">
      <c r="A3132" s="49"/>
    </row>
    <row r="3133" spans="1:1">
      <c r="A3133" s="49"/>
    </row>
    <row r="3134" spans="1:1">
      <c r="A3134" s="49"/>
    </row>
    <row r="3135" spans="1:1">
      <c r="A3135" s="49"/>
    </row>
    <row r="3136" spans="1:1">
      <c r="A3136" s="49"/>
    </row>
    <row r="3137" spans="1:1">
      <c r="A3137" s="49"/>
    </row>
    <row r="3138" spans="1:1">
      <c r="A3138" s="49"/>
    </row>
    <row r="3139" spans="1:1">
      <c r="A3139" s="49"/>
    </row>
    <row r="3140" spans="1:1">
      <c r="A3140" s="49"/>
    </row>
    <row r="3141" spans="1:1">
      <c r="A3141" s="49"/>
    </row>
    <row r="3142" spans="1:1">
      <c r="A3142" s="49"/>
    </row>
    <row r="3143" spans="1:1">
      <c r="A3143" s="49"/>
    </row>
    <row r="3144" spans="1:1">
      <c r="A3144" s="49"/>
    </row>
    <row r="3145" spans="1:1">
      <c r="A3145" s="49"/>
    </row>
    <row r="3146" spans="1:1">
      <c r="A3146" s="49"/>
    </row>
    <row r="3147" spans="1:1">
      <c r="A3147" s="49"/>
    </row>
    <row r="3148" spans="1:1">
      <c r="A3148" s="49"/>
    </row>
    <row r="3149" spans="1:1">
      <c r="A3149" s="49"/>
    </row>
    <row r="3150" spans="1:1">
      <c r="A3150" s="49"/>
    </row>
    <row r="3151" spans="1:1">
      <c r="A3151" s="49"/>
    </row>
    <row r="3152" spans="1:1">
      <c r="A3152" s="49"/>
    </row>
    <row r="3153" spans="1:1">
      <c r="A3153" s="49"/>
    </row>
    <row r="3154" spans="1:1">
      <c r="A3154" s="49"/>
    </row>
    <row r="3155" spans="1:1">
      <c r="A3155" s="49"/>
    </row>
    <row r="3156" spans="1:1">
      <c r="A3156" s="49"/>
    </row>
    <row r="3157" spans="1:1">
      <c r="A3157" s="49"/>
    </row>
    <row r="3158" spans="1:1">
      <c r="A3158" s="49"/>
    </row>
    <row r="3159" spans="1:1">
      <c r="A3159" s="49"/>
    </row>
    <row r="3160" spans="1:1">
      <c r="A3160" s="49"/>
    </row>
    <row r="3161" spans="1:1">
      <c r="A3161" s="49"/>
    </row>
    <row r="3162" spans="1:1">
      <c r="A3162" s="49"/>
    </row>
    <row r="3163" spans="1:1">
      <c r="A3163" s="49"/>
    </row>
    <row r="3164" spans="1:1">
      <c r="A3164" s="49"/>
    </row>
    <row r="3165" spans="1:1">
      <c r="A3165" s="49"/>
    </row>
    <row r="3166" spans="1:1">
      <c r="A3166" s="49"/>
    </row>
    <row r="3167" spans="1:1">
      <c r="A3167" s="49"/>
    </row>
    <row r="3168" spans="1:1">
      <c r="A3168" s="49"/>
    </row>
    <row r="3169" spans="1:1">
      <c r="A3169" s="49"/>
    </row>
    <row r="3170" spans="1:1">
      <c r="A3170" s="49"/>
    </row>
    <row r="3171" spans="1:1">
      <c r="A3171" s="49"/>
    </row>
    <row r="3172" spans="1:1">
      <c r="A3172" s="49"/>
    </row>
    <row r="3173" spans="1:1">
      <c r="A3173" s="49"/>
    </row>
    <row r="3174" spans="1:1">
      <c r="A3174" s="49"/>
    </row>
    <row r="3175" spans="1:1">
      <c r="A3175" s="49"/>
    </row>
    <row r="3176" spans="1:1">
      <c r="A3176" s="49"/>
    </row>
    <row r="3177" spans="1:1">
      <c r="A3177" s="49"/>
    </row>
    <row r="3178" spans="1:1">
      <c r="A3178" s="49"/>
    </row>
    <row r="3179" spans="1:1">
      <c r="A3179" s="49"/>
    </row>
    <row r="3180" spans="1:1">
      <c r="A3180" s="49"/>
    </row>
    <row r="3181" spans="1:1">
      <c r="A3181" s="49"/>
    </row>
    <row r="3182" spans="1:1">
      <c r="A3182" s="49"/>
    </row>
    <row r="3183" spans="1:1">
      <c r="A3183" s="49"/>
    </row>
    <row r="3184" spans="1:1">
      <c r="A3184" s="49"/>
    </row>
    <row r="3185" spans="1:1">
      <c r="A3185" s="49"/>
    </row>
    <row r="3186" spans="1:1">
      <c r="A3186" s="49"/>
    </row>
    <row r="3187" spans="1:1">
      <c r="A3187" s="49"/>
    </row>
    <row r="3188" spans="1:1">
      <c r="A3188" s="49"/>
    </row>
    <row r="3189" spans="1:1">
      <c r="A3189" s="49"/>
    </row>
    <row r="3190" spans="1:1">
      <c r="A3190" s="49"/>
    </row>
    <row r="3191" spans="1:1">
      <c r="A3191" s="49"/>
    </row>
    <row r="3192" spans="1:1">
      <c r="A3192" s="49"/>
    </row>
    <row r="3193" spans="1:1">
      <c r="A3193" s="49"/>
    </row>
    <row r="3194" spans="1:1">
      <c r="A3194" s="49"/>
    </row>
    <row r="3195" spans="1:1">
      <c r="A3195" s="49"/>
    </row>
    <row r="3196" spans="1:1">
      <c r="A3196" s="49"/>
    </row>
    <row r="3197" spans="1:1">
      <c r="A3197" s="49"/>
    </row>
    <row r="3198" spans="1:1">
      <c r="A3198" s="49"/>
    </row>
    <row r="3199" spans="1:1">
      <c r="A3199" s="49"/>
    </row>
    <row r="3200" spans="1:1">
      <c r="A3200" s="49"/>
    </row>
    <row r="3201" spans="1:1">
      <c r="A3201" s="49"/>
    </row>
    <row r="3202" spans="1:1">
      <c r="A3202" s="49"/>
    </row>
    <row r="3203" spans="1:1">
      <c r="A3203" s="49"/>
    </row>
    <row r="3204" spans="1:1">
      <c r="A3204" s="49"/>
    </row>
    <row r="3205" spans="1:1">
      <c r="A3205" s="49"/>
    </row>
    <row r="3206" spans="1:1">
      <c r="A3206" s="49"/>
    </row>
    <row r="3207" spans="1:1">
      <c r="A3207" s="49"/>
    </row>
    <row r="3208" spans="1:1">
      <c r="A3208" s="49"/>
    </row>
    <row r="3209" spans="1:1">
      <c r="A3209" s="49"/>
    </row>
    <row r="3210" spans="1:1">
      <c r="A3210" s="49"/>
    </row>
    <row r="3211" spans="1:1">
      <c r="A3211" s="49"/>
    </row>
    <row r="3212" spans="1:1">
      <c r="A3212" s="49"/>
    </row>
    <row r="3213" spans="1:1">
      <c r="A3213" s="49"/>
    </row>
    <row r="3214" spans="1:1">
      <c r="A3214" s="49"/>
    </row>
    <row r="3215" spans="1:1">
      <c r="A3215" s="49"/>
    </row>
    <row r="3216" spans="1:1">
      <c r="A3216" s="49"/>
    </row>
    <row r="3217" spans="1:1">
      <c r="A3217" s="49"/>
    </row>
    <row r="3218" spans="1:1">
      <c r="A3218" s="49"/>
    </row>
    <row r="3219" spans="1:1">
      <c r="A3219" s="49"/>
    </row>
    <row r="3220" spans="1:1">
      <c r="A3220" s="49"/>
    </row>
    <row r="3221" spans="1:1">
      <c r="A3221" s="49"/>
    </row>
    <row r="3222" spans="1:1">
      <c r="A3222" s="49"/>
    </row>
    <row r="3223" spans="1:1">
      <c r="A3223" s="49"/>
    </row>
    <row r="3224" spans="1:1">
      <c r="A3224" s="49"/>
    </row>
    <row r="3225" spans="1:1">
      <c r="A3225" s="49"/>
    </row>
    <row r="3226" spans="1:1">
      <c r="A3226" s="49"/>
    </row>
    <row r="3227" spans="1:1">
      <c r="A3227" s="49"/>
    </row>
    <row r="3228" spans="1:1">
      <c r="A3228" s="49"/>
    </row>
    <row r="3229" spans="1:1">
      <c r="A3229" s="49"/>
    </row>
    <row r="3230" spans="1:1">
      <c r="A3230" s="49"/>
    </row>
    <row r="3231" spans="1:1">
      <c r="A3231" s="49"/>
    </row>
    <row r="3232" spans="1:1">
      <c r="A3232" s="49"/>
    </row>
    <row r="3233" spans="1:1">
      <c r="A3233" s="49"/>
    </row>
    <row r="3234" spans="1:1">
      <c r="A3234" s="49"/>
    </row>
    <row r="3235" spans="1:1">
      <c r="A3235" s="49"/>
    </row>
    <row r="3236" spans="1:1">
      <c r="A3236" s="49"/>
    </row>
    <row r="3237" spans="1:1">
      <c r="A3237" s="49"/>
    </row>
    <row r="3238" spans="1:1">
      <c r="A3238" s="49"/>
    </row>
    <row r="3239" spans="1:1">
      <c r="A3239" s="49"/>
    </row>
    <row r="3240" spans="1:1">
      <c r="A3240" s="49"/>
    </row>
    <row r="3241" spans="1:1">
      <c r="A3241" s="49"/>
    </row>
    <row r="3242" spans="1:1">
      <c r="A3242" s="49"/>
    </row>
    <row r="3243" spans="1:1">
      <c r="A3243" s="49"/>
    </row>
    <row r="3244" spans="1:1">
      <c r="A3244" s="49"/>
    </row>
    <row r="3245" spans="1:1">
      <c r="A3245" s="49"/>
    </row>
    <row r="3246" spans="1:1">
      <c r="A3246" s="49"/>
    </row>
    <row r="3247" spans="1:1">
      <c r="A3247" s="49"/>
    </row>
    <row r="3248" spans="1:1">
      <c r="A3248" s="49"/>
    </row>
    <row r="3249" spans="1:1">
      <c r="A3249" s="49"/>
    </row>
    <row r="3250" spans="1:1">
      <c r="A3250" s="49"/>
    </row>
    <row r="3251" spans="1:1">
      <c r="A3251" s="49"/>
    </row>
    <row r="3252" spans="1:1">
      <c r="A3252" s="49"/>
    </row>
    <row r="3253" spans="1:1">
      <c r="A3253" s="49"/>
    </row>
    <row r="3254" spans="1:1">
      <c r="A3254" s="49"/>
    </row>
    <row r="3255" spans="1:1">
      <c r="A3255" s="49"/>
    </row>
    <row r="3256" spans="1:1">
      <c r="A3256" s="49"/>
    </row>
    <row r="3257" spans="1:1">
      <c r="A3257" s="49"/>
    </row>
    <row r="3258" spans="1:1">
      <c r="A3258" s="49"/>
    </row>
    <row r="3259" spans="1:1">
      <c r="A3259" s="49"/>
    </row>
    <row r="3260" spans="1:1">
      <c r="A3260" s="49"/>
    </row>
    <row r="3261" spans="1:1">
      <c r="A3261" s="49"/>
    </row>
    <row r="3262" spans="1:1">
      <c r="A3262" s="49"/>
    </row>
    <row r="3263" spans="1:1">
      <c r="A3263" s="49"/>
    </row>
    <row r="3264" spans="1:1">
      <c r="A3264" s="49"/>
    </row>
    <row r="3265" spans="1:1">
      <c r="A3265" s="49"/>
    </row>
    <row r="3266" spans="1:1">
      <c r="A3266" s="49"/>
    </row>
    <row r="3267" spans="1:1">
      <c r="A3267" s="49"/>
    </row>
    <row r="3268" spans="1:1">
      <c r="A3268" s="49"/>
    </row>
    <row r="3269" spans="1:1">
      <c r="A3269" s="49"/>
    </row>
    <row r="3270" spans="1:1">
      <c r="A3270" s="49"/>
    </row>
    <row r="3271" spans="1:1">
      <c r="A3271" s="49"/>
    </row>
    <row r="3272" spans="1:1">
      <c r="A3272" s="49"/>
    </row>
    <row r="3273" spans="1:1">
      <c r="A3273" s="49"/>
    </row>
    <row r="3274" spans="1:1">
      <c r="A3274" s="49"/>
    </row>
    <row r="3275" spans="1:1">
      <c r="A3275" s="49"/>
    </row>
    <row r="3276" spans="1:1">
      <c r="A3276" s="49"/>
    </row>
    <row r="3277" spans="1:1">
      <c r="A3277" s="49"/>
    </row>
    <row r="3278" spans="1:1">
      <c r="A3278" s="49"/>
    </row>
    <row r="3279" spans="1:1">
      <c r="A3279" s="49"/>
    </row>
    <row r="3280" spans="1:1">
      <c r="A3280" s="49"/>
    </row>
    <row r="3281" spans="1:1">
      <c r="A3281" s="49"/>
    </row>
    <row r="3282" spans="1:1">
      <c r="A3282" s="49"/>
    </row>
    <row r="3283" spans="1:1">
      <c r="A3283" s="49"/>
    </row>
    <row r="3284" spans="1:1">
      <c r="A3284" s="49"/>
    </row>
    <row r="3285" spans="1:1">
      <c r="A3285" s="49"/>
    </row>
    <row r="3286" spans="1:1">
      <c r="A3286" s="49"/>
    </row>
    <row r="3287" spans="1:1">
      <c r="A3287" s="49"/>
    </row>
    <row r="3288" spans="1:1">
      <c r="A3288" s="49"/>
    </row>
    <row r="3289" spans="1:1">
      <c r="A3289" s="49"/>
    </row>
    <row r="3290" spans="1:1">
      <c r="A3290" s="49"/>
    </row>
    <row r="3291" spans="1:1">
      <c r="A3291" s="49"/>
    </row>
    <row r="3292" spans="1:1">
      <c r="A3292" s="49"/>
    </row>
    <row r="3293" spans="1:1">
      <c r="A3293" s="49"/>
    </row>
    <row r="3294" spans="1:1">
      <c r="A3294" s="49"/>
    </row>
    <row r="3295" spans="1:1">
      <c r="A3295" s="49"/>
    </row>
    <row r="3296" spans="1:1">
      <c r="A3296" s="49"/>
    </row>
    <row r="3297" spans="1:1">
      <c r="A3297" s="49"/>
    </row>
    <row r="3298" spans="1:1">
      <c r="A3298" s="49"/>
    </row>
    <row r="3299" spans="1:1">
      <c r="A3299" s="49"/>
    </row>
    <row r="3300" spans="1:1">
      <c r="A3300" s="49"/>
    </row>
    <row r="3301" spans="1:1">
      <c r="A3301" s="49"/>
    </row>
    <row r="3302" spans="1:1">
      <c r="A3302" s="49"/>
    </row>
    <row r="3303" spans="1:1">
      <c r="A3303" s="49"/>
    </row>
    <row r="3304" spans="1:1">
      <c r="A3304" s="49"/>
    </row>
    <row r="3305" spans="1:1">
      <c r="A3305" s="49"/>
    </row>
    <row r="3306" spans="1:1">
      <c r="A3306" s="49"/>
    </row>
    <row r="3307" spans="1:1">
      <c r="A3307" s="49"/>
    </row>
    <row r="3308" spans="1:1">
      <c r="A3308" s="49"/>
    </row>
    <row r="3309" spans="1:1">
      <c r="A3309" s="49"/>
    </row>
    <row r="3310" spans="1:1">
      <c r="A3310" s="49"/>
    </row>
    <row r="3311" spans="1:1">
      <c r="A3311" s="49"/>
    </row>
    <row r="3312" spans="1:1">
      <c r="A3312" s="49"/>
    </row>
    <row r="3313" spans="1:1">
      <c r="A3313" s="49"/>
    </row>
    <row r="3314" spans="1:1">
      <c r="A3314" s="49"/>
    </row>
    <row r="3315" spans="1:1">
      <c r="A3315" s="49"/>
    </row>
    <row r="3316" spans="1:1">
      <c r="A3316" s="49"/>
    </row>
    <row r="3317" spans="1:1">
      <c r="A3317" s="49"/>
    </row>
    <row r="3318" spans="1:1">
      <c r="A3318" s="49"/>
    </row>
    <row r="3319" spans="1:1">
      <c r="A3319" s="49"/>
    </row>
    <row r="3320" spans="1:1">
      <c r="A3320" s="49"/>
    </row>
    <row r="3321" spans="1:1">
      <c r="A3321" s="49"/>
    </row>
    <row r="3322" spans="1:1">
      <c r="A3322" s="49"/>
    </row>
    <row r="3323" spans="1:1">
      <c r="A3323" s="49"/>
    </row>
    <row r="3324" spans="1:1">
      <c r="A3324" s="49"/>
    </row>
    <row r="3325" spans="1:1">
      <c r="A3325" s="49"/>
    </row>
    <row r="3326" spans="1:1">
      <c r="A3326" s="49"/>
    </row>
    <row r="3327" spans="1:1">
      <c r="A3327" s="49"/>
    </row>
    <row r="3328" spans="1:1">
      <c r="A3328" s="49"/>
    </row>
    <row r="3329" spans="1:1">
      <c r="A3329" s="49"/>
    </row>
    <row r="3330" spans="1:1">
      <c r="A3330" s="49"/>
    </row>
    <row r="3331" spans="1:1">
      <c r="A3331" s="49"/>
    </row>
    <row r="3332" spans="1:1">
      <c r="A3332" s="49"/>
    </row>
    <row r="3333" spans="1:1">
      <c r="A3333" s="49"/>
    </row>
    <row r="3334" spans="1:1">
      <c r="A3334" s="49"/>
    </row>
    <row r="3335" spans="1:1">
      <c r="A3335" s="49"/>
    </row>
    <row r="3336" spans="1:1">
      <c r="A3336" s="49"/>
    </row>
    <row r="3337" spans="1:1">
      <c r="A3337" s="49"/>
    </row>
    <row r="3338" spans="1:1">
      <c r="A3338" s="49"/>
    </row>
    <row r="3339" spans="1:1">
      <c r="A3339" s="49"/>
    </row>
    <row r="3340" spans="1:1">
      <c r="A3340" s="49"/>
    </row>
    <row r="3341" spans="1:1">
      <c r="A3341" s="49"/>
    </row>
    <row r="3342" spans="1:1">
      <c r="A3342" s="49"/>
    </row>
    <row r="3343" spans="1:1">
      <c r="A3343" s="49"/>
    </row>
    <row r="3344" spans="1:1">
      <c r="A3344" s="49"/>
    </row>
    <row r="3345" spans="1:1">
      <c r="A3345" s="49"/>
    </row>
    <row r="3346" spans="1:1">
      <c r="A3346" s="49"/>
    </row>
    <row r="3347" spans="1:1">
      <c r="A3347" s="49"/>
    </row>
    <row r="3348" spans="1:1">
      <c r="A3348" s="49"/>
    </row>
    <row r="3349" spans="1:1">
      <c r="A3349" s="49"/>
    </row>
    <row r="3350" spans="1:1">
      <c r="A3350" s="49"/>
    </row>
    <row r="3351" spans="1:1">
      <c r="A3351" s="49"/>
    </row>
    <row r="3352" spans="1:1">
      <c r="A3352" s="49"/>
    </row>
    <row r="3353" spans="1:1">
      <c r="A3353" s="49"/>
    </row>
    <row r="3354" spans="1:1">
      <c r="A3354" s="49"/>
    </row>
    <row r="3355" spans="1:1">
      <c r="A3355" s="49"/>
    </row>
    <row r="3356" spans="1:1">
      <c r="A3356" s="49"/>
    </row>
    <row r="3357" spans="1:1">
      <c r="A3357" s="49"/>
    </row>
    <row r="3358" spans="1:1">
      <c r="A3358" s="49"/>
    </row>
    <row r="3359" spans="1:1">
      <c r="A3359" s="49"/>
    </row>
    <row r="3360" spans="1:1">
      <c r="A3360" s="49"/>
    </row>
    <row r="3361" spans="1:1">
      <c r="A3361" s="49"/>
    </row>
    <row r="3362" spans="1:1">
      <c r="A3362" s="49"/>
    </row>
    <row r="3363" spans="1:1">
      <c r="A3363" s="49"/>
    </row>
    <row r="3364" spans="1:1">
      <c r="A3364" s="49"/>
    </row>
    <row r="3365" spans="1:1">
      <c r="A3365" s="49"/>
    </row>
    <row r="3366" spans="1:1">
      <c r="A3366" s="49"/>
    </row>
    <row r="3367" spans="1:1">
      <c r="A3367" s="49"/>
    </row>
    <row r="3368" spans="1:1">
      <c r="A3368" s="49"/>
    </row>
    <row r="3369" spans="1:1">
      <c r="A3369" s="49"/>
    </row>
    <row r="3370" spans="1:1">
      <c r="A3370" s="49"/>
    </row>
    <row r="3371" spans="1:1">
      <c r="A3371" s="49"/>
    </row>
    <row r="3372" spans="1:1">
      <c r="A3372" s="49"/>
    </row>
    <row r="3373" spans="1:1">
      <c r="A3373" s="49"/>
    </row>
    <row r="3374" spans="1:1">
      <c r="A3374" s="49"/>
    </row>
    <row r="3375" spans="1:1">
      <c r="A3375" s="49"/>
    </row>
    <row r="3376" spans="1:1">
      <c r="A3376" s="49"/>
    </row>
    <row r="3377" spans="1:1">
      <c r="A3377" s="49"/>
    </row>
    <row r="3378" spans="1:1">
      <c r="A3378" s="49"/>
    </row>
    <row r="3379" spans="1:1">
      <c r="A3379" s="49"/>
    </row>
    <row r="3380" spans="1:1">
      <c r="A3380" s="49"/>
    </row>
    <row r="3381" spans="1:1">
      <c r="A3381" s="49"/>
    </row>
    <row r="3382" spans="1:1">
      <c r="A3382" s="49"/>
    </row>
    <row r="3383" spans="1:1">
      <c r="A3383" s="49"/>
    </row>
    <row r="3384" spans="1:1">
      <c r="A3384" s="49"/>
    </row>
    <row r="3385" spans="1:1">
      <c r="A3385" s="49"/>
    </row>
    <row r="3386" spans="1:1">
      <c r="A3386" s="49"/>
    </row>
    <row r="3387" spans="1:1">
      <c r="A3387" s="49"/>
    </row>
    <row r="3388" spans="1:1">
      <c r="A3388" s="49"/>
    </row>
    <row r="3389" spans="1:1">
      <c r="A3389" s="49"/>
    </row>
    <row r="3390" spans="1:1">
      <c r="A3390" s="49"/>
    </row>
    <row r="3391" spans="1:1">
      <c r="A3391" s="49"/>
    </row>
    <row r="3392" spans="1:1">
      <c r="A3392" s="49"/>
    </row>
    <row r="3393" spans="1:1">
      <c r="A3393" s="49"/>
    </row>
    <row r="3394" spans="1:1">
      <c r="A3394" s="49"/>
    </row>
    <row r="3395" spans="1:1">
      <c r="A3395" s="49"/>
    </row>
    <row r="3396" spans="1:1">
      <c r="A3396" s="49"/>
    </row>
    <row r="3397" spans="1:1">
      <c r="A3397" s="49"/>
    </row>
    <row r="3398" spans="1:1">
      <c r="A3398" s="49"/>
    </row>
    <row r="3399" spans="1:1">
      <c r="A3399" s="49"/>
    </row>
    <row r="3400" spans="1:1">
      <c r="A3400" s="49"/>
    </row>
    <row r="3401" spans="1:1">
      <c r="A3401" s="49"/>
    </row>
    <row r="3402" spans="1:1">
      <c r="A3402" s="49"/>
    </row>
    <row r="3403" spans="1:1">
      <c r="A3403" s="49"/>
    </row>
    <row r="3404" spans="1:1">
      <c r="A3404" s="49"/>
    </row>
    <row r="3405" spans="1:1">
      <c r="A3405" s="49"/>
    </row>
    <row r="3406" spans="1:1">
      <c r="A3406" s="49"/>
    </row>
    <row r="3407" spans="1:1">
      <c r="A3407" s="49"/>
    </row>
    <row r="3408" spans="1:1">
      <c r="A3408" s="49"/>
    </row>
    <row r="3409" spans="1:1">
      <c r="A3409" s="49"/>
    </row>
    <row r="3410" spans="1:1">
      <c r="A3410" s="49"/>
    </row>
    <row r="3411" spans="1:1">
      <c r="A3411" s="49"/>
    </row>
    <row r="3412" spans="1:1">
      <c r="A3412" s="49"/>
    </row>
    <row r="3413" spans="1:1">
      <c r="A3413" s="49"/>
    </row>
    <row r="3414" spans="1:1">
      <c r="A3414" s="49"/>
    </row>
    <row r="3415" spans="1:1">
      <c r="A3415" s="49"/>
    </row>
    <row r="3416" spans="1:1">
      <c r="A3416" s="49"/>
    </row>
    <row r="3417" spans="1:1">
      <c r="A3417" s="49"/>
    </row>
    <row r="3418" spans="1:1">
      <c r="A3418" s="49"/>
    </row>
    <row r="3419" spans="1:1">
      <c r="A3419" s="49"/>
    </row>
    <row r="3420" spans="1:1">
      <c r="A3420" s="49"/>
    </row>
    <row r="3421" spans="1:1">
      <c r="A3421" s="49"/>
    </row>
    <row r="3422" spans="1:1">
      <c r="A3422" s="49"/>
    </row>
    <row r="3423" spans="1:1">
      <c r="A3423" s="49"/>
    </row>
    <row r="3424" spans="1:1">
      <c r="A3424" s="49"/>
    </row>
    <row r="3425" spans="1:1">
      <c r="A3425" s="49"/>
    </row>
    <row r="3426" spans="1:1">
      <c r="A3426" s="49"/>
    </row>
    <row r="3427" spans="1:1">
      <c r="A3427" s="49"/>
    </row>
    <row r="3428" spans="1:1">
      <c r="A3428" s="49"/>
    </row>
    <row r="3429" spans="1:1">
      <c r="A3429" s="49"/>
    </row>
    <row r="3430" spans="1:1">
      <c r="A3430" s="49"/>
    </row>
    <row r="3431" spans="1:1">
      <c r="A3431" s="49"/>
    </row>
    <row r="3432" spans="1:1">
      <c r="A3432" s="49"/>
    </row>
    <row r="3433" spans="1:1">
      <c r="A3433" s="49"/>
    </row>
    <row r="3434" spans="1:1">
      <c r="A3434" s="49"/>
    </row>
    <row r="3435" spans="1:1">
      <c r="A3435" s="49"/>
    </row>
    <row r="3436" spans="1:1">
      <c r="A3436" s="49"/>
    </row>
    <row r="3437" spans="1:1">
      <c r="A3437" s="49"/>
    </row>
    <row r="3438" spans="1:1">
      <c r="A3438" s="49"/>
    </row>
    <row r="3439" spans="1:1">
      <c r="A3439" s="49"/>
    </row>
    <row r="3440" spans="1:1">
      <c r="A3440" s="49"/>
    </row>
    <row r="3441" spans="1:1">
      <c r="A3441" s="49"/>
    </row>
    <row r="3442" spans="1:1">
      <c r="A3442" s="49"/>
    </row>
    <row r="3443" spans="1:1">
      <c r="A3443" s="49"/>
    </row>
    <row r="3444" spans="1:1">
      <c r="A3444" s="49"/>
    </row>
    <row r="3445" spans="1:1">
      <c r="A3445" s="49"/>
    </row>
    <row r="3446" spans="1:1">
      <c r="A3446" s="49"/>
    </row>
    <row r="3447" spans="1:1">
      <c r="A3447" s="49"/>
    </row>
    <row r="3448" spans="1:1">
      <c r="A3448" s="49"/>
    </row>
    <row r="3449" spans="1:1">
      <c r="A3449" s="49"/>
    </row>
    <row r="3450" spans="1:1">
      <c r="A3450" s="49"/>
    </row>
    <row r="3451" spans="1:1">
      <c r="A3451" s="49"/>
    </row>
    <row r="3452" spans="1:1">
      <c r="A3452" s="49"/>
    </row>
    <row r="3453" spans="1:1">
      <c r="A3453" s="49"/>
    </row>
    <row r="3454" spans="1:1">
      <c r="A3454" s="49"/>
    </row>
    <row r="3455" spans="1:1">
      <c r="A3455" s="49"/>
    </row>
    <row r="3456" spans="1:1">
      <c r="A3456" s="49"/>
    </row>
    <row r="3457" spans="1:1">
      <c r="A3457" s="49"/>
    </row>
    <row r="3458" spans="1:1">
      <c r="A3458" s="49"/>
    </row>
    <row r="3459" spans="1:1">
      <c r="A3459" s="49"/>
    </row>
    <row r="3460" spans="1:1">
      <c r="A3460" s="49"/>
    </row>
    <row r="3461" spans="1:1">
      <c r="A3461" s="49"/>
    </row>
    <row r="3462" spans="1:1">
      <c r="A3462" s="49"/>
    </row>
    <row r="3463" spans="1:1">
      <c r="A3463" s="49"/>
    </row>
    <row r="3464" spans="1:1">
      <c r="A3464" s="49"/>
    </row>
    <row r="3465" spans="1:1">
      <c r="A3465" s="49"/>
    </row>
    <row r="3466" spans="1:1">
      <c r="A3466" s="49"/>
    </row>
    <row r="3467" spans="1:1">
      <c r="A3467" s="49"/>
    </row>
    <row r="3468" spans="1:1">
      <c r="A3468" s="49"/>
    </row>
    <row r="3469" spans="1:1">
      <c r="A3469" s="49"/>
    </row>
    <row r="3470" spans="1:1">
      <c r="A3470" s="49"/>
    </row>
    <row r="3471" spans="1:1">
      <c r="A3471" s="49"/>
    </row>
    <row r="3472" spans="1:1">
      <c r="A3472" s="49"/>
    </row>
    <row r="3473" spans="1:1">
      <c r="A3473" s="49"/>
    </row>
    <row r="3474" spans="1:1">
      <c r="A3474" s="49"/>
    </row>
    <row r="3475" spans="1:1">
      <c r="A3475" s="49"/>
    </row>
    <row r="3476" spans="1:1">
      <c r="A3476" s="49"/>
    </row>
    <row r="3477" spans="1:1">
      <c r="A3477" s="49"/>
    </row>
    <row r="3478" spans="1:1">
      <c r="A3478" s="49"/>
    </row>
    <row r="3479" spans="1:1">
      <c r="A3479" s="49"/>
    </row>
    <row r="3480" spans="1:1">
      <c r="A3480" s="49"/>
    </row>
    <row r="3481" spans="1:1">
      <c r="A3481" s="49"/>
    </row>
    <row r="3482" spans="1:1">
      <c r="A3482" s="49"/>
    </row>
    <row r="3483" spans="1:1">
      <c r="A3483" s="49"/>
    </row>
    <row r="3484" spans="1:1">
      <c r="A3484" s="49"/>
    </row>
    <row r="3485" spans="1:1">
      <c r="A3485" s="49"/>
    </row>
    <row r="3486" spans="1:1">
      <c r="A3486" s="49"/>
    </row>
    <row r="3487" spans="1:1">
      <c r="A3487" s="49"/>
    </row>
    <row r="3488" spans="1:1">
      <c r="A3488" s="49"/>
    </row>
    <row r="3489" spans="1:1">
      <c r="A3489" s="49"/>
    </row>
    <row r="3490" spans="1:1">
      <c r="A3490" s="49"/>
    </row>
    <row r="3491" spans="1:1">
      <c r="A3491" s="49"/>
    </row>
    <row r="3492" spans="1:1">
      <c r="A3492" s="49"/>
    </row>
    <row r="3493" spans="1:1">
      <c r="A3493" s="49"/>
    </row>
    <row r="3494" spans="1:1">
      <c r="A3494" s="49"/>
    </row>
    <row r="3495" spans="1:1">
      <c r="A3495" s="49"/>
    </row>
    <row r="3496" spans="1:1">
      <c r="A3496" s="49"/>
    </row>
    <row r="3497" spans="1:1">
      <c r="A3497" s="49"/>
    </row>
    <row r="3498" spans="1:1">
      <c r="A3498" s="49"/>
    </row>
    <row r="3499" spans="1:1">
      <c r="A3499" s="49"/>
    </row>
    <row r="3500" spans="1:1">
      <c r="A3500" s="49"/>
    </row>
    <row r="3501" spans="1:1">
      <c r="A3501" s="49"/>
    </row>
    <row r="3502" spans="1:1">
      <c r="A3502" s="49"/>
    </row>
    <row r="3503" spans="1:1">
      <c r="A3503" s="49"/>
    </row>
    <row r="3504" spans="1:1">
      <c r="A3504" s="49"/>
    </row>
    <row r="3505" spans="1:1">
      <c r="A3505" s="49"/>
    </row>
    <row r="3506" spans="1:1">
      <c r="A3506" s="49"/>
    </row>
    <row r="3507" spans="1:1">
      <c r="A3507" s="49"/>
    </row>
    <row r="3508" spans="1:1">
      <c r="A3508" s="49"/>
    </row>
    <row r="3509" spans="1:1">
      <c r="A3509" s="49"/>
    </row>
    <row r="3510" spans="1:1">
      <c r="A3510" s="49"/>
    </row>
    <row r="3511" spans="1:1">
      <c r="A3511" s="49"/>
    </row>
    <row r="3512" spans="1:1">
      <c r="A3512" s="49"/>
    </row>
    <row r="3513" spans="1:1">
      <c r="A3513" s="49"/>
    </row>
    <row r="3514" spans="1:1">
      <c r="A3514" s="49"/>
    </row>
    <row r="3515" spans="1:1">
      <c r="A3515" s="49"/>
    </row>
    <row r="3516" spans="1:1">
      <c r="A3516" s="49"/>
    </row>
    <row r="3517" spans="1:1">
      <c r="A3517" s="49"/>
    </row>
    <row r="3518" spans="1:1">
      <c r="A3518" s="49"/>
    </row>
    <row r="3519" spans="1:1">
      <c r="A3519" s="49"/>
    </row>
    <row r="3520" spans="1:1">
      <c r="A3520" s="49"/>
    </row>
    <row r="3521" spans="1:1">
      <c r="A3521" s="49"/>
    </row>
    <row r="3522" spans="1:1">
      <c r="A3522" s="49"/>
    </row>
    <row r="3523" spans="1:1">
      <c r="A3523" s="49"/>
    </row>
    <row r="3524" spans="1:1">
      <c r="A3524" s="49"/>
    </row>
    <row r="3525" spans="1:1">
      <c r="A3525" s="49"/>
    </row>
    <row r="3526" spans="1:1">
      <c r="A3526" s="49"/>
    </row>
    <row r="3527" spans="1:1">
      <c r="A3527" s="49"/>
    </row>
    <row r="3528" spans="1:1">
      <c r="A3528" s="49"/>
    </row>
    <row r="3529" spans="1:1">
      <c r="A3529" s="49"/>
    </row>
    <row r="3530" spans="1:1">
      <c r="A3530" s="49"/>
    </row>
    <row r="3531" spans="1:1">
      <c r="A3531" s="49"/>
    </row>
    <row r="3532" spans="1:1">
      <c r="A3532" s="49"/>
    </row>
    <row r="3533" spans="1:1">
      <c r="A3533" s="49"/>
    </row>
    <row r="3534" spans="1:1">
      <c r="A3534" s="49"/>
    </row>
    <row r="3535" spans="1:1">
      <c r="A3535" s="49"/>
    </row>
    <row r="3536" spans="1:1">
      <c r="A3536" s="49"/>
    </row>
    <row r="3537" spans="1:1">
      <c r="A3537" s="49"/>
    </row>
    <row r="3538" spans="1:1">
      <c r="A3538" s="49"/>
    </row>
    <row r="3539" spans="1:1">
      <c r="A3539" s="49"/>
    </row>
    <row r="3540" spans="1:1">
      <c r="A3540" s="49"/>
    </row>
    <row r="3541" spans="1:1">
      <c r="A3541" s="49"/>
    </row>
    <row r="3542" spans="1:1">
      <c r="A3542" s="49"/>
    </row>
    <row r="3543" spans="1:1">
      <c r="A3543" s="49"/>
    </row>
    <row r="3544" spans="1:1">
      <c r="A3544" s="49"/>
    </row>
    <row r="3545" spans="1:1">
      <c r="A3545" s="49"/>
    </row>
    <row r="3546" spans="1:1">
      <c r="A3546" s="49"/>
    </row>
    <row r="3547" spans="1:1">
      <c r="A3547" s="49"/>
    </row>
    <row r="3548" spans="1:1">
      <c r="A3548" s="49"/>
    </row>
    <row r="3549" spans="1:1">
      <c r="A3549" s="49"/>
    </row>
    <row r="3550" spans="1:1">
      <c r="A3550" s="49"/>
    </row>
    <row r="3551" spans="1:1">
      <c r="A3551" s="49"/>
    </row>
    <row r="3552" spans="1:1">
      <c r="A3552" s="49"/>
    </row>
    <row r="3553" spans="1:1">
      <c r="A3553" s="49"/>
    </row>
    <row r="3554" spans="1:1">
      <c r="A3554" s="49"/>
    </row>
    <row r="3555" spans="1:1">
      <c r="A3555" s="49"/>
    </row>
    <row r="3556" spans="1:1">
      <c r="A3556" s="49"/>
    </row>
    <row r="3557" spans="1:1">
      <c r="A3557" s="49"/>
    </row>
    <row r="3558" spans="1:1">
      <c r="A3558" s="49"/>
    </row>
    <row r="3559" spans="1:1">
      <c r="A3559" s="49"/>
    </row>
    <row r="3560" spans="1:1">
      <c r="A3560" s="49"/>
    </row>
    <row r="3561" spans="1:1">
      <c r="A3561" s="49"/>
    </row>
    <row r="3562" spans="1:1">
      <c r="A3562" s="49"/>
    </row>
    <row r="3563" spans="1:1">
      <c r="A3563" s="49"/>
    </row>
    <row r="3564" spans="1:1">
      <c r="A3564" s="49"/>
    </row>
    <row r="3565" spans="1:1">
      <c r="A3565" s="49"/>
    </row>
    <row r="3566" spans="1:1">
      <c r="A3566" s="49"/>
    </row>
    <row r="3567" spans="1:1">
      <c r="A3567" s="49"/>
    </row>
    <row r="3568" spans="1:1">
      <c r="A3568" s="49"/>
    </row>
    <row r="3569" spans="1:1">
      <c r="A3569" s="49"/>
    </row>
    <row r="3570" spans="1:1">
      <c r="A3570" s="49"/>
    </row>
    <row r="3571" spans="1:1">
      <c r="A3571" s="49"/>
    </row>
    <row r="3572" spans="1:1">
      <c r="A3572" s="49"/>
    </row>
    <row r="3573" spans="1:1">
      <c r="A3573" s="49"/>
    </row>
    <row r="3574" spans="1:1">
      <c r="A3574" s="49"/>
    </row>
    <row r="3575" spans="1:1">
      <c r="A3575" s="49"/>
    </row>
    <row r="3576" spans="1:1">
      <c r="A3576" s="49"/>
    </row>
    <row r="3577" spans="1:1">
      <c r="A3577" s="49"/>
    </row>
    <row r="3578" spans="1:1">
      <c r="A3578" s="49"/>
    </row>
    <row r="3579" spans="1:1">
      <c r="A3579" s="49"/>
    </row>
    <row r="3580" spans="1:1">
      <c r="A3580" s="49"/>
    </row>
    <row r="3581" spans="1:1">
      <c r="A3581" s="49"/>
    </row>
    <row r="3582" spans="1:1">
      <c r="A3582" s="49"/>
    </row>
    <row r="3583" spans="1:1">
      <c r="A3583" s="49"/>
    </row>
    <row r="3584" spans="1:1">
      <c r="A3584" s="49"/>
    </row>
    <row r="3585" spans="1:1">
      <c r="A3585" s="49"/>
    </row>
    <row r="3586" spans="1:1">
      <c r="A3586" s="49"/>
    </row>
    <row r="3587" spans="1:1">
      <c r="A3587" s="49"/>
    </row>
    <row r="3588" spans="1:1">
      <c r="A3588" s="49"/>
    </row>
    <row r="3589" spans="1:1">
      <c r="A3589" s="49"/>
    </row>
    <row r="3590" spans="1:1">
      <c r="A3590" s="49"/>
    </row>
    <row r="3591" spans="1:1">
      <c r="A3591" s="49"/>
    </row>
    <row r="3592" spans="1:1">
      <c r="A3592" s="49"/>
    </row>
    <row r="3593" spans="1:1">
      <c r="A3593" s="49"/>
    </row>
    <row r="3594" spans="1:1">
      <c r="A3594" s="49"/>
    </row>
    <row r="3595" spans="1:1">
      <c r="A3595" s="49"/>
    </row>
    <row r="3596" spans="1:1">
      <c r="A3596" s="49"/>
    </row>
    <row r="3597" spans="1:1">
      <c r="A3597" s="49"/>
    </row>
    <row r="3598" spans="1:1">
      <c r="A3598" s="49"/>
    </row>
    <row r="3599" spans="1:1">
      <c r="A3599" s="49"/>
    </row>
    <row r="3600" spans="1:1">
      <c r="A3600" s="49"/>
    </row>
    <row r="3601" spans="1:1">
      <c r="A3601" s="49"/>
    </row>
    <row r="3602" spans="1:1">
      <c r="A3602" s="49"/>
    </row>
    <row r="3603" spans="1:1">
      <c r="A3603" s="49"/>
    </row>
    <row r="3604" spans="1:1">
      <c r="A3604" s="49"/>
    </row>
    <row r="3605" spans="1:1">
      <c r="A3605" s="49"/>
    </row>
    <row r="3606" spans="1:1">
      <c r="A3606" s="49"/>
    </row>
    <row r="3607" spans="1:1">
      <c r="A3607" s="49"/>
    </row>
    <row r="3608" spans="1:1">
      <c r="A3608" s="49"/>
    </row>
    <row r="3609" spans="1:1">
      <c r="A3609" s="49"/>
    </row>
    <row r="3610" spans="1:1">
      <c r="A3610" s="49"/>
    </row>
    <row r="3611" spans="1:1">
      <c r="A3611" s="49"/>
    </row>
    <row r="3612" spans="1:1">
      <c r="A3612" s="49"/>
    </row>
    <row r="3613" spans="1:1">
      <c r="A3613" s="49"/>
    </row>
    <row r="3614" spans="1:1">
      <c r="A3614" s="49"/>
    </row>
    <row r="3615" spans="1:1">
      <c r="A3615" s="49"/>
    </row>
    <row r="3616" spans="1:1">
      <c r="A3616" s="49"/>
    </row>
    <row r="3617" spans="1:1">
      <c r="A3617" s="49"/>
    </row>
    <row r="3618" spans="1:1">
      <c r="A3618" s="49"/>
    </row>
    <row r="3619" spans="1:1">
      <c r="A3619" s="49"/>
    </row>
    <row r="3620" spans="1:1">
      <c r="A3620" s="49"/>
    </row>
    <row r="3621" spans="1:1">
      <c r="A3621" s="49"/>
    </row>
    <row r="3622" spans="1:1">
      <c r="A3622" s="49"/>
    </row>
    <row r="3623" spans="1:1">
      <c r="A3623" s="49"/>
    </row>
    <row r="3624" spans="1:1">
      <c r="A3624" s="49"/>
    </row>
    <row r="3625" spans="1:1">
      <c r="A3625" s="49"/>
    </row>
    <row r="3626" spans="1:1">
      <c r="A3626" s="49"/>
    </row>
    <row r="3627" spans="1:1">
      <c r="A3627" s="49"/>
    </row>
    <row r="3628" spans="1:1">
      <c r="A3628" s="49"/>
    </row>
    <row r="3629" spans="1:1">
      <c r="A3629" s="49"/>
    </row>
    <row r="3630" spans="1:1">
      <c r="A3630" s="49"/>
    </row>
    <row r="3631" spans="1:1">
      <c r="A3631" s="49"/>
    </row>
    <row r="3632" spans="1:1">
      <c r="A3632" s="49"/>
    </row>
    <row r="3633" spans="1:1">
      <c r="A3633" s="49"/>
    </row>
    <row r="3634" spans="1:1">
      <c r="A3634" s="49"/>
    </row>
    <row r="3635" spans="1:1">
      <c r="A3635" s="49"/>
    </row>
    <row r="3636" spans="1:1">
      <c r="A3636" s="49"/>
    </row>
    <row r="3637" spans="1:1">
      <c r="A3637" s="49"/>
    </row>
    <row r="3638" spans="1:1">
      <c r="A3638" s="49"/>
    </row>
    <row r="3639" spans="1:1">
      <c r="A3639" s="49"/>
    </row>
    <row r="3640" spans="1:1">
      <c r="A3640" s="49"/>
    </row>
    <row r="3641" spans="1:1">
      <c r="A3641" s="49"/>
    </row>
    <row r="3642" spans="1:1">
      <c r="A3642" s="49"/>
    </row>
    <row r="3643" spans="1:1">
      <c r="A3643" s="49"/>
    </row>
    <row r="3644" spans="1:1">
      <c r="A3644" s="49"/>
    </row>
    <row r="3645" spans="1:1">
      <c r="A3645" s="49"/>
    </row>
    <row r="3646" spans="1:1">
      <c r="A3646" s="49"/>
    </row>
    <row r="3647" spans="1:1">
      <c r="A3647" s="49"/>
    </row>
    <row r="3648" spans="1:1">
      <c r="A3648" s="49"/>
    </row>
    <row r="3649" spans="1:1">
      <c r="A3649" s="49"/>
    </row>
    <row r="3650" spans="1:1">
      <c r="A3650" s="49"/>
    </row>
    <row r="3651" spans="1:1">
      <c r="A3651" s="49"/>
    </row>
    <row r="3652" spans="1:1">
      <c r="A3652" s="49"/>
    </row>
    <row r="3653" spans="1:1">
      <c r="A3653" s="49"/>
    </row>
    <row r="3654" spans="1:1">
      <c r="A3654" s="49"/>
    </row>
    <row r="3655" spans="1:1">
      <c r="A3655" s="49"/>
    </row>
    <row r="3656" spans="1:1">
      <c r="A3656" s="49"/>
    </row>
    <row r="3657" spans="1:1">
      <c r="A3657" s="49"/>
    </row>
    <row r="3658" spans="1:1">
      <c r="A3658" s="49"/>
    </row>
    <row r="3659" spans="1:1">
      <c r="A3659" s="49"/>
    </row>
    <row r="3660" spans="1:1">
      <c r="A3660" s="49"/>
    </row>
    <row r="3661" spans="1:1">
      <c r="A3661" s="49"/>
    </row>
    <row r="3662" spans="1:1">
      <c r="A3662" s="49"/>
    </row>
    <row r="3663" spans="1:1">
      <c r="A3663" s="49"/>
    </row>
    <row r="3664" spans="1:1">
      <c r="A3664" s="49"/>
    </row>
    <row r="3665" spans="1:1">
      <c r="A3665" s="49"/>
    </row>
    <row r="3666" spans="1:1">
      <c r="A3666" s="49"/>
    </row>
    <row r="3667" spans="1:1">
      <c r="A3667" s="49"/>
    </row>
    <row r="3668" spans="1:1">
      <c r="A3668" s="49"/>
    </row>
    <row r="3669" spans="1:1">
      <c r="A3669" s="49"/>
    </row>
    <row r="3670" spans="1:1">
      <c r="A3670" s="49"/>
    </row>
    <row r="3671" spans="1:1">
      <c r="A3671" s="49"/>
    </row>
    <row r="3672" spans="1:1">
      <c r="A3672" s="49"/>
    </row>
    <row r="3673" spans="1:1">
      <c r="A3673" s="49"/>
    </row>
    <row r="3674" spans="1:1">
      <c r="A3674" s="49"/>
    </row>
    <row r="3675" spans="1:1">
      <c r="A3675" s="49"/>
    </row>
    <row r="3676" spans="1:1">
      <c r="A3676" s="49"/>
    </row>
    <row r="3677" spans="1:1">
      <c r="A3677" s="49"/>
    </row>
    <row r="3678" spans="1:1">
      <c r="A3678" s="49"/>
    </row>
    <row r="3679" spans="1:1">
      <c r="A3679" s="49"/>
    </row>
    <row r="3680" spans="1:1">
      <c r="A3680" s="49"/>
    </row>
    <row r="3681" spans="1:1">
      <c r="A3681" s="49"/>
    </row>
    <row r="3682" spans="1:1">
      <c r="A3682" s="49"/>
    </row>
    <row r="3683" spans="1:1">
      <c r="A3683" s="49"/>
    </row>
    <row r="3684" spans="1:1">
      <c r="A3684" s="49"/>
    </row>
    <row r="3685" spans="1:1">
      <c r="A3685" s="49"/>
    </row>
    <row r="3686" spans="1:1">
      <c r="A3686" s="49"/>
    </row>
    <row r="3687" spans="1:1">
      <c r="A3687" s="49"/>
    </row>
    <row r="3688" spans="1:1">
      <c r="A3688" s="49"/>
    </row>
    <row r="3689" spans="1:1">
      <c r="A3689" s="49"/>
    </row>
    <row r="3690" spans="1:1">
      <c r="A3690" s="49"/>
    </row>
    <row r="3691" spans="1:1">
      <c r="A3691" s="49"/>
    </row>
    <row r="3692" spans="1:1">
      <c r="A3692" s="49"/>
    </row>
    <row r="3693" spans="1:1">
      <c r="A3693" s="49"/>
    </row>
    <row r="3694" spans="1:1">
      <c r="A3694" s="49"/>
    </row>
    <row r="3695" spans="1:1">
      <c r="A3695" s="49"/>
    </row>
    <row r="3696" spans="1:1">
      <c r="A3696" s="49"/>
    </row>
    <row r="3697" spans="1:1">
      <c r="A3697" s="49"/>
    </row>
    <row r="3698" spans="1:1">
      <c r="A3698" s="49"/>
    </row>
    <row r="3699" spans="1:1">
      <c r="A3699" s="49"/>
    </row>
    <row r="3700" spans="1:1">
      <c r="A3700" s="49"/>
    </row>
    <row r="3701" spans="1:1">
      <c r="A3701" s="49"/>
    </row>
    <row r="3702" spans="1:1">
      <c r="A3702" s="49"/>
    </row>
    <row r="3703" spans="1:1">
      <c r="A3703" s="49"/>
    </row>
    <row r="3704" spans="1:1">
      <c r="A3704" s="49"/>
    </row>
    <row r="3705" spans="1:1">
      <c r="A3705" s="49"/>
    </row>
    <row r="3706" spans="1:1">
      <c r="A3706" s="49"/>
    </row>
    <row r="3707" spans="1:1">
      <c r="A3707" s="49"/>
    </row>
    <row r="3708" spans="1:1">
      <c r="A3708" s="49"/>
    </row>
    <row r="3709" spans="1:1">
      <c r="A3709" s="49"/>
    </row>
    <row r="3710" spans="1:1">
      <c r="A3710" s="49"/>
    </row>
    <row r="3711" spans="1:1">
      <c r="A3711" s="49"/>
    </row>
    <row r="3712" spans="1:1">
      <c r="A3712" s="49"/>
    </row>
    <row r="3713" spans="1:1">
      <c r="A3713" s="49"/>
    </row>
    <row r="3714" spans="1:1">
      <c r="A3714" s="49"/>
    </row>
    <row r="3715" spans="1:1">
      <c r="A3715" s="49"/>
    </row>
    <row r="3716" spans="1:1">
      <c r="A3716" s="49"/>
    </row>
    <row r="3717" spans="1:1">
      <c r="A3717" s="49"/>
    </row>
    <row r="3718" spans="1:1">
      <c r="A3718" s="49"/>
    </row>
    <row r="3719" spans="1:1">
      <c r="A3719" s="49"/>
    </row>
    <row r="3720" spans="1:1">
      <c r="A3720" s="49"/>
    </row>
    <row r="3721" spans="1:1">
      <c r="A3721" s="49"/>
    </row>
    <row r="3722" spans="1:1">
      <c r="A3722" s="49"/>
    </row>
    <row r="3723" spans="1:1">
      <c r="A3723" s="49"/>
    </row>
    <row r="3724" spans="1:1">
      <c r="A3724" s="49"/>
    </row>
    <row r="3725" spans="1:1">
      <c r="A3725" s="49"/>
    </row>
    <row r="3726" spans="1:1">
      <c r="A3726" s="49"/>
    </row>
    <row r="3727" spans="1:1">
      <c r="A3727" s="49"/>
    </row>
    <row r="3728" spans="1:1">
      <c r="A3728" s="49"/>
    </row>
    <row r="3729" spans="1:1">
      <c r="A3729" s="49"/>
    </row>
    <row r="3730" spans="1:1">
      <c r="A3730" s="49"/>
    </row>
    <row r="3731" spans="1:1">
      <c r="A3731" s="49"/>
    </row>
    <row r="3732" spans="1:1">
      <c r="A3732" s="49"/>
    </row>
    <row r="3733" spans="1:1">
      <c r="A3733" s="49"/>
    </row>
    <row r="3734" spans="1:1">
      <c r="A3734" s="49"/>
    </row>
    <row r="3735" spans="1:1">
      <c r="A3735" s="49"/>
    </row>
    <row r="3736" spans="1:1">
      <c r="A3736" s="49"/>
    </row>
    <row r="3737" spans="1:1">
      <c r="A3737" s="49"/>
    </row>
    <row r="3738" spans="1:1">
      <c r="A3738" s="49"/>
    </row>
    <row r="3739" spans="1:1">
      <c r="A3739" s="49"/>
    </row>
    <row r="3740" spans="1:1">
      <c r="A3740" s="49"/>
    </row>
    <row r="3741" spans="1:1">
      <c r="A3741" s="49"/>
    </row>
    <row r="3742" spans="1:1">
      <c r="A3742" s="49"/>
    </row>
    <row r="3743" spans="1:1">
      <c r="A3743" s="49"/>
    </row>
    <row r="3744" spans="1:1">
      <c r="A3744" s="49"/>
    </row>
    <row r="3745" spans="1:1">
      <c r="A3745" s="49"/>
    </row>
    <row r="3746" spans="1:1">
      <c r="A3746" s="49"/>
    </row>
    <row r="3747" spans="1:1">
      <c r="A3747" s="49"/>
    </row>
    <row r="3748" spans="1:1">
      <c r="A3748" s="49"/>
    </row>
    <row r="3749" spans="1:1">
      <c r="A3749" s="49"/>
    </row>
    <row r="3750" spans="1:1">
      <c r="A3750" s="49"/>
    </row>
    <row r="3751" spans="1:1">
      <c r="A3751" s="49"/>
    </row>
    <row r="3752" spans="1:1">
      <c r="A3752" s="49"/>
    </row>
    <row r="3753" spans="1:1">
      <c r="A3753" s="49"/>
    </row>
    <row r="3754" spans="1:1">
      <c r="A3754" s="49"/>
    </row>
    <row r="3755" spans="1:1">
      <c r="A3755" s="49"/>
    </row>
    <row r="3756" spans="1:1">
      <c r="A3756" s="49"/>
    </row>
    <row r="3757" spans="1:1">
      <c r="A3757" s="49"/>
    </row>
    <row r="3758" spans="1:1">
      <c r="A3758" s="49"/>
    </row>
    <row r="3759" spans="1:1">
      <c r="A3759" s="49"/>
    </row>
    <row r="3760" spans="1:1">
      <c r="A3760" s="49"/>
    </row>
    <row r="3761" spans="1:1">
      <c r="A3761" s="49"/>
    </row>
    <row r="3762" spans="1:1">
      <c r="A3762" s="49"/>
    </row>
    <row r="3763" spans="1:1">
      <c r="A3763" s="49"/>
    </row>
    <row r="3764" spans="1:1">
      <c r="A3764" s="49"/>
    </row>
    <row r="3765" spans="1:1">
      <c r="A3765" s="49"/>
    </row>
    <row r="3766" spans="1:1">
      <c r="A3766" s="49"/>
    </row>
    <row r="3767" spans="1:1">
      <c r="A3767" s="49"/>
    </row>
    <row r="3768" spans="1:1">
      <c r="A3768" s="49"/>
    </row>
    <row r="3769" spans="1:1">
      <c r="A3769" s="49"/>
    </row>
    <row r="3770" spans="1:1">
      <c r="A3770" s="49"/>
    </row>
    <row r="3771" spans="1:1">
      <c r="A3771" s="49"/>
    </row>
    <row r="3772" spans="1:1">
      <c r="A3772" s="49"/>
    </row>
    <row r="3773" spans="1:1">
      <c r="A3773" s="49"/>
    </row>
    <row r="3774" spans="1:1">
      <c r="A3774" s="49"/>
    </row>
    <row r="3775" spans="1:1">
      <c r="A3775" s="49"/>
    </row>
    <row r="3776" spans="1:1">
      <c r="A3776" s="49"/>
    </row>
    <row r="3777" spans="1:1">
      <c r="A3777" s="49"/>
    </row>
    <row r="3778" spans="1:1">
      <c r="A3778" s="49"/>
    </row>
    <row r="3779" spans="1:1">
      <c r="A3779" s="49"/>
    </row>
    <row r="3780" spans="1:1">
      <c r="A3780" s="49"/>
    </row>
    <row r="3781" spans="1:1">
      <c r="A3781" s="49"/>
    </row>
    <row r="3782" spans="1:1">
      <c r="A3782" s="49"/>
    </row>
    <row r="3783" spans="1:1">
      <c r="A3783" s="49"/>
    </row>
    <row r="3784" spans="1:1">
      <c r="A3784" s="49"/>
    </row>
    <row r="3785" spans="1:1">
      <c r="A3785" s="49"/>
    </row>
    <row r="3786" spans="1:1">
      <c r="A3786" s="49"/>
    </row>
    <row r="3787" spans="1:1">
      <c r="A3787" s="49"/>
    </row>
    <row r="3788" spans="1:1">
      <c r="A3788" s="49"/>
    </row>
    <row r="3789" spans="1:1">
      <c r="A3789" s="49"/>
    </row>
    <row r="3790" spans="1:1">
      <c r="A3790" s="49"/>
    </row>
    <row r="3791" spans="1:1">
      <c r="A3791" s="49"/>
    </row>
    <row r="3792" spans="1:1">
      <c r="A3792" s="49"/>
    </row>
    <row r="3793" spans="1:1">
      <c r="A3793" s="49"/>
    </row>
    <row r="3794" spans="1:1">
      <c r="A3794" s="49"/>
    </row>
    <row r="3795" spans="1:1">
      <c r="A3795" s="49"/>
    </row>
    <row r="3796" spans="1:1">
      <c r="A3796" s="49"/>
    </row>
    <row r="3797" spans="1:1">
      <c r="A3797" s="49"/>
    </row>
    <row r="3798" spans="1:1">
      <c r="A3798" s="49"/>
    </row>
    <row r="3799" spans="1:1">
      <c r="A3799" s="49"/>
    </row>
    <row r="3800" spans="1:1">
      <c r="A3800" s="49"/>
    </row>
    <row r="3801" spans="1:1">
      <c r="A3801" s="49"/>
    </row>
    <row r="3802" spans="1:1">
      <c r="A3802" s="49"/>
    </row>
    <row r="3803" spans="1:1">
      <c r="A3803" s="49"/>
    </row>
    <row r="3804" spans="1:1">
      <c r="A3804" s="49"/>
    </row>
    <row r="3805" spans="1:1">
      <c r="A3805" s="49"/>
    </row>
    <row r="3806" spans="1:1">
      <c r="A3806" s="49"/>
    </row>
    <row r="3807" spans="1:1">
      <c r="A3807" s="49"/>
    </row>
    <row r="3808" spans="1:1">
      <c r="A3808" s="49"/>
    </row>
    <row r="3809" spans="1:1">
      <c r="A3809" s="49"/>
    </row>
    <row r="3810" spans="1:1">
      <c r="A3810" s="49"/>
    </row>
    <row r="3811" spans="1:1">
      <c r="A3811" s="49"/>
    </row>
    <row r="3812" spans="1:1">
      <c r="A3812" s="49"/>
    </row>
    <row r="3813" spans="1:1">
      <c r="A3813" s="49"/>
    </row>
    <row r="3814" spans="1:1">
      <c r="A3814" s="49"/>
    </row>
    <row r="3815" spans="1:1">
      <c r="A3815" s="49"/>
    </row>
    <row r="3816" spans="1:1">
      <c r="A3816" s="49"/>
    </row>
    <row r="3817" spans="1:1">
      <c r="A3817" s="49"/>
    </row>
    <row r="3818" spans="1:1">
      <c r="A3818" s="49"/>
    </row>
    <row r="3819" spans="1:1">
      <c r="A3819" s="49"/>
    </row>
    <row r="3820" spans="1:1">
      <c r="A3820" s="49"/>
    </row>
    <row r="3821" spans="1:1">
      <c r="A3821" s="49"/>
    </row>
    <row r="3822" spans="1:1">
      <c r="A3822" s="49"/>
    </row>
    <row r="3823" spans="1:1">
      <c r="A3823" s="49"/>
    </row>
    <row r="3824" spans="1:1">
      <c r="A3824" s="49"/>
    </row>
    <row r="3825" spans="1:1">
      <c r="A3825" s="49"/>
    </row>
    <row r="3826" spans="1:1">
      <c r="A3826" s="49"/>
    </row>
    <row r="3827" spans="1:1">
      <c r="A3827" s="49"/>
    </row>
    <row r="3828" spans="1:1">
      <c r="A3828" s="49"/>
    </row>
    <row r="3829" spans="1:1">
      <c r="A3829" s="49"/>
    </row>
    <row r="3830" spans="1:1">
      <c r="A3830" s="49"/>
    </row>
    <row r="3831" spans="1:1">
      <c r="A3831" s="49"/>
    </row>
    <row r="3832" spans="1:1">
      <c r="A3832" s="49"/>
    </row>
    <row r="3833" spans="1:1">
      <c r="A3833" s="49"/>
    </row>
    <row r="3834" spans="1:1">
      <c r="A3834" s="49"/>
    </row>
    <row r="3835" spans="1:1">
      <c r="A3835" s="49"/>
    </row>
    <row r="3836" spans="1:1">
      <c r="A3836" s="49"/>
    </row>
    <row r="3837" spans="1:1">
      <c r="A3837" s="49"/>
    </row>
    <row r="3838" spans="1:1">
      <c r="A3838" s="49"/>
    </row>
    <row r="3839" spans="1:1">
      <c r="A3839" s="49"/>
    </row>
    <row r="3840" spans="1:1">
      <c r="A3840" s="49"/>
    </row>
    <row r="3841" spans="1:1">
      <c r="A3841" s="49"/>
    </row>
    <row r="3842" spans="1:1">
      <c r="A3842" s="49"/>
    </row>
    <row r="3843" spans="1:1">
      <c r="A3843" s="49"/>
    </row>
    <row r="3844" spans="1:1">
      <c r="A3844" s="49"/>
    </row>
    <row r="3845" spans="1:1">
      <c r="A3845" s="49"/>
    </row>
    <row r="3846" spans="1:1">
      <c r="A3846" s="49"/>
    </row>
    <row r="3847" spans="1:1">
      <c r="A3847" s="49"/>
    </row>
    <row r="3848" spans="1:1">
      <c r="A3848" s="49"/>
    </row>
    <row r="3849" spans="1:1">
      <c r="A3849" s="49"/>
    </row>
    <row r="3850" spans="1:1">
      <c r="A3850" s="49"/>
    </row>
    <row r="3851" spans="1:1">
      <c r="A3851" s="49"/>
    </row>
    <row r="3852" spans="1:1">
      <c r="A3852" s="49"/>
    </row>
    <row r="3853" spans="1:1">
      <c r="A3853" s="49"/>
    </row>
    <row r="3854" spans="1:1">
      <c r="A3854" s="49"/>
    </row>
    <row r="3855" spans="1:1">
      <c r="A3855" s="49"/>
    </row>
    <row r="3856" spans="1:1">
      <c r="A3856" s="49"/>
    </row>
    <row r="3857" spans="1:1">
      <c r="A3857" s="49"/>
    </row>
    <row r="3858" spans="1:1">
      <c r="A3858" s="49"/>
    </row>
    <row r="3859" spans="1:1">
      <c r="A3859" s="49"/>
    </row>
    <row r="3860" spans="1:1">
      <c r="A3860" s="49"/>
    </row>
    <row r="3861" spans="1:1">
      <c r="A3861" s="49"/>
    </row>
    <row r="3862" spans="1:1">
      <c r="A3862" s="49"/>
    </row>
    <row r="3863" spans="1:1">
      <c r="A3863" s="49"/>
    </row>
    <row r="3864" spans="1:1">
      <c r="A3864" s="49"/>
    </row>
    <row r="3865" spans="1:1">
      <c r="A3865" s="49"/>
    </row>
    <row r="3866" spans="1:1">
      <c r="A3866" s="49"/>
    </row>
    <row r="3867" spans="1:1">
      <c r="A3867" s="49"/>
    </row>
    <row r="3868" spans="1:1">
      <c r="A3868" s="49"/>
    </row>
    <row r="3869" spans="1:1">
      <c r="A3869" s="49"/>
    </row>
    <row r="3870" spans="1:1">
      <c r="A3870" s="49"/>
    </row>
    <row r="3871" spans="1:1">
      <c r="A3871" s="49"/>
    </row>
    <row r="3872" spans="1:1">
      <c r="A3872" s="49"/>
    </row>
    <row r="3873" spans="1:1">
      <c r="A3873" s="49"/>
    </row>
    <row r="3874" spans="1:1">
      <c r="A3874" s="49"/>
    </row>
    <row r="3875" spans="1:1">
      <c r="A3875" s="49"/>
    </row>
    <row r="3876" spans="1:1">
      <c r="A3876" s="49"/>
    </row>
    <row r="3877" spans="1:1">
      <c r="A3877" s="49"/>
    </row>
    <row r="3878" spans="1:1">
      <c r="A3878" s="49"/>
    </row>
    <row r="3879" spans="1:1">
      <c r="A3879" s="49"/>
    </row>
    <row r="3880" spans="1:1">
      <c r="A3880" s="49"/>
    </row>
    <row r="3881" spans="1:1">
      <c r="A3881" s="49"/>
    </row>
    <row r="3882" spans="1:1">
      <c r="A3882" s="49"/>
    </row>
    <row r="3883" spans="1:1">
      <c r="A3883" s="49"/>
    </row>
    <row r="3884" spans="1:1">
      <c r="A3884" s="49"/>
    </row>
    <row r="3885" spans="1:1">
      <c r="A3885" s="49"/>
    </row>
    <row r="3886" spans="1:1">
      <c r="A3886" s="49"/>
    </row>
    <row r="3887" spans="1:1">
      <c r="A3887" s="49"/>
    </row>
    <row r="3888" spans="1:1">
      <c r="A3888" s="49"/>
    </row>
    <row r="3889" spans="1:1">
      <c r="A3889" s="49"/>
    </row>
    <row r="3890" spans="1:1">
      <c r="A3890" s="49"/>
    </row>
    <row r="3891" spans="1:1">
      <c r="A3891" s="49"/>
    </row>
    <row r="3892" spans="1:1">
      <c r="A3892" s="49"/>
    </row>
    <row r="3893" spans="1:1">
      <c r="A3893" s="49"/>
    </row>
    <row r="3894" spans="1:1">
      <c r="A3894" s="49"/>
    </row>
    <row r="3895" spans="1:1">
      <c r="A3895" s="49"/>
    </row>
    <row r="3896" spans="1:1">
      <c r="A3896" s="49"/>
    </row>
    <row r="3897" spans="1:1">
      <c r="A3897" s="49"/>
    </row>
    <row r="3898" spans="1:1">
      <c r="A3898" s="49"/>
    </row>
    <row r="3899" spans="1:1">
      <c r="A3899" s="49"/>
    </row>
    <row r="3900" spans="1:1">
      <c r="A3900" s="49"/>
    </row>
    <row r="3901" spans="1:1">
      <c r="A3901" s="49"/>
    </row>
    <row r="3902" spans="1:1">
      <c r="A3902" s="49"/>
    </row>
    <row r="3903" spans="1:1">
      <c r="A3903" s="49"/>
    </row>
    <row r="3904" spans="1:1">
      <c r="A3904" s="49"/>
    </row>
    <row r="3905" spans="1:1">
      <c r="A3905" s="49"/>
    </row>
    <row r="3906" spans="1:1">
      <c r="A3906" s="49"/>
    </row>
    <row r="3907" spans="1:1">
      <c r="A3907" s="49"/>
    </row>
    <row r="3908" spans="1:1">
      <c r="A3908" s="49"/>
    </row>
    <row r="3909" spans="1:1">
      <c r="A3909" s="49"/>
    </row>
    <row r="3910" spans="1:1">
      <c r="A3910" s="49"/>
    </row>
    <row r="3911" spans="1:1">
      <c r="A3911" s="49"/>
    </row>
    <row r="3912" spans="1:1">
      <c r="A3912" s="49"/>
    </row>
    <row r="3913" spans="1:1">
      <c r="A3913" s="49"/>
    </row>
    <row r="3914" spans="1:1">
      <c r="A3914" s="49"/>
    </row>
    <row r="3915" spans="1:1">
      <c r="A3915" s="49"/>
    </row>
    <row r="3916" spans="1:1">
      <c r="A3916" s="49"/>
    </row>
    <row r="3917" spans="1:1">
      <c r="A3917" s="49"/>
    </row>
    <row r="3918" spans="1:1">
      <c r="A3918" s="49"/>
    </row>
    <row r="3919" spans="1:1">
      <c r="A3919" s="49"/>
    </row>
    <row r="3920" spans="1:1">
      <c r="A3920" s="49"/>
    </row>
    <row r="3921" spans="1:1">
      <c r="A3921" s="49"/>
    </row>
    <row r="3922" spans="1:1">
      <c r="A3922" s="49"/>
    </row>
    <row r="3923" spans="1:1">
      <c r="A3923" s="49"/>
    </row>
    <row r="3924" spans="1:1">
      <c r="A3924" s="49"/>
    </row>
    <row r="3925" spans="1:1">
      <c r="A3925" s="49"/>
    </row>
    <row r="3926" spans="1:1">
      <c r="A3926" s="49"/>
    </row>
    <row r="3927" spans="1:1">
      <c r="A3927" s="49"/>
    </row>
    <row r="3928" spans="1:1">
      <c r="A3928" s="49"/>
    </row>
    <row r="3929" spans="1:1">
      <c r="A3929" s="49"/>
    </row>
    <row r="3930" spans="1:1">
      <c r="A3930" s="49"/>
    </row>
    <row r="3931" spans="1:1">
      <c r="A3931" s="49"/>
    </row>
    <row r="3932" spans="1:1">
      <c r="A3932" s="49"/>
    </row>
    <row r="3933" spans="1:1">
      <c r="A3933" s="49"/>
    </row>
    <row r="3934" spans="1:1">
      <c r="A3934" s="49"/>
    </row>
    <row r="3935" spans="1:1">
      <c r="A3935" s="49"/>
    </row>
    <row r="3936" spans="1:1">
      <c r="A3936" s="49"/>
    </row>
    <row r="3937" spans="1:1">
      <c r="A3937" s="49"/>
    </row>
    <row r="3938" spans="1:1">
      <c r="A3938" s="49"/>
    </row>
    <row r="3939" spans="1:1">
      <c r="A3939" s="49"/>
    </row>
    <row r="3940" spans="1:1">
      <c r="A3940" s="49"/>
    </row>
    <row r="3941" spans="1:1">
      <c r="A3941" s="49"/>
    </row>
    <row r="3942" spans="1:1">
      <c r="A3942" s="49"/>
    </row>
    <row r="3943" spans="1:1">
      <c r="A3943" s="49"/>
    </row>
    <row r="3944" spans="1:1">
      <c r="A3944" s="49"/>
    </row>
    <row r="3945" spans="1:1">
      <c r="A3945" s="49"/>
    </row>
    <row r="3946" spans="1:1">
      <c r="A3946" s="49"/>
    </row>
    <row r="3947" spans="1:1">
      <c r="A3947" s="49"/>
    </row>
    <row r="3948" spans="1:1">
      <c r="A3948" s="49"/>
    </row>
    <row r="3949" spans="1:1">
      <c r="A3949" s="49"/>
    </row>
    <row r="3950" spans="1:1">
      <c r="A3950" s="49"/>
    </row>
    <row r="3951" spans="1:1">
      <c r="A3951" s="49"/>
    </row>
    <row r="3952" spans="1:1">
      <c r="A3952" s="49"/>
    </row>
    <row r="3953" spans="1:1">
      <c r="A3953" s="49"/>
    </row>
    <row r="3954" spans="1:1">
      <c r="A3954" s="49"/>
    </row>
    <row r="3955" spans="1:1">
      <c r="A3955" s="49"/>
    </row>
    <row r="3956" spans="1:1">
      <c r="A3956" s="49"/>
    </row>
    <row r="3957" spans="1:1">
      <c r="A3957" s="49"/>
    </row>
    <row r="3958" spans="1:1">
      <c r="A3958" s="49"/>
    </row>
    <row r="3959" spans="1:1">
      <c r="A3959" s="49"/>
    </row>
    <row r="3960" spans="1:1">
      <c r="A3960" s="49"/>
    </row>
    <row r="3961" spans="1:1">
      <c r="A3961" s="49"/>
    </row>
    <row r="3962" spans="1:1">
      <c r="A3962" s="49"/>
    </row>
    <row r="3963" spans="1:1">
      <c r="A3963" s="49"/>
    </row>
    <row r="3964" spans="1:1">
      <c r="A3964" s="49"/>
    </row>
    <row r="3965" spans="1:1">
      <c r="A3965" s="49"/>
    </row>
    <row r="3966" spans="1:1">
      <c r="A3966" s="49"/>
    </row>
    <row r="3967" spans="1:1">
      <c r="A3967" s="49"/>
    </row>
    <row r="3968" spans="1:1">
      <c r="A3968" s="49"/>
    </row>
    <row r="3969" spans="1:1">
      <c r="A3969" s="49"/>
    </row>
    <row r="3970" spans="1:1">
      <c r="A3970" s="49"/>
    </row>
    <row r="3971" spans="1:1">
      <c r="A3971" s="49"/>
    </row>
    <row r="3972" spans="1:1">
      <c r="A3972" s="49"/>
    </row>
    <row r="3973" spans="1:1">
      <c r="A3973" s="49"/>
    </row>
    <row r="3974" spans="1:1">
      <c r="A3974" s="49"/>
    </row>
    <row r="3975" spans="1:1">
      <c r="A3975" s="49"/>
    </row>
    <row r="3976" spans="1:1">
      <c r="A3976" s="49"/>
    </row>
    <row r="3977" spans="1:1">
      <c r="A3977" s="49"/>
    </row>
    <row r="3978" spans="1:1">
      <c r="A3978" s="49"/>
    </row>
    <row r="3979" spans="1:1">
      <c r="A3979" s="49"/>
    </row>
    <row r="3980" spans="1:1">
      <c r="A3980" s="49"/>
    </row>
    <row r="3981" spans="1:1">
      <c r="A3981" s="49"/>
    </row>
    <row r="3982" spans="1:1">
      <c r="A3982" s="49"/>
    </row>
    <row r="3983" spans="1:1">
      <c r="A3983" s="49"/>
    </row>
    <row r="3984" spans="1:1">
      <c r="A3984" s="49"/>
    </row>
    <row r="3985" spans="1:1">
      <c r="A3985" s="49"/>
    </row>
    <row r="3986" spans="1:1">
      <c r="A3986" s="49"/>
    </row>
    <row r="3987" spans="1:1">
      <c r="A3987" s="49"/>
    </row>
    <row r="3988" spans="1:1">
      <c r="A3988" s="49"/>
    </row>
    <row r="3989" spans="1:1">
      <c r="A3989" s="49"/>
    </row>
    <row r="3990" spans="1:1">
      <c r="A3990" s="49"/>
    </row>
    <row r="3991" spans="1:1">
      <c r="A3991" s="49"/>
    </row>
    <row r="3992" spans="1:1">
      <c r="A3992" s="49"/>
    </row>
    <row r="3993" spans="1:1">
      <c r="A3993" s="49"/>
    </row>
    <row r="3994" spans="1:1">
      <c r="A3994" s="49"/>
    </row>
    <row r="3995" spans="1:1">
      <c r="A3995" s="49"/>
    </row>
    <row r="3996" spans="1:1">
      <c r="A3996" s="49"/>
    </row>
    <row r="3997" spans="1:1">
      <c r="A3997" s="49"/>
    </row>
    <row r="3998" spans="1:1">
      <c r="A3998" s="49"/>
    </row>
    <row r="3999" spans="1:1">
      <c r="A3999" s="49"/>
    </row>
    <row r="4000" spans="1:1">
      <c r="A4000" s="49"/>
    </row>
    <row r="4001" spans="1:1">
      <c r="A4001" s="49"/>
    </row>
    <row r="4002" spans="1:1">
      <c r="A4002" s="49"/>
    </row>
    <row r="4003" spans="1:1">
      <c r="A4003" s="49"/>
    </row>
    <row r="4004" spans="1:1">
      <c r="A4004" s="49"/>
    </row>
    <row r="4005" spans="1:1">
      <c r="A4005" s="49"/>
    </row>
    <row r="4006" spans="1:1">
      <c r="A4006" s="49"/>
    </row>
    <row r="4007" spans="1:1">
      <c r="A4007" s="49"/>
    </row>
    <row r="4008" spans="1:1">
      <c r="A4008" s="49"/>
    </row>
    <row r="4009" spans="1:1">
      <c r="A4009" s="49"/>
    </row>
    <row r="4010" spans="1:1">
      <c r="A4010" s="49"/>
    </row>
    <row r="4011" spans="1:1">
      <c r="A4011" s="49"/>
    </row>
    <row r="4012" spans="1:1">
      <c r="A4012" s="49"/>
    </row>
    <row r="4013" spans="1:1">
      <c r="A4013" s="49"/>
    </row>
    <row r="4014" spans="1:1">
      <c r="A4014" s="49"/>
    </row>
    <row r="4015" spans="1:1">
      <c r="A4015" s="49"/>
    </row>
    <row r="4016" spans="1:1">
      <c r="A4016" s="49"/>
    </row>
    <row r="4017" spans="1:1">
      <c r="A4017" s="49"/>
    </row>
    <row r="4018" spans="1:1">
      <c r="A4018" s="49"/>
    </row>
    <row r="4019" spans="1:1">
      <c r="A4019" s="49"/>
    </row>
    <row r="4020" spans="1:1">
      <c r="A4020" s="49"/>
    </row>
    <row r="4021" spans="1:1">
      <c r="A4021" s="49"/>
    </row>
    <row r="4022" spans="1:1">
      <c r="A4022" s="49"/>
    </row>
    <row r="4023" spans="1:1">
      <c r="A4023" s="49"/>
    </row>
    <row r="4024" spans="1:1">
      <c r="A4024" s="49"/>
    </row>
    <row r="4025" spans="1:1">
      <c r="A4025" s="49"/>
    </row>
    <row r="4026" spans="1:1">
      <c r="A4026" s="49"/>
    </row>
    <row r="4027" spans="1:1">
      <c r="A4027" s="49"/>
    </row>
    <row r="4028" spans="1:1">
      <c r="A4028" s="49"/>
    </row>
    <row r="4029" spans="1:1">
      <c r="A4029" s="49"/>
    </row>
    <row r="4030" spans="1:1">
      <c r="A4030" s="49"/>
    </row>
    <row r="4031" spans="1:1">
      <c r="A4031" s="49"/>
    </row>
    <row r="4032" spans="1:1">
      <c r="A4032" s="49"/>
    </row>
    <row r="4033" spans="1:1">
      <c r="A4033" s="49"/>
    </row>
    <row r="4034" spans="1:1">
      <c r="A4034" s="49"/>
    </row>
    <row r="4035" spans="1:1">
      <c r="A4035" s="49"/>
    </row>
    <row r="4036" spans="1:1">
      <c r="A4036" s="49"/>
    </row>
    <row r="4037" spans="1:1">
      <c r="A4037" s="49"/>
    </row>
    <row r="4038" spans="1:1">
      <c r="A4038" s="49"/>
    </row>
    <row r="4039" spans="1:1">
      <c r="A4039" s="49"/>
    </row>
    <row r="4040" spans="1:1">
      <c r="A4040" s="49"/>
    </row>
    <row r="4041" spans="1:1">
      <c r="A4041" s="49"/>
    </row>
    <row r="4042" spans="1:1">
      <c r="A4042" s="49"/>
    </row>
    <row r="4043" spans="1:1">
      <c r="A4043" s="49"/>
    </row>
    <row r="4044" spans="1:1">
      <c r="A4044" s="49"/>
    </row>
    <row r="4045" spans="1:1">
      <c r="A4045" s="49"/>
    </row>
    <row r="4046" spans="1:1">
      <c r="A4046" s="49"/>
    </row>
    <row r="4047" spans="1:1">
      <c r="A4047" s="49"/>
    </row>
    <row r="4048" spans="1:1">
      <c r="A4048" s="49"/>
    </row>
    <row r="4049" spans="1:1">
      <c r="A4049" s="49"/>
    </row>
    <row r="4050" spans="1:1">
      <c r="A4050" s="49"/>
    </row>
    <row r="4051" spans="1:1">
      <c r="A4051" s="49"/>
    </row>
    <row r="4052" spans="1:1">
      <c r="A4052" s="49"/>
    </row>
    <row r="4053" spans="1:1">
      <c r="A4053" s="49"/>
    </row>
    <row r="4054" spans="1:1">
      <c r="A4054" s="49"/>
    </row>
    <row r="4055" spans="1:1">
      <c r="A4055" s="49"/>
    </row>
    <row r="4056" spans="1:1">
      <c r="A4056" s="49"/>
    </row>
    <row r="4057" spans="1:1">
      <c r="A4057" s="49"/>
    </row>
    <row r="4058" spans="1:1">
      <c r="A4058" s="49"/>
    </row>
    <row r="4059" spans="1:1">
      <c r="A4059" s="49"/>
    </row>
    <row r="4060" spans="1:1">
      <c r="A4060" s="49"/>
    </row>
    <row r="4061" spans="1:1">
      <c r="A4061" s="49"/>
    </row>
    <row r="4062" spans="1:1">
      <c r="A4062" s="49"/>
    </row>
    <row r="4063" spans="1:1">
      <c r="A4063" s="49"/>
    </row>
    <row r="4064" spans="1:1">
      <c r="A4064" s="49"/>
    </row>
    <row r="4065" spans="1:1">
      <c r="A4065" s="49"/>
    </row>
    <row r="4066" spans="1:1">
      <c r="A4066" s="49"/>
    </row>
    <row r="4067" spans="1:1">
      <c r="A4067" s="49"/>
    </row>
    <row r="4068" spans="1:1">
      <c r="A4068" s="49"/>
    </row>
    <row r="4069" spans="1:1">
      <c r="A4069" s="49"/>
    </row>
    <row r="4070" spans="1:1">
      <c r="A4070" s="49"/>
    </row>
    <row r="4071" spans="1:1">
      <c r="A4071" s="49"/>
    </row>
    <row r="4072" spans="1:1">
      <c r="A4072" s="49"/>
    </row>
    <row r="4073" spans="1:1">
      <c r="A4073" s="49"/>
    </row>
    <row r="4074" spans="1:1">
      <c r="A4074" s="49"/>
    </row>
    <row r="4075" spans="1:1">
      <c r="A4075" s="49"/>
    </row>
    <row r="4076" spans="1:1">
      <c r="A4076" s="49"/>
    </row>
    <row r="4077" spans="1:1">
      <c r="A4077" s="49"/>
    </row>
    <row r="4078" spans="1:1">
      <c r="A4078" s="49"/>
    </row>
    <row r="4079" spans="1:1">
      <c r="A4079" s="49"/>
    </row>
    <row r="4080" spans="1:1">
      <c r="A4080" s="49"/>
    </row>
    <row r="4081" spans="1:1">
      <c r="A4081" s="49"/>
    </row>
    <row r="4082" spans="1:1">
      <c r="A4082" s="49"/>
    </row>
    <row r="4083" spans="1:1">
      <c r="A4083" s="49"/>
    </row>
    <row r="4084" spans="1:1">
      <c r="A4084" s="49"/>
    </row>
    <row r="4085" spans="1:1">
      <c r="A4085" s="49"/>
    </row>
    <row r="4086" spans="1:1">
      <c r="A4086" s="49"/>
    </row>
    <row r="4087" spans="1:1">
      <c r="A4087" s="49"/>
    </row>
    <row r="4088" spans="1:1">
      <c r="A4088" s="49"/>
    </row>
    <row r="4089" spans="1:1">
      <c r="A4089" s="49"/>
    </row>
    <row r="4090" spans="1:1">
      <c r="A4090" s="49"/>
    </row>
    <row r="4091" spans="1:1">
      <c r="A4091" s="49"/>
    </row>
    <row r="4092" spans="1:1">
      <c r="A4092" s="49"/>
    </row>
    <row r="4093" spans="1:1">
      <c r="A4093" s="49"/>
    </row>
    <row r="4094" spans="1:1">
      <c r="A4094" s="49"/>
    </row>
    <row r="4095" spans="1:1">
      <c r="A4095" s="49"/>
    </row>
    <row r="4096" spans="1:1">
      <c r="A4096" s="49"/>
    </row>
    <row r="4097" spans="1:1">
      <c r="A4097" s="49"/>
    </row>
    <row r="4098" spans="1:1">
      <c r="A4098" s="49"/>
    </row>
    <row r="4099" spans="1:1">
      <c r="A4099" s="49"/>
    </row>
    <row r="4100" spans="1:1">
      <c r="A4100" s="49"/>
    </row>
    <row r="4101" spans="1:1">
      <c r="A4101" s="49"/>
    </row>
    <row r="4102" spans="1:1">
      <c r="A4102" s="49"/>
    </row>
    <row r="4103" spans="1:1">
      <c r="A4103" s="49"/>
    </row>
    <row r="4104" spans="1:1">
      <c r="A4104" s="49"/>
    </row>
    <row r="4105" spans="1:1">
      <c r="A4105" s="49"/>
    </row>
    <row r="4106" spans="1:1">
      <c r="A4106" s="49"/>
    </row>
    <row r="4107" spans="1:1">
      <c r="A4107" s="49"/>
    </row>
    <row r="4108" spans="1:1">
      <c r="A4108" s="49"/>
    </row>
    <row r="4109" spans="1:1">
      <c r="A4109" s="49"/>
    </row>
    <row r="4110" spans="1:1">
      <c r="A4110" s="49"/>
    </row>
    <row r="4111" spans="1:1">
      <c r="A4111" s="49"/>
    </row>
    <row r="4112" spans="1:1">
      <c r="A4112" s="49"/>
    </row>
    <row r="4113" spans="1:1">
      <c r="A4113" s="49"/>
    </row>
    <row r="4114" spans="1:1">
      <c r="A4114" s="49"/>
    </row>
    <row r="4115" spans="1:1">
      <c r="A4115" s="49"/>
    </row>
    <row r="4116" spans="1:1">
      <c r="A4116" s="49"/>
    </row>
    <row r="4117" spans="1:1">
      <c r="A4117" s="49"/>
    </row>
    <row r="4118" spans="1:1">
      <c r="A4118" s="49"/>
    </row>
    <row r="4119" spans="1:1">
      <c r="A4119" s="49"/>
    </row>
    <row r="4120" spans="1:1">
      <c r="A4120" s="49"/>
    </row>
    <row r="4121" spans="1:1">
      <c r="A4121" s="49"/>
    </row>
    <row r="4122" spans="1:1">
      <c r="A4122" s="49"/>
    </row>
    <row r="4123" spans="1:1">
      <c r="A4123" s="49"/>
    </row>
    <row r="4124" spans="1:1">
      <c r="A4124" s="49"/>
    </row>
    <row r="4125" spans="1:1">
      <c r="A4125" s="49"/>
    </row>
    <row r="4126" spans="1:1">
      <c r="A4126" s="49"/>
    </row>
    <row r="4127" spans="1:1">
      <c r="A4127" s="49"/>
    </row>
    <row r="4128" spans="1:1">
      <c r="A4128" s="49"/>
    </row>
    <row r="4129" spans="1:1">
      <c r="A4129" s="49"/>
    </row>
    <row r="4130" spans="1:1">
      <c r="A4130" s="49"/>
    </row>
    <row r="4131" spans="1:1">
      <c r="A4131" s="49"/>
    </row>
    <row r="4132" spans="1:1">
      <c r="A4132" s="49"/>
    </row>
    <row r="4133" spans="1:1">
      <c r="A4133" s="49"/>
    </row>
    <row r="4134" spans="1:1">
      <c r="A4134" s="49"/>
    </row>
    <row r="4135" spans="1:1">
      <c r="A4135" s="49"/>
    </row>
    <row r="4136" spans="1:1">
      <c r="A4136" s="49"/>
    </row>
    <row r="4137" spans="1:1">
      <c r="A4137" s="49"/>
    </row>
    <row r="4138" spans="1:1">
      <c r="A4138" s="49"/>
    </row>
    <row r="4139" spans="1:1">
      <c r="A4139" s="49"/>
    </row>
    <row r="4140" spans="1:1">
      <c r="A4140" s="49"/>
    </row>
    <row r="4141" spans="1:1">
      <c r="A4141" s="49"/>
    </row>
    <row r="4142" spans="1:1">
      <c r="A4142" s="49"/>
    </row>
    <row r="4143" spans="1:1">
      <c r="A4143" s="49"/>
    </row>
    <row r="4144" spans="1:1">
      <c r="A4144" s="49"/>
    </row>
    <row r="4145" spans="1:1">
      <c r="A4145" s="49"/>
    </row>
    <row r="4146" spans="1:1">
      <c r="A4146" s="49"/>
    </row>
    <row r="4147" spans="1:1">
      <c r="A4147" s="49"/>
    </row>
    <row r="4148" spans="1:1">
      <c r="A4148" s="49"/>
    </row>
    <row r="4149" spans="1:1">
      <c r="A4149" s="49"/>
    </row>
    <row r="4150" spans="1:1">
      <c r="A4150" s="49"/>
    </row>
    <row r="4151" spans="1:1">
      <c r="A4151" s="49"/>
    </row>
    <row r="4152" spans="1:1">
      <c r="A4152" s="49"/>
    </row>
    <row r="4153" spans="1:1">
      <c r="A4153" s="49"/>
    </row>
    <row r="4154" spans="1:1">
      <c r="A4154" s="49"/>
    </row>
    <row r="4155" spans="1:1">
      <c r="A4155" s="49"/>
    </row>
    <row r="4156" spans="1:1">
      <c r="A4156" s="49"/>
    </row>
    <row r="4157" spans="1:1">
      <c r="A4157" s="49"/>
    </row>
    <row r="4158" spans="1:1">
      <c r="A4158" s="49"/>
    </row>
    <row r="4159" spans="1:1">
      <c r="A4159" s="49"/>
    </row>
    <row r="4160" spans="1:1">
      <c r="A4160" s="49"/>
    </row>
    <row r="4161" spans="1:1">
      <c r="A4161" s="49"/>
    </row>
    <row r="4162" spans="1:1">
      <c r="A4162" s="49"/>
    </row>
    <row r="4163" spans="1:1">
      <c r="A4163" s="49"/>
    </row>
    <row r="4164" spans="1:1">
      <c r="A4164" s="49"/>
    </row>
    <row r="4165" spans="1:1">
      <c r="A4165" s="49"/>
    </row>
    <row r="4166" spans="1:1">
      <c r="A4166" s="49"/>
    </row>
    <row r="4167" spans="1:1">
      <c r="A4167" s="49"/>
    </row>
    <row r="4168" spans="1:1">
      <c r="A4168" s="49"/>
    </row>
    <row r="4169" spans="1:1">
      <c r="A4169" s="49"/>
    </row>
    <row r="4170" spans="1:1">
      <c r="A4170" s="49"/>
    </row>
    <row r="4171" spans="1:1">
      <c r="A4171" s="49"/>
    </row>
    <row r="4172" spans="1:1">
      <c r="A4172" s="49"/>
    </row>
    <row r="4173" spans="1:1">
      <c r="A4173" s="49"/>
    </row>
    <row r="4174" spans="1:1">
      <c r="A4174" s="49"/>
    </row>
    <row r="4175" spans="1:1">
      <c r="A4175" s="49"/>
    </row>
    <row r="4176" spans="1:1">
      <c r="A4176" s="49"/>
    </row>
    <row r="4177" spans="1:1">
      <c r="A4177" s="49"/>
    </row>
    <row r="4178" spans="1:1">
      <c r="A4178" s="49"/>
    </row>
    <row r="4179" spans="1:1">
      <c r="A4179" s="49"/>
    </row>
    <row r="4180" spans="1:1">
      <c r="A4180" s="49"/>
    </row>
    <row r="4181" spans="1:1">
      <c r="A4181" s="49"/>
    </row>
    <row r="4182" spans="1:1">
      <c r="A4182" s="49"/>
    </row>
    <row r="4183" spans="1:1">
      <c r="A4183" s="49"/>
    </row>
    <row r="4184" spans="1:1">
      <c r="A4184" s="49"/>
    </row>
    <row r="4185" spans="1:1">
      <c r="A4185" s="49"/>
    </row>
    <row r="4186" spans="1:1">
      <c r="A4186" s="49"/>
    </row>
    <row r="4187" spans="1:1">
      <c r="A4187" s="49"/>
    </row>
    <row r="4188" spans="1:1">
      <c r="A4188" s="49"/>
    </row>
    <row r="4189" spans="1:1">
      <c r="A4189" s="49"/>
    </row>
    <row r="4190" spans="1:1">
      <c r="A4190" s="49"/>
    </row>
    <row r="4191" spans="1:1">
      <c r="A4191" s="49"/>
    </row>
    <row r="4192" spans="1:1">
      <c r="A4192" s="49"/>
    </row>
    <row r="4193" spans="1:1">
      <c r="A4193" s="49"/>
    </row>
    <row r="4194" spans="1:1">
      <c r="A4194" s="49"/>
    </row>
    <row r="4195" spans="1:1">
      <c r="A4195" s="49"/>
    </row>
    <row r="4196" spans="1:1">
      <c r="A4196" s="49"/>
    </row>
    <row r="4197" spans="1:1">
      <c r="A4197" s="49"/>
    </row>
    <row r="4198" spans="1:1">
      <c r="A4198" s="49"/>
    </row>
    <row r="4199" spans="1:1">
      <c r="A4199" s="49"/>
    </row>
    <row r="4200" spans="1:1">
      <c r="A4200" s="49"/>
    </row>
    <row r="4201" spans="1:1">
      <c r="A4201" s="49"/>
    </row>
    <row r="4202" spans="1:1">
      <c r="A4202" s="49"/>
    </row>
    <row r="4203" spans="1:1">
      <c r="A4203" s="49"/>
    </row>
    <row r="4204" spans="1:1">
      <c r="A4204" s="49"/>
    </row>
    <row r="4205" spans="1:1">
      <c r="A4205" s="49"/>
    </row>
    <row r="4206" spans="1:1">
      <c r="A4206" s="49"/>
    </row>
    <row r="4207" spans="1:1">
      <c r="A4207" s="49"/>
    </row>
    <row r="4208" spans="1:1">
      <c r="A4208" s="49"/>
    </row>
    <row r="4209" spans="1:1">
      <c r="A4209" s="49"/>
    </row>
    <row r="4210" spans="1:1">
      <c r="A4210" s="49"/>
    </row>
    <row r="4211" spans="1:1">
      <c r="A4211" s="49"/>
    </row>
    <row r="4212" spans="1:1">
      <c r="A4212" s="49"/>
    </row>
    <row r="4213" spans="1:1">
      <c r="A4213" s="49"/>
    </row>
    <row r="4214" spans="1:1">
      <c r="A4214" s="49"/>
    </row>
    <row r="4215" spans="1:1">
      <c r="A4215" s="49"/>
    </row>
    <row r="4216" spans="1:1">
      <c r="A4216" s="49"/>
    </row>
    <row r="4217" spans="1:1">
      <c r="A4217" s="49"/>
    </row>
    <row r="4218" spans="1:1">
      <c r="A4218" s="49"/>
    </row>
    <row r="4219" spans="1:1">
      <c r="A4219" s="49"/>
    </row>
    <row r="4220" spans="1:1">
      <c r="A4220" s="49"/>
    </row>
    <row r="4221" spans="1:1">
      <c r="A4221" s="49"/>
    </row>
    <row r="4222" spans="1:1">
      <c r="A4222" s="49"/>
    </row>
    <row r="4223" spans="1:1">
      <c r="A4223" s="49"/>
    </row>
    <row r="4224" spans="1:1">
      <c r="A4224" s="49"/>
    </row>
    <row r="4225" spans="1:1">
      <c r="A4225" s="49"/>
    </row>
    <row r="4226" spans="1:1">
      <c r="A4226" s="49"/>
    </row>
    <row r="4227" spans="1:1">
      <c r="A4227" s="49"/>
    </row>
    <row r="4228" spans="1:1">
      <c r="A4228" s="49"/>
    </row>
    <row r="4229" spans="1:1">
      <c r="A4229" s="49"/>
    </row>
    <row r="4230" spans="1:1">
      <c r="A4230" s="49"/>
    </row>
    <row r="4231" spans="1:1">
      <c r="A4231" s="49"/>
    </row>
    <row r="4232" spans="1:1">
      <c r="A4232" s="49"/>
    </row>
    <row r="4233" spans="1:1">
      <c r="A4233" s="49"/>
    </row>
    <row r="4234" spans="1:1">
      <c r="A4234" s="49"/>
    </row>
    <row r="4235" spans="1:1">
      <c r="A4235" s="49"/>
    </row>
    <row r="4236" spans="1:1">
      <c r="A4236" s="49"/>
    </row>
    <row r="4237" spans="1:1">
      <c r="A4237" s="49"/>
    </row>
    <row r="4238" spans="1:1">
      <c r="A4238" s="49"/>
    </row>
    <row r="4239" spans="1:1">
      <c r="A4239" s="49"/>
    </row>
    <row r="4240" spans="1:1">
      <c r="A4240" s="49"/>
    </row>
    <row r="4241" spans="1:1">
      <c r="A4241" s="49"/>
    </row>
    <row r="4242" spans="1:1">
      <c r="A4242" s="49"/>
    </row>
    <row r="4243" spans="1:1">
      <c r="A4243" s="49"/>
    </row>
    <row r="4244" spans="1:1">
      <c r="A4244" s="49"/>
    </row>
    <row r="4245" spans="1:1">
      <c r="A4245" s="49"/>
    </row>
    <row r="4246" spans="1:1">
      <c r="A4246" s="49"/>
    </row>
    <row r="4247" spans="1:1">
      <c r="A4247" s="49"/>
    </row>
    <row r="4248" spans="1:1">
      <c r="A4248" s="49"/>
    </row>
    <row r="4249" spans="1:1">
      <c r="A4249" s="49"/>
    </row>
    <row r="4250" spans="1:1">
      <c r="A4250" s="49"/>
    </row>
    <row r="4251" spans="1:1">
      <c r="A4251" s="49"/>
    </row>
    <row r="4252" spans="1:1">
      <c r="A4252" s="49"/>
    </row>
    <row r="4253" spans="1:1">
      <c r="A4253" s="49"/>
    </row>
    <row r="4254" spans="1:1">
      <c r="A4254" s="49"/>
    </row>
    <row r="4255" spans="1:1">
      <c r="A4255" s="49"/>
    </row>
    <row r="4256" spans="1:1">
      <c r="A4256" s="49"/>
    </row>
    <row r="4257" spans="1:1">
      <c r="A4257" s="49"/>
    </row>
    <row r="4258" spans="1:1">
      <c r="A4258" s="49"/>
    </row>
    <row r="4259" spans="1:1">
      <c r="A4259" s="49"/>
    </row>
    <row r="4260" spans="1:1">
      <c r="A4260" s="49"/>
    </row>
    <row r="4261" spans="1:1">
      <c r="A4261" s="49"/>
    </row>
    <row r="4262" spans="1:1">
      <c r="A4262" s="49"/>
    </row>
    <row r="4263" spans="1:1">
      <c r="A4263" s="49"/>
    </row>
    <row r="4264" spans="1:1">
      <c r="A4264" s="49"/>
    </row>
    <row r="4265" spans="1:1">
      <c r="A4265" s="49"/>
    </row>
    <row r="4266" spans="1:1">
      <c r="A4266" s="49"/>
    </row>
    <row r="4267" spans="1:1">
      <c r="A4267" s="49"/>
    </row>
    <row r="4268" spans="1:1">
      <c r="A4268" s="49"/>
    </row>
    <row r="4269" spans="1:1">
      <c r="A4269" s="49"/>
    </row>
    <row r="4270" spans="1:1">
      <c r="A4270" s="49"/>
    </row>
    <row r="4271" spans="1:1">
      <c r="A4271" s="49"/>
    </row>
    <row r="4272" spans="1:1">
      <c r="A4272" s="49"/>
    </row>
    <row r="4273" spans="1:1">
      <c r="A4273" s="49"/>
    </row>
    <row r="4274" spans="1:1">
      <c r="A4274" s="49"/>
    </row>
    <row r="4275" spans="1:1">
      <c r="A4275" s="49"/>
    </row>
    <row r="4276" spans="1:1">
      <c r="A4276" s="49"/>
    </row>
    <row r="4277" spans="1:1">
      <c r="A4277" s="49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waca</vt:lpstr>
      <vt:lpstr>input shopline</vt:lpstr>
      <vt:lpstr>catalog</vt:lpstr>
      <vt:lpstr>stock</vt:lpstr>
      <vt:lpstr>output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orders-20210616135207</dc:title>
  <dc:subject>Spreadsheet export</dc:subject>
  <dc:creator>Maatwebsite</dc:creator>
  <cp:keywords>maatwebsite, excel, export</cp:keywords>
  <dc:description>Default spreadsheet export</dc:description>
  <cp:lastModifiedBy>Jay Chiang</cp:lastModifiedBy>
  <dcterms:created xsi:type="dcterms:W3CDTF">2021-06-15T06:01:56Z</dcterms:created>
  <dcterms:modified xsi:type="dcterms:W3CDTF">2021-06-24T20:36:01Z</dcterms:modified>
  <cp:category>Excel</cp:category>
</cp:coreProperties>
</file>